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32.xml" ContentType="application/vnd.openxmlformats-officedocument.spreadsheetml.worksheet+xml"/>
  <Override PartName="/xl/worksheets/sheet31.xml" ContentType="application/vnd.openxmlformats-officedocument.spreadsheetml.worksheet+xml"/>
  <Override PartName="/xl/worksheets/sheet30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14.xml" ContentType="application/vnd.openxmlformats-officedocument.spreadsheetml.worksheet+xml"/>
  <Override PartName="/xl/worksheets/sheet13.xml" ContentType="application/vnd.openxmlformats-officedocument.spreadsheetml.worksheet+xml"/>
  <Override PartName="/xl/worksheets/sheet19.xml" ContentType="application/vnd.openxmlformats-officedocument.spreadsheetml.worksheet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05" yWindow="-105" windowWidth="23250" windowHeight="12450" tabRatio="838" firstSheet="2" activeTab="2"/>
  </bookViews>
  <sheets>
    <sheet name="填寫舉例" sheetId="1" state="hidden" r:id="rId1"/>
    <sheet name="生產管理報表(月)" sheetId="13" state="hidden" r:id="rId2"/>
    <sheet name="生產管理報表(週) " sheetId="39" r:id="rId3"/>
    <sheet name="（１）收支狀況" sheetId="3" r:id="rId4"/>
    <sheet name="（２）ＫＰＩ達成進度" sheetId="5" r:id="rId5"/>
    <sheet name="（３）業績構成比" sheetId="7" r:id="rId6"/>
    <sheet name="（４）訂單數量構成比" sheetId="6" r:id="rId7"/>
    <sheet name="（５-1）品群別人時生產性（18℃-飯糰）" sheetId="8" r:id="rId8"/>
    <sheet name="（５-2）品群別人時生產性（18-壽司手卷)" sheetId="30" r:id="rId9"/>
    <sheet name="（５-3）品群別人時生產性（4℃-飯糰)" sheetId="32" r:id="rId10"/>
    <sheet name="（５-4）品群別人時生產性（4℃-壽司手卷)" sheetId="31" r:id="rId11"/>
    <sheet name="（５-5）品群別人時生產性(主食) " sheetId="33" r:id="rId12"/>
    <sheet name="（５-6）品群別人時生產性(便當)" sheetId="34" r:id="rId13"/>
    <sheet name="（５-7）品群別人時生產性(熱食義麵) " sheetId="35" r:id="rId14"/>
    <sheet name="（５-8）品群別人時生產性(季節調理麵) " sheetId="36" r:id="rId15"/>
    <sheet name="（５-9）品群別人時生產性(微波小吃)" sheetId="37" r:id="rId16"/>
    <sheet name="生產管理報表 6-1" sheetId="15" r:id="rId17"/>
    <sheet name="生產管理報表 6-2" sheetId="22" r:id="rId18"/>
    <sheet name="生產管理報表 6-3" sheetId="23" r:id="rId19"/>
    <sheet name="生產管理報表 6-4" sheetId="24" r:id="rId20"/>
    <sheet name="生產管理報表 6-5" sheetId="25" r:id="rId21"/>
    <sheet name="生產管理報表 7-1(月)" sheetId="40" state="hidden" r:id="rId22"/>
    <sheet name="生產管理報表 7-1 (週)" sheetId="41" r:id="rId23"/>
    <sheet name="生產管理報表 8-1(報廢)" sheetId="19" r:id="rId24"/>
    <sheet name="生產管理報表 8-2(報廢)" sheetId="20" r:id="rId25"/>
    <sheet name="生產管理報表 8-3(超用)" sheetId="44" r:id="rId26"/>
    <sheet name="生產管理報表 8-4(超用)" sheetId="45" r:id="rId27"/>
    <sheet name="生產管理報表 9" sheetId="21" r:id="rId28"/>
    <sheet name="報廢20大－原因別分析" sheetId="46" r:id="rId29"/>
    <sheet name="超用20大－原因別分析" sheetId="47" r:id="rId30"/>
    <sheet name="日別報廢率總表  " sheetId="48" r:id="rId31"/>
    <sheet name="鮮食品群番" sheetId="38" state="hidden" r:id="rId32"/>
  </sheets>
  <definedNames>
    <definedName name="_xlnm._FilterDatabase" localSheetId="7" hidden="1">'（５-1）品群別人時生產性（18℃-飯糰）'!#REF!</definedName>
    <definedName name="_xlnm._FilterDatabase" localSheetId="8" hidden="1">'（５-2）品群別人時生產性（18-壽司手卷)'!#REF!</definedName>
    <definedName name="_xlnm._FilterDatabase" localSheetId="9" hidden="1">'（５-3）品群別人時生產性（4℃-飯糰)'!#REF!</definedName>
    <definedName name="_xlnm._FilterDatabase" localSheetId="10" hidden="1">'（５-4）品群別人時生產性（4℃-壽司手卷)'!#REF!</definedName>
    <definedName name="_xlnm._FilterDatabase" localSheetId="11" hidden="1">'（５-5）品群別人時生產性(主食) '!#REF!</definedName>
    <definedName name="_xlnm._FilterDatabase" localSheetId="12" hidden="1">'（５-6）品群別人時生產性(便當)'!#REF!</definedName>
    <definedName name="_xlnm._FilterDatabase" localSheetId="13" hidden="1">'（５-7）品群別人時生產性(熱食義麵) '!#REF!</definedName>
    <definedName name="_xlnm._FilterDatabase" localSheetId="14" hidden="1">'（５-8）品群別人時生產性(季節調理麵) '!#REF!</definedName>
    <definedName name="_xlnm._FilterDatabase" localSheetId="15" hidden="1">'（５-9）品群別人時生產性(微波小吃)'!#REF!</definedName>
    <definedName name="_xlnm._FilterDatabase" localSheetId="25" hidden="1">'生產管理報表 8-3(超用)'!$R$24:$W$28</definedName>
    <definedName name="_xlnm._FilterDatabase" localSheetId="26" hidden="1">'生產管理報表 8-4(超用)'!$R$24:$W$29</definedName>
    <definedName name="_xlnm._FilterDatabase" localSheetId="28" hidden="1">'報廢20大－原因別分析'!#REF!</definedName>
    <definedName name="_xlnm._FilterDatabase" localSheetId="29" hidden="1">'超用20大－原因別分析'!#REF!</definedName>
    <definedName name="_xlnm.Print_Area" localSheetId="16">'生產管理報表 6-1'!$A$1:$L$35</definedName>
    <definedName name="_xlnm.Print_Area" localSheetId="17">'生產管理報表 6-2'!$A$1:$L$35</definedName>
    <definedName name="_xlnm.Print_Area" localSheetId="18">'生產管理報表 6-3'!$A$1:$L$35</definedName>
    <definedName name="_xlnm.Print_Area" localSheetId="19">'生產管理報表 6-4'!$A$1:$L$35</definedName>
    <definedName name="_xlnm.Print_Area" localSheetId="20">'生產管理報表 6-5'!$A$1:$L$35</definedName>
    <definedName name="_xlnm.Print_Area" localSheetId="22">'生產管理報表 7-1 (週)'!$A$1:$M$2</definedName>
    <definedName name="_xlnm.Print_Area" localSheetId="21">'生產管理報表 7-1(月)'!$A$1:$M$15</definedName>
    <definedName name="_xlnm.Print_Area" localSheetId="25">'生產管理報表 8-3(超用)'!$A$1:$Q$30</definedName>
    <definedName name="_xlnm.Print_Area" localSheetId="26">'生產管理報表 8-4(超用)'!$A$1:$Q$38</definedName>
    <definedName name="_xlnm.Print_Area" localSheetId="27">'生產管理報表 9'!#REF!</definedName>
    <definedName name="_xlnm.Print_Area" localSheetId="1">'生產管理報表(月)'!$A$1:$K$36</definedName>
    <definedName name="_xlnm.Print_Area" localSheetId="2">'生產管理報表(週) '!$A$1:$K$36</definedName>
    <definedName name="_xlnm.Print_Area" localSheetId="31">鮮食品群番!$B$2:$F$20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0" i="39" l="1"/>
  <c r="U2" i="8" l="1"/>
  <c r="Z2" i="8"/>
  <c r="AE2" i="8"/>
  <c r="B8" i="25"/>
  <c r="A8" i="25"/>
  <c r="S101" i="37"/>
  <c r="S100" i="37"/>
  <c r="S99" i="37"/>
  <c r="S98" i="37"/>
  <c r="S97" i="37"/>
  <c r="S96" i="37"/>
  <c r="S95" i="37"/>
  <c r="S94" i="37"/>
  <c r="S93" i="37"/>
  <c r="S92" i="37"/>
  <c r="S91" i="37"/>
  <c r="S90" i="37"/>
  <c r="S89" i="37"/>
  <c r="S88" i="37"/>
  <c r="T87" i="37"/>
  <c r="S87" i="37"/>
  <c r="X101" i="37"/>
  <c r="X100" i="37"/>
  <c r="X99" i="37"/>
  <c r="X98" i="37"/>
  <c r="X97" i="37"/>
  <c r="X96" i="37"/>
  <c r="X95" i="37"/>
  <c r="X94" i="37"/>
  <c r="X93" i="37"/>
  <c r="X92" i="37"/>
  <c r="X91" i="37"/>
  <c r="X90" i="37"/>
  <c r="X89" i="37"/>
  <c r="X88" i="37"/>
  <c r="Y87" i="37"/>
  <c r="X87" i="37"/>
  <c r="AC101" i="37"/>
  <c r="AC100" i="37"/>
  <c r="AC99" i="37"/>
  <c r="AC98" i="37"/>
  <c r="AC97" i="37"/>
  <c r="AC96" i="37"/>
  <c r="AC95" i="37"/>
  <c r="AC94" i="37"/>
  <c r="AC93" i="37"/>
  <c r="AC92" i="37"/>
  <c r="AC91" i="37"/>
  <c r="AC90" i="37"/>
  <c r="AC89" i="37"/>
  <c r="AC88" i="37"/>
  <c r="AD87" i="37"/>
  <c r="AC87" i="37"/>
  <c r="AH101" i="37"/>
  <c r="AH100" i="37"/>
  <c r="AH99" i="37"/>
  <c r="AH98" i="37"/>
  <c r="AH97" i="37"/>
  <c r="AH96" i="37"/>
  <c r="AH95" i="37"/>
  <c r="AH94" i="37"/>
  <c r="AH93" i="37"/>
  <c r="AH92" i="37"/>
  <c r="AH91" i="37"/>
  <c r="AH90" i="37"/>
  <c r="AH89" i="37"/>
  <c r="AH88" i="37"/>
  <c r="AI87" i="37"/>
  <c r="AH87" i="37"/>
  <c r="AM101" i="37"/>
  <c r="AM100" i="37"/>
  <c r="AM99" i="37"/>
  <c r="AM98" i="37"/>
  <c r="AM97" i="37"/>
  <c r="AM96" i="37"/>
  <c r="AM95" i="37"/>
  <c r="AM94" i="37"/>
  <c r="AM93" i="37"/>
  <c r="AM92" i="37"/>
  <c r="AM91" i="37"/>
  <c r="AM90" i="37"/>
  <c r="AM89" i="37"/>
  <c r="AM88" i="37"/>
  <c r="AN87" i="37"/>
  <c r="AM87" i="37"/>
  <c r="AR101" i="37"/>
  <c r="AR100" i="37"/>
  <c r="AR99" i="37"/>
  <c r="AR98" i="37"/>
  <c r="AR97" i="37"/>
  <c r="AR96" i="37"/>
  <c r="AR95" i="37"/>
  <c r="AR94" i="37"/>
  <c r="AR93" i="37"/>
  <c r="AR92" i="37"/>
  <c r="AR91" i="37"/>
  <c r="AR90" i="37"/>
  <c r="AR89" i="37"/>
  <c r="AR88" i="37"/>
  <c r="AS87" i="37"/>
  <c r="AR87" i="37"/>
  <c r="AW101" i="37"/>
  <c r="AW100" i="37"/>
  <c r="AW99" i="37"/>
  <c r="AW98" i="37"/>
  <c r="AW97" i="37"/>
  <c r="AW96" i="37"/>
  <c r="AW95" i="37"/>
  <c r="AW94" i="37"/>
  <c r="AW93" i="37"/>
  <c r="AW92" i="37"/>
  <c r="AW91" i="37"/>
  <c r="AW90" i="37"/>
  <c r="AW89" i="37"/>
  <c r="AW88" i="37"/>
  <c r="AX87" i="37"/>
  <c r="AW87" i="37"/>
  <c r="S101" i="36"/>
  <c r="S100" i="36"/>
  <c r="S99" i="36"/>
  <c r="S98" i="36"/>
  <c r="S97" i="36"/>
  <c r="S96" i="36"/>
  <c r="S95" i="36"/>
  <c r="S94" i="36"/>
  <c r="S93" i="36"/>
  <c r="S92" i="36"/>
  <c r="S91" i="36"/>
  <c r="S90" i="36"/>
  <c r="S89" i="36"/>
  <c r="S88" i="36"/>
  <c r="T87" i="36"/>
  <c r="S87" i="36"/>
  <c r="X101" i="36"/>
  <c r="X100" i="36"/>
  <c r="X99" i="36"/>
  <c r="X98" i="36"/>
  <c r="X97" i="36"/>
  <c r="X96" i="36"/>
  <c r="X95" i="36"/>
  <c r="X94" i="36"/>
  <c r="X93" i="36"/>
  <c r="X92" i="36"/>
  <c r="X91" i="36"/>
  <c r="X90" i="36"/>
  <c r="X89" i="36"/>
  <c r="X88" i="36"/>
  <c r="Y87" i="36"/>
  <c r="X87" i="36"/>
  <c r="AC101" i="36"/>
  <c r="AC100" i="36"/>
  <c r="AC99" i="36"/>
  <c r="AC98" i="36"/>
  <c r="AC97" i="36"/>
  <c r="AC96" i="36"/>
  <c r="AC95" i="36"/>
  <c r="AC94" i="36"/>
  <c r="AC93" i="36"/>
  <c r="AC92" i="36"/>
  <c r="AC91" i="36"/>
  <c r="AC90" i="36"/>
  <c r="AC89" i="36"/>
  <c r="AC88" i="36"/>
  <c r="AD87" i="36"/>
  <c r="AC87" i="36"/>
  <c r="AH101" i="36"/>
  <c r="AH100" i="36"/>
  <c r="AH99" i="36"/>
  <c r="AH98" i="36"/>
  <c r="AH97" i="36"/>
  <c r="AH96" i="36"/>
  <c r="AH95" i="36"/>
  <c r="AH94" i="36"/>
  <c r="AH93" i="36"/>
  <c r="AH92" i="36"/>
  <c r="AH91" i="36"/>
  <c r="AH90" i="36"/>
  <c r="AH89" i="36"/>
  <c r="AH88" i="36"/>
  <c r="AI87" i="36"/>
  <c r="AH87" i="36"/>
  <c r="AM101" i="36"/>
  <c r="AM100" i="36"/>
  <c r="AM99" i="36"/>
  <c r="AM98" i="36"/>
  <c r="AM97" i="36"/>
  <c r="AM96" i="36"/>
  <c r="AM95" i="36"/>
  <c r="AM94" i="36"/>
  <c r="AM93" i="36"/>
  <c r="AM92" i="36"/>
  <c r="AM91" i="36"/>
  <c r="AM90" i="36"/>
  <c r="AM89" i="36"/>
  <c r="AM88" i="36"/>
  <c r="AN87" i="36"/>
  <c r="AM87" i="36"/>
  <c r="AR101" i="36"/>
  <c r="AR100" i="36"/>
  <c r="AR99" i="36"/>
  <c r="AR98" i="36"/>
  <c r="AR97" i="36"/>
  <c r="AR96" i="36"/>
  <c r="AR95" i="36"/>
  <c r="AR94" i="36"/>
  <c r="AR93" i="36"/>
  <c r="AR92" i="36"/>
  <c r="AR91" i="36"/>
  <c r="AR90" i="36"/>
  <c r="AR89" i="36"/>
  <c r="AR88" i="36"/>
  <c r="AS87" i="36"/>
  <c r="AR87" i="36"/>
  <c r="AW101" i="36"/>
  <c r="AW100" i="36"/>
  <c r="AW99" i="36"/>
  <c r="AW98" i="36"/>
  <c r="AW97" i="36"/>
  <c r="AW96" i="36"/>
  <c r="AW95" i="36"/>
  <c r="AW94" i="36"/>
  <c r="AW93" i="36"/>
  <c r="AW92" i="36"/>
  <c r="AW91" i="36"/>
  <c r="AW90" i="36"/>
  <c r="AW89" i="36"/>
  <c r="AW88" i="36"/>
  <c r="AX87" i="36"/>
  <c r="AW87" i="36"/>
  <c r="S101" i="35"/>
  <c r="S100" i="35"/>
  <c r="S99" i="35"/>
  <c r="S98" i="35"/>
  <c r="S97" i="35"/>
  <c r="S96" i="35"/>
  <c r="S95" i="35"/>
  <c r="S94" i="35"/>
  <c r="S93" i="35"/>
  <c r="S92" i="35"/>
  <c r="S91" i="35"/>
  <c r="S90" i="35"/>
  <c r="S89" i="35"/>
  <c r="S88" i="35"/>
  <c r="T87" i="35"/>
  <c r="S87" i="35"/>
  <c r="X101" i="35"/>
  <c r="X100" i="35"/>
  <c r="X99" i="35"/>
  <c r="X98" i="35"/>
  <c r="X97" i="35"/>
  <c r="X96" i="35"/>
  <c r="X95" i="35"/>
  <c r="X94" i="35"/>
  <c r="X93" i="35"/>
  <c r="X92" i="35"/>
  <c r="X91" i="35"/>
  <c r="X90" i="35"/>
  <c r="X89" i="35"/>
  <c r="X88" i="35"/>
  <c r="Y87" i="35"/>
  <c r="X87" i="35"/>
  <c r="AC101" i="35"/>
  <c r="AC100" i="35"/>
  <c r="AC99" i="35"/>
  <c r="AC98" i="35"/>
  <c r="AC97" i="35"/>
  <c r="AC96" i="35"/>
  <c r="AC95" i="35"/>
  <c r="AC94" i="35"/>
  <c r="AC93" i="35"/>
  <c r="AC92" i="35"/>
  <c r="AC91" i="35"/>
  <c r="AC90" i="35"/>
  <c r="AC89" i="35"/>
  <c r="AC88" i="35"/>
  <c r="AD87" i="35"/>
  <c r="AC87" i="35"/>
  <c r="AH101" i="35"/>
  <c r="AH100" i="35"/>
  <c r="AH99" i="35"/>
  <c r="AH98" i="35"/>
  <c r="AH97" i="35"/>
  <c r="AH96" i="35"/>
  <c r="AH95" i="35"/>
  <c r="AH94" i="35"/>
  <c r="AH93" i="35"/>
  <c r="AH92" i="35"/>
  <c r="AH91" i="35"/>
  <c r="AH90" i="35"/>
  <c r="AH89" i="35"/>
  <c r="AH88" i="35"/>
  <c r="AI87" i="35"/>
  <c r="AH87" i="35"/>
  <c r="AM101" i="35"/>
  <c r="AM100" i="35"/>
  <c r="AM99" i="35"/>
  <c r="AM98" i="35"/>
  <c r="AM97" i="35"/>
  <c r="AM96" i="35"/>
  <c r="AM95" i="35"/>
  <c r="AM94" i="35"/>
  <c r="AM93" i="35"/>
  <c r="AM92" i="35"/>
  <c r="AM91" i="35"/>
  <c r="AM90" i="35"/>
  <c r="AM89" i="35"/>
  <c r="AM88" i="35"/>
  <c r="AN87" i="35"/>
  <c r="AM87" i="35"/>
  <c r="AR101" i="35"/>
  <c r="AR100" i="35"/>
  <c r="AR99" i="35"/>
  <c r="AR98" i="35"/>
  <c r="AR97" i="35"/>
  <c r="AR96" i="35"/>
  <c r="AR95" i="35"/>
  <c r="AR94" i="35"/>
  <c r="AR93" i="35"/>
  <c r="AR92" i="35"/>
  <c r="AR91" i="35"/>
  <c r="AR90" i="35"/>
  <c r="AR89" i="35"/>
  <c r="AR88" i="35"/>
  <c r="AS87" i="35"/>
  <c r="AR87" i="35"/>
  <c r="AW101" i="35"/>
  <c r="AW100" i="35"/>
  <c r="AW99" i="35"/>
  <c r="AW98" i="35"/>
  <c r="AW97" i="35"/>
  <c r="AW96" i="35"/>
  <c r="AW95" i="35"/>
  <c r="AW94" i="35"/>
  <c r="AW93" i="35"/>
  <c r="AW92" i="35"/>
  <c r="AW91" i="35"/>
  <c r="AW90" i="35"/>
  <c r="AW89" i="35"/>
  <c r="AW88" i="35"/>
  <c r="AX87" i="35"/>
  <c r="AW87" i="35"/>
  <c r="S101" i="34"/>
  <c r="S100" i="34"/>
  <c r="S99" i="34"/>
  <c r="S98" i="34"/>
  <c r="S97" i="34"/>
  <c r="S96" i="34"/>
  <c r="S95" i="34"/>
  <c r="S94" i="34"/>
  <c r="S93" i="34"/>
  <c r="S92" i="34"/>
  <c r="S91" i="34"/>
  <c r="S90" i="34"/>
  <c r="S89" i="34"/>
  <c r="S88" i="34"/>
  <c r="T87" i="34"/>
  <c r="S87" i="34"/>
  <c r="X101" i="34"/>
  <c r="X100" i="34"/>
  <c r="X99" i="34"/>
  <c r="X98" i="34"/>
  <c r="X97" i="34"/>
  <c r="X96" i="34"/>
  <c r="X95" i="34"/>
  <c r="X94" i="34"/>
  <c r="X93" i="34"/>
  <c r="X92" i="34"/>
  <c r="X91" i="34"/>
  <c r="X90" i="34"/>
  <c r="X89" i="34"/>
  <c r="X88" i="34"/>
  <c r="Y87" i="34"/>
  <c r="X87" i="34"/>
  <c r="AC101" i="34"/>
  <c r="AC100" i="34"/>
  <c r="AC99" i="34"/>
  <c r="AC98" i="34"/>
  <c r="AC97" i="34"/>
  <c r="AC96" i="34"/>
  <c r="AC95" i="34"/>
  <c r="AC94" i="34"/>
  <c r="AC93" i="34"/>
  <c r="AC92" i="34"/>
  <c r="AC91" i="34"/>
  <c r="AC90" i="34"/>
  <c r="AC89" i="34"/>
  <c r="AC88" i="34"/>
  <c r="AD87" i="34"/>
  <c r="AC87" i="34"/>
  <c r="AH101" i="34"/>
  <c r="AH100" i="34"/>
  <c r="AH99" i="34"/>
  <c r="AH98" i="34"/>
  <c r="AH97" i="34"/>
  <c r="AH96" i="34"/>
  <c r="AH95" i="34"/>
  <c r="AH94" i="34"/>
  <c r="AH93" i="34"/>
  <c r="AH92" i="34"/>
  <c r="AH91" i="34"/>
  <c r="AH90" i="34"/>
  <c r="AH89" i="34"/>
  <c r="AH88" i="34"/>
  <c r="AI87" i="34"/>
  <c r="AH87" i="34"/>
  <c r="AM101" i="34"/>
  <c r="AM100" i="34"/>
  <c r="AM99" i="34"/>
  <c r="AM98" i="34"/>
  <c r="AM97" i="34"/>
  <c r="AM96" i="34"/>
  <c r="AM95" i="34"/>
  <c r="AM94" i="34"/>
  <c r="AM93" i="34"/>
  <c r="AM92" i="34"/>
  <c r="AM91" i="34"/>
  <c r="AM90" i="34"/>
  <c r="AM89" i="34"/>
  <c r="AM88" i="34"/>
  <c r="AN87" i="34"/>
  <c r="AM87" i="34"/>
  <c r="AR101" i="34"/>
  <c r="AR100" i="34"/>
  <c r="AR99" i="34"/>
  <c r="AR98" i="34"/>
  <c r="AR97" i="34"/>
  <c r="AR96" i="34"/>
  <c r="AR95" i="34"/>
  <c r="AR94" i="34"/>
  <c r="AR93" i="34"/>
  <c r="AR92" i="34"/>
  <c r="AR91" i="34"/>
  <c r="AR90" i="34"/>
  <c r="AR89" i="34"/>
  <c r="AR88" i="34"/>
  <c r="AS87" i="34"/>
  <c r="AR87" i="34"/>
  <c r="AW101" i="34"/>
  <c r="AW100" i="34"/>
  <c r="AW99" i="34"/>
  <c r="AW98" i="34"/>
  <c r="AW97" i="34"/>
  <c r="AW96" i="34"/>
  <c r="AW95" i="34"/>
  <c r="AW94" i="34"/>
  <c r="AW93" i="34"/>
  <c r="AW92" i="34"/>
  <c r="AW91" i="34"/>
  <c r="AW90" i="34"/>
  <c r="AW89" i="34"/>
  <c r="AW88" i="34"/>
  <c r="AX87" i="34"/>
  <c r="AW87" i="34"/>
  <c r="S176" i="33"/>
  <c r="S175" i="33"/>
  <c r="S174" i="33"/>
  <c r="S173" i="33"/>
  <c r="S172" i="33"/>
  <c r="S171" i="33"/>
  <c r="S170" i="33"/>
  <c r="S169" i="33"/>
  <c r="S168" i="33"/>
  <c r="S167" i="33"/>
  <c r="S166" i="33"/>
  <c r="S165" i="33"/>
  <c r="S164" i="33"/>
  <c r="S163" i="33"/>
  <c r="S162" i="33"/>
  <c r="S161" i="33"/>
  <c r="S160" i="33"/>
  <c r="S159" i="33"/>
  <c r="S158" i="33"/>
  <c r="S157" i="33"/>
  <c r="S156" i="33"/>
  <c r="S155" i="33"/>
  <c r="S154" i="33"/>
  <c r="S153" i="33"/>
  <c r="S152" i="33"/>
  <c r="S151" i="33"/>
  <c r="S150" i="33"/>
  <c r="S149" i="33"/>
  <c r="S148" i="33"/>
  <c r="T147" i="33"/>
  <c r="S147" i="33"/>
  <c r="X176" i="33"/>
  <c r="X175" i="33"/>
  <c r="X174" i="33"/>
  <c r="X173" i="33"/>
  <c r="X172" i="33"/>
  <c r="X171" i="33"/>
  <c r="X170" i="33"/>
  <c r="X169" i="33"/>
  <c r="X168" i="33"/>
  <c r="X167" i="33"/>
  <c r="X166" i="33"/>
  <c r="X165" i="33"/>
  <c r="X164" i="33"/>
  <c r="X163" i="33"/>
  <c r="X162" i="33"/>
  <c r="X161" i="33"/>
  <c r="X160" i="33"/>
  <c r="X159" i="33"/>
  <c r="X158" i="33"/>
  <c r="X157" i="33"/>
  <c r="X156" i="33"/>
  <c r="X155" i="33"/>
  <c r="X154" i="33"/>
  <c r="X153" i="33"/>
  <c r="X152" i="33"/>
  <c r="X151" i="33"/>
  <c r="X150" i="33"/>
  <c r="X149" i="33"/>
  <c r="X148" i="33"/>
  <c r="Y147" i="33"/>
  <c r="X147" i="33"/>
  <c r="AC176" i="33"/>
  <c r="AC175" i="33"/>
  <c r="AC174" i="33"/>
  <c r="AC173" i="33"/>
  <c r="AC172" i="33"/>
  <c r="AC171" i="33"/>
  <c r="AC170" i="33"/>
  <c r="AC169" i="33"/>
  <c r="AC168" i="33"/>
  <c r="AC167" i="33"/>
  <c r="AC166" i="33"/>
  <c r="AC165" i="33"/>
  <c r="AC164" i="33"/>
  <c r="AC163" i="33"/>
  <c r="AC162" i="33"/>
  <c r="AC161" i="33"/>
  <c r="AC160" i="33"/>
  <c r="AC159" i="33"/>
  <c r="AC158" i="33"/>
  <c r="AC157" i="33"/>
  <c r="AC156" i="33"/>
  <c r="AC155" i="33"/>
  <c r="AC154" i="33"/>
  <c r="AC153" i="33"/>
  <c r="AC152" i="33"/>
  <c r="AC151" i="33"/>
  <c r="AC150" i="33"/>
  <c r="AC149" i="33"/>
  <c r="AC148" i="33"/>
  <c r="AD147" i="33"/>
  <c r="AC147" i="33"/>
  <c r="AH176" i="33"/>
  <c r="AH175" i="33"/>
  <c r="AH174" i="33"/>
  <c r="AH173" i="33"/>
  <c r="AH172" i="33"/>
  <c r="AH171" i="33"/>
  <c r="AH170" i="33"/>
  <c r="AH169" i="33"/>
  <c r="AH168" i="33"/>
  <c r="AH167" i="33"/>
  <c r="AH166" i="33"/>
  <c r="AH165" i="33"/>
  <c r="AH164" i="33"/>
  <c r="AH163" i="33"/>
  <c r="AH162" i="33"/>
  <c r="AH161" i="33"/>
  <c r="AH160" i="33"/>
  <c r="AH159" i="33"/>
  <c r="AH158" i="33"/>
  <c r="AH157" i="33"/>
  <c r="AH156" i="33"/>
  <c r="AH155" i="33"/>
  <c r="AH154" i="33"/>
  <c r="AH153" i="33"/>
  <c r="AH152" i="33"/>
  <c r="AH151" i="33"/>
  <c r="AH150" i="33"/>
  <c r="AH149" i="33"/>
  <c r="AH148" i="33"/>
  <c r="AI147" i="33"/>
  <c r="AH147" i="33"/>
  <c r="AM176" i="33"/>
  <c r="AM175" i="33"/>
  <c r="AM174" i="33"/>
  <c r="AM173" i="33"/>
  <c r="AM172" i="33"/>
  <c r="AM171" i="33"/>
  <c r="AM170" i="33"/>
  <c r="AM169" i="33"/>
  <c r="AM168" i="33"/>
  <c r="AM167" i="33"/>
  <c r="AM166" i="33"/>
  <c r="AM165" i="33"/>
  <c r="AM164" i="33"/>
  <c r="AM163" i="33"/>
  <c r="AM162" i="33"/>
  <c r="AM161" i="33"/>
  <c r="AM160" i="33"/>
  <c r="AM159" i="33"/>
  <c r="AM158" i="33"/>
  <c r="AM157" i="33"/>
  <c r="AM156" i="33"/>
  <c r="AM155" i="33"/>
  <c r="AM154" i="33"/>
  <c r="AM153" i="33"/>
  <c r="AM152" i="33"/>
  <c r="AM151" i="33"/>
  <c r="AM150" i="33"/>
  <c r="AM149" i="33"/>
  <c r="AM148" i="33"/>
  <c r="AN147" i="33"/>
  <c r="AM147" i="33"/>
  <c r="AR176" i="33"/>
  <c r="AR175" i="33"/>
  <c r="AR174" i="33"/>
  <c r="AR173" i="33"/>
  <c r="AR172" i="33"/>
  <c r="AR171" i="33"/>
  <c r="AR170" i="33"/>
  <c r="AR169" i="33"/>
  <c r="AR168" i="33"/>
  <c r="AR167" i="33"/>
  <c r="AR166" i="33"/>
  <c r="AR165" i="33"/>
  <c r="AR164" i="33"/>
  <c r="AR163" i="33"/>
  <c r="AR162" i="33"/>
  <c r="AR161" i="33"/>
  <c r="AR160" i="33"/>
  <c r="AR159" i="33"/>
  <c r="AR158" i="33"/>
  <c r="AR157" i="33"/>
  <c r="AR156" i="33"/>
  <c r="AR155" i="33"/>
  <c r="AR154" i="33"/>
  <c r="AR153" i="33"/>
  <c r="AR152" i="33"/>
  <c r="AR151" i="33"/>
  <c r="AR150" i="33"/>
  <c r="AR149" i="33"/>
  <c r="AR148" i="33"/>
  <c r="AS147" i="33"/>
  <c r="AR147" i="33"/>
  <c r="AW176" i="33"/>
  <c r="AW175" i="33"/>
  <c r="AW174" i="33"/>
  <c r="AW173" i="33"/>
  <c r="AW172" i="33"/>
  <c r="AW171" i="33"/>
  <c r="AW170" i="33"/>
  <c r="AW169" i="33"/>
  <c r="AW168" i="33"/>
  <c r="AW167" i="33"/>
  <c r="AW166" i="33"/>
  <c r="AW165" i="33"/>
  <c r="AW164" i="33"/>
  <c r="AW163" i="33"/>
  <c r="AW162" i="33"/>
  <c r="AW161" i="33"/>
  <c r="AW160" i="33"/>
  <c r="AW159" i="33"/>
  <c r="AW158" i="33"/>
  <c r="AW157" i="33"/>
  <c r="AW156" i="33"/>
  <c r="AW155" i="33"/>
  <c r="AW154" i="33"/>
  <c r="AW153" i="33"/>
  <c r="AW152" i="33"/>
  <c r="AW151" i="33"/>
  <c r="AW150" i="33"/>
  <c r="AW149" i="33"/>
  <c r="AW148" i="33"/>
  <c r="AX147" i="33"/>
  <c r="AW147" i="33"/>
  <c r="S101" i="32" l="1"/>
  <c r="S100" i="32"/>
  <c r="S99" i="32"/>
  <c r="S98" i="32"/>
  <c r="S97" i="32"/>
  <c r="S96" i="32"/>
  <c r="S95" i="32"/>
  <c r="S94" i="32"/>
  <c r="S93" i="32"/>
  <c r="S92" i="32"/>
  <c r="S91" i="32"/>
  <c r="S90" i="32"/>
  <c r="S89" i="32"/>
  <c r="S88" i="32"/>
  <c r="T87" i="32"/>
  <c r="S87" i="32"/>
  <c r="X101" i="32"/>
  <c r="X100" i="32"/>
  <c r="X99" i="32"/>
  <c r="X98" i="32"/>
  <c r="X97" i="32"/>
  <c r="X96" i="32"/>
  <c r="X95" i="32"/>
  <c r="X94" i="32"/>
  <c r="X93" i="32"/>
  <c r="X92" i="32"/>
  <c r="X91" i="32"/>
  <c r="X90" i="32"/>
  <c r="X89" i="32"/>
  <c r="X88" i="32"/>
  <c r="Y87" i="32"/>
  <c r="X87" i="32"/>
  <c r="AC101" i="32"/>
  <c r="AC100" i="32"/>
  <c r="AC99" i="32"/>
  <c r="AC98" i="32"/>
  <c r="AC97" i="32"/>
  <c r="AC96" i="32"/>
  <c r="AC95" i="32"/>
  <c r="AC94" i="32"/>
  <c r="AC93" i="32"/>
  <c r="AC92" i="32"/>
  <c r="AC91" i="32"/>
  <c r="AC90" i="32"/>
  <c r="AC89" i="32"/>
  <c r="AC88" i="32"/>
  <c r="AD87" i="32"/>
  <c r="AC87" i="32"/>
  <c r="AH101" i="32"/>
  <c r="AH100" i="32"/>
  <c r="AH99" i="32"/>
  <c r="AH98" i="32"/>
  <c r="AH97" i="32"/>
  <c r="AH96" i="32"/>
  <c r="AH95" i="32"/>
  <c r="AH94" i="32"/>
  <c r="AH93" i="32"/>
  <c r="AH92" i="32"/>
  <c r="AH91" i="32"/>
  <c r="AH90" i="32"/>
  <c r="AH89" i="32"/>
  <c r="AH88" i="32"/>
  <c r="AI87" i="32"/>
  <c r="AH87" i="32"/>
  <c r="AM101" i="32"/>
  <c r="AM100" i="32"/>
  <c r="AM99" i="32"/>
  <c r="AM98" i="32"/>
  <c r="AM97" i="32"/>
  <c r="AM96" i="32"/>
  <c r="AM95" i="32"/>
  <c r="AM94" i="32"/>
  <c r="AM93" i="32"/>
  <c r="AM92" i="32"/>
  <c r="AM91" i="32"/>
  <c r="AM90" i="32"/>
  <c r="AM89" i="32"/>
  <c r="AM88" i="32"/>
  <c r="AN87" i="32"/>
  <c r="AM87" i="32"/>
  <c r="AR101" i="32"/>
  <c r="AR100" i="32"/>
  <c r="AR99" i="32"/>
  <c r="AR98" i="32"/>
  <c r="AR97" i="32"/>
  <c r="AR96" i="32"/>
  <c r="AR95" i="32"/>
  <c r="AR94" i="32"/>
  <c r="AR93" i="32"/>
  <c r="AR92" i="32"/>
  <c r="AR91" i="32"/>
  <c r="AR90" i="32"/>
  <c r="AR89" i="32"/>
  <c r="AR88" i="32"/>
  <c r="AS87" i="32"/>
  <c r="AR87" i="32"/>
  <c r="AW101" i="32"/>
  <c r="AW100" i="32"/>
  <c r="AW99" i="32"/>
  <c r="AW98" i="32"/>
  <c r="AW97" i="32"/>
  <c r="AW96" i="32"/>
  <c r="AW95" i="32"/>
  <c r="AW94" i="32"/>
  <c r="AW93" i="32"/>
  <c r="AW92" i="32"/>
  <c r="AW91" i="32"/>
  <c r="AW90" i="32"/>
  <c r="AW89" i="32"/>
  <c r="AW88" i="32"/>
  <c r="AX87" i="32"/>
  <c r="AW87" i="32"/>
  <c r="S101" i="30"/>
  <c r="S100" i="30"/>
  <c r="S99" i="30"/>
  <c r="S98" i="30"/>
  <c r="S97" i="30"/>
  <c r="S96" i="30"/>
  <c r="S95" i="30"/>
  <c r="S94" i="30"/>
  <c r="S93" i="30"/>
  <c r="S92" i="30"/>
  <c r="S91" i="30"/>
  <c r="S90" i="30"/>
  <c r="S89" i="30"/>
  <c r="S88" i="30"/>
  <c r="T87" i="30"/>
  <c r="S87" i="30"/>
  <c r="X101" i="30"/>
  <c r="X100" i="30"/>
  <c r="X99" i="30"/>
  <c r="X98" i="30"/>
  <c r="X97" i="30"/>
  <c r="X96" i="30"/>
  <c r="X95" i="30"/>
  <c r="X94" i="30"/>
  <c r="X93" i="30"/>
  <c r="X92" i="30"/>
  <c r="X91" i="30"/>
  <c r="X90" i="30"/>
  <c r="X89" i="30"/>
  <c r="X88" i="30"/>
  <c r="Y87" i="30"/>
  <c r="X87" i="30"/>
  <c r="AC101" i="30"/>
  <c r="AC100" i="30"/>
  <c r="AC99" i="30"/>
  <c r="AC98" i="30"/>
  <c r="AC97" i="30"/>
  <c r="AC96" i="30"/>
  <c r="AC95" i="30"/>
  <c r="AC94" i="30"/>
  <c r="AC93" i="30"/>
  <c r="AC92" i="30"/>
  <c r="AC91" i="30"/>
  <c r="AC90" i="30"/>
  <c r="AC89" i="30"/>
  <c r="AC88" i="30"/>
  <c r="AD87" i="30"/>
  <c r="AC87" i="30"/>
  <c r="AH101" i="30"/>
  <c r="AH100" i="30"/>
  <c r="AH99" i="30"/>
  <c r="AH98" i="30"/>
  <c r="AH97" i="30"/>
  <c r="AH96" i="30"/>
  <c r="AH95" i="30"/>
  <c r="AH94" i="30"/>
  <c r="AH93" i="30"/>
  <c r="AH92" i="30"/>
  <c r="AH91" i="30"/>
  <c r="AH90" i="30"/>
  <c r="AH89" i="30"/>
  <c r="AH88" i="30"/>
  <c r="AI87" i="30"/>
  <c r="AH87" i="30"/>
  <c r="AM101" i="30"/>
  <c r="AM100" i="30"/>
  <c r="AM99" i="30"/>
  <c r="AM98" i="30"/>
  <c r="AM97" i="30"/>
  <c r="AM96" i="30"/>
  <c r="AM95" i="30"/>
  <c r="AM94" i="30"/>
  <c r="AM93" i="30"/>
  <c r="AM92" i="30"/>
  <c r="AM91" i="30"/>
  <c r="AM90" i="30"/>
  <c r="AM89" i="30"/>
  <c r="AM88" i="30"/>
  <c r="AN87" i="30"/>
  <c r="AM87" i="30"/>
  <c r="AR101" i="30"/>
  <c r="AR100" i="30"/>
  <c r="AR99" i="30"/>
  <c r="AR98" i="30"/>
  <c r="AR97" i="30"/>
  <c r="AR96" i="30"/>
  <c r="AR95" i="30"/>
  <c r="AR94" i="30"/>
  <c r="AR93" i="30"/>
  <c r="AR92" i="30"/>
  <c r="AR91" i="30"/>
  <c r="AR90" i="30"/>
  <c r="AR89" i="30"/>
  <c r="AR88" i="30"/>
  <c r="AS87" i="30"/>
  <c r="AR87" i="30"/>
  <c r="AW101" i="30"/>
  <c r="AW100" i="30"/>
  <c r="AW99" i="30"/>
  <c r="AW98" i="30"/>
  <c r="AW97" i="30"/>
  <c r="AW96" i="30"/>
  <c r="AW95" i="30"/>
  <c r="AW94" i="30"/>
  <c r="AW93" i="30"/>
  <c r="AW92" i="30"/>
  <c r="AW91" i="30"/>
  <c r="AW90" i="30"/>
  <c r="AW89" i="30"/>
  <c r="AW88" i="30"/>
  <c r="AX87" i="30"/>
  <c r="AW87" i="30"/>
  <c r="S176" i="8"/>
  <c r="S175" i="8"/>
  <c r="S174" i="8"/>
  <c r="S173" i="8"/>
  <c r="S172" i="8"/>
  <c r="S171" i="8"/>
  <c r="S170" i="8"/>
  <c r="S169" i="8"/>
  <c r="S168" i="8"/>
  <c r="S167" i="8"/>
  <c r="S166" i="8"/>
  <c r="S165" i="8"/>
  <c r="S164" i="8"/>
  <c r="S163" i="8"/>
  <c r="S162" i="8"/>
  <c r="S161" i="8"/>
  <c r="S160" i="8"/>
  <c r="S159" i="8"/>
  <c r="S158" i="8"/>
  <c r="S157" i="8"/>
  <c r="S156" i="8"/>
  <c r="S155" i="8"/>
  <c r="S154" i="8"/>
  <c r="S153" i="8"/>
  <c r="S152" i="8"/>
  <c r="S151" i="8"/>
  <c r="S150" i="8"/>
  <c r="S149" i="8"/>
  <c r="S148" i="8"/>
  <c r="T147" i="8"/>
  <c r="S147" i="8"/>
  <c r="X176" i="8"/>
  <c r="X175" i="8"/>
  <c r="X174" i="8"/>
  <c r="X173" i="8"/>
  <c r="X172" i="8"/>
  <c r="X171" i="8"/>
  <c r="X170" i="8"/>
  <c r="X169" i="8"/>
  <c r="X168" i="8"/>
  <c r="X167" i="8"/>
  <c r="X166" i="8"/>
  <c r="X165" i="8"/>
  <c r="X164" i="8"/>
  <c r="X163" i="8"/>
  <c r="X162" i="8"/>
  <c r="X161" i="8"/>
  <c r="X160" i="8"/>
  <c r="X159" i="8"/>
  <c r="X158" i="8"/>
  <c r="X157" i="8"/>
  <c r="X156" i="8"/>
  <c r="X155" i="8"/>
  <c r="X154" i="8"/>
  <c r="X153" i="8"/>
  <c r="X152" i="8"/>
  <c r="X151" i="8"/>
  <c r="X150" i="8"/>
  <c r="X149" i="8"/>
  <c r="X148" i="8"/>
  <c r="Y147" i="8"/>
  <c r="X147" i="8"/>
  <c r="AC176" i="8"/>
  <c r="AC175" i="8"/>
  <c r="AC174" i="8"/>
  <c r="AC173" i="8"/>
  <c r="AC172" i="8"/>
  <c r="AC171" i="8"/>
  <c r="AC170" i="8"/>
  <c r="AC169" i="8"/>
  <c r="AC168" i="8"/>
  <c r="AC167" i="8"/>
  <c r="AC166" i="8"/>
  <c r="AC165" i="8"/>
  <c r="AC164" i="8"/>
  <c r="AC163" i="8"/>
  <c r="AC162" i="8"/>
  <c r="AC161" i="8"/>
  <c r="AC160" i="8"/>
  <c r="AC159" i="8"/>
  <c r="AC158" i="8"/>
  <c r="AC157" i="8"/>
  <c r="AC156" i="8"/>
  <c r="AC155" i="8"/>
  <c r="AC154" i="8"/>
  <c r="AC153" i="8"/>
  <c r="AC152" i="8"/>
  <c r="AC151" i="8"/>
  <c r="AC150" i="8"/>
  <c r="AC149" i="8"/>
  <c r="AC148" i="8"/>
  <c r="AD147" i="8"/>
  <c r="AC147" i="8"/>
  <c r="AH176" i="8"/>
  <c r="AH175" i="8"/>
  <c r="AH174" i="8"/>
  <c r="AH173" i="8"/>
  <c r="AH172" i="8"/>
  <c r="AH171" i="8"/>
  <c r="AH170" i="8"/>
  <c r="AH169" i="8"/>
  <c r="AH168" i="8"/>
  <c r="AH167" i="8"/>
  <c r="AH166" i="8"/>
  <c r="AH165" i="8"/>
  <c r="AH164" i="8"/>
  <c r="AH163" i="8"/>
  <c r="AH162" i="8"/>
  <c r="AH161" i="8"/>
  <c r="AH160" i="8"/>
  <c r="AH159" i="8"/>
  <c r="AH158" i="8"/>
  <c r="AH157" i="8"/>
  <c r="AH156" i="8"/>
  <c r="AH155" i="8"/>
  <c r="AH154" i="8"/>
  <c r="AH153" i="8"/>
  <c r="AH152" i="8"/>
  <c r="AH151" i="8"/>
  <c r="AH150" i="8"/>
  <c r="AH149" i="8"/>
  <c r="AH148" i="8"/>
  <c r="AI147" i="8"/>
  <c r="AH147" i="8"/>
  <c r="AM176" i="8"/>
  <c r="AM175" i="8"/>
  <c r="AM174" i="8"/>
  <c r="AM173" i="8"/>
  <c r="AM172" i="8"/>
  <c r="AM171" i="8"/>
  <c r="AM170" i="8"/>
  <c r="AM169" i="8"/>
  <c r="AM168" i="8"/>
  <c r="AM167" i="8"/>
  <c r="AM166" i="8"/>
  <c r="AM165" i="8"/>
  <c r="AM164" i="8"/>
  <c r="AM163" i="8"/>
  <c r="AM162" i="8"/>
  <c r="AM161" i="8"/>
  <c r="AM160" i="8"/>
  <c r="AM159" i="8"/>
  <c r="AM158" i="8"/>
  <c r="AM157" i="8"/>
  <c r="AM156" i="8"/>
  <c r="AM155" i="8"/>
  <c r="AM154" i="8"/>
  <c r="AM153" i="8"/>
  <c r="AM152" i="8"/>
  <c r="AM151" i="8"/>
  <c r="AM150" i="8"/>
  <c r="AM149" i="8"/>
  <c r="AM148" i="8"/>
  <c r="AN147" i="8"/>
  <c r="AM147" i="8"/>
  <c r="AR176" i="8"/>
  <c r="AR175" i="8"/>
  <c r="AR174" i="8"/>
  <c r="AR173" i="8"/>
  <c r="AR172" i="8"/>
  <c r="AR171" i="8"/>
  <c r="AR170" i="8"/>
  <c r="AR169" i="8"/>
  <c r="AR168" i="8"/>
  <c r="AR167" i="8"/>
  <c r="AR166" i="8"/>
  <c r="AR165" i="8"/>
  <c r="AR164" i="8"/>
  <c r="AR163" i="8"/>
  <c r="AR162" i="8"/>
  <c r="AR161" i="8"/>
  <c r="AR160" i="8"/>
  <c r="AR159" i="8"/>
  <c r="AR158" i="8"/>
  <c r="AR157" i="8"/>
  <c r="AR156" i="8"/>
  <c r="AR155" i="8"/>
  <c r="AR154" i="8"/>
  <c r="AR153" i="8"/>
  <c r="AR152" i="8"/>
  <c r="AR151" i="8"/>
  <c r="AR150" i="8"/>
  <c r="AR149" i="8"/>
  <c r="AR148" i="8"/>
  <c r="AS147" i="8"/>
  <c r="AR147" i="8"/>
  <c r="AW176" i="8"/>
  <c r="AW175" i="8"/>
  <c r="AW174" i="8"/>
  <c r="AW173" i="8"/>
  <c r="AW172" i="8"/>
  <c r="AW171" i="8"/>
  <c r="AW170" i="8"/>
  <c r="AW169" i="8"/>
  <c r="AW168" i="8"/>
  <c r="AW167" i="8"/>
  <c r="AW166" i="8"/>
  <c r="AW165" i="8"/>
  <c r="AW164" i="8"/>
  <c r="AW163" i="8"/>
  <c r="AW162" i="8"/>
  <c r="AW161" i="8"/>
  <c r="AW160" i="8"/>
  <c r="AW159" i="8"/>
  <c r="AW158" i="8"/>
  <c r="AW157" i="8"/>
  <c r="AW156" i="8"/>
  <c r="AW155" i="8"/>
  <c r="AW154" i="8"/>
  <c r="AW153" i="8"/>
  <c r="AW152" i="8"/>
  <c r="AW151" i="8"/>
  <c r="AW150" i="8"/>
  <c r="AW149" i="8"/>
  <c r="AW148" i="8"/>
  <c r="AX147" i="8"/>
  <c r="AW147" i="8"/>
  <c r="H23" i="39" l="1"/>
  <c r="H22" i="39"/>
  <c r="H21" i="39"/>
  <c r="H20" i="39"/>
  <c r="H19" i="39"/>
  <c r="H18" i="39"/>
  <c r="H17" i="39"/>
  <c r="H16" i="39"/>
  <c r="H15" i="39"/>
  <c r="B23" i="39"/>
  <c r="B22" i="39"/>
  <c r="B21" i="39"/>
  <c r="B20" i="39"/>
  <c r="B19" i="39"/>
  <c r="B18" i="39"/>
  <c r="B17" i="39"/>
  <c r="B16" i="39"/>
  <c r="B15" i="39"/>
  <c r="S81" i="37" l="1"/>
  <c r="S80" i="37"/>
  <c r="S79" i="37"/>
  <c r="S78" i="37"/>
  <c r="S77" i="37"/>
  <c r="S76" i="37"/>
  <c r="S75" i="37"/>
  <c r="S74" i="37"/>
  <c r="S73" i="37"/>
  <c r="S72" i="37"/>
  <c r="S71" i="37"/>
  <c r="S70" i="37"/>
  <c r="S69" i="37"/>
  <c r="S68" i="37"/>
  <c r="T67" i="37"/>
  <c r="S67" i="37"/>
  <c r="X81" i="37"/>
  <c r="X80" i="37"/>
  <c r="X79" i="37"/>
  <c r="X78" i="37"/>
  <c r="X77" i="37"/>
  <c r="X76" i="37"/>
  <c r="X75" i="37"/>
  <c r="X74" i="37"/>
  <c r="X73" i="37"/>
  <c r="X72" i="37"/>
  <c r="X71" i="37"/>
  <c r="X70" i="37"/>
  <c r="X69" i="37"/>
  <c r="X68" i="37"/>
  <c r="Y67" i="37"/>
  <c r="X67" i="37"/>
  <c r="AC81" i="37"/>
  <c r="AC80" i="37"/>
  <c r="AC79" i="37"/>
  <c r="AC78" i="37"/>
  <c r="AC77" i="37"/>
  <c r="AC76" i="37"/>
  <c r="AC75" i="37"/>
  <c r="AC74" i="37"/>
  <c r="AC73" i="37"/>
  <c r="AC72" i="37"/>
  <c r="AC71" i="37"/>
  <c r="AC70" i="37"/>
  <c r="AC69" i="37"/>
  <c r="AC68" i="37"/>
  <c r="AD67" i="37"/>
  <c r="AC67" i="37"/>
  <c r="AH81" i="37"/>
  <c r="AH80" i="37"/>
  <c r="AH79" i="37"/>
  <c r="AH78" i="37"/>
  <c r="AH77" i="37"/>
  <c r="AH76" i="37"/>
  <c r="AH75" i="37"/>
  <c r="AH74" i="37"/>
  <c r="AH73" i="37"/>
  <c r="AH72" i="37"/>
  <c r="AH71" i="37"/>
  <c r="AH70" i="37"/>
  <c r="AH69" i="37"/>
  <c r="AH68" i="37"/>
  <c r="AI67" i="37"/>
  <c r="AH67" i="37"/>
  <c r="AM81" i="37"/>
  <c r="AM80" i="37"/>
  <c r="AM79" i="37"/>
  <c r="AM78" i="37"/>
  <c r="AM77" i="37"/>
  <c r="AM76" i="37"/>
  <c r="AM75" i="37"/>
  <c r="AM74" i="37"/>
  <c r="AM73" i="37"/>
  <c r="AM72" i="37"/>
  <c r="AM71" i="37"/>
  <c r="AM70" i="37"/>
  <c r="AM69" i="37"/>
  <c r="AM68" i="37"/>
  <c r="AN67" i="37"/>
  <c r="AM67" i="37"/>
  <c r="AR81" i="37"/>
  <c r="AR80" i="37"/>
  <c r="AR79" i="37"/>
  <c r="AR78" i="37"/>
  <c r="AR77" i="37"/>
  <c r="AR76" i="37"/>
  <c r="AR75" i="37"/>
  <c r="AR74" i="37"/>
  <c r="AR73" i="37"/>
  <c r="AR72" i="37"/>
  <c r="AR71" i="37"/>
  <c r="AR70" i="37"/>
  <c r="AR69" i="37"/>
  <c r="AR68" i="37"/>
  <c r="AS67" i="37"/>
  <c r="AR67" i="37"/>
  <c r="AW81" i="37"/>
  <c r="AW80" i="37"/>
  <c r="AW79" i="37"/>
  <c r="AW78" i="37"/>
  <c r="AW77" i="37"/>
  <c r="AW76" i="37"/>
  <c r="AW75" i="37"/>
  <c r="AW74" i="37"/>
  <c r="AW73" i="37"/>
  <c r="AW72" i="37"/>
  <c r="AW71" i="37"/>
  <c r="AW70" i="37"/>
  <c r="AW69" i="37"/>
  <c r="AW68" i="37"/>
  <c r="AX67" i="37"/>
  <c r="AW67" i="37"/>
  <c r="AW81" i="36"/>
  <c r="AW80" i="36"/>
  <c r="AW79" i="36"/>
  <c r="AW78" i="36"/>
  <c r="AW77" i="36"/>
  <c r="AW76" i="36"/>
  <c r="AW75" i="36"/>
  <c r="AW74" i="36"/>
  <c r="AW73" i="36"/>
  <c r="AW72" i="36"/>
  <c r="AW71" i="36"/>
  <c r="AW70" i="36"/>
  <c r="AW69" i="36"/>
  <c r="AW68" i="36"/>
  <c r="AX67" i="36"/>
  <c r="AW67" i="36"/>
  <c r="AR81" i="36"/>
  <c r="AR80" i="36"/>
  <c r="AR79" i="36"/>
  <c r="AR78" i="36"/>
  <c r="AR77" i="36"/>
  <c r="AR76" i="36"/>
  <c r="AR75" i="36"/>
  <c r="AR74" i="36"/>
  <c r="AR73" i="36"/>
  <c r="AR72" i="36"/>
  <c r="AR71" i="36"/>
  <c r="AR70" i="36"/>
  <c r="AR69" i="36"/>
  <c r="AR68" i="36"/>
  <c r="AS67" i="36"/>
  <c r="AR67" i="36"/>
  <c r="AM81" i="36"/>
  <c r="AM80" i="36"/>
  <c r="AM79" i="36"/>
  <c r="AM78" i="36"/>
  <c r="AM77" i="36"/>
  <c r="AM76" i="36"/>
  <c r="AM75" i="36"/>
  <c r="AM74" i="36"/>
  <c r="AM73" i="36"/>
  <c r="AM72" i="36"/>
  <c r="AM71" i="36"/>
  <c r="AM70" i="36"/>
  <c r="AM69" i="36"/>
  <c r="AM68" i="36"/>
  <c r="AN67" i="36"/>
  <c r="AM67" i="36"/>
  <c r="AH81" i="36"/>
  <c r="AH80" i="36"/>
  <c r="AH79" i="36"/>
  <c r="AH78" i="36"/>
  <c r="AH77" i="36"/>
  <c r="AH76" i="36"/>
  <c r="AH75" i="36"/>
  <c r="AH74" i="36"/>
  <c r="AH73" i="36"/>
  <c r="AH72" i="36"/>
  <c r="AH71" i="36"/>
  <c r="AH70" i="36"/>
  <c r="AH69" i="36"/>
  <c r="AH68" i="36"/>
  <c r="AI67" i="36"/>
  <c r="AH67" i="36"/>
  <c r="AC81" i="36"/>
  <c r="AC80" i="36"/>
  <c r="AC79" i="36"/>
  <c r="AC78" i="36"/>
  <c r="AC77" i="36"/>
  <c r="AC76" i="36"/>
  <c r="AC75" i="36"/>
  <c r="AC74" i="36"/>
  <c r="AC73" i="36"/>
  <c r="AC72" i="36"/>
  <c r="AC71" i="36"/>
  <c r="AC70" i="36"/>
  <c r="AC69" i="36"/>
  <c r="AC68" i="36"/>
  <c r="AD67" i="36"/>
  <c r="AC67" i="36"/>
  <c r="X81" i="36"/>
  <c r="X80" i="36"/>
  <c r="X79" i="36"/>
  <c r="X78" i="36"/>
  <c r="X77" i="36"/>
  <c r="X76" i="36"/>
  <c r="X75" i="36"/>
  <c r="X74" i="36"/>
  <c r="X73" i="36"/>
  <c r="X72" i="36"/>
  <c r="X71" i="36"/>
  <c r="X70" i="36"/>
  <c r="X69" i="36"/>
  <c r="X68" i="36"/>
  <c r="Y67" i="36"/>
  <c r="X67" i="36"/>
  <c r="S81" i="36"/>
  <c r="S80" i="36"/>
  <c r="S79" i="36"/>
  <c r="S78" i="36"/>
  <c r="S77" i="36"/>
  <c r="S76" i="36"/>
  <c r="S75" i="36"/>
  <c r="S74" i="36"/>
  <c r="S73" i="36"/>
  <c r="S72" i="36"/>
  <c r="S71" i="36"/>
  <c r="S70" i="36"/>
  <c r="S69" i="36"/>
  <c r="S68" i="36"/>
  <c r="T67" i="36"/>
  <c r="S67" i="36"/>
  <c r="S81" i="35"/>
  <c r="S80" i="35"/>
  <c r="S79" i="35"/>
  <c r="S78" i="35"/>
  <c r="S77" i="35"/>
  <c r="S76" i="35"/>
  <c r="S75" i="35"/>
  <c r="S74" i="35"/>
  <c r="S73" i="35"/>
  <c r="S72" i="35"/>
  <c r="S71" i="35"/>
  <c r="S70" i="35"/>
  <c r="S69" i="35"/>
  <c r="S68" i="35"/>
  <c r="T67" i="35"/>
  <c r="S67" i="35"/>
  <c r="X81" i="35"/>
  <c r="X80" i="35"/>
  <c r="X79" i="35"/>
  <c r="X78" i="35"/>
  <c r="X77" i="35"/>
  <c r="X76" i="35"/>
  <c r="X75" i="35"/>
  <c r="X74" i="35"/>
  <c r="X73" i="35"/>
  <c r="X72" i="35"/>
  <c r="X71" i="35"/>
  <c r="X70" i="35"/>
  <c r="X69" i="35"/>
  <c r="X68" i="35"/>
  <c r="Y67" i="35"/>
  <c r="X67" i="35"/>
  <c r="AC81" i="35"/>
  <c r="AC80" i="35"/>
  <c r="AC79" i="35"/>
  <c r="AC78" i="35"/>
  <c r="AC77" i="35"/>
  <c r="AC76" i="35"/>
  <c r="AC75" i="35"/>
  <c r="AC74" i="35"/>
  <c r="AC73" i="35"/>
  <c r="AC72" i="35"/>
  <c r="AC71" i="35"/>
  <c r="AC70" i="35"/>
  <c r="AC69" i="35"/>
  <c r="AC68" i="35"/>
  <c r="AD67" i="35"/>
  <c r="AC67" i="35"/>
  <c r="AH81" i="35"/>
  <c r="AH80" i="35"/>
  <c r="AH79" i="35"/>
  <c r="AH78" i="35"/>
  <c r="AH77" i="35"/>
  <c r="AH76" i="35"/>
  <c r="AH75" i="35"/>
  <c r="AH74" i="35"/>
  <c r="AH73" i="35"/>
  <c r="AH72" i="35"/>
  <c r="AH71" i="35"/>
  <c r="AH70" i="35"/>
  <c r="AH69" i="35"/>
  <c r="AH68" i="35"/>
  <c r="AI67" i="35"/>
  <c r="AH67" i="35"/>
  <c r="AM81" i="35"/>
  <c r="AM80" i="35"/>
  <c r="AM79" i="35"/>
  <c r="AM78" i="35"/>
  <c r="AM77" i="35"/>
  <c r="AM76" i="35"/>
  <c r="AM75" i="35"/>
  <c r="AM74" i="35"/>
  <c r="AM73" i="35"/>
  <c r="AM72" i="35"/>
  <c r="AM71" i="35"/>
  <c r="AM70" i="35"/>
  <c r="AM69" i="35"/>
  <c r="AM68" i="35"/>
  <c r="AN67" i="35"/>
  <c r="AM67" i="35"/>
  <c r="AR81" i="35"/>
  <c r="AR80" i="35"/>
  <c r="AR79" i="35"/>
  <c r="AR78" i="35"/>
  <c r="AR77" i="35"/>
  <c r="AR76" i="35"/>
  <c r="AR75" i="35"/>
  <c r="AR74" i="35"/>
  <c r="AR73" i="35"/>
  <c r="AR72" i="35"/>
  <c r="AR71" i="35"/>
  <c r="AR70" i="35"/>
  <c r="AR69" i="35"/>
  <c r="AR68" i="35"/>
  <c r="AS67" i="35"/>
  <c r="AR67" i="35"/>
  <c r="AW81" i="35"/>
  <c r="AW80" i="35"/>
  <c r="AW79" i="35"/>
  <c r="AW78" i="35"/>
  <c r="AW77" i="35"/>
  <c r="AW76" i="35"/>
  <c r="AW75" i="35"/>
  <c r="AW74" i="35"/>
  <c r="AW73" i="35"/>
  <c r="AW72" i="35"/>
  <c r="AW71" i="35"/>
  <c r="AW70" i="35"/>
  <c r="AW69" i="35"/>
  <c r="AW68" i="35"/>
  <c r="AX67" i="35"/>
  <c r="AW67" i="35"/>
  <c r="S81" i="34"/>
  <c r="S80" i="34"/>
  <c r="S79" i="34"/>
  <c r="S78" i="34"/>
  <c r="S77" i="34"/>
  <c r="S76" i="34"/>
  <c r="S75" i="34"/>
  <c r="S74" i="34"/>
  <c r="S73" i="34"/>
  <c r="S72" i="34"/>
  <c r="S71" i="34"/>
  <c r="S70" i="34"/>
  <c r="S69" i="34"/>
  <c r="S68" i="34"/>
  <c r="T67" i="34"/>
  <c r="S67" i="34"/>
  <c r="X81" i="34"/>
  <c r="X80" i="34"/>
  <c r="X79" i="34"/>
  <c r="X78" i="34"/>
  <c r="X77" i="34"/>
  <c r="X76" i="34"/>
  <c r="X75" i="34"/>
  <c r="X74" i="34"/>
  <c r="X73" i="34"/>
  <c r="X72" i="34"/>
  <c r="X71" i="34"/>
  <c r="X70" i="34"/>
  <c r="X69" i="34"/>
  <c r="X68" i="34"/>
  <c r="Y67" i="34"/>
  <c r="X67" i="34"/>
  <c r="AC81" i="34"/>
  <c r="AC80" i="34"/>
  <c r="AC79" i="34"/>
  <c r="AC78" i="34"/>
  <c r="AC77" i="34"/>
  <c r="AC76" i="34"/>
  <c r="AC75" i="34"/>
  <c r="AC74" i="34"/>
  <c r="AC73" i="34"/>
  <c r="AC72" i="34"/>
  <c r="AC71" i="34"/>
  <c r="AC70" i="34"/>
  <c r="AC69" i="34"/>
  <c r="AC68" i="34"/>
  <c r="AD67" i="34"/>
  <c r="AC67" i="34"/>
  <c r="AH81" i="34"/>
  <c r="AH80" i="34"/>
  <c r="AH79" i="34"/>
  <c r="AH78" i="34"/>
  <c r="AH77" i="34"/>
  <c r="AH76" i="34"/>
  <c r="AH75" i="34"/>
  <c r="AH74" i="34"/>
  <c r="AH73" i="34"/>
  <c r="AH72" i="34"/>
  <c r="AH71" i="34"/>
  <c r="AH70" i="34"/>
  <c r="AH69" i="34"/>
  <c r="AH68" i="34"/>
  <c r="AI67" i="34"/>
  <c r="AH67" i="34"/>
  <c r="AM81" i="34"/>
  <c r="AM80" i="34"/>
  <c r="AM79" i="34"/>
  <c r="AM78" i="34"/>
  <c r="AM77" i="34"/>
  <c r="AM76" i="34"/>
  <c r="AM75" i="34"/>
  <c r="AM74" i="34"/>
  <c r="AM73" i="34"/>
  <c r="AM72" i="34"/>
  <c r="AM71" i="34"/>
  <c r="AM70" i="34"/>
  <c r="AM69" i="34"/>
  <c r="AM68" i="34"/>
  <c r="AN67" i="34"/>
  <c r="AM67" i="34"/>
  <c r="AR81" i="34"/>
  <c r="AR80" i="34"/>
  <c r="AR79" i="34"/>
  <c r="AR78" i="34"/>
  <c r="AR77" i="34"/>
  <c r="AR76" i="34"/>
  <c r="AR75" i="34"/>
  <c r="AR74" i="34"/>
  <c r="AR73" i="34"/>
  <c r="AR72" i="34"/>
  <c r="AR71" i="34"/>
  <c r="AR70" i="34"/>
  <c r="AR69" i="34"/>
  <c r="AR68" i="34"/>
  <c r="AS67" i="34"/>
  <c r="AR67" i="34"/>
  <c r="AW81" i="34"/>
  <c r="AW80" i="34"/>
  <c r="AW79" i="34"/>
  <c r="AW78" i="34"/>
  <c r="AW77" i="34"/>
  <c r="AW76" i="34"/>
  <c r="AW75" i="34"/>
  <c r="AW74" i="34"/>
  <c r="AW73" i="34"/>
  <c r="AW72" i="34"/>
  <c r="AW71" i="34"/>
  <c r="AW70" i="34"/>
  <c r="AW69" i="34"/>
  <c r="AW68" i="34"/>
  <c r="AX67" i="34"/>
  <c r="AW67" i="34"/>
  <c r="S141" i="33" l="1"/>
  <c r="S140" i="33"/>
  <c r="S139" i="33"/>
  <c r="S138" i="33"/>
  <c r="S137" i="33"/>
  <c r="S136" i="33"/>
  <c r="S135" i="33"/>
  <c r="S134" i="33"/>
  <c r="S133" i="33"/>
  <c r="S132" i="33"/>
  <c r="S131" i="33"/>
  <c r="S130" i="33"/>
  <c r="S129" i="33"/>
  <c r="S128" i="33"/>
  <c r="S127" i="33"/>
  <c r="S126" i="33"/>
  <c r="S125" i="33"/>
  <c r="S124" i="33"/>
  <c r="S123" i="33"/>
  <c r="S122" i="33"/>
  <c r="S121" i="33"/>
  <c r="S120" i="33"/>
  <c r="S119" i="33"/>
  <c r="S118" i="33"/>
  <c r="S117" i="33"/>
  <c r="S116" i="33"/>
  <c r="S115" i="33"/>
  <c r="S114" i="33"/>
  <c r="S113" i="33"/>
  <c r="T112" i="33"/>
  <c r="S112" i="33"/>
  <c r="X141" i="33"/>
  <c r="X140" i="33"/>
  <c r="X139" i="33"/>
  <c r="X138" i="33"/>
  <c r="X137" i="33"/>
  <c r="X136" i="33"/>
  <c r="X135" i="33"/>
  <c r="X134" i="33"/>
  <c r="X133" i="33"/>
  <c r="X132" i="33"/>
  <c r="X131" i="33"/>
  <c r="X130" i="33"/>
  <c r="X129" i="33"/>
  <c r="X128" i="33"/>
  <c r="X127" i="33"/>
  <c r="X126" i="33"/>
  <c r="X125" i="33"/>
  <c r="X124" i="33"/>
  <c r="X123" i="33"/>
  <c r="X122" i="33"/>
  <c r="X121" i="33"/>
  <c r="X120" i="33"/>
  <c r="X119" i="33"/>
  <c r="X118" i="33"/>
  <c r="X117" i="33"/>
  <c r="X116" i="33"/>
  <c r="X115" i="33"/>
  <c r="X114" i="33"/>
  <c r="X113" i="33"/>
  <c r="Y112" i="33"/>
  <c r="X112" i="33"/>
  <c r="AC141" i="33"/>
  <c r="AC140" i="33"/>
  <c r="AC139" i="33"/>
  <c r="AC138" i="33"/>
  <c r="AC137" i="33"/>
  <c r="AC136" i="33"/>
  <c r="AC135" i="33"/>
  <c r="AC134" i="33"/>
  <c r="AC133" i="33"/>
  <c r="AC132" i="33"/>
  <c r="AC131" i="33"/>
  <c r="AC130" i="33"/>
  <c r="AC129" i="33"/>
  <c r="AC128" i="33"/>
  <c r="AC127" i="33"/>
  <c r="AC126" i="33"/>
  <c r="AC125" i="33"/>
  <c r="AC124" i="33"/>
  <c r="AC123" i="33"/>
  <c r="AC122" i="33"/>
  <c r="AC121" i="33"/>
  <c r="AC120" i="33"/>
  <c r="AC119" i="33"/>
  <c r="AC118" i="33"/>
  <c r="AC117" i="33"/>
  <c r="AC116" i="33"/>
  <c r="AC115" i="33"/>
  <c r="AC114" i="33"/>
  <c r="AC113" i="33"/>
  <c r="AD112" i="33"/>
  <c r="AC112" i="33"/>
  <c r="AH141" i="33"/>
  <c r="AH140" i="33"/>
  <c r="AH139" i="33"/>
  <c r="AH138" i="33"/>
  <c r="AH137" i="33"/>
  <c r="AH136" i="33"/>
  <c r="AH135" i="33"/>
  <c r="AH134" i="33"/>
  <c r="AH133" i="33"/>
  <c r="AH132" i="33"/>
  <c r="AH131" i="33"/>
  <c r="AH130" i="33"/>
  <c r="AH129" i="33"/>
  <c r="AH128" i="33"/>
  <c r="AH127" i="33"/>
  <c r="AH126" i="33"/>
  <c r="AH125" i="33"/>
  <c r="AH124" i="33"/>
  <c r="AH123" i="33"/>
  <c r="AH122" i="33"/>
  <c r="AH121" i="33"/>
  <c r="AH120" i="33"/>
  <c r="AH119" i="33"/>
  <c r="AH118" i="33"/>
  <c r="AH117" i="33"/>
  <c r="AH116" i="33"/>
  <c r="AH115" i="33"/>
  <c r="AH114" i="33"/>
  <c r="AH113" i="33"/>
  <c r="AI112" i="33"/>
  <c r="AH112" i="33"/>
  <c r="AM141" i="33"/>
  <c r="AM140" i="33"/>
  <c r="AM139" i="33"/>
  <c r="AM138" i="33"/>
  <c r="AM137" i="33"/>
  <c r="AM136" i="33"/>
  <c r="AM135" i="33"/>
  <c r="AM134" i="33"/>
  <c r="AM133" i="33"/>
  <c r="AM132" i="33"/>
  <c r="AM131" i="33"/>
  <c r="AM130" i="33"/>
  <c r="AM129" i="33"/>
  <c r="AM128" i="33"/>
  <c r="AM127" i="33"/>
  <c r="AM126" i="33"/>
  <c r="AM125" i="33"/>
  <c r="AM124" i="33"/>
  <c r="AM123" i="33"/>
  <c r="AM122" i="33"/>
  <c r="AM121" i="33"/>
  <c r="AM120" i="33"/>
  <c r="AM119" i="33"/>
  <c r="AM118" i="33"/>
  <c r="AM117" i="33"/>
  <c r="AM116" i="33"/>
  <c r="AM115" i="33"/>
  <c r="AM114" i="33"/>
  <c r="AM113" i="33"/>
  <c r="AN112" i="33"/>
  <c r="AM112" i="33"/>
  <c r="AR141" i="33"/>
  <c r="AR140" i="33"/>
  <c r="AR139" i="33"/>
  <c r="AR138" i="33"/>
  <c r="AR137" i="33"/>
  <c r="AR136" i="33"/>
  <c r="AR135" i="33"/>
  <c r="AR134" i="33"/>
  <c r="AR133" i="33"/>
  <c r="AR132" i="33"/>
  <c r="AR131" i="33"/>
  <c r="AR130" i="33"/>
  <c r="AR129" i="33"/>
  <c r="AR128" i="33"/>
  <c r="AR127" i="33"/>
  <c r="AR126" i="33"/>
  <c r="AR125" i="33"/>
  <c r="AR124" i="33"/>
  <c r="AR123" i="33"/>
  <c r="AR122" i="33"/>
  <c r="AR121" i="33"/>
  <c r="AR120" i="33"/>
  <c r="AR119" i="33"/>
  <c r="AR118" i="33"/>
  <c r="AR117" i="33"/>
  <c r="AR116" i="33"/>
  <c r="AR115" i="33"/>
  <c r="AR114" i="33"/>
  <c r="AR113" i="33"/>
  <c r="AS112" i="33"/>
  <c r="AR112" i="33"/>
  <c r="AW141" i="33"/>
  <c r="AW140" i="33"/>
  <c r="AW139" i="33"/>
  <c r="AW138" i="33"/>
  <c r="AW137" i="33"/>
  <c r="AW136" i="33"/>
  <c r="AW135" i="33"/>
  <c r="AW134" i="33"/>
  <c r="AW133" i="33"/>
  <c r="AW132" i="33"/>
  <c r="AW131" i="33"/>
  <c r="AW130" i="33"/>
  <c r="AW129" i="33"/>
  <c r="AW128" i="33"/>
  <c r="AW127" i="33"/>
  <c r="AW126" i="33"/>
  <c r="AW125" i="33"/>
  <c r="AW124" i="33"/>
  <c r="AW123" i="33"/>
  <c r="AW122" i="33"/>
  <c r="AW121" i="33"/>
  <c r="AW120" i="33"/>
  <c r="AW119" i="33"/>
  <c r="AW118" i="33"/>
  <c r="AW117" i="33"/>
  <c r="AW116" i="33"/>
  <c r="AW115" i="33"/>
  <c r="AW114" i="33"/>
  <c r="AW113" i="33"/>
  <c r="AX112" i="33"/>
  <c r="AW112" i="33"/>
  <c r="S81" i="31"/>
  <c r="S80" i="31"/>
  <c r="S79" i="31"/>
  <c r="S78" i="31"/>
  <c r="S77" i="31"/>
  <c r="S76" i="31"/>
  <c r="S75" i="31"/>
  <c r="S74" i="31"/>
  <c r="S73" i="31"/>
  <c r="S72" i="31"/>
  <c r="S71" i="31"/>
  <c r="S70" i="31"/>
  <c r="S69" i="31"/>
  <c r="S68" i="31"/>
  <c r="T67" i="31"/>
  <c r="S67" i="31"/>
  <c r="X81" i="31"/>
  <c r="X80" i="31"/>
  <c r="X79" i="31"/>
  <c r="X78" i="31"/>
  <c r="X77" i="31"/>
  <c r="X76" i="31"/>
  <c r="X75" i="31"/>
  <c r="X74" i="31"/>
  <c r="X73" i="31"/>
  <c r="X72" i="31"/>
  <c r="X71" i="31"/>
  <c r="X70" i="31"/>
  <c r="X69" i="31"/>
  <c r="X68" i="31"/>
  <c r="Y67" i="31"/>
  <c r="X67" i="31"/>
  <c r="AC81" i="31"/>
  <c r="AC80" i="31"/>
  <c r="AC79" i="31"/>
  <c r="AC78" i="31"/>
  <c r="AC77" i="31"/>
  <c r="AC76" i="31"/>
  <c r="AC75" i="31"/>
  <c r="AC74" i="31"/>
  <c r="AC73" i="31"/>
  <c r="AC72" i="31"/>
  <c r="AC71" i="31"/>
  <c r="AC70" i="31"/>
  <c r="AC69" i="31"/>
  <c r="AC68" i="31"/>
  <c r="AD67" i="31"/>
  <c r="AC67" i="31"/>
  <c r="AH81" i="31"/>
  <c r="AH80" i="31"/>
  <c r="AH79" i="31"/>
  <c r="AH78" i="31"/>
  <c r="AH77" i="31"/>
  <c r="AH76" i="31"/>
  <c r="AH75" i="31"/>
  <c r="AH74" i="31"/>
  <c r="AH73" i="31"/>
  <c r="AH72" i="31"/>
  <c r="AH71" i="31"/>
  <c r="AH70" i="31"/>
  <c r="AH69" i="31"/>
  <c r="AH68" i="31"/>
  <c r="AI67" i="31"/>
  <c r="AH67" i="31"/>
  <c r="AM81" i="31"/>
  <c r="AM80" i="31"/>
  <c r="AM79" i="31"/>
  <c r="AM78" i="31"/>
  <c r="AM77" i="31"/>
  <c r="AM76" i="31"/>
  <c r="AM75" i="31"/>
  <c r="AM74" i="31"/>
  <c r="AM73" i="31"/>
  <c r="AM72" i="31"/>
  <c r="AM71" i="31"/>
  <c r="AM70" i="31"/>
  <c r="AM69" i="31"/>
  <c r="AM68" i="31"/>
  <c r="AN67" i="31"/>
  <c r="AM67" i="31"/>
  <c r="AR81" i="31"/>
  <c r="AR80" i="31"/>
  <c r="AR79" i="31"/>
  <c r="AR78" i="31"/>
  <c r="AR77" i="31"/>
  <c r="AR76" i="31"/>
  <c r="AR75" i="31"/>
  <c r="AR74" i="31"/>
  <c r="AR73" i="31"/>
  <c r="AR72" i="31"/>
  <c r="AR71" i="31"/>
  <c r="AR70" i="31"/>
  <c r="AR69" i="31"/>
  <c r="AR68" i="31"/>
  <c r="AS67" i="31"/>
  <c r="AR67" i="31"/>
  <c r="AW81" i="31"/>
  <c r="AW80" i="31"/>
  <c r="AW79" i="31"/>
  <c r="AW78" i="31"/>
  <c r="AW77" i="31"/>
  <c r="AW76" i="31"/>
  <c r="AW75" i="31"/>
  <c r="AW74" i="31"/>
  <c r="AW73" i="31"/>
  <c r="AW72" i="31"/>
  <c r="AW71" i="31"/>
  <c r="AW70" i="31"/>
  <c r="AW69" i="31"/>
  <c r="AW68" i="31"/>
  <c r="AX67" i="31"/>
  <c r="AW67" i="31"/>
  <c r="S81" i="32"/>
  <c r="S80" i="32"/>
  <c r="S79" i="32"/>
  <c r="S78" i="32"/>
  <c r="S77" i="32"/>
  <c r="S76" i="32"/>
  <c r="S75" i="32"/>
  <c r="S74" i="32"/>
  <c r="S73" i="32"/>
  <c r="S72" i="32"/>
  <c r="S71" i="32"/>
  <c r="S70" i="32"/>
  <c r="S69" i="32"/>
  <c r="S68" i="32"/>
  <c r="T67" i="32"/>
  <c r="S67" i="32"/>
  <c r="X81" i="32"/>
  <c r="X80" i="32"/>
  <c r="X79" i="32"/>
  <c r="X78" i="32"/>
  <c r="X77" i="32"/>
  <c r="X76" i="32"/>
  <c r="X75" i="32"/>
  <c r="X74" i="32"/>
  <c r="X73" i="32"/>
  <c r="X72" i="32"/>
  <c r="X71" i="32"/>
  <c r="X70" i="32"/>
  <c r="X69" i="32"/>
  <c r="X68" i="32"/>
  <c r="Y67" i="32"/>
  <c r="X67" i="32"/>
  <c r="AC81" i="32"/>
  <c r="AC80" i="32"/>
  <c r="AC79" i="32"/>
  <c r="AC78" i="32"/>
  <c r="AC77" i="32"/>
  <c r="AC76" i="32"/>
  <c r="AC75" i="32"/>
  <c r="AC74" i="32"/>
  <c r="AC73" i="32"/>
  <c r="AC72" i="32"/>
  <c r="AC71" i="32"/>
  <c r="AC70" i="32"/>
  <c r="AC69" i="32"/>
  <c r="AC68" i="32"/>
  <c r="AD67" i="32"/>
  <c r="AC67" i="32"/>
  <c r="AH81" i="32"/>
  <c r="AH80" i="32"/>
  <c r="AH79" i="32"/>
  <c r="AH78" i="32"/>
  <c r="AH77" i="32"/>
  <c r="AH76" i="32"/>
  <c r="AH75" i="32"/>
  <c r="AH74" i="32"/>
  <c r="AH73" i="32"/>
  <c r="AH72" i="32"/>
  <c r="AH71" i="32"/>
  <c r="AH70" i="32"/>
  <c r="AH69" i="32"/>
  <c r="AH68" i="32"/>
  <c r="AI67" i="32"/>
  <c r="AH67" i="32"/>
  <c r="AM81" i="32"/>
  <c r="AM80" i="32"/>
  <c r="AM79" i="32"/>
  <c r="AM78" i="32"/>
  <c r="AM77" i="32"/>
  <c r="AM76" i="32"/>
  <c r="AM75" i="32"/>
  <c r="AM74" i="32"/>
  <c r="AM73" i="32"/>
  <c r="AM72" i="32"/>
  <c r="AM71" i="32"/>
  <c r="AM70" i="32"/>
  <c r="AM69" i="32"/>
  <c r="AM68" i="32"/>
  <c r="AN67" i="32"/>
  <c r="AM67" i="32"/>
  <c r="AR81" i="32"/>
  <c r="AR80" i="32"/>
  <c r="AR79" i="32"/>
  <c r="AR78" i="32"/>
  <c r="AR77" i="32"/>
  <c r="AR76" i="32"/>
  <c r="AR75" i="32"/>
  <c r="AR74" i="32"/>
  <c r="AR73" i="32"/>
  <c r="AR72" i="32"/>
  <c r="AR71" i="32"/>
  <c r="AR70" i="32"/>
  <c r="AR69" i="32"/>
  <c r="AR68" i="32"/>
  <c r="AS67" i="32"/>
  <c r="AR67" i="32"/>
  <c r="AW81" i="32"/>
  <c r="AW80" i="32"/>
  <c r="AW79" i="32"/>
  <c r="AW78" i="32"/>
  <c r="AW77" i="32"/>
  <c r="AW76" i="32"/>
  <c r="AW75" i="32"/>
  <c r="AW74" i="32"/>
  <c r="AW73" i="32"/>
  <c r="AW72" i="32"/>
  <c r="AW71" i="32"/>
  <c r="AW70" i="32"/>
  <c r="AW69" i="32"/>
  <c r="AW68" i="32"/>
  <c r="AX67" i="32"/>
  <c r="AW67" i="32"/>
  <c r="S81" i="30"/>
  <c r="S80" i="30"/>
  <c r="S79" i="30"/>
  <c r="S78" i="30"/>
  <c r="S77" i="30"/>
  <c r="S76" i="30"/>
  <c r="S75" i="30"/>
  <c r="S74" i="30"/>
  <c r="S73" i="30"/>
  <c r="S72" i="30"/>
  <c r="S71" i="30"/>
  <c r="S70" i="30"/>
  <c r="S69" i="30"/>
  <c r="S68" i="30"/>
  <c r="T67" i="30"/>
  <c r="S67" i="30"/>
  <c r="X81" i="30"/>
  <c r="X80" i="30"/>
  <c r="X79" i="30"/>
  <c r="X78" i="30"/>
  <c r="X77" i="30"/>
  <c r="X76" i="30"/>
  <c r="X75" i="30"/>
  <c r="X74" i="30"/>
  <c r="X73" i="30"/>
  <c r="X72" i="30"/>
  <c r="X71" i="30"/>
  <c r="X70" i="30"/>
  <c r="X69" i="30"/>
  <c r="X68" i="30"/>
  <c r="Y67" i="30"/>
  <c r="X67" i="30"/>
  <c r="AC81" i="30"/>
  <c r="AC80" i="30"/>
  <c r="AC79" i="30"/>
  <c r="AC78" i="30"/>
  <c r="AC77" i="30"/>
  <c r="AC76" i="30"/>
  <c r="AC75" i="30"/>
  <c r="AC74" i="30"/>
  <c r="AC73" i="30"/>
  <c r="AC72" i="30"/>
  <c r="AC71" i="30"/>
  <c r="AC70" i="30"/>
  <c r="AC69" i="30"/>
  <c r="AC68" i="30"/>
  <c r="AD67" i="30"/>
  <c r="AC67" i="30"/>
  <c r="AH81" i="30"/>
  <c r="AH80" i="30"/>
  <c r="AH79" i="30"/>
  <c r="AH78" i="30"/>
  <c r="AH77" i="30"/>
  <c r="AH76" i="30"/>
  <c r="AH75" i="30"/>
  <c r="AH74" i="30"/>
  <c r="AH73" i="30"/>
  <c r="AH72" i="30"/>
  <c r="AH71" i="30"/>
  <c r="AH70" i="30"/>
  <c r="AH69" i="30"/>
  <c r="AH68" i="30"/>
  <c r="AI67" i="30"/>
  <c r="AH67" i="30"/>
  <c r="AM81" i="30"/>
  <c r="AM80" i="30"/>
  <c r="AM79" i="30"/>
  <c r="AM78" i="30"/>
  <c r="AM77" i="30"/>
  <c r="AM76" i="30"/>
  <c r="AM75" i="30"/>
  <c r="AM74" i="30"/>
  <c r="AM73" i="30"/>
  <c r="AM72" i="30"/>
  <c r="AM71" i="30"/>
  <c r="AM70" i="30"/>
  <c r="AM69" i="30"/>
  <c r="AM68" i="30"/>
  <c r="AN67" i="30"/>
  <c r="AM67" i="30"/>
  <c r="AR81" i="30"/>
  <c r="AR80" i="30"/>
  <c r="AR79" i="30"/>
  <c r="AR78" i="30"/>
  <c r="AR77" i="30"/>
  <c r="AR76" i="30"/>
  <c r="AR75" i="30"/>
  <c r="AR74" i="30"/>
  <c r="AR73" i="30"/>
  <c r="AR72" i="30"/>
  <c r="AR71" i="30"/>
  <c r="AR70" i="30"/>
  <c r="AR69" i="30"/>
  <c r="AR68" i="30"/>
  <c r="AS67" i="30"/>
  <c r="AR67" i="30"/>
  <c r="AW81" i="30"/>
  <c r="AW80" i="30"/>
  <c r="AW79" i="30"/>
  <c r="AW78" i="30"/>
  <c r="AW77" i="30"/>
  <c r="AW76" i="30"/>
  <c r="AW75" i="30"/>
  <c r="AW74" i="30"/>
  <c r="AW73" i="30"/>
  <c r="AW72" i="30"/>
  <c r="AW71" i="30"/>
  <c r="AW70" i="30"/>
  <c r="AW69" i="30"/>
  <c r="AW68" i="30"/>
  <c r="AX67" i="30"/>
  <c r="AW67" i="30"/>
  <c r="S141" i="8"/>
  <c r="S140" i="8"/>
  <c r="S139" i="8"/>
  <c r="S138" i="8"/>
  <c r="S137" i="8"/>
  <c r="S136" i="8"/>
  <c r="S135" i="8"/>
  <c r="S134" i="8"/>
  <c r="S133" i="8"/>
  <c r="S132" i="8"/>
  <c r="S131" i="8"/>
  <c r="S130" i="8"/>
  <c r="S129" i="8"/>
  <c r="S128" i="8"/>
  <c r="S127" i="8"/>
  <c r="S126" i="8"/>
  <c r="S125" i="8"/>
  <c r="S124" i="8"/>
  <c r="S123" i="8"/>
  <c r="S122" i="8"/>
  <c r="S121" i="8"/>
  <c r="S120" i="8"/>
  <c r="S119" i="8"/>
  <c r="S118" i="8"/>
  <c r="S117" i="8"/>
  <c r="S116" i="8"/>
  <c r="S115" i="8"/>
  <c r="S114" i="8"/>
  <c r="S113" i="8"/>
  <c r="T112" i="8"/>
  <c r="S112" i="8"/>
  <c r="X141" i="8"/>
  <c r="X140" i="8"/>
  <c r="X139" i="8"/>
  <c r="X138" i="8"/>
  <c r="X137" i="8"/>
  <c r="X136" i="8"/>
  <c r="X135" i="8"/>
  <c r="X134" i="8"/>
  <c r="X133" i="8"/>
  <c r="X132" i="8"/>
  <c r="X131" i="8"/>
  <c r="X130" i="8"/>
  <c r="X129" i="8"/>
  <c r="X128" i="8"/>
  <c r="X127" i="8"/>
  <c r="X126" i="8"/>
  <c r="X125" i="8"/>
  <c r="X124" i="8"/>
  <c r="X123" i="8"/>
  <c r="X122" i="8"/>
  <c r="X121" i="8"/>
  <c r="X120" i="8"/>
  <c r="X119" i="8"/>
  <c r="X118" i="8"/>
  <c r="X117" i="8"/>
  <c r="X116" i="8"/>
  <c r="X115" i="8"/>
  <c r="X114" i="8"/>
  <c r="X113" i="8"/>
  <c r="Y112" i="8"/>
  <c r="X112" i="8"/>
  <c r="AC141" i="8"/>
  <c r="AC140" i="8"/>
  <c r="AC139" i="8"/>
  <c r="AC138" i="8"/>
  <c r="AC137" i="8"/>
  <c r="AC136" i="8"/>
  <c r="AC135" i="8"/>
  <c r="AC134" i="8"/>
  <c r="AC133" i="8"/>
  <c r="AC132" i="8"/>
  <c r="AC131" i="8"/>
  <c r="AC130" i="8"/>
  <c r="AC129" i="8"/>
  <c r="AC128" i="8"/>
  <c r="AC127" i="8"/>
  <c r="AC126" i="8"/>
  <c r="AC125" i="8"/>
  <c r="AC124" i="8"/>
  <c r="AC123" i="8"/>
  <c r="AC122" i="8"/>
  <c r="AC121" i="8"/>
  <c r="AC120" i="8"/>
  <c r="AC119" i="8"/>
  <c r="AC118" i="8"/>
  <c r="AC117" i="8"/>
  <c r="AC116" i="8"/>
  <c r="AC115" i="8"/>
  <c r="AC114" i="8"/>
  <c r="AC113" i="8"/>
  <c r="AD112" i="8"/>
  <c r="AC112" i="8"/>
  <c r="AH141" i="8"/>
  <c r="AH140" i="8"/>
  <c r="AH139" i="8"/>
  <c r="AH138" i="8"/>
  <c r="AH137" i="8"/>
  <c r="AH136" i="8"/>
  <c r="AH135" i="8"/>
  <c r="AH134" i="8"/>
  <c r="AH133" i="8"/>
  <c r="AH132" i="8"/>
  <c r="AH131" i="8"/>
  <c r="AH130" i="8"/>
  <c r="AH129" i="8"/>
  <c r="AH128" i="8"/>
  <c r="AH127" i="8"/>
  <c r="AH126" i="8"/>
  <c r="AH125" i="8"/>
  <c r="AH124" i="8"/>
  <c r="AH123" i="8"/>
  <c r="AH122" i="8"/>
  <c r="AH121" i="8"/>
  <c r="AH120" i="8"/>
  <c r="AH119" i="8"/>
  <c r="AH118" i="8"/>
  <c r="AH117" i="8"/>
  <c r="AH116" i="8"/>
  <c r="AH115" i="8"/>
  <c r="AH114" i="8"/>
  <c r="AH113" i="8"/>
  <c r="AI112" i="8"/>
  <c r="AH112" i="8"/>
  <c r="AM141" i="8"/>
  <c r="AM140" i="8"/>
  <c r="AM139" i="8"/>
  <c r="AM138" i="8"/>
  <c r="AM137" i="8"/>
  <c r="AM136" i="8"/>
  <c r="AM135" i="8"/>
  <c r="AM134" i="8"/>
  <c r="AM133" i="8"/>
  <c r="AM132" i="8"/>
  <c r="AM131" i="8"/>
  <c r="AM130" i="8"/>
  <c r="AM129" i="8"/>
  <c r="AM128" i="8"/>
  <c r="AM127" i="8"/>
  <c r="AM126" i="8"/>
  <c r="AM125" i="8"/>
  <c r="AM124" i="8"/>
  <c r="AM123" i="8"/>
  <c r="AM122" i="8"/>
  <c r="AM121" i="8"/>
  <c r="AM120" i="8"/>
  <c r="AM119" i="8"/>
  <c r="AM118" i="8"/>
  <c r="AM117" i="8"/>
  <c r="AM116" i="8"/>
  <c r="AM115" i="8"/>
  <c r="AM114" i="8"/>
  <c r="AM113" i="8"/>
  <c r="AN112" i="8"/>
  <c r="AM112" i="8"/>
  <c r="AR141" i="8"/>
  <c r="AR140" i="8"/>
  <c r="AR139" i="8"/>
  <c r="AR138" i="8"/>
  <c r="AR137" i="8"/>
  <c r="AR136" i="8"/>
  <c r="AR135" i="8"/>
  <c r="AR134" i="8"/>
  <c r="AR133" i="8"/>
  <c r="AR132" i="8"/>
  <c r="AR131" i="8"/>
  <c r="AR130" i="8"/>
  <c r="AR129" i="8"/>
  <c r="AR128" i="8"/>
  <c r="AR127" i="8"/>
  <c r="AR126" i="8"/>
  <c r="AR125" i="8"/>
  <c r="AR124" i="8"/>
  <c r="AR123" i="8"/>
  <c r="AR122" i="8"/>
  <c r="AR121" i="8"/>
  <c r="AR120" i="8"/>
  <c r="AR119" i="8"/>
  <c r="AR118" i="8"/>
  <c r="AR117" i="8"/>
  <c r="AR116" i="8"/>
  <c r="AR115" i="8"/>
  <c r="AR114" i="8"/>
  <c r="AR113" i="8"/>
  <c r="AS112" i="8"/>
  <c r="AR112" i="8"/>
  <c r="AW141" i="8"/>
  <c r="AW140" i="8"/>
  <c r="AW139" i="8"/>
  <c r="AW138" i="8"/>
  <c r="AW137" i="8"/>
  <c r="AW136" i="8"/>
  <c r="AW135" i="8"/>
  <c r="AW134" i="8"/>
  <c r="AW133" i="8"/>
  <c r="AW132" i="8"/>
  <c r="AW131" i="8"/>
  <c r="AW130" i="8"/>
  <c r="AW129" i="8"/>
  <c r="AW128" i="8"/>
  <c r="AW127" i="8"/>
  <c r="AW126" i="8"/>
  <c r="AW125" i="8"/>
  <c r="AW124" i="8"/>
  <c r="AW123" i="8"/>
  <c r="AW122" i="8"/>
  <c r="AW121" i="8"/>
  <c r="AW120" i="8"/>
  <c r="AW119" i="8"/>
  <c r="AW118" i="8"/>
  <c r="AW117" i="8"/>
  <c r="AW116" i="8"/>
  <c r="AW115" i="8"/>
  <c r="AW114" i="8"/>
  <c r="AW113" i="8"/>
  <c r="AX112" i="8"/>
  <c r="AW112" i="8"/>
  <c r="S61" i="37" l="1"/>
  <c r="S60" i="37"/>
  <c r="S59" i="37"/>
  <c r="S58" i="37"/>
  <c r="S57" i="37"/>
  <c r="S56" i="37"/>
  <c r="S55" i="37"/>
  <c r="S54" i="37"/>
  <c r="S53" i="37"/>
  <c r="S52" i="37"/>
  <c r="S51" i="37"/>
  <c r="S50" i="37"/>
  <c r="S49" i="37"/>
  <c r="S48" i="37"/>
  <c r="T47" i="37"/>
  <c r="S47" i="37"/>
  <c r="X61" i="37"/>
  <c r="X60" i="37"/>
  <c r="X59" i="37"/>
  <c r="X58" i="37"/>
  <c r="X57" i="37"/>
  <c r="X56" i="37"/>
  <c r="X55" i="37"/>
  <c r="X54" i="37"/>
  <c r="X53" i="37"/>
  <c r="X52" i="37"/>
  <c r="X51" i="37"/>
  <c r="X50" i="37"/>
  <c r="X49" i="37"/>
  <c r="X48" i="37"/>
  <c r="Y47" i="37"/>
  <c r="X47" i="37"/>
  <c r="AC61" i="37"/>
  <c r="AC60" i="37"/>
  <c r="AC59" i="37"/>
  <c r="AC58" i="37"/>
  <c r="AC57" i="37"/>
  <c r="AC56" i="37"/>
  <c r="AC55" i="37"/>
  <c r="AC54" i="37"/>
  <c r="AC53" i="37"/>
  <c r="AC52" i="37"/>
  <c r="AC51" i="37"/>
  <c r="AC50" i="37"/>
  <c r="AC49" i="37"/>
  <c r="AC48" i="37"/>
  <c r="AD47" i="37"/>
  <c r="AC47" i="37"/>
  <c r="AH61" i="37"/>
  <c r="AH60" i="37"/>
  <c r="AH59" i="37"/>
  <c r="AH58" i="37"/>
  <c r="AH57" i="37"/>
  <c r="AH56" i="37"/>
  <c r="AH55" i="37"/>
  <c r="AH54" i="37"/>
  <c r="AH53" i="37"/>
  <c r="AH52" i="37"/>
  <c r="AH51" i="37"/>
  <c r="AH50" i="37"/>
  <c r="AH49" i="37"/>
  <c r="AH48" i="37"/>
  <c r="AI47" i="37"/>
  <c r="AH47" i="37"/>
  <c r="AM61" i="37"/>
  <c r="AM60" i="37"/>
  <c r="AM59" i="37"/>
  <c r="AM58" i="37"/>
  <c r="AM57" i="37"/>
  <c r="AM56" i="37"/>
  <c r="AM55" i="37"/>
  <c r="AM54" i="37"/>
  <c r="AM53" i="37"/>
  <c r="AM52" i="37"/>
  <c r="AM51" i="37"/>
  <c r="AM50" i="37"/>
  <c r="AM49" i="37"/>
  <c r="AM48" i="37"/>
  <c r="AN47" i="37"/>
  <c r="AM47" i="37"/>
  <c r="AR61" i="37"/>
  <c r="AR60" i="37"/>
  <c r="AR59" i="37"/>
  <c r="AR58" i="37"/>
  <c r="AR57" i="37"/>
  <c r="AR56" i="37"/>
  <c r="AR55" i="37"/>
  <c r="AR54" i="37"/>
  <c r="AR53" i="37"/>
  <c r="AR52" i="37"/>
  <c r="AR51" i="37"/>
  <c r="AR50" i="37"/>
  <c r="AR49" i="37"/>
  <c r="AR48" i="37"/>
  <c r="AS47" i="37"/>
  <c r="AR47" i="37"/>
  <c r="AW61" i="37"/>
  <c r="AW60" i="37"/>
  <c r="AW59" i="37"/>
  <c r="AW58" i="37"/>
  <c r="AW57" i="37"/>
  <c r="AW56" i="37"/>
  <c r="AW55" i="37"/>
  <c r="AW54" i="37"/>
  <c r="AW53" i="37"/>
  <c r="AW52" i="37"/>
  <c r="AW51" i="37"/>
  <c r="AW50" i="37"/>
  <c r="AW49" i="37"/>
  <c r="AW48" i="37"/>
  <c r="AX47" i="37"/>
  <c r="AW47" i="37"/>
  <c r="AW21" i="37"/>
  <c r="AW20" i="37"/>
  <c r="AW19" i="37"/>
  <c r="AW18" i="37"/>
  <c r="AW17" i="37"/>
  <c r="AW16" i="37"/>
  <c r="AW15" i="37"/>
  <c r="AW14" i="37"/>
  <c r="AW13" i="37"/>
  <c r="AW12" i="37"/>
  <c r="AW11" i="37"/>
  <c r="AW10" i="37"/>
  <c r="AW9" i="37"/>
  <c r="AW8" i="37"/>
  <c r="AW7" i="37"/>
  <c r="AR21" i="37"/>
  <c r="AR20" i="37"/>
  <c r="AR19" i="37"/>
  <c r="AR18" i="37"/>
  <c r="AR17" i="37"/>
  <c r="AR16" i="37"/>
  <c r="AR15" i="37"/>
  <c r="AR14" i="37"/>
  <c r="AR13" i="37"/>
  <c r="AR12" i="37"/>
  <c r="AR11" i="37"/>
  <c r="AR10" i="37"/>
  <c r="AR9" i="37"/>
  <c r="AR8" i="37"/>
  <c r="AR7" i="37"/>
  <c r="AM21" i="37"/>
  <c r="AM20" i="37"/>
  <c r="AM19" i="37"/>
  <c r="AM18" i="37"/>
  <c r="AM17" i="37"/>
  <c r="AM16" i="37"/>
  <c r="AM15" i="37"/>
  <c r="AM14" i="37"/>
  <c r="AM13" i="37"/>
  <c r="AM12" i="37"/>
  <c r="AM11" i="37"/>
  <c r="AM10" i="37"/>
  <c r="AM9" i="37"/>
  <c r="AM8" i="37"/>
  <c r="AM7" i="37"/>
  <c r="S61" i="36"/>
  <c r="S60" i="36"/>
  <c r="S59" i="36"/>
  <c r="S58" i="36"/>
  <c r="S57" i="36"/>
  <c r="S56" i="36"/>
  <c r="S55" i="36"/>
  <c r="S54" i="36"/>
  <c r="S53" i="36"/>
  <c r="S52" i="36"/>
  <c r="S51" i="36"/>
  <c r="S50" i="36"/>
  <c r="S49" i="36"/>
  <c r="S48" i="36"/>
  <c r="T47" i="36"/>
  <c r="S47" i="36"/>
  <c r="X61" i="36"/>
  <c r="X60" i="36"/>
  <c r="X59" i="36"/>
  <c r="X58" i="36"/>
  <c r="X57" i="36"/>
  <c r="X56" i="36"/>
  <c r="X55" i="36"/>
  <c r="X54" i="36"/>
  <c r="X53" i="36"/>
  <c r="X52" i="36"/>
  <c r="X51" i="36"/>
  <c r="X50" i="36"/>
  <c r="X49" i="36"/>
  <c r="X48" i="36"/>
  <c r="Y47" i="36"/>
  <c r="X47" i="36"/>
  <c r="AC61" i="36"/>
  <c r="AC60" i="36"/>
  <c r="AC59" i="36"/>
  <c r="AC58" i="36"/>
  <c r="AC57" i="36"/>
  <c r="AC56" i="36"/>
  <c r="AC55" i="36"/>
  <c r="AC54" i="36"/>
  <c r="AC53" i="36"/>
  <c r="AC52" i="36"/>
  <c r="AC51" i="36"/>
  <c r="AC50" i="36"/>
  <c r="AC49" i="36"/>
  <c r="AC48" i="36"/>
  <c r="AD47" i="36"/>
  <c r="AC47" i="36"/>
  <c r="AH61" i="36"/>
  <c r="AH60" i="36"/>
  <c r="AH59" i="36"/>
  <c r="AH58" i="36"/>
  <c r="AH57" i="36"/>
  <c r="AH56" i="36"/>
  <c r="AH55" i="36"/>
  <c r="AH54" i="36"/>
  <c r="AH53" i="36"/>
  <c r="AH52" i="36"/>
  <c r="AH51" i="36"/>
  <c r="AH50" i="36"/>
  <c r="AH49" i="36"/>
  <c r="AH48" i="36"/>
  <c r="AI47" i="36"/>
  <c r="AH47" i="36"/>
  <c r="AM61" i="36"/>
  <c r="AM60" i="36"/>
  <c r="AM59" i="36"/>
  <c r="AM58" i="36"/>
  <c r="AM57" i="36"/>
  <c r="AM56" i="36"/>
  <c r="AM55" i="36"/>
  <c r="AM54" i="36"/>
  <c r="AM53" i="36"/>
  <c r="AM52" i="36"/>
  <c r="AM51" i="36"/>
  <c r="AM50" i="36"/>
  <c r="AM49" i="36"/>
  <c r="AM48" i="36"/>
  <c r="AN47" i="36"/>
  <c r="AM47" i="36"/>
  <c r="AR61" i="36"/>
  <c r="AR60" i="36"/>
  <c r="AR59" i="36"/>
  <c r="AR58" i="36"/>
  <c r="AR57" i="36"/>
  <c r="AR56" i="36"/>
  <c r="AR55" i="36"/>
  <c r="AR54" i="36"/>
  <c r="AR53" i="36"/>
  <c r="AR52" i="36"/>
  <c r="AR51" i="36"/>
  <c r="AR50" i="36"/>
  <c r="AR49" i="36"/>
  <c r="AR48" i="36"/>
  <c r="AS47" i="36"/>
  <c r="AR47" i="36"/>
  <c r="AW61" i="36"/>
  <c r="AW60" i="36"/>
  <c r="AW59" i="36"/>
  <c r="AW58" i="36"/>
  <c r="AW57" i="36"/>
  <c r="AW56" i="36"/>
  <c r="AW55" i="36"/>
  <c r="AW54" i="36"/>
  <c r="AW53" i="36"/>
  <c r="AW52" i="36"/>
  <c r="AW51" i="36"/>
  <c r="AW50" i="36"/>
  <c r="AW49" i="36"/>
  <c r="AW48" i="36"/>
  <c r="AX47" i="36"/>
  <c r="AW47" i="36"/>
  <c r="AW21" i="36"/>
  <c r="AW20" i="36"/>
  <c r="AW19" i="36"/>
  <c r="AW18" i="36"/>
  <c r="AW17" i="36"/>
  <c r="AW16" i="36"/>
  <c r="AW15" i="36"/>
  <c r="AW14" i="36"/>
  <c r="AW13" i="36"/>
  <c r="AW12" i="36"/>
  <c r="AW11" i="36"/>
  <c r="AW10" i="36"/>
  <c r="AW9" i="36"/>
  <c r="AW8" i="36"/>
  <c r="AW7" i="36"/>
  <c r="AR21" i="36"/>
  <c r="AR20" i="36"/>
  <c r="AR19" i="36"/>
  <c r="AR18" i="36"/>
  <c r="AR17" i="36"/>
  <c r="AR16" i="36"/>
  <c r="AR15" i="36"/>
  <c r="AR14" i="36"/>
  <c r="AR13" i="36"/>
  <c r="AR12" i="36"/>
  <c r="AR11" i="36"/>
  <c r="AR10" i="36"/>
  <c r="AR9" i="36"/>
  <c r="AR8" i="36"/>
  <c r="AR7" i="36"/>
  <c r="AM21" i="36"/>
  <c r="AM20" i="36"/>
  <c r="AM19" i="36"/>
  <c r="AM18" i="36"/>
  <c r="AM17" i="36"/>
  <c r="AM16" i="36"/>
  <c r="AM15" i="36"/>
  <c r="AM14" i="36"/>
  <c r="AM13" i="36"/>
  <c r="AM12" i="36"/>
  <c r="AM11" i="36"/>
  <c r="AM10" i="36"/>
  <c r="AM9" i="36"/>
  <c r="AM8" i="36"/>
  <c r="AM7" i="36"/>
  <c r="AW21" i="35"/>
  <c r="AW20" i="35"/>
  <c r="AW19" i="35"/>
  <c r="AW18" i="35"/>
  <c r="AW17" i="35"/>
  <c r="AW16" i="35"/>
  <c r="AW15" i="35"/>
  <c r="AW14" i="35"/>
  <c r="AW13" i="35"/>
  <c r="AW12" i="35"/>
  <c r="AW11" i="35"/>
  <c r="AW10" i="35"/>
  <c r="AW9" i="35"/>
  <c r="AW8" i="35"/>
  <c r="AW7" i="35"/>
  <c r="AR21" i="35"/>
  <c r="AR20" i="35"/>
  <c r="AR19" i="35"/>
  <c r="AR18" i="35"/>
  <c r="AR17" i="35"/>
  <c r="AR16" i="35"/>
  <c r="AR15" i="35"/>
  <c r="AR14" i="35"/>
  <c r="AR13" i="35"/>
  <c r="AR12" i="35"/>
  <c r="AR11" i="35"/>
  <c r="AR10" i="35"/>
  <c r="AR9" i="35"/>
  <c r="AR8" i="35"/>
  <c r="AR7" i="35"/>
  <c r="AM21" i="35"/>
  <c r="AM20" i="35"/>
  <c r="AM19" i="35"/>
  <c r="AM18" i="35"/>
  <c r="AM17" i="35"/>
  <c r="AM16" i="35"/>
  <c r="AM15" i="35"/>
  <c r="AM14" i="35"/>
  <c r="AM13" i="35"/>
  <c r="AM12" i="35"/>
  <c r="AM11" i="35"/>
  <c r="AM10" i="35"/>
  <c r="AM9" i="35"/>
  <c r="AM8" i="35"/>
  <c r="AM7" i="35"/>
  <c r="S61" i="35"/>
  <c r="S60" i="35"/>
  <c r="S59" i="35"/>
  <c r="S58" i="35"/>
  <c r="S57" i="35"/>
  <c r="S56" i="35"/>
  <c r="S55" i="35"/>
  <c r="S54" i="35"/>
  <c r="S53" i="35"/>
  <c r="S52" i="35"/>
  <c r="S51" i="35"/>
  <c r="S50" i="35"/>
  <c r="S49" i="35"/>
  <c r="S48" i="35"/>
  <c r="T47" i="35"/>
  <c r="S47" i="35"/>
  <c r="X61" i="35"/>
  <c r="X60" i="35"/>
  <c r="X59" i="35"/>
  <c r="X58" i="35"/>
  <c r="X57" i="35"/>
  <c r="X56" i="35"/>
  <c r="X55" i="35"/>
  <c r="X54" i="35"/>
  <c r="X53" i="35"/>
  <c r="X52" i="35"/>
  <c r="X51" i="35"/>
  <c r="X50" i="35"/>
  <c r="X49" i="35"/>
  <c r="X48" i="35"/>
  <c r="Y47" i="35"/>
  <c r="X47" i="35"/>
  <c r="AC61" i="35"/>
  <c r="AC60" i="35"/>
  <c r="AC59" i="35"/>
  <c r="AC58" i="35"/>
  <c r="AC57" i="35"/>
  <c r="AC56" i="35"/>
  <c r="AC55" i="35"/>
  <c r="AC54" i="35"/>
  <c r="AC53" i="35"/>
  <c r="AC52" i="35"/>
  <c r="AC51" i="35"/>
  <c r="AC50" i="35"/>
  <c r="AC49" i="35"/>
  <c r="AC48" i="35"/>
  <c r="AD47" i="35"/>
  <c r="AC47" i="35"/>
  <c r="AH61" i="35"/>
  <c r="AH60" i="35"/>
  <c r="AH59" i="35"/>
  <c r="AH58" i="35"/>
  <c r="AH57" i="35"/>
  <c r="AH56" i="35"/>
  <c r="AH55" i="35"/>
  <c r="AH54" i="35"/>
  <c r="AH53" i="35"/>
  <c r="AH52" i="35"/>
  <c r="AH51" i="35"/>
  <c r="AH50" i="35"/>
  <c r="AH49" i="35"/>
  <c r="AH48" i="35"/>
  <c r="AI47" i="35"/>
  <c r="AH47" i="35"/>
  <c r="AM61" i="35"/>
  <c r="AM60" i="35"/>
  <c r="AM59" i="35"/>
  <c r="AM58" i="35"/>
  <c r="AM57" i="35"/>
  <c r="AM56" i="35"/>
  <c r="AM55" i="35"/>
  <c r="AM54" i="35"/>
  <c r="AM53" i="35"/>
  <c r="AM52" i="35"/>
  <c r="AM51" i="35"/>
  <c r="AM50" i="35"/>
  <c r="AM49" i="35"/>
  <c r="AM48" i="35"/>
  <c r="AN47" i="35"/>
  <c r="AM47" i="35"/>
  <c r="AR61" i="35"/>
  <c r="AR60" i="35"/>
  <c r="AR59" i="35"/>
  <c r="AR58" i="35"/>
  <c r="AR57" i="35"/>
  <c r="AR56" i="35"/>
  <c r="AR55" i="35"/>
  <c r="AR54" i="35"/>
  <c r="AR53" i="35"/>
  <c r="AR52" i="35"/>
  <c r="AR51" i="35"/>
  <c r="AR50" i="35"/>
  <c r="AR49" i="35"/>
  <c r="AR48" i="35"/>
  <c r="AS47" i="35"/>
  <c r="AR47" i="35"/>
  <c r="AW61" i="35"/>
  <c r="AW60" i="35"/>
  <c r="AW59" i="35"/>
  <c r="AW58" i="35"/>
  <c r="AW57" i="35"/>
  <c r="AW56" i="35"/>
  <c r="AW55" i="35"/>
  <c r="AW54" i="35"/>
  <c r="AW53" i="35"/>
  <c r="AW52" i="35"/>
  <c r="AW51" i="35"/>
  <c r="AW50" i="35"/>
  <c r="AW49" i="35"/>
  <c r="AW48" i="35"/>
  <c r="AX47" i="35"/>
  <c r="AW47" i="35"/>
  <c r="AW21" i="34"/>
  <c r="AW20" i="34"/>
  <c r="AW19" i="34"/>
  <c r="AW18" i="34"/>
  <c r="AW17" i="34"/>
  <c r="AW16" i="34"/>
  <c r="AW15" i="34"/>
  <c r="AW14" i="34"/>
  <c r="AW13" i="34"/>
  <c r="AW12" i="34"/>
  <c r="AW11" i="34"/>
  <c r="AW10" i="34"/>
  <c r="AW9" i="34"/>
  <c r="AW8" i="34"/>
  <c r="AW7" i="34"/>
  <c r="AR21" i="34"/>
  <c r="AR20" i="34"/>
  <c r="AR19" i="34"/>
  <c r="AR18" i="34"/>
  <c r="AR17" i="34"/>
  <c r="AR16" i="34"/>
  <c r="AR15" i="34"/>
  <c r="AR14" i="34"/>
  <c r="AR13" i="34"/>
  <c r="AR12" i="34"/>
  <c r="AR11" i="34"/>
  <c r="AR10" i="34"/>
  <c r="AR9" i="34"/>
  <c r="AR8" i="34"/>
  <c r="AR7" i="34"/>
  <c r="AM21" i="34"/>
  <c r="AM20" i="34"/>
  <c r="AM19" i="34"/>
  <c r="AM18" i="34"/>
  <c r="AM17" i="34"/>
  <c r="AM16" i="34"/>
  <c r="AM15" i="34"/>
  <c r="AM14" i="34"/>
  <c r="AM13" i="34"/>
  <c r="AM12" i="34"/>
  <c r="AM11" i="34"/>
  <c r="AM10" i="34"/>
  <c r="AM9" i="34"/>
  <c r="AM8" i="34"/>
  <c r="AM7" i="34"/>
  <c r="S61" i="34"/>
  <c r="S60" i="34"/>
  <c r="S59" i="34"/>
  <c r="S58" i="34"/>
  <c r="S57" i="34"/>
  <c r="S56" i="34"/>
  <c r="S55" i="34"/>
  <c r="S54" i="34"/>
  <c r="S53" i="34"/>
  <c r="S52" i="34"/>
  <c r="S51" i="34"/>
  <c r="S50" i="34"/>
  <c r="S49" i="34"/>
  <c r="S48" i="34"/>
  <c r="T47" i="34"/>
  <c r="S47" i="34"/>
  <c r="X61" i="34"/>
  <c r="X60" i="34"/>
  <c r="X59" i="34"/>
  <c r="X58" i="34"/>
  <c r="X57" i="34"/>
  <c r="X56" i="34"/>
  <c r="X55" i="34"/>
  <c r="X54" i="34"/>
  <c r="X53" i="34"/>
  <c r="X52" i="34"/>
  <c r="X51" i="34"/>
  <c r="X50" i="34"/>
  <c r="X49" i="34"/>
  <c r="X48" i="34"/>
  <c r="Y47" i="34"/>
  <c r="X47" i="34"/>
  <c r="AC61" i="34"/>
  <c r="AC60" i="34"/>
  <c r="AC59" i="34"/>
  <c r="AC58" i="34"/>
  <c r="AC57" i="34"/>
  <c r="AC56" i="34"/>
  <c r="AC55" i="34"/>
  <c r="AC54" i="34"/>
  <c r="AC53" i="34"/>
  <c r="AC52" i="34"/>
  <c r="AC51" i="34"/>
  <c r="AC50" i="34"/>
  <c r="AC49" i="34"/>
  <c r="AC48" i="34"/>
  <c r="AD47" i="34"/>
  <c r="AC47" i="34"/>
  <c r="AH61" i="34"/>
  <c r="AH60" i="34"/>
  <c r="AH59" i="34"/>
  <c r="AH58" i="34"/>
  <c r="AH57" i="34"/>
  <c r="AH56" i="34"/>
  <c r="AH55" i="34"/>
  <c r="AH54" i="34"/>
  <c r="AH53" i="34"/>
  <c r="AH52" i="34"/>
  <c r="AH51" i="34"/>
  <c r="AH50" i="34"/>
  <c r="AH49" i="34"/>
  <c r="AH48" i="34"/>
  <c r="AI47" i="34"/>
  <c r="AH47" i="34"/>
  <c r="AM61" i="34"/>
  <c r="AM60" i="34"/>
  <c r="AM59" i="34"/>
  <c r="AM58" i="34"/>
  <c r="AM57" i="34"/>
  <c r="AM56" i="34"/>
  <c r="AM55" i="34"/>
  <c r="AM54" i="34"/>
  <c r="AM53" i="34"/>
  <c r="AM52" i="34"/>
  <c r="AM51" i="34"/>
  <c r="AM50" i="34"/>
  <c r="AM49" i="34"/>
  <c r="AM48" i="34"/>
  <c r="AN47" i="34"/>
  <c r="AM47" i="34"/>
  <c r="AR61" i="34"/>
  <c r="AR60" i="34"/>
  <c r="AR59" i="34"/>
  <c r="AR58" i="34"/>
  <c r="AR57" i="34"/>
  <c r="AR56" i="34"/>
  <c r="AR55" i="34"/>
  <c r="AR54" i="34"/>
  <c r="AR53" i="34"/>
  <c r="AR52" i="34"/>
  <c r="AR51" i="34"/>
  <c r="AR50" i="34"/>
  <c r="AR49" i="34"/>
  <c r="AR48" i="34"/>
  <c r="AS47" i="34"/>
  <c r="AR47" i="34"/>
  <c r="AW61" i="34"/>
  <c r="AW60" i="34"/>
  <c r="AW59" i="34"/>
  <c r="AW58" i="34"/>
  <c r="AW57" i="34"/>
  <c r="AW56" i="34"/>
  <c r="AW55" i="34"/>
  <c r="AW54" i="34"/>
  <c r="AW53" i="34"/>
  <c r="AW52" i="34"/>
  <c r="AW51" i="34"/>
  <c r="AW50" i="34"/>
  <c r="AW49" i="34"/>
  <c r="AW48" i="34"/>
  <c r="AX47" i="34"/>
  <c r="AW47" i="34"/>
  <c r="S106" i="33"/>
  <c r="S105" i="33"/>
  <c r="S104" i="33"/>
  <c r="S103" i="33"/>
  <c r="S102" i="33"/>
  <c r="S101" i="33"/>
  <c r="S100" i="33"/>
  <c r="S99" i="33"/>
  <c r="S98" i="33"/>
  <c r="S97" i="33"/>
  <c r="S96" i="33"/>
  <c r="S95" i="33"/>
  <c r="S94" i="33"/>
  <c r="S93" i="33"/>
  <c r="S92" i="33"/>
  <c r="S91" i="33"/>
  <c r="S90" i="33"/>
  <c r="S89" i="33"/>
  <c r="S88" i="33"/>
  <c r="S87" i="33"/>
  <c r="S86" i="33"/>
  <c r="S85" i="33"/>
  <c r="S84" i="33"/>
  <c r="S83" i="33"/>
  <c r="S82" i="33"/>
  <c r="S81" i="33"/>
  <c r="S80" i="33"/>
  <c r="S79" i="33"/>
  <c r="S78" i="33"/>
  <c r="T77" i="33"/>
  <c r="S77" i="33"/>
  <c r="X106" i="33"/>
  <c r="X105" i="33"/>
  <c r="X104" i="33"/>
  <c r="X103" i="33"/>
  <c r="X102" i="33"/>
  <c r="X101" i="33"/>
  <c r="X100" i="33"/>
  <c r="X99" i="33"/>
  <c r="X98" i="33"/>
  <c r="X97" i="33"/>
  <c r="X96" i="33"/>
  <c r="X95" i="33"/>
  <c r="X94" i="33"/>
  <c r="X93" i="33"/>
  <c r="X92" i="33"/>
  <c r="X91" i="33"/>
  <c r="X90" i="33"/>
  <c r="X89" i="33"/>
  <c r="X88" i="33"/>
  <c r="X87" i="33"/>
  <c r="X86" i="33"/>
  <c r="X85" i="33"/>
  <c r="X84" i="33"/>
  <c r="X83" i="33"/>
  <c r="X82" i="33"/>
  <c r="X81" i="33"/>
  <c r="X80" i="33"/>
  <c r="X79" i="33"/>
  <c r="X78" i="33"/>
  <c r="Y77" i="33"/>
  <c r="X77" i="33"/>
  <c r="AC106" i="33"/>
  <c r="AC105" i="33"/>
  <c r="AC104" i="33"/>
  <c r="AC103" i="33"/>
  <c r="AC102" i="33"/>
  <c r="AC101" i="33"/>
  <c r="AC100" i="33"/>
  <c r="AC99" i="33"/>
  <c r="AC98" i="33"/>
  <c r="AC97" i="33"/>
  <c r="AC96" i="33"/>
  <c r="AC95" i="33"/>
  <c r="AC94" i="33"/>
  <c r="AC93" i="33"/>
  <c r="AC92" i="33"/>
  <c r="AC91" i="33"/>
  <c r="AC90" i="33"/>
  <c r="AC89" i="33"/>
  <c r="AC88" i="33"/>
  <c r="AC87" i="33"/>
  <c r="AC86" i="33"/>
  <c r="AC85" i="33"/>
  <c r="AC84" i="33"/>
  <c r="AC83" i="33"/>
  <c r="AC82" i="33"/>
  <c r="AC81" i="33"/>
  <c r="AC80" i="33"/>
  <c r="AC79" i="33"/>
  <c r="AC78" i="33"/>
  <c r="AD77" i="33"/>
  <c r="AC77" i="33"/>
  <c r="AH106" i="33"/>
  <c r="AH105" i="33"/>
  <c r="AH104" i="33"/>
  <c r="AH103" i="33"/>
  <c r="AH102" i="33"/>
  <c r="AH101" i="33"/>
  <c r="AH100" i="33"/>
  <c r="AH99" i="33"/>
  <c r="AH98" i="33"/>
  <c r="AH97" i="33"/>
  <c r="AH96" i="33"/>
  <c r="AH95" i="33"/>
  <c r="AH94" i="33"/>
  <c r="AH93" i="33"/>
  <c r="AH92" i="33"/>
  <c r="AH91" i="33"/>
  <c r="AH90" i="33"/>
  <c r="AH89" i="33"/>
  <c r="AH88" i="33"/>
  <c r="AH87" i="33"/>
  <c r="AH86" i="33"/>
  <c r="AH85" i="33"/>
  <c r="AH84" i="33"/>
  <c r="AH83" i="33"/>
  <c r="AH82" i="33"/>
  <c r="AH81" i="33"/>
  <c r="AH80" i="33"/>
  <c r="AH79" i="33"/>
  <c r="AH78" i="33"/>
  <c r="AI77" i="33"/>
  <c r="AH77" i="33"/>
  <c r="AM106" i="33"/>
  <c r="AM105" i="33"/>
  <c r="AM104" i="33"/>
  <c r="AM103" i="33"/>
  <c r="AM102" i="33"/>
  <c r="AM101" i="33"/>
  <c r="AM100" i="33"/>
  <c r="AM99" i="33"/>
  <c r="AM98" i="33"/>
  <c r="AM97" i="33"/>
  <c r="AM96" i="33"/>
  <c r="AM95" i="33"/>
  <c r="AM94" i="33"/>
  <c r="AM93" i="33"/>
  <c r="AM92" i="33"/>
  <c r="AM91" i="33"/>
  <c r="AM90" i="33"/>
  <c r="AM89" i="33"/>
  <c r="AM88" i="33"/>
  <c r="AM87" i="33"/>
  <c r="AM86" i="33"/>
  <c r="AM85" i="33"/>
  <c r="AM84" i="33"/>
  <c r="AM83" i="33"/>
  <c r="AM82" i="33"/>
  <c r="AM81" i="33"/>
  <c r="AM80" i="33"/>
  <c r="AM79" i="33"/>
  <c r="AM78" i="33"/>
  <c r="AN77" i="33"/>
  <c r="AM77" i="33"/>
  <c r="AR106" i="33"/>
  <c r="AR105" i="33"/>
  <c r="AR104" i="33"/>
  <c r="AR103" i="33"/>
  <c r="AR102" i="33"/>
  <c r="AR101" i="33"/>
  <c r="AR100" i="33"/>
  <c r="AR99" i="33"/>
  <c r="AR98" i="33"/>
  <c r="AR97" i="33"/>
  <c r="AR96" i="33"/>
  <c r="AR95" i="33"/>
  <c r="AR94" i="33"/>
  <c r="AR93" i="33"/>
  <c r="AR92" i="33"/>
  <c r="AR91" i="33"/>
  <c r="AR90" i="33"/>
  <c r="AR89" i="33"/>
  <c r="AR88" i="33"/>
  <c r="AR87" i="33"/>
  <c r="AR86" i="33"/>
  <c r="AR85" i="33"/>
  <c r="AR84" i="33"/>
  <c r="AR83" i="33"/>
  <c r="AR82" i="33"/>
  <c r="AR81" i="33"/>
  <c r="AR80" i="33"/>
  <c r="AR79" i="33"/>
  <c r="AR78" i="33"/>
  <c r="AS77" i="33"/>
  <c r="AR77" i="33"/>
  <c r="AW106" i="33"/>
  <c r="AW105" i="33"/>
  <c r="AW104" i="33"/>
  <c r="AW103" i="33"/>
  <c r="AW102" i="33"/>
  <c r="AW101" i="33"/>
  <c r="AW100" i="33"/>
  <c r="AW99" i="33"/>
  <c r="AW98" i="33"/>
  <c r="AW97" i="33"/>
  <c r="AW96" i="33"/>
  <c r="AW95" i="33"/>
  <c r="AW94" i="33"/>
  <c r="AW93" i="33"/>
  <c r="AW92" i="33"/>
  <c r="AW91" i="33"/>
  <c r="AW90" i="33"/>
  <c r="AW89" i="33"/>
  <c r="AW88" i="33"/>
  <c r="AW87" i="33"/>
  <c r="AW86" i="33"/>
  <c r="AW85" i="33"/>
  <c r="AW84" i="33"/>
  <c r="AW83" i="33"/>
  <c r="AW82" i="33"/>
  <c r="AW81" i="33"/>
  <c r="AW80" i="33"/>
  <c r="AW79" i="33"/>
  <c r="AW78" i="33"/>
  <c r="AX77" i="33"/>
  <c r="AW77" i="33"/>
  <c r="AW36" i="33"/>
  <c r="AW35" i="33"/>
  <c r="AW34" i="33"/>
  <c r="AW33" i="33"/>
  <c r="AW32" i="33"/>
  <c r="AW31" i="33"/>
  <c r="AW30" i="33"/>
  <c r="AW29" i="33"/>
  <c r="AW28" i="33"/>
  <c r="AW27" i="33"/>
  <c r="AW26" i="33"/>
  <c r="AW25" i="33"/>
  <c r="AW24" i="33"/>
  <c r="AW23" i="33"/>
  <c r="AW22" i="33"/>
  <c r="AW21" i="33"/>
  <c r="AW20" i="33"/>
  <c r="AW19" i="33"/>
  <c r="AW18" i="33"/>
  <c r="AW17" i="33"/>
  <c r="AW16" i="33"/>
  <c r="AW15" i="33"/>
  <c r="AW14" i="33"/>
  <c r="AW13" i="33"/>
  <c r="AW12" i="33"/>
  <c r="AW11" i="33"/>
  <c r="AW10" i="33"/>
  <c r="AW9" i="33"/>
  <c r="AW8" i="33"/>
  <c r="AW7" i="33"/>
  <c r="AR36" i="33"/>
  <c r="AR35" i="33"/>
  <c r="AR34" i="33"/>
  <c r="AR33" i="33"/>
  <c r="AR32" i="33"/>
  <c r="AR31" i="33"/>
  <c r="AR30" i="33"/>
  <c r="AR29" i="33"/>
  <c r="AR28" i="33"/>
  <c r="AR27" i="33"/>
  <c r="AR26" i="33"/>
  <c r="AR25" i="33"/>
  <c r="AR24" i="33"/>
  <c r="AR23" i="33"/>
  <c r="AR22" i="33"/>
  <c r="AR21" i="33"/>
  <c r="AR20" i="33"/>
  <c r="AR19" i="33"/>
  <c r="AR18" i="33"/>
  <c r="AR17" i="33"/>
  <c r="AR16" i="33"/>
  <c r="AR15" i="33"/>
  <c r="AR14" i="33"/>
  <c r="AR13" i="33"/>
  <c r="AR12" i="33"/>
  <c r="AR11" i="33"/>
  <c r="AR10" i="33"/>
  <c r="AR9" i="33"/>
  <c r="AR8" i="33"/>
  <c r="AR7" i="33"/>
  <c r="AM36" i="33"/>
  <c r="AM35" i="33"/>
  <c r="AM34" i="33"/>
  <c r="AM33" i="33"/>
  <c r="AM32" i="33"/>
  <c r="AM31" i="33"/>
  <c r="AM30" i="33"/>
  <c r="AM29" i="33"/>
  <c r="AM28" i="33"/>
  <c r="AM27" i="33"/>
  <c r="AM26" i="33"/>
  <c r="AM25" i="33"/>
  <c r="AM24" i="33"/>
  <c r="AM23" i="33"/>
  <c r="AM22" i="33"/>
  <c r="AM21" i="33"/>
  <c r="AM20" i="33"/>
  <c r="AM19" i="33"/>
  <c r="AM18" i="33"/>
  <c r="AM17" i="33"/>
  <c r="AM16" i="33"/>
  <c r="AM15" i="33"/>
  <c r="AM14" i="33"/>
  <c r="AM13" i="33"/>
  <c r="AM12" i="33"/>
  <c r="AM11" i="33"/>
  <c r="AM10" i="33"/>
  <c r="AM9" i="33"/>
  <c r="AM8" i="33"/>
  <c r="AM7" i="33"/>
  <c r="S61" i="31"/>
  <c r="S60" i="31"/>
  <c r="S59" i="31"/>
  <c r="S58" i="31"/>
  <c r="S57" i="31"/>
  <c r="S56" i="31"/>
  <c r="S55" i="31"/>
  <c r="S54" i="31"/>
  <c r="S53" i="31"/>
  <c r="S52" i="31"/>
  <c r="S51" i="31"/>
  <c r="S50" i="31"/>
  <c r="S49" i="31"/>
  <c r="S48" i="31"/>
  <c r="T47" i="31"/>
  <c r="S47" i="31"/>
  <c r="X61" i="31"/>
  <c r="X60" i="31"/>
  <c r="X59" i="31"/>
  <c r="X58" i="31"/>
  <c r="X57" i="31"/>
  <c r="X56" i="31"/>
  <c r="X55" i="31"/>
  <c r="X54" i="31"/>
  <c r="X53" i="31"/>
  <c r="X52" i="31"/>
  <c r="X51" i="31"/>
  <c r="X50" i="31"/>
  <c r="X49" i="31"/>
  <c r="X48" i="31"/>
  <c r="Y47" i="31"/>
  <c r="X47" i="31"/>
  <c r="AC61" i="31"/>
  <c r="AC60" i="31"/>
  <c r="AC59" i="31"/>
  <c r="AC58" i="31"/>
  <c r="AC57" i="31"/>
  <c r="AC56" i="31"/>
  <c r="AC55" i="31"/>
  <c r="AC54" i="31"/>
  <c r="AC53" i="31"/>
  <c r="AC52" i="31"/>
  <c r="AC51" i="31"/>
  <c r="AC50" i="31"/>
  <c r="AC49" i="31"/>
  <c r="AC48" i="31"/>
  <c r="AD47" i="31"/>
  <c r="AC47" i="31"/>
  <c r="AH61" i="31"/>
  <c r="AH60" i="31"/>
  <c r="AH59" i="31"/>
  <c r="AH58" i="31"/>
  <c r="AH57" i="31"/>
  <c r="AH56" i="31"/>
  <c r="AH55" i="31"/>
  <c r="AH54" i="31"/>
  <c r="AH53" i="31"/>
  <c r="AH52" i="31"/>
  <c r="AH51" i="31"/>
  <c r="AH50" i="31"/>
  <c r="AH49" i="31"/>
  <c r="AH48" i="31"/>
  <c r="AI47" i="31"/>
  <c r="AH47" i="31"/>
  <c r="AM61" i="31"/>
  <c r="AM60" i="31"/>
  <c r="AM59" i="31"/>
  <c r="AM58" i="31"/>
  <c r="AM57" i="31"/>
  <c r="AM56" i="31"/>
  <c r="AM55" i="31"/>
  <c r="AM54" i="31"/>
  <c r="AM53" i="31"/>
  <c r="AM52" i="31"/>
  <c r="AM51" i="31"/>
  <c r="AM50" i="31"/>
  <c r="AM49" i="31"/>
  <c r="AM48" i="31"/>
  <c r="AN47" i="31"/>
  <c r="AM47" i="31"/>
  <c r="AR61" i="31"/>
  <c r="AR60" i="31"/>
  <c r="AR59" i="31"/>
  <c r="AR58" i="31"/>
  <c r="AR57" i="31"/>
  <c r="AR56" i="31"/>
  <c r="AR55" i="31"/>
  <c r="AR54" i="31"/>
  <c r="AR53" i="31"/>
  <c r="AR52" i="31"/>
  <c r="AR51" i="31"/>
  <c r="AR50" i="31"/>
  <c r="AR49" i="31"/>
  <c r="AR48" i="31"/>
  <c r="AS47" i="31"/>
  <c r="AR47" i="31"/>
  <c r="AW61" i="31"/>
  <c r="AW60" i="31"/>
  <c r="AW59" i="31"/>
  <c r="AW58" i="31"/>
  <c r="AW57" i="31"/>
  <c r="AW56" i="31"/>
  <c r="AW55" i="31"/>
  <c r="AW54" i="31"/>
  <c r="AW53" i="31"/>
  <c r="AW52" i="31"/>
  <c r="AW51" i="31"/>
  <c r="AW50" i="31"/>
  <c r="AW49" i="31"/>
  <c r="AW48" i="31"/>
  <c r="AX47" i="31"/>
  <c r="AW47" i="31"/>
  <c r="AW21" i="31"/>
  <c r="AW20" i="31"/>
  <c r="AW19" i="31"/>
  <c r="AW18" i="31"/>
  <c r="AW17" i="31"/>
  <c r="AW16" i="31"/>
  <c r="AW15" i="31"/>
  <c r="AW14" i="31"/>
  <c r="AW13" i="31"/>
  <c r="AW12" i="31"/>
  <c r="AW11" i="31"/>
  <c r="AW10" i="31"/>
  <c r="AW9" i="31"/>
  <c r="AW8" i="31"/>
  <c r="AX7" i="31"/>
  <c r="AW7" i="31"/>
  <c r="AR21" i="31"/>
  <c r="AR20" i="31"/>
  <c r="AR19" i="31"/>
  <c r="AR18" i="31"/>
  <c r="AR17" i="31"/>
  <c r="AR16" i="31"/>
  <c r="AR15" i="31"/>
  <c r="AR14" i="31"/>
  <c r="AR13" i="31"/>
  <c r="AR12" i="31"/>
  <c r="AR11" i="31"/>
  <c r="AR10" i="31"/>
  <c r="AR9" i="31"/>
  <c r="AR8" i="31"/>
  <c r="AS7" i="31"/>
  <c r="AR7" i="31"/>
  <c r="AM21" i="31"/>
  <c r="AM20" i="31"/>
  <c r="AM19" i="31"/>
  <c r="AM18" i="31"/>
  <c r="AM17" i="31"/>
  <c r="AM16" i="31"/>
  <c r="AM15" i="31"/>
  <c r="AM14" i="31"/>
  <c r="AM13" i="31"/>
  <c r="AM12" i="31"/>
  <c r="AM11" i="31"/>
  <c r="AM10" i="31"/>
  <c r="AM9" i="31"/>
  <c r="AM8" i="31"/>
  <c r="AN7" i="31"/>
  <c r="AM7" i="31"/>
  <c r="AI7" i="31"/>
  <c r="S61" i="32"/>
  <c r="S60" i="32"/>
  <c r="S59" i="32"/>
  <c r="S58" i="32"/>
  <c r="S57" i="32"/>
  <c r="S56" i="32"/>
  <c r="S55" i="32"/>
  <c r="S54" i="32"/>
  <c r="S53" i="32"/>
  <c r="S52" i="32"/>
  <c r="S51" i="32"/>
  <c r="S50" i="32"/>
  <c r="S49" i="32"/>
  <c r="S48" i="32"/>
  <c r="T47" i="32"/>
  <c r="S47" i="32"/>
  <c r="X61" i="32"/>
  <c r="X60" i="32"/>
  <c r="X59" i="32"/>
  <c r="X58" i="32"/>
  <c r="X57" i="32"/>
  <c r="X56" i="32"/>
  <c r="X55" i="32"/>
  <c r="X54" i="32"/>
  <c r="X53" i="32"/>
  <c r="X52" i="32"/>
  <c r="X51" i="32"/>
  <c r="X50" i="32"/>
  <c r="X49" i="32"/>
  <c r="X48" i="32"/>
  <c r="Y47" i="32"/>
  <c r="X47" i="32"/>
  <c r="AC61" i="32"/>
  <c r="AC60" i="32"/>
  <c r="AC59" i="32"/>
  <c r="AC58" i="32"/>
  <c r="AC57" i="32"/>
  <c r="AC56" i="32"/>
  <c r="AC55" i="32"/>
  <c r="AC54" i="32"/>
  <c r="AC53" i="32"/>
  <c r="AC52" i="32"/>
  <c r="AC51" i="32"/>
  <c r="AC50" i="32"/>
  <c r="AC49" i="32"/>
  <c r="AC48" i="32"/>
  <c r="AD47" i="32"/>
  <c r="AC47" i="32"/>
  <c r="AH61" i="32"/>
  <c r="AH60" i="32"/>
  <c r="AH59" i="32"/>
  <c r="AH58" i="32"/>
  <c r="AH57" i="32"/>
  <c r="AH56" i="32"/>
  <c r="AH55" i="32"/>
  <c r="AH54" i="32"/>
  <c r="AH53" i="32"/>
  <c r="AH52" i="32"/>
  <c r="AH51" i="32"/>
  <c r="AH50" i="32"/>
  <c r="AH49" i="32"/>
  <c r="AH48" i="32"/>
  <c r="AI47" i="32"/>
  <c r="AH47" i="32"/>
  <c r="AM61" i="32"/>
  <c r="AM60" i="32"/>
  <c r="AM59" i="32"/>
  <c r="AM58" i="32"/>
  <c r="AM57" i="32"/>
  <c r="AM56" i="32"/>
  <c r="AM55" i="32"/>
  <c r="AM54" i="32"/>
  <c r="AM53" i="32"/>
  <c r="AM52" i="32"/>
  <c r="AM51" i="32"/>
  <c r="AM50" i="32"/>
  <c r="AM49" i="32"/>
  <c r="AM48" i="32"/>
  <c r="AN47" i="32"/>
  <c r="AM47" i="32"/>
  <c r="AR61" i="32"/>
  <c r="AR60" i="32"/>
  <c r="AR59" i="32"/>
  <c r="AR58" i="32"/>
  <c r="AR57" i="32"/>
  <c r="AR56" i="32"/>
  <c r="AR55" i="32"/>
  <c r="AR54" i="32"/>
  <c r="AR53" i="32"/>
  <c r="AR52" i="32"/>
  <c r="AR51" i="32"/>
  <c r="AR50" i="32"/>
  <c r="AR49" i="32"/>
  <c r="AR48" i="32"/>
  <c r="AS47" i="32"/>
  <c r="AR47" i="32"/>
  <c r="AW61" i="32"/>
  <c r="AW60" i="32"/>
  <c r="AW59" i="32"/>
  <c r="AW58" i="32"/>
  <c r="AW57" i="32"/>
  <c r="AW56" i="32"/>
  <c r="AW55" i="32"/>
  <c r="AW54" i="32"/>
  <c r="AW53" i="32"/>
  <c r="AW52" i="32"/>
  <c r="AW51" i="32"/>
  <c r="AW50" i="32"/>
  <c r="AW49" i="32"/>
  <c r="AW48" i="32"/>
  <c r="AX47" i="32"/>
  <c r="AW47" i="32"/>
  <c r="AW21" i="32"/>
  <c r="AW20" i="32"/>
  <c r="AW19" i="32"/>
  <c r="AW18" i="32"/>
  <c r="AW17" i="32"/>
  <c r="AW16" i="32"/>
  <c r="AW15" i="32"/>
  <c r="AW14" i="32"/>
  <c r="AW13" i="32"/>
  <c r="AW12" i="32"/>
  <c r="AW11" i="32"/>
  <c r="AW10" i="32"/>
  <c r="AW9" i="32"/>
  <c r="AW8" i="32"/>
  <c r="AW7" i="32"/>
  <c r="AR21" i="32"/>
  <c r="AR20" i="32"/>
  <c r="AR19" i="32"/>
  <c r="AR18" i="32"/>
  <c r="AR17" i="32"/>
  <c r="AR16" i="32"/>
  <c r="AR15" i="32"/>
  <c r="AR14" i="32"/>
  <c r="AR13" i="32"/>
  <c r="AR12" i="32"/>
  <c r="AR11" i="32"/>
  <c r="AR10" i="32"/>
  <c r="AR9" i="32"/>
  <c r="AR8" i="32"/>
  <c r="AR7" i="32"/>
  <c r="AM21" i="32"/>
  <c r="AM20" i="32"/>
  <c r="AM19" i="32"/>
  <c r="AM18" i="32"/>
  <c r="AM17" i="32"/>
  <c r="AM16" i="32"/>
  <c r="AM15" i="32"/>
  <c r="AM14" i="32"/>
  <c r="AM13" i="32"/>
  <c r="AM12" i="32"/>
  <c r="AM11" i="32"/>
  <c r="AM10" i="32"/>
  <c r="AM9" i="32"/>
  <c r="AM8" i="32"/>
  <c r="AM7" i="32"/>
  <c r="S61" i="30"/>
  <c r="S60" i="30"/>
  <c r="S59" i="30"/>
  <c r="S58" i="30"/>
  <c r="S57" i="30"/>
  <c r="S56" i="30"/>
  <c r="S55" i="30"/>
  <c r="S54" i="30"/>
  <c r="S53" i="30"/>
  <c r="S52" i="30"/>
  <c r="S51" i="30"/>
  <c r="S50" i="30"/>
  <c r="S49" i="30"/>
  <c r="S48" i="30"/>
  <c r="T47" i="30"/>
  <c r="S47" i="30"/>
  <c r="X61" i="30"/>
  <c r="X60" i="30"/>
  <c r="X59" i="30"/>
  <c r="X58" i="30"/>
  <c r="X57" i="30"/>
  <c r="X56" i="30"/>
  <c r="X55" i="30"/>
  <c r="X54" i="30"/>
  <c r="X53" i="30"/>
  <c r="X52" i="30"/>
  <c r="X51" i="30"/>
  <c r="X50" i="30"/>
  <c r="X49" i="30"/>
  <c r="X48" i="30"/>
  <c r="Y47" i="30"/>
  <c r="X47" i="30"/>
  <c r="AC61" i="30"/>
  <c r="AC60" i="30"/>
  <c r="AC59" i="30"/>
  <c r="AC58" i="30"/>
  <c r="AC57" i="30"/>
  <c r="AC56" i="30"/>
  <c r="AC55" i="30"/>
  <c r="AC54" i="30"/>
  <c r="AC53" i="30"/>
  <c r="AC52" i="30"/>
  <c r="AC51" i="30"/>
  <c r="AC50" i="30"/>
  <c r="AC49" i="30"/>
  <c r="AC48" i="30"/>
  <c r="AD47" i="30"/>
  <c r="AC47" i="30"/>
  <c r="AH61" i="30"/>
  <c r="AH60" i="30"/>
  <c r="AH59" i="30"/>
  <c r="AH58" i="30"/>
  <c r="AH57" i="30"/>
  <c r="AH56" i="30"/>
  <c r="AH55" i="30"/>
  <c r="AH54" i="30"/>
  <c r="AH53" i="30"/>
  <c r="AH52" i="30"/>
  <c r="AH51" i="30"/>
  <c r="AH50" i="30"/>
  <c r="AH49" i="30"/>
  <c r="AH48" i="30"/>
  <c r="AI47" i="30"/>
  <c r="AH47" i="30"/>
  <c r="AM61" i="30"/>
  <c r="AM60" i="30"/>
  <c r="AM59" i="30"/>
  <c r="AM58" i="30"/>
  <c r="AM57" i="30"/>
  <c r="AM56" i="30"/>
  <c r="AM55" i="30"/>
  <c r="AM54" i="30"/>
  <c r="AM53" i="30"/>
  <c r="AM52" i="30"/>
  <c r="AM51" i="30"/>
  <c r="AM50" i="30"/>
  <c r="AM49" i="30"/>
  <c r="AM48" i="30"/>
  <c r="AN47" i="30"/>
  <c r="AM47" i="30"/>
  <c r="AR61" i="30"/>
  <c r="AR60" i="30"/>
  <c r="AR59" i="30"/>
  <c r="AR58" i="30"/>
  <c r="AR57" i="30"/>
  <c r="AR56" i="30"/>
  <c r="AR55" i="30"/>
  <c r="AR54" i="30"/>
  <c r="AR53" i="30"/>
  <c r="AR52" i="30"/>
  <c r="AR51" i="30"/>
  <c r="AR50" i="30"/>
  <c r="AR49" i="30"/>
  <c r="AR48" i="30"/>
  <c r="AS47" i="30"/>
  <c r="AR47" i="30"/>
  <c r="AW61" i="30"/>
  <c r="AW60" i="30"/>
  <c r="AW59" i="30"/>
  <c r="AW58" i="30"/>
  <c r="AW57" i="30"/>
  <c r="AW56" i="30"/>
  <c r="AW55" i="30"/>
  <c r="AW54" i="30"/>
  <c r="AW53" i="30"/>
  <c r="AW52" i="30"/>
  <c r="AW51" i="30"/>
  <c r="AW50" i="30"/>
  <c r="AW49" i="30"/>
  <c r="AW48" i="30"/>
  <c r="AX47" i="30"/>
  <c r="AW47" i="30"/>
  <c r="AZ48" i="30"/>
  <c r="AZ49" i="30"/>
  <c r="AZ50" i="30"/>
  <c r="AZ51" i="30"/>
  <c r="AZ52" i="30"/>
  <c r="AZ53" i="30"/>
  <c r="AZ54" i="30"/>
  <c r="AZ55" i="30"/>
  <c r="AZ56" i="30"/>
  <c r="AZ57" i="30"/>
  <c r="AZ58" i="30"/>
  <c r="AZ59" i="30"/>
  <c r="AZ60" i="30"/>
  <c r="AZ61" i="30"/>
  <c r="AW21" i="30"/>
  <c r="AW20" i="30"/>
  <c r="AW19" i="30"/>
  <c r="AW18" i="30"/>
  <c r="AW17" i="30"/>
  <c r="AW16" i="30"/>
  <c r="AW15" i="30"/>
  <c r="AW14" i="30"/>
  <c r="AW13" i="30"/>
  <c r="AW12" i="30"/>
  <c r="AW11" i="30"/>
  <c r="AW10" i="30"/>
  <c r="AW9" i="30"/>
  <c r="AW8" i="30"/>
  <c r="AW7" i="30"/>
  <c r="AR21" i="30"/>
  <c r="AR20" i="30"/>
  <c r="AR19" i="30"/>
  <c r="AR18" i="30"/>
  <c r="AR17" i="30"/>
  <c r="AR16" i="30"/>
  <c r="AR15" i="30"/>
  <c r="AR14" i="30"/>
  <c r="AR13" i="30"/>
  <c r="AR12" i="30"/>
  <c r="AR11" i="30"/>
  <c r="AR10" i="30"/>
  <c r="AR9" i="30"/>
  <c r="AR8" i="30"/>
  <c r="AR7" i="30"/>
  <c r="AM21" i="30"/>
  <c r="AM20" i="30"/>
  <c r="AM19" i="30"/>
  <c r="AM18" i="30"/>
  <c r="AM17" i="30"/>
  <c r="AM16" i="30"/>
  <c r="AM15" i="30"/>
  <c r="AM14" i="30"/>
  <c r="AM13" i="30"/>
  <c r="AM12" i="30"/>
  <c r="AM11" i="30"/>
  <c r="AM10" i="30"/>
  <c r="AM9" i="30"/>
  <c r="AM8" i="30"/>
  <c r="AM7" i="30"/>
  <c r="S106" i="8"/>
  <c r="S105" i="8"/>
  <c r="S104" i="8"/>
  <c r="S103" i="8"/>
  <c r="S102" i="8"/>
  <c r="S101" i="8"/>
  <c r="S100" i="8"/>
  <c r="S99" i="8"/>
  <c r="S98" i="8"/>
  <c r="S97" i="8"/>
  <c r="S96" i="8"/>
  <c r="S95" i="8"/>
  <c r="S94" i="8"/>
  <c r="S93" i="8"/>
  <c r="S92" i="8"/>
  <c r="S91" i="8"/>
  <c r="S90" i="8"/>
  <c r="S89" i="8"/>
  <c r="S88" i="8"/>
  <c r="S87" i="8"/>
  <c r="S86" i="8"/>
  <c r="S85" i="8"/>
  <c r="S84" i="8"/>
  <c r="S83" i="8"/>
  <c r="S82" i="8"/>
  <c r="S81" i="8"/>
  <c r="S80" i="8"/>
  <c r="S79" i="8"/>
  <c r="S78" i="8"/>
  <c r="T77" i="8"/>
  <c r="S77" i="8"/>
  <c r="X106" i="8"/>
  <c r="X105" i="8"/>
  <c r="X104" i="8"/>
  <c r="X103" i="8"/>
  <c r="X102" i="8"/>
  <c r="X101" i="8"/>
  <c r="X100" i="8"/>
  <c r="X99" i="8"/>
  <c r="X98" i="8"/>
  <c r="X97" i="8"/>
  <c r="X96" i="8"/>
  <c r="X95" i="8"/>
  <c r="X94" i="8"/>
  <c r="X93" i="8"/>
  <c r="X92" i="8"/>
  <c r="X91" i="8"/>
  <c r="X90" i="8"/>
  <c r="X89" i="8"/>
  <c r="X88" i="8"/>
  <c r="X87" i="8"/>
  <c r="X86" i="8"/>
  <c r="X85" i="8"/>
  <c r="X84" i="8"/>
  <c r="X83" i="8"/>
  <c r="X82" i="8"/>
  <c r="X81" i="8"/>
  <c r="X80" i="8"/>
  <c r="X79" i="8"/>
  <c r="X78" i="8"/>
  <c r="Y77" i="8"/>
  <c r="X77" i="8"/>
  <c r="AC106" i="8"/>
  <c r="AC105" i="8"/>
  <c r="AC104" i="8"/>
  <c r="AC103" i="8"/>
  <c r="AC102" i="8"/>
  <c r="AC101" i="8"/>
  <c r="AC100" i="8"/>
  <c r="AC99" i="8"/>
  <c r="AC98" i="8"/>
  <c r="AC97" i="8"/>
  <c r="AC96" i="8"/>
  <c r="AC95" i="8"/>
  <c r="AC94" i="8"/>
  <c r="AC93" i="8"/>
  <c r="AC92" i="8"/>
  <c r="AC91" i="8"/>
  <c r="AC90" i="8"/>
  <c r="AC89" i="8"/>
  <c r="AC88" i="8"/>
  <c r="AC87" i="8"/>
  <c r="AC86" i="8"/>
  <c r="AC85" i="8"/>
  <c r="AC84" i="8"/>
  <c r="AC83" i="8"/>
  <c r="AC82" i="8"/>
  <c r="AC81" i="8"/>
  <c r="AC80" i="8"/>
  <c r="AC79" i="8"/>
  <c r="AC78" i="8"/>
  <c r="AD77" i="8"/>
  <c r="AC77" i="8"/>
  <c r="AH106" i="8"/>
  <c r="AH105" i="8"/>
  <c r="AH104" i="8"/>
  <c r="AH103" i="8"/>
  <c r="AH102" i="8"/>
  <c r="AH101" i="8"/>
  <c r="AH100" i="8"/>
  <c r="AH99" i="8"/>
  <c r="AH98" i="8"/>
  <c r="AH97" i="8"/>
  <c r="AH96" i="8"/>
  <c r="AH95" i="8"/>
  <c r="AH94" i="8"/>
  <c r="AH93" i="8"/>
  <c r="AH92" i="8"/>
  <c r="AH91" i="8"/>
  <c r="AH90" i="8"/>
  <c r="AH89" i="8"/>
  <c r="AH88" i="8"/>
  <c r="AH87" i="8"/>
  <c r="AH86" i="8"/>
  <c r="AH85" i="8"/>
  <c r="AH84" i="8"/>
  <c r="AH83" i="8"/>
  <c r="AH82" i="8"/>
  <c r="AH81" i="8"/>
  <c r="AH80" i="8"/>
  <c r="AH79" i="8"/>
  <c r="AH78" i="8"/>
  <c r="AI77" i="8"/>
  <c r="AH77" i="8"/>
  <c r="AM106" i="8"/>
  <c r="AM105" i="8"/>
  <c r="AM104" i="8"/>
  <c r="AM103" i="8"/>
  <c r="AM102" i="8"/>
  <c r="AM101" i="8"/>
  <c r="AM100" i="8"/>
  <c r="AM99" i="8"/>
  <c r="AM98" i="8"/>
  <c r="AM97" i="8"/>
  <c r="AM96" i="8"/>
  <c r="AM95" i="8"/>
  <c r="AM94" i="8"/>
  <c r="AM93" i="8"/>
  <c r="AM92" i="8"/>
  <c r="AM91" i="8"/>
  <c r="AM90" i="8"/>
  <c r="AM89" i="8"/>
  <c r="AM88" i="8"/>
  <c r="AM87" i="8"/>
  <c r="AM86" i="8"/>
  <c r="AM85" i="8"/>
  <c r="AM84" i="8"/>
  <c r="AM83" i="8"/>
  <c r="AM82" i="8"/>
  <c r="AM81" i="8"/>
  <c r="AM80" i="8"/>
  <c r="AM79" i="8"/>
  <c r="AM78" i="8"/>
  <c r="AN77" i="8"/>
  <c r="AM77" i="8"/>
  <c r="AR106" i="8"/>
  <c r="AR105" i="8"/>
  <c r="AR104" i="8"/>
  <c r="AR103" i="8"/>
  <c r="AR102" i="8"/>
  <c r="AR101" i="8"/>
  <c r="AR100" i="8"/>
  <c r="AR99" i="8"/>
  <c r="AR98" i="8"/>
  <c r="AR97" i="8"/>
  <c r="AR96" i="8"/>
  <c r="AR95" i="8"/>
  <c r="AR94" i="8"/>
  <c r="AR93" i="8"/>
  <c r="AR92" i="8"/>
  <c r="AR91" i="8"/>
  <c r="AR90" i="8"/>
  <c r="AR89" i="8"/>
  <c r="AR88" i="8"/>
  <c r="AR87" i="8"/>
  <c r="AR86" i="8"/>
  <c r="AR85" i="8"/>
  <c r="AR84" i="8"/>
  <c r="AR83" i="8"/>
  <c r="AR82" i="8"/>
  <c r="AR81" i="8"/>
  <c r="AR80" i="8"/>
  <c r="AR79" i="8"/>
  <c r="AR78" i="8"/>
  <c r="AS77" i="8"/>
  <c r="AR77" i="8"/>
  <c r="AW106" i="8"/>
  <c r="AW105" i="8"/>
  <c r="AW104" i="8"/>
  <c r="AW103" i="8"/>
  <c r="AW102" i="8"/>
  <c r="AW101" i="8"/>
  <c r="AW100" i="8"/>
  <c r="AW99" i="8"/>
  <c r="AW98" i="8"/>
  <c r="AW97" i="8"/>
  <c r="AW96" i="8"/>
  <c r="AW95" i="8"/>
  <c r="AW94" i="8"/>
  <c r="AW93" i="8"/>
  <c r="AW92" i="8"/>
  <c r="AW91" i="8"/>
  <c r="AW90" i="8"/>
  <c r="AW89" i="8"/>
  <c r="AW88" i="8"/>
  <c r="AW87" i="8"/>
  <c r="AW86" i="8"/>
  <c r="AW85" i="8"/>
  <c r="AW84" i="8"/>
  <c r="AW83" i="8"/>
  <c r="AW82" i="8"/>
  <c r="AW81" i="8"/>
  <c r="AW80" i="8"/>
  <c r="AW79" i="8"/>
  <c r="AW78" i="8"/>
  <c r="AX77" i="8"/>
  <c r="AW77" i="8"/>
  <c r="AR36" i="8"/>
  <c r="AR35" i="8"/>
  <c r="AR34" i="8"/>
  <c r="AR33" i="8"/>
  <c r="AR32" i="8"/>
  <c r="AR31" i="8"/>
  <c r="AR30" i="8"/>
  <c r="AR29" i="8"/>
  <c r="AR28" i="8"/>
  <c r="AR27" i="8"/>
  <c r="AR26" i="8"/>
  <c r="AR25" i="8"/>
  <c r="AR24" i="8"/>
  <c r="AR23" i="8"/>
  <c r="AR22" i="8"/>
  <c r="AR21" i="8"/>
  <c r="AR20" i="8"/>
  <c r="AR19" i="8"/>
  <c r="AR18" i="8"/>
  <c r="AR17" i="8"/>
  <c r="AR16" i="8"/>
  <c r="AR15" i="8"/>
  <c r="AR14" i="8"/>
  <c r="AR13" i="8"/>
  <c r="AR12" i="8"/>
  <c r="AR11" i="8"/>
  <c r="AR10" i="8"/>
  <c r="AR9" i="8"/>
  <c r="AR8" i="8"/>
  <c r="AS7" i="8"/>
  <c r="AR7" i="8"/>
  <c r="AW36" i="8"/>
  <c r="AW35" i="8"/>
  <c r="AW34" i="8"/>
  <c r="AW33" i="8"/>
  <c r="AW32" i="8"/>
  <c r="AW31" i="8"/>
  <c r="AW30" i="8"/>
  <c r="AW29" i="8"/>
  <c r="AW28" i="8"/>
  <c r="AW27" i="8"/>
  <c r="AW26" i="8"/>
  <c r="AW25" i="8"/>
  <c r="AW24" i="8"/>
  <c r="AW23" i="8"/>
  <c r="AW22" i="8"/>
  <c r="AW21" i="8"/>
  <c r="AW20" i="8"/>
  <c r="AW19" i="8"/>
  <c r="AW18" i="8"/>
  <c r="AW17" i="8"/>
  <c r="AW16" i="8"/>
  <c r="AW15" i="8"/>
  <c r="AW14" i="8"/>
  <c r="AW13" i="8"/>
  <c r="AW12" i="8"/>
  <c r="AW11" i="8"/>
  <c r="AW10" i="8"/>
  <c r="AW9" i="8"/>
  <c r="AW8" i="8"/>
  <c r="AX7" i="8"/>
  <c r="AW7" i="8"/>
  <c r="AM36" i="8"/>
  <c r="AM35" i="8"/>
  <c r="AM34" i="8"/>
  <c r="AM33" i="8"/>
  <c r="AM32" i="8"/>
  <c r="AM31" i="8"/>
  <c r="AM30" i="8"/>
  <c r="AM29" i="8"/>
  <c r="AM28" i="8"/>
  <c r="AM27" i="8"/>
  <c r="AM26" i="8"/>
  <c r="AM25" i="8"/>
  <c r="AM24" i="8"/>
  <c r="AM23" i="8"/>
  <c r="AM22" i="8"/>
  <c r="AM21" i="8"/>
  <c r="AM20" i="8"/>
  <c r="AM19" i="8"/>
  <c r="AM18" i="8"/>
  <c r="AM17" i="8"/>
  <c r="AM16" i="8"/>
  <c r="AM15" i="8"/>
  <c r="AM14" i="8"/>
  <c r="AM13" i="8"/>
  <c r="AM12" i="8"/>
  <c r="AM11" i="8"/>
  <c r="AM10" i="8"/>
  <c r="AM9" i="8"/>
  <c r="AM8" i="8"/>
  <c r="AN7" i="8"/>
  <c r="AM7" i="8"/>
  <c r="S41" i="37" l="1"/>
  <c r="S40" i="37"/>
  <c r="S39" i="37"/>
  <c r="S38" i="37"/>
  <c r="S37" i="37"/>
  <c r="S36" i="37"/>
  <c r="S35" i="37"/>
  <c r="S34" i="37"/>
  <c r="S33" i="37"/>
  <c r="S32" i="37"/>
  <c r="S31" i="37"/>
  <c r="S30" i="37"/>
  <c r="S29" i="37"/>
  <c r="S28" i="37"/>
  <c r="T27" i="37"/>
  <c r="S27" i="37"/>
  <c r="X41" i="37"/>
  <c r="X40" i="37"/>
  <c r="X39" i="37"/>
  <c r="X38" i="37"/>
  <c r="X37" i="37"/>
  <c r="X36" i="37"/>
  <c r="X35" i="37"/>
  <c r="X34" i="37"/>
  <c r="X33" i="37"/>
  <c r="X32" i="37"/>
  <c r="X31" i="37"/>
  <c r="X30" i="37"/>
  <c r="X29" i="37"/>
  <c r="X28" i="37"/>
  <c r="Y27" i="37"/>
  <c r="X27" i="37"/>
  <c r="AC41" i="37"/>
  <c r="AC40" i="37"/>
  <c r="AC39" i="37"/>
  <c r="AC38" i="37"/>
  <c r="AC37" i="37"/>
  <c r="AC36" i="37"/>
  <c r="AC35" i="37"/>
  <c r="AC34" i="37"/>
  <c r="AC33" i="37"/>
  <c r="AC32" i="37"/>
  <c r="AC31" i="37"/>
  <c r="AC30" i="37"/>
  <c r="AC29" i="37"/>
  <c r="AC28" i="37"/>
  <c r="AD27" i="37"/>
  <c r="AC27" i="37"/>
  <c r="AH41" i="37"/>
  <c r="AH40" i="37"/>
  <c r="AH39" i="37"/>
  <c r="AH38" i="37"/>
  <c r="AH37" i="37"/>
  <c r="AH36" i="37"/>
  <c r="AH35" i="37"/>
  <c r="AH34" i="37"/>
  <c r="AH33" i="37"/>
  <c r="AH32" i="37"/>
  <c r="AH31" i="37"/>
  <c r="AH30" i="37"/>
  <c r="AH29" i="37"/>
  <c r="AH28" i="37"/>
  <c r="AI27" i="37"/>
  <c r="AH27" i="37"/>
  <c r="AM41" i="37"/>
  <c r="AM40" i="37"/>
  <c r="AM39" i="37"/>
  <c r="AM38" i="37"/>
  <c r="AM37" i="37"/>
  <c r="AM36" i="37"/>
  <c r="AM35" i="37"/>
  <c r="AM34" i="37"/>
  <c r="AM33" i="37"/>
  <c r="AM32" i="37"/>
  <c r="AM31" i="37"/>
  <c r="AM30" i="37"/>
  <c r="AM29" i="37"/>
  <c r="AM28" i="37"/>
  <c r="AN27" i="37"/>
  <c r="AM27" i="37"/>
  <c r="AR41" i="37"/>
  <c r="AR40" i="37"/>
  <c r="AR39" i="37"/>
  <c r="AR38" i="37"/>
  <c r="AR37" i="37"/>
  <c r="AR36" i="37"/>
  <c r="AR35" i="37"/>
  <c r="AR34" i="37"/>
  <c r="AR33" i="37"/>
  <c r="AR32" i="37"/>
  <c r="AR31" i="37"/>
  <c r="AR30" i="37"/>
  <c r="AR29" i="37"/>
  <c r="AR28" i="37"/>
  <c r="AS27" i="37"/>
  <c r="AR27" i="37"/>
  <c r="AW41" i="37"/>
  <c r="AW40" i="37"/>
  <c r="AW39" i="37"/>
  <c r="AW38" i="37"/>
  <c r="AW37" i="37"/>
  <c r="AW36" i="37"/>
  <c r="AW35" i="37"/>
  <c r="AW34" i="37"/>
  <c r="AW33" i="37"/>
  <c r="AW32" i="37"/>
  <c r="AW31" i="37"/>
  <c r="AW30" i="37"/>
  <c r="AW29" i="37"/>
  <c r="AW28" i="37"/>
  <c r="AX27" i="37"/>
  <c r="AW27" i="37"/>
  <c r="S41" i="36"/>
  <c r="S40" i="36"/>
  <c r="S39" i="36"/>
  <c r="S38" i="36"/>
  <c r="S37" i="36"/>
  <c r="S36" i="36"/>
  <c r="S35" i="36"/>
  <c r="S34" i="36"/>
  <c r="S33" i="36"/>
  <c r="S32" i="36"/>
  <c r="S31" i="36"/>
  <c r="S30" i="36"/>
  <c r="S29" i="36"/>
  <c r="S28" i="36"/>
  <c r="T27" i="36"/>
  <c r="S27" i="36"/>
  <c r="X41" i="36"/>
  <c r="X40" i="36"/>
  <c r="X39" i="36"/>
  <c r="X38" i="36"/>
  <c r="X37" i="36"/>
  <c r="X36" i="36"/>
  <c r="X35" i="36"/>
  <c r="X34" i="36"/>
  <c r="X33" i="36"/>
  <c r="X32" i="36"/>
  <c r="X31" i="36"/>
  <c r="X30" i="36"/>
  <c r="X29" i="36"/>
  <c r="X28" i="36"/>
  <c r="Y27" i="36"/>
  <c r="X27" i="36"/>
  <c r="AC41" i="36"/>
  <c r="AC40" i="36"/>
  <c r="AC39" i="36"/>
  <c r="AC38" i="36"/>
  <c r="AC37" i="36"/>
  <c r="AC36" i="36"/>
  <c r="AC35" i="36"/>
  <c r="AC34" i="36"/>
  <c r="AC33" i="36"/>
  <c r="AC32" i="36"/>
  <c r="AC31" i="36"/>
  <c r="AC30" i="36"/>
  <c r="AC29" i="36"/>
  <c r="AC28" i="36"/>
  <c r="AD27" i="36"/>
  <c r="AC27" i="36"/>
  <c r="AH41" i="36"/>
  <c r="AH40" i="36"/>
  <c r="AH39" i="36"/>
  <c r="AH38" i="36"/>
  <c r="AH37" i="36"/>
  <c r="AH36" i="36"/>
  <c r="AH35" i="36"/>
  <c r="AH34" i="36"/>
  <c r="AH33" i="36"/>
  <c r="AH32" i="36"/>
  <c r="AH31" i="36"/>
  <c r="AH30" i="36"/>
  <c r="AH29" i="36"/>
  <c r="AH28" i="36"/>
  <c r="AI27" i="36"/>
  <c r="AH27" i="36"/>
  <c r="AM41" i="36"/>
  <c r="AM40" i="36"/>
  <c r="AM39" i="36"/>
  <c r="AM38" i="36"/>
  <c r="AM37" i="36"/>
  <c r="AM36" i="36"/>
  <c r="AM35" i="36"/>
  <c r="AM34" i="36"/>
  <c r="AM33" i="36"/>
  <c r="AM32" i="36"/>
  <c r="AM31" i="36"/>
  <c r="AM30" i="36"/>
  <c r="AM29" i="36"/>
  <c r="AM28" i="36"/>
  <c r="AN27" i="36"/>
  <c r="AM27" i="36"/>
  <c r="AR41" i="36"/>
  <c r="AR40" i="36"/>
  <c r="AR39" i="36"/>
  <c r="AR38" i="36"/>
  <c r="AR37" i="36"/>
  <c r="AR36" i="36"/>
  <c r="AR35" i="36"/>
  <c r="AR34" i="36"/>
  <c r="AR33" i="36"/>
  <c r="AR32" i="36"/>
  <c r="AR31" i="36"/>
  <c r="AR30" i="36"/>
  <c r="AR29" i="36"/>
  <c r="AR28" i="36"/>
  <c r="AS27" i="36"/>
  <c r="AR27" i="36"/>
  <c r="AW41" i="36"/>
  <c r="AW40" i="36"/>
  <c r="AW39" i="36"/>
  <c r="AW38" i="36"/>
  <c r="AW37" i="36"/>
  <c r="AW36" i="36"/>
  <c r="AW35" i="36"/>
  <c r="AW34" i="36"/>
  <c r="AW33" i="36"/>
  <c r="AW32" i="36"/>
  <c r="AW31" i="36"/>
  <c r="AW30" i="36"/>
  <c r="AW29" i="36"/>
  <c r="AW28" i="36"/>
  <c r="AX27" i="36"/>
  <c r="AW27" i="36"/>
  <c r="S41" i="35"/>
  <c r="S40" i="35"/>
  <c r="S39" i="35"/>
  <c r="S38" i="35"/>
  <c r="S37" i="35"/>
  <c r="S36" i="35"/>
  <c r="S35" i="35"/>
  <c r="S34" i="35"/>
  <c r="S33" i="35"/>
  <c r="S32" i="35"/>
  <c r="S31" i="35"/>
  <c r="S30" i="35"/>
  <c r="S29" i="35"/>
  <c r="S28" i="35"/>
  <c r="T27" i="35"/>
  <c r="S27" i="35"/>
  <c r="X41" i="35"/>
  <c r="X40" i="35"/>
  <c r="X39" i="35"/>
  <c r="X38" i="35"/>
  <c r="X37" i="35"/>
  <c r="X36" i="35"/>
  <c r="X35" i="35"/>
  <c r="X34" i="35"/>
  <c r="X33" i="35"/>
  <c r="X32" i="35"/>
  <c r="X31" i="35"/>
  <c r="X30" i="35"/>
  <c r="X29" i="35"/>
  <c r="X28" i="35"/>
  <c r="Y27" i="35"/>
  <c r="X27" i="35"/>
  <c r="AC41" i="35"/>
  <c r="AC40" i="35"/>
  <c r="AC39" i="35"/>
  <c r="AC38" i="35"/>
  <c r="AC37" i="35"/>
  <c r="AC36" i="35"/>
  <c r="AC35" i="35"/>
  <c r="AC34" i="35"/>
  <c r="AC33" i="35"/>
  <c r="AC32" i="35"/>
  <c r="AC31" i="35"/>
  <c r="AC30" i="35"/>
  <c r="AC29" i="35"/>
  <c r="AC28" i="35"/>
  <c r="AD27" i="35"/>
  <c r="AC27" i="35"/>
  <c r="AH41" i="35"/>
  <c r="AH40" i="35"/>
  <c r="AH39" i="35"/>
  <c r="AH38" i="35"/>
  <c r="AH37" i="35"/>
  <c r="AH36" i="35"/>
  <c r="AH35" i="35"/>
  <c r="AH34" i="35"/>
  <c r="AH33" i="35"/>
  <c r="AH32" i="35"/>
  <c r="AH31" i="35"/>
  <c r="AH30" i="35"/>
  <c r="AH29" i="35"/>
  <c r="AH28" i="35"/>
  <c r="AI27" i="35"/>
  <c r="AH27" i="35"/>
  <c r="AM41" i="35"/>
  <c r="AM40" i="35"/>
  <c r="AM39" i="35"/>
  <c r="AM38" i="35"/>
  <c r="AM37" i="35"/>
  <c r="AM36" i="35"/>
  <c r="AM35" i="35"/>
  <c r="AM34" i="35"/>
  <c r="AM33" i="35"/>
  <c r="AM32" i="35"/>
  <c r="AM31" i="35"/>
  <c r="AM30" i="35"/>
  <c r="AM29" i="35"/>
  <c r="AM28" i="35"/>
  <c r="AN27" i="35"/>
  <c r="AM27" i="35"/>
  <c r="AR41" i="35"/>
  <c r="AR40" i="35"/>
  <c r="AR39" i="35"/>
  <c r="AR38" i="35"/>
  <c r="AR37" i="35"/>
  <c r="AR36" i="35"/>
  <c r="AR35" i="35"/>
  <c r="AR34" i="35"/>
  <c r="AR33" i="35"/>
  <c r="AR32" i="35"/>
  <c r="AR31" i="35"/>
  <c r="AR30" i="35"/>
  <c r="AR29" i="35"/>
  <c r="AR28" i="35"/>
  <c r="AS27" i="35"/>
  <c r="AR27" i="35"/>
  <c r="AW41" i="35"/>
  <c r="AW40" i="35"/>
  <c r="AW39" i="35"/>
  <c r="AW38" i="35"/>
  <c r="AW37" i="35"/>
  <c r="AW36" i="35"/>
  <c r="AW35" i="35"/>
  <c r="AW34" i="35"/>
  <c r="AW33" i="35"/>
  <c r="AW32" i="35"/>
  <c r="AW31" i="35"/>
  <c r="AW30" i="35"/>
  <c r="AW29" i="35"/>
  <c r="AW28" i="35"/>
  <c r="AX27" i="35"/>
  <c r="AW27" i="35"/>
  <c r="S41" i="34"/>
  <c r="S40" i="34"/>
  <c r="S39" i="34"/>
  <c r="S38" i="34"/>
  <c r="S37" i="34"/>
  <c r="S36" i="34"/>
  <c r="S35" i="34"/>
  <c r="S34" i="34"/>
  <c r="S33" i="34"/>
  <c r="S32" i="34"/>
  <c r="S31" i="34"/>
  <c r="S30" i="34"/>
  <c r="S29" i="34"/>
  <c r="S28" i="34"/>
  <c r="T27" i="34"/>
  <c r="S27" i="34"/>
  <c r="X41" i="34"/>
  <c r="X40" i="34"/>
  <c r="X39" i="34"/>
  <c r="X38" i="34"/>
  <c r="X37" i="34"/>
  <c r="X36" i="34"/>
  <c r="X35" i="34"/>
  <c r="X34" i="34"/>
  <c r="X33" i="34"/>
  <c r="X32" i="34"/>
  <c r="X31" i="34"/>
  <c r="X30" i="34"/>
  <c r="X29" i="34"/>
  <c r="X28" i="34"/>
  <c r="Y27" i="34"/>
  <c r="X27" i="34"/>
  <c r="AC41" i="34"/>
  <c r="AC40" i="34"/>
  <c r="AC39" i="34"/>
  <c r="AC38" i="34"/>
  <c r="AC37" i="34"/>
  <c r="AC36" i="34"/>
  <c r="AC35" i="34"/>
  <c r="AC34" i="34"/>
  <c r="AC33" i="34"/>
  <c r="AC32" i="34"/>
  <c r="AC31" i="34"/>
  <c r="AC30" i="34"/>
  <c r="AC29" i="34"/>
  <c r="AC28" i="34"/>
  <c r="AD27" i="34"/>
  <c r="AC27" i="34"/>
  <c r="AH41" i="34"/>
  <c r="AH40" i="34"/>
  <c r="AH39" i="34"/>
  <c r="AH38" i="34"/>
  <c r="AH37" i="34"/>
  <c r="AH36" i="34"/>
  <c r="AH35" i="34"/>
  <c r="AH34" i="34"/>
  <c r="AH33" i="34"/>
  <c r="AH32" i="34"/>
  <c r="AH31" i="34"/>
  <c r="AH30" i="34"/>
  <c r="AH29" i="34"/>
  <c r="AH28" i="34"/>
  <c r="AI27" i="34"/>
  <c r="AH27" i="34"/>
  <c r="AM41" i="34"/>
  <c r="AM40" i="34"/>
  <c r="AM39" i="34"/>
  <c r="AM38" i="34"/>
  <c r="AM37" i="34"/>
  <c r="AM36" i="34"/>
  <c r="AM35" i="34"/>
  <c r="AM34" i="34"/>
  <c r="AM33" i="34"/>
  <c r="AM32" i="34"/>
  <c r="AM31" i="34"/>
  <c r="AM30" i="34"/>
  <c r="AM29" i="34"/>
  <c r="AM28" i="34"/>
  <c r="AN27" i="34"/>
  <c r="AM27" i="34"/>
  <c r="AR41" i="34"/>
  <c r="AR40" i="34"/>
  <c r="AR39" i="34"/>
  <c r="AR38" i="34"/>
  <c r="AR37" i="34"/>
  <c r="AR36" i="34"/>
  <c r="AR35" i="34"/>
  <c r="AR34" i="34"/>
  <c r="AR33" i="34"/>
  <c r="AR32" i="34"/>
  <c r="AR31" i="34"/>
  <c r="AR30" i="34"/>
  <c r="AR29" i="34"/>
  <c r="AR28" i="34"/>
  <c r="AS27" i="34"/>
  <c r="AR27" i="34"/>
  <c r="AW41" i="34"/>
  <c r="AW40" i="34"/>
  <c r="AW39" i="34"/>
  <c r="AW38" i="34"/>
  <c r="AW37" i="34"/>
  <c r="AW36" i="34"/>
  <c r="AW35" i="34"/>
  <c r="AW34" i="34"/>
  <c r="AW33" i="34"/>
  <c r="AW32" i="34"/>
  <c r="AW31" i="34"/>
  <c r="AW30" i="34"/>
  <c r="AW29" i="34"/>
  <c r="AW28" i="34"/>
  <c r="AX27" i="34"/>
  <c r="AW27" i="34"/>
  <c r="S71" i="33"/>
  <c r="S70" i="33"/>
  <c r="S69" i="33"/>
  <c r="S68" i="33"/>
  <c r="S67" i="33"/>
  <c r="S66" i="33"/>
  <c r="S65" i="33"/>
  <c r="S64" i="33"/>
  <c r="S63" i="33"/>
  <c r="S62" i="33"/>
  <c r="S61" i="33"/>
  <c r="S60" i="33"/>
  <c r="S59" i="33"/>
  <c r="S58" i="33"/>
  <c r="S57" i="33"/>
  <c r="S56" i="33"/>
  <c r="S55" i="33"/>
  <c r="S54" i="33"/>
  <c r="S53" i="33"/>
  <c r="S52" i="33"/>
  <c r="S51" i="33"/>
  <c r="S50" i="33"/>
  <c r="S49" i="33"/>
  <c r="S48" i="33"/>
  <c r="S47" i="33"/>
  <c r="S46" i="33"/>
  <c r="S45" i="33"/>
  <c r="S44" i="33"/>
  <c r="S43" i="33"/>
  <c r="T42" i="33"/>
  <c r="S42" i="33"/>
  <c r="X71" i="33"/>
  <c r="X70" i="33"/>
  <c r="X69" i="33"/>
  <c r="X68" i="33"/>
  <c r="X67" i="33"/>
  <c r="X66" i="33"/>
  <c r="X65" i="33"/>
  <c r="X64" i="33"/>
  <c r="X63" i="33"/>
  <c r="X62" i="33"/>
  <c r="X61" i="33"/>
  <c r="X60" i="33"/>
  <c r="X59" i="33"/>
  <c r="X58" i="33"/>
  <c r="X57" i="33"/>
  <c r="X56" i="33"/>
  <c r="X55" i="33"/>
  <c r="X54" i="33"/>
  <c r="X53" i="33"/>
  <c r="X52" i="33"/>
  <c r="X51" i="33"/>
  <c r="X50" i="33"/>
  <c r="X49" i="33"/>
  <c r="X48" i="33"/>
  <c r="X47" i="33"/>
  <c r="X46" i="33"/>
  <c r="X45" i="33"/>
  <c r="X44" i="33"/>
  <c r="X43" i="33"/>
  <c r="Y42" i="33"/>
  <c r="X42" i="33"/>
  <c r="AC71" i="33"/>
  <c r="AC70" i="33"/>
  <c r="AC69" i="33"/>
  <c r="AC68" i="33"/>
  <c r="AC67" i="33"/>
  <c r="AC66" i="33"/>
  <c r="AC65" i="33"/>
  <c r="AC64" i="33"/>
  <c r="AC63" i="33"/>
  <c r="AC62" i="33"/>
  <c r="AC61" i="33"/>
  <c r="AC60" i="33"/>
  <c r="AC59" i="33"/>
  <c r="AC58" i="33"/>
  <c r="AC57" i="33"/>
  <c r="AC56" i="33"/>
  <c r="AC55" i="33"/>
  <c r="AC54" i="33"/>
  <c r="AC53" i="33"/>
  <c r="AC52" i="33"/>
  <c r="AC51" i="33"/>
  <c r="AC50" i="33"/>
  <c r="AC49" i="33"/>
  <c r="AC48" i="33"/>
  <c r="AC47" i="33"/>
  <c r="AC46" i="33"/>
  <c r="AC45" i="33"/>
  <c r="AC44" i="33"/>
  <c r="AC43" i="33"/>
  <c r="AD42" i="33"/>
  <c r="AC42" i="33"/>
  <c r="AH71" i="33"/>
  <c r="AH70" i="33"/>
  <c r="AH69" i="33"/>
  <c r="AH68" i="33"/>
  <c r="AH67" i="33"/>
  <c r="AH66" i="33"/>
  <c r="AH65" i="33"/>
  <c r="AH64" i="33"/>
  <c r="AH63" i="33"/>
  <c r="AH62" i="33"/>
  <c r="AH61" i="33"/>
  <c r="AH60" i="33"/>
  <c r="AH59" i="33"/>
  <c r="AH58" i="33"/>
  <c r="AH57" i="33"/>
  <c r="AH56" i="33"/>
  <c r="AH55" i="33"/>
  <c r="AH54" i="33"/>
  <c r="AH53" i="33"/>
  <c r="AH52" i="33"/>
  <c r="AH51" i="33"/>
  <c r="AH50" i="33"/>
  <c r="AH49" i="33"/>
  <c r="AH48" i="33"/>
  <c r="AH47" i="33"/>
  <c r="AH46" i="33"/>
  <c r="AH45" i="33"/>
  <c r="AH44" i="33"/>
  <c r="AH43" i="33"/>
  <c r="AI42" i="33"/>
  <c r="AH42" i="33"/>
  <c r="AM71" i="33"/>
  <c r="AM70" i="33"/>
  <c r="AM69" i="33"/>
  <c r="AM68" i="33"/>
  <c r="AM67" i="33"/>
  <c r="AM66" i="33"/>
  <c r="AM65" i="33"/>
  <c r="AM64" i="33"/>
  <c r="AM63" i="33"/>
  <c r="AM62" i="33"/>
  <c r="AM61" i="33"/>
  <c r="AM60" i="33"/>
  <c r="AM59" i="33"/>
  <c r="AM58" i="33"/>
  <c r="AM57" i="33"/>
  <c r="AM56" i="33"/>
  <c r="AM55" i="33"/>
  <c r="AM54" i="33"/>
  <c r="AM53" i="33"/>
  <c r="AM52" i="33"/>
  <c r="AM51" i="33"/>
  <c r="AM50" i="33"/>
  <c r="AM49" i="33"/>
  <c r="AM48" i="33"/>
  <c r="AM47" i="33"/>
  <c r="AM46" i="33"/>
  <c r="AM45" i="33"/>
  <c r="AM44" i="33"/>
  <c r="AM43" i="33"/>
  <c r="AN42" i="33"/>
  <c r="AM42" i="33"/>
  <c r="AR71" i="33"/>
  <c r="AR70" i="33"/>
  <c r="AR69" i="33"/>
  <c r="AR68" i="33"/>
  <c r="AR67" i="33"/>
  <c r="AR66" i="33"/>
  <c r="AR65" i="33"/>
  <c r="AR64" i="33"/>
  <c r="AR63" i="33"/>
  <c r="AR62" i="33"/>
  <c r="AR61" i="33"/>
  <c r="AR60" i="33"/>
  <c r="AR59" i="33"/>
  <c r="AR58" i="33"/>
  <c r="AR57" i="33"/>
  <c r="AR56" i="33"/>
  <c r="AR55" i="33"/>
  <c r="AR54" i="33"/>
  <c r="AR53" i="33"/>
  <c r="AR52" i="33"/>
  <c r="AR51" i="33"/>
  <c r="AR50" i="33"/>
  <c r="AR49" i="33"/>
  <c r="AR48" i="33"/>
  <c r="AR47" i="33"/>
  <c r="AR46" i="33"/>
  <c r="AR45" i="33"/>
  <c r="AR44" i="33"/>
  <c r="AR43" i="33"/>
  <c r="AS42" i="33"/>
  <c r="AR42" i="33"/>
  <c r="AW71" i="33"/>
  <c r="AW70" i="33"/>
  <c r="AW69" i="33"/>
  <c r="AW68" i="33"/>
  <c r="AW67" i="33"/>
  <c r="AW66" i="33"/>
  <c r="AW65" i="33"/>
  <c r="AW64" i="33"/>
  <c r="AW63" i="33"/>
  <c r="AW62" i="33"/>
  <c r="AW61" i="33"/>
  <c r="AW60" i="33"/>
  <c r="AW59" i="33"/>
  <c r="AW58" i="33"/>
  <c r="AW57" i="33"/>
  <c r="AW56" i="33"/>
  <c r="AW55" i="33"/>
  <c r="AW54" i="33"/>
  <c r="AW53" i="33"/>
  <c r="AW52" i="33"/>
  <c r="AW51" i="33"/>
  <c r="AW50" i="33"/>
  <c r="AW49" i="33"/>
  <c r="AW48" i="33"/>
  <c r="AW47" i="33"/>
  <c r="AW46" i="33"/>
  <c r="AW45" i="33"/>
  <c r="AW44" i="33"/>
  <c r="AW43" i="33"/>
  <c r="AX42" i="33"/>
  <c r="AW42" i="33"/>
  <c r="S41" i="31"/>
  <c r="S40" i="31"/>
  <c r="S39" i="31"/>
  <c r="S38" i="31"/>
  <c r="S37" i="31"/>
  <c r="S36" i="31"/>
  <c r="S35" i="31"/>
  <c r="S34" i="31"/>
  <c r="S33" i="31"/>
  <c r="S32" i="31"/>
  <c r="S31" i="31"/>
  <c r="S30" i="31"/>
  <c r="S29" i="31"/>
  <c r="S28" i="31"/>
  <c r="T27" i="31"/>
  <c r="S27" i="31"/>
  <c r="X41" i="31"/>
  <c r="X40" i="31"/>
  <c r="X39" i="31"/>
  <c r="X38" i="31"/>
  <c r="X37" i="31"/>
  <c r="X36" i="31"/>
  <c r="X35" i="31"/>
  <c r="X34" i="31"/>
  <c r="X33" i="31"/>
  <c r="X32" i="31"/>
  <c r="X31" i="31"/>
  <c r="X30" i="31"/>
  <c r="X29" i="31"/>
  <c r="X28" i="31"/>
  <c r="Y27" i="31"/>
  <c r="X27" i="31"/>
  <c r="AC41" i="31"/>
  <c r="AC40" i="31"/>
  <c r="AC39" i="31"/>
  <c r="AC38" i="31"/>
  <c r="AC37" i="31"/>
  <c r="AC36" i="31"/>
  <c r="AC35" i="31"/>
  <c r="AC34" i="31"/>
  <c r="AC33" i="31"/>
  <c r="AC32" i="31"/>
  <c r="AC31" i="31"/>
  <c r="AC30" i="31"/>
  <c r="AC29" i="31"/>
  <c r="AC28" i="31"/>
  <c r="AD27" i="31"/>
  <c r="AC27" i="31"/>
  <c r="AH41" i="31"/>
  <c r="AH40" i="31"/>
  <c r="AH39" i="31"/>
  <c r="AH38" i="31"/>
  <c r="AH37" i="31"/>
  <c r="AH36" i="31"/>
  <c r="AH35" i="31"/>
  <c r="AH34" i="31"/>
  <c r="AH33" i="31"/>
  <c r="AH32" i="31"/>
  <c r="AH31" i="31"/>
  <c r="AH30" i="31"/>
  <c r="AH29" i="31"/>
  <c r="AH28" i="31"/>
  <c r="AI27" i="31"/>
  <c r="AH27" i="31"/>
  <c r="AM41" i="31"/>
  <c r="AM40" i="31"/>
  <c r="AM39" i="31"/>
  <c r="AM38" i="31"/>
  <c r="AM37" i="31"/>
  <c r="AM36" i="31"/>
  <c r="AM35" i="31"/>
  <c r="AM34" i="31"/>
  <c r="AM33" i="31"/>
  <c r="AM32" i="31"/>
  <c r="AM31" i="31"/>
  <c r="AM30" i="31"/>
  <c r="AM29" i="31"/>
  <c r="AM28" i="31"/>
  <c r="AN27" i="31"/>
  <c r="AM27" i="31"/>
  <c r="AR41" i="31"/>
  <c r="AR40" i="31"/>
  <c r="AR39" i="31"/>
  <c r="AR38" i="31"/>
  <c r="AR37" i="31"/>
  <c r="AR36" i="31"/>
  <c r="AR35" i="31"/>
  <c r="AR34" i="31"/>
  <c r="AR33" i="31"/>
  <c r="AR32" i="31"/>
  <c r="AR31" i="31"/>
  <c r="AR30" i="31"/>
  <c r="AR29" i="31"/>
  <c r="AR28" i="31"/>
  <c r="AS27" i="31"/>
  <c r="AR27" i="31"/>
  <c r="AW41" i="31"/>
  <c r="AW40" i="31"/>
  <c r="AW39" i="31"/>
  <c r="AW38" i="31"/>
  <c r="AW37" i="31"/>
  <c r="AW36" i="31"/>
  <c r="AW35" i="31"/>
  <c r="AW34" i="31"/>
  <c r="AW33" i="31"/>
  <c r="AW32" i="31"/>
  <c r="AW31" i="31"/>
  <c r="AW30" i="31"/>
  <c r="AW29" i="31"/>
  <c r="AW28" i="31"/>
  <c r="AX27" i="31"/>
  <c r="AW27" i="31"/>
  <c r="S41" i="32"/>
  <c r="S40" i="32"/>
  <c r="S39" i="32"/>
  <c r="S38" i="32"/>
  <c r="S37" i="32"/>
  <c r="S36" i="32"/>
  <c r="S35" i="32"/>
  <c r="S34" i="32"/>
  <c r="S33" i="32"/>
  <c r="S32" i="32"/>
  <c r="S31" i="32"/>
  <c r="S30" i="32"/>
  <c r="S29" i="32"/>
  <c r="S28" i="32"/>
  <c r="T27" i="32"/>
  <c r="S27" i="32"/>
  <c r="X41" i="32"/>
  <c r="X40" i="32"/>
  <c r="X39" i="32"/>
  <c r="X38" i="32"/>
  <c r="X37" i="32"/>
  <c r="X36" i="32"/>
  <c r="X35" i="32"/>
  <c r="X34" i="32"/>
  <c r="X33" i="32"/>
  <c r="X32" i="32"/>
  <c r="X31" i="32"/>
  <c r="X30" i="32"/>
  <c r="X29" i="32"/>
  <c r="X28" i="32"/>
  <c r="Y27" i="32"/>
  <c r="X27" i="32"/>
  <c r="AC41" i="32"/>
  <c r="AC40" i="32"/>
  <c r="AC39" i="32"/>
  <c r="AC38" i="32"/>
  <c r="AC37" i="32"/>
  <c r="AC36" i="32"/>
  <c r="AC35" i="32"/>
  <c r="AC34" i="32"/>
  <c r="AC33" i="32"/>
  <c r="AC32" i="32"/>
  <c r="AC31" i="32"/>
  <c r="AC30" i="32"/>
  <c r="AC29" i="32"/>
  <c r="AC28" i="32"/>
  <c r="AD27" i="32"/>
  <c r="AC27" i="32"/>
  <c r="AH41" i="32"/>
  <c r="AH40" i="32"/>
  <c r="AH39" i="32"/>
  <c r="AH38" i="32"/>
  <c r="AH37" i="32"/>
  <c r="AH36" i="32"/>
  <c r="AH35" i="32"/>
  <c r="AH34" i="32"/>
  <c r="AH33" i="32"/>
  <c r="AH32" i="32"/>
  <c r="AH31" i="32"/>
  <c r="AH30" i="32"/>
  <c r="AH29" i="32"/>
  <c r="AH28" i="32"/>
  <c r="AI27" i="32"/>
  <c r="AH27" i="32"/>
  <c r="AM41" i="32"/>
  <c r="AM40" i="32"/>
  <c r="AM39" i="32"/>
  <c r="AM38" i="32"/>
  <c r="AM37" i="32"/>
  <c r="AM36" i="32"/>
  <c r="AM35" i="32"/>
  <c r="AM34" i="32"/>
  <c r="AM33" i="32"/>
  <c r="AM32" i="32"/>
  <c r="AM31" i="32"/>
  <c r="AM30" i="32"/>
  <c r="AM29" i="32"/>
  <c r="AM28" i="32"/>
  <c r="AN27" i="32"/>
  <c r="AM27" i="32"/>
  <c r="AR41" i="32"/>
  <c r="AR40" i="32"/>
  <c r="AR39" i="32"/>
  <c r="AR38" i="32"/>
  <c r="AR37" i="32"/>
  <c r="AR36" i="32"/>
  <c r="AR35" i="32"/>
  <c r="AR34" i="32"/>
  <c r="AR33" i="32"/>
  <c r="AR32" i="32"/>
  <c r="AR31" i="32"/>
  <c r="AR30" i="32"/>
  <c r="AR29" i="32"/>
  <c r="AR28" i="32"/>
  <c r="AS27" i="32"/>
  <c r="AR27" i="32"/>
  <c r="AW41" i="32"/>
  <c r="AW40" i="32"/>
  <c r="AW39" i="32"/>
  <c r="AW38" i="32"/>
  <c r="AW37" i="32"/>
  <c r="AW36" i="32"/>
  <c r="AW35" i="32"/>
  <c r="AW34" i="32"/>
  <c r="AW33" i="32"/>
  <c r="AW32" i="32"/>
  <c r="AW31" i="32"/>
  <c r="AW30" i="32"/>
  <c r="AW29" i="32"/>
  <c r="AW28" i="32"/>
  <c r="AX27" i="32"/>
  <c r="AW27" i="32"/>
  <c r="S41" i="30"/>
  <c r="S40" i="30"/>
  <c r="S39" i="30"/>
  <c r="S38" i="30"/>
  <c r="S37" i="30"/>
  <c r="S36" i="30"/>
  <c r="S35" i="30"/>
  <c r="S34" i="30"/>
  <c r="S33" i="30"/>
  <c r="S32" i="30"/>
  <c r="S31" i="30"/>
  <c r="S30" i="30"/>
  <c r="S29" i="30"/>
  <c r="S28" i="30"/>
  <c r="T27" i="30"/>
  <c r="S27" i="30"/>
  <c r="X41" i="30"/>
  <c r="X40" i="30"/>
  <c r="X39" i="30"/>
  <c r="X38" i="30"/>
  <c r="X37" i="30"/>
  <c r="X36" i="30"/>
  <c r="X35" i="30"/>
  <c r="X34" i="30"/>
  <c r="X33" i="30"/>
  <c r="X32" i="30"/>
  <c r="X31" i="30"/>
  <c r="X30" i="30"/>
  <c r="X29" i="30"/>
  <c r="X28" i="30"/>
  <c r="Y27" i="30"/>
  <c r="X27" i="30"/>
  <c r="AC41" i="30"/>
  <c r="AC40" i="30"/>
  <c r="AC39" i="30"/>
  <c r="AC38" i="30"/>
  <c r="AC37" i="30"/>
  <c r="AC36" i="30"/>
  <c r="AC35" i="30"/>
  <c r="AC34" i="30"/>
  <c r="AC33" i="30"/>
  <c r="AC32" i="30"/>
  <c r="AC31" i="30"/>
  <c r="AC30" i="30"/>
  <c r="AC29" i="30"/>
  <c r="AC28" i="30"/>
  <c r="AD27" i="30"/>
  <c r="AC27" i="30"/>
  <c r="AH41" i="30"/>
  <c r="AH40" i="30"/>
  <c r="AH39" i="30"/>
  <c r="AH38" i="30"/>
  <c r="AH37" i="30"/>
  <c r="AH36" i="30"/>
  <c r="AH35" i="30"/>
  <c r="AH34" i="30"/>
  <c r="AH33" i="30"/>
  <c r="AH32" i="30"/>
  <c r="AH31" i="30"/>
  <c r="AH30" i="30"/>
  <c r="AH29" i="30"/>
  <c r="AH28" i="30"/>
  <c r="AI27" i="30"/>
  <c r="AH27" i="30"/>
  <c r="AM41" i="30"/>
  <c r="AM40" i="30"/>
  <c r="AM39" i="30"/>
  <c r="AM38" i="30"/>
  <c r="AM37" i="30"/>
  <c r="AM36" i="30"/>
  <c r="AM35" i="30"/>
  <c r="AM34" i="30"/>
  <c r="AM33" i="30"/>
  <c r="AM32" i="30"/>
  <c r="AM31" i="30"/>
  <c r="AM30" i="30"/>
  <c r="AM29" i="30"/>
  <c r="AM28" i="30"/>
  <c r="AN27" i="30"/>
  <c r="AM27" i="30"/>
  <c r="AR41" i="30"/>
  <c r="AR40" i="30"/>
  <c r="AR39" i="30"/>
  <c r="AR38" i="30"/>
  <c r="AR37" i="30"/>
  <c r="AR36" i="30"/>
  <c r="AR35" i="30"/>
  <c r="AR34" i="30"/>
  <c r="AR33" i="30"/>
  <c r="AR32" i="30"/>
  <c r="AR31" i="30"/>
  <c r="AR30" i="30"/>
  <c r="AR29" i="30"/>
  <c r="AR28" i="30"/>
  <c r="AS27" i="30"/>
  <c r="AR27" i="30"/>
  <c r="AW41" i="30"/>
  <c r="AW40" i="30"/>
  <c r="AW39" i="30"/>
  <c r="AW38" i="30"/>
  <c r="AW37" i="30"/>
  <c r="AW36" i="30"/>
  <c r="AW35" i="30"/>
  <c r="AW34" i="30"/>
  <c r="AW33" i="30"/>
  <c r="AW32" i="30"/>
  <c r="AW31" i="30"/>
  <c r="AW30" i="30"/>
  <c r="AW29" i="30"/>
  <c r="AW28" i="30"/>
  <c r="AX27" i="30"/>
  <c r="AW27" i="30"/>
  <c r="S71" i="8"/>
  <c r="S70" i="8"/>
  <c r="S69" i="8"/>
  <c r="S68" i="8"/>
  <c r="S67" i="8"/>
  <c r="S66" i="8"/>
  <c r="S65" i="8"/>
  <c r="S64" i="8"/>
  <c r="S63" i="8"/>
  <c r="S62" i="8"/>
  <c r="S61" i="8"/>
  <c r="S60" i="8"/>
  <c r="S59" i="8"/>
  <c r="S58" i="8"/>
  <c r="S57" i="8"/>
  <c r="S56" i="8"/>
  <c r="S55" i="8"/>
  <c r="S54" i="8"/>
  <c r="S53" i="8"/>
  <c r="S52" i="8"/>
  <c r="S51" i="8"/>
  <c r="S50" i="8"/>
  <c r="S49" i="8"/>
  <c r="S48" i="8"/>
  <c r="S47" i="8"/>
  <c r="S46" i="8"/>
  <c r="S45" i="8"/>
  <c r="S44" i="8"/>
  <c r="S43" i="8"/>
  <c r="T42" i="8"/>
  <c r="S42" i="8"/>
  <c r="X71" i="8"/>
  <c r="X70" i="8"/>
  <c r="X69" i="8"/>
  <c r="X68" i="8"/>
  <c r="X67" i="8"/>
  <c r="X66" i="8"/>
  <c r="X65" i="8"/>
  <c r="X64" i="8"/>
  <c r="X63" i="8"/>
  <c r="X62" i="8"/>
  <c r="X61" i="8"/>
  <c r="X60" i="8"/>
  <c r="X59" i="8"/>
  <c r="X58" i="8"/>
  <c r="X57" i="8"/>
  <c r="X56" i="8"/>
  <c r="X55" i="8"/>
  <c r="X54" i="8"/>
  <c r="X53" i="8"/>
  <c r="X52" i="8"/>
  <c r="X51" i="8"/>
  <c r="X50" i="8"/>
  <c r="X49" i="8"/>
  <c r="X48" i="8"/>
  <c r="X47" i="8"/>
  <c r="X46" i="8"/>
  <c r="X45" i="8"/>
  <c r="X44" i="8"/>
  <c r="X43" i="8"/>
  <c r="Y42" i="8"/>
  <c r="X42" i="8"/>
  <c r="AC71" i="8"/>
  <c r="AC70" i="8"/>
  <c r="AC69" i="8"/>
  <c r="AC68" i="8"/>
  <c r="AC67" i="8"/>
  <c r="AC66" i="8"/>
  <c r="AC65" i="8"/>
  <c r="AC64" i="8"/>
  <c r="AC63" i="8"/>
  <c r="AC62" i="8"/>
  <c r="AC61" i="8"/>
  <c r="AC60" i="8"/>
  <c r="AC59" i="8"/>
  <c r="AC58" i="8"/>
  <c r="AC57" i="8"/>
  <c r="AC56" i="8"/>
  <c r="AC55" i="8"/>
  <c r="AC54" i="8"/>
  <c r="AC53" i="8"/>
  <c r="AC52" i="8"/>
  <c r="AC51" i="8"/>
  <c r="AC50" i="8"/>
  <c r="AC49" i="8"/>
  <c r="AC48" i="8"/>
  <c r="AC47" i="8"/>
  <c r="AC46" i="8"/>
  <c r="AC45" i="8"/>
  <c r="AC44" i="8"/>
  <c r="AC43" i="8"/>
  <c r="AD42" i="8"/>
  <c r="AC42" i="8"/>
  <c r="AH71" i="8"/>
  <c r="AH70" i="8"/>
  <c r="AH69" i="8"/>
  <c r="AH68" i="8"/>
  <c r="AH67" i="8"/>
  <c r="AH66" i="8"/>
  <c r="AH65" i="8"/>
  <c r="AH64" i="8"/>
  <c r="AH63" i="8"/>
  <c r="AH62" i="8"/>
  <c r="AH61" i="8"/>
  <c r="AH60" i="8"/>
  <c r="AH59" i="8"/>
  <c r="AH58" i="8"/>
  <c r="AH57" i="8"/>
  <c r="AH56" i="8"/>
  <c r="AH55" i="8"/>
  <c r="AH54" i="8"/>
  <c r="AH53" i="8"/>
  <c r="AH52" i="8"/>
  <c r="AH51" i="8"/>
  <c r="AH50" i="8"/>
  <c r="AH49" i="8"/>
  <c r="AH48" i="8"/>
  <c r="AH47" i="8"/>
  <c r="AH46" i="8"/>
  <c r="AH45" i="8"/>
  <c r="AH44" i="8"/>
  <c r="AH43" i="8"/>
  <c r="AI42" i="8"/>
  <c r="AH42" i="8"/>
  <c r="AM71" i="8"/>
  <c r="AM70" i="8"/>
  <c r="AM69" i="8"/>
  <c r="AM68" i="8"/>
  <c r="AM67" i="8"/>
  <c r="AM66" i="8"/>
  <c r="AM65" i="8"/>
  <c r="AM64" i="8"/>
  <c r="AM63" i="8"/>
  <c r="AM62" i="8"/>
  <c r="AM61" i="8"/>
  <c r="AM60" i="8"/>
  <c r="AM59" i="8"/>
  <c r="AM58" i="8"/>
  <c r="AM57" i="8"/>
  <c r="AM56" i="8"/>
  <c r="AM55" i="8"/>
  <c r="AM54" i="8"/>
  <c r="AM53" i="8"/>
  <c r="AM52" i="8"/>
  <c r="AM51" i="8"/>
  <c r="AM50" i="8"/>
  <c r="AM49" i="8"/>
  <c r="AM48" i="8"/>
  <c r="AM47" i="8"/>
  <c r="AM46" i="8"/>
  <c r="AM45" i="8"/>
  <c r="AM44" i="8"/>
  <c r="AM43" i="8"/>
  <c r="AN42" i="8"/>
  <c r="AM42" i="8"/>
  <c r="AR71" i="8"/>
  <c r="AR70" i="8"/>
  <c r="AR69" i="8"/>
  <c r="AR68" i="8"/>
  <c r="AR67" i="8"/>
  <c r="AR66" i="8"/>
  <c r="AR65" i="8"/>
  <c r="AR64" i="8"/>
  <c r="AR63" i="8"/>
  <c r="AR62" i="8"/>
  <c r="AR61" i="8"/>
  <c r="AR60" i="8"/>
  <c r="AR59" i="8"/>
  <c r="AR58" i="8"/>
  <c r="AR57" i="8"/>
  <c r="AR56" i="8"/>
  <c r="AR55" i="8"/>
  <c r="AR54" i="8"/>
  <c r="AR53" i="8"/>
  <c r="AR52" i="8"/>
  <c r="AR51" i="8"/>
  <c r="AR50" i="8"/>
  <c r="AR49" i="8"/>
  <c r="AR48" i="8"/>
  <c r="AR47" i="8"/>
  <c r="AR46" i="8"/>
  <c r="AR45" i="8"/>
  <c r="AR44" i="8"/>
  <c r="AR43" i="8"/>
  <c r="AS42" i="8"/>
  <c r="AR42" i="8"/>
  <c r="AW71" i="8"/>
  <c r="AW70" i="8"/>
  <c r="AW69" i="8"/>
  <c r="AW68" i="8"/>
  <c r="AW67" i="8"/>
  <c r="AW66" i="8"/>
  <c r="AW65" i="8"/>
  <c r="AW64" i="8"/>
  <c r="AW63" i="8"/>
  <c r="AW62" i="8"/>
  <c r="AW61" i="8"/>
  <c r="AW60" i="8"/>
  <c r="AW59" i="8"/>
  <c r="AW58" i="8"/>
  <c r="AW57" i="8"/>
  <c r="AW56" i="8"/>
  <c r="AW55" i="8"/>
  <c r="AW54" i="8"/>
  <c r="AW53" i="8"/>
  <c r="AW52" i="8"/>
  <c r="AW51" i="8"/>
  <c r="AW50" i="8"/>
  <c r="AW49" i="8"/>
  <c r="AW48" i="8"/>
  <c r="AW47" i="8"/>
  <c r="AW46" i="8"/>
  <c r="AW45" i="8"/>
  <c r="AW44" i="8"/>
  <c r="AW43" i="8"/>
  <c r="AX42" i="8"/>
  <c r="AW42" i="8"/>
  <c r="K20" i="35" l="1"/>
  <c r="M20" i="35" s="1"/>
  <c r="J20" i="35"/>
  <c r="I20" i="35"/>
  <c r="K19" i="35"/>
  <c r="M19" i="35" s="1"/>
  <c r="J19" i="35"/>
  <c r="I19" i="35"/>
  <c r="K18" i="35"/>
  <c r="M18" i="35" s="1"/>
  <c r="J18" i="35"/>
  <c r="I18" i="35"/>
  <c r="K17" i="35"/>
  <c r="M17" i="35" s="1"/>
  <c r="J17" i="35"/>
  <c r="I17" i="35"/>
  <c r="K16" i="35"/>
  <c r="M16" i="35" s="1"/>
  <c r="J16" i="35"/>
  <c r="I16" i="35"/>
  <c r="K15" i="35"/>
  <c r="M15" i="35" s="1"/>
  <c r="J15" i="35"/>
  <c r="I15" i="35"/>
  <c r="K14" i="35"/>
  <c r="M14" i="35" s="1"/>
  <c r="J14" i="35"/>
  <c r="I14" i="35"/>
  <c r="K13" i="35"/>
  <c r="M13" i="35" s="1"/>
  <c r="J13" i="35"/>
  <c r="I13" i="35"/>
  <c r="K12" i="35"/>
  <c r="M12" i="35" s="1"/>
  <c r="J12" i="35"/>
  <c r="I12" i="35"/>
  <c r="K11" i="35"/>
  <c r="J11" i="35"/>
  <c r="I11" i="35"/>
  <c r="K10" i="35"/>
  <c r="J10" i="35"/>
  <c r="I10" i="35"/>
  <c r="K9" i="35"/>
  <c r="J9" i="35"/>
  <c r="I9" i="35"/>
  <c r="K8" i="35"/>
  <c r="J8" i="35"/>
  <c r="I8" i="35"/>
  <c r="AX7" i="35"/>
  <c r="AS7" i="35"/>
  <c r="AN7" i="35"/>
  <c r="K7" i="35"/>
  <c r="J7" i="35"/>
  <c r="I7" i="35"/>
  <c r="H7" i="35"/>
  <c r="K20" i="36"/>
  <c r="M20" i="36" s="1"/>
  <c r="J20" i="36"/>
  <c r="I20" i="36"/>
  <c r="K19" i="36"/>
  <c r="M19" i="36" s="1"/>
  <c r="J19" i="36"/>
  <c r="I19" i="36"/>
  <c r="K18" i="36"/>
  <c r="J18" i="36"/>
  <c r="I18" i="36"/>
  <c r="K17" i="36"/>
  <c r="J17" i="36"/>
  <c r="I17" i="36"/>
  <c r="K16" i="36"/>
  <c r="J16" i="36"/>
  <c r="I16" i="36"/>
  <c r="K15" i="36"/>
  <c r="J15" i="36"/>
  <c r="I15" i="36"/>
  <c r="K14" i="36"/>
  <c r="J14" i="36"/>
  <c r="I14" i="36"/>
  <c r="K13" i="36"/>
  <c r="J13" i="36"/>
  <c r="I13" i="36"/>
  <c r="K12" i="36"/>
  <c r="J12" i="36"/>
  <c r="I12" i="36"/>
  <c r="K11" i="36"/>
  <c r="J11" i="36"/>
  <c r="I11" i="36"/>
  <c r="K10" i="36"/>
  <c r="J10" i="36"/>
  <c r="I10" i="36"/>
  <c r="K9" i="36"/>
  <c r="M9" i="36" s="1"/>
  <c r="J9" i="36"/>
  <c r="I9" i="36"/>
  <c r="K8" i="36"/>
  <c r="J8" i="36"/>
  <c r="I8" i="36"/>
  <c r="AX7" i="36"/>
  <c r="AS7" i="36"/>
  <c r="AN7" i="36"/>
  <c r="K7" i="36"/>
  <c r="J7" i="36"/>
  <c r="I7" i="36"/>
  <c r="H7" i="36"/>
  <c r="K20" i="37"/>
  <c r="M20" i="37" s="1"/>
  <c r="J20" i="37"/>
  <c r="I20" i="37"/>
  <c r="K19" i="37"/>
  <c r="M19" i="37" s="1"/>
  <c r="J19" i="37"/>
  <c r="I19" i="37"/>
  <c r="K18" i="37"/>
  <c r="M18" i="37" s="1"/>
  <c r="J18" i="37"/>
  <c r="I18" i="37"/>
  <c r="K17" i="37"/>
  <c r="M17" i="37" s="1"/>
  <c r="J17" i="37"/>
  <c r="I17" i="37"/>
  <c r="K16" i="37"/>
  <c r="J16" i="37"/>
  <c r="I16" i="37"/>
  <c r="K15" i="37"/>
  <c r="J15" i="37"/>
  <c r="I15" i="37"/>
  <c r="K14" i="37"/>
  <c r="J14" i="37"/>
  <c r="I14" i="37"/>
  <c r="K13" i="37"/>
  <c r="J13" i="37"/>
  <c r="I13" i="37"/>
  <c r="K12" i="37"/>
  <c r="J12" i="37"/>
  <c r="I12" i="37"/>
  <c r="K11" i="37"/>
  <c r="M11" i="37" s="1"/>
  <c r="J11" i="37"/>
  <c r="I11" i="37"/>
  <c r="K10" i="37"/>
  <c r="J10" i="37"/>
  <c r="I10" i="37"/>
  <c r="K9" i="37"/>
  <c r="J9" i="37"/>
  <c r="I9" i="37"/>
  <c r="K8" i="37"/>
  <c r="J8" i="37"/>
  <c r="I8" i="37"/>
  <c r="AX7" i="37"/>
  <c r="AS7" i="37"/>
  <c r="AN7" i="37"/>
  <c r="K7" i="37"/>
  <c r="J7" i="37"/>
  <c r="I7" i="37"/>
  <c r="H7" i="37"/>
  <c r="K21" i="34"/>
  <c r="M21" i="34" s="1"/>
  <c r="J21" i="34"/>
  <c r="I21" i="34"/>
  <c r="K20" i="34"/>
  <c r="M20" i="34" s="1"/>
  <c r="J20" i="34"/>
  <c r="I20" i="34"/>
  <c r="K19" i="34"/>
  <c r="J19" i="34"/>
  <c r="I19" i="34"/>
  <c r="K18" i="34"/>
  <c r="J18" i="34"/>
  <c r="I18" i="34"/>
  <c r="K17" i="34"/>
  <c r="J17" i="34"/>
  <c r="I17" i="34"/>
  <c r="K16" i="34"/>
  <c r="J16" i="34"/>
  <c r="I16" i="34"/>
  <c r="K15" i="34"/>
  <c r="J15" i="34"/>
  <c r="I15" i="34"/>
  <c r="K14" i="34"/>
  <c r="J14" i="34"/>
  <c r="I14" i="34"/>
  <c r="K13" i="34"/>
  <c r="J13" i="34"/>
  <c r="I13" i="34"/>
  <c r="K12" i="34"/>
  <c r="J12" i="34"/>
  <c r="I12" i="34"/>
  <c r="K11" i="34"/>
  <c r="J11" i="34"/>
  <c r="I11" i="34"/>
  <c r="K10" i="34"/>
  <c r="J10" i="34"/>
  <c r="I10" i="34"/>
  <c r="K9" i="34"/>
  <c r="J9" i="34"/>
  <c r="I9" i="34"/>
  <c r="K8" i="34"/>
  <c r="J8" i="34"/>
  <c r="I8" i="34"/>
  <c r="AX7" i="34"/>
  <c r="AS7" i="34"/>
  <c r="AN7" i="34"/>
  <c r="K7" i="34"/>
  <c r="J7" i="34"/>
  <c r="I7" i="34"/>
  <c r="H7" i="34"/>
  <c r="K20" i="32"/>
  <c r="M20" i="32" s="1"/>
  <c r="J20" i="32"/>
  <c r="I20" i="32"/>
  <c r="K19" i="32"/>
  <c r="M19" i="32" s="1"/>
  <c r="J19" i="32"/>
  <c r="I19" i="32"/>
  <c r="K18" i="32"/>
  <c r="M18" i="32" s="1"/>
  <c r="J18" i="32"/>
  <c r="I18" i="32"/>
  <c r="K17" i="32"/>
  <c r="M17" i="32" s="1"/>
  <c r="J17" i="32"/>
  <c r="I17" i="32"/>
  <c r="K16" i="32"/>
  <c r="M16" i="32" s="1"/>
  <c r="J16" i="32"/>
  <c r="I16" i="32"/>
  <c r="K15" i="32"/>
  <c r="J15" i="32"/>
  <c r="I15" i="32"/>
  <c r="K14" i="32"/>
  <c r="J14" i="32"/>
  <c r="I14" i="32"/>
  <c r="K13" i="32"/>
  <c r="J13" i="32"/>
  <c r="I13" i="32"/>
  <c r="K12" i="32"/>
  <c r="J12" i="32"/>
  <c r="I12" i="32"/>
  <c r="K11" i="32"/>
  <c r="J11" i="32"/>
  <c r="I11" i="32"/>
  <c r="K10" i="32"/>
  <c r="J10" i="32"/>
  <c r="I10" i="32"/>
  <c r="K9" i="32"/>
  <c r="J9" i="32"/>
  <c r="I9" i="32"/>
  <c r="K8" i="32"/>
  <c r="J8" i="32"/>
  <c r="I8" i="32"/>
  <c r="AX7" i="32"/>
  <c r="AS7" i="32"/>
  <c r="AN7" i="32"/>
  <c r="K7" i="32"/>
  <c r="J7" i="32"/>
  <c r="I7" i="32"/>
  <c r="H7" i="32"/>
  <c r="K20" i="31"/>
  <c r="M20" i="31" s="1"/>
  <c r="J20" i="31"/>
  <c r="I20" i="31"/>
  <c r="K19" i="31"/>
  <c r="M19" i="31" s="1"/>
  <c r="J19" i="31"/>
  <c r="I19" i="31"/>
  <c r="K18" i="31"/>
  <c r="M18" i="31" s="1"/>
  <c r="J18" i="31"/>
  <c r="I18" i="31"/>
  <c r="K17" i="31"/>
  <c r="M17" i="31" s="1"/>
  <c r="J17" i="31"/>
  <c r="I17" i="31"/>
  <c r="K16" i="31"/>
  <c r="M16" i="31" s="1"/>
  <c r="J16" i="31"/>
  <c r="I16" i="31"/>
  <c r="K15" i="31"/>
  <c r="M15" i="31" s="1"/>
  <c r="J15" i="31"/>
  <c r="I15" i="31"/>
  <c r="K14" i="31"/>
  <c r="M14" i="31" s="1"/>
  <c r="J14" i="31"/>
  <c r="I14" i="31"/>
  <c r="K13" i="31"/>
  <c r="M13" i="31" s="1"/>
  <c r="J13" i="31"/>
  <c r="I13" i="31"/>
  <c r="K12" i="31"/>
  <c r="M12" i="31" s="1"/>
  <c r="J12" i="31"/>
  <c r="I12" i="31"/>
  <c r="K11" i="31"/>
  <c r="M11" i="31" s="1"/>
  <c r="J11" i="31"/>
  <c r="I11" i="31"/>
  <c r="K10" i="31"/>
  <c r="M10" i="31" s="1"/>
  <c r="J10" i="31"/>
  <c r="I10" i="31"/>
  <c r="K9" i="31"/>
  <c r="M9" i="31" s="1"/>
  <c r="J9" i="31"/>
  <c r="I9" i="31"/>
  <c r="K8" i="31"/>
  <c r="J8" i="31"/>
  <c r="I8" i="31"/>
  <c r="K7" i="31"/>
  <c r="J7" i="31"/>
  <c r="I7" i="31"/>
  <c r="H7" i="31"/>
  <c r="K21" i="30"/>
  <c r="M21" i="30" s="1"/>
  <c r="J21" i="30"/>
  <c r="I21" i="30"/>
  <c r="K20" i="30"/>
  <c r="M20" i="30" s="1"/>
  <c r="J20" i="30"/>
  <c r="I20" i="30"/>
  <c r="K19" i="30"/>
  <c r="M19" i="30" s="1"/>
  <c r="J19" i="30"/>
  <c r="I19" i="30"/>
  <c r="K18" i="30"/>
  <c r="M18" i="30" s="1"/>
  <c r="J18" i="30"/>
  <c r="I18" i="30"/>
  <c r="K17" i="30"/>
  <c r="M17" i="30" s="1"/>
  <c r="J17" i="30"/>
  <c r="I17" i="30"/>
  <c r="K16" i="30"/>
  <c r="M16" i="30" s="1"/>
  <c r="J16" i="30"/>
  <c r="I16" i="30"/>
  <c r="K15" i="30"/>
  <c r="M15" i="30" s="1"/>
  <c r="J15" i="30"/>
  <c r="I15" i="30"/>
  <c r="K14" i="30"/>
  <c r="M14" i="30" s="1"/>
  <c r="J14" i="30"/>
  <c r="I14" i="30"/>
  <c r="K13" i="30"/>
  <c r="M13" i="30" s="1"/>
  <c r="J13" i="30"/>
  <c r="I13" i="30"/>
  <c r="K12" i="30"/>
  <c r="M12" i="30" s="1"/>
  <c r="J12" i="30"/>
  <c r="I12" i="30"/>
  <c r="K11" i="30"/>
  <c r="M11" i="30" s="1"/>
  <c r="J11" i="30"/>
  <c r="I11" i="30"/>
  <c r="K10" i="30"/>
  <c r="J10" i="30"/>
  <c r="I10" i="30"/>
  <c r="K9" i="30"/>
  <c r="J9" i="30"/>
  <c r="I9" i="30"/>
  <c r="K8" i="30"/>
  <c r="J8" i="30"/>
  <c r="I8" i="30"/>
  <c r="AX7" i="30"/>
  <c r="AS7" i="30"/>
  <c r="AN7" i="30"/>
  <c r="K7" i="30"/>
  <c r="J7" i="30"/>
  <c r="I7" i="30"/>
  <c r="H7" i="30"/>
  <c r="K36" i="33"/>
  <c r="M36" i="33" s="1"/>
  <c r="J36" i="33"/>
  <c r="I36" i="33"/>
  <c r="K35" i="33"/>
  <c r="M35" i="33" s="1"/>
  <c r="J35" i="33"/>
  <c r="I35" i="33"/>
  <c r="K34" i="33"/>
  <c r="M34" i="33" s="1"/>
  <c r="J34" i="33"/>
  <c r="I34" i="33"/>
  <c r="K33" i="33"/>
  <c r="M33" i="33" s="1"/>
  <c r="J33" i="33"/>
  <c r="I33" i="33"/>
  <c r="K32" i="33"/>
  <c r="M32" i="33" s="1"/>
  <c r="J32" i="33"/>
  <c r="I32" i="33"/>
  <c r="K31" i="33"/>
  <c r="M31" i="33" s="1"/>
  <c r="J31" i="33"/>
  <c r="I31" i="33"/>
  <c r="K30" i="33"/>
  <c r="J30" i="33"/>
  <c r="I30" i="33"/>
  <c r="K29" i="33"/>
  <c r="J29" i="33"/>
  <c r="I29" i="33"/>
  <c r="K28" i="33"/>
  <c r="J28" i="33"/>
  <c r="I28" i="33"/>
  <c r="K27" i="33"/>
  <c r="J27" i="33"/>
  <c r="I27" i="33"/>
  <c r="K26" i="33"/>
  <c r="J26" i="33"/>
  <c r="I26" i="33"/>
  <c r="K25" i="33"/>
  <c r="J25" i="33"/>
  <c r="I25" i="33"/>
  <c r="K24" i="33"/>
  <c r="J24" i="33"/>
  <c r="I24" i="33"/>
  <c r="K23" i="33"/>
  <c r="J23" i="33"/>
  <c r="I23" i="33"/>
  <c r="K22" i="33"/>
  <c r="J22" i="33"/>
  <c r="I22" i="33"/>
  <c r="K21" i="33"/>
  <c r="J21" i="33"/>
  <c r="I21" i="33"/>
  <c r="K20" i="33"/>
  <c r="J20" i="33"/>
  <c r="I20" i="33"/>
  <c r="K19" i="33"/>
  <c r="J19" i="33"/>
  <c r="I19" i="33"/>
  <c r="K18" i="33"/>
  <c r="J18" i="33"/>
  <c r="I18" i="33"/>
  <c r="K17" i="33"/>
  <c r="J17" i="33"/>
  <c r="I17" i="33"/>
  <c r="K16" i="33"/>
  <c r="J16" i="33"/>
  <c r="I16" i="33"/>
  <c r="K15" i="33"/>
  <c r="J15" i="33"/>
  <c r="I15" i="33"/>
  <c r="K14" i="33"/>
  <c r="J14" i="33"/>
  <c r="I14" i="33"/>
  <c r="K13" i="33"/>
  <c r="J13" i="33"/>
  <c r="I13" i="33"/>
  <c r="K12" i="33"/>
  <c r="J12" i="33"/>
  <c r="I12" i="33"/>
  <c r="K11" i="33"/>
  <c r="J11" i="33"/>
  <c r="I11" i="33"/>
  <c r="K10" i="33"/>
  <c r="J10" i="33"/>
  <c r="I10" i="33"/>
  <c r="K9" i="33"/>
  <c r="J9" i="33"/>
  <c r="I9" i="33"/>
  <c r="K8" i="33"/>
  <c r="J8" i="33"/>
  <c r="I8" i="33"/>
  <c r="AX7" i="33"/>
  <c r="AS7" i="33"/>
  <c r="AN7" i="33"/>
  <c r="K7" i="33"/>
  <c r="J7" i="33"/>
  <c r="I7" i="33"/>
  <c r="H7" i="33"/>
  <c r="K36" i="8"/>
  <c r="M36" i="8" s="1"/>
  <c r="J36" i="8"/>
  <c r="I36" i="8"/>
  <c r="K35" i="8"/>
  <c r="M35" i="8" s="1"/>
  <c r="J35" i="8"/>
  <c r="I35" i="8"/>
  <c r="K34" i="8"/>
  <c r="M34" i="8" s="1"/>
  <c r="J34" i="8"/>
  <c r="I34" i="8"/>
  <c r="K33" i="8"/>
  <c r="M33" i="8" s="1"/>
  <c r="J33" i="8"/>
  <c r="I33" i="8"/>
  <c r="K32" i="8"/>
  <c r="M32" i="8" s="1"/>
  <c r="J32" i="8"/>
  <c r="I32" i="8"/>
  <c r="K31" i="8"/>
  <c r="J31" i="8"/>
  <c r="I31" i="8"/>
  <c r="K30" i="8"/>
  <c r="J30" i="8"/>
  <c r="I30" i="8"/>
  <c r="K29" i="8"/>
  <c r="J29" i="8"/>
  <c r="I29" i="8"/>
  <c r="K28" i="8"/>
  <c r="J28" i="8"/>
  <c r="I28" i="8"/>
  <c r="K27" i="8"/>
  <c r="J27" i="8"/>
  <c r="I27" i="8"/>
  <c r="K26" i="8"/>
  <c r="J26" i="8"/>
  <c r="I26" i="8"/>
  <c r="K25" i="8"/>
  <c r="J25" i="8"/>
  <c r="I25" i="8"/>
  <c r="K24" i="8"/>
  <c r="J24" i="8"/>
  <c r="I24" i="8"/>
  <c r="K23" i="8"/>
  <c r="J23" i="8"/>
  <c r="I23" i="8"/>
  <c r="K22" i="8"/>
  <c r="J22" i="8"/>
  <c r="I22" i="8"/>
  <c r="K21" i="8"/>
  <c r="J21" i="8"/>
  <c r="I21" i="8"/>
  <c r="K20" i="8"/>
  <c r="J20" i="8"/>
  <c r="I20" i="8"/>
  <c r="K19" i="8"/>
  <c r="J19" i="8"/>
  <c r="I19" i="8"/>
  <c r="K18" i="8"/>
  <c r="J18" i="8"/>
  <c r="I18" i="8"/>
  <c r="K17" i="8"/>
  <c r="J17" i="8"/>
  <c r="I17" i="8"/>
  <c r="K16" i="8"/>
  <c r="J16" i="8"/>
  <c r="I16" i="8"/>
  <c r="K15" i="8"/>
  <c r="J15" i="8"/>
  <c r="I15" i="8"/>
  <c r="K14" i="8"/>
  <c r="J14" i="8"/>
  <c r="I14" i="8"/>
  <c r="K13" i="8"/>
  <c r="J13" i="8"/>
  <c r="I13" i="8"/>
  <c r="K12" i="8"/>
  <c r="J12" i="8"/>
  <c r="I12" i="8"/>
  <c r="K11" i="8"/>
  <c r="J11" i="8"/>
  <c r="I11" i="8"/>
  <c r="K10" i="8"/>
  <c r="J10" i="8"/>
  <c r="I10" i="8"/>
  <c r="K9" i="8"/>
  <c r="J9" i="8"/>
  <c r="I9" i="8"/>
  <c r="K8" i="8"/>
  <c r="J8" i="8"/>
  <c r="I8" i="8"/>
  <c r="K7" i="8"/>
  <c r="J7" i="8"/>
  <c r="I7" i="8"/>
  <c r="H7" i="8"/>
  <c r="U2" i="33"/>
  <c r="Z2" i="33" s="1"/>
  <c r="AE2" i="33" s="1"/>
  <c r="AJ2" i="33" s="1"/>
  <c r="AO2" i="33" s="1"/>
  <c r="AT2" i="33" s="1"/>
  <c r="AJ2" i="8"/>
  <c r="AO2" i="8" s="1"/>
  <c r="AT2" i="8" s="1"/>
  <c r="D8" i="6"/>
  <c r="D9" i="6" s="1"/>
  <c r="D10" i="6" s="1"/>
  <c r="D11" i="6" s="1"/>
  <c r="D12" i="6" s="1"/>
  <c r="D13" i="6" s="1"/>
  <c r="D14" i="6" s="1"/>
  <c r="D15" i="6" s="1"/>
  <c r="D16" i="6" s="1"/>
  <c r="D17" i="6" s="1"/>
  <c r="D18" i="6" s="1"/>
  <c r="D19" i="6" s="1"/>
  <c r="D20" i="6" s="1"/>
  <c r="D21" i="6" s="1"/>
  <c r="D22" i="6" s="1"/>
  <c r="D23" i="6" s="1"/>
  <c r="D24" i="6" s="1"/>
  <c r="D25" i="6" s="1"/>
  <c r="D26" i="6" s="1"/>
  <c r="D27" i="6" s="1"/>
  <c r="D28" i="6" s="1"/>
  <c r="D29" i="6" s="1"/>
  <c r="D30" i="6" s="1"/>
  <c r="D31" i="6" s="1"/>
  <c r="D32" i="6" s="1"/>
  <c r="D33" i="6" s="1"/>
  <c r="D34" i="6" s="1"/>
  <c r="D35" i="6" s="1"/>
  <c r="D36" i="6" s="1"/>
  <c r="D37" i="6" s="1"/>
  <c r="D38" i="6" s="1"/>
  <c r="D39" i="6" s="1"/>
  <c r="D40" i="6" s="1"/>
  <c r="D41" i="6" s="1"/>
  <c r="AC13" i="6"/>
  <c r="S13" i="6"/>
  <c r="M13" i="6"/>
  <c r="AC12" i="6"/>
  <c r="S12" i="6"/>
  <c r="M12" i="6"/>
  <c r="AC11" i="6"/>
  <c r="S11" i="6"/>
  <c r="M11" i="6"/>
  <c r="AC10" i="6"/>
  <c r="S10" i="6"/>
  <c r="M10" i="6"/>
  <c r="AC9" i="6"/>
  <c r="S9" i="6"/>
  <c r="M9" i="6"/>
  <c r="AC8" i="6"/>
  <c r="S8" i="6"/>
  <c r="M8" i="6"/>
  <c r="AC7" i="6"/>
  <c r="S7" i="6"/>
  <c r="M7" i="6"/>
  <c r="D8" i="7"/>
  <c r="D9" i="7" s="1"/>
  <c r="D10" i="7" s="1"/>
  <c r="D11" i="7" s="1"/>
  <c r="D12" i="7" s="1"/>
  <c r="D13" i="7" s="1"/>
  <c r="D14" i="7" s="1"/>
  <c r="D15" i="7" s="1"/>
  <c r="D16" i="7" s="1"/>
  <c r="D17" i="7" s="1"/>
  <c r="D18" i="7" s="1"/>
  <c r="D19" i="7" s="1"/>
  <c r="D20" i="7" s="1"/>
  <c r="D21" i="7" s="1"/>
  <c r="D22" i="7" s="1"/>
  <c r="D23" i="7" s="1"/>
  <c r="D24" i="7" s="1"/>
  <c r="D25" i="7" s="1"/>
  <c r="D26" i="7" s="1"/>
  <c r="D27" i="7" s="1"/>
  <c r="D28" i="7" s="1"/>
  <c r="D29" i="7" s="1"/>
  <c r="D30" i="7" s="1"/>
  <c r="D31" i="7" s="1"/>
  <c r="D32" i="7" s="1"/>
  <c r="D33" i="7" s="1"/>
  <c r="D34" i="7" s="1"/>
  <c r="D35" i="7" s="1"/>
  <c r="D36" i="7" s="1"/>
  <c r="D37" i="7" s="1"/>
  <c r="D38" i="7" s="1"/>
  <c r="D39" i="7" s="1"/>
  <c r="D40" i="7" s="1"/>
  <c r="D41" i="7" s="1"/>
  <c r="AC13" i="7"/>
  <c r="S13" i="7"/>
  <c r="M13" i="7"/>
  <c r="AC12" i="7"/>
  <c r="S12" i="7"/>
  <c r="M12" i="7"/>
  <c r="AC11" i="7"/>
  <c r="S11" i="7"/>
  <c r="M11" i="7"/>
  <c r="AC10" i="7"/>
  <c r="S10" i="7"/>
  <c r="M10" i="7"/>
  <c r="AC9" i="7"/>
  <c r="S9" i="7"/>
  <c r="M9" i="7"/>
  <c r="AC8" i="7"/>
  <c r="S8" i="7"/>
  <c r="M8" i="7"/>
  <c r="AC7" i="7"/>
  <c r="S7" i="7"/>
  <c r="M7" i="7"/>
  <c r="D6" i="5"/>
  <c r="D7" i="5" s="1"/>
  <c r="D8" i="5" s="1"/>
  <c r="D9" i="5" s="1"/>
  <c r="D10" i="5" s="1"/>
  <c r="D11" i="5" s="1"/>
  <c r="D12" i="5" s="1"/>
  <c r="D13" i="5" s="1"/>
  <c r="D14" i="5" s="1"/>
  <c r="D15" i="5" s="1"/>
  <c r="D16" i="5" s="1"/>
  <c r="D17" i="5" s="1"/>
  <c r="D18" i="5" s="1"/>
  <c r="D19" i="5" s="1"/>
  <c r="D20" i="5" s="1"/>
  <c r="D21" i="5" s="1"/>
  <c r="D22" i="5" s="1"/>
  <c r="D23" i="5" s="1"/>
  <c r="D24" i="5" s="1"/>
  <c r="D25" i="5" s="1"/>
  <c r="D26" i="5" s="1"/>
  <c r="D27" i="5" s="1"/>
  <c r="D28" i="5" s="1"/>
  <c r="D29" i="5" s="1"/>
  <c r="D30" i="5" s="1"/>
  <c r="D31" i="5" s="1"/>
  <c r="D32" i="5" s="1"/>
  <c r="D33" i="5" s="1"/>
  <c r="D34" i="5" s="1"/>
  <c r="D35" i="5" s="1"/>
  <c r="D36" i="5" s="1"/>
  <c r="D37" i="5" s="1"/>
  <c r="D38" i="5" s="1"/>
  <c r="D39" i="5" s="1"/>
  <c r="D6" i="3"/>
  <c r="D7" i="3" s="1"/>
  <c r="D8" i="3" s="1"/>
  <c r="D9" i="3" s="1"/>
  <c r="D10" i="3" s="1"/>
  <c r="D11" i="3" s="1"/>
  <c r="M9" i="33" l="1"/>
  <c r="M8" i="32"/>
  <c r="M11" i="8"/>
  <c r="M11" i="35"/>
  <c r="M15" i="8"/>
  <c r="M25" i="33"/>
  <c r="M29" i="33"/>
  <c r="M12" i="32"/>
  <c r="M10" i="34"/>
  <c r="M14" i="34"/>
  <c r="M15" i="37"/>
  <c r="M13" i="36"/>
  <c r="M17" i="36"/>
  <c r="M10" i="8"/>
  <c r="M14" i="8"/>
  <c r="M18" i="8"/>
  <c r="M22" i="8"/>
  <c r="M26" i="8"/>
  <c r="M30" i="8"/>
  <c r="M8" i="33"/>
  <c r="M12" i="33"/>
  <c r="M16" i="33"/>
  <c r="M20" i="33"/>
  <c r="M24" i="33"/>
  <c r="M28" i="33"/>
  <c r="M7" i="30"/>
  <c r="M10" i="30"/>
  <c r="M11" i="32"/>
  <c r="M15" i="32"/>
  <c r="M9" i="34"/>
  <c r="M13" i="34"/>
  <c r="M17" i="34"/>
  <c r="M21" i="37"/>
  <c r="M7" i="37"/>
  <c r="M10" i="37"/>
  <c r="M14" i="37"/>
  <c r="M8" i="36"/>
  <c r="M12" i="36"/>
  <c r="M16" i="36"/>
  <c r="M21" i="35"/>
  <c r="M7" i="35"/>
  <c r="M10" i="35"/>
  <c r="M19" i="8"/>
  <c r="M17" i="33"/>
  <c r="M25" i="8"/>
  <c r="M23" i="33"/>
  <c r="M21" i="32"/>
  <c r="M7" i="32"/>
  <c r="M10" i="32"/>
  <c r="M14" i="32"/>
  <c r="M8" i="34"/>
  <c r="M12" i="34"/>
  <c r="M16" i="34"/>
  <c r="M9" i="37"/>
  <c r="M13" i="37"/>
  <c r="M11" i="36"/>
  <c r="M15" i="36"/>
  <c r="M9" i="35"/>
  <c r="M23" i="8"/>
  <c r="M27" i="8"/>
  <c r="M31" i="8"/>
  <c r="M13" i="33"/>
  <c r="M21" i="33"/>
  <c r="L7" i="34"/>
  <c r="M7" i="34"/>
  <c r="M18" i="34"/>
  <c r="M9" i="8"/>
  <c r="M13" i="8"/>
  <c r="M17" i="8"/>
  <c r="M21" i="8"/>
  <c r="M29" i="8"/>
  <c r="M11" i="33"/>
  <c r="M15" i="33"/>
  <c r="M19" i="33"/>
  <c r="M27" i="33"/>
  <c r="M9" i="30"/>
  <c r="M21" i="31"/>
  <c r="M7" i="31"/>
  <c r="M8" i="31"/>
  <c r="M7" i="8"/>
  <c r="M8" i="8"/>
  <c r="M12" i="8"/>
  <c r="M16" i="8"/>
  <c r="M20" i="8"/>
  <c r="M24" i="8"/>
  <c r="M28" i="8"/>
  <c r="M7" i="33"/>
  <c r="M10" i="33"/>
  <c r="M14" i="33"/>
  <c r="M18" i="33"/>
  <c r="M22" i="33"/>
  <c r="M26" i="33"/>
  <c r="M30" i="33"/>
  <c r="M8" i="30"/>
  <c r="M9" i="32"/>
  <c r="M13" i="32"/>
  <c r="M11" i="34"/>
  <c r="M15" i="34"/>
  <c r="M19" i="34"/>
  <c r="M8" i="37"/>
  <c r="M12" i="37"/>
  <c r="M16" i="37"/>
  <c r="M21" i="36"/>
  <c r="M7" i="36"/>
  <c r="M10" i="36"/>
  <c r="M14" i="36"/>
  <c r="M18" i="36"/>
  <c r="M8" i="35"/>
  <c r="L7" i="32"/>
  <c r="L7" i="37"/>
  <c r="L7" i="35"/>
  <c r="L7" i="31"/>
  <c r="L7" i="8"/>
  <c r="L7" i="36"/>
  <c r="L7" i="30"/>
  <c r="L7" i="33"/>
  <c r="AC38" i="7" l="1"/>
  <c r="S38" i="7"/>
  <c r="M38" i="7"/>
  <c r="AC37" i="7"/>
  <c r="S37" i="7"/>
  <c r="M37" i="7"/>
  <c r="AC36" i="7"/>
  <c r="S36" i="7"/>
  <c r="M36" i="7"/>
  <c r="AC35" i="7"/>
  <c r="S35" i="7"/>
  <c r="M35" i="7"/>
  <c r="AC38" i="6"/>
  <c r="S38" i="6"/>
  <c r="M38" i="6"/>
  <c r="AC37" i="6"/>
  <c r="S37" i="6"/>
  <c r="M37" i="6"/>
  <c r="AC36" i="6"/>
  <c r="S36" i="6"/>
  <c r="M36" i="6"/>
  <c r="AC35" i="6"/>
  <c r="S35" i="6"/>
  <c r="M35" i="6"/>
  <c r="H67" i="31" l="1"/>
  <c r="I67" i="31"/>
  <c r="J67" i="31"/>
  <c r="K67" i="31"/>
  <c r="I68" i="31"/>
  <c r="J68" i="31"/>
  <c r="K68" i="31"/>
  <c r="I69" i="31"/>
  <c r="J69" i="31"/>
  <c r="K69" i="31"/>
  <c r="M69" i="31" s="1"/>
  <c r="I70" i="31"/>
  <c r="J70" i="31"/>
  <c r="K70" i="31"/>
  <c r="M70" i="31" s="1"/>
  <c r="I71" i="31"/>
  <c r="J71" i="31"/>
  <c r="K71" i="31"/>
  <c r="M71" i="31" s="1"/>
  <c r="I72" i="31"/>
  <c r="J72" i="31"/>
  <c r="K72" i="31"/>
  <c r="M72" i="31" s="1"/>
  <c r="I73" i="31"/>
  <c r="J73" i="31"/>
  <c r="K73" i="31"/>
  <c r="M73" i="31" s="1"/>
  <c r="I74" i="31"/>
  <c r="J74" i="31"/>
  <c r="K74" i="31"/>
  <c r="M74" i="31" s="1"/>
  <c r="I75" i="31"/>
  <c r="J75" i="31"/>
  <c r="K75" i="31"/>
  <c r="M75" i="31" s="1"/>
  <c r="I76" i="31"/>
  <c r="J76" i="31"/>
  <c r="K76" i="31"/>
  <c r="M76" i="31" s="1"/>
  <c r="I77" i="31"/>
  <c r="J77" i="31"/>
  <c r="K77" i="31"/>
  <c r="M77" i="31" s="1"/>
  <c r="I78" i="31"/>
  <c r="J78" i="31"/>
  <c r="K78" i="31"/>
  <c r="M78" i="31" s="1"/>
  <c r="I79" i="31"/>
  <c r="J79" i="31"/>
  <c r="K79" i="31"/>
  <c r="M79" i="31" s="1"/>
  <c r="I80" i="31"/>
  <c r="J80" i="31"/>
  <c r="K80" i="31"/>
  <c r="M80" i="31" s="1"/>
  <c r="I81" i="31"/>
  <c r="J81" i="31"/>
  <c r="K81" i="31"/>
  <c r="M81" i="31" s="1"/>
  <c r="M67" i="31" l="1"/>
  <c r="M68" i="31"/>
  <c r="L67" i="31"/>
  <c r="G19" i="5" l="1"/>
  <c r="I19" i="5"/>
  <c r="M19" i="5"/>
  <c r="P19" i="5"/>
  <c r="S19" i="5"/>
  <c r="V19" i="5"/>
  <c r="I20" i="5"/>
  <c r="I21" i="5"/>
  <c r="I22" i="5"/>
  <c r="I23" i="5"/>
  <c r="I24" i="5"/>
  <c r="I25" i="5"/>
  <c r="J19" i="5" l="1"/>
  <c r="U2" i="35" l="1"/>
  <c r="Z2" i="35" s="1"/>
  <c r="AE2" i="35" s="1"/>
  <c r="AJ2" i="35" s="1"/>
  <c r="AO2" i="35" s="1"/>
  <c r="AT2" i="35" s="1"/>
  <c r="U2" i="36"/>
  <c r="Z2" i="36" s="1"/>
  <c r="AE2" i="36" s="1"/>
  <c r="AJ2" i="36" s="1"/>
  <c r="AO2" i="36" s="1"/>
  <c r="AT2" i="36" s="1"/>
  <c r="U2" i="37"/>
  <c r="Z2" i="37" s="1"/>
  <c r="AE2" i="37" s="1"/>
  <c r="AJ2" i="37" s="1"/>
  <c r="AO2" i="37" s="1"/>
  <c r="AT2" i="37" s="1"/>
  <c r="U2" i="34"/>
  <c r="Z2" i="34" s="1"/>
  <c r="AE2" i="34" s="1"/>
  <c r="AJ2" i="34" s="1"/>
  <c r="AO2" i="34" s="1"/>
  <c r="AT2" i="34" s="1"/>
  <c r="U2" i="32"/>
  <c r="Z2" i="32" s="1"/>
  <c r="AE2" i="32" s="1"/>
  <c r="AJ2" i="32" s="1"/>
  <c r="AO2" i="32" s="1"/>
  <c r="AT2" i="32" s="1"/>
  <c r="U2" i="31"/>
  <c r="Z2" i="31" s="1"/>
  <c r="AE2" i="31" s="1"/>
  <c r="AJ2" i="31" s="1"/>
  <c r="AO2" i="31" s="1"/>
  <c r="AT2" i="31" s="1"/>
  <c r="U2" i="30"/>
  <c r="Z2" i="30" s="1"/>
  <c r="AE2" i="30" s="1"/>
  <c r="AJ2" i="30" s="1"/>
  <c r="AO2" i="30" s="1"/>
  <c r="AT2" i="30" s="1"/>
  <c r="T10" i="3"/>
  <c r="N10" i="3"/>
  <c r="K10" i="3"/>
  <c r="H10" i="3"/>
  <c r="W10" i="5"/>
  <c r="T10" i="5"/>
  <c r="Q10" i="5"/>
  <c r="N10" i="5"/>
  <c r="H10" i="5"/>
  <c r="AC48" i="6"/>
  <c r="S48" i="6"/>
  <c r="M48" i="6"/>
  <c r="AC47" i="6"/>
  <c r="S47" i="6"/>
  <c r="M47" i="6"/>
  <c r="AC46" i="6"/>
  <c r="S46" i="6"/>
  <c r="M46" i="6"/>
  <c r="AC45" i="6"/>
  <c r="S45" i="6"/>
  <c r="M45" i="6"/>
  <c r="AC44" i="6"/>
  <c r="S44" i="6"/>
  <c r="M44" i="6"/>
  <c r="AC43" i="6"/>
  <c r="S43" i="6"/>
  <c r="M43" i="6"/>
  <c r="AC42" i="6"/>
  <c r="S42" i="6"/>
  <c r="M42" i="6"/>
  <c r="AC41" i="6"/>
  <c r="S41" i="6"/>
  <c r="M41" i="6"/>
  <c r="AC40" i="6"/>
  <c r="S40" i="6"/>
  <c r="M40" i="6"/>
  <c r="AC39" i="6"/>
  <c r="S39" i="6"/>
  <c r="M39" i="6"/>
  <c r="AC34" i="6"/>
  <c r="S34" i="6"/>
  <c r="M34" i="6"/>
  <c r="AC33" i="6"/>
  <c r="S33" i="6"/>
  <c r="M33" i="6"/>
  <c r="AC32" i="6"/>
  <c r="S32" i="6"/>
  <c r="M32" i="6"/>
  <c r="AC31" i="6"/>
  <c r="S31" i="6"/>
  <c r="M31" i="6"/>
  <c r="AC30" i="6"/>
  <c r="S30" i="6"/>
  <c r="M30" i="6"/>
  <c r="AC29" i="6"/>
  <c r="S29" i="6"/>
  <c r="M29" i="6"/>
  <c r="AC28" i="6"/>
  <c r="S28" i="6"/>
  <c r="M28" i="6"/>
  <c r="AC27" i="6"/>
  <c r="S27" i="6"/>
  <c r="M27" i="6"/>
  <c r="AC26" i="6"/>
  <c r="S26" i="6"/>
  <c r="M26" i="6"/>
  <c r="AC25" i="6"/>
  <c r="S25" i="6"/>
  <c r="M25" i="6"/>
  <c r="AC24" i="6"/>
  <c r="S24" i="6"/>
  <c r="M24" i="6"/>
  <c r="AC23" i="6"/>
  <c r="S23" i="6"/>
  <c r="M23" i="6"/>
  <c r="AC22" i="6"/>
  <c r="S22" i="6"/>
  <c r="M22" i="6"/>
  <c r="AC21" i="6"/>
  <c r="S21" i="6"/>
  <c r="M21" i="6"/>
  <c r="AC20" i="6"/>
  <c r="S20" i="6"/>
  <c r="M20" i="6"/>
  <c r="AC19" i="6"/>
  <c r="S19" i="6"/>
  <c r="M19" i="6"/>
  <c r="AC18" i="6"/>
  <c r="S18" i="6"/>
  <c r="M18" i="6"/>
  <c r="AC17" i="6"/>
  <c r="S17" i="6"/>
  <c r="M17" i="6"/>
  <c r="AC16" i="6"/>
  <c r="S16" i="6"/>
  <c r="M16" i="6"/>
  <c r="AC15" i="6"/>
  <c r="S15" i="6"/>
  <c r="M15" i="6"/>
  <c r="S40" i="3" l="1"/>
  <c r="M40" i="3"/>
  <c r="J40" i="3"/>
  <c r="G40" i="3"/>
  <c r="P40" i="3" l="1"/>
  <c r="V40" i="3"/>
  <c r="V40" i="5"/>
  <c r="S40" i="5"/>
  <c r="P40" i="5"/>
  <c r="M40" i="5"/>
  <c r="G40" i="5"/>
  <c r="AC48" i="7" l="1"/>
  <c r="S48" i="7"/>
  <c r="M48" i="7"/>
  <c r="AC47" i="7"/>
  <c r="S47" i="7"/>
  <c r="M47" i="7"/>
  <c r="AC46" i="7"/>
  <c r="S46" i="7"/>
  <c r="M46" i="7"/>
  <c r="AC45" i="7"/>
  <c r="S45" i="7"/>
  <c r="M45" i="7"/>
  <c r="F48" i="6"/>
  <c r="S12" i="5"/>
  <c r="S26" i="5"/>
  <c r="S33" i="5"/>
  <c r="S6" i="5"/>
  <c r="P6" i="5"/>
  <c r="M6" i="5"/>
  <c r="I46" i="5"/>
  <c r="I45" i="5"/>
  <c r="I44" i="5"/>
  <c r="I43" i="5"/>
  <c r="I42" i="5"/>
  <c r="I41" i="5"/>
  <c r="U46" i="3"/>
  <c r="O46" i="3"/>
  <c r="U45" i="3"/>
  <c r="O45" i="3"/>
  <c r="U44" i="3"/>
  <c r="O44" i="3"/>
  <c r="U43" i="3"/>
  <c r="O43" i="3"/>
  <c r="U42" i="3"/>
  <c r="O42" i="3"/>
  <c r="U41" i="3"/>
  <c r="O41" i="3"/>
  <c r="F46" i="7" l="1"/>
  <c r="AF46" i="7" s="1"/>
  <c r="AL48" i="6"/>
  <c r="AD48" i="6"/>
  <c r="X48" i="6"/>
  <c r="R48" i="6"/>
  <c r="L48" i="6"/>
  <c r="AJ48" i="6"/>
  <c r="V48" i="6"/>
  <c r="P48" i="6"/>
  <c r="J48" i="6"/>
  <c r="AH48" i="6"/>
  <c r="AB48" i="6"/>
  <c r="T48" i="6"/>
  <c r="N48" i="6"/>
  <c r="AF48" i="6"/>
  <c r="Z48" i="6"/>
  <c r="F46" i="6"/>
  <c r="F48" i="7"/>
  <c r="AJ48" i="7" s="1"/>
  <c r="N46" i="7"/>
  <c r="AB46" i="7"/>
  <c r="F45" i="7"/>
  <c r="T45" i="7" s="1"/>
  <c r="AJ46" i="7"/>
  <c r="F47" i="7"/>
  <c r="AD47" i="7" s="1"/>
  <c r="F45" i="6"/>
  <c r="F47" i="6"/>
  <c r="K155" i="8"/>
  <c r="K156" i="8"/>
  <c r="AC14" i="6"/>
  <c r="S14" i="6"/>
  <c r="M14" i="6"/>
  <c r="V46" i="7" l="1"/>
  <c r="AH46" i="7"/>
  <c r="AL46" i="7"/>
  <c r="X46" i="7"/>
  <c r="P46" i="7"/>
  <c r="AD46" i="7"/>
  <c r="L46" i="7"/>
  <c r="Z46" i="7"/>
  <c r="J46" i="7"/>
  <c r="T46" i="7"/>
  <c r="R46" i="7"/>
  <c r="AH47" i="6"/>
  <c r="AB47" i="6"/>
  <c r="T47" i="6"/>
  <c r="N47" i="6"/>
  <c r="AF47" i="6"/>
  <c r="Z47" i="6"/>
  <c r="AL47" i="6"/>
  <c r="AD47" i="6"/>
  <c r="X47" i="6"/>
  <c r="R47" i="6"/>
  <c r="L47" i="6"/>
  <c r="AJ47" i="6"/>
  <c r="V47" i="6"/>
  <c r="P47" i="6"/>
  <c r="J47" i="6"/>
  <c r="AL46" i="6"/>
  <c r="AD46" i="6"/>
  <c r="X46" i="6"/>
  <c r="R46" i="6"/>
  <c r="L46" i="6"/>
  <c r="AJ46" i="6"/>
  <c r="V46" i="6"/>
  <c r="P46" i="6"/>
  <c r="J46" i="6"/>
  <c r="AH46" i="6"/>
  <c r="AB46" i="6"/>
  <c r="T46" i="6"/>
  <c r="N46" i="6"/>
  <c r="AF46" i="6"/>
  <c r="Z46" i="6"/>
  <c r="AH45" i="6"/>
  <c r="AB45" i="6"/>
  <c r="T45" i="6"/>
  <c r="N45" i="6"/>
  <c r="AF45" i="6"/>
  <c r="Z45" i="6"/>
  <c r="AL45" i="6"/>
  <c r="AD45" i="6"/>
  <c r="X45" i="6"/>
  <c r="R45" i="6"/>
  <c r="L45" i="6"/>
  <c r="AJ45" i="6"/>
  <c r="V45" i="6"/>
  <c r="P45" i="6"/>
  <c r="J45" i="6"/>
  <c r="L48" i="7"/>
  <c r="T48" i="7"/>
  <c r="AL48" i="7"/>
  <c r="V48" i="7"/>
  <c r="N48" i="7"/>
  <c r="J48" i="7"/>
  <c r="AB48" i="7"/>
  <c r="Z48" i="7"/>
  <c r="X48" i="7"/>
  <c r="R48" i="7"/>
  <c r="P48" i="7"/>
  <c r="AH48" i="7"/>
  <c r="AF48" i="7"/>
  <c r="AD48" i="7"/>
  <c r="AD45" i="7"/>
  <c r="T47" i="7"/>
  <c r="AH47" i="7"/>
  <c r="AB47" i="7"/>
  <c r="AF47" i="7"/>
  <c r="Z47" i="7"/>
  <c r="AL47" i="7"/>
  <c r="X47" i="7"/>
  <c r="R47" i="7"/>
  <c r="L47" i="7"/>
  <c r="AJ47" i="7"/>
  <c r="V47" i="7"/>
  <c r="P47" i="7"/>
  <c r="J47" i="7"/>
  <c r="AL45" i="7"/>
  <c r="X45" i="7"/>
  <c r="R45" i="7"/>
  <c r="L45" i="7"/>
  <c r="J45" i="7"/>
  <c r="AH45" i="7"/>
  <c r="AB45" i="7"/>
  <c r="AF45" i="7"/>
  <c r="Z45" i="7"/>
  <c r="AJ45" i="7"/>
  <c r="V45" i="7"/>
  <c r="P45" i="7"/>
  <c r="N47" i="7"/>
  <c r="N45" i="7"/>
  <c r="AZ87" i="34"/>
  <c r="BA87" i="34"/>
  <c r="AZ88" i="34"/>
  <c r="AZ89" i="34"/>
  <c r="AZ90" i="34"/>
  <c r="AZ91" i="34"/>
  <c r="AZ92" i="34"/>
  <c r="AZ93" i="34"/>
  <c r="AZ94" i="34"/>
  <c r="AZ95" i="34"/>
  <c r="AZ96" i="34"/>
  <c r="AZ97" i="34"/>
  <c r="AZ98" i="34"/>
  <c r="AZ99" i="34"/>
  <c r="AZ100" i="34"/>
  <c r="AZ101" i="34"/>
  <c r="AZ87" i="32"/>
  <c r="BA87" i="32"/>
  <c r="AZ88" i="32"/>
  <c r="AZ89" i="32"/>
  <c r="AZ90" i="32"/>
  <c r="AZ91" i="32"/>
  <c r="AZ92" i="32"/>
  <c r="AZ93" i="32"/>
  <c r="AZ94" i="32"/>
  <c r="AZ95" i="32"/>
  <c r="AZ96" i="32"/>
  <c r="AZ97" i="32"/>
  <c r="AZ98" i="32"/>
  <c r="AZ99" i="32"/>
  <c r="AZ100" i="32"/>
  <c r="AZ101" i="32"/>
  <c r="G33" i="5"/>
  <c r="I6" i="39" s="1"/>
  <c r="I33" i="5"/>
  <c r="M33" i="5"/>
  <c r="I8" i="39" s="1"/>
  <c r="P33" i="5"/>
  <c r="I9" i="39" s="1"/>
  <c r="V33" i="5"/>
  <c r="I11" i="39" s="1"/>
  <c r="I34" i="5"/>
  <c r="I35" i="5"/>
  <c r="I36" i="5"/>
  <c r="I37" i="5"/>
  <c r="I38" i="5"/>
  <c r="I39" i="5"/>
  <c r="J33" i="5" l="1"/>
  <c r="I7" i="39" s="1"/>
  <c r="AC40" i="7" l="1"/>
  <c r="AC39" i="7"/>
  <c r="AC34" i="7"/>
  <c r="AC33" i="7"/>
  <c r="AC32" i="7"/>
  <c r="AC31" i="7"/>
  <c r="AC30" i="7"/>
  <c r="AC29" i="7"/>
  <c r="AC28" i="7"/>
  <c r="AC27" i="7"/>
  <c r="AC26" i="7"/>
  <c r="AC25" i="7"/>
  <c r="AC24" i="7"/>
  <c r="AC23" i="7"/>
  <c r="AC22" i="7"/>
  <c r="AC21" i="7"/>
  <c r="AC20" i="7"/>
  <c r="AC19" i="7"/>
  <c r="AC18" i="7"/>
  <c r="AC17" i="7"/>
  <c r="AC16" i="7"/>
  <c r="AC15" i="7"/>
  <c r="AC14" i="7"/>
  <c r="K81" i="36" l="1"/>
  <c r="J81" i="36"/>
  <c r="I81" i="36"/>
  <c r="K61" i="34"/>
  <c r="J61" i="34"/>
  <c r="I61" i="34"/>
  <c r="K101" i="34"/>
  <c r="M101" i="34" s="1"/>
  <c r="J101" i="34"/>
  <c r="I101" i="34"/>
  <c r="K81" i="34"/>
  <c r="M81" i="34" s="1"/>
  <c r="J81" i="34"/>
  <c r="I81" i="34"/>
  <c r="K80" i="34"/>
  <c r="M80" i="34" s="1"/>
  <c r="J80" i="34"/>
  <c r="I80" i="34"/>
  <c r="AZ61" i="37" l="1"/>
  <c r="AZ60" i="37"/>
  <c r="AZ59" i="37"/>
  <c r="AZ58" i="37"/>
  <c r="AZ57" i="37"/>
  <c r="AZ56" i="37"/>
  <c r="AZ55" i="37"/>
  <c r="I35" i="32" l="1"/>
  <c r="J35" i="32"/>
  <c r="K35" i="32"/>
  <c r="I30" i="30"/>
  <c r="J30" i="30"/>
  <c r="K30" i="30"/>
  <c r="I31" i="30"/>
  <c r="J31" i="30"/>
  <c r="K31" i="30"/>
  <c r="I54" i="37"/>
  <c r="J54" i="37"/>
  <c r="K54" i="37"/>
  <c r="I55" i="37"/>
  <c r="J55" i="37"/>
  <c r="K55" i="37"/>
  <c r="AZ57" i="36"/>
  <c r="AZ51" i="36"/>
  <c r="AZ49" i="36" l="1"/>
  <c r="AZ53" i="36"/>
  <c r="AZ61" i="36"/>
  <c r="AZ50" i="36"/>
  <c r="AZ54" i="36"/>
  <c r="AZ58" i="36"/>
  <c r="AZ55" i="36"/>
  <c r="AZ59" i="36"/>
  <c r="AZ48" i="36"/>
  <c r="AZ52" i="36"/>
  <c r="AZ56" i="36"/>
  <c r="AZ60" i="36"/>
  <c r="M14" i="7" l="1"/>
  <c r="K40" i="35" l="1"/>
  <c r="M40" i="35" s="1"/>
  <c r="J40" i="35"/>
  <c r="I40" i="35"/>
  <c r="K39" i="35"/>
  <c r="M39" i="35" s="1"/>
  <c r="J39" i="35"/>
  <c r="I39" i="35"/>
  <c r="K38" i="35"/>
  <c r="M38" i="35" s="1"/>
  <c r="J38" i="35"/>
  <c r="I38" i="35"/>
  <c r="K37" i="35"/>
  <c r="M37" i="35" s="1"/>
  <c r="J37" i="35"/>
  <c r="I37" i="35"/>
  <c r="K36" i="35"/>
  <c r="M36" i="35" s="1"/>
  <c r="J36" i="35"/>
  <c r="I36" i="35"/>
  <c r="K35" i="35"/>
  <c r="M35" i="35" s="1"/>
  <c r="J35" i="35"/>
  <c r="I35" i="35"/>
  <c r="K34" i="35"/>
  <c r="M34" i="35" s="1"/>
  <c r="J34" i="35"/>
  <c r="I34" i="35"/>
  <c r="K33" i="35"/>
  <c r="J33" i="35"/>
  <c r="I33" i="35"/>
  <c r="K32" i="35"/>
  <c r="J32" i="35"/>
  <c r="I32" i="35"/>
  <c r="K31" i="35"/>
  <c r="J31" i="35"/>
  <c r="I31" i="35"/>
  <c r="K30" i="35"/>
  <c r="J30" i="35"/>
  <c r="I30" i="35"/>
  <c r="K29" i="35"/>
  <c r="J29" i="35"/>
  <c r="I29" i="35"/>
  <c r="K28" i="35"/>
  <c r="J28" i="35"/>
  <c r="I28" i="35"/>
  <c r="K27" i="35"/>
  <c r="J27" i="35"/>
  <c r="I27" i="35"/>
  <c r="H27" i="35"/>
  <c r="K40" i="36"/>
  <c r="M40" i="36" s="1"/>
  <c r="J40" i="36"/>
  <c r="I40" i="36"/>
  <c r="K39" i="36"/>
  <c r="M39" i="36" s="1"/>
  <c r="J39" i="36"/>
  <c r="I39" i="36"/>
  <c r="K38" i="36"/>
  <c r="J38" i="36"/>
  <c r="I38" i="36"/>
  <c r="K37" i="36"/>
  <c r="J37" i="36"/>
  <c r="I37" i="36"/>
  <c r="K36" i="36"/>
  <c r="J36" i="36"/>
  <c r="I36" i="36"/>
  <c r="K35" i="36"/>
  <c r="J35" i="36"/>
  <c r="I35" i="36"/>
  <c r="K34" i="36"/>
  <c r="J34" i="36"/>
  <c r="I34" i="36"/>
  <c r="K33" i="36"/>
  <c r="J33" i="36"/>
  <c r="I33" i="36"/>
  <c r="K32" i="36"/>
  <c r="J32" i="36"/>
  <c r="I32" i="36"/>
  <c r="K31" i="36"/>
  <c r="J31" i="36"/>
  <c r="I31" i="36"/>
  <c r="K30" i="36"/>
  <c r="J30" i="36"/>
  <c r="I30" i="36"/>
  <c r="K29" i="36"/>
  <c r="J29" i="36"/>
  <c r="I29" i="36"/>
  <c r="K28" i="36"/>
  <c r="J28" i="36"/>
  <c r="I28" i="36"/>
  <c r="K27" i="36"/>
  <c r="J27" i="36"/>
  <c r="I27" i="36"/>
  <c r="H27" i="36"/>
  <c r="K40" i="37"/>
  <c r="M40" i="37" s="1"/>
  <c r="J40" i="37"/>
  <c r="I40" i="37"/>
  <c r="K39" i="37"/>
  <c r="M39" i="37" s="1"/>
  <c r="J39" i="37"/>
  <c r="I39" i="37"/>
  <c r="K38" i="37"/>
  <c r="M38" i="37" s="1"/>
  <c r="J38" i="37"/>
  <c r="I38" i="37"/>
  <c r="K37" i="37"/>
  <c r="J37" i="37"/>
  <c r="I37" i="37"/>
  <c r="K36" i="37"/>
  <c r="J36" i="37"/>
  <c r="I36" i="37"/>
  <c r="K35" i="37"/>
  <c r="J35" i="37"/>
  <c r="I35" i="37"/>
  <c r="K34" i="37"/>
  <c r="J34" i="37"/>
  <c r="I34" i="37"/>
  <c r="K33" i="37"/>
  <c r="J33" i="37"/>
  <c r="I33" i="37"/>
  <c r="K32" i="37"/>
  <c r="J32" i="37"/>
  <c r="I32" i="37"/>
  <c r="K31" i="37"/>
  <c r="J31" i="37"/>
  <c r="I31" i="37"/>
  <c r="K30" i="37"/>
  <c r="J30" i="37"/>
  <c r="I30" i="37"/>
  <c r="K29" i="37"/>
  <c r="J29" i="37"/>
  <c r="I29" i="37"/>
  <c r="K28" i="37"/>
  <c r="J28" i="37"/>
  <c r="I28" i="37"/>
  <c r="K27" i="37"/>
  <c r="J27" i="37"/>
  <c r="I27" i="37"/>
  <c r="H27" i="37"/>
  <c r="K40" i="34"/>
  <c r="M40" i="34" s="1"/>
  <c r="J40" i="34"/>
  <c r="I40" i="34"/>
  <c r="K39" i="34"/>
  <c r="J39" i="34"/>
  <c r="I39" i="34"/>
  <c r="K38" i="34"/>
  <c r="J38" i="34"/>
  <c r="I38" i="34"/>
  <c r="K37" i="34"/>
  <c r="J37" i="34"/>
  <c r="I37" i="34"/>
  <c r="K36" i="34"/>
  <c r="J36" i="34"/>
  <c r="I36" i="34"/>
  <c r="K35" i="34"/>
  <c r="J35" i="34"/>
  <c r="I35" i="34"/>
  <c r="K34" i="34"/>
  <c r="J34" i="34"/>
  <c r="I34" i="34"/>
  <c r="K33" i="34"/>
  <c r="J33" i="34"/>
  <c r="I33" i="34"/>
  <c r="K32" i="34"/>
  <c r="J32" i="34"/>
  <c r="I32" i="34"/>
  <c r="K31" i="34"/>
  <c r="J31" i="34"/>
  <c r="I31" i="34"/>
  <c r="K30" i="34"/>
  <c r="J30" i="34"/>
  <c r="I30" i="34"/>
  <c r="K29" i="34"/>
  <c r="J29" i="34"/>
  <c r="I29" i="34"/>
  <c r="K28" i="34"/>
  <c r="J28" i="34"/>
  <c r="I28" i="34"/>
  <c r="K27" i="34"/>
  <c r="J27" i="34"/>
  <c r="I27" i="34"/>
  <c r="H27" i="34"/>
  <c r="K60" i="35"/>
  <c r="M60" i="35" s="1"/>
  <c r="J60" i="35"/>
  <c r="I60" i="35"/>
  <c r="K59" i="35"/>
  <c r="M59" i="35" s="1"/>
  <c r="J59" i="35"/>
  <c r="I59" i="35"/>
  <c r="K58" i="35"/>
  <c r="M58" i="35" s="1"/>
  <c r="J58" i="35"/>
  <c r="I58" i="35"/>
  <c r="K57" i="35"/>
  <c r="M57" i="35" s="1"/>
  <c r="J57" i="35"/>
  <c r="I57" i="35"/>
  <c r="K56" i="35"/>
  <c r="M56" i="35" s="1"/>
  <c r="J56" i="35"/>
  <c r="I56" i="35"/>
  <c r="K55" i="35"/>
  <c r="M55" i="35" s="1"/>
  <c r="J55" i="35"/>
  <c r="I55" i="35"/>
  <c r="K54" i="35"/>
  <c r="M54" i="35" s="1"/>
  <c r="J54" i="35"/>
  <c r="I54" i="35"/>
  <c r="K53" i="35"/>
  <c r="J53" i="35"/>
  <c r="I53" i="35"/>
  <c r="K52" i="35"/>
  <c r="J52" i="35"/>
  <c r="I52" i="35"/>
  <c r="K51" i="35"/>
  <c r="J51" i="35"/>
  <c r="I51" i="35"/>
  <c r="K50" i="35"/>
  <c r="J50" i="35"/>
  <c r="I50" i="35"/>
  <c r="K49" i="35"/>
  <c r="J49" i="35"/>
  <c r="I49" i="35"/>
  <c r="K48" i="35"/>
  <c r="J48" i="35"/>
  <c r="I48" i="35"/>
  <c r="K47" i="35"/>
  <c r="J47" i="35"/>
  <c r="I47" i="35"/>
  <c r="H47" i="35"/>
  <c r="K60" i="36"/>
  <c r="M60" i="36" s="1"/>
  <c r="J60" i="36"/>
  <c r="I60" i="36"/>
  <c r="K59" i="36"/>
  <c r="M59" i="36" s="1"/>
  <c r="J59" i="36"/>
  <c r="I59" i="36"/>
  <c r="K58" i="36"/>
  <c r="J58" i="36"/>
  <c r="I58" i="36"/>
  <c r="K57" i="36"/>
  <c r="J57" i="36"/>
  <c r="I57" i="36"/>
  <c r="K56" i="36"/>
  <c r="J56" i="36"/>
  <c r="I56" i="36"/>
  <c r="K55" i="36"/>
  <c r="J55" i="36"/>
  <c r="I55" i="36"/>
  <c r="K54" i="36"/>
  <c r="J54" i="36"/>
  <c r="I54" i="36"/>
  <c r="K53" i="36"/>
  <c r="J53" i="36"/>
  <c r="I53" i="36"/>
  <c r="K52" i="36"/>
  <c r="J52" i="36"/>
  <c r="I52" i="36"/>
  <c r="K51" i="36"/>
  <c r="J51" i="36"/>
  <c r="I51" i="36"/>
  <c r="K50" i="36"/>
  <c r="J50" i="36"/>
  <c r="I50" i="36"/>
  <c r="K49" i="36"/>
  <c r="J49" i="36"/>
  <c r="I49" i="36"/>
  <c r="K48" i="36"/>
  <c r="J48" i="36"/>
  <c r="I48" i="36"/>
  <c r="K47" i="36"/>
  <c r="J47" i="36"/>
  <c r="I47" i="36"/>
  <c r="H47" i="36"/>
  <c r="K60" i="37"/>
  <c r="M60" i="37" s="1"/>
  <c r="J60" i="37"/>
  <c r="I60" i="37"/>
  <c r="K59" i="37"/>
  <c r="M59" i="37" s="1"/>
  <c r="J59" i="37"/>
  <c r="I59" i="37"/>
  <c r="K58" i="37"/>
  <c r="M58" i="37" s="1"/>
  <c r="J58" i="37"/>
  <c r="I58" i="37"/>
  <c r="K57" i="37"/>
  <c r="J57" i="37"/>
  <c r="I57" i="37"/>
  <c r="K56" i="37"/>
  <c r="J56" i="37"/>
  <c r="I56" i="37"/>
  <c r="K53" i="37"/>
  <c r="J53" i="37"/>
  <c r="I53" i="37"/>
  <c r="K52" i="37"/>
  <c r="J52" i="37"/>
  <c r="I52" i="37"/>
  <c r="K51" i="37"/>
  <c r="J51" i="37"/>
  <c r="I51" i="37"/>
  <c r="K50" i="37"/>
  <c r="J50" i="37"/>
  <c r="I50" i="37"/>
  <c r="K49" i="37"/>
  <c r="J49" i="37"/>
  <c r="I49" i="37"/>
  <c r="K48" i="37"/>
  <c r="J48" i="37"/>
  <c r="I48" i="37"/>
  <c r="K47" i="37"/>
  <c r="J47" i="37"/>
  <c r="I47" i="37"/>
  <c r="H47" i="37"/>
  <c r="K60" i="34"/>
  <c r="M60" i="34" s="1"/>
  <c r="J60" i="34"/>
  <c r="I60" i="34"/>
  <c r="K59" i="34"/>
  <c r="J59" i="34"/>
  <c r="I59" i="34"/>
  <c r="K58" i="34"/>
  <c r="J58" i="34"/>
  <c r="I58" i="34"/>
  <c r="K57" i="34"/>
  <c r="J57" i="34"/>
  <c r="I57" i="34"/>
  <c r="K56" i="34"/>
  <c r="J56" i="34"/>
  <c r="I56" i="34"/>
  <c r="K55" i="34"/>
  <c r="J55" i="34"/>
  <c r="I55" i="34"/>
  <c r="K54" i="34"/>
  <c r="J54" i="34"/>
  <c r="I54" i="34"/>
  <c r="K53" i="34"/>
  <c r="J53" i="34"/>
  <c r="I53" i="34"/>
  <c r="K52" i="34"/>
  <c r="J52" i="34"/>
  <c r="I52" i="34"/>
  <c r="K51" i="34"/>
  <c r="J51" i="34"/>
  <c r="I51" i="34"/>
  <c r="K50" i="34"/>
  <c r="J50" i="34"/>
  <c r="I50" i="34"/>
  <c r="K49" i="34"/>
  <c r="J49" i="34"/>
  <c r="I49" i="34"/>
  <c r="K48" i="34"/>
  <c r="J48" i="34"/>
  <c r="I48" i="34"/>
  <c r="K47" i="34"/>
  <c r="J47" i="34"/>
  <c r="I47" i="34"/>
  <c r="H47" i="34"/>
  <c r="K80" i="35"/>
  <c r="M80" i="35" s="1"/>
  <c r="J80" i="35"/>
  <c r="I80" i="35"/>
  <c r="K79" i="35"/>
  <c r="M79" i="35" s="1"/>
  <c r="J79" i="35"/>
  <c r="I79" i="35"/>
  <c r="K78" i="35"/>
  <c r="M78" i="35" s="1"/>
  <c r="J78" i="35"/>
  <c r="I78" i="35"/>
  <c r="K77" i="35"/>
  <c r="M77" i="35" s="1"/>
  <c r="J77" i="35"/>
  <c r="I77" i="35"/>
  <c r="K76" i="35"/>
  <c r="M76" i="35" s="1"/>
  <c r="J76" i="35"/>
  <c r="I76" i="35"/>
  <c r="K75" i="35"/>
  <c r="M75" i="35" s="1"/>
  <c r="J75" i="35"/>
  <c r="I75" i="35"/>
  <c r="K74" i="35"/>
  <c r="M74" i="35" s="1"/>
  <c r="J74" i="35"/>
  <c r="I74" i="35"/>
  <c r="K73" i="35"/>
  <c r="J73" i="35"/>
  <c r="I73" i="35"/>
  <c r="K72" i="35"/>
  <c r="J72" i="35"/>
  <c r="I72" i="35"/>
  <c r="K71" i="35"/>
  <c r="J71" i="35"/>
  <c r="I71" i="35"/>
  <c r="K70" i="35"/>
  <c r="J70" i="35"/>
  <c r="I70" i="35"/>
  <c r="K69" i="35"/>
  <c r="J69" i="35"/>
  <c r="I69" i="35"/>
  <c r="K68" i="35"/>
  <c r="J68" i="35"/>
  <c r="I68" i="35"/>
  <c r="K67" i="35"/>
  <c r="J67" i="35"/>
  <c r="I67" i="35"/>
  <c r="H67" i="35"/>
  <c r="K80" i="36"/>
  <c r="M80" i="36" s="1"/>
  <c r="J80" i="36"/>
  <c r="I80" i="36"/>
  <c r="K79" i="36"/>
  <c r="M79" i="36" s="1"/>
  <c r="J79" i="36"/>
  <c r="I79" i="36"/>
  <c r="K78" i="36"/>
  <c r="J78" i="36"/>
  <c r="I78" i="36"/>
  <c r="K77" i="36"/>
  <c r="J77" i="36"/>
  <c r="I77" i="36"/>
  <c r="K76" i="36"/>
  <c r="J76" i="36"/>
  <c r="I76" i="36"/>
  <c r="K75" i="36"/>
  <c r="J75" i="36"/>
  <c r="I75" i="36"/>
  <c r="K74" i="36"/>
  <c r="J74" i="36"/>
  <c r="I74" i="36"/>
  <c r="K73" i="36"/>
  <c r="J73" i="36"/>
  <c r="I73" i="36"/>
  <c r="K72" i="36"/>
  <c r="J72" i="36"/>
  <c r="I72" i="36"/>
  <c r="K71" i="36"/>
  <c r="J71" i="36"/>
  <c r="I71" i="36"/>
  <c r="K70" i="36"/>
  <c r="J70" i="36"/>
  <c r="I70" i="36"/>
  <c r="K69" i="36"/>
  <c r="J69" i="36"/>
  <c r="I69" i="36"/>
  <c r="K68" i="36"/>
  <c r="J68" i="36"/>
  <c r="I68" i="36"/>
  <c r="K67" i="36"/>
  <c r="J67" i="36"/>
  <c r="I67" i="36"/>
  <c r="H67" i="36"/>
  <c r="K80" i="37"/>
  <c r="M80" i="37" s="1"/>
  <c r="J80" i="37"/>
  <c r="I80" i="37"/>
  <c r="K79" i="37"/>
  <c r="M79" i="37" s="1"/>
  <c r="J79" i="37"/>
  <c r="I79" i="37"/>
  <c r="K78" i="37"/>
  <c r="M78" i="37" s="1"/>
  <c r="J78" i="37"/>
  <c r="I78" i="37"/>
  <c r="K77" i="37"/>
  <c r="J77" i="37"/>
  <c r="I77" i="37"/>
  <c r="K76" i="37"/>
  <c r="J76" i="37"/>
  <c r="I76" i="37"/>
  <c r="K75" i="37"/>
  <c r="J75" i="37"/>
  <c r="I75" i="37"/>
  <c r="K74" i="37"/>
  <c r="J74" i="37"/>
  <c r="I74" i="37"/>
  <c r="K73" i="37"/>
  <c r="J73" i="37"/>
  <c r="I73" i="37"/>
  <c r="K72" i="37"/>
  <c r="J72" i="37"/>
  <c r="I72" i="37"/>
  <c r="K71" i="37"/>
  <c r="J71" i="37"/>
  <c r="I71" i="37"/>
  <c r="K70" i="37"/>
  <c r="J70" i="37"/>
  <c r="I70" i="37"/>
  <c r="K69" i="37"/>
  <c r="J69" i="37"/>
  <c r="I69" i="37"/>
  <c r="K68" i="37"/>
  <c r="J68" i="37"/>
  <c r="I68" i="37"/>
  <c r="K67" i="37"/>
  <c r="J67" i="37"/>
  <c r="I67" i="37"/>
  <c r="H67" i="37"/>
  <c r="K79" i="34"/>
  <c r="J79" i="34"/>
  <c r="I79" i="34"/>
  <c r="K78" i="34"/>
  <c r="J78" i="34"/>
  <c r="I78" i="34"/>
  <c r="K77" i="34"/>
  <c r="J77" i="34"/>
  <c r="I77" i="34"/>
  <c r="K76" i="34"/>
  <c r="J76" i="34"/>
  <c r="I76" i="34"/>
  <c r="K75" i="34"/>
  <c r="J75" i="34"/>
  <c r="I75" i="34"/>
  <c r="K74" i="34"/>
  <c r="J74" i="34"/>
  <c r="I74" i="34"/>
  <c r="K73" i="34"/>
  <c r="J73" i="34"/>
  <c r="I73" i="34"/>
  <c r="K72" i="34"/>
  <c r="J72" i="34"/>
  <c r="I72" i="34"/>
  <c r="K71" i="34"/>
  <c r="J71" i="34"/>
  <c r="I71" i="34"/>
  <c r="K70" i="34"/>
  <c r="J70" i="34"/>
  <c r="I70" i="34"/>
  <c r="K69" i="34"/>
  <c r="J69" i="34"/>
  <c r="I69" i="34"/>
  <c r="K68" i="34"/>
  <c r="J68" i="34"/>
  <c r="I68" i="34"/>
  <c r="K67" i="34"/>
  <c r="J67" i="34"/>
  <c r="I67" i="34"/>
  <c r="H67" i="34"/>
  <c r="K100" i="35"/>
  <c r="M100" i="35" s="1"/>
  <c r="J100" i="35"/>
  <c r="I100" i="35"/>
  <c r="K99" i="35"/>
  <c r="M99" i="35" s="1"/>
  <c r="J99" i="35"/>
  <c r="I99" i="35"/>
  <c r="K98" i="35"/>
  <c r="M98" i="35" s="1"/>
  <c r="J98" i="35"/>
  <c r="I98" i="35"/>
  <c r="K97" i="35"/>
  <c r="M97" i="35" s="1"/>
  <c r="J97" i="35"/>
  <c r="I97" i="35"/>
  <c r="K96" i="35"/>
  <c r="M96" i="35" s="1"/>
  <c r="J96" i="35"/>
  <c r="I96" i="35"/>
  <c r="K95" i="35"/>
  <c r="M95" i="35" s="1"/>
  <c r="J95" i="35"/>
  <c r="I95" i="35"/>
  <c r="K94" i="35"/>
  <c r="M94" i="35" s="1"/>
  <c r="J94" i="35"/>
  <c r="I94" i="35"/>
  <c r="K93" i="35"/>
  <c r="J93" i="35"/>
  <c r="I93" i="35"/>
  <c r="K92" i="35"/>
  <c r="J92" i="35"/>
  <c r="I92" i="35"/>
  <c r="K91" i="35"/>
  <c r="J91" i="35"/>
  <c r="I91" i="35"/>
  <c r="K90" i="35"/>
  <c r="J90" i="35"/>
  <c r="I90" i="35"/>
  <c r="K89" i="35"/>
  <c r="J89" i="35"/>
  <c r="I89" i="35"/>
  <c r="K88" i="35"/>
  <c r="J88" i="35"/>
  <c r="I88" i="35"/>
  <c r="K87" i="35"/>
  <c r="J87" i="35"/>
  <c r="I87" i="35"/>
  <c r="H87" i="35"/>
  <c r="K100" i="36"/>
  <c r="M100" i="36" s="1"/>
  <c r="J100" i="36"/>
  <c r="I100" i="36"/>
  <c r="K99" i="36"/>
  <c r="M99" i="36" s="1"/>
  <c r="J99" i="36"/>
  <c r="I99" i="36"/>
  <c r="K98" i="36"/>
  <c r="J98" i="36"/>
  <c r="I98" i="36"/>
  <c r="K97" i="36"/>
  <c r="J97" i="36"/>
  <c r="I97" i="36"/>
  <c r="K96" i="36"/>
  <c r="J96" i="36"/>
  <c r="I96" i="36"/>
  <c r="K95" i="36"/>
  <c r="J95" i="36"/>
  <c r="I95" i="36"/>
  <c r="K94" i="36"/>
  <c r="J94" i="36"/>
  <c r="I94" i="36"/>
  <c r="K93" i="36"/>
  <c r="J93" i="36"/>
  <c r="I93" i="36"/>
  <c r="K92" i="36"/>
  <c r="J92" i="36"/>
  <c r="I92" i="36"/>
  <c r="K91" i="36"/>
  <c r="J91" i="36"/>
  <c r="I91" i="36"/>
  <c r="K90" i="36"/>
  <c r="J90" i="36"/>
  <c r="I90" i="36"/>
  <c r="K89" i="36"/>
  <c r="J89" i="36"/>
  <c r="I89" i="36"/>
  <c r="K88" i="36"/>
  <c r="J88" i="36"/>
  <c r="I88" i="36"/>
  <c r="K87" i="36"/>
  <c r="J87" i="36"/>
  <c r="I87" i="36"/>
  <c r="H87" i="36"/>
  <c r="K100" i="37"/>
  <c r="M100" i="37" s="1"/>
  <c r="J100" i="37"/>
  <c r="I100" i="37"/>
  <c r="K99" i="37"/>
  <c r="M99" i="37" s="1"/>
  <c r="J99" i="37"/>
  <c r="I99" i="37"/>
  <c r="K98" i="37"/>
  <c r="M98" i="37" s="1"/>
  <c r="J98" i="37"/>
  <c r="I98" i="37"/>
  <c r="K97" i="37"/>
  <c r="J97" i="37"/>
  <c r="I97" i="37"/>
  <c r="K96" i="37"/>
  <c r="J96" i="37"/>
  <c r="I96" i="37"/>
  <c r="K95" i="37"/>
  <c r="J95" i="37"/>
  <c r="I95" i="37"/>
  <c r="K94" i="37"/>
  <c r="J94" i="37"/>
  <c r="I94" i="37"/>
  <c r="K93" i="37"/>
  <c r="J93" i="37"/>
  <c r="I93" i="37"/>
  <c r="K92" i="37"/>
  <c r="J92" i="37"/>
  <c r="I92" i="37"/>
  <c r="K91" i="37"/>
  <c r="J91" i="37"/>
  <c r="I91" i="37"/>
  <c r="K90" i="37"/>
  <c r="J90" i="37"/>
  <c r="I90" i="37"/>
  <c r="K89" i="37"/>
  <c r="J89" i="37"/>
  <c r="I89" i="37"/>
  <c r="K88" i="37"/>
  <c r="J88" i="37"/>
  <c r="I88" i="37"/>
  <c r="K87" i="37"/>
  <c r="J87" i="37"/>
  <c r="I87" i="37"/>
  <c r="H87" i="37"/>
  <c r="K100" i="34"/>
  <c r="M100" i="34" s="1"/>
  <c r="J100" i="34"/>
  <c r="I100" i="34"/>
  <c r="K99" i="34"/>
  <c r="J99" i="34"/>
  <c r="I99" i="34"/>
  <c r="K98" i="34"/>
  <c r="J98" i="34"/>
  <c r="I98" i="34"/>
  <c r="K97" i="34"/>
  <c r="J97" i="34"/>
  <c r="I97" i="34"/>
  <c r="K96" i="34"/>
  <c r="J96" i="34"/>
  <c r="I96" i="34"/>
  <c r="K95" i="34"/>
  <c r="J95" i="34"/>
  <c r="I95" i="34"/>
  <c r="K94" i="34"/>
  <c r="J94" i="34"/>
  <c r="I94" i="34"/>
  <c r="K93" i="34"/>
  <c r="J93" i="34"/>
  <c r="I93" i="34"/>
  <c r="K92" i="34"/>
  <c r="J92" i="34"/>
  <c r="I92" i="34"/>
  <c r="K91" i="34"/>
  <c r="J91" i="34"/>
  <c r="I91" i="34"/>
  <c r="K90" i="34"/>
  <c r="J90" i="34"/>
  <c r="I90" i="34"/>
  <c r="K89" i="34"/>
  <c r="J89" i="34"/>
  <c r="I89" i="34"/>
  <c r="K88" i="34"/>
  <c r="J88" i="34"/>
  <c r="I88" i="34"/>
  <c r="K87" i="34"/>
  <c r="J87" i="34"/>
  <c r="I87" i="34"/>
  <c r="H87" i="34"/>
  <c r="K40" i="32"/>
  <c r="M40" i="32" s="1"/>
  <c r="J40" i="32"/>
  <c r="I40" i="32"/>
  <c r="K39" i="32"/>
  <c r="M39" i="32" s="1"/>
  <c r="J39" i="32"/>
  <c r="I39" i="32"/>
  <c r="K38" i="32"/>
  <c r="M38" i="32" s="1"/>
  <c r="J38" i="32"/>
  <c r="I38" i="32"/>
  <c r="K37" i="32"/>
  <c r="M37" i="32" s="1"/>
  <c r="J37" i="32"/>
  <c r="I37" i="32"/>
  <c r="K36" i="32"/>
  <c r="M36" i="32" s="1"/>
  <c r="J36" i="32"/>
  <c r="I36" i="32"/>
  <c r="K34" i="32"/>
  <c r="J34" i="32"/>
  <c r="I34" i="32"/>
  <c r="K33" i="32"/>
  <c r="J33" i="32"/>
  <c r="I33" i="32"/>
  <c r="K32" i="32"/>
  <c r="J32" i="32"/>
  <c r="I32" i="32"/>
  <c r="K31" i="32"/>
  <c r="J31" i="32"/>
  <c r="I31" i="32"/>
  <c r="K30" i="32"/>
  <c r="J30" i="32"/>
  <c r="I30" i="32"/>
  <c r="K29" i="32"/>
  <c r="J29" i="32"/>
  <c r="I29" i="32"/>
  <c r="K28" i="32"/>
  <c r="J28" i="32"/>
  <c r="I28" i="32"/>
  <c r="K27" i="32"/>
  <c r="J27" i="32"/>
  <c r="I27" i="32"/>
  <c r="H27" i="32"/>
  <c r="K40" i="31"/>
  <c r="M40" i="31" s="1"/>
  <c r="J40" i="31"/>
  <c r="I40" i="31"/>
  <c r="K39" i="31"/>
  <c r="M39" i="31" s="1"/>
  <c r="J39" i="31"/>
  <c r="I39" i="31"/>
  <c r="K38" i="31"/>
  <c r="M38" i="31" s="1"/>
  <c r="J38" i="31"/>
  <c r="I38" i="31"/>
  <c r="K37" i="31"/>
  <c r="M37" i="31" s="1"/>
  <c r="J37" i="31"/>
  <c r="I37" i="31"/>
  <c r="K36" i="31"/>
  <c r="M36" i="31" s="1"/>
  <c r="J36" i="31"/>
  <c r="I36" i="31"/>
  <c r="K35" i="31"/>
  <c r="M35" i="31" s="1"/>
  <c r="J35" i="31"/>
  <c r="I35" i="31"/>
  <c r="K34" i="31"/>
  <c r="M34" i="31" s="1"/>
  <c r="J34" i="31"/>
  <c r="I34" i="31"/>
  <c r="K33" i="31"/>
  <c r="M33" i="31" s="1"/>
  <c r="J33" i="31"/>
  <c r="I33" i="31"/>
  <c r="K32" i="31"/>
  <c r="M32" i="31" s="1"/>
  <c r="J32" i="31"/>
  <c r="I32" i="31"/>
  <c r="K31" i="31"/>
  <c r="M31" i="31" s="1"/>
  <c r="J31" i="31"/>
  <c r="I31" i="31"/>
  <c r="K30" i="31"/>
  <c r="M30" i="31" s="1"/>
  <c r="J30" i="31"/>
  <c r="I30" i="31"/>
  <c r="K29" i="31"/>
  <c r="J29" i="31"/>
  <c r="I29" i="31"/>
  <c r="K28" i="31"/>
  <c r="J28" i="31"/>
  <c r="I28" i="31"/>
  <c r="K27" i="31"/>
  <c r="J27" i="31"/>
  <c r="I27" i="31"/>
  <c r="H27" i="31"/>
  <c r="K41" i="30"/>
  <c r="M41" i="30" s="1"/>
  <c r="J41" i="30"/>
  <c r="I41" i="30"/>
  <c r="K40" i="30"/>
  <c r="M40" i="30" s="1"/>
  <c r="J40" i="30"/>
  <c r="I40" i="30"/>
  <c r="K39" i="30"/>
  <c r="M39" i="30" s="1"/>
  <c r="J39" i="30"/>
  <c r="I39" i="30"/>
  <c r="K38" i="30"/>
  <c r="M38" i="30" s="1"/>
  <c r="J38" i="30"/>
  <c r="I38" i="30"/>
  <c r="K37" i="30"/>
  <c r="M37" i="30" s="1"/>
  <c r="J37" i="30"/>
  <c r="I37" i="30"/>
  <c r="K36" i="30"/>
  <c r="M36" i="30" s="1"/>
  <c r="J36" i="30"/>
  <c r="I36" i="30"/>
  <c r="K35" i="30"/>
  <c r="M35" i="30" s="1"/>
  <c r="J35" i="30"/>
  <c r="I35" i="30"/>
  <c r="K34" i="30"/>
  <c r="M34" i="30" s="1"/>
  <c r="J34" i="30"/>
  <c r="I34" i="30"/>
  <c r="K33" i="30"/>
  <c r="M33" i="30" s="1"/>
  <c r="J33" i="30"/>
  <c r="I33" i="30"/>
  <c r="K32" i="30"/>
  <c r="M32" i="30" s="1"/>
  <c r="J32" i="30"/>
  <c r="I32" i="30"/>
  <c r="K29" i="30"/>
  <c r="J29" i="30"/>
  <c r="I29" i="30"/>
  <c r="K28" i="30"/>
  <c r="J28" i="30"/>
  <c r="I28" i="30"/>
  <c r="K27" i="30"/>
  <c r="J27" i="30"/>
  <c r="I27" i="30"/>
  <c r="H27" i="30"/>
  <c r="K60" i="32"/>
  <c r="J60" i="32"/>
  <c r="I60" i="32"/>
  <c r="K59" i="32"/>
  <c r="J59" i="32"/>
  <c r="I59" i="32"/>
  <c r="K58" i="32"/>
  <c r="J58" i="32"/>
  <c r="I58" i="32"/>
  <c r="K57" i="32"/>
  <c r="J57" i="32"/>
  <c r="I57" i="32"/>
  <c r="K56" i="32"/>
  <c r="J56" i="32"/>
  <c r="I56" i="32"/>
  <c r="K55" i="32"/>
  <c r="J55" i="32"/>
  <c r="I55" i="32"/>
  <c r="K54" i="32"/>
  <c r="J54" i="32"/>
  <c r="I54" i="32"/>
  <c r="K53" i="32"/>
  <c r="J53" i="32"/>
  <c r="I53" i="32"/>
  <c r="K52" i="32"/>
  <c r="J52" i="32"/>
  <c r="I52" i="32"/>
  <c r="K51" i="32"/>
  <c r="J51" i="32"/>
  <c r="I51" i="32"/>
  <c r="K50" i="32"/>
  <c r="J50" i="32"/>
  <c r="I50" i="32"/>
  <c r="K49" i="32"/>
  <c r="J49" i="32"/>
  <c r="I49" i="32"/>
  <c r="K48" i="32"/>
  <c r="J48" i="32"/>
  <c r="I48" i="32"/>
  <c r="K47" i="32"/>
  <c r="J47" i="32"/>
  <c r="I47" i="32"/>
  <c r="H47" i="32"/>
  <c r="K60" i="31"/>
  <c r="M60" i="31" s="1"/>
  <c r="J60" i="31"/>
  <c r="I60" i="31"/>
  <c r="K59" i="31"/>
  <c r="M59" i="31" s="1"/>
  <c r="J59" i="31"/>
  <c r="I59" i="31"/>
  <c r="K58" i="31"/>
  <c r="M58" i="31" s="1"/>
  <c r="J58" i="31"/>
  <c r="I58" i="31"/>
  <c r="K57" i="31"/>
  <c r="M57" i="31" s="1"/>
  <c r="J57" i="31"/>
  <c r="I57" i="31"/>
  <c r="K56" i="31"/>
  <c r="M56" i="31" s="1"/>
  <c r="J56" i="31"/>
  <c r="I56" i="31"/>
  <c r="K55" i="31"/>
  <c r="M55" i="31" s="1"/>
  <c r="J55" i="31"/>
  <c r="I55" i="31"/>
  <c r="K54" i="31"/>
  <c r="M54" i="31" s="1"/>
  <c r="J54" i="31"/>
  <c r="I54" i="31"/>
  <c r="K53" i="31"/>
  <c r="M53" i="31" s="1"/>
  <c r="J53" i="31"/>
  <c r="I53" i="31"/>
  <c r="K52" i="31"/>
  <c r="M52" i="31" s="1"/>
  <c r="J52" i="31"/>
  <c r="I52" i="31"/>
  <c r="K51" i="31"/>
  <c r="M51" i="31" s="1"/>
  <c r="J51" i="31"/>
  <c r="I51" i="31"/>
  <c r="K50" i="31"/>
  <c r="M50" i="31" s="1"/>
  <c r="J50" i="31"/>
  <c r="I50" i="31"/>
  <c r="K49" i="31"/>
  <c r="J49" i="31"/>
  <c r="I49" i="31"/>
  <c r="K48" i="31"/>
  <c r="J48" i="31"/>
  <c r="I48" i="31"/>
  <c r="K47" i="31"/>
  <c r="J47" i="31"/>
  <c r="I47" i="31"/>
  <c r="H47" i="31"/>
  <c r="K61" i="30"/>
  <c r="M61" i="30" s="1"/>
  <c r="J61" i="30"/>
  <c r="I61" i="30"/>
  <c r="K60" i="30"/>
  <c r="M60" i="30" s="1"/>
  <c r="J60" i="30"/>
  <c r="I60" i="30"/>
  <c r="K59" i="30"/>
  <c r="M59" i="30" s="1"/>
  <c r="J59" i="30"/>
  <c r="I59" i="30"/>
  <c r="K58" i="30"/>
  <c r="M58" i="30" s="1"/>
  <c r="J58" i="30"/>
  <c r="I58" i="30"/>
  <c r="K57" i="30"/>
  <c r="M57" i="30" s="1"/>
  <c r="J57" i="30"/>
  <c r="I57" i="30"/>
  <c r="K56" i="30"/>
  <c r="M56" i="30" s="1"/>
  <c r="J56" i="30"/>
  <c r="I56" i="30"/>
  <c r="K55" i="30"/>
  <c r="M55" i="30" s="1"/>
  <c r="J55" i="30"/>
  <c r="I55" i="30"/>
  <c r="K54" i="30"/>
  <c r="J54" i="30"/>
  <c r="I54" i="30"/>
  <c r="K53" i="30"/>
  <c r="J53" i="30"/>
  <c r="I53" i="30"/>
  <c r="K52" i="30"/>
  <c r="J52" i="30"/>
  <c r="I52" i="30"/>
  <c r="K51" i="30"/>
  <c r="J51" i="30"/>
  <c r="I51" i="30"/>
  <c r="K50" i="30"/>
  <c r="J50" i="30"/>
  <c r="I50" i="30"/>
  <c r="K49" i="30"/>
  <c r="J49" i="30"/>
  <c r="I49" i="30"/>
  <c r="K48" i="30"/>
  <c r="J48" i="30"/>
  <c r="I48" i="30"/>
  <c r="K47" i="30"/>
  <c r="J47" i="30"/>
  <c r="I47" i="30"/>
  <c r="H47" i="30"/>
  <c r="K80" i="32"/>
  <c r="M80" i="32" s="1"/>
  <c r="J80" i="32"/>
  <c r="I80" i="32"/>
  <c r="K79" i="32"/>
  <c r="M79" i="32" s="1"/>
  <c r="J79" i="32"/>
  <c r="I79" i="32"/>
  <c r="K78" i="32"/>
  <c r="M78" i="32" s="1"/>
  <c r="J78" i="32"/>
  <c r="I78" i="32"/>
  <c r="K77" i="32"/>
  <c r="M77" i="32" s="1"/>
  <c r="J77" i="32"/>
  <c r="I77" i="32"/>
  <c r="K76" i="32"/>
  <c r="M76" i="32" s="1"/>
  <c r="J76" i="32"/>
  <c r="I76" i="32"/>
  <c r="K75" i="32"/>
  <c r="J75" i="32"/>
  <c r="I75" i="32"/>
  <c r="K74" i="32"/>
  <c r="J74" i="32"/>
  <c r="I74" i="32"/>
  <c r="K73" i="32"/>
  <c r="J73" i="32"/>
  <c r="I73" i="32"/>
  <c r="K72" i="32"/>
  <c r="J72" i="32"/>
  <c r="I72" i="32"/>
  <c r="K71" i="32"/>
  <c r="J71" i="32"/>
  <c r="I71" i="32"/>
  <c r="K70" i="32"/>
  <c r="J70" i="32"/>
  <c r="I70" i="32"/>
  <c r="K69" i="32"/>
  <c r="J69" i="32"/>
  <c r="I69" i="32"/>
  <c r="K68" i="32"/>
  <c r="J68" i="32"/>
  <c r="I68" i="32"/>
  <c r="K67" i="32"/>
  <c r="J67" i="32"/>
  <c r="I67" i="32"/>
  <c r="H67" i="32"/>
  <c r="K81" i="30"/>
  <c r="M81" i="30" s="1"/>
  <c r="J81" i="30"/>
  <c r="I81" i="30"/>
  <c r="K80" i="30"/>
  <c r="M80" i="30" s="1"/>
  <c r="J80" i="30"/>
  <c r="I80" i="30"/>
  <c r="K79" i="30"/>
  <c r="M79" i="30" s="1"/>
  <c r="J79" i="30"/>
  <c r="I79" i="30"/>
  <c r="K78" i="30"/>
  <c r="M78" i="30" s="1"/>
  <c r="J78" i="30"/>
  <c r="I78" i="30"/>
  <c r="K77" i="30"/>
  <c r="M77" i="30" s="1"/>
  <c r="J77" i="30"/>
  <c r="I77" i="30"/>
  <c r="K76" i="30"/>
  <c r="M76" i="30" s="1"/>
  <c r="J76" i="30"/>
  <c r="I76" i="30"/>
  <c r="K75" i="30"/>
  <c r="M75" i="30" s="1"/>
  <c r="J75" i="30"/>
  <c r="I75" i="30"/>
  <c r="K74" i="30"/>
  <c r="M74" i="30" s="1"/>
  <c r="J74" i="30"/>
  <c r="I74" i="30"/>
  <c r="K73" i="30"/>
  <c r="M73" i="30" s="1"/>
  <c r="J73" i="30"/>
  <c r="I73" i="30"/>
  <c r="K72" i="30"/>
  <c r="M72" i="30" s="1"/>
  <c r="J72" i="30"/>
  <c r="I72" i="30"/>
  <c r="K71" i="30"/>
  <c r="M71" i="30" s="1"/>
  <c r="J71" i="30"/>
  <c r="I71" i="30"/>
  <c r="K70" i="30"/>
  <c r="J70" i="30"/>
  <c r="I70" i="30"/>
  <c r="K69" i="30"/>
  <c r="J69" i="30"/>
  <c r="I69" i="30"/>
  <c r="K68" i="30"/>
  <c r="J68" i="30"/>
  <c r="I68" i="30"/>
  <c r="K67" i="30"/>
  <c r="J67" i="30"/>
  <c r="I67" i="30"/>
  <c r="H67" i="30"/>
  <c r="K100" i="32"/>
  <c r="M100" i="32" s="1"/>
  <c r="J100" i="32"/>
  <c r="I100" i="32"/>
  <c r="K99" i="32"/>
  <c r="M99" i="32" s="1"/>
  <c r="J99" i="32"/>
  <c r="I99" i="32"/>
  <c r="K98" i="32"/>
  <c r="M98" i="32" s="1"/>
  <c r="J98" i="32"/>
  <c r="I98" i="32"/>
  <c r="K97" i="32"/>
  <c r="M97" i="32" s="1"/>
  <c r="J97" i="32"/>
  <c r="I97" i="32"/>
  <c r="K96" i="32"/>
  <c r="M96" i="32" s="1"/>
  <c r="J96" i="32"/>
  <c r="I96" i="32"/>
  <c r="K95" i="32"/>
  <c r="J95" i="32"/>
  <c r="I95" i="32"/>
  <c r="K94" i="32"/>
  <c r="J94" i="32"/>
  <c r="I94" i="32"/>
  <c r="K93" i="32"/>
  <c r="J93" i="32"/>
  <c r="I93" i="32"/>
  <c r="K92" i="32"/>
  <c r="J92" i="32"/>
  <c r="I92" i="32"/>
  <c r="K91" i="32"/>
  <c r="J91" i="32"/>
  <c r="I91" i="32"/>
  <c r="K90" i="32"/>
  <c r="J90" i="32"/>
  <c r="I90" i="32"/>
  <c r="K89" i="32"/>
  <c r="J89" i="32"/>
  <c r="I89" i="32"/>
  <c r="K88" i="32"/>
  <c r="J88" i="32"/>
  <c r="I88" i="32"/>
  <c r="K87" i="32"/>
  <c r="J87" i="32"/>
  <c r="I87" i="32"/>
  <c r="H87" i="32"/>
  <c r="K100" i="31"/>
  <c r="J100" i="31"/>
  <c r="I100" i="31"/>
  <c r="K99" i="31"/>
  <c r="J99" i="31"/>
  <c r="I99" i="31"/>
  <c r="K98" i="31"/>
  <c r="J98" i="31"/>
  <c r="I98" i="31"/>
  <c r="K97" i="31"/>
  <c r="J97" i="31"/>
  <c r="I97" i="31"/>
  <c r="K96" i="31"/>
  <c r="J96" i="31"/>
  <c r="I96" i="31"/>
  <c r="K95" i="31"/>
  <c r="J95" i="31"/>
  <c r="I95" i="31"/>
  <c r="K94" i="31"/>
  <c r="J94" i="31"/>
  <c r="I94" i="31"/>
  <c r="K93" i="31"/>
  <c r="J93" i="31"/>
  <c r="I93" i="31"/>
  <c r="K92" i="31"/>
  <c r="J92" i="31"/>
  <c r="I92" i="31"/>
  <c r="K91" i="31"/>
  <c r="J91" i="31"/>
  <c r="I91" i="31"/>
  <c r="K90" i="31"/>
  <c r="J90" i="31"/>
  <c r="I90" i="31"/>
  <c r="K89" i="31"/>
  <c r="J89" i="31"/>
  <c r="I89" i="31"/>
  <c r="K88" i="31"/>
  <c r="J88" i="31"/>
  <c r="I88" i="31"/>
  <c r="K87" i="31"/>
  <c r="J87" i="31"/>
  <c r="I87" i="31"/>
  <c r="H87" i="31"/>
  <c r="K101" i="30"/>
  <c r="M101" i="30" s="1"/>
  <c r="J101" i="30"/>
  <c r="I101" i="30"/>
  <c r="K100" i="30"/>
  <c r="M100" i="30" s="1"/>
  <c r="J100" i="30"/>
  <c r="I100" i="30"/>
  <c r="K99" i="30"/>
  <c r="M99" i="30" s="1"/>
  <c r="J99" i="30"/>
  <c r="I99" i="30"/>
  <c r="K98" i="30"/>
  <c r="M98" i="30" s="1"/>
  <c r="J98" i="30"/>
  <c r="I98" i="30"/>
  <c r="K97" i="30"/>
  <c r="M97" i="30" s="1"/>
  <c r="J97" i="30"/>
  <c r="I97" i="30"/>
  <c r="K96" i="30"/>
  <c r="M96" i="30" s="1"/>
  <c r="J96" i="30"/>
  <c r="I96" i="30"/>
  <c r="K95" i="30"/>
  <c r="M95" i="30" s="1"/>
  <c r="J95" i="30"/>
  <c r="I95" i="30"/>
  <c r="K94" i="30"/>
  <c r="M94" i="30" s="1"/>
  <c r="J94" i="30"/>
  <c r="I94" i="30"/>
  <c r="K93" i="30"/>
  <c r="M93" i="30" s="1"/>
  <c r="J93" i="30"/>
  <c r="I93" i="30"/>
  <c r="K92" i="30"/>
  <c r="M92" i="30" s="1"/>
  <c r="J92" i="30"/>
  <c r="I92" i="30"/>
  <c r="K91" i="30"/>
  <c r="M91" i="30" s="1"/>
  <c r="J91" i="30"/>
  <c r="I91" i="30"/>
  <c r="K90" i="30"/>
  <c r="J90" i="30"/>
  <c r="I90" i="30"/>
  <c r="K89" i="30"/>
  <c r="J89" i="30"/>
  <c r="I89" i="30"/>
  <c r="K88" i="30"/>
  <c r="J88" i="30"/>
  <c r="I88" i="30"/>
  <c r="K87" i="30"/>
  <c r="J87" i="30"/>
  <c r="I87" i="30"/>
  <c r="H87" i="30"/>
  <c r="V12" i="5"/>
  <c r="V26" i="5"/>
  <c r="V6" i="5"/>
  <c r="P26" i="5"/>
  <c r="P12" i="5"/>
  <c r="M12" i="5"/>
  <c r="M26" i="5"/>
  <c r="G12" i="5"/>
  <c r="G26" i="5"/>
  <c r="G6" i="5"/>
  <c r="S33" i="3"/>
  <c r="B10" i="39" s="1"/>
  <c r="S26" i="3"/>
  <c r="S19" i="3"/>
  <c r="S12" i="3"/>
  <c r="S6" i="3"/>
  <c r="M33" i="3"/>
  <c r="B8" i="39" s="1"/>
  <c r="M26" i="3"/>
  <c r="M19" i="3"/>
  <c r="M12" i="3"/>
  <c r="M6" i="3"/>
  <c r="J12" i="3"/>
  <c r="J19" i="3"/>
  <c r="J26" i="3"/>
  <c r="J33" i="3"/>
  <c r="B7" i="39" s="1"/>
  <c r="J6" i="3"/>
  <c r="G19" i="3"/>
  <c r="G26" i="3"/>
  <c r="G33" i="3"/>
  <c r="B6" i="39" s="1"/>
  <c r="G12" i="3"/>
  <c r="G6" i="3"/>
  <c r="V19" i="3" l="1"/>
  <c r="V26" i="3"/>
  <c r="M87" i="30"/>
  <c r="M89" i="34"/>
  <c r="M88" i="37"/>
  <c r="M98" i="36"/>
  <c r="M99" i="34"/>
  <c r="M95" i="32"/>
  <c r="M90" i="30"/>
  <c r="M78" i="36"/>
  <c r="M75" i="32"/>
  <c r="M70" i="30"/>
  <c r="M58" i="36"/>
  <c r="M38" i="36"/>
  <c r="M37" i="36"/>
  <c r="M88" i="30"/>
  <c r="M87" i="34"/>
  <c r="M91" i="34"/>
  <c r="M95" i="34"/>
  <c r="M90" i="37"/>
  <c r="M94" i="37"/>
  <c r="M90" i="34"/>
  <c r="M94" i="34"/>
  <c r="M98" i="34"/>
  <c r="M89" i="37"/>
  <c r="M93" i="37"/>
  <c r="M97" i="37"/>
  <c r="M93" i="34"/>
  <c r="M97" i="34"/>
  <c r="M92" i="37"/>
  <c r="M96" i="37"/>
  <c r="M89" i="30"/>
  <c r="M88" i="34"/>
  <c r="M92" i="34"/>
  <c r="M96" i="34"/>
  <c r="M87" i="37"/>
  <c r="M101" i="37"/>
  <c r="M91" i="37"/>
  <c r="M95" i="37"/>
  <c r="M97" i="36"/>
  <c r="M88" i="36"/>
  <c r="M96" i="36"/>
  <c r="M77" i="37"/>
  <c r="M76" i="37"/>
  <c r="M74" i="36"/>
  <c r="M76" i="36"/>
  <c r="M77" i="36"/>
  <c r="M75" i="36"/>
  <c r="M73" i="35"/>
  <c r="M68" i="34"/>
  <c r="M57" i="32"/>
  <c r="M60" i="32"/>
  <c r="M59" i="32"/>
  <c r="M58" i="32"/>
  <c r="L47" i="32"/>
  <c r="M57" i="37"/>
  <c r="M50" i="37"/>
  <c r="M56" i="37"/>
  <c r="M56" i="36"/>
  <c r="M55" i="36"/>
  <c r="M54" i="36"/>
  <c r="M57" i="36"/>
  <c r="M53" i="35"/>
  <c r="M56" i="32"/>
  <c r="M55" i="32"/>
  <c r="M36" i="37"/>
  <c r="M37" i="37"/>
  <c r="M35" i="37"/>
  <c r="M34" i="37"/>
  <c r="M36" i="36"/>
  <c r="M35" i="36"/>
  <c r="M34" i="36"/>
  <c r="M33" i="35"/>
  <c r="M39" i="34"/>
  <c r="M68" i="30"/>
  <c r="M88" i="32"/>
  <c r="M92" i="32"/>
  <c r="M67" i="30"/>
  <c r="M49" i="32"/>
  <c r="M89" i="36"/>
  <c r="M93" i="36"/>
  <c r="M88" i="35"/>
  <c r="M92" i="35"/>
  <c r="M71" i="34"/>
  <c r="M75" i="34"/>
  <c r="M79" i="34"/>
  <c r="M67" i="37"/>
  <c r="M101" i="32"/>
  <c r="M87" i="32"/>
  <c r="M91" i="32"/>
  <c r="M92" i="36"/>
  <c r="M87" i="35"/>
  <c r="M101" i="35"/>
  <c r="M91" i="35"/>
  <c r="M70" i="34"/>
  <c r="M74" i="34"/>
  <c r="M78" i="34"/>
  <c r="M90" i="32"/>
  <c r="M94" i="32"/>
  <c r="M69" i="30"/>
  <c r="M48" i="31"/>
  <c r="M101" i="36"/>
  <c r="M87" i="36"/>
  <c r="M91" i="36"/>
  <c r="M95" i="36"/>
  <c r="M90" i="35"/>
  <c r="M69" i="34"/>
  <c r="M73" i="34"/>
  <c r="M77" i="34"/>
  <c r="M89" i="32"/>
  <c r="M93" i="32"/>
  <c r="M90" i="36"/>
  <c r="M94" i="36"/>
  <c r="M89" i="35"/>
  <c r="M93" i="35"/>
  <c r="M72" i="34"/>
  <c r="M76" i="34"/>
  <c r="M48" i="37"/>
  <c r="M48" i="35"/>
  <c r="M99" i="31"/>
  <c r="M91" i="31"/>
  <c r="M95" i="31"/>
  <c r="M100" i="31"/>
  <c r="M89" i="31"/>
  <c r="M94" i="31"/>
  <c r="M98" i="31"/>
  <c r="M88" i="31"/>
  <c r="M93" i="31"/>
  <c r="M97" i="31"/>
  <c r="M90" i="31"/>
  <c r="M87" i="31"/>
  <c r="M92" i="31"/>
  <c r="M96" i="31"/>
  <c r="P33" i="3"/>
  <c r="B9" i="39" s="1"/>
  <c r="V33" i="3"/>
  <c r="B11" i="39" s="1"/>
  <c r="L87" i="31"/>
  <c r="B31" i="39" s="1"/>
  <c r="M69" i="32"/>
  <c r="M71" i="32"/>
  <c r="M49" i="31"/>
  <c r="M48" i="32"/>
  <c r="M52" i="32"/>
  <c r="M27" i="30"/>
  <c r="M67" i="34"/>
  <c r="M48" i="34"/>
  <c r="M52" i="34"/>
  <c r="M56" i="34"/>
  <c r="M54" i="37"/>
  <c r="M55" i="37"/>
  <c r="M47" i="37"/>
  <c r="M61" i="37"/>
  <c r="M51" i="37"/>
  <c r="M48" i="36"/>
  <c r="M52" i="36"/>
  <c r="M47" i="35"/>
  <c r="M61" i="35"/>
  <c r="M51" i="35"/>
  <c r="M47" i="32"/>
  <c r="M61" i="32"/>
  <c r="M51" i="32"/>
  <c r="M47" i="34"/>
  <c r="M61" i="34"/>
  <c r="M51" i="34"/>
  <c r="M55" i="34"/>
  <c r="M59" i="34"/>
  <c r="M61" i="36"/>
  <c r="M47" i="36"/>
  <c r="M51" i="36"/>
  <c r="M50" i="35"/>
  <c r="M28" i="34"/>
  <c r="M28" i="36"/>
  <c r="P12" i="3"/>
  <c r="M73" i="32"/>
  <c r="M61" i="31"/>
  <c r="M47" i="31"/>
  <c r="M50" i="32"/>
  <c r="M54" i="32"/>
  <c r="M29" i="32"/>
  <c r="M70" i="36"/>
  <c r="M71" i="35"/>
  <c r="M50" i="34"/>
  <c r="M54" i="34"/>
  <c r="M58" i="34"/>
  <c r="M49" i="37"/>
  <c r="M53" i="37"/>
  <c r="M50" i="36"/>
  <c r="M49" i="35"/>
  <c r="M53" i="32"/>
  <c r="M71" i="37"/>
  <c r="M75" i="37"/>
  <c r="M49" i="34"/>
  <c r="M53" i="34"/>
  <c r="M57" i="34"/>
  <c r="M52" i="37"/>
  <c r="M49" i="36"/>
  <c r="M53" i="36"/>
  <c r="M52" i="35"/>
  <c r="M70" i="37"/>
  <c r="M74" i="37"/>
  <c r="M72" i="37"/>
  <c r="M68" i="37"/>
  <c r="M73" i="37"/>
  <c r="M72" i="36"/>
  <c r="M71" i="36"/>
  <c r="M69" i="36"/>
  <c r="M68" i="36"/>
  <c r="M73" i="36"/>
  <c r="M70" i="35"/>
  <c r="M68" i="35"/>
  <c r="M69" i="35"/>
  <c r="M67" i="35"/>
  <c r="M72" i="35"/>
  <c r="M70" i="32"/>
  <c r="M68" i="32"/>
  <c r="M74" i="32"/>
  <c r="L67" i="32"/>
  <c r="M72" i="32"/>
  <c r="P26" i="3"/>
  <c r="M51" i="30"/>
  <c r="M53" i="30"/>
  <c r="M47" i="30"/>
  <c r="M50" i="30"/>
  <c r="M49" i="30"/>
  <c r="M48" i="30"/>
  <c r="M54" i="30"/>
  <c r="M52" i="30"/>
  <c r="P19" i="3"/>
  <c r="V12" i="3"/>
  <c r="M30" i="30"/>
  <c r="M33" i="32"/>
  <c r="L87" i="36"/>
  <c r="B35" i="39" s="1"/>
  <c r="L67" i="34"/>
  <c r="L47" i="35"/>
  <c r="L87" i="32"/>
  <c r="B30" i="39" s="1"/>
  <c r="L47" i="30"/>
  <c r="L87" i="34"/>
  <c r="B33" i="39" s="1"/>
  <c r="L67" i="37"/>
  <c r="M81" i="36"/>
  <c r="M32" i="34"/>
  <c r="M36" i="34"/>
  <c r="M27" i="37"/>
  <c r="M41" i="37"/>
  <c r="M30" i="37"/>
  <c r="M32" i="36"/>
  <c r="M27" i="35"/>
  <c r="M41" i="35"/>
  <c r="M30" i="35"/>
  <c r="L67" i="30"/>
  <c r="M28" i="30"/>
  <c r="M29" i="31"/>
  <c r="M31" i="32"/>
  <c r="M35" i="32"/>
  <c r="M101" i="31"/>
  <c r="M67" i="32"/>
  <c r="M31" i="30"/>
  <c r="M28" i="31"/>
  <c r="M27" i="32"/>
  <c r="M41" i="32"/>
  <c r="M30" i="32"/>
  <c r="M34" i="32"/>
  <c r="M31" i="34"/>
  <c r="M35" i="34"/>
  <c r="M29" i="37"/>
  <c r="M33" i="37"/>
  <c r="M31" i="36"/>
  <c r="M29" i="35"/>
  <c r="L67" i="36"/>
  <c r="L47" i="34"/>
  <c r="M27" i="34"/>
  <c r="M41" i="34"/>
  <c r="M30" i="34"/>
  <c r="M34" i="34"/>
  <c r="M38" i="34"/>
  <c r="M28" i="37"/>
  <c r="M32" i="37"/>
  <c r="M27" i="36"/>
  <c r="M41" i="36"/>
  <c r="M30" i="36"/>
  <c r="M28" i="35"/>
  <c r="M32" i="35"/>
  <c r="M29" i="30"/>
  <c r="M27" i="31"/>
  <c r="M41" i="31"/>
  <c r="M28" i="32"/>
  <c r="M32" i="32"/>
  <c r="L87" i="37"/>
  <c r="B36" i="39" s="1"/>
  <c r="M67" i="36"/>
  <c r="L47" i="37"/>
  <c r="M29" i="34"/>
  <c r="M33" i="34"/>
  <c r="M37" i="34"/>
  <c r="M31" i="37"/>
  <c r="M29" i="36"/>
  <c r="M33" i="36"/>
  <c r="M31" i="35"/>
  <c r="L27" i="37"/>
  <c r="L27" i="35"/>
  <c r="L27" i="32"/>
  <c r="L27" i="30"/>
  <c r="L27" i="34"/>
  <c r="L27" i="36"/>
  <c r="M81" i="37"/>
  <c r="L47" i="36"/>
  <c r="M81" i="35"/>
  <c r="M69" i="37"/>
  <c r="L67" i="35"/>
  <c r="L87" i="35"/>
  <c r="B34" i="39" s="1"/>
  <c r="L27" i="31"/>
  <c r="L47" i="31"/>
  <c r="M81" i="32"/>
  <c r="L87" i="30"/>
  <c r="B29" i="39" s="1"/>
  <c r="AZ121" i="30" l="1"/>
  <c r="AZ120" i="30"/>
  <c r="AZ119" i="30"/>
  <c r="AZ118" i="30"/>
  <c r="AZ117" i="30"/>
  <c r="AZ116" i="30"/>
  <c r="AZ115" i="30"/>
  <c r="AZ114" i="30"/>
  <c r="AZ113" i="30"/>
  <c r="AZ112" i="30"/>
  <c r="AZ111" i="30"/>
  <c r="AZ110" i="30"/>
  <c r="AZ109" i="30"/>
  <c r="AZ108" i="30"/>
  <c r="BA107" i="30"/>
  <c r="AZ107" i="30"/>
  <c r="AZ101" i="30"/>
  <c r="AZ100" i="30"/>
  <c r="AZ99" i="30"/>
  <c r="AZ98" i="30"/>
  <c r="AZ97" i="30"/>
  <c r="AZ96" i="30"/>
  <c r="AZ95" i="30"/>
  <c r="AZ94" i="30"/>
  <c r="AZ93" i="30"/>
  <c r="AZ92" i="30"/>
  <c r="AZ91" i="30"/>
  <c r="AZ90" i="30"/>
  <c r="AZ89" i="30"/>
  <c r="AZ88" i="30"/>
  <c r="BA87" i="30"/>
  <c r="AZ87" i="30"/>
  <c r="AZ81" i="30"/>
  <c r="AZ80" i="30"/>
  <c r="AZ79" i="30"/>
  <c r="AZ78" i="30"/>
  <c r="AZ77" i="30"/>
  <c r="AZ76" i="30"/>
  <c r="AZ75" i="30"/>
  <c r="AZ74" i="30"/>
  <c r="AZ73" i="30"/>
  <c r="AZ72" i="30"/>
  <c r="AZ71" i="30"/>
  <c r="AZ70" i="30"/>
  <c r="AZ69" i="30"/>
  <c r="AZ68" i="30"/>
  <c r="BA67" i="30"/>
  <c r="AZ67" i="30"/>
  <c r="BA47" i="30"/>
  <c r="AZ47" i="30"/>
  <c r="AZ41" i="30"/>
  <c r="AZ40" i="30"/>
  <c r="AZ39" i="30"/>
  <c r="AZ38" i="30"/>
  <c r="AZ37" i="30"/>
  <c r="AZ36" i="30"/>
  <c r="AZ35" i="30"/>
  <c r="AZ34" i="30"/>
  <c r="AZ33" i="30"/>
  <c r="AZ32" i="30"/>
  <c r="AZ31" i="30"/>
  <c r="AZ30" i="30"/>
  <c r="AZ29" i="30"/>
  <c r="AZ28" i="30"/>
  <c r="BA27" i="30"/>
  <c r="AZ27" i="30"/>
  <c r="AZ21" i="30"/>
  <c r="AZ20" i="30"/>
  <c r="AZ19" i="30"/>
  <c r="AZ18" i="30"/>
  <c r="AZ17" i="30"/>
  <c r="AZ16" i="30"/>
  <c r="AZ15" i="30"/>
  <c r="AZ14" i="30"/>
  <c r="AZ13" i="30"/>
  <c r="AZ12" i="30"/>
  <c r="AZ11" i="30"/>
  <c r="AZ10" i="30"/>
  <c r="AZ9" i="30"/>
  <c r="AZ8" i="30"/>
  <c r="BA7" i="30"/>
  <c r="AZ7" i="30"/>
  <c r="AZ211" i="8"/>
  <c r="AZ210" i="8"/>
  <c r="AZ209" i="8"/>
  <c r="AZ208" i="8"/>
  <c r="AZ207" i="8"/>
  <c r="AZ206" i="8"/>
  <c r="AZ205" i="8"/>
  <c r="AZ204" i="8"/>
  <c r="AZ203" i="8"/>
  <c r="AZ202" i="8"/>
  <c r="AZ201" i="8"/>
  <c r="AZ200" i="8"/>
  <c r="AZ199" i="8"/>
  <c r="AZ198" i="8"/>
  <c r="AZ197" i="8"/>
  <c r="AZ196" i="8"/>
  <c r="AZ195" i="8"/>
  <c r="AZ194" i="8"/>
  <c r="AZ193" i="8"/>
  <c r="AZ192" i="8"/>
  <c r="AZ191" i="8"/>
  <c r="AZ190" i="8"/>
  <c r="AZ189" i="8"/>
  <c r="AZ188" i="8"/>
  <c r="AZ187" i="8"/>
  <c r="AZ186" i="8"/>
  <c r="AZ185" i="8"/>
  <c r="AZ184" i="8"/>
  <c r="AZ183" i="8"/>
  <c r="BA182" i="8"/>
  <c r="AZ182" i="8"/>
  <c r="AZ176" i="8"/>
  <c r="AZ175" i="8"/>
  <c r="AZ174" i="8"/>
  <c r="AZ173" i="8"/>
  <c r="AZ172" i="8"/>
  <c r="AZ171" i="8"/>
  <c r="AZ170" i="8"/>
  <c r="AZ169" i="8"/>
  <c r="AZ168" i="8"/>
  <c r="AZ167" i="8"/>
  <c r="AZ166" i="8"/>
  <c r="AZ165" i="8"/>
  <c r="AZ164" i="8"/>
  <c r="AZ163" i="8"/>
  <c r="AZ162" i="8"/>
  <c r="AZ161" i="8"/>
  <c r="AZ160" i="8"/>
  <c r="AZ159" i="8"/>
  <c r="AZ158" i="8"/>
  <c r="AZ157" i="8"/>
  <c r="AZ156" i="8"/>
  <c r="AZ155" i="8"/>
  <c r="AZ154" i="8"/>
  <c r="AZ153" i="8"/>
  <c r="AZ152" i="8"/>
  <c r="AZ151" i="8"/>
  <c r="AZ150" i="8"/>
  <c r="AZ149" i="8"/>
  <c r="AZ148" i="8"/>
  <c r="BA147" i="8"/>
  <c r="AZ147" i="8"/>
  <c r="AZ141" i="8"/>
  <c r="AZ140" i="8"/>
  <c r="AZ139" i="8"/>
  <c r="AZ138" i="8"/>
  <c r="AZ137" i="8"/>
  <c r="AZ136" i="8"/>
  <c r="AZ135" i="8"/>
  <c r="AZ134" i="8"/>
  <c r="AZ133" i="8"/>
  <c r="AZ132" i="8"/>
  <c r="AZ131" i="8"/>
  <c r="AZ130" i="8"/>
  <c r="AZ129" i="8"/>
  <c r="AZ128" i="8"/>
  <c r="AZ127" i="8"/>
  <c r="AZ126" i="8"/>
  <c r="AZ125" i="8"/>
  <c r="AZ124" i="8"/>
  <c r="AZ123" i="8"/>
  <c r="AZ122" i="8"/>
  <c r="AZ121" i="8"/>
  <c r="AZ120" i="8"/>
  <c r="AZ119" i="8"/>
  <c r="AZ118" i="8"/>
  <c r="AZ117" i="8"/>
  <c r="AZ116" i="8"/>
  <c r="AZ115" i="8"/>
  <c r="AZ114" i="8"/>
  <c r="AZ113" i="8"/>
  <c r="BA112" i="8"/>
  <c r="AZ112" i="8"/>
  <c r="AZ106" i="8"/>
  <c r="AZ105" i="8"/>
  <c r="AZ104" i="8"/>
  <c r="AZ103" i="8"/>
  <c r="AZ102" i="8"/>
  <c r="AZ101" i="8"/>
  <c r="AZ100" i="8"/>
  <c r="AZ99" i="8"/>
  <c r="AZ98" i="8"/>
  <c r="AZ97" i="8"/>
  <c r="AZ96" i="8"/>
  <c r="AZ95" i="8"/>
  <c r="AZ94" i="8"/>
  <c r="AZ93" i="8"/>
  <c r="AZ92" i="8"/>
  <c r="AZ91" i="8"/>
  <c r="AZ90" i="8"/>
  <c r="AZ89" i="8"/>
  <c r="AZ88" i="8"/>
  <c r="AZ87" i="8"/>
  <c r="AZ86" i="8"/>
  <c r="AZ85" i="8"/>
  <c r="AZ84" i="8"/>
  <c r="AZ83" i="8"/>
  <c r="AZ82" i="8"/>
  <c r="AZ81" i="8"/>
  <c r="AZ80" i="8"/>
  <c r="AZ79" i="8"/>
  <c r="AZ78" i="8"/>
  <c r="BA77" i="8"/>
  <c r="AZ77" i="8"/>
  <c r="AZ71" i="8"/>
  <c r="AZ70" i="8"/>
  <c r="AZ69" i="8"/>
  <c r="AZ68" i="8"/>
  <c r="AZ67" i="8"/>
  <c r="AZ66" i="8"/>
  <c r="AZ65" i="8"/>
  <c r="AZ64" i="8"/>
  <c r="AZ63" i="8"/>
  <c r="AZ62" i="8"/>
  <c r="AZ61" i="8"/>
  <c r="AZ60" i="8"/>
  <c r="AZ59" i="8"/>
  <c r="AZ58" i="8"/>
  <c r="AZ57" i="8"/>
  <c r="AZ56" i="8"/>
  <c r="AZ55" i="8"/>
  <c r="AZ54" i="8"/>
  <c r="AZ53" i="8"/>
  <c r="AZ52" i="8"/>
  <c r="AZ51" i="8"/>
  <c r="AZ50" i="8"/>
  <c r="AZ49" i="8"/>
  <c r="AZ48" i="8"/>
  <c r="AZ47" i="8"/>
  <c r="AZ46" i="8"/>
  <c r="AZ45" i="8"/>
  <c r="AZ44" i="8"/>
  <c r="AZ43" i="8"/>
  <c r="BA42" i="8"/>
  <c r="AZ42" i="8"/>
  <c r="AZ36" i="8"/>
  <c r="AZ35" i="8"/>
  <c r="AZ34" i="8"/>
  <c r="AZ33" i="8"/>
  <c r="AZ32" i="8"/>
  <c r="AZ31" i="8"/>
  <c r="AZ30" i="8"/>
  <c r="AZ29" i="8"/>
  <c r="AZ28" i="8"/>
  <c r="AZ27" i="8"/>
  <c r="AZ26" i="8"/>
  <c r="AZ25" i="8"/>
  <c r="AZ24" i="8"/>
  <c r="AZ23" i="8"/>
  <c r="AZ22" i="8"/>
  <c r="AZ21" i="8"/>
  <c r="AZ20" i="8"/>
  <c r="AZ19" i="8"/>
  <c r="AZ18" i="8"/>
  <c r="AZ17" i="8"/>
  <c r="AZ16" i="8"/>
  <c r="AZ15" i="8"/>
  <c r="AZ14" i="8"/>
  <c r="AZ13" i="8"/>
  <c r="AZ12" i="8"/>
  <c r="AZ11" i="8"/>
  <c r="AZ10" i="8"/>
  <c r="AZ9" i="8"/>
  <c r="AZ8" i="8"/>
  <c r="BA7" i="8"/>
  <c r="AZ7" i="8"/>
  <c r="O40" i="3" l="1"/>
  <c r="U40" i="3"/>
  <c r="V6" i="3" l="1"/>
  <c r="AZ121" i="37" l="1"/>
  <c r="AZ120" i="37"/>
  <c r="AZ119" i="37"/>
  <c r="AZ118" i="37"/>
  <c r="AZ117" i="37"/>
  <c r="AZ116" i="37"/>
  <c r="AZ115" i="37"/>
  <c r="AZ114" i="37"/>
  <c r="AZ113" i="37"/>
  <c r="AZ112" i="37"/>
  <c r="AZ111" i="37"/>
  <c r="AZ110" i="37"/>
  <c r="AZ109" i="37"/>
  <c r="AZ108" i="37"/>
  <c r="BA107" i="37"/>
  <c r="AZ107" i="37"/>
  <c r="AZ101" i="37"/>
  <c r="AZ100" i="37"/>
  <c r="AZ99" i="37"/>
  <c r="AZ98" i="37"/>
  <c r="AZ97" i="37"/>
  <c r="AZ96" i="37"/>
  <c r="AZ95" i="37"/>
  <c r="AZ94" i="37"/>
  <c r="AZ93" i="37"/>
  <c r="AZ92" i="37"/>
  <c r="AZ91" i="37"/>
  <c r="AZ90" i="37"/>
  <c r="AZ89" i="37"/>
  <c r="AZ88" i="37"/>
  <c r="BA87" i="37"/>
  <c r="AZ87" i="37"/>
  <c r="AZ81" i="37"/>
  <c r="AZ80" i="37"/>
  <c r="AZ79" i="37"/>
  <c r="AZ78" i="37"/>
  <c r="AZ77" i="37"/>
  <c r="AZ76" i="37"/>
  <c r="AZ75" i="37"/>
  <c r="AZ74" i="37"/>
  <c r="AZ73" i="37"/>
  <c r="AZ72" i="37"/>
  <c r="AZ71" i="37"/>
  <c r="AZ70" i="37"/>
  <c r="AZ69" i="37"/>
  <c r="AZ68" i="37"/>
  <c r="BA67" i="37"/>
  <c r="AZ67" i="37"/>
  <c r="AZ54" i="37"/>
  <c r="AZ53" i="37"/>
  <c r="AZ52" i="37"/>
  <c r="AZ51" i="37"/>
  <c r="AZ50" i="37"/>
  <c r="AZ49" i="37"/>
  <c r="AZ48" i="37"/>
  <c r="BA47" i="37"/>
  <c r="AZ47" i="37"/>
  <c r="AZ41" i="37"/>
  <c r="AZ40" i="37"/>
  <c r="AZ39" i="37"/>
  <c r="AZ38" i="37"/>
  <c r="AZ37" i="37"/>
  <c r="AZ36" i="37"/>
  <c r="AZ35" i="37"/>
  <c r="AZ34" i="37"/>
  <c r="AZ33" i="37"/>
  <c r="AZ32" i="37"/>
  <c r="AZ31" i="37"/>
  <c r="AZ30" i="37"/>
  <c r="AZ29" i="37"/>
  <c r="AZ28" i="37"/>
  <c r="BA27" i="37"/>
  <c r="AZ27" i="37"/>
  <c r="AZ21" i="37"/>
  <c r="AZ20" i="37"/>
  <c r="AZ19" i="37"/>
  <c r="AZ18" i="37"/>
  <c r="AZ17" i="37"/>
  <c r="AZ16" i="37"/>
  <c r="AZ15" i="37"/>
  <c r="AZ14" i="37"/>
  <c r="AZ13" i="37"/>
  <c r="AZ12" i="37"/>
  <c r="AZ11" i="37"/>
  <c r="AZ10" i="37"/>
  <c r="AZ9" i="37"/>
  <c r="AZ8" i="37"/>
  <c r="BA7" i="37"/>
  <c r="AZ7" i="37"/>
  <c r="AZ121" i="36"/>
  <c r="AZ120" i="36"/>
  <c r="AZ119" i="36"/>
  <c r="AZ118" i="36"/>
  <c r="AZ117" i="36"/>
  <c r="AZ116" i="36"/>
  <c r="AZ115" i="36"/>
  <c r="AZ114" i="36"/>
  <c r="AZ113" i="36"/>
  <c r="AZ112" i="36"/>
  <c r="AZ111" i="36"/>
  <c r="AZ110" i="36"/>
  <c r="AZ109" i="36"/>
  <c r="AZ108" i="36"/>
  <c r="BA107" i="36"/>
  <c r="AZ107" i="36"/>
  <c r="AZ101" i="36"/>
  <c r="AZ100" i="36"/>
  <c r="AZ99" i="36"/>
  <c r="AZ98" i="36"/>
  <c r="AZ97" i="36"/>
  <c r="AZ96" i="36"/>
  <c r="AZ95" i="36"/>
  <c r="AZ94" i="36"/>
  <c r="AZ93" i="36"/>
  <c r="AZ92" i="36"/>
  <c r="AZ91" i="36"/>
  <c r="AZ90" i="36"/>
  <c r="AZ89" i="36"/>
  <c r="AZ88" i="36"/>
  <c r="BA87" i="36"/>
  <c r="AZ87" i="36"/>
  <c r="AZ81" i="36"/>
  <c r="AZ80" i="36"/>
  <c r="AZ79" i="36"/>
  <c r="AZ78" i="36"/>
  <c r="AZ77" i="36"/>
  <c r="AZ76" i="36"/>
  <c r="AZ75" i="36"/>
  <c r="AZ74" i="36"/>
  <c r="AZ73" i="36"/>
  <c r="AZ72" i="36"/>
  <c r="AZ71" i="36"/>
  <c r="AZ70" i="36"/>
  <c r="AZ69" i="36"/>
  <c r="AZ68" i="36"/>
  <c r="BA67" i="36"/>
  <c r="AZ67" i="36"/>
  <c r="BA47" i="36"/>
  <c r="AZ47" i="36"/>
  <c r="AZ41" i="36"/>
  <c r="AZ40" i="36"/>
  <c r="AZ39" i="36"/>
  <c r="AZ38" i="36"/>
  <c r="AZ37" i="36"/>
  <c r="AZ36" i="36"/>
  <c r="AZ35" i="36"/>
  <c r="AZ34" i="36"/>
  <c r="AZ33" i="36"/>
  <c r="AZ32" i="36"/>
  <c r="AZ31" i="36"/>
  <c r="AZ30" i="36"/>
  <c r="AZ29" i="36"/>
  <c r="AZ28" i="36"/>
  <c r="BA27" i="36"/>
  <c r="AZ27" i="36"/>
  <c r="AZ21" i="36"/>
  <c r="AZ20" i="36"/>
  <c r="AZ19" i="36"/>
  <c r="AZ18" i="36"/>
  <c r="AZ17" i="36"/>
  <c r="AZ16" i="36"/>
  <c r="AZ15" i="36"/>
  <c r="AZ14" i="36"/>
  <c r="AZ13" i="36"/>
  <c r="AZ12" i="36"/>
  <c r="AZ11" i="36"/>
  <c r="AZ10" i="36"/>
  <c r="AZ9" i="36"/>
  <c r="AZ8" i="36"/>
  <c r="BA7" i="36"/>
  <c r="AZ7" i="36"/>
  <c r="AZ121" i="35"/>
  <c r="AZ120" i="35"/>
  <c r="AZ119" i="35"/>
  <c r="AZ118" i="35"/>
  <c r="AZ117" i="35"/>
  <c r="AZ116" i="35"/>
  <c r="AZ115" i="35"/>
  <c r="AZ114" i="35"/>
  <c r="AZ113" i="35"/>
  <c r="AZ112" i="35"/>
  <c r="AZ111" i="35"/>
  <c r="AZ110" i="35"/>
  <c r="AZ109" i="35"/>
  <c r="AZ108" i="35"/>
  <c r="BA107" i="35"/>
  <c r="AZ107" i="35"/>
  <c r="AZ101" i="35"/>
  <c r="AZ100" i="35"/>
  <c r="AZ99" i="35"/>
  <c r="AZ98" i="35"/>
  <c r="AZ97" i="35"/>
  <c r="AZ96" i="35"/>
  <c r="AZ95" i="35"/>
  <c r="AZ94" i="35"/>
  <c r="AZ93" i="35"/>
  <c r="AZ92" i="35"/>
  <c r="AZ91" i="35"/>
  <c r="AZ90" i="35"/>
  <c r="AZ89" i="35"/>
  <c r="AZ88" i="35"/>
  <c r="BA87" i="35"/>
  <c r="AZ87" i="35"/>
  <c r="AZ81" i="35"/>
  <c r="AZ80" i="35"/>
  <c r="AZ79" i="35"/>
  <c r="AZ78" i="35"/>
  <c r="AZ77" i="35"/>
  <c r="AZ76" i="35"/>
  <c r="AZ75" i="35"/>
  <c r="AZ74" i="35"/>
  <c r="AZ73" i="35"/>
  <c r="AZ72" i="35"/>
  <c r="AZ71" i="35"/>
  <c r="AZ70" i="35"/>
  <c r="AZ69" i="35"/>
  <c r="AZ68" i="35"/>
  <c r="BA67" i="35"/>
  <c r="AZ67" i="35"/>
  <c r="AZ61" i="35"/>
  <c r="AZ60" i="35"/>
  <c r="AZ59" i="35"/>
  <c r="AZ58" i="35"/>
  <c r="AZ57" i="35"/>
  <c r="AZ56" i="35"/>
  <c r="AZ55" i="35"/>
  <c r="AZ54" i="35"/>
  <c r="AZ53" i="35"/>
  <c r="AZ52" i="35"/>
  <c r="AZ51" i="35"/>
  <c r="AZ50" i="35"/>
  <c r="AZ49" i="35"/>
  <c r="AZ48" i="35"/>
  <c r="BA47" i="35"/>
  <c r="AZ47" i="35"/>
  <c r="AZ41" i="35"/>
  <c r="AZ40" i="35"/>
  <c r="AZ39" i="35"/>
  <c r="AZ38" i="35"/>
  <c r="AZ37" i="35"/>
  <c r="AZ36" i="35"/>
  <c r="AZ35" i="35"/>
  <c r="AZ34" i="35"/>
  <c r="AZ33" i="35"/>
  <c r="AZ32" i="35"/>
  <c r="AZ31" i="35"/>
  <c r="AZ30" i="35"/>
  <c r="AZ29" i="35"/>
  <c r="AZ28" i="35"/>
  <c r="BA27" i="35"/>
  <c r="AZ27" i="35"/>
  <c r="AZ21" i="35"/>
  <c r="AZ20" i="35"/>
  <c r="AZ19" i="35"/>
  <c r="AZ18" i="35"/>
  <c r="AZ17" i="35"/>
  <c r="AZ16" i="35"/>
  <c r="AZ15" i="35"/>
  <c r="AZ14" i="35"/>
  <c r="AZ13" i="35"/>
  <c r="AZ12" i="35"/>
  <c r="AZ11" i="35"/>
  <c r="AZ10" i="35"/>
  <c r="AZ9" i="35"/>
  <c r="AZ8" i="35"/>
  <c r="BA7" i="35"/>
  <c r="AZ7" i="35"/>
  <c r="AZ121" i="34"/>
  <c r="AZ120" i="34"/>
  <c r="AZ119" i="34"/>
  <c r="AZ118" i="34"/>
  <c r="AZ117" i="34"/>
  <c r="AZ116" i="34"/>
  <c r="AZ115" i="34"/>
  <c r="AZ114" i="34"/>
  <c r="AZ113" i="34"/>
  <c r="AZ112" i="34"/>
  <c r="AZ111" i="34"/>
  <c r="AZ110" i="34"/>
  <c r="AZ109" i="34"/>
  <c r="AZ108" i="34"/>
  <c r="BA107" i="34"/>
  <c r="AZ107" i="34"/>
  <c r="AZ81" i="34"/>
  <c r="AZ80" i="34"/>
  <c r="AZ79" i="34"/>
  <c r="AZ78" i="34"/>
  <c r="AZ77" i="34"/>
  <c r="AZ76" i="34"/>
  <c r="AZ75" i="34"/>
  <c r="AZ74" i="34"/>
  <c r="AZ73" i="34"/>
  <c r="AZ72" i="34"/>
  <c r="AZ71" i="34"/>
  <c r="AZ70" i="34"/>
  <c r="AZ69" i="34"/>
  <c r="AZ68" i="34"/>
  <c r="BA67" i="34"/>
  <c r="AZ67" i="34"/>
  <c r="AZ61" i="34"/>
  <c r="AZ60" i="34"/>
  <c r="AZ59" i="34"/>
  <c r="AZ58" i="34"/>
  <c r="AZ57" i="34"/>
  <c r="AZ56" i="34"/>
  <c r="AZ55" i="34"/>
  <c r="AZ54" i="34"/>
  <c r="AZ53" i="34"/>
  <c r="AZ52" i="34"/>
  <c r="AZ51" i="34"/>
  <c r="AZ50" i="34"/>
  <c r="AZ49" i="34"/>
  <c r="AZ48" i="34"/>
  <c r="BA47" i="34"/>
  <c r="AZ47" i="34"/>
  <c r="AZ41" i="34"/>
  <c r="AZ40" i="34"/>
  <c r="AZ39" i="34"/>
  <c r="AZ38" i="34"/>
  <c r="AZ37" i="34"/>
  <c r="AZ36" i="34"/>
  <c r="AZ35" i="34"/>
  <c r="AZ34" i="34"/>
  <c r="AZ33" i="34"/>
  <c r="AZ32" i="34"/>
  <c r="AZ31" i="34"/>
  <c r="AZ30" i="34"/>
  <c r="AZ29" i="34"/>
  <c r="AZ28" i="34"/>
  <c r="BA27" i="34"/>
  <c r="AZ27" i="34"/>
  <c r="AZ21" i="34"/>
  <c r="AZ20" i="34"/>
  <c r="AZ19" i="34"/>
  <c r="AZ18" i="34"/>
  <c r="AZ17" i="34"/>
  <c r="AZ16" i="34"/>
  <c r="AZ15" i="34"/>
  <c r="AZ14" i="34"/>
  <c r="AZ13" i="34"/>
  <c r="AZ12" i="34"/>
  <c r="AZ11" i="34"/>
  <c r="AZ10" i="34"/>
  <c r="AZ9" i="34"/>
  <c r="AZ8" i="34"/>
  <c r="BA7" i="34"/>
  <c r="AZ7" i="34"/>
  <c r="AZ211" i="33"/>
  <c r="AZ210" i="33"/>
  <c r="AZ209" i="33"/>
  <c r="AZ208" i="33"/>
  <c r="AZ207" i="33"/>
  <c r="AZ206" i="33"/>
  <c r="AZ205" i="33"/>
  <c r="AZ204" i="33"/>
  <c r="AZ203" i="33"/>
  <c r="AZ202" i="33"/>
  <c r="AZ201" i="33"/>
  <c r="AZ200" i="33"/>
  <c r="AZ199" i="33"/>
  <c r="AZ198" i="33"/>
  <c r="AZ197" i="33"/>
  <c r="AZ196" i="33"/>
  <c r="AZ195" i="33"/>
  <c r="AZ194" i="33"/>
  <c r="AZ193" i="33"/>
  <c r="AZ192" i="33"/>
  <c r="AZ191" i="33"/>
  <c r="AZ190" i="33"/>
  <c r="AZ189" i="33"/>
  <c r="AZ188" i="33"/>
  <c r="AZ187" i="33"/>
  <c r="AZ186" i="33"/>
  <c r="AZ185" i="33"/>
  <c r="AZ184" i="33"/>
  <c r="AZ183" i="33"/>
  <c r="BA182" i="33"/>
  <c r="AZ182" i="33"/>
  <c r="AZ176" i="33"/>
  <c r="AZ175" i="33"/>
  <c r="AZ174" i="33"/>
  <c r="AZ173" i="33"/>
  <c r="AZ172" i="33"/>
  <c r="AZ171" i="33"/>
  <c r="AZ170" i="33"/>
  <c r="AZ169" i="33"/>
  <c r="AZ168" i="33"/>
  <c r="AZ167" i="33"/>
  <c r="AZ166" i="33"/>
  <c r="AZ165" i="33"/>
  <c r="AZ164" i="33"/>
  <c r="AZ163" i="33"/>
  <c r="AZ162" i="33"/>
  <c r="AZ161" i="33"/>
  <c r="AZ160" i="33"/>
  <c r="AZ159" i="33"/>
  <c r="AZ158" i="33"/>
  <c r="AZ157" i="33"/>
  <c r="AZ156" i="33"/>
  <c r="AZ155" i="33"/>
  <c r="AZ154" i="33"/>
  <c r="AZ153" i="33"/>
  <c r="AZ152" i="33"/>
  <c r="AZ151" i="33"/>
  <c r="AZ150" i="33"/>
  <c r="AZ149" i="33"/>
  <c r="AZ148" i="33"/>
  <c r="BA147" i="33"/>
  <c r="AZ147" i="33"/>
  <c r="AZ141" i="33"/>
  <c r="AZ140" i="33"/>
  <c r="AZ139" i="33"/>
  <c r="AZ138" i="33"/>
  <c r="AZ137" i="33"/>
  <c r="AZ136" i="33"/>
  <c r="AZ135" i="33"/>
  <c r="AZ134" i="33"/>
  <c r="AZ133" i="33"/>
  <c r="AZ132" i="33"/>
  <c r="AZ131" i="33"/>
  <c r="AZ130" i="33"/>
  <c r="AZ129" i="33"/>
  <c r="AZ128" i="33"/>
  <c r="AZ127" i="33"/>
  <c r="AZ126" i="33"/>
  <c r="AZ125" i="33"/>
  <c r="AZ124" i="33"/>
  <c r="AZ123" i="33"/>
  <c r="AZ122" i="33"/>
  <c r="AZ121" i="33"/>
  <c r="AZ120" i="33"/>
  <c r="AZ119" i="33"/>
  <c r="AZ118" i="33"/>
  <c r="AZ117" i="33"/>
  <c r="AZ116" i="33"/>
  <c r="AZ115" i="33"/>
  <c r="AZ114" i="33"/>
  <c r="AZ113" i="33"/>
  <c r="BA112" i="33"/>
  <c r="AZ112" i="33"/>
  <c r="AZ106" i="33"/>
  <c r="AZ105" i="33"/>
  <c r="AZ104" i="33"/>
  <c r="AZ103" i="33"/>
  <c r="AZ102" i="33"/>
  <c r="AZ101" i="33"/>
  <c r="AZ100" i="33"/>
  <c r="AZ99" i="33"/>
  <c r="AZ98" i="33"/>
  <c r="AZ97" i="33"/>
  <c r="AZ96" i="33"/>
  <c r="AZ95" i="33"/>
  <c r="AZ94" i="33"/>
  <c r="AZ93" i="33"/>
  <c r="AZ92" i="33"/>
  <c r="AZ91" i="33"/>
  <c r="AZ90" i="33"/>
  <c r="AZ89" i="33"/>
  <c r="AZ88" i="33"/>
  <c r="AZ87" i="33"/>
  <c r="AZ86" i="33"/>
  <c r="AZ85" i="33"/>
  <c r="AZ84" i="33"/>
  <c r="AZ83" i="33"/>
  <c r="AZ82" i="33"/>
  <c r="AZ81" i="33"/>
  <c r="AZ80" i="33"/>
  <c r="AZ79" i="33"/>
  <c r="AZ78" i="33"/>
  <c r="BA77" i="33"/>
  <c r="AZ77" i="33"/>
  <c r="AZ71" i="33"/>
  <c r="AZ70" i="33"/>
  <c r="AZ69" i="33"/>
  <c r="AZ68" i="33"/>
  <c r="AZ67" i="33"/>
  <c r="AZ66" i="33"/>
  <c r="AZ65" i="33"/>
  <c r="AZ64" i="33"/>
  <c r="AZ63" i="33"/>
  <c r="AZ62" i="33"/>
  <c r="AZ61" i="33"/>
  <c r="AZ60" i="33"/>
  <c r="AZ59" i="33"/>
  <c r="AZ58" i="33"/>
  <c r="AZ57" i="33"/>
  <c r="AZ56" i="33"/>
  <c r="AZ55" i="33"/>
  <c r="AZ54" i="33"/>
  <c r="AZ53" i="33"/>
  <c r="AZ52" i="33"/>
  <c r="AZ51" i="33"/>
  <c r="AZ50" i="33"/>
  <c r="AZ49" i="33"/>
  <c r="AZ48" i="33"/>
  <c r="AZ47" i="33"/>
  <c r="AZ46" i="33"/>
  <c r="AZ45" i="33"/>
  <c r="AZ44" i="33"/>
  <c r="AZ43" i="33"/>
  <c r="BA42" i="33"/>
  <c r="AZ42" i="33"/>
  <c r="AZ36" i="33"/>
  <c r="AZ35" i="33"/>
  <c r="AZ34" i="33"/>
  <c r="AZ33" i="33"/>
  <c r="AZ32" i="33"/>
  <c r="AZ31" i="33"/>
  <c r="AZ30" i="33"/>
  <c r="AZ29" i="33"/>
  <c r="AZ28" i="33"/>
  <c r="AZ27" i="33"/>
  <c r="AZ26" i="33"/>
  <c r="AZ25" i="33"/>
  <c r="AZ24" i="33"/>
  <c r="AZ23" i="33"/>
  <c r="AZ22" i="33"/>
  <c r="AZ21" i="33"/>
  <c r="AZ20" i="33"/>
  <c r="AZ19" i="33"/>
  <c r="AZ18" i="33"/>
  <c r="AZ17" i="33"/>
  <c r="AZ16" i="33"/>
  <c r="AZ15" i="33"/>
  <c r="AZ14" i="33"/>
  <c r="AZ13" i="33"/>
  <c r="AZ12" i="33"/>
  <c r="AZ11" i="33"/>
  <c r="AZ10" i="33"/>
  <c r="AZ9" i="33"/>
  <c r="AZ8" i="33"/>
  <c r="BA7" i="33"/>
  <c r="AZ7" i="33"/>
  <c r="AZ121" i="31"/>
  <c r="AZ120" i="31"/>
  <c r="AZ119" i="31"/>
  <c r="AZ118" i="31"/>
  <c r="AZ117" i="31"/>
  <c r="AZ116" i="31"/>
  <c r="AZ115" i="31"/>
  <c r="AZ114" i="31"/>
  <c r="AZ113" i="31"/>
  <c r="AZ112" i="31"/>
  <c r="AZ111" i="31"/>
  <c r="AZ110" i="31"/>
  <c r="AZ109" i="31"/>
  <c r="AZ108" i="31"/>
  <c r="BA107" i="31"/>
  <c r="AZ107" i="31"/>
  <c r="AZ101" i="31"/>
  <c r="AZ100" i="31"/>
  <c r="AZ99" i="31"/>
  <c r="AZ98" i="31"/>
  <c r="AZ97" i="31"/>
  <c r="AZ96" i="31"/>
  <c r="AZ95" i="31"/>
  <c r="AZ94" i="31"/>
  <c r="AZ93" i="31"/>
  <c r="AZ92" i="31"/>
  <c r="AZ91" i="31"/>
  <c r="AZ90" i="31"/>
  <c r="AZ89" i="31"/>
  <c r="AZ88" i="31"/>
  <c r="BA87" i="31"/>
  <c r="AZ87" i="31"/>
  <c r="AZ81" i="31"/>
  <c r="AZ80" i="31"/>
  <c r="AZ79" i="31"/>
  <c r="AZ78" i="31"/>
  <c r="AZ77" i="31"/>
  <c r="AZ76" i="31"/>
  <c r="AZ75" i="31"/>
  <c r="AZ74" i="31"/>
  <c r="AZ73" i="31"/>
  <c r="AZ72" i="31"/>
  <c r="AZ71" i="31"/>
  <c r="AZ70" i="31"/>
  <c r="AZ69" i="31"/>
  <c r="AZ68" i="31"/>
  <c r="BA67" i="31"/>
  <c r="AZ67" i="31"/>
  <c r="AZ61" i="31"/>
  <c r="AZ60" i="31"/>
  <c r="AZ59" i="31"/>
  <c r="AZ58" i="31"/>
  <c r="AZ57" i="31"/>
  <c r="AZ56" i="31"/>
  <c r="AZ55" i="31"/>
  <c r="AZ54" i="31"/>
  <c r="AZ53" i="31"/>
  <c r="AZ52" i="31"/>
  <c r="AZ51" i="31"/>
  <c r="AZ50" i="31"/>
  <c r="AZ49" i="31"/>
  <c r="AZ48" i="31"/>
  <c r="BA47" i="31"/>
  <c r="AZ47" i="31"/>
  <c r="AZ41" i="31"/>
  <c r="AZ40" i="31"/>
  <c r="AZ39" i="31"/>
  <c r="AZ38" i="31"/>
  <c r="AZ37" i="31"/>
  <c r="AZ36" i="31"/>
  <c r="AZ35" i="31"/>
  <c r="AZ34" i="31"/>
  <c r="AZ33" i="31"/>
  <c r="AZ32" i="31"/>
  <c r="AZ31" i="31"/>
  <c r="AZ30" i="31"/>
  <c r="AZ29" i="31"/>
  <c r="AZ28" i="31"/>
  <c r="BA27" i="31"/>
  <c r="AZ27" i="31"/>
  <c r="AZ21" i="31"/>
  <c r="AZ20" i="31"/>
  <c r="AZ19" i="31"/>
  <c r="AZ18" i="31"/>
  <c r="AZ17" i="31"/>
  <c r="AZ16" i="31"/>
  <c r="AZ15" i="31"/>
  <c r="AZ14" i="31"/>
  <c r="AZ13" i="31"/>
  <c r="AZ12" i="31"/>
  <c r="AZ11" i="31"/>
  <c r="AZ10" i="31"/>
  <c r="AZ9" i="31"/>
  <c r="AZ8" i="31"/>
  <c r="BA7" i="31"/>
  <c r="AZ7" i="31"/>
  <c r="AZ121" i="32"/>
  <c r="AZ120" i="32"/>
  <c r="AZ119" i="32"/>
  <c r="AZ118" i="32"/>
  <c r="AZ117" i="32"/>
  <c r="AZ116" i="32"/>
  <c r="AZ115" i="32"/>
  <c r="AZ114" i="32"/>
  <c r="AZ113" i="32"/>
  <c r="AZ112" i="32"/>
  <c r="AZ111" i="32"/>
  <c r="AZ110" i="32"/>
  <c r="AZ109" i="32"/>
  <c r="AZ108" i="32"/>
  <c r="BA107" i="32"/>
  <c r="AZ107" i="32"/>
  <c r="AZ81" i="32"/>
  <c r="AZ80" i="32"/>
  <c r="AZ79" i="32"/>
  <c r="AZ78" i="32"/>
  <c r="AZ77" i="32"/>
  <c r="AZ76" i="32"/>
  <c r="AZ75" i="32"/>
  <c r="AZ74" i="32"/>
  <c r="AZ73" i="32"/>
  <c r="AZ72" i="32"/>
  <c r="AZ71" i="32"/>
  <c r="AZ70" i="32"/>
  <c r="AZ69" i="32"/>
  <c r="AZ68" i="32"/>
  <c r="BA67" i="32"/>
  <c r="AZ67" i="32"/>
  <c r="AZ61" i="32"/>
  <c r="AZ60" i="32"/>
  <c r="AZ59" i="32"/>
  <c r="AZ58" i="32"/>
  <c r="AZ57" i="32"/>
  <c r="AZ56" i="32"/>
  <c r="AZ55" i="32"/>
  <c r="AZ54" i="32"/>
  <c r="AZ53" i="32"/>
  <c r="AZ52" i="32"/>
  <c r="AZ51" i="32"/>
  <c r="AZ50" i="32"/>
  <c r="AZ49" i="32"/>
  <c r="AZ48" i="32"/>
  <c r="BA47" i="32"/>
  <c r="AZ47" i="32"/>
  <c r="AZ41" i="32"/>
  <c r="AZ40" i="32"/>
  <c r="AZ39" i="32"/>
  <c r="AZ38" i="32"/>
  <c r="AZ37" i="32"/>
  <c r="AZ36" i="32"/>
  <c r="AZ35" i="32"/>
  <c r="AZ34" i="32"/>
  <c r="AZ33" i="32"/>
  <c r="AZ32" i="32"/>
  <c r="AZ31" i="32"/>
  <c r="AZ30" i="32"/>
  <c r="AZ29" i="32"/>
  <c r="AZ28" i="32"/>
  <c r="BA27" i="32"/>
  <c r="AZ27" i="32"/>
  <c r="AZ21" i="32"/>
  <c r="AZ20" i="32"/>
  <c r="AZ19" i="32"/>
  <c r="AZ18" i="32"/>
  <c r="AZ17" i="32"/>
  <c r="AZ16" i="32"/>
  <c r="AZ15" i="32"/>
  <c r="AZ14" i="32"/>
  <c r="AZ13" i="32"/>
  <c r="AZ12" i="32"/>
  <c r="AZ11" i="32"/>
  <c r="AZ10" i="32"/>
  <c r="AZ9" i="32"/>
  <c r="AZ8" i="32"/>
  <c r="BA7" i="32"/>
  <c r="AZ7" i="32"/>
  <c r="K120" i="35" l="1"/>
  <c r="J120" i="35"/>
  <c r="I120" i="35"/>
  <c r="K119" i="35"/>
  <c r="J119" i="35"/>
  <c r="I119" i="35"/>
  <c r="K118" i="35"/>
  <c r="J118" i="35"/>
  <c r="I118" i="35"/>
  <c r="K117" i="35"/>
  <c r="J117" i="35"/>
  <c r="I117" i="35"/>
  <c r="K116" i="35"/>
  <c r="J116" i="35"/>
  <c r="I116" i="35"/>
  <c r="K115" i="35"/>
  <c r="J115" i="35"/>
  <c r="I115" i="35"/>
  <c r="K114" i="35"/>
  <c r="J114" i="35"/>
  <c r="I114" i="35"/>
  <c r="K113" i="35"/>
  <c r="J113" i="35"/>
  <c r="I113" i="35"/>
  <c r="K112" i="35"/>
  <c r="J112" i="35"/>
  <c r="I112" i="35"/>
  <c r="K111" i="35"/>
  <c r="J111" i="35"/>
  <c r="I111" i="35"/>
  <c r="K110" i="35"/>
  <c r="J110" i="35"/>
  <c r="I110" i="35"/>
  <c r="K109" i="35"/>
  <c r="J109" i="35"/>
  <c r="I109" i="35"/>
  <c r="K108" i="35"/>
  <c r="J108" i="35"/>
  <c r="I108" i="35"/>
  <c r="K107" i="35"/>
  <c r="J107" i="35"/>
  <c r="I107" i="35"/>
  <c r="K120" i="36"/>
  <c r="J120" i="36"/>
  <c r="I120" i="36"/>
  <c r="K119" i="36"/>
  <c r="J119" i="36"/>
  <c r="I119" i="36"/>
  <c r="K118" i="36"/>
  <c r="J118" i="36"/>
  <c r="I118" i="36"/>
  <c r="K117" i="36"/>
  <c r="J117" i="36"/>
  <c r="I117" i="36"/>
  <c r="K116" i="36"/>
  <c r="J116" i="36"/>
  <c r="I116" i="36"/>
  <c r="K115" i="36"/>
  <c r="J115" i="36"/>
  <c r="I115" i="36"/>
  <c r="K114" i="36"/>
  <c r="J114" i="36"/>
  <c r="I114" i="36"/>
  <c r="K113" i="36"/>
  <c r="J113" i="36"/>
  <c r="I113" i="36"/>
  <c r="K112" i="36"/>
  <c r="J112" i="36"/>
  <c r="I112" i="36"/>
  <c r="K111" i="36"/>
  <c r="J111" i="36"/>
  <c r="I111" i="36"/>
  <c r="K110" i="36"/>
  <c r="J110" i="36"/>
  <c r="I110" i="36"/>
  <c r="K109" i="36"/>
  <c r="J109" i="36"/>
  <c r="I109" i="36"/>
  <c r="K108" i="36"/>
  <c r="J108" i="36"/>
  <c r="I108" i="36"/>
  <c r="K107" i="36"/>
  <c r="J107" i="36"/>
  <c r="I107" i="36"/>
  <c r="K120" i="37"/>
  <c r="J120" i="37"/>
  <c r="I120" i="37"/>
  <c r="K119" i="37"/>
  <c r="J119" i="37"/>
  <c r="I119" i="37"/>
  <c r="K118" i="37"/>
  <c r="J118" i="37"/>
  <c r="I118" i="37"/>
  <c r="K117" i="37"/>
  <c r="J117" i="37"/>
  <c r="I117" i="37"/>
  <c r="K116" i="37"/>
  <c r="J116" i="37"/>
  <c r="I116" i="37"/>
  <c r="K115" i="37"/>
  <c r="J115" i="37"/>
  <c r="I115" i="37"/>
  <c r="K114" i="37"/>
  <c r="J114" i="37"/>
  <c r="I114" i="37"/>
  <c r="K113" i="37"/>
  <c r="J113" i="37"/>
  <c r="I113" i="37"/>
  <c r="K112" i="37"/>
  <c r="J112" i="37"/>
  <c r="I112" i="37"/>
  <c r="K111" i="37"/>
  <c r="J111" i="37"/>
  <c r="I111" i="37"/>
  <c r="K110" i="37"/>
  <c r="J110" i="37"/>
  <c r="I110" i="37"/>
  <c r="K109" i="37"/>
  <c r="J109" i="37"/>
  <c r="I109" i="37"/>
  <c r="K108" i="37"/>
  <c r="J108" i="37"/>
  <c r="I108" i="37"/>
  <c r="K107" i="37"/>
  <c r="J107" i="37"/>
  <c r="I107" i="37"/>
  <c r="K120" i="34"/>
  <c r="J120" i="34"/>
  <c r="I120" i="34"/>
  <c r="K119" i="34"/>
  <c r="J119" i="34"/>
  <c r="I119" i="34"/>
  <c r="K118" i="34"/>
  <c r="J118" i="34"/>
  <c r="I118" i="34"/>
  <c r="K117" i="34"/>
  <c r="J117" i="34"/>
  <c r="I117" i="34"/>
  <c r="K116" i="34"/>
  <c r="J116" i="34"/>
  <c r="I116" i="34"/>
  <c r="K115" i="34"/>
  <c r="J115" i="34"/>
  <c r="I115" i="34"/>
  <c r="K114" i="34"/>
  <c r="J114" i="34"/>
  <c r="I114" i="34"/>
  <c r="K113" i="34"/>
  <c r="J113" i="34"/>
  <c r="I113" i="34"/>
  <c r="K112" i="34"/>
  <c r="J112" i="34"/>
  <c r="I112" i="34"/>
  <c r="K111" i="34"/>
  <c r="J111" i="34"/>
  <c r="I111" i="34"/>
  <c r="K110" i="34"/>
  <c r="J110" i="34"/>
  <c r="I110" i="34"/>
  <c r="K109" i="34"/>
  <c r="J109" i="34"/>
  <c r="I109" i="34"/>
  <c r="K108" i="34"/>
  <c r="J108" i="34"/>
  <c r="I108" i="34"/>
  <c r="K107" i="34"/>
  <c r="J107" i="34"/>
  <c r="I107" i="34"/>
  <c r="K120" i="31"/>
  <c r="M120" i="31" s="1"/>
  <c r="J120" i="31"/>
  <c r="I120" i="31"/>
  <c r="K119" i="31"/>
  <c r="M119" i="31" s="1"/>
  <c r="J119" i="31"/>
  <c r="I119" i="31"/>
  <c r="K118" i="31"/>
  <c r="M118" i="31" s="1"/>
  <c r="J118" i="31"/>
  <c r="I118" i="31"/>
  <c r="K117" i="31"/>
  <c r="M117" i="31" s="1"/>
  <c r="J117" i="31"/>
  <c r="I117" i="31"/>
  <c r="K116" i="31"/>
  <c r="M116" i="31" s="1"/>
  <c r="J116" i="31"/>
  <c r="I116" i="31"/>
  <c r="K115" i="31"/>
  <c r="M115" i="31" s="1"/>
  <c r="J115" i="31"/>
  <c r="I115" i="31"/>
  <c r="K114" i="31"/>
  <c r="M114" i="31" s="1"/>
  <c r="J114" i="31"/>
  <c r="I114" i="31"/>
  <c r="K113" i="31"/>
  <c r="M113" i="31" s="1"/>
  <c r="J113" i="31"/>
  <c r="I113" i="31"/>
  <c r="K112" i="31"/>
  <c r="M112" i="31" s="1"/>
  <c r="J112" i="31"/>
  <c r="I112" i="31"/>
  <c r="K111" i="31"/>
  <c r="M111" i="31" s="1"/>
  <c r="J111" i="31"/>
  <c r="I111" i="31"/>
  <c r="K110" i="31"/>
  <c r="M110" i="31" s="1"/>
  <c r="J110" i="31"/>
  <c r="I110" i="31"/>
  <c r="K109" i="31"/>
  <c r="M109" i="31" s="1"/>
  <c r="J109" i="31"/>
  <c r="I109" i="31"/>
  <c r="K108" i="31"/>
  <c r="M108" i="31" s="1"/>
  <c r="J108" i="31"/>
  <c r="I108" i="31"/>
  <c r="K107" i="31"/>
  <c r="J107" i="31"/>
  <c r="I107" i="31"/>
  <c r="K120" i="32"/>
  <c r="M120" i="32" s="1"/>
  <c r="J120" i="32"/>
  <c r="I120" i="32"/>
  <c r="K119" i="32"/>
  <c r="M119" i="32" s="1"/>
  <c r="J119" i="32"/>
  <c r="I119" i="32"/>
  <c r="K118" i="32"/>
  <c r="M118" i="32" s="1"/>
  <c r="J118" i="32"/>
  <c r="I118" i="32"/>
  <c r="K117" i="32"/>
  <c r="M117" i="32" s="1"/>
  <c r="J117" i="32"/>
  <c r="I117" i="32"/>
  <c r="K116" i="32"/>
  <c r="M116" i="32" s="1"/>
  <c r="J116" i="32"/>
  <c r="I116" i="32"/>
  <c r="K115" i="32"/>
  <c r="M115" i="32" s="1"/>
  <c r="J115" i="32"/>
  <c r="I115" i="32"/>
  <c r="K114" i="32"/>
  <c r="M114" i="32" s="1"/>
  <c r="J114" i="32"/>
  <c r="I114" i="32"/>
  <c r="K113" i="32"/>
  <c r="M113" i="32" s="1"/>
  <c r="J113" i="32"/>
  <c r="I113" i="32"/>
  <c r="K112" i="32"/>
  <c r="M112" i="32" s="1"/>
  <c r="J112" i="32"/>
  <c r="I112" i="32"/>
  <c r="K111" i="32"/>
  <c r="M111" i="32" s="1"/>
  <c r="J111" i="32"/>
  <c r="I111" i="32"/>
  <c r="K110" i="32"/>
  <c r="M110" i="32" s="1"/>
  <c r="J110" i="32"/>
  <c r="I110" i="32"/>
  <c r="K109" i="32"/>
  <c r="M109" i="32" s="1"/>
  <c r="J109" i="32"/>
  <c r="I109" i="32"/>
  <c r="K108" i="32"/>
  <c r="M108" i="32" s="1"/>
  <c r="J108" i="32"/>
  <c r="I108" i="32"/>
  <c r="K107" i="32"/>
  <c r="J107" i="32"/>
  <c r="I107" i="32"/>
  <c r="K121" i="30"/>
  <c r="J121" i="30"/>
  <c r="I121" i="30"/>
  <c r="K120" i="30"/>
  <c r="J120" i="30"/>
  <c r="I120" i="30"/>
  <c r="K119" i="30"/>
  <c r="J119" i="30"/>
  <c r="I119" i="30"/>
  <c r="K118" i="30"/>
  <c r="J118" i="30"/>
  <c r="I118" i="30"/>
  <c r="K117" i="30"/>
  <c r="J117" i="30"/>
  <c r="I117" i="30"/>
  <c r="K116" i="30"/>
  <c r="J116" i="30"/>
  <c r="I116" i="30"/>
  <c r="K115" i="30"/>
  <c r="J115" i="30"/>
  <c r="I115" i="30"/>
  <c r="K114" i="30"/>
  <c r="J114" i="30"/>
  <c r="I114" i="30"/>
  <c r="K113" i="30"/>
  <c r="J113" i="30"/>
  <c r="I113" i="30"/>
  <c r="K112" i="30"/>
  <c r="J112" i="30"/>
  <c r="I112" i="30"/>
  <c r="K111" i="30"/>
  <c r="J111" i="30"/>
  <c r="I111" i="30"/>
  <c r="K110" i="30"/>
  <c r="J110" i="30"/>
  <c r="I110" i="30"/>
  <c r="K109" i="30"/>
  <c r="J109" i="30"/>
  <c r="I109" i="30"/>
  <c r="K108" i="30"/>
  <c r="J108" i="30"/>
  <c r="I108" i="30"/>
  <c r="K107" i="30"/>
  <c r="J107" i="30"/>
  <c r="I107" i="30"/>
  <c r="K211" i="33"/>
  <c r="J211" i="33"/>
  <c r="I211" i="33"/>
  <c r="K210" i="33"/>
  <c r="J210" i="33"/>
  <c r="I210" i="33"/>
  <c r="K209" i="33"/>
  <c r="J209" i="33"/>
  <c r="I209" i="33"/>
  <c r="K208" i="33"/>
  <c r="J208" i="33"/>
  <c r="I208" i="33"/>
  <c r="K207" i="33"/>
  <c r="J207" i="33"/>
  <c r="I207" i="33"/>
  <c r="K206" i="33"/>
  <c r="J206" i="33"/>
  <c r="I206" i="33"/>
  <c r="K205" i="33"/>
  <c r="J205" i="33"/>
  <c r="I205" i="33"/>
  <c r="K204" i="33"/>
  <c r="J204" i="33"/>
  <c r="I204" i="33"/>
  <c r="K203" i="33"/>
  <c r="J203" i="33"/>
  <c r="I203" i="33"/>
  <c r="K202" i="33"/>
  <c r="J202" i="33"/>
  <c r="I202" i="33"/>
  <c r="K201" i="33"/>
  <c r="J201" i="33"/>
  <c r="I201" i="33"/>
  <c r="K200" i="33"/>
  <c r="J200" i="33"/>
  <c r="I200" i="33"/>
  <c r="K199" i="33"/>
  <c r="J199" i="33"/>
  <c r="I199" i="33"/>
  <c r="K198" i="33"/>
  <c r="J198" i="33"/>
  <c r="I198" i="33"/>
  <c r="K197" i="33"/>
  <c r="J197" i="33"/>
  <c r="I197" i="33"/>
  <c r="K196" i="33"/>
  <c r="J196" i="33"/>
  <c r="I196" i="33"/>
  <c r="K195" i="33"/>
  <c r="J195" i="33"/>
  <c r="I195" i="33"/>
  <c r="K194" i="33"/>
  <c r="J194" i="33"/>
  <c r="I194" i="33"/>
  <c r="K193" i="33"/>
  <c r="J193" i="33"/>
  <c r="I193" i="33"/>
  <c r="K192" i="33"/>
  <c r="J192" i="33"/>
  <c r="I192" i="33"/>
  <c r="K191" i="33"/>
  <c r="J191" i="33"/>
  <c r="I191" i="33"/>
  <c r="K190" i="33"/>
  <c r="J190" i="33"/>
  <c r="I190" i="33"/>
  <c r="K189" i="33"/>
  <c r="J189" i="33"/>
  <c r="I189" i="33"/>
  <c r="K188" i="33"/>
  <c r="J188" i="33"/>
  <c r="I188" i="33"/>
  <c r="K187" i="33"/>
  <c r="J187" i="33"/>
  <c r="I187" i="33"/>
  <c r="K186" i="33"/>
  <c r="J186" i="33"/>
  <c r="I186" i="33"/>
  <c r="K185" i="33"/>
  <c r="J185" i="33"/>
  <c r="I185" i="33"/>
  <c r="K184" i="33"/>
  <c r="J184" i="33"/>
  <c r="I184" i="33"/>
  <c r="K183" i="33"/>
  <c r="J183" i="33"/>
  <c r="I183" i="33"/>
  <c r="K182" i="33"/>
  <c r="J182" i="33"/>
  <c r="I182" i="33"/>
  <c r="K176" i="33"/>
  <c r="J176" i="33"/>
  <c r="I176" i="33"/>
  <c r="K175" i="33"/>
  <c r="J175" i="33"/>
  <c r="I175" i="33"/>
  <c r="K174" i="33"/>
  <c r="J174" i="33"/>
  <c r="I174" i="33"/>
  <c r="K173" i="33"/>
  <c r="J173" i="33"/>
  <c r="I173" i="33"/>
  <c r="K172" i="33"/>
  <c r="J172" i="33"/>
  <c r="I172" i="33"/>
  <c r="K171" i="33"/>
  <c r="J171" i="33"/>
  <c r="I171" i="33"/>
  <c r="K170" i="33"/>
  <c r="J170" i="33"/>
  <c r="I170" i="33"/>
  <c r="K169" i="33"/>
  <c r="J169" i="33"/>
  <c r="I169" i="33"/>
  <c r="K168" i="33"/>
  <c r="J168" i="33"/>
  <c r="I168" i="33"/>
  <c r="K167" i="33"/>
  <c r="J167" i="33"/>
  <c r="I167" i="33"/>
  <c r="K166" i="33"/>
  <c r="J166" i="33"/>
  <c r="I166" i="33"/>
  <c r="K165" i="33"/>
  <c r="J165" i="33"/>
  <c r="I165" i="33"/>
  <c r="K164" i="33"/>
  <c r="J164" i="33"/>
  <c r="I164" i="33"/>
  <c r="K163" i="33"/>
  <c r="J163" i="33"/>
  <c r="I163" i="33"/>
  <c r="K162" i="33"/>
  <c r="J162" i="33"/>
  <c r="I162" i="33"/>
  <c r="K161" i="33"/>
  <c r="J161" i="33"/>
  <c r="I161" i="33"/>
  <c r="K160" i="33"/>
  <c r="J160" i="33"/>
  <c r="I160" i="33"/>
  <c r="K159" i="33"/>
  <c r="J159" i="33"/>
  <c r="I159" i="33"/>
  <c r="K158" i="33"/>
  <c r="J158" i="33"/>
  <c r="I158" i="33"/>
  <c r="K157" i="33"/>
  <c r="J157" i="33"/>
  <c r="I157" i="33"/>
  <c r="K156" i="33"/>
  <c r="J156" i="33"/>
  <c r="I156" i="33"/>
  <c r="K155" i="33"/>
  <c r="J155" i="33"/>
  <c r="I155" i="33"/>
  <c r="K154" i="33"/>
  <c r="J154" i="33"/>
  <c r="I154" i="33"/>
  <c r="K153" i="33"/>
  <c r="J153" i="33"/>
  <c r="I153" i="33"/>
  <c r="K152" i="33"/>
  <c r="J152" i="33"/>
  <c r="I152" i="33"/>
  <c r="K151" i="33"/>
  <c r="J151" i="33"/>
  <c r="I151" i="33"/>
  <c r="K150" i="33"/>
  <c r="J150" i="33"/>
  <c r="I150" i="33"/>
  <c r="K149" i="33"/>
  <c r="J149" i="33"/>
  <c r="I149" i="33"/>
  <c r="K148" i="33"/>
  <c r="J148" i="33"/>
  <c r="I148" i="33"/>
  <c r="K147" i="33"/>
  <c r="J147" i="33"/>
  <c r="I147" i="33"/>
  <c r="K141" i="33"/>
  <c r="J141" i="33"/>
  <c r="I141" i="33"/>
  <c r="K140" i="33"/>
  <c r="J140" i="33"/>
  <c r="I140" i="33"/>
  <c r="K139" i="33"/>
  <c r="J139" i="33"/>
  <c r="I139" i="33"/>
  <c r="K138" i="33"/>
  <c r="J138" i="33"/>
  <c r="I138" i="33"/>
  <c r="K137" i="33"/>
  <c r="J137" i="33"/>
  <c r="I137" i="33"/>
  <c r="K136" i="33"/>
  <c r="J136" i="33"/>
  <c r="I136" i="33"/>
  <c r="K135" i="33"/>
  <c r="J135" i="33"/>
  <c r="I135" i="33"/>
  <c r="K134" i="33"/>
  <c r="J134" i="33"/>
  <c r="I134" i="33"/>
  <c r="K133" i="33"/>
  <c r="J133" i="33"/>
  <c r="I133" i="33"/>
  <c r="K132" i="33"/>
  <c r="J132" i="33"/>
  <c r="I132" i="33"/>
  <c r="K131" i="33"/>
  <c r="J131" i="33"/>
  <c r="I131" i="33"/>
  <c r="K130" i="33"/>
  <c r="J130" i="33"/>
  <c r="I130" i="33"/>
  <c r="K129" i="33"/>
  <c r="J129" i="33"/>
  <c r="I129" i="33"/>
  <c r="K128" i="33"/>
  <c r="J128" i="33"/>
  <c r="I128" i="33"/>
  <c r="K127" i="33"/>
  <c r="J127" i="33"/>
  <c r="I127" i="33"/>
  <c r="K126" i="33"/>
  <c r="J126" i="33"/>
  <c r="I126" i="33"/>
  <c r="K125" i="33"/>
  <c r="J125" i="33"/>
  <c r="I125" i="33"/>
  <c r="K124" i="33"/>
  <c r="J124" i="33"/>
  <c r="I124" i="33"/>
  <c r="K123" i="33"/>
  <c r="J123" i="33"/>
  <c r="I123" i="33"/>
  <c r="K122" i="33"/>
  <c r="J122" i="33"/>
  <c r="I122" i="33"/>
  <c r="K121" i="33"/>
  <c r="J121" i="33"/>
  <c r="I121" i="33"/>
  <c r="K120" i="33"/>
  <c r="J120" i="33"/>
  <c r="I120" i="33"/>
  <c r="K119" i="33"/>
  <c r="J119" i="33"/>
  <c r="I119" i="33"/>
  <c r="K118" i="33"/>
  <c r="J118" i="33"/>
  <c r="I118" i="33"/>
  <c r="K117" i="33"/>
  <c r="J117" i="33"/>
  <c r="I117" i="33"/>
  <c r="K116" i="33"/>
  <c r="J116" i="33"/>
  <c r="I116" i="33"/>
  <c r="K115" i="33"/>
  <c r="J115" i="33"/>
  <c r="I115" i="33"/>
  <c r="K114" i="33"/>
  <c r="J114" i="33"/>
  <c r="I114" i="33"/>
  <c r="K113" i="33"/>
  <c r="J113" i="33"/>
  <c r="I113" i="33"/>
  <c r="K112" i="33"/>
  <c r="J112" i="33"/>
  <c r="I112" i="33"/>
  <c r="K106" i="33"/>
  <c r="J106" i="33"/>
  <c r="I106" i="33"/>
  <c r="K105" i="33"/>
  <c r="J105" i="33"/>
  <c r="I105" i="33"/>
  <c r="K104" i="33"/>
  <c r="J104" i="33"/>
  <c r="I104" i="33"/>
  <c r="K103" i="33"/>
  <c r="J103" i="33"/>
  <c r="I103" i="33"/>
  <c r="K102" i="33"/>
  <c r="J102" i="33"/>
  <c r="I102" i="33"/>
  <c r="K101" i="33"/>
  <c r="J101" i="33"/>
  <c r="I101" i="33"/>
  <c r="K100" i="33"/>
  <c r="J100" i="33"/>
  <c r="I100" i="33"/>
  <c r="K99" i="33"/>
  <c r="J99" i="33"/>
  <c r="I99" i="33"/>
  <c r="K98" i="33"/>
  <c r="J98" i="33"/>
  <c r="I98" i="33"/>
  <c r="K97" i="33"/>
  <c r="J97" i="33"/>
  <c r="I97" i="33"/>
  <c r="K96" i="33"/>
  <c r="J96" i="33"/>
  <c r="I96" i="33"/>
  <c r="K95" i="33"/>
  <c r="J95" i="33"/>
  <c r="I95" i="33"/>
  <c r="K94" i="33"/>
  <c r="J94" i="33"/>
  <c r="I94" i="33"/>
  <c r="K93" i="33"/>
  <c r="J93" i="33"/>
  <c r="I93" i="33"/>
  <c r="K92" i="33"/>
  <c r="J92" i="33"/>
  <c r="I92" i="33"/>
  <c r="K91" i="33"/>
  <c r="J91" i="33"/>
  <c r="I91" i="33"/>
  <c r="K90" i="33"/>
  <c r="J90" i="33"/>
  <c r="I90" i="33"/>
  <c r="K89" i="33"/>
  <c r="J89" i="33"/>
  <c r="I89" i="33"/>
  <c r="K88" i="33"/>
  <c r="J88" i="33"/>
  <c r="I88" i="33"/>
  <c r="K87" i="33"/>
  <c r="J87" i="33"/>
  <c r="I87" i="33"/>
  <c r="K86" i="33"/>
  <c r="J86" i="33"/>
  <c r="I86" i="33"/>
  <c r="K85" i="33"/>
  <c r="J85" i="33"/>
  <c r="I85" i="33"/>
  <c r="K84" i="33"/>
  <c r="J84" i="33"/>
  <c r="I84" i="33"/>
  <c r="K83" i="33"/>
  <c r="J83" i="33"/>
  <c r="I83" i="33"/>
  <c r="K82" i="33"/>
  <c r="J82" i="33"/>
  <c r="I82" i="33"/>
  <c r="K81" i="33"/>
  <c r="J81" i="33"/>
  <c r="I81" i="33"/>
  <c r="K80" i="33"/>
  <c r="J80" i="33"/>
  <c r="I80" i="33"/>
  <c r="K79" i="33"/>
  <c r="J79" i="33"/>
  <c r="I79" i="33"/>
  <c r="K78" i="33"/>
  <c r="J78" i="33"/>
  <c r="I78" i="33"/>
  <c r="K77" i="33"/>
  <c r="J77" i="33"/>
  <c r="I77" i="33"/>
  <c r="K71" i="33"/>
  <c r="J71" i="33"/>
  <c r="I71" i="33"/>
  <c r="K70" i="33"/>
  <c r="J70" i="33"/>
  <c r="I70" i="33"/>
  <c r="K69" i="33"/>
  <c r="J69" i="33"/>
  <c r="I69" i="33"/>
  <c r="K68" i="33"/>
  <c r="J68" i="33"/>
  <c r="I68" i="33"/>
  <c r="K67" i="33"/>
  <c r="J67" i="33"/>
  <c r="I67" i="33"/>
  <c r="K66" i="33"/>
  <c r="J66" i="33"/>
  <c r="I66" i="33"/>
  <c r="K65" i="33"/>
  <c r="J65" i="33"/>
  <c r="I65" i="33"/>
  <c r="K64" i="33"/>
  <c r="J64" i="33"/>
  <c r="I64" i="33"/>
  <c r="K63" i="33"/>
  <c r="J63" i="33"/>
  <c r="I63" i="33"/>
  <c r="K62" i="33"/>
  <c r="J62" i="33"/>
  <c r="I62" i="33"/>
  <c r="K61" i="33"/>
  <c r="J61" i="33"/>
  <c r="I61" i="33"/>
  <c r="K60" i="33"/>
  <c r="J60" i="33"/>
  <c r="I60" i="33"/>
  <c r="K59" i="33"/>
  <c r="J59" i="33"/>
  <c r="I59" i="33"/>
  <c r="K58" i="33"/>
  <c r="J58" i="33"/>
  <c r="I58" i="33"/>
  <c r="K57" i="33"/>
  <c r="J57" i="33"/>
  <c r="I57" i="33"/>
  <c r="K56" i="33"/>
  <c r="J56" i="33"/>
  <c r="I56" i="33"/>
  <c r="K55" i="33"/>
  <c r="J55" i="33"/>
  <c r="I55" i="33"/>
  <c r="K54" i="33"/>
  <c r="J54" i="33"/>
  <c r="I54" i="33"/>
  <c r="K53" i="33"/>
  <c r="J53" i="33"/>
  <c r="I53" i="33"/>
  <c r="K52" i="33"/>
  <c r="J52" i="33"/>
  <c r="I52" i="33"/>
  <c r="K51" i="33"/>
  <c r="J51" i="33"/>
  <c r="I51" i="33"/>
  <c r="K50" i="33"/>
  <c r="J50" i="33"/>
  <c r="I50" i="33"/>
  <c r="K49" i="33"/>
  <c r="J49" i="33"/>
  <c r="I49" i="33"/>
  <c r="K48" i="33"/>
  <c r="J48" i="33"/>
  <c r="I48" i="33"/>
  <c r="K47" i="33"/>
  <c r="J47" i="33"/>
  <c r="I47" i="33"/>
  <c r="K46" i="33"/>
  <c r="J46" i="33"/>
  <c r="I46" i="33"/>
  <c r="K45" i="33"/>
  <c r="J45" i="33"/>
  <c r="I45" i="33"/>
  <c r="K44" i="33"/>
  <c r="J44" i="33"/>
  <c r="I44" i="33"/>
  <c r="K43" i="33"/>
  <c r="J43" i="33"/>
  <c r="I43" i="33"/>
  <c r="K42" i="33"/>
  <c r="J42" i="33"/>
  <c r="I42" i="33"/>
  <c r="K211" i="8"/>
  <c r="J211" i="8"/>
  <c r="I211" i="8"/>
  <c r="K210" i="8"/>
  <c r="J210" i="8"/>
  <c r="I210" i="8"/>
  <c r="K209" i="8"/>
  <c r="J209" i="8"/>
  <c r="I209" i="8"/>
  <c r="K208" i="8"/>
  <c r="J208" i="8"/>
  <c r="I208" i="8"/>
  <c r="K207" i="8"/>
  <c r="J207" i="8"/>
  <c r="I207" i="8"/>
  <c r="K206" i="8"/>
  <c r="J206" i="8"/>
  <c r="I206" i="8"/>
  <c r="K205" i="8"/>
  <c r="J205" i="8"/>
  <c r="I205" i="8"/>
  <c r="K204" i="8"/>
  <c r="J204" i="8"/>
  <c r="I204" i="8"/>
  <c r="K203" i="8"/>
  <c r="J203" i="8"/>
  <c r="I203" i="8"/>
  <c r="K202" i="8"/>
  <c r="J202" i="8"/>
  <c r="I202" i="8"/>
  <c r="K201" i="8"/>
  <c r="J201" i="8"/>
  <c r="I201" i="8"/>
  <c r="K200" i="8"/>
  <c r="J200" i="8"/>
  <c r="I200" i="8"/>
  <c r="K199" i="8"/>
  <c r="J199" i="8"/>
  <c r="I199" i="8"/>
  <c r="K198" i="8"/>
  <c r="J198" i="8"/>
  <c r="I198" i="8"/>
  <c r="K197" i="8"/>
  <c r="J197" i="8"/>
  <c r="I197" i="8"/>
  <c r="K196" i="8"/>
  <c r="J196" i="8"/>
  <c r="I196" i="8"/>
  <c r="K195" i="8"/>
  <c r="J195" i="8"/>
  <c r="I195" i="8"/>
  <c r="K194" i="8"/>
  <c r="J194" i="8"/>
  <c r="I194" i="8"/>
  <c r="K193" i="8"/>
  <c r="J193" i="8"/>
  <c r="I193" i="8"/>
  <c r="K192" i="8"/>
  <c r="J192" i="8"/>
  <c r="I192" i="8"/>
  <c r="K191" i="8"/>
  <c r="J191" i="8"/>
  <c r="I191" i="8"/>
  <c r="K190" i="8"/>
  <c r="J190" i="8"/>
  <c r="I190" i="8"/>
  <c r="K189" i="8"/>
  <c r="J189" i="8"/>
  <c r="I189" i="8"/>
  <c r="K188" i="8"/>
  <c r="J188" i="8"/>
  <c r="I188" i="8"/>
  <c r="K187" i="8"/>
  <c r="J187" i="8"/>
  <c r="I187" i="8"/>
  <c r="K186" i="8"/>
  <c r="J186" i="8"/>
  <c r="I186" i="8"/>
  <c r="K185" i="8"/>
  <c r="J185" i="8"/>
  <c r="I185" i="8"/>
  <c r="K184" i="8"/>
  <c r="J184" i="8"/>
  <c r="I184" i="8"/>
  <c r="K183" i="8"/>
  <c r="J183" i="8"/>
  <c r="I183" i="8"/>
  <c r="K182" i="8"/>
  <c r="J182" i="8"/>
  <c r="I182" i="8"/>
  <c r="K176" i="8"/>
  <c r="J176" i="8"/>
  <c r="I176" i="8"/>
  <c r="K175" i="8"/>
  <c r="J175" i="8"/>
  <c r="I175" i="8"/>
  <c r="K174" i="8"/>
  <c r="J174" i="8"/>
  <c r="I174" i="8"/>
  <c r="K173" i="8"/>
  <c r="J173" i="8"/>
  <c r="I173" i="8"/>
  <c r="K172" i="8"/>
  <c r="J172" i="8"/>
  <c r="I172" i="8"/>
  <c r="K171" i="8"/>
  <c r="J171" i="8"/>
  <c r="I171" i="8"/>
  <c r="K170" i="8"/>
  <c r="J170" i="8"/>
  <c r="I170" i="8"/>
  <c r="K169" i="8"/>
  <c r="J169" i="8"/>
  <c r="I169" i="8"/>
  <c r="K168" i="8"/>
  <c r="J168" i="8"/>
  <c r="I168" i="8"/>
  <c r="K167" i="8"/>
  <c r="J167" i="8"/>
  <c r="I167" i="8"/>
  <c r="K166" i="8"/>
  <c r="J166" i="8"/>
  <c r="I166" i="8"/>
  <c r="K165" i="8"/>
  <c r="J165" i="8"/>
  <c r="I165" i="8"/>
  <c r="K164" i="8"/>
  <c r="J164" i="8"/>
  <c r="I164" i="8"/>
  <c r="K163" i="8"/>
  <c r="J163" i="8"/>
  <c r="I163" i="8"/>
  <c r="K162" i="8"/>
  <c r="J162" i="8"/>
  <c r="I162" i="8"/>
  <c r="K161" i="8"/>
  <c r="J161" i="8"/>
  <c r="I161" i="8"/>
  <c r="K160" i="8"/>
  <c r="J160" i="8"/>
  <c r="I160" i="8"/>
  <c r="K159" i="8"/>
  <c r="J159" i="8"/>
  <c r="I159" i="8"/>
  <c r="K158" i="8"/>
  <c r="J158" i="8"/>
  <c r="I158" i="8"/>
  <c r="K157" i="8"/>
  <c r="J157" i="8"/>
  <c r="I157" i="8"/>
  <c r="J156" i="8"/>
  <c r="I156" i="8"/>
  <c r="J155" i="8"/>
  <c r="I155" i="8"/>
  <c r="K154" i="8"/>
  <c r="J154" i="8"/>
  <c r="I154" i="8"/>
  <c r="K153" i="8"/>
  <c r="J153" i="8"/>
  <c r="I153" i="8"/>
  <c r="K152" i="8"/>
  <c r="J152" i="8"/>
  <c r="I152" i="8"/>
  <c r="K151" i="8"/>
  <c r="J151" i="8"/>
  <c r="I151" i="8"/>
  <c r="K150" i="8"/>
  <c r="J150" i="8"/>
  <c r="I150" i="8"/>
  <c r="K149" i="8"/>
  <c r="J149" i="8"/>
  <c r="I149" i="8"/>
  <c r="K148" i="8"/>
  <c r="J148" i="8"/>
  <c r="I148" i="8"/>
  <c r="K147" i="8"/>
  <c r="J147" i="8"/>
  <c r="I147" i="8"/>
  <c r="K141" i="8"/>
  <c r="J141" i="8"/>
  <c r="I141" i="8"/>
  <c r="K140" i="8"/>
  <c r="J140" i="8"/>
  <c r="I140" i="8"/>
  <c r="K139" i="8"/>
  <c r="J139" i="8"/>
  <c r="I139" i="8"/>
  <c r="K138" i="8"/>
  <c r="J138" i="8"/>
  <c r="I138" i="8"/>
  <c r="K137" i="8"/>
  <c r="J137" i="8"/>
  <c r="I137" i="8"/>
  <c r="K136" i="8"/>
  <c r="J136" i="8"/>
  <c r="I136" i="8"/>
  <c r="K135" i="8"/>
  <c r="J135" i="8"/>
  <c r="I135" i="8"/>
  <c r="K134" i="8"/>
  <c r="J134" i="8"/>
  <c r="I134" i="8"/>
  <c r="K133" i="8"/>
  <c r="J133" i="8"/>
  <c r="I133" i="8"/>
  <c r="K132" i="8"/>
  <c r="J132" i="8"/>
  <c r="I132" i="8"/>
  <c r="K131" i="8"/>
  <c r="J131" i="8"/>
  <c r="I131" i="8"/>
  <c r="K130" i="8"/>
  <c r="J130" i="8"/>
  <c r="I130" i="8"/>
  <c r="K129" i="8"/>
  <c r="J129" i="8"/>
  <c r="I129" i="8"/>
  <c r="K128" i="8"/>
  <c r="J128" i="8"/>
  <c r="I128" i="8"/>
  <c r="K127" i="8"/>
  <c r="J127" i="8"/>
  <c r="I127" i="8"/>
  <c r="K126" i="8"/>
  <c r="J126" i="8"/>
  <c r="I126" i="8"/>
  <c r="K125" i="8"/>
  <c r="J125" i="8"/>
  <c r="I125" i="8"/>
  <c r="K124" i="8"/>
  <c r="J124" i="8"/>
  <c r="I124" i="8"/>
  <c r="K123" i="8"/>
  <c r="J123" i="8"/>
  <c r="I123" i="8"/>
  <c r="K122" i="8"/>
  <c r="J122" i="8"/>
  <c r="I122" i="8"/>
  <c r="K121" i="8"/>
  <c r="J121" i="8"/>
  <c r="I121" i="8"/>
  <c r="K120" i="8"/>
  <c r="J120" i="8"/>
  <c r="I120" i="8"/>
  <c r="K119" i="8"/>
  <c r="J119" i="8"/>
  <c r="I119" i="8"/>
  <c r="K118" i="8"/>
  <c r="J118" i="8"/>
  <c r="I118" i="8"/>
  <c r="K117" i="8"/>
  <c r="J117" i="8"/>
  <c r="I117" i="8"/>
  <c r="K116" i="8"/>
  <c r="J116" i="8"/>
  <c r="I116" i="8"/>
  <c r="K115" i="8"/>
  <c r="J115" i="8"/>
  <c r="I115" i="8"/>
  <c r="K114" i="8"/>
  <c r="J114" i="8"/>
  <c r="I114" i="8"/>
  <c r="K113" i="8"/>
  <c r="J113" i="8"/>
  <c r="I113" i="8"/>
  <c r="K112" i="8"/>
  <c r="J112" i="8"/>
  <c r="I112" i="8"/>
  <c r="K106" i="8"/>
  <c r="J106" i="8"/>
  <c r="I106" i="8"/>
  <c r="K105" i="8"/>
  <c r="J105" i="8"/>
  <c r="I105" i="8"/>
  <c r="K104" i="8"/>
  <c r="J104" i="8"/>
  <c r="I104" i="8"/>
  <c r="K103" i="8"/>
  <c r="J103" i="8"/>
  <c r="I103" i="8"/>
  <c r="K102" i="8"/>
  <c r="J102" i="8"/>
  <c r="I102" i="8"/>
  <c r="K101" i="8"/>
  <c r="J101" i="8"/>
  <c r="I101" i="8"/>
  <c r="K100" i="8"/>
  <c r="J100" i="8"/>
  <c r="I100" i="8"/>
  <c r="K99" i="8"/>
  <c r="J99" i="8"/>
  <c r="I99" i="8"/>
  <c r="K98" i="8"/>
  <c r="J98" i="8"/>
  <c r="I98" i="8"/>
  <c r="K97" i="8"/>
  <c r="J97" i="8"/>
  <c r="I97" i="8"/>
  <c r="K96" i="8"/>
  <c r="J96" i="8"/>
  <c r="I96" i="8"/>
  <c r="K95" i="8"/>
  <c r="J95" i="8"/>
  <c r="I95" i="8"/>
  <c r="K94" i="8"/>
  <c r="J94" i="8"/>
  <c r="I94" i="8"/>
  <c r="K93" i="8"/>
  <c r="J93" i="8"/>
  <c r="I93" i="8"/>
  <c r="K92" i="8"/>
  <c r="J92" i="8"/>
  <c r="I92" i="8"/>
  <c r="K91" i="8"/>
  <c r="J91" i="8"/>
  <c r="I91" i="8"/>
  <c r="K90" i="8"/>
  <c r="J90" i="8"/>
  <c r="I90" i="8"/>
  <c r="K89" i="8"/>
  <c r="J89" i="8"/>
  <c r="I89" i="8"/>
  <c r="K88" i="8"/>
  <c r="J88" i="8"/>
  <c r="I88" i="8"/>
  <c r="K87" i="8"/>
  <c r="J87" i="8"/>
  <c r="I87" i="8"/>
  <c r="K86" i="8"/>
  <c r="J86" i="8"/>
  <c r="I86" i="8"/>
  <c r="K85" i="8"/>
  <c r="J85" i="8"/>
  <c r="I85" i="8"/>
  <c r="K84" i="8"/>
  <c r="J84" i="8"/>
  <c r="I84" i="8"/>
  <c r="K83" i="8"/>
  <c r="J83" i="8"/>
  <c r="I83" i="8"/>
  <c r="K82" i="8"/>
  <c r="J82" i="8"/>
  <c r="I82" i="8"/>
  <c r="K81" i="8"/>
  <c r="J81" i="8"/>
  <c r="I81" i="8"/>
  <c r="K80" i="8"/>
  <c r="J80" i="8"/>
  <c r="I80" i="8"/>
  <c r="K79" i="8"/>
  <c r="J79" i="8"/>
  <c r="I79" i="8"/>
  <c r="K78" i="8"/>
  <c r="J78" i="8"/>
  <c r="I78" i="8"/>
  <c r="K77" i="8"/>
  <c r="J77" i="8"/>
  <c r="I77" i="8"/>
  <c r="K71" i="8"/>
  <c r="J71" i="8"/>
  <c r="I71" i="8"/>
  <c r="K70" i="8"/>
  <c r="J70" i="8"/>
  <c r="I70" i="8"/>
  <c r="K69" i="8"/>
  <c r="J69" i="8"/>
  <c r="I69" i="8"/>
  <c r="K68" i="8"/>
  <c r="J68" i="8"/>
  <c r="I68" i="8"/>
  <c r="K67" i="8"/>
  <c r="J67" i="8"/>
  <c r="I67" i="8"/>
  <c r="K66" i="8"/>
  <c r="J66" i="8"/>
  <c r="I66" i="8"/>
  <c r="K65" i="8"/>
  <c r="J65" i="8"/>
  <c r="I65" i="8"/>
  <c r="K64" i="8"/>
  <c r="J64" i="8"/>
  <c r="I64" i="8"/>
  <c r="K63" i="8"/>
  <c r="J63" i="8"/>
  <c r="I63" i="8"/>
  <c r="K62" i="8"/>
  <c r="J62" i="8"/>
  <c r="I62" i="8"/>
  <c r="K61" i="8"/>
  <c r="J61" i="8"/>
  <c r="I61" i="8"/>
  <c r="K60" i="8"/>
  <c r="J60" i="8"/>
  <c r="I60" i="8"/>
  <c r="K59" i="8"/>
  <c r="J59" i="8"/>
  <c r="I59" i="8"/>
  <c r="K58" i="8"/>
  <c r="J58" i="8"/>
  <c r="I58" i="8"/>
  <c r="K57" i="8"/>
  <c r="J57" i="8"/>
  <c r="I57" i="8"/>
  <c r="K56" i="8"/>
  <c r="J56" i="8"/>
  <c r="I56" i="8"/>
  <c r="K55" i="8"/>
  <c r="J55" i="8"/>
  <c r="I55" i="8"/>
  <c r="K54" i="8"/>
  <c r="J54" i="8"/>
  <c r="I54" i="8"/>
  <c r="K53" i="8"/>
  <c r="J53" i="8"/>
  <c r="I53" i="8"/>
  <c r="K52" i="8"/>
  <c r="J52" i="8"/>
  <c r="I52" i="8"/>
  <c r="K51" i="8"/>
  <c r="J51" i="8"/>
  <c r="I51" i="8"/>
  <c r="K50" i="8"/>
  <c r="J50" i="8"/>
  <c r="I50" i="8"/>
  <c r="K49" i="8"/>
  <c r="J49" i="8"/>
  <c r="I49" i="8"/>
  <c r="K48" i="8"/>
  <c r="J48" i="8"/>
  <c r="I48" i="8"/>
  <c r="K47" i="8"/>
  <c r="J47" i="8"/>
  <c r="I47" i="8"/>
  <c r="K46" i="8"/>
  <c r="J46" i="8"/>
  <c r="I46" i="8"/>
  <c r="K45" i="8"/>
  <c r="J45" i="8"/>
  <c r="I45" i="8"/>
  <c r="K44" i="8"/>
  <c r="J44" i="8"/>
  <c r="I44" i="8"/>
  <c r="K43" i="8"/>
  <c r="J43" i="8"/>
  <c r="I43" i="8"/>
  <c r="K42" i="8"/>
  <c r="J42" i="8"/>
  <c r="I42" i="8"/>
  <c r="L107" i="37"/>
  <c r="U35" i="3"/>
  <c r="O35" i="3"/>
  <c r="M121" i="31" l="1"/>
  <c r="M107" i="31"/>
  <c r="M107" i="32"/>
  <c r="M121" i="32"/>
  <c r="L107" i="35"/>
  <c r="L107" i="32"/>
  <c r="L107" i="36"/>
  <c r="L42" i="8"/>
  <c r="P22" i="32" l="1"/>
  <c r="U22" i="32" s="1"/>
  <c r="Z22" i="32" s="1"/>
  <c r="AE22" i="32" s="1"/>
  <c r="AJ22" i="32" s="1"/>
  <c r="AO22" i="32" s="1"/>
  <c r="AT22" i="32" s="1"/>
  <c r="P22" i="31"/>
  <c r="U22" i="31" s="1"/>
  <c r="Z22" i="31" s="1"/>
  <c r="AE22" i="31" s="1"/>
  <c r="AJ22" i="31" s="1"/>
  <c r="AO22" i="31" s="1"/>
  <c r="AT22" i="31" s="1"/>
  <c r="P22" i="34"/>
  <c r="U22" i="34" s="1"/>
  <c r="Z22" i="34" s="1"/>
  <c r="AE22" i="34" s="1"/>
  <c r="AJ22" i="34" s="1"/>
  <c r="AO22" i="34" s="1"/>
  <c r="AT22" i="34" s="1"/>
  <c r="P22" i="35"/>
  <c r="U22" i="35" s="1"/>
  <c r="Z22" i="35" s="1"/>
  <c r="AE22" i="35" s="1"/>
  <c r="AJ22" i="35" s="1"/>
  <c r="AO22" i="35" s="1"/>
  <c r="AT22" i="35" s="1"/>
  <c r="P22" i="36"/>
  <c r="U22" i="36" s="1"/>
  <c r="Z22" i="36" s="1"/>
  <c r="AE22" i="36" s="1"/>
  <c r="AJ22" i="36" s="1"/>
  <c r="AO22" i="36" s="1"/>
  <c r="AT22" i="36" s="1"/>
  <c r="P22" i="37"/>
  <c r="U22" i="37" s="1"/>
  <c r="Z22" i="37" s="1"/>
  <c r="AE22" i="37" s="1"/>
  <c r="AJ22" i="37" s="1"/>
  <c r="AO22" i="37" s="1"/>
  <c r="AT22" i="37" s="1"/>
  <c r="P22" i="30"/>
  <c r="U22" i="30" s="1"/>
  <c r="Z22" i="30" s="1"/>
  <c r="AE22" i="30" s="1"/>
  <c r="AJ22" i="30" s="1"/>
  <c r="AO22" i="30" s="1"/>
  <c r="AT22" i="30" s="1"/>
  <c r="P37" i="8"/>
  <c r="U5" i="3" l="1"/>
  <c r="P6" i="3" l="1"/>
  <c r="G255" i="8" l="1"/>
  <c r="G254" i="8"/>
  <c r="G253" i="8"/>
  <c r="G252" i="8"/>
  <c r="G251" i="8"/>
  <c r="G250" i="8"/>
  <c r="G262" i="8"/>
  <c r="G261" i="8"/>
  <c r="G260" i="8"/>
  <c r="G259" i="8"/>
  <c r="G258" i="8"/>
  <c r="G257" i="8"/>
  <c r="H107" i="37" l="1"/>
  <c r="H107" i="36"/>
  <c r="H107" i="35"/>
  <c r="H107" i="32"/>
  <c r="M113" i="30"/>
  <c r="M112" i="30"/>
  <c r="M111" i="30"/>
  <c r="M110" i="30"/>
  <c r="M109" i="30"/>
  <c r="M108" i="30"/>
  <c r="H107" i="30"/>
  <c r="L182" i="8"/>
  <c r="H182" i="8"/>
  <c r="M121" i="30" l="1"/>
  <c r="L107" i="30"/>
  <c r="M114" i="30"/>
  <c r="M118" i="30"/>
  <c r="M107" i="30"/>
  <c r="M115" i="30"/>
  <c r="M119" i="30"/>
  <c r="M116" i="30"/>
  <c r="M120" i="30"/>
  <c r="M117" i="30"/>
  <c r="M184" i="8"/>
  <c r="M186" i="8"/>
  <c r="M188" i="8"/>
  <c r="M190" i="8"/>
  <c r="M211" i="8"/>
  <c r="M183" i="8"/>
  <c r="M185" i="8"/>
  <c r="M187" i="8"/>
  <c r="M189" i="8"/>
  <c r="M191" i="8"/>
  <c r="M193" i="8"/>
  <c r="M195" i="8"/>
  <c r="M197" i="8"/>
  <c r="M199" i="8"/>
  <c r="M201" i="8"/>
  <c r="M192" i="8"/>
  <c r="M194" i="8"/>
  <c r="M196" i="8"/>
  <c r="M198" i="8"/>
  <c r="M200" i="8"/>
  <c r="M202" i="8"/>
  <c r="M182" i="8"/>
  <c r="M206" i="8"/>
  <c r="M210" i="8"/>
  <c r="M203" i="8"/>
  <c r="M207" i="8"/>
  <c r="M204" i="8"/>
  <c r="M208" i="8"/>
  <c r="M205" i="8"/>
  <c r="M209" i="8"/>
  <c r="O5" i="3" l="1"/>
  <c r="AK50" i="6" l="1"/>
  <c r="AI50" i="6"/>
  <c r="AG50" i="6"/>
  <c r="AE50" i="6"/>
  <c r="AA50" i="6"/>
  <c r="Y50" i="6"/>
  <c r="W50" i="6"/>
  <c r="U50" i="6"/>
  <c r="Q50" i="6"/>
  <c r="O50" i="6"/>
  <c r="K50" i="6"/>
  <c r="I50" i="6"/>
  <c r="F43" i="6" l="1"/>
  <c r="AK50" i="7"/>
  <c r="AI50" i="7"/>
  <c r="AG50" i="7"/>
  <c r="AE50" i="7"/>
  <c r="AA50" i="7"/>
  <c r="Y50" i="7"/>
  <c r="W50" i="7"/>
  <c r="U50" i="7"/>
  <c r="Q50" i="7"/>
  <c r="O50" i="7"/>
  <c r="K50" i="7"/>
  <c r="I50" i="7"/>
  <c r="I5" i="5"/>
  <c r="D12" i="3"/>
  <c r="D13" i="3" s="1"/>
  <c r="D14" i="3" s="1"/>
  <c r="D15" i="3" s="1"/>
  <c r="D16" i="3" s="1"/>
  <c r="D17" i="3" s="1"/>
  <c r="D18" i="3" s="1"/>
  <c r="D19" i="3" s="1"/>
  <c r="D20" i="3" s="1"/>
  <c r="D21" i="3" s="1"/>
  <c r="D22" i="3" s="1"/>
  <c r="D23" i="3" s="1"/>
  <c r="D24" i="3" s="1"/>
  <c r="D25" i="3" s="1"/>
  <c r="D26" i="3" s="1"/>
  <c r="D27" i="3" s="1"/>
  <c r="D28" i="3" s="1"/>
  <c r="D29" i="3" s="1"/>
  <c r="D30" i="3" s="1"/>
  <c r="D31" i="3" s="1"/>
  <c r="D32" i="3" s="1"/>
  <c r="D33" i="3" s="1"/>
  <c r="D34" i="3" s="1"/>
  <c r="D35" i="3" s="1"/>
  <c r="D36" i="3" s="1"/>
  <c r="D37" i="3" s="1"/>
  <c r="D38" i="3" s="1"/>
  <c r="D39" i="3" s="1"/>
  <c r="AF43" i="6" l="1"/>
  <c r="Z43" i="6"/>
  <c r="AJ43" i="6"/>
  <c r="V43" i="6"/>
  <c r="P43" i="6"/>
  <c r="J43" i="6"/>
  <c r="AD43" i="6"/>
  <c r="T43" i="6"/>
  <c r="L43" i="6"/>
  <c r="AL43" i="6"/>
  <c r="AB43" i="6"/>
  <c r="R43" i="6"/>
  <c r="AH43" i="6"/>
  <c r="X43" i="6"/>
  <c r="N43" i="6"/>
  <c r="F7" i="7"/>
  <c r="F7" i="6"/>
  <c r="AJ7" i="6" l="1"/>
  <c r="V7" i="6"/>
  <c r="P7" i="6"/>
  <c r="J7" i="6"/>
  <c r="AH7" i="6"/>
  <c r="AB7" i="6"/>
  <c r="T7" i="6"/>
  <c r="N7" i="6"/>
  <c r="AF7" i="6"/>
  <c r="Z7" i="6"/>
  <c r="AL7" i="6"/>
  <c r="AD7" i="6"/>
  <c r="X7" i="6"/>
  <c r="R7" i="6"/>
  <c r="L7" i="6"/>
  <c r="X7" i="7"/>
  <c r="R7" i="7"/>
  <c r="L7" i="7"/>
  <c r="AJ7" i="7"/>
  <c r="V7" i="7"/>
  <c r="P7" i="7"/>
  <c r="J7" i="7"/>
  <c r="AH7" i="7"/>
  <c r="AB7" i="7"/>
  <c r="AF7" i="7"/>
  <c r="Z7" i="7"/>
  <c r="T7" i="7"/>
  <c r="N7" i="7"/>
  <c r="AD7" i="7"/>
  <c r="AL7" i="7"/>
  <c r="B8" i="13" l="1"/>
  <c r="S14" i="7" l="1"/>
  <c r="B10" i="13"/>
  <c r="B7" i="13"/>
  <c r="B6" i="13"/>
  <c r="H128" i="37" l="1"/>
  <c r="E10" i="39" l="1"/>
  <c r="E8" i="39"/>
  <c r="E7" i="39"/>
  <c r="E6" i="39"/>
  <c r="K11" i="39"/>
  <c r="K9" i="39"/>
  <c r="K8" i="39"/>
  <c r="K6" i="39"/>
  <c r="Q10" i="3" l="1"/>
  <c r="W10" i="3"/>
  <c r="E9" i="39" l="1"/>
  <c r="B9" i="13"/>
  <c r="E11" i="39"/>
  <c r="B11" i="13"/>
  <c r="I40" i="5" l="1"/>
  <c r="J40" i="5" s="1"/>
  <c r="K130" i="36" l="1"/>
  <c r="J130" i="36"/>
  <c r="I130" i="36"/>
  <c r="H128" i="36"/>
  <c r="H128" i="35"/>
  <c r="J137" i="35"/>
  <c r="I137" i="35"/>
  <c r="J136" i="35"/>
  <c r="I136" i="35"/>
  <c r="J131" i="35"/>
  <c r="I131" i="35"/>
  <c r="H128" i="34"/>
  <c r="J135" i="34"/>
  <c r="I135" i="34"/>
  <c r="H107" i="34"/>
  <c r="H218" i="33"/>
  <c r="M205" i="33"/>
  <c r="M204" i="33"/>
  <c r="M203" i="33"/>
  <c r="M202" i="33"/>
  <c r="M201" i="33"/>
  <c r="M199" i="33"/>
  <c r="M198" i="33"/>
  <c r="M197" i="33"/>
  <c r="M195" i="33"/>
  <c r="M193" i="33"/>
  <c r="M191" i="33"/>
  <c r="M190" i="33"/>
  <c r="M189" i="33"/>
  <c r="M188" i="33"/>
  <c r="M187" i="33"/>
  <c r="M185" i="33"/>
  <c r="M183" i="33"/>
  <c r="M182" i="33"/>
  <c r="H182" i="33"/>
  <c r="H128" i="31"/>
  <c r="H107" i="31"/>
  <c r="H128" i="32"/>
  <c r="J138" i="32"/>
  <c r="I138" i="32"/>
  <c r="K132" i="30"/>
  <c r="J132" i="30"/>
  <c r="I132" i="30"/>
  <c r="K240" i="8"/>
  <c r="J240" i="8"/>
  <c r="I240" i="8"/>
  <c r="J239" i="8"/>
  <c r="I239" i="8"/>
  <c r="M109" i="34" l="1"/>
  <c r="M118" i="34"/>
  <c r="M121" i="34"/>
  <c r="M117" i="34"/>
  <c r="M120" i="34"/>
  <c r="M119" i="34"/>
  <c r="M107" i="34"/>
  <c r="M115" i="34"/>
  <c r="M116" i="34"/>
  <c r="M111" i="34"/>
  <c r="M108" i="34"/>
  <c r="M110" i="34"/>
  <c r="M112" i="34"/>
  <c r="M114" i="34"/>
  <c r="M113" i="34"/>
  <c r="K131" i="35"/>
  <c r="K137" i="35"/>
  <c r="K136" i="35"/>
  <c r="L107" i="34"/>
  <c r="K135" i="34"/>
  <c r="M194" i="33"/>
  <c r="M196" i="33"/>
  <c r="M186" i="33"/>
  <c r="L182" i="33"/>
  <c r="M184" i="33"/>
  <c r="M192" i="33"/>
  <c r="M200" i="33"/>
  <c r="K138" i="32"/>
  <c r="K239" i="8"/>
  <c r="H128" i="30"/>
  <c r="H218" i="8"/>
  <c r="L107" i="31"/>
  <c r="M130" i="36" l="1"/>
  <c r="I32" i="5"/>
  <c r="I31" i="5"/>
  <c r="I30" i="5"/>
  <c r="I29" i="5"/>
  <c r="I28" i="5"/>
  <c r="L20" i="21" l="1"/>
  <c r="L19" i="21"/>
  <c r="L18" i="21"/>
  <c r="L17" i="21"/>
  <c r="L16" i="21"/>
  <c r="L13" i="21"/>
  <c r="L12" i="21"/>
  <c r="L11" i="21"/>
  <c r="L10" i="21"/>
  <c r="L9" i="21"/>
  <c r="M15" i="40"/>
  <c r="K15" i="40"/>
  <c r="I15" i="40"/>
  <c r="G15" i="40"/>
  <c r="M14" i="40"/>
  <c r="K14" i="40"/>
  <c r="I14" i="40"/>
  <c r="G14" i="40"/>
  <c r="M10" i="40"/>
  <c r="K10" i="40"/>
  <c r="I10" i="40"/>
  <c r="G10" i="40"/>
  <c r="C10" i="40"/>
  <c r="M9" i="40"/>
  <c r="K9" i="40"/>
  <c r="I9" i="40"/>
  <c r="G9" i="40"/>
  <c r="C9" i="40"/>
  <c r="J133" i="37"/>
  <c r="I133" i="37"/>
  <c r="J132" i="37"/>
  <c r="I132" i="37"/>
  <c r="K131" i="37"/>
  <c r="J131" i="37"/>
  <c r="I131" i="37"/>
  <c r="K130" i="37"/>
  <c r="J130" i="37"/>
  <c r="I130" i="37"/>
  <c r="J129" i="37"/>
  <c r="I129" i="37"/>
  <c r="J128" i="37"/>
  <c r="I128" i="37"/>
  <c r="K132" i="36"/>
  <c r="J132" i="36"/>
  <c r="I132" i="36"/>
  <c r="K131" i="36"/>
  <c r="J131" i="36"/>
  <c r="I131" i="36"/>
  <c r="J129" i="36"/>
  <c r="I129" i="36"/>
  <c r="J128" i="36"/>
  <c r="I128" i="36"/>
  <c r="K135" i="35"/>
  <c r="J135" i="35"/>
  <c r="I135" i="35"/>
  <c r="J134" i="35"/>
  <c r="I134" i="35"/>
  <c r="J133" i="35"/>
  <c r="I133" i="35"/>
  <c r="K132" i="35"/>
  <c r="J132" i="35"/>
  <c r="I132" i="35"/>
  <c r="K130" i="35"/>
  <c r="J130" i="35"/>
  <c r="I130" i="35"/>
  <c r="J129" i="35"/>
  <c r="I129" i="35"/>
  <c r="J128" i="35"/>
  <c r="I128" i="35"/>
  <c r="J134" i="34"/>
  <c r="I134" i="34"/>
  <c r="K133" i="34"/>
  <c r="J133" i="34"/>
  <c r="I133" i="34"/>
  <c r="J132" i="34"/>
  <c r="I132" i="34"/>
  <c r="K131" i="34"/>
  <c r="J131" i="34"/>
  <c r="I131" i="34"/>
  <c r="J130" i="34"/>
  <c r="I130" i="34"/>
  <c r="K129" i="34"/>
  <c r="J129" i="34"/>
  <c r="I129" i="34"/>
  <c r="J128" i="34"/>
  <c r="I128" i="34"/>
  <c r="H147" i="33"/>
  <c r="H112" i="33"/>
  <c r="H77" i="33"/>
  <c r="K239" i="33"/>
  <c r="I239" i="33"/>
  <c r="K227" i="33"/>
  <c r="I227" i="33"/>
  <c r="H42" i="33"/>
  <c r="J240" i="33"/>
  <c r="I240" i="33"/>
  <c r="K236" i="33"/>
  <c r="J236" i="33"/>
  <c r="I236" i="33"/>
  <c r="K235" i="33"/>
  <c r="I235" i="33"/>
  <c r="J234" i="33"/>
  <c r="K232" i="33"/>
  <c r="I232" i="33"/>
  <c r="K231" i="33"/>
  <c r="I231" i="33"/>
  <c r="J230" i="33"/>
  <c r="J228" i="33"/>
  <c r="I228" i="33"/>
  <c r="K224" i="33"/>
  <c r="J224" i="33"/>
  <c r="I224" i="33"/>
  <c r="K223" i="33"/>
  <c r="I223" i="33"/>
  <c r="J222" i="33"/>
  <c r="K220" i="33"/>
  <c r="I220" i="33"/>
  <c r="K219" i="33"/>
  <c r="I219" i="33"/>
  <c r="K218" i="33"/>
  <c r="P37" i="33"/>
  <c r="P72" i="33" s="1"/>
  <c r="P107" i="33" s="1"/>
  <c r="P142" i="33" s="1"/>
  <c r="U142" i="33" s="1"/>
  <c r="Z142" i="33" s="1"/>
  <c r="AE142" i="33" s="1"/>
  <c r="AJ142" i="33" s="1"/>
  <c r="AO142" i="33" s="1"/>
  <c r="AT142" i="33" s="1"/>
  <c r="K137" i="32"/>
  <c r="I136" i="32"/>
  <c r="K135" i="32"/>
  <c r="I135" i="32"/>
  <c r="K134" i="32"/>
  <c r="J134" i="32"/>
  <c r="I134" i="32"/>
  <c r="I133" i="32"/>
  <c r="J132" i="32"/>
  <c r="K131" i="32"/>
  <c r="K130" i="32"/>
  <c r="J130" i="32"/>
  <c r="I130" i="32"/>
  <c r="K129" i="32"/>
  <c r="I129" i="32"/>
  <c r="K134" i="30"/>
  <c r="J134" i="30"/>
  <c r="I134" i="30"/>
  <c r="K133" i="30"/>
  <c r="J133" i="30"/>
  <c r="J131" i="30"/>
  <c r="K129" i="30"/>
  <c r="J129" i="30"/>
  <c r="I129" i="30"/>
  <c r="J128" i="30"/>
  <c r="I128" i="30"/>
  <c r="H147" i="8"/>
  <c r="H112" i="8"/>
  <c r="H77" i="8"/>
  <c r="K236" i="8"/>
  <c r="K235" i="8"/>
  <c r="J235" i="8"/>
  <c r="I235" i="8"/>
  <c r="J234" i="8"/>
  <c r="K233" i="8"/>
  <c r="K232" i="8"/>
  <c r="I232" i="8"/>
  <c r="K229" i="8"/>
  <c r="I229" i="8"/>
  <c r="K226" i="8"/>
  <c r="I226" i="8"/>
  <c r="K225" i="8"/>
  <c r="J225" i="8"/>
  <c r="I225" i="8"/>
  <c r="J224" i="8"/>
  <c r="I224" i="8"/>
  <c r="K223" i="8"/>
  <c r="I223" i="8"/>
  <c r="K220" i="8"/>
  <c r="I220" i="8"/>
  <c r="H42" i="8"/>
  <c r="K234" i="8"/>
  <c r="I234" i="8"/>
  <c r="K238" i="8"/>
  <c r="J238" i="8"/>
  <c r="I238" i="8"/>
  <c r="K237" i="8"/>
  <c r="J237" i="8"/>
  <c r="I237" i="8"/>
  <c r="J236" i="8"/>
  <c r="I236" i="8"/>
  <c r="J233" i="8"/>
  <c r="I233" i="8"/>
  <c r="J232" i="8"/>
  <c r="K231" i="8"/>
  <c r="J231" i="8"/>
  <c r="I231" i="8"/>
  <c r="K230" i="8"/>
  <c r="J230" i="8"/>
  <c r="I230" i="8"/>
  <c r="J229" i="8"/>
  <c r="K228" i="8"/>
  <c r="J228" i="8"/>
  <c r="I228" i="8"/>
  <c r="K227" i="8"/>
  <c r="J227" i="8"/>
  <c r="I227" i="8"/>
  <c r="J226" i="8"/>
  <c r="K221" i="8"/>
  <c r="J221" i="8"/>
  <c r="I221" i="8"/>
  <c r="K222" i="8"/>
  <c r="J222" i="8"/>
  <c r="I222" i="8"/>
  <c r="J223" i="8"/>
  <c r="J220" i="8"/>
  <c r="K219" i="8"/>
  <c r="J219" i="8"/>
  <c r="I219" i="8"/>
  <c r="K218" i="8"/>
  <c r="J218" i="8"/>
  <c r="I218" i="8"/>
  <c r="AK51" i="6"/>
  <c r="AI51" i="6"/>
  <c r="AG51" i="6"/>
  <c r="H20" i="13"/>
  <c r="W51" i="6"/>
  <c r="U51" i="6"/>
  <c r="AC49" i="6"/>
  <c r="S49" i="6"/>
  <c r="M49" i="6"/>
  <c r="F14" i="6"/>
  <c r="F13" i="6"/>
  <c r="F12" i="6"/>
  <c r="F11" i="6"/>
  <c r="F10" i="6"/>
  <c r="F9" i="6"/>
  <c r="F8" i="6"/>
  <c r="AK51" i="7"/>
  <c r="AI51" i="7"/>
  <c r="AG51" i="7"/>
  <c r="AE51" i="7"/>
  <c r="W51" i="7"/>
  <c r="U51" i="7"/>
  <c r="AC49" i="7"/>
  <c r="S49" i="7"/>
  <c r="M49" i="7"/>
  <c r="AC44" i="7"/>
  <c r="S44" i="7"/>
  <c r="M44" i="7"/>
  <c r="AC43" i="7"/>
  <c r="S43" i="7"/>
  <c r="M43" i="7"/>
  <c r="AC42" i="7"/>
  <c r="S42" i="7"/>
  <c r="M42" i="7"/>
  <c r="AC41" i="7"/>
  <c r="S41" i="7"/>
  <c r="M41" i="7"/>
  <c r="S40" i="7"/>
  <c r="M40" i="7"/>
  <c r="S39" i="7"/>
  <c r="M39" i="7"/>
  <c r="S34" i="7"/>
  <c r="M34" i="7"/>
  <c r="S33" i="7"/>
  <c r="M33" i="7"/>
  <c r="S32" i="7"/>
  <c r="M32" i="7"/>
  <c r="S31" i="7"/>
  <c r="M31" i="7"/>
  <c r="S30" i="7"/>
  <c r="M30" i="7"/>
  <c r="S29" i="7"/>
  <c r="M29" i="7"/>
  <c r="S28" i="7"/>
  <c r="M28" i="7"/>
  <c r="S27" i="7"/>
  <c r="M27" i="7"/>
  <c r="S26" i="7"/>
  <c r="M26" i="7"/>
  <c r="S25" i="7"/>
  <c r="M25" i="7"/>
  <c r="S24" i="7"/>
  <c r="M24" i="7"/>
  <c r="S23" i="7"/>
  <c r="M23" i="7"/>
  <c r="S22" i="7"/>
  <c r="M22" i="7"/>
  <c r="S21" i="7"/>
  <c r="M21" i="7"/>
  <c r="S20" i="7"/>
  <c r="M20" i="7"/>
  <c r="S19" i="7"/>
  <c r="M19" i="7"/>
  <c r="S18" i="7"/>
  <c r="M18" i="7"/>
  <c r="S17" i="7"/>
  <c r="M17" i="7"/>
  <c r="S16" i="7"/>
  <c r="M16" i="7"/>
  <c r="S15" i="7"/>
  <c r="M15" i="7"/>
  <c r="F13" i="7"/>
  <c r="F11" i="7"/>
  <c r="F9" i="7"/>
  <c r="I27" i="5"/>
  <c r="I26" i="5"/>
  <c r="I18" i="5"/>
  <c r="I17" i="5"/>
  <c r="I16" i="5"/>
  <c r="I15" i="5"/>
  <c r="I14" i="5"/>
  <c r="I13" i="5"/>
  <c r="I12" i="5"/>
  <c r="I11" i="5"/>
  <c r="I10" i="5"/>
  <c r="I9" i="5"/>
  <c r="I8" i="5"/>
  <c r="I7" i="5"/>
  <c r="I10" i="13"/>
  <c r="K10" i="13" s="1"/>
  <c r="I6" i="5"/>
  <c r="U39" i="3"/>
  <c r="O39" i="3"/>
  <c r="U38" i="3"/>
  <c r="O38" i="3"/>
  <c r="U37" i="3"/>
  <c r="O37" i="3"/>
  <c r="U36" i="3"/>
  <c r="O36" i="3"/>
  <c r="I20" i="39"/>
  <c r="K20" i="39" s="1"/>
  <c r="U34" i="3"/>
  <c r="O34" i="3"/>
  <c r="U33" i="3"/>
  <c r="O33" i="3"/>
  <c r="U32" i="3"/>
  <c r="O32" i="3"/>
  <c r="U31" i="3"/>
  <c r="O31" i="3"/>
  <c r="U30" i="3"/>
  <c r="O30" i="3"/>
  <c r="U29" i="3"/>
  <c r="O29" i="3"/>
  <c r="U28" i="3"/>
  <c r="O28" i="3"/>
  <c r="U27" i="3"/>
  <c r="O27" i="3"/>
  <c r="U26" i="3"/>
  <c r="O26" i="3"/>
  <c r="U25" i="3"/>
  <c r="O25" i="3"/>
  <c r="U24" i="3"/>
  <c r="O24" i="3"/>
  <c r="U23" i="3"/>
  <c r="O23" i="3"/>
  <c r="U22" i="3"/>
  <c r="O22" i="3"/>
  <c r="U21" i="3"/>
  <c r="O21" i="3"/>
  <c r="U20" i="3"/>
  <c r="O20" i="3"/>
  <c r="U19" i="3"/>
  <c r="O19" i="3"/>
  <c r="U18" i="3"/>
  <c r="O18" i="3"/>
  <c r="U17" i="3"/>
  <c r="O17" i="3"/>
  <c r="U16" i="3"/>
  <c r="O16" i="3"/>
  <c r="U15" i="3"/>
  <c r="O15" i="3"/>
  <c r="U14" i="3"/>
  <c r="O14" i="3"/>
  <c r="U13" i="3"/>
  <c r="O13" i="3"/>
  <c r="U12" i="3"/>
  <c r="O12" i="3"/>
  <c r="U11" i="3"/>
  <c r="O11" i="3"/>
  <c r="U10" i="3"/>
  <c r="O10" i="3"/>
  <c r="U9" i="3"/>
  <c r="O9" i="3"/>
  <c r="U8" i="3"/>
  <c r="O8" i="3"/>
  <c r="U7" i="3"/>
  <c r="O7" i="3"/>
  <c r="U6" i="3"/>
  <c r="O6" i="3"/>
  <c r="J24" i="39"/>
  <c r="D24" i="39"/>
  <c r="I22" i="39"/>
  <c r="K22" i="39" s="1"/>
  <c r="I18" i="39"/>
  <c r="K18" i="39" s="1"/>
  <c r="D8" i="39"/>
  <c r="J24" i="13"/>
  <c r="D24" i="13"/>
  <c r="H18" i="13"/>
  <c r="E10" i="13"/>
  <c r="I9" i="13"/>
  <c r="K9" i="13" s="1"/>
  <c r="I8" i="13"/>
  <c r="K8" i="13" s="1"/>
  <c r="I6" i="13"/>
  <c r="K6" i="13" s="1"/>
  <c r="X55" i="1"/>
  <c r="X54" i="1"/>
  <c r="X53" i="1"/>
  <c r="X52" i="1"/>
  <c r="X47" i="1"/>
  <c r="X46" i="1"/>
  <c r="X45" i="1"/>
  <c r="X44" i="1"/>
  <c r="X43" i="1"/>
  <c r="X41" i="1"/>
  <c r="X40" i="1"/>
  <c r="X39" i="1"/>
  <c r="X38" i="1"/>
  <c r="X37" i="1"/>
  <c r="X33" i="1"/>
  <c r="X32" i="1"/>
  <c r="X31" i="1"/>
  <c r="X30" i="1"/>
  <c r="X29" i="1"/>
  <c r="X27" i="1"/>
  <c r="X26" i="1"/>
  <c r="X25" i="1"/>
  <c r="X24" i="1"/>
  <c r="X23" i="1"/>
  <c r="S19" i="1"/>
  <c r="Q19" i="1"/>
  <c r="O19" i="1"/>
  <c r="S18" i="1"/>
  <c r="Q18" i="1"/>
  <c r="O18" i="1"/>
  <c r="J18" i="1"/>
  <c r="E18" i="1"/>
  <c r="D18" i="1"/>
  <c r="J17" i="1"/>
  <c r="E17" i="1"/>
  <c r="D17" i="1"/>
  <c r="J16" i="1"/>
  <c r="E16" i="1"/>
  <c r="D16" i="1"/>
  <c r="J15" i="1"/>
  <c r="E15" i="1"/>
  <c r="D15" i="1"/>
  <c r="V14" i="1"/>
  <c r="P14" i="1"/>
  <c r="U13" i="1"/>
  <c r="W13" i="1" s="1"/>
  <c r="O13" i="1"/>
  <c r="Q13" i="1" s="1"/>
  <c r="U12" i="1"/>
  <c r="W12" i="1" s="1"/>
  <c r="O12" i="1"/>
  <c r="Q12" i="1" s="1"/>
  <c r="U11" i="1"/>
  <c r="W11" i="1" s="1"/>
  <c r="O11" i="1"/>
  <c r="C11" i="1"/>
  <c r="B11" i="1"/>
  <c r="U10" i="1"/>
  <c r="W10" i="1" s="1"/>
  <c r="O10" i="1"/>
  <c r="Q10" i="1" s="1"/>
  <c r="E10" i="1"/>
  <c r="D10" i="1"/>
  <c r="U9" i="1"/>
  <c r="O9" i="1"/>
  <c r="Q9" i="1" s="1"/>
  <c r="C9" i="1"/>
  <c r="B9" i="1"/>
  <c r="U8" i="1"/>
  <c r="W8" i="1" s="1"/>
  <c r="O8" i="1"/>
  <c r="Q8" i="1" s="1"/>
  <c r="E8" i="1"/>
  <c r="D8" i="1"/>
  <c r="U7" i="1"/>
  <c r="W7" i="1" s="1"/>
  <c r="O7" i="1"/>
  <c r="Q7" i="1" s="1"/>
  <c r="E7" i="1"/>
  <c r="D7" i="1"/>
  <c r="U6" i="1"/>
  <c r="W6" i="1" s="1"/>
  <c r="O6" i="1"/>
  <c r="Q6" i="1" s="1"/>
  <c r="E6" i="1"/>
  <c r="D6" i="1"/>
  <c r="AJ9" i="6" l="1"/>
  <c r="V9" i="6"/>
  <c r="P9" i="6"/>
  <c r="J9" i="6"/>
  <c r="AH9" i="6"/>
  <c r="AB9" i="6"/>
  <c r="T9" i="6"/>
  <c r="N9" i="6"/>
  <c r="AF9" i="6"/>
  <c r="Z9" i="6"/>
  <c r="AL9" i="6"/>
  <c r="AD9" i="6"/>
  <c r="X9" i="6"/>
  <c r="R9" i="6"/>
  <c r="L9" i="6"/>
  <c r="AJ13" i="6"/>
  <c r="V13" i="6"/>
  <c r="P13" i="6"/>
  <c r="J13" i="6"/>
  <c r="AH13" i="6"/>
  <c r="AB13" i="6"/>
  <c r="T13" i="6"/>
  <c r="N13" i="6"/>
  <c r="AF13" i="6"/>
  <c r="Z13" i="6"/>
  <c r="AL13" i="6"/>
  <c r="AD13" i="6"/>
  <c r="X13" i="6"/>
  <c r="R13" i="6"/>
  <c r="L13" i="6"/>
  <c r="AF10" i="6"/>
  <c r="Z10" i="6"/>
  <c r="AL10" i="6"/>
  <c r="AD10" i="6"/>
  <c r="X10" i="6"/>
  <c r="R10" i="6"/>
  <c r="L10" i="6"/>
  <c r="AJ10" i="6"/>
  <c r="V10" i="6"/>
  <c r="P10" i="6"/>
  <c r="J10" i="6"/>
  <c r="AH10" i="6"/>
  <c r="AB10" i="6"/>
  <c r="T10" i="6"/>
  <c r="N10" i="6"/>
  <c r="AJ11" i="6"/>
  <c r="V11" i="6"/>
  <c r="P11" i="6"/>
  <c r="J11" i="6"/>
  <c r="AH11" i="6"/>
  <c r="AB11" i="6"/>
  <c r="T11" i="6"/>
  <c r="N11" i="6"/>
  <c r="AF11" i="6"/>
  <c r="Z11" i="6"/>
  <c r="AL11" i="6"/>
  <c r="AD11" i="6"/>
  <c r="X11" i="6"/>
  <c r="R11" i="6"/>
  <c r="L11" i="6"/>
  <c r="AF8" i="6"/>
  <c r="Z8" i="6"/>
  <c r="AL8" i="6"/>
  <c r="AD8" i="6"/>
  <c r="X8" i="6"/>
  <c r="R8" i="6"/>
  <c r="L8" i="6"/>
  <c r="AJ8" i="6"/>
  <c r="V8" i="6"/>
  <c r="P8" i="6"/>
  <c r="J8" i="6"/>
  <c r="AH8" i="6"/>
  <c r="AB8" i="6"/>
  <c r="T8" i="6"/>
  <c r="N8" i="6"/>
  <c r="AF12" i="6"/>
  <c r="Z12" i="6"/>
  <c r="AL12" i="6"/>
  <c r="AD12" i="6"/>
  <c r="X12" i="6"/>
  <c r="R12" i="6"/>
  <c r="L12" i="6"/>
  <c r="AJ12" i="6"/>
  <c r="V12" i="6"/>
  <c r="P12" i="6"/>
  <c r="J12" i="6"/>
  <c r="AH12" i="6"/>
  <c r="AB12" i="6"/>
  <c r="T12" i="6"/>
  <c r="N12" i="6"/>
  <c r="AH13" i="7"/>
  <c r="AB13" i="7"/>
  <c r="AF13" i="7"/>
  <c r="Z13" i="7"/>
  <c r="X13" i="7"/>
  <c r="R13" i="7"/>
  <c r="L13" i="7"/>
  <c r="AJ13" i="7"/>
  <c r="V13" i="7"/>
  <c r="P13" i="7"/>
  <c r="J13" i="7"/>
  <c r="N13" i="7"/>
  <c r="T13" i="7"/>
  <c r="AD13" i="7"/>
  <c r="X11" i="7"/>
  <c r="R11" i="7"/>
  <c r="L11" i="7"/>
  <c r="AJ11" i="7"/>
  <c r="V11" i="7"/>
  <c r="P11" i="7"/>
  <c r="J11" i="7"/>
  <c r="AH11" i="7"/>
  <c r="AB11" i="7"/>
  <c r="AF11" i="7"/>
  <c r="Z11" i="7"/>
  <c r="T11" i="7"/>
  <c r="N11" i="7"/>
  <c r="AD11" i="7"/>
  <c r="AH9" i="7"/>
  <c r="AB9" i="7"/>
  <c r="AF9" i="7"/>
  <c r="Z9" i="7"/>
  <c r="X9" i="7"/>
  <c r="R9" i="7"/>
  <c r="L9" i="7"/>
  <c r="AJ9" i="7"/>
  <c r="V9" i="7"/>
  <c r="P9" i="7"/>
  <c r="J9" i="7"/>
  <c r="N9" i="7"/>
  <c r="AD9" i="7"/>
  <c r="T9" i="7"/>
  <c r="K10" i="5"/>
  <c r="K7" i="39" s="1"/>
  <c r="AL13" i="7"/>
  <c r="AL9" i="7"/>
  <c r="AL11" i="7"/>
  <c r="U107" i="33"/>
  <c r="Z107" i="33" s="1"/>
  <c r="AE107" i="33" s="1"/>
  <c r="AJ107" i="33" s="1"/>
  <c r="AO107" i="33" s="1"/>
  <c r="AT107" i="33" s="1"/>
  <c r="G8" i="6"/>
  <c r="J12" i="5"/>
  <c r="J6" i="5"/>
  <c r="J26" i="5"/>
  <c r="AJ14" i="6"/>
  <c r="V14" i="6"/>
  <c r="P14" i="6"/>
  <c r="J14" i="6"/>
  <c r="AF14" i="6"/>
  <c r="Z14" i="6"/>
  <c r="AH14" i="6"/>
  <c r="X14" i="6"/>
  <c r="N14" i="6"/>
  <c r="L14" i="6"/>
  <c r="AB14" i="6"/>
  <c r="R14" i="6"/>
  <c r="T14" i="6"/>
  <c r="AD14" i="6"/>
  <c r="E9" i="1"/>
  <c r="U72" i="33"/>
  <c r="Z72" i="33" s="1"/>
  <c r="AE72" i="33" s="1"/>
  <c r="AJ72" i="33" s="1"/>
  <c r="AO72" i="33" s="1"/>
  <c r="AT72" i="33" s="1"/>
  <c r="E11" i="1"/>
  <c r="X48" i="1"/>
  <c r="V48" i="1" s="1"/>
  <c r="X34" i="1"/>
  <c r="V34" i="1" s="1"/>
  <c r="X42" i="1"/>
  <c r="V42" i="1" s="1"/>
  <c r="M121" i="37"/>
  <c r="D9" i="39"/>
  <c r="AC50" i="6"/>
  <c r="AC51" i="6" s="1"/>
  <c r="M121" i="36"/>
  <c r="M121" i="35"/>
  <c r="M120" i="35"/>
  <c r="M119" i="35"/>
  <c r="M118" i="35"/>
  <c r="M117" i="35"/>
  <c r="M116" i="35"/>
  <c r="M110" i="35"/>
  <c r="M112" i="35"/>
  <c r="M114" i="35"/>
  <c r="M111" i="35"/>
  <c r="M108" i="35"/>
  <c r="M113" i="35"/>
  <c r="M109" i="35"/>
  <c r="M115" i="35"/>
  <c r="M107" i="35"/>
  <c r="M120" i="36"/>
  <c r="M119" i="36"/>
  <c r="M118" i="36"/>
  <c r="M117" i="36"/>
  <c r="M116" i="36"/>
  <c r="M115" i="36"/>
  <c r="M114" i="36"/>
  <c r="M113" i="36"/>
  <c r="M112" i="36"/>
  <c r="M108" i="36"/>
  <c r="M110" i="36"/>
  <c r="M109" i="36"/>
  <c r="M111" i="36"/>
  <c r="M107" i="36"/>
  <c r="M120" i="37"/>
  <c r="M119" i="37"/>
  <c r="M118" i="37"/>
  <c r="M117" i="37"/>
  <c r="M116" i="37"/>
  <c r="M115" i="37"/>
  <c r="M112" i="37"/>
  <c r="M114" i="37"/>
  <c r="M109" i="37"/>
  <c r="M107" i="37"/>
  <c r="M111" i="37"/>
  <c r="M108" i="37"/>
  <c r="M110" i="37"/>
  <c r="M113" i="37"/>
  <c r="F23" i="6"/>
  <c r="S50" i="6"/>
  <c r="S51" i="6" s="1"/>
  <c r="H16" i="13" s="1"/>
  <c r="M50" i="6"/>
  <c r="M51" i="6" s="1"/>
  <c r="F26" i="6"/>
  <c r="F20" i="6"/>
  <c r="AL14" i="6"/>
  <c r="F23" i="7"/>
  <c r="L23" i="7" s="1"/>
  <c r="M122" i="8"/>
  <c r="M134" i="8"/>
  <c r="M140" i="8"/>
  <c r="M121" i="8"/>
  <c r="M118" i="8"/>
  <c r="M130" i="8"/>
  <c r="M114" i="8"/>
  <c r="M127" i="8"/>
  <c r="M120" i="8"/>
  <c r="M133" i="8"/>
  <c r="M113" i="8"/>
  <c r="M126" i="8"/>
  <c r="M119" i="8"/>
  <c r="M132" i="8"/>
  <c r="M125" i="8"/>
  <c r="M131" i="8"/>
  <c r="M117" i="8"/>
  <c r="M124" i="8"/>
  <c r="M116" i="8"/>
  <c r="M123" i="8"/>
  <c r="M129" i="8"/>
  <c r="M112" i="8"/>
  <c r="M115" i="8"/>
  <c r="M128" i="8"/>
  <c r="M137" i="8"/>
  <c r="X28" i="1"/>
  <c r="V28" i="1" s="1"/>
  <c r="D11" i="1"/>
  <c r="O14" i="1"/>
  <c r="B23" i="13"/>
  <c r="C23" i="13" s="1"/>
  <c r="E23" i="13" s="1"/>
  <c r="F31" i="7"/>
  <c r="L31" i="7" s="1"/>
  <c r="F28" i="6"/>
  <c r="F31" i="6"/>
  <c r="U14" i="1"/>
  <c r="F35" i="6"/>
  <c r="M78" i="33"/>
  <c r="M92" i="33"/>
  <c r="M84" i="33"/>
  <c r="M100" i="33"/>
  <c r="M101" i="33"/>
  <c r="M79" i="33"/>
  <c r="M81" i="33"/>
  <c r="M83" i="33"/>
  <c r="M94" i="33"/>
  <c r="M96" i="33"/>
  <c r="M98" i="33"/>
  <c r="M77" i="33"/>
  <c r="M85" i="33"/>
  <c r="M87" i="33"/>
  <c r="M89" i="33"/>
  <c r="M91" i="33"/>
  <c r="M80" i="33"/>
  <c r="M82" i="33"/>
  <c r="M93" i="33"/>
  <c r="M95" i="33"/>
  <c r="M97" i="33"/>
  <c r="M99" i="33"/>
  <c r="M86" i="33"/>
  <c r="M88" i="33"/>
  <c r="M90" i="33"/>
  <c r="L77" i="8"/>
  <c r="M83" i="8"/>
  <c r="M85" i="8"/>
  <c r="M91" i="8"/>
  <c r="M95" i="8"/>
  <c r="M80" i="8"/>
  <c r="M79" i="8"/>
  <c r="M84" i="8"/>
  <c r="M89" i="8"/>
  <c r="M94" i="8"/>
  <c r="M97" i="8"/>
  <c r="M77" i="8"/>
  <c r="M81" i="8"/>
  <c r="M86" i="8"/>
  <c r="M88" i="8"/>
  <c r="M78" i="8"/>
  <c r="M90" i="8"/>
  <c r="M93" i="8"/>
  <c r="M96" i="8"/>
  <c r="M98" i="8"/>
  <c r="M82" i="8"/>
  <c r="M87" i="8"/>
  <c r="M92" i="8"/>
  <c r="U37" i="33"/>
  <c r="Z37" i="33" s="1"/>
  <c r="AE37" i="33" s="1"/>
  <c r="AJ37" i="33" s="1"/>
  <c r="AO37" i="33" s="1"/>
  <c r="AT37" i="33" s="1"/>
  <c r="K228" i="33"/>
  <c r="H17" i="13"/>
  <c r="K133" i="32"/>
  <c r="I128" i="31"/>
  <c r="W9" i="1"/>
  <c r="Q11" i="1"/>
  <c r="J220" i="33"/>
  <c r="J232" i="33"/>
  <c r="J227" i="33"/>
  <c r="J239" i="33"/>
  <c r="K128" i="30"/>
  <c r="M136" i="30" s="1"/>
  <c r="I221" i="33"/>
  <c r="I225" i="33"/>
  <c r="I233" i="33"/>
  <c r="I229" i="33"/>
  <c r="J131" i="32"/>
  <c r="J135" i="32"/>
  <c r="J221" i="33"/>
  <c r="J225" i="33"/>
  <c r="J229" i="33"/>
  <c r="J233" i="33"/>
  <c r="J130" i="30"/>
  <c r="K221" i="33"/>
  <c r="K225" i="33"/>
  <c r="K229" i="33"/>
  <c r="K233" i="33"/>
  <c r="K237" i="33"/>
  <c r="K240" i="33"/>
  <c r="F36" i="6"/>
  <c r="M136" i="8"/>
  <c r="M139" i="8"/>
  <c r="K130" i="30"/>
  <c r="I128" i="32"/>
  <c r="I132" i="32"/>
  <c r="I218" i="33"/>
  <c r="I222" i="33"/>
  <c r="I226" i="33"/>
  <c r="I230" i="33"/>
  <c r="I234" i="33"/>
  <c r="I238" i="33"/>
  <c r="J128" i="32"/>
  <c r="J218" i="33"/>
  <c r="J226" i="33"/>
  <c r="J238" i="33"/>
  <c r="F35" i="7"/>
  <c r="F25" i="7"/>
  <c r="L25" i="7" s="1"/>
  <c r="F29" i="7"/>
  <c r="L29" i="7" s="1"/>
  <c r="D9" i="1"/>
  <c r="F33" i="7"/>
  <c r="L33" i="7" s="1"/>
  <c r="K128" i="32"/>
  <c r="K132" i="32"/>
  <c r="K222" i="33"/>
  <c r="K226" i="33"/>
  <c r="K230" i="33"/>
  <c r="K234" i="33"/>
  <c r="K238" i="33"/>
  <c r="I241" i="33"/>
  <c r="I137" i="32"/>
  <c r="J241" i="33"/>
  <c r="F19" i="7"/>
  <c r="L19" i="7" s="1"/>
  <c r="I131" i="32"/>
  <c r="F49" i="7"/>
  <c r="AH49" i="7" s="1"/>
  <c r="F18" i="6"/>
  <c r="F24" i="6"/>
  <c r="F27" i="6"/>
  <c r="F41" i="6"/>
  <c r="M135" i="8"/>
  <c r="M138" i="8"/>
  <c r="M141" i="8"/>
  <c r="J129" i="32"/>
  <c r="J133" i="32"/>
  <c r="J137" i="32"/>
  <c r="J219" i="33"/>
  <c r="J223" i="33"/>
  <c r="J231" i="33"/>
  <c r="H21" i="13"/>
  <c r="K128" i="37"/>
  <c r="K133" i="37"/>
  <c r="K129" i="37"/>
  <c r="K132" i="37"/>
  <c r="K129" i="36"/>
  <c r="K128" i="36"/>
  <c r="K129" i="35"/>
  <c r="K133" i="35"/>
  <c r="K128" i="35"/>
  <c r="K134" i="35"/>
  <c r="M134" i="35" s="1"/>
  <c r="K132" i="34"/>
  <c r="K134" i="34"/>
  <c r="K128" i="34"/>
  <c r="K130" i="34"/>
  <c r="I237" i="33"/>
  <c r="J235" i="33"/>
  <c r="J237" i="33"/>
  <c r="M44" i="33"/>
  <c r="M43" i="33"/>
  <c r="M45" i="33"/>
  <c r="M47" i="33"/>
  <c r="M55" i="33"/>
  <c r="M52" i="33"/>
  <c r="M60" i="33"/>
  <c r="M71" i="33"/>
  <c r="M63" i="33"/>
  <c r="M46" i="33"/>
  <c r="M49" i="33"/>
  <c r="M54" i="33"/>
  <c r="M57" i="33"/>
  <c r="M62" i="33"/>
  <c r="M65" i="33"/>
  <c r="K241" i="33"/>
  <c r="M242" i="33" s="1"/>
  <c r="M51" i="33"/>
  <c r="M59" i="33"/>
  <c r="M48" i="33"/>
  <c r="M50" i="33"/>
  <c r="M53" i="33"/>
  <c r="M56" i="33"/>
  <c r="M58" i="33"/>
  <c r="M61" i="33"/>
  <c r="M64" i="33"/>
  <c r="K128" i="31"/>
  <c r="M135" i="31" s="1"/>
  <c r="J136" i="32"/>
  <c r="K136" i="32"/>
  <c r="M135" i="32" s="1"/>
  <c r="I130" i="30"/>
  <c r="K131" i="30"/>
  <c r="I131" i="30"/>
  <c r="I133" i="30"/>
  <c r="M44" i="8"/>
  <c r="M46" i="8"/>
  <c r="M48" i="8"/>
  <c r="K224" i="8"/>
  <c r="M228" i="8" s="1"/>
  <c r="M50" i="8"/>
  <c r="M52" i="8"/>
  <c r="M54" i="8"/>
  <c r="M56" i="8"/>
  <c r="M58" i="8"/>
  <c r="M60" i="8"/>
  <c r="M59" i="8"/>
  <c r="B22" i="13"/>
  <c r="C22" i="13" s="1"/>
  <c r="E22" i="13" s="1"/>
  <c r="B21" i="13"/>
  <c r="C21" i="13" s="1"/>
  <c r="E21" i="13" s="1"/>
  <c r="B18" i="13"/>
  <c r="C18" i="13" s="1"/>
  <c r="E18" i="13" s="1"/>
  <c r="F17" i="7"/>
  <c r="L17" i="7" s="1"/>
  <c r="F21" i="7"/>
  <c r="L21" i="7" s="1"/>
  <c r="F27" i="7"/>
  <c r="L27" i="7" s="1"/>
  <c r="F16" i="6"/>
  <c r="F19" i="6"/>
  <c r="B17" i="13"/>
  <c r="C17" i="13" s="1"/>
  <c r="E17" i="13" s="1"/>
  <c r="F15" i="7"/>
  <c r="L15" i="7" s="1"/>
  <c r="F10" i="7"/>
  <c r="F14" i="7"/>
  <c r="F8" i="7"/>
  <c r="F12" i="7"/>
  <c r="F16" i="7"/>
  <c r="L16" i="7" s="1"/>
  <c r="F20" i="7"/>
  <c r="L20" i="7" s="1"/>
  <c r="F24" i="7"/>
  <c r="L24" i="7" s="1"/>
  <c r="F28" i="7"/>
  <c r="L28" i="7" s="1"/>
  <c r="F32" i="7"/>
  <c r="L32" i="7" s="1"/>
  <c r="F36" i="7"/>
  <c r="F18" i="7"/>
  <c r="L18" i="7" s="1"/>
  <c r="F22" i="7"/>
  <c r="L22" i="7" s="1"/>
  <c r="F26" i="7"/>
  <c r="L26" i="7" s="1"/>
  <c r="F30" i="7"/>
  <c r="L30" i="7" s="1"/>
  <c r="F34" i="7"/>
  <c r="L34" i="7" s="1"/>
  <c r="AC50" i="7"/>
  <c r="B19" i="13" s="1"/>
  <c r="C19" i="13" s="1"/>
  <c r="E19" i="13" s="1"/>
  <c r="F44" i="7"/>
  <c r="N44" i="7" s="1"/>
  <c r="H23" i="13"/>
  <c r="F22" i="6"/>
  <c r="F32" i="6"/>
  <c r="F21" i="6"/>
  <c r="F25" i="6"/>
  <c r="F15" i="6"/>
  <c r="F30" i="6"/>
  <c r="F17" i="6"/>
  <c r="N49" i="6"/>
  <c r="AH49" i="6"/>
  <c r="F34" i="6"/>
  <c r="F44" i="6"/>
  <c r="J49" i="6"/>
  <c r="P49" i="6"/>
  <c r="V49" i="6"/>
  <c r="AJ49" i="6"/>
  <c r="F29" i="6"/>
  <c r="F33" i="6"/>
  <c r="L49" i="6"/>
  <c r="X49" i="6"/>
  <c r="AD49" i="6"/>
  <c r="AL49" i="6"/>
  <c r="Z49" i="6"/>
  <c r="P42" i="37"/>
  <c r="P42" i="36"/>
  <c r="P42" i="35"/>
  <c r="P42" i="34"/>
  <c r="P42" i="31"/>
  <c r="J128" i="31"/>
  <c r="P42" i="32"/>
  <c r="P42" i="30"/>
  <c r="M132" i="30"/>
  <c r="L42" i="33"/>
  <c r="M42" i="33"/>
  <c r="M66" i="33"/>
  <c r="M67" i="33"/>
  <c r="M68" i="33"/>
  <c r="M69" i="33"/>
  <c r="M70" i="33"/>
  <c r="L77" i="33"/>
  <c r="M102" i="33"/>
  <c r="M103" i="33"/>
  <c r="M104" i="33"/>
  <c r="M105" i="33"/>
  <c r="M106" i="33"/>
  <c r="M211" i="33"/>
  <c r="M210" i="33"/>
  <c r="M209" i="33"/>
  <c r="M208" i="33"/>
  <c r="M207" i="33"/>
  <c r="M206" i="33"/>
  <c r="L112" i="8"/>
  <c r="M99" i="8"/>
  <c r="M100" i="8"/>
  <c r="M101" i="8"/>
  <c r="M102" i="8"/>
  <c r="M103" i="8"/>
  <c r="M104" i="8"/>
  <c r="M105" i="8"/>
  <c r="M106" i="8"/>
  <c r="M42" i="8"/>
  <c r="M45" i="8"/>
  <c r="M49" i="8"/>
  <c r="M53" i="8"/>
  <c r="M57" i="8"/>
  <c r="M61" i="8"/>
  <c r="M62" i="8"/>
  <c r="M63" i="8"/>
  <c r="M64" i="8"/>
  <c r="M65" i="8"/>
  <c r="M66" i="8"/>
  <c r="M67" i="8"/>
  <c r="M68" i="8"/>
  <c r="M69" i="8"/>
  <c r="M70" i="8"/>
  <c r="M71" i="8"/>
  <c r="M43" i="8"/>
  <c r="M47" i="8"/>
  <c r="M51" i="8"/>
  <c r="M55" i="8"/>
  <c r="D10" i="39"/>
  <c r="I11" i="13"/>
  <c r="K11" i="13" s="1"/>
  <c r="F39" i="6"/>
  <c r="F38" i="6"/>
  <c r="F42" i="6"/>
  <c r="F40" i="6"/>
  <c r="F43" i="7"/>
  <c r="AH43" i="7" s="1"/>
  <c r="S50" i="7"/>
  <c r="S51" i="7" s="1"/>
  <c r="F39" i="7"/>
  <c r="F38" i="7"/>
  <c r="F42" i="7"/>
  <c r="N42" i="7" s="1"/>
  <c r="M50" i="7"/>
  <c r="B15" i="13" s="1"/>
  <c r="C15" i="13" s="1"/>
  <c r="F41" i="7"/>
  <c r="N41" i="7" s="1"/>
  <c r="F40" i="7"/>
  <c r="I17" i="39"/>
  <c r="K17" i="39" s="1"/>
  <c r="I21" i="39"/>
  <c r="K21" i="39" s="1"/>
  <c r="D7" i="39"/>
  <c r="I15" i="39"/>
  <c r="I19" i="39"/>
  <c r="K19" i="39" s="1"/>
  <c r="I23" i="39"/>
  <c r="K23" i="39" s="1"/>
  <c r="I16" i="39"/>
  <c r="K16" i="39" s="1"/>
  <c r="H22" i="13"/>
  <c r="AE51" i="6"/>
  <c r="F37" i="6"/>
  <c r="B20" i="13"/>
  <c r="C20" i="13" s="1"/>
  <c r="E20" i="13" s="1"/>
  <c r="F37" i="7"/>
  <c r="D6" i="13"/>
  <c r="E6" i="13"/>
  <c r="P72" i="8"/>
  <c r="U37" i="8"/>
  <c r="Z37" i="8" s="1"/>
  <c r="AE37" i="8" s="1"/>
  <c r="AJ37" i="8" s="1"/>
  <c r="AO37" i="8" s="1"/>
  <c r="AT37" i="8" s="1"/>
  <c r="M113" i="33"/>
  <c r="M117" i="33"/>
  <c r="M135" i="33"/>
  <c r="M114" i="33"/>
  <c r="M118" i="33"/>
  <c r="M122" i="33"/>
  <c r="M126" i="33"/>
  <c r="M130" i="33"/>
  <c r="M134" i="33"/>
  <c r="M121" i="33"/>
  <c r="M125" i="33"/>
  <c r="M129" i="33"/>
  <c r="M133" i="33"/>
  <c r="M112" i="33"/>
  <c r="L112" i="33"/>
  <c r="M116" i="33"/>
  <c r="M120" i="33"/>
  <c r="M124" i="33"/>
  <c r="M128" i="33"/>
  <c r="M132" i="33"/>
  <c r="M136" i="33"/>
  <c r="M137" i="33"/>
  <c r="M138" i="33"/>
  <c r="M139" i="33"/>
  <c r="M140" i="33"/>
  <c r="M141" i="33"/>
  <c r="M115" i="33"/>
  <c r="M119" i="33"/>
  <c r="M123" i="33"/>
  <c r="M127" i="33"/>
  <c r="M131" i="33"/>
  <c r="D10" i="13"/>
  <c r="M151" i="33"/>
  <c r="M155" i="33"/>
  <c r="M159" i="33"/>
  <c r="M163" i="33"/>
  <c r="M167" i="33"/>
  <c r="M168" i="33"/>
  <c r="M150" i="33"/>
  <c r="M154" i="33"/>
  <c r="M158" i="33"/>
  <c r="M162" i="33"/>
  <c r="M166" i="33"/>
  <c r="M170" i="33"/>
  <c r="L147" i="33"/>
  <c r="B32" i="39" s="1"/>
  <c r="M147" i="33"/>
  <c r="M171" i="33"/>
  <c r="M172" i="33"/>
  <c r="M173" i="33"/>
  <c r="M174" i="33"/>
  <c r="M175" i="33"/>
  <c r="M176" i="33"/>
  <c r="M149" i="33"/>
  <c r="M153" i="33"/>
  <c r="M157" i="33"/>
  <c r="M161" i="33"/>
  <c r="M165" i="33"/>
  <c r="M169" i="33"/>
  <c r="M148" i="33"/>
  <c r="M152" i="33"/>
  <c r="M156" i="33"/>
  <c r="M160" i="33"/>
  <c r="M164" i="33"/>
  <c r="M159" i="8"/>
  <c r="M163" i="8"/>
  <c r="M165" i="8"/>
  <c r="M148" i="8"/>
  <c r="M152" i="8"/>
  <c r="M156" i="8"/>
  <c r="M160" i="8"/>
  <c r="M164" i="8"/>
  <c r="L147" i="8"/>
  <c r="B28" i="39" s="1"/>
  <c r="M151" i="8"/>
  <c r="M155" i="8"/>
  <c r="M147" i="8"/>
  <c r="M150" i="8"/>
  <c r="M154" i="8"/>
  <c r="M158" i="8"/>
  <c r="M162" i="8"/>
  <c r="M166" i="8"/>
  <c r="M167" i="8"/>
  <c r="M168" i="8"/>
  <c r="M169" i="8"/>
  <c r="M170" i="8"/>
  <c r="M171" i="8"/>
  <c r="M172" i="8"/>
  <c r="M173" i="8"/>
  <c r="M174" i="8"/>
  <c r="M175" i="8"/>
  <c r="M176" i="8"/>
  <c r="M149" i="8"/>
  <c r="M153" i="8"/>
  <c r="M157" i="8"/>
  <c r="M161" i="8"/>
  <c r="AF10" i="7" l="1"/>
  <c r="Z10" i="7"/>
  <c r="AD10" i="7"/>
  <c r="X10" i="7"/>
  <c r="R10" i="7"/>
  <c r="L10" i="7"/>
  <c r="AJ10" i="7"/>
  <c r="V10" i="7"/>
  <c r="P10" i="7"/>
  <c r="J10" i="7"/>
  <c r="AH10" i="7"/>
  <c r="AB10" i="7"/>
  <c r="T10" i="7"/>
  <c r="N10" i="7"/>
  <c r="AJ12" i="7"/>
  <c r="V12" i="7"/>
  <c r="P12" i="7"/>
  <c r="J12" i="7"/>
  <c r="AH12" i="7"/>
  <c r="AB12" i="7"/>
  <c r="T12" i="7"/>
  <c r="N12" i="7"/>
  <c r="AF12" i="7"/>
  <c r="Z12" i="7"/>
  <c r="AD12" i="7"/>
  <c r="X12" i="7"/>
  <c r="R12" i="7"/>
  <c r="L12" i="7"/>
  <c r="AJ8" i="7"/>
  <c r="V8" i="7"/>
  <c r="P8" i="7"/>
  <c r="J8" i="7"/>
  <c r="AH8" i="7"/>
  <c r="AB8" i="7"/>
  <c r="T8" i="7"/>
  <c r="N8" i="7"/>
  <c r="AF8" i="7"/>
  <c r="Z8" i="7"/>
  <c r="AD8" i="7"/>
  <c r="X8" i="7"/>
  <c r="R8" i="7"/>
  <c r="L8" i="7"/>
  <c r="AF37" i="7"/>
  <c r="Z37" i="7"/>
  <c r="AL37" i="7"/>
  <c r="AD37" i="7"/>
  <c r="X37" i="7"/>
  <c r="R37" i="7"/>
  <c r="L37" i="7"/>
  <c r="AJ37" i="7"/>
  <c r="V37" i="7"/>
  <c r="P37" i="7"/>
  <c r="J37" i="7"/>
  <c r="AH37" i="7"/>
  <c r="AB37" i="7"/>
  <c r="T37" i="7"/>
  <c r="N37" i="7"/>
  <c r="AJ38" i="7"/>
  <c r="V38" i="7"/>
  <c r="P38" i="7"/>
  <c r="J38" i="7"/>
  <c r="AH38" i="7"/>
  <c r="AB38" i="7"/>
  <c r="T38" i="7"/>
  <c r="N38" i="7"/>
  <c r="AF38" i="7"/>
  <c r="Z38" i="7"/>
  <c r="AL38" i="7"/>
  <c r="AD38" i="7"/>
  <c r="X38" i="7"/>
  <c r="R38" i="7"/>
  <c r="L38" i="7"/>
  <c r="AF35" i="7"/>
  <c r="Z35" i="7"/>
  <c r="AL35" i="7"/>
  <c r="AD35" i="7"/>
  <c r="X35" i="7"/>
  <c r="L35" i="7"/>
  <c r="AJ35" i="7"/>
  <c r="V35" i="7"/>
  <c r="P35" i="7"/>
  <c r="J35" i="7"/>
  <c r="AH35" i="7"/>
  <c r="AB35" i="7"/>
  <c r="T35" i="7"/>
  <c r="N35" i="7"/>
  <c r="R35" i="7"/>
  <c r="AJ36" i="7"/>
  <c r="V36" i="7"/>
  <c r="P36" i="7"/>
  <c r="J36" i="7"/>
  <c r="AH36" i="7"/>
  <c r="AB36" i="7"/>
  <c r="T36" i="7"/>
  <c r="N36" i="7"/>
  <c r="AF36" i="7"/>
  <c r="Z36" i="7"/>
  <c r="AL36" i="7"/>
  <c r="AD36" i="7"/>
  <c r="X36" i="7"/>
  <c r="R36" i="7"/>
  <c r="L36" i="7"/>
  <c r="AL36" i="6"/>
  <c r="X36" i="6"/>
  <c r="R36" i="6"/>
  <c r="L36" i="6"/>
  <c r="P36" i="6"/>
  <c r="AJ36" i="6"/>
  <c r="V36" i="6"/>
  <c r="J36" i="6"/>
  <c r="AH36" i="6"/>
  <c r="AB36" i="6"/>
  <c r="AF36" i="6"/>
  <c r="Z36" i="6"/>
  <c r="AD36" i="6"/>
  <c r="T36" i="6"/>
  <c r="N36" i="6"/>
  <c r="AH37" i="6"/>
  <c r="AB37" i="6"/>
  <c r="Z37" i="6"/>
  <c r="AF37" i="6"/>
  <c r="AL37" i="6"/>
  <c r="X37" i="6"/>
  <c r="R37" i="6"/>
  <c r="L37" i="6"/>
  <c r="AJ37" i="6"/>
  <c r="V37" i="6"/>
  <c r="J37" i="6"/>
  <c r="P37" i="6"/>
  <c r="AD37" i="6"/>
  <c r="N37" i="6"/>
  <c r="T37" i="6"/>
  <c r="AL38" i="6"/>
  <c r="X38" i="6"/>
  <c r="R38" i="6"/>
  <c r="L38" i="6"/>
  <c r="AJ38" i="6"/>
  <c r="V38" i="6"/>
  <c r="P38" i="6"/>
  <c r="J38" i="6"/>
  <c r="AH38" i="6"/>
  <c r="AB38" i="6"/>
  <c r="AF38" i="6"/>
  <c r="Z38" i="6"/>
  <c r="N38" i="6"/>
  <c r="T38" i="6"/>
  <c r="AD38" i="6"/>
  <c r="AH35" i="6"/>
  <c r="AB35" i="6"/>
  <c r="Z35" i="6"/>
  <c r="AF35" i="6"/>
  <c r="AL35" i="6"/>
  <c r="X35" i="6"/>
  <c r="R35" i="6"/>
  <c r="L35" i="6"/>
  <c r="AJ35" i="6"/>
  <c r="V35" i="6"/>
  <c r="P35" i="6"/>
  <c r="J35" i="6"/>
  <c r="N35" i="6"/>
  <c r="AD35" i="6"/>
  <c r="T35" i="6"/>
  <c r="L14" i="7"/>
  <c r="H12" i="7"/>
  <c r="H12" i="6"/>
  <c r="AF50" i="6" s="1"/>
  <c r="AJ42" i="6"/>
  <c r="V42" i="6"/>
  <c r="P42" i="6"/>
  <c r="J42" i="6"/>
  <c r="AF42" i="6"/>
  <c r="Z42" i="6"/>
  <c r="AD42" i="6"/>
  <c r="T42" i="6"/>
  <c r="L42" i="6"/>
  <c r="AL42" i="6"/>
  <c r="AB42" i="6"/>
  <c r="R42" i="6"/>
  <c r="AH42" i="6"/>
  <c r="X42" i="6"/>
  <c r="N42" i="6"/>
  <c r="AF29" i="6"/>
  <c r="Z29" i="6"/>
  <c r="AJ29" i="6"/>
  <c r="V29" i="6"/>
  <c r="P29" i="6"/>
  <c r="J29" i="6"/>
  <c r="AD29" i="6"/>
  <c r="T29" i="6"/>
  <c r="L29" i="6"/>
  <c r="AL29" i="6"/>
  <c r="AB29" i="6"/>
  <c r="R29" i="6"/>
  <c r="AH29" i="6"/>
  <c r="X29" i="6"/>
  <c r="N29" i="6"/>
  <c r="AF25" i="6"/>
  <c r="Z25" i="6"/>
  <c r="AJ25" i="6"/>
  <c r="V25" i="6"/>
  <c r="P25" i="6"/>
  <c r="J25" i="6"/>
  <c r="AD25" i="6"/>
  <c r="T25" i="6"/>
  <c r="L25" i="6"/>
  <c r="AL25" i="6"/>
  <c r="AB25" i="6"/>
  <c r="R25" i="6"/>
  <c r="AH25" i="6"/>
  <c r="X25" i="6"/>
  <c r="N25" i="6"/>
  <c r="AH19" i="6"/>
  <c r="AB19" i="6"/>
  <c r="AF19" i="6"/>
  <c r="Z19" i="6"/>
  <c r="AL19" i="6"/>
  <c r="X19" i="6"/>
  <c r="R19" i="6"/>
  <c r="L19" i="6"/>
  <c r="AJ19" i="6"/>
  <c r="V19" i="6"/>
  <c r="J19" i="6"/>
  <c r="P19" i="6"/>
  <c r="AD19" i="6"/>
  <c r="N19" i="6"/>
  <c r="T19" i="6"/>
  <c r="AL44" i="6"/>
  <c r="AD44" i="6"/>
  <c r="X44" i="6"/>
  <c r="AJ44" i="6"/>
  <c r="V44" i="6"/>
  <c r="P44" i="6"/>
  <c r="J44" i="6"/>
  <c r="AH44" i="6"/>
  <c r="AB44" i="6"/>
  <c r="AF44" i="6"/>
  <c r="Z44" i="6"/>
  <c r="T44" i="6"/>
  <c r="L44" i="6"/>
  <c r="R44" i="6"/>
  <c r="N44" i="6"/>
  <c r="AH17" i="6"/>
  <c r="AB17" i="6"/>
  <c r="AF17" i="6"/>
  <c r="Z17" i="6"/>
  <c r="AL17" i="6"/>
  <c r="X17" i="6"/>
  <c r="R17" i="6"/>
  <c r="L17" i="6"/>
  <c r="P17" i="6"/>
  <c r="V17" i="6"/>
  <c r="J17" i="6"/>
  <c r="AJ17" i="6"/>
  <c r="N17" i="6"/>
  <c r="T17" i="6"/>
  <c r="AD17" i="6"/>
  <c r="AF21" i="6"/>
  <c r="Z21" i="6"/>
  <c r="AJ21" i="6"/>
  <c r="V21" i="6"/>
  <c r="P21" i="6"/>
  <c r="J21" i="6"/>
  <c r="AD21" i="6"/>
  <c r="T21" i="6"/>
  <c r="L21" i="6"/>
  <c r="AL21" i="6"/>
  <c r="AB21" i="6"/>
  <c r="R21" i="6"/>
  <c r="AH21" i="6"/>
  <c r="X21" i="6"/>
  <c r="N21" i="6"/>
  <c r="AL16" i="6"/>
  <c r="X16" i="6"/>
  <c r="R16" i="6"/>
  <c r="L16" i="6"/>
  <c r="AJ16" i="6"/>
  <c r="V16" i="6"/>
  <c r="P16" i="6"/>
  <c r="AH16" i="6"/>
  <c r="AB16" i="6"/>
  <c r="Z16" i="6"/>
  <c r="AF16" i="6"/>
  <c r="J16" i="6"/>
  <c r="N16" i="6"/>
  <c r="AD16" i="6"/>
  <c r="T16" i="6"/>
  <c r="AL18" i="6"/>
  <c r="X18" i="6"/>
  <c r="R18" i="6"/>
  <c r="L18" i="6"/>
  <c r="AJ18" i="6"/>
  <c r="V18" i="6"/>
  <c r="P18" i="6"/>
  <c r="J18" i="6"/>
  <c r="AH18" i="6"/>
  <c r="AB18" i="6"/>
  <c r="Z18" i="6"/>
  <c r="AF18" i="6"/>
  <c r="N18" i="6"/>
  <c r="T18" i="6"/>
  <c r="AD18" i="6"/>
  <c r="AJ20" i="6"/>
  <c r="AF20" i="6"/>
  <c r="X20" i="6"/>
  <c r="R20" i="6"/>
  <c r="L20" i="6"/>
  <c r="V20" i="6"/>
  <c r="P20" i="6"/>
  <c r="J20" i="6"/>
  <c r="AL20" i="6"/>
  <c r="AB20" i="6"/>
  <c r="AH20" i="6"/>
  <c r="Z20" i="6"/>
  <c r="T20" i="6"/>
  <c r="AD20" i="6"/>
  <c r="N20" i="6"/>
  <c r="AF23" i="6"/>
  <c r="Z23" i="6"/>
  <c r="AJ23" i="6"/>
  <c r="V23" i="6"/>
  <c r="P23" i="6"/>
  <c r="J23" i="6"/>
  <c r="AD23" i="6"/>
  <c r="T23" i="6"/>
  <c r="L23" i="6"/>
  <c r="AL23" i="6"/>
  <c r="AB23" i="6"/>
  <c r="R23" i="6"/>
  <c r="AH23" i="6"/>
  <c r="X23" i="6"/>
  <c r="N23" i="6"/>
  <c r="AJ34" i="6"/>
  <c r="V34" i="6"/>
  <c r="P34" i="6"/>
  <c r="J34" i="6"/>
  <c r="AF34" i="6"/>
  <c r="Z34" i="6"/>
  <c r="AD34" i="6"/>
  <c r="T34" i="6"/>
  <c r="L34" i="6"/>
  <c r="AL34" i="6"/>
  <c r="AB34" i="6"/>
  <c r="R34" i="6"/>
  <c r="AH34" i="6"/>
  <c r="X34" i="6"/>
  <c r="N34" i="6"/>
  <c r="AF41" i="6"/>
  <c r="Z41" i="6"/>
  <c r="AJ41" i="6"/>
  <c r="V41" i="6"/>
  <c r="P41" i="6"/>
  <c r="J41" i="6"/>
  <c r="AD41" i="6"/>
  <c r="T41" i="6"/>
  <c r="L41" i="6"/>
  <c r="AL41" i="6"/>
  <c r="AB41" i="6"/>
  <c r="R41" i="6"/>
  <c r="AH41" i="6"/>
  <c r="X41" i="6"/>
  <c r="N41" i="6"/>
  <c r="AJ26" i="6"/>
  <c r="V26" i="6"/>
  <c r="P26" i="6"/>
  <c r="J26" i="6"/>
  <c r="AF26" i="6"/>
  <c r="Z26" i="6"/>
  <c r="AD26" i="6"/>
  <c r="T26" i="6"/>
  <c r="L26" i="6"/>
  <c r="AL26" i="6"/>
  <c r="AB26" i="6"/>
  <c r="R26" i="6"/>
  <c r="AH26" i="6"/>
  <c r="X26" i="6"/>
  <c r="N26" i="6"/>
  <c r="AF39" i="6"/>
  <c r="Z39" i="6"/>
  <c r="AJ39" i="6"/>
  <c r="V39" i="6"/>
  <c r="P39" i="6"/>
  <c r="J39" i="6"/>
  <c r="AD39" i="6"/>
  <c r="T39" i="6"/>
  <c r="L39" i="6"/>
  <c r="AL39" i="6"/>
  <c r="AB39" i="6"/>
  <c r="R39" i="6"/>
  <c r="AH39" i="6"/>
  <c r="X39" i="6"/>
  <c r="N39" i="6"/>
  <c r="AJ30" i="6"/>
  <c r="V30" i="6"/>
  <c r="P30" i="6"/>
  <c r="J30" i="6"/>
  <c r="AF30" i="6"/>
  <c r="Z30" i="6"/>
  <c r="AD30" i="6"/>
  <c r="T30" i="6"/>
  <c r="L30" i="6"/>
  <c r="AL30" i="6"/>
  <c r="AB30" i="6"/>
  <c r="R30" i="6"/>
  <c r="AH30" i="6"/>
  <c r="X30" i="6"/>
  <c r="N30" i="6"/>
  <c r="AJ32" i="6"/>
  <c r="V32" i="6"/>
  <c r="P32" i="6"/>
  <c r="J32" i="6"/>
  <c r="AF32" i="6"/>
  <c r="Z32" i="6"/>
  <c r="AD32" i="6"/>
  <c r="T32" i="6"/>
  <c r="L32" i="6"/>
  <c r="AL32" i="6"/>
  <c r="AB32" i="6"/>
  <c r="R32" i="6"/>
  <c r="AH32" i="6"/>
  <c r="X32" i="6"/>
  <c r="N32" i="6"/>
  <c r="AJ40" i="6"/>
  <c r="V40" i="6"/>
  <c r="P40" i="6"/>
  <c r="J40" i="6"/>
  <c r="AF40" i="6"/>
  <c r="Z40" i="6"/>
  <c r="AD40" i="6"/>
  <c r="T40" i="6"/>
  <c r="L40" i="6"/>
  <c r="AL40" i="6"/>
  <c r="AB40" i="6"/>
  <c r="R40" i="6"/>
  <c r="AH40" i="6"/>
  <c r="X40" i="6"/>
  <c r="N40" i="6"/>
  <c r="AF33" i="6"/>
  <c r="Z33" i="6"/>
  <c r="AJ33" i="6"/>
  <c r="V33" i="6"/>
  <c r="P33" i="6"/>
  <c r="J33" i="6"/>
  <c r="AD33" i="6"/>
  <c r="T33" i="6"/>
  <c r="L33" i="6"/>
  <c r="AL33" i="6"/>
  <c r="AB33" i="6"/>
  <c r="R33" i="6"/>
  <c r="AH33" i="6"/>
  <c r="X33" i="6"/>
  <c r="N33" i="6"/>
  <c r="AH15" i="6"/>
  <c r="AB15" i="6"/>
  <c r="AL15" i="6"/>
  <c r="X15" i="6"/>
  <c r="R15" i="6"/>
  <c r="L15" i="6"/>
  <c r="AJ15" i="6"/>
  <c r="V15" i="6"/>
  <c r="J15" i="6"/>
  <c r="P15" i="6"/>
  <c r="AF15" i="6"/>
  <c r="Z15" i="6"/>
  <c r="T15" i="6"/>
  <c r="AD15" i="6"/>
  <c r="N15" i="6"/>
  <c r="AJ22" i="6"/>
  <c r="V22" i="6"/>
  <c r="P22" i="6"/>
  <c r="J22" i="6"/>
  <c r="AF22" i="6"/>
  <c r="Z22" i="6"/>
  <c r="N22" i="6"/>
  <c r="AD22" i="6"/>
  <c r="T22" i="6"/>
  <c r="L22" i="6"/>
  <c r="AL22" i="6"/>
  <c r="AB22" i="6"/>
  <c r="R22" i="6"/>
  <c r="AH22" i="6"/>
  <c r="X22" i="6"/>
  <c r="AF27" i="6"/>
  <c r="Z27" i="6"/>
  <c r="AJ27" i="6"/>
  <c r="V27" i="6"/>
  <c r="P27" i="6"/>
  <c r="J27" i="6"/>
  <c r="AD27" i="6"/>
  <c r="T27" i="6"/>
  <c r="L27" i="6"/>
  <c r="AL27" i="6"/>
  <c r="AB27" i="6"/>
  <c r="R27" i="6"/>
  <c r="AH27" i="6"/>
  <c r="X27" i="6"/>
  <c r="N27" i="6"/>
  <c r="AF31" i="6"/>
  <c r="Z31" i="6"/>
  <c r="AJ31" i="6"/>
  <c r="V31" i="6"/>
  <c r="P31" i="6"/>
  <c r="J31" i="6"/>
  <c r="AD31" i="6"/>
  <c r="T31" i="6"/>
  <c r="L31" i="6"/>
  <c r="AL31" i="6"/>
  <c r="AB31" i="6"/>
  <c r="R31" i="6"/>
  <c r="AH31" i="6"/>
  <c r="X31" i="6"/>
  <c r="N31" i="6"/>
  <c r="AJ24" i="6"/>
  <c r="V24" i="6"/>
  <c r="P24" i="6"/>
  <c r="J24" i="6"/>
  <c r="AF24" i="6"/>
  <c r="Z24" i="6"/>
  <c r="AD24" i="6"/>
  <c r="T24" i="6"/>
  <c r="L24" i="6"/>
  <c r="AL24" i="6"/>
  <c r="AB24" i="6"/>
  <c r="R24" i="6"/>
  <c r="AH24" i="6"/>
  <c r="X24" i="6"/>
  <c r="N24" i="6"/>
  <c r="AJ28" i="6"/>
  <c r="V28" i="6"/>
  <c r="P28" i="6"/>
  <c r="J28" i="6"/>
  <c r="AF28" i="6"/>
  <c r="Z28" i="6"/>
  <c r="AD28" i="6"/>
  <c r="T28" i="6"/>
  <c r="L28" i="6"/>
  <c r="AL28" i="6"/>
  <c r="AB28" i="6"/>
  <c r="R28" i="6"/>
  <c r="AH28" i="6"/>
  <c r="X28" i="6"/>
  <c r="N28" i="6"/>
  <c r="AL10" i="7"/>
  <c r="AL12" i="7"/>
  <c r="AL8" i="7"/>
  <c r="G21" i="6"/>
  <c r="G28" i="6"/>
  <c r="G35" i="6"/>
  <c r="G14" i="6"/>
  <c r="V34" i="7"/>
  <c r="P34" i="7"/>
  <c r="V18" i="7"/>
  <c r="P18" i="7"/>
  <c r="V24" i="7"/>
  <c r="P24" i="7"/>
  <c r="V21" i="7"/>
  <c r="P21" i="7"/>
  <c r="V33" i="7"/>
  <c r="P33" i="7"/>
  <c r="V30" i="7"/>
  <c r="P30" i="7"/>
  <c r="V20" i="7"/>
  <c r="P20" i="7"/>
  <c r="V14" i="7"/>
  <c r="P14" i="7"/>
  <c r="V17" i="7"/>
  <c r="P17" i="7"/>
  <c r="V19" i="7"/>
  <c r="P19" i="7"/>
  <c r="V23" i="7"/>
  <c r="P23" i="7"/>
  <c r="V26" i="7"/>
  <c r="P26" i="7"/>
  <c r="V32" i="7"/>
  <c r="P32" i="7"/>
  <c r="V16" i="7"/>
  <c r="P16" i="7"/>
  <c r="V29" i="7"/>
  <c r="P29" i="7"/>
  <c r="V22" i="7"/>
  <c r="P22" i="7"/>
  <c r="V28" i="7"/>
  <c r="P28" i="7"/>
  <c r="V15" i="7"/>
  <c r="P15" i="7"/>
  <c r="V27" i="7"/>
  <c r="P27" i="7"/>
  <c r="V25" i="7"/>
  <c r="P25" i="7"/>
  <c r="V31" i="7"/>
  <c r="P31" i="7"/>
  <c r="N40" i="7"/>
  <c r="AH40" i="7"/>
  <c r="AF40" i="7"/>
  <c r="Z40" i="7"/>
  <c r="AB40" i="7"/>
  <c r="AJ40" i="7"/>
  <c r="AD40" i="7"/>
  <c r="AB39" i="7"/>
  <c r="AJ39" i="7"/>
  <c r="AH39" i="7"/>
  <c r="AF39" i="7"/>
  <c r="Z39" i="7"/>
  <c r="AD39" i="7"/>
  <c r="N34" i="7"/>
  <c r="AJ34" i="7"/>
  <c r="AF34" i="7"/>
  <c r="AH34" i="7"/>
  <c r="AB34" i="7"/>
  <c r="Z34" i="7"/>
  <c r="AD34" i="7"/>
  <c r="T18" i="7"/>
  <c r="AJ18" i="7"/>
  <c r="AF18" i="7"/>
  <c r="AH18" i="7"/>
  <c r="AB18" i="7"/>
  <c r="Z18" i="7"/>
  <c r="AD18" i="7"/>
  <c r="N24" i="7"/>
  <c r="AF24" i="7"/>
  <c r="Z24" i="7"/>
  <c r="AB24" i="7"/>
  <c r="AJ24" i="7"/>
  <c r="AH24" i="7"/>
  <c r="AD24" i="7"/>
  <c r="AH21" i="7"/>
  <c r="AB21" i="7"/>
  <c r="AF21" i="7"/>
  <c r="Z21" i="7"/>
  <c r="AJ21" i="7"/>
  <c r="AD21" i="7"/>
  <c r="N33" i="7"/>
  <c r="AH33" i="7"/>
  <c r="AB33" i="7"/>
  <c r="AJ33" i="7"/>
  <c r="AF33" i="7"/>
  <c r="Z33" i="7"/>
  <c r="AD33" i="7"/>
  <c r="AJ30" i="7"/>
  <c r="Z30" i="7"/>
  <c r="AD30" i="7"/>
  <c r="AH30" i="7"/>
  <c r="AB30" i="7"/>
  <c r="AF30" i="7"/>
  <c r="AF20" i="7"/>
  <c r="Z20" i="7"/>
  <c r="AJ20" i="7"/>
  <c r="AH20" i="7"/>
  <c r="AB20" i="7"/>
  <c r="AD20" i="7"/>
  <c r="AJ14" i="7"/>
  <c r="Z14" i="7"/>
  <c r="AH14" i="7"/>
  <c r="AB14" i="7"/>
  <c r="AF14" i="7"/>
  <c r="AD14" i="7"/>
  <c r="AH17" i="7"/>
  <c r="AB17" i="7"/>
  <c r="AF17" i="7"/>
  <c r="Z17" i="7"/>
  <c r="AJ17" i="7"/>
  <c r="AD17" i="7"/>
  <c r="AH19" i="7"/>
  <c r="AJ19" i="7"/>
  <c r="AB19" i="7"/>
  <c r="Z19" i="7"/>
  <c r="AF19" i="7"/>
  <c r="AD19" i="7"/>
  <c r="AB23" i="7"/>
  <c r="AJ23" i="7"/>
  <c r="AH23" i="7"/>
  <c r="AF23" i="7"/>
  <c r="Z23" i="7"/>
  <c r="AD23" i="7"/>
  <c r="AD26" i="7"/>
  <c r="AJ26" i="7"/>
  <c r="AF26" i="7"/>
  <c r="AH26" i="7"/>
  <c r="AB26" i="7"/>
  <c r="Z26" i="7"/>
  <c r="AF32" i="7"/>
  <c r="Z32" i="7"/>
  <c r="AH32" i="7"/>
  <c r="AJ32" i="7"/>
  <c r="AB32" i="7"/>
  <c r="AD32" i="7"/>
  <c r="AF16" i="7"/>
  <c r="Z16" i="7"/>
  <c r="AJ16" i="7"/>
  <c r="AB16" i="7"/>
  <c r="AH16" i="7"/>
  <c r="AD16" i="7"/>
  <c r="AH29" i="7"/>
  <c r="AB29" i="7"/>
  <c r="AF29" i="7"/>
  <c r="Z29" i="7"/>
  <c r="AJ29" i="7"/>
  <c r="AD29" i="7"/>
  <c r="T22" i="7"/>
  <c r="AJ22" i="7"/>
  <c r="Z22" i="7"/>
  <c r="AD22" i="7"/>
  <c r="AH22" i="7"/>
  <c r="AB22" i="7"/>
  <c r="AF22" i="7"/>
  <c r="AF28" i="7"/>
  <c r="Z28" i="7"/>
  <c r="AJ28" i="7"/>
  <c r="AH28" i="7"/>
  <c r="AB28" i="7"/>
  <c r="AD28" i="7"/>
  <c r="AB15" i="7"/>
  <c r="AJ15" i="7"/>
  <c r="AH15" i="7"/>
  <c r="AF15" i="7"/>
  <c r="Z15" i="7"/>
  <c r="AD15" i="7"/>
  <c r="AH27" i="7"/>
  <c r="AJ27" i="7"/>
  <c r="AB27" i="7"/>
  <c r="AF27" i="7"/>
  <c r="Z27" i="7"/>
  <c r="AD27" i="7"/>
  <c r="AJ25" i="7"/>
  <c r="AH25" i="7"/>
  <c r="AB25" i="7"/>
  <c r="AF25" i="7"/>
  <c r="Z25" i="7"/>
  <c r="AD25" i="7"/>
  <c r="AB31" i="7"/>
  <c r="AF31" i="7"/>
  <c r="AJ31" i="7"/>
  <c r="AH31" i="7"/>
  <c r="Z31" i="7"/>
  <c r="AD31" i="7"/>
  <c r="N28" i="7"/>
  <c r="G28" i="7"/>
  <c r="G35" i="7"/>
  <c r="G8" i="7"/>
  <c r="T21" i="7"/>
  <c r="G21" i="7"/>
  <c r="J14" i="7"/>
  <c r="N14" i="7"/>
  <c r="G14" i="7"/>
  <c r="N39" i="7"/>
  <c r="N32" i="7"/>
  <c r="N20" i="7"/>
  <c r="AF49" i="6"/>
  <c r="AB49" i="6"/>
  <c r="R49" i="6"/>
  <c r="C1" i="30"/>
  <c r="D11" i="39"/>
  <c r="T49" i="6"/>
  <c r="J23" i="7"/>
  <c r="N23" i="7"/>
  <c r="AL23" i="7"/>
  <c r="R23" i="7"/>
  <c r="X23" i="7"/>
  <c r="AL19" i="7"/>
  <c r="T19" i="7"/>
  <c r="J19" i="7"/>
  <c r="T23" i="7"/>
  <c r="N19" i="7"/>
  <c r="R19" i="7"/>
  <c r="N31" i="7"/>
  <c r="X19" i="7"/>
  <c r="AL14" i="7"/>
  <c r="X14" i="7"/>
  <c r="R14" i="7"/>
  <c r="T14" i="7"/>
  <c r="J31" i="7"/>
  <c r="X31" i="7"/>
  <c r="AL31" i="7"/>
  <c r="X29" i="7"/>
  <c r="R31" i="7"/>
  <c r="N29" i="7"/>
  <c r="T29" i="7"/>
  <c r="R33" i="7"/>
  <c r="T31" i="7"/>
  <c r="AL29" i="7"/>
  <c r="R29" i="7"/>
  <c r="T33" i="7"/>
  <c r="J29" i="7"/>
  <c r="J33" i="7"/>
  <c r="X33" i="7"/>
  <c r="AD43" i="7"/>
  <c r="R49" i="7"/>
  <c r="L49" i="7"/>
  <c r="Z49" i="7"/>
  <c r="V49" i="7"/>
  <c r="T32" i="7"/>
  <c r="AB49" i="7"/>
  <c r="C1" i="37"/>
  <c r="B36" i="13" s="1"/>
  <c r="L128" i="30"/>
  <c r="X27" i="7"/>
  <c r="T25" i="7"/>
  <c r="X25" i="7"/>
  <c r="N25" i="7"/>
  <c r="J27" i="7"/>
  <c r="R25" i="7"/>
  <c r="AL25" i="7"/>
  <c r="J25" i="7"/>
  <c r="AD44" i="7"/>
  <c r="AJ49" i="7"/>
  <c r="T27" i="7"/>
  <c r="N43" i="7"/>
  <c r="M140" i="30"/>
  <c r="M133" i="30"/>
  <c r="AL33" i="7"/>
  <c r="AB43" i="7"/>
  <c r="M134" i="30"/>
  <c r="T39" i="7"/>
  <c r="M138" i="30"/>
  <c r="M131" i="30"/>
  <c r="X49" i="7"/>
  <c r="M141" i="30"/>
  <c r="M142" i="30"/>
  <c r="M129" i="30"/>
  <c r="AL49" i="7"/>
  <c r="N49" i="7"/>
  <c r="X39" i="7"/>
  <c r="M128" i="30"/>
  <c r="M135" i="30"/>
  <c r="AF49" i="7"/>
  <c r="M139" i="30"/>
  <c r="M137" i="30"/>
  <c r="M130" i="30"/>
  <c r="J49" i="7"/>
  <c r="AD49" i="7"/>
  <c r="C1" i="34"/>
  <c r="P49" i="7"/>
  <c r="T49" i="7"/>
  <c r="K15" i="39"/>
  <c r="I24" i="39"/>
  <c r="M130" i="37"/>
  <c r="M133" i="37"/>
  <c r="M129" i="37"/>
  <c r="M142" i="37"/>
  <c r="M134" i="37"/>
  <c r="M136" i="37"/>
  <c r="M140" i="37"/>
  <c r="M135" i="37"/>
  <c r="M137" i="37"/>
  <c r="M138" i="37"/>
  <c r="M139" i="37"/>
  <c r="L128" i="37"/>
  <c r="M128" i="37"/>
  <c r="M141" i="37"/>
  <c r="M132" i="37"/>
  <c r="M131" i="37"/>
  <c r="M131" i="36"/>
  <c r="M132" i="36"/>
  <c r="M129" i="36"/>
  <c r="M141" i="36"/>
  <c r="M138" i="36"/>
  <c r="M134" i="36"/>
  <c r="M137" i="36"/>
  <c r="M136" i="36"/>
  <c r="M133" i="36"/>
  <c r="M140" i="36"/>
  <c r="M139" i="36"/>
  <c r="M128" i="36"/>
  <c r="L128" i="36"/>
  <c r="M142" i="36"/>
  <c r="M135" i="36"/>
  <c r="M132" i="35"/>
  <c r="M133" i="35"/>
  <c r="M136" i="35"/>
  <c r="M140" i="35"/>
  <c r="M128" i="35"/>
  <c r="M142" i="35"/>
  <c r="M138" i="35"/>
  <c r="M141" i="35"/>
  <c r="M131" i="35"/>
  <c r="M137" i="35"/>
  <c r="M139" i="35"/>
  <c r="L128" i="35"/>
  <c r="M130" i="35"/>
  <c r="M129" i="35"/>
  <c r="M135" i="35"/>
  <c r="M134" i="34"/>
  <c r="M130" i="34"/>
  <c r="M133" i="34"/>
  <c r="M132" i="34"/>
  <c r="M141" i="34"/>
  <c r="M128" i="34"/>
  <c r="M135" i="34"/>
  <c r="M139" i="34"/>
  <c r="M142" i="34"/>
  <c r="M138" i="34"/>
  <c r="M140" i="34"/>
  <c r="M137" i="34"/>
  <c r="M136" i="34"/>
  <c r="L128" i="34"/>
  <c r="M131" i="34"/>
  <c r="M129" i="34"/>
  <c r="M236" i="33"/>
  <c r="M219" i="33"/>
  <c r="M227" i="33"/>
  <c r="M240" i="33"/>
  <c r="M234" i="33"/>
  <c r="M225" i="33"/>
  <c r="M229" i="33"/>
  <c r="M220" i="33"/>
  <c r="L218" i="33"/>
  <c r="M247" i="33"/>
  <c r="M228" i="33"/>
  <c r="M231" i="33"/>
  <c r="M246" i="33"/>
  <c r="M241" i="33"/>
  <c r="M238" i="33"/>
  <c r="M232" i="33"/>
  <c r="M223" i="33"/>
  <c r="M235" i="33"/>
  <c r="M226" i="33"/>
  <c r="M244" i="33"/>
  <c r="M243" i="33"/>
  <c r="M245" i="33"/>
  <c r="M222" i="33"/>
  <c r="M237" i="33"/>
  <c r="M230" i="33"/>
  <c r="M221" i="33"/>
  <c r="M233" i="33"/>
  <c r="M224" i="33"/>
  <c r="M218" i="33"/>
  <c r="M239" i="33"/>
  <c r="M138" i="31"/>
  <c r="M139" i="31"/>
  <c r="M136" i="31"/>
  <c r="M137" i="31"/>
  <c r="M140" i="31"/>
  <c r="M141" i="31"/>
  <c r="L128" i="31"/>
  <c r="M142" i="31"/>
  <c r="M128" i="31"/>
  <c r="M129" i="31"/>
  <c r="M130" i="31"/>
  <c r="M131" i="31"/>
  <c r="M132" i="31"/>
  <c r="M133" i="31"/>
  <c r="M134" i="31"/>
  <c r="M137" i="32"/>
  <c r="M128" i="32"/>
  <c r="M133" i="32"/>
  <c r="M140" i="32"/>
  <c r="M134" i="32"/>
  <c r="M142" i="32"/>
  <c r="M131" i="32"/>
  <c r="M132" i="32"/>
  <c r="L128" i="32"/>
  <c r="M139" i="32"/>
  <c r="M136" i="32"/>
  <c r="M129" i="32"/>
  <c r="M130" i="32"/>
  <c r="M138" i="32"/>
  <c r="M141" i="32"/>
  <c r="M233" i="8"/>
  <c r="M235" i="8"/>
  <c r="M224" i="8"/>
  <c r="M221" i="8"/>
  <c r="L218" i="8"/>
  <c r="M226" i="8"/>
  <c r="M247" i="8"/>
  <c r="M234" i="8"/>
  <c r="M231" i="8"/>
  <c r="M223" i="8"/>
  <c r="M246" i="8"/>
  <c r="M225" i="8"/>
  <c r="M243" i="8"/>
  <c r="M232" i="8"/>
  <c r="M222" i="8"/>
  <c r="M238" i="8"/>
  <c r="M229" i="8"/>
  <c r="M219" i="8"/>
  <c r="M240" i="8"/>
  <c r="M239" i="8"/>
  <c r="M244" i="8"/>
  <c r="M245" i="8"/>
  <c r="M230" i="8"/>
  <c r="M220" i="8"/>
  <c r="M236" i="8"/>
  <c r="M227" i="8"/>
  <c r="M241" i="8"/>
  <c r="M218" i="8"/>
  <c r="M242" i="8"/>
  <c r="M237" i="8"/>
  <c r="X17" i="7"/>
  <c r="AL17" i="7"/>
  <c r="X21" i="7"/>
  <c r="J21" i="7"/>
  <c r="AC51" i="7"/>
  <c r="N15" i="7"/>
  <c r="J15" i="7"/>
  <c r="R21" i="7"/>
  <c r="AL15" i="7"/>
  <c r="X15" i="7"/>
  <c r="N21" i="7"/>
  <c r="AL21" i="7"/>
  <c r="T15" i="7"/>
  <c r="R15" i="7"/>
  <c r="B16" i="13"/>
  <c r="C16" i="13" s="1"/>
  <c r="E16" i="13" s="1"/>
  <c r="R17" i="7"/>
  <c r="N17" i="7"/>
  <c r="T17" i="7"/>
  <c r="J17" i="7"/>
  <c r="AL27" i="7"/>
  <c r="R27" i="7"/>
  <c r="T24" i="7"/>
  <c r="N27" i="7"/>
  <c r="H15" i="13"/>
  <c r="I7" i="13"/>
  <c r="K7" i="13" s="1"/>
  <c r="T28" i="7"/>
  <c r="N16" i="7"/>
  <c r="T20" i="7"/>
  <c r="M51" i="7"/>
  <c r="AH44" i="7"/>
  <c r="AB44" i="7"/>
  <c r="AL44" i="7"/>
  <c r="X44" i="7"/>
  <c r="R44" i="7"/>
  <c r="L44" i="7"/>
  <c r="P44" i="7"/>
  <c r="Z44" i="7"/>
  <c r="AJ44" i="7"/>
  <c r="V44" i="7"/>
  <c r="J44" i="7"/>
  <c r="AF44" i="7"/>
  <c r="T44" i="7"/>
  <c r="AL24" i="7"/>
  <c r="X24" i="7"/>
  <c r="R24" i="7"/>
  <c r="J24" i="7"/>
  <c r="N18" i="7"/>
  <c r="AL34" i="7"/>
  <c r="X34" i="7"/>
  <c r="R34" i="7"/>
  <c r="J34" i="7"/>
  <c r="AL30" i="7"/>
  <c r="X30" i="7"/>
  <c r="R30" i="7"/>
  <c r="J30" i="7"/>
  <c r="AL26" i="7"/>
  <c r="X26" i="7"/>
  <c r="R26" i="7"/>
  <c r="J26" i="7"/>
  <c r="AL22" i="7"/>
  <c r="X22" i="7"/>
  <c r="R22" i="7"/>
  <c r="J22" i="7"/>
  <c r="T34" i="7"/>
  <c r="N30" i="7"/>
  <c r="N26" i="7"/>
  <c r="N22" i="7"/>
  <c r="AL28" i="7"/>
  <c r="X28" i="7"/>
  <c r="R28" i="7"/>
  <c r="J28" i="7"/>
  <c r="T26" i="7"/>
  <c r="AL20" i="7"/>
  <c r="X20" i="7"/>
  <c r="R20" i="7"/>
  <c r="J20" i="7"/>
  <c r="AL16" i="7"/>
  <c r="X16" i="7"/>
  <c r="R16" i="7"/>
  <c r="J16" i="7"/>
  <c r="T16" i="7"/>
  <c r="AL18" i="7"/>
  <c r="X18" i="7"/>
  <c r="R18" i="7"/>
  <c r="J18" i="7"/>
  <c r="AL32" i="7"/>
  <c r="X32" i="7"/>
  <c r="R32" i="7"/>
  <c r="J32" i="7"/>
  <c r="T30" i="7"/>
  <c r="H19" i="13"/>
  <c r="C1" i="32"/>
  <c r="C1" i="36"/>
  <c r="D34" i="39"/>
  <c r="C1" i="35"/>
  <c r="E34" i="39" s="1"/>
  <c r="C1" i="31"/>
  <c r="P62" i="37"/>
  <c r="U42" i="37"/>
  <c r="Z42" i="37" s="1"/>
  <c r="AE42" i="37" s="1"/>
  <c r="AJ42" i="37" s="1"/>
  <c r="AO42" i="37" s="1"/>
  <c r="AT42" i="37" s="1"/>
  <c r="P62" i="36"/>
  <c r="U42" i="36"/>
  <c r="Z42" i="36" s="1"/>
  <c r="AE42" i="36" s="1"/>
  <c r="AJ42" i="36" s="1"/>
  <c r="AO42" i="36" s="1"/>
  <c r="AT42" i="36" s="1"/>
  <c r="P62" i="35"/>
  <c r="U42" i="35"/>
  <c r="Z42" i="35" s="1"/>
  <c r="AE42" i="35" s="1"/>
  <c r="AJ42" i="35" s="1"/>
  <c r="AO42" i="35" s="1"/>
  <c r="AT42" i="35" s="1"/>
  <c r="P62" i="34"/>
  <c r="U42" i="34"/>
  <c r="Z42" i="34" s="1"/>
  <c r="AE42" i="34" s="1"/>
  <c r="AJ42" i="34" s="1"/>
  <c r="AO42" i="34" s="1"/>
  <c r="AT42" i="34" s="1"/>
  <c r="P62" i="31"/>
  <c r="U42" i="31"/>
  <c r="Z42" i="31" s="1"/>
  <c r="AE42" i="31" s="1"/>
  <c r="AJ42" i="31" s="1"/>
  <c r="AO42" i="31" s="1"/>
  <c r="AT42" i="31" s="1"/>
  <c r="U42" i="32"/>
  <c r="Z42" i="32" s="1"/>
  <c r="AE42" i="32" s="1"/>
  <c r="AJ42" i="32" s="1"/>
  <c r="AO42" i="32" s="1"/>
  <c r="AT42" i="32" s="1"/>
  <c r="P62" i="32"/>
  <c r="P62" i="30"/>
  <c r="P82" i="30" s="1"/>
  <c r="U82" i="30" s="1"/>
  <c r="Z82" i="30" s="1"/>
  <c r="U42" i="30"/>
  <c r="Z42" i="30" s="1"/>
  <c r="AE42" i="30" s="1"/>
  <c r="AJ42" i="30" s="1"/>
  <c r="AO42" i="30" s="1"/>
  <c r="AT42" i="30" s="1"/>
  <c r="C1" i="33"/>
  <c r="C1" i="8"/>
  <c r="Z43" i="7"/>
  <c r="R43" i="7"/>
  <c r="AJ43" i="7"/>
  <c r="X43" i="7"/>
  <c r="T43" i="7"/>
  <c r="AF43" i="7"/>
  <c r="AL43" i="7"/>
  <c r="V43" i="7"/>
  <c r="R39" i="7"/>
  <c r="P43" i="7"/>
  <c r="L43" i="7"/>
  <c r="J43" i="7"/>
  <c r="P39" i="7"/>
  <c r="AL39" i="7"/>
  <c r="L39" i="7"/>
  <c r="V39" i="7"/>
  <c r="J39" i="7"/>
  <c r="AF42" i="7"/>
  <c r="Z42" i="7"/>
  <c r="AL42" i="7"/>
  <c r="AD42" i="7"/>
  <c r="X42" i="7"/>
  <c r="R42" i="7"/>
  <c r="L42" i="7"/>
  <c r="AJ42" i="7"/>
  <c r="V42" i="7"/>
  <c r="P42" i="7"/>
  <c r="J42" i="7"/>
  <c r="AH42" i="7"/>
  <c r="AB42" i="7"/>
  <c r="T42" i="7"/>
  <c r="V40" i="7"/>
  <c r="P40" i="7"/>
  <c r="J40" i="7"/>
  <c r="T40" i="7"/>
  <c r="AL40" i="7"/>
  <c r="X40" i="7"/>
  <c r="R40" i="7"/>
  <c r="L40" i="7"/>
  <c r="AL41" i="7"/>
  <c r="AD41" i="7"/>
  <c r="X41" i="7"/>
  <c r="R41" i="7"/>
  <c r="L41" i="7"/>
  <c r="AJ41" i="7"/>
  <c r="V41" i="7"/>
  <c r="P41" i="7"/>
  <c r="J41" i="7"/>
  <c r="AH41" i="7"/>
  <c r="AB41" i="7"/>
  <c r="T41" i="7"/>
  <c r="AF41" i="7"/>
  <c r="Z41" i="7"/>
  <c r="C22" i="39"/>
  <c r="E22" i="39" s="1"/>
  <c r="C20" i="39"/>
  <c r="E20" i="39" s="1"/>
  <c r="C18" i="39"/>
  <c r="E18" i="39" s="1"/>
  <c r="C16" i="39"/>
  <c r="E16" i="39" s="1"/>
  <c r="D6" i="39"/>
  <c r="C23" i="39"/>
  <c r="E23" i="39" s="1"/>
  <c r="C21" i="39"/>
  <c r="E21" i="39" s="1"/>
  <c r="C19" i="39"/>
  <c r="E19" i="39" s="1"/>
  <c r="C17" i="39"/>
  <c r="E17" i="39" s="1"/>
  <c r="C15" i="39"/>
  <c r="E9" i="13"/>
  <c r="E15" i="13"/>
  <c r="D8" i="13"/>
  <c r="E8" i="13"/>
  <c r="P107" i="8"/>
  <c r="P142" i="8" s="1"/>
  <c r="U142" i="8" s="1"/>
  <c r="Z142" i="8" s="1"/>
  <c r="AE142" i="8" s="1"/>
  <c r="AJ142" i="8" s="1"/>
  <c r="AO142" i="8" s="1"/>
  <c r="U72" i="8"/>
  <c r="Z72" i="8" s="1"/>
  <c r="AE72" i="8" s="1"/>
  <c r="AJ72" i="8" s="1"/>
  <c r="AO72" i="8" s="1"/>
  <c r="AT72" i="8" s="1"/>
  <c r="D11" i="13"/>
  <c r="E11" i="13"/>
  <c r="D36" i="39"/>
  <c r="D35" i="39"/>
  <c r="D33" i="39"/>
  <c r="D32" i="39"/>
  <c r="D30" i="39"/>
  <c r="D29" i="39"/>
  <c r="D28" i="39"/>
  <c r="AH50" i="7" l="1"/>
  <c r="AD50" i="6"/>
  <c r="T50" i="6"/>
  <c r="N50" i="6"/>
  <c r="AH50" i="6"/>
  <c r="P50" i="6"/>
  <c r="V50" i="6"/>
  <c r="L50" i="6"/>
  <c r="Z50" i="6"/>
  <c r="AB50" i="6"/>
  <c r="AJ50" i="6"/>
  <c r="R50" i="6"/>
  <c r="AL50" i="6"/>
  <c r="X50" i="6"/>
  <c r="J50" i="6"/>
  <c r="R50" i="7"/>
  <c r="AJ50" i="7"/>
  <c r="L50" i="7"/>
  <c r="P50" i="7"/>
  <c r="V50" i="7"/>
  <c r="X50" i="7"/>
  <c r="AF50" i="7"/>
  <c r="AB50" i="7"/>
  <c r="J50" i="7"/>
  <c r="Z50" i="7"/>
  <c r="AL50" i="7"/>
  <c r="C24" i="13"/>
  <c r="E36" i="39"/>
  <c r="I15" i="13"/>
  <c r="K15" i="13" s="1"/>
  <c r="D9" i="13"/>
  <c r="B34" i="13"/>
  <c r="D34" i="13" s="1"/>
  <c r="U62" i="37"/>
  <c r="Z62" i="37" s="1"/>
  <c r="AE62" i="37" s="1"/>
  <c r="AJ62" i="37" s="1"/>
  <c r="AO62" i="37" s="1"/>
  <c r="AT62" i="37" s="1"/>
  <c r="P82" i="37"/>
  <c r="P82" i="36"/>
  <c r="U62" i="36"/>
  <c r="Z62" i="36" s="1"/>
  <c r="AE62" i="36" s="1"/>
  <c r="AJ62" i="36" s="1"/>
  <c r="AO62" i="36" s="1"/>
  <c r="AT62" i="36" s="1"/>
  <c r="P82" i="35"/>
  <c r="U62" i="35"/>
  <c r="Z62" i="35" s="1"/>
  <c r="AE62" i="35" s="1"/>
  <c r="AJ62" i="35" s="1"/>
  <c r="AO62" i="35" s="1"/>
  <c r="AT62" i="35" s="1"/>
  <c r="U62" i="34"/>
  <c r="Z62" i="34" s="1"/>
  <c r="AE62" i="34" s="1"/>
  <c r="AJ62" i="34" s="1"/>
  <c r="AO62" i="34" s="1"/>
  <c r="AT62" i="34" s="1"/>
  <c r="P82" i="34"/>
  <c r="P82" i="31"/>
  <c r="U62" i="31"/>
  <c r="Z62" i="31" s="1"/>
  <c r="AE62" i="31" s="1"/>
  <c r="AJ62" i="31" s="1"/>
  <c r="AO62" i="31" s="1"/>
  <c r="AT62" i="31" s="1"/>
  <c r="P82" i="32"/>
  <c r="U62" i="32"/>
  <c r="Z62" i="32" s="1"/>
  <c r="AE62" i="32" s="1"/>
  <c r="AJ62" i="32" s="1"/>
  <c r="AO62" i="32" s="1"/>
  <c r="AT62" i="32" s="1"/>
  <c r="U62" i="30"/>
  <c r="Z62" i="30" s="1"/>
  <c r="AE62" i="30" s="1"/>
  <c r="AJ62" i="30" s="1"/>
  <c r="AO62" i="30" s="1"/>
  <c r="AT62" i="30" s="1"/>
  <c r="E15" i="39"/>
  <c r="C24" i="39"/>
  <c r="I19" i="13"/>
  <c r="K19" i="13" s="1"/>
  <c r="I23" i="13"/>
  <c r="K23" i="13" s="1"/>
  <c r="I22" i="13"/>
  <c r="K22" i="13" s="1"/>
  <c r="I21" i="13"/>
  <c r="K21" i="13" s="1"/>
  <c r="I20" i="13"/>
  <c r="K20" i="13" s="1"/>
  <c r="I17" i="13"/>
  <c r="K17" i="13" s="1"/>
  <c r="E7" i="13"/>
  <c r="I18" i="13"/>
  <c r="K18" i="13" s="1"/>
  <c r="I16" i="13"/>
  <c r="K16" i="13" s="1"/>
  <c r="D7" i="13"/>
  <c r="N50" i="7"/>
  <c r="AD50" i="7"/>
  <c r="T50" i="7"/>
  <c r="U107" i="8"/>
  <c r="Z107" i="8" s="1"/>
  <c r="AE107" i="8" s="1"/>
  <c r="AJ107" i="8" s="1"/>
  <c r="AO107" i="8" s="1"/>
  <c r="AT107" i="8" s="1"/>
  <c r="N36" i="13"/>
  <c r="R36" i="13" s="1"/>
  <c r="E36" i="13" s="1"/>
  <c r="D36" i="13"/>
  <c r="E35" i="39"/>
  <c r="B35" i="13"/>
  <c r="E33" i="39"/>
  <c r="B33" i="13"/>
  <c r="B32" i="13"/>
  <c r="E32" i="39"/>
  <c r="E31" i="39"/>
  <c r="B31" i="13"/>
  <c r="B30" i="13"/>
  <c r="E30" i="39"/>
  <c r="B29" i="13"/>
  <c r="E29" i="39"/>
  <c r="E28" i="39"/>
  <c r="B28" i="13"/>
  <c r="N34" i="13" l="1"/>
  <c r="R34" i="13" s="1"/>
  <c r="E34" i="13" s="1"/>
  <c r="P102" i="37"/>
  <c r="U102" i="37" s="1"/>
  <c r="Z102" i="37" s="1"/>
  <c r="AE102" i="37" s="1"/>
  <c r="AJ102" i="37" s="1"/>
  <c r="AO102" i="37" s="1"/>
  <c r="AT102" i="37" s="1"/>
  <c r="U82" i="37"/>
  <c r="Z82" i="37" s="1"/>
  <c r="AE82" i="37" s="1"/>
  <c r="AJ82" i="37" s="1"/>
  <c r="AO82" i="37" s="1"/>
  <c r="AT82" i="37" s="1"/>
  <c r="P102" i="36"/>
  <c r="U102" i="36" s="1"/>
  <c r="Z102" i="36" s="1"/>
  <c r="AE102" i="36" s="1"/>
  <c r="AJ102" i="36" s="1"/>
  <c r="AO102" i="36" s="1"/>
  <c r="AT102" i="36" s="1"/>
  <c r="U82" i="36"/>
  <c r="Z82" i="36" s="1"/>
  <c r="AE82" i="36" s="1"/>
  <c r="AJ82" i="36" s="1"/>
  <c r="AO82" i="36" s="1"/>
  <c r="AT82" i="36" s="1"/>
  <c r="P102" i="35"/>
  <c r="U102" i="35" s="1"/>
  <c r="Z102" i="35" s="1"/>
  <c r="AE102" i="35" s="1"/>
  <c r="AJ102" i="35" s="1"/>
  <c r="AO102" i="35" s="1"/>
  <c r="AT102" i="35" s="1"/>
  <c r="U82" i="35"/>
  <c r="Z82" i="35" s="1"/>
  <c r="AE82" i="35" s="1"/>
  <c r="AJ82" i="35" s="1"/>
  <c r="AO82" i="35" s="1"/>
  <c r="AT82" i="35" s="1"/>
  <c r="P102" i="34"/>
  <c r="U102" i="34" s="1"/>
  <c r="Z102" i="34" s="1"/>
  <c r="AE102" i="34" s="1"/>
  <c r="AJ102" i="34" s="1"/>
  <c r="AO102" i="34" s="1"/>
  <c r="AT102" i="34" s="1"/>
  <c r="U82" i="34"/>
  <c r="Z82" i="34" s="1"/>
  <c r="AE82" i="34" s="1"/>
  <c r="AJ82" i="34" s="1"/>
  <c r="AO82" i="34" s="1"/>
  <c r="AT82" i="34" s="1"/>
  <c r="P102" i="31"/>
  <c r="U102" i="31" s="1"/>
  <c r="Z102" i="31" s="1"/>
  <c r="AE102" i="31" s="1"/>
  <c r="AJ102" i="31" s="1"/>
  <c r="AO102" i="31" s="1"/>
  <c r="AT102" i="31" s="1"/>
  <c r="U82" i="31"/>
  <c r="Z82" i="31" s="1"/>
  <c r="AE82" i="31" s="1"/>
  <c r="AJ82" i="31" s="1"/>
  <c r="AO82" i="31" s="1"/>
  <c r="AT82" i="31" s="1"/>
  <c r="P102" i="32"/>
  <c r="U102" i="32" s="1"/>
  <c r="Z102" i="32" s="1"/>
  <c r="AE102" i="32" s="1"/>
  <c r="AJ102" i="32" s="1"/>
  <c r="AO102" i="32" s="1"/>
  <c r="AT102" i="32" s="1"/>
  <c r="U82" i="32"/>
  <c r="Z82" i="32" s="1"/>
  <c r="AE82" i="32" s="1"/>
  <c r="AJ82" i="32" s="1"/>
  <c r="AO82" i="32" s="1"/>
  <c r="AT82" i="32" s="1"/>
  <c r="P102" i="30"/>
  <c r="U102" i="30" s="1"/>
  <c r="Z102" i="30" s="1"/>
  <c r="AE102" i="30" s="1"/>
  <c r="AJ102" i="30" s="1"/>
  <c r="AO102" i="30" s="1"/>
  <c r="AT102" i="30" s="1"/>
  <c r="AE82" i="30"/>
  <c r="AJ82" i="30" s="1"/>
  <c r="AO82" i="30" s="1"/>
  <c r="AT82" i="30" s="1"/>
  <c r="AT142" i="8"/>
  <c r="P177" i="8"/>
  <c r="U177" i="8" s="1"/>
  <c r="Z177" i="8" s="1"/>
  <c r="AE177" i="8" s="1"/>
  <c r="AJ177" i="8" s="1"/>
  <c r="AO177" i="8" s="1"/>
  <c r="AT177" i="8" s="1"/>
  <c r="I24" i="13"/>
  <c r="D35" i="13"/>
  <c r="N35" i="13"/>
  <c r="R35" i="13" s="1"/>
  <c r="E35" i="13" s="1"/>
  <c r="N33" i="13"/>
  <c r="R33" i="13" s="1"/>
  <c r="E33" i="13" s="1"/>
  <c r="D33" i="13"/>
  <c r="N32" i="13"/>
  <c r="R32" i="13" s="1"/>
  <c r="E32" i="13" s="1"/>
  <c r="D32" i="13"/>
  <c r="N31" i="13"/>
  <c r="R31" i="13" s="1"/>
  <c r="E31" i="13" s="1"/>
  <c r="D31" i="13"/>
  <c r="N30" i="13"/>
  <c r="R30" i="13" s="1"/>
  <c r="E30" i="13" s="1"/>
  <c r="D30" i="13"/>
  <c r="D29" i="13"/>
  <c r="N29" i="13"/>
  <c r="R29" i="13" s="1"/>
  <c r="E29" i="13" s="1"/>
  <c r="N28" i="13"/>
  <c r="R28" i="13" s="1"/>
  <c r="E28" i="13" s="1"/>
  <c r="D28" i="13"/>
</calcChain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rPr>
            <sz val="10"/>
            <color rgb="FF000000"/>
            <rFont val="Arial"/>
            <family val="2"/>
            <scheme val="minor"/>
          </rPr>
          <t>@m-inoue547@family.co.jp 
工場名の記載欄があるとよいです。
収支はTFM側と相談が良いです。（企業秘密なのでどこまで開示されるか？があるので）
	-中川昇</t>
        </r>
      </text>
    </comment>
  </commentList>
</comments>
</file>

<file path=xl/sharedStrings.xml><?xml version="1.0" encoding="utf-8"?>
<sst xmlns="http://schemas.openxmlformats.org/spreadsheetml/2006/main" count="12339" uniqueCount="793">
  <si>
    <t>・・・・・・・・</t>
  </si>
  <si>
    <t>前月</t>
  </si>
  <si>
    <t>差異</t>
  </si>
  <si>
    <t>累計</t>
  </si>
  <si>
    <t>達成率</t>
  </si>
  <si>
    <t>材料費</t>
  </si>
  <si>
    <t>材料費率</t>
  </si>
  <si>
    <t>導入率</t>
  </si>
  <si>
    <t>-</t>
  </si>
  <si>
    <t>-%</t>
  </si>
  <si>
    <t>合計</t>
  </si>
  <si>
    <t>金額</t>
  </si>
  <si>
    <t>商品名</t>
  </si>
  <si>
    <t>前月比</t>
  </si>
  <si>
    <t>手巻明太子</t>
  </si>
  <si>
    <t>6/30新商品</t>
  </si>
  <si>
    <t>海老炒飯</t>
  </si>
  <si>
    <t>（９）歩留</t>
  </si>
  <si>
    <t>No.</t>
  </si>
  <si>
    <t>規格</t>
  </si>
  <si>
    <t>工廠</t>
    <phoneticPr fontId="10"/>
  </si>
  <si>
    <t>（１）收支狀況</t>
    <phoneticPr fontId="10"/>
  </si>
  <si>
    <t>當月</t>
    <phoneticPr fontId="10"/>
  </si>
  <si>
    <t>※單位：千元</t>
    <phoneticPr fontId="10"/>
  </si>
  <si>
    <t>業績金額</t>
    <phoneticPr fontId="10"/>
  </si>
  <si>
    <t>訂單數量</t>
    <phoneticPr fontId="10"/>
  </si>
  <si>
    <t>半成品報廢</t>
    <phoneticPr fontId="10"/>
  </si>
  <si>
    <t>半成品超用</t>
    <phoneticPr fontId="10"/>
  </si>
  <si>
    <t>固定產線</t>
    <phoneticPr fontId="10"/>
  </si>
  <si>
    <t>教育訓練</t>
    <phoneticPr fontId="10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</si>
  <si>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 xml:space="preserve">1 </t>
    </r>
    <phoneticPr fontId="10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</si>
  <si>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>2</t>
    </r>
    <phoneticPr fontId="10"/>
  </si>
  <si>
    <t>（３）業績構成比</t>
    <phoneticPr fontId="10"/>
  </si>
  <si>
    <t>（４）訂單數量構成比</t>
    <phoneticPr fontId="10"/>
  </si>
  <si>
    <t>飯糰</t>
    <phoneticPr fontId="10"/>
  </si>
  <si>
    <t>大口飯糰</t>
    <phoneticPr fontId="10"/>
  </si>
  <si>
    <t>便當</t>
    <phoneticPr fontId="10"/>
  </si>
  <si>
    <t>調理麵包</t>
    <phoneticPr fontId="10"/>
  </si>
  <si>
    <t>袋裝調理麵包</t>
    <phoneticPr fontId="10"/>
  </si>
  <si>
    <t>義大利麵</t>
    <phoneticPr fontId="10"/>
  </si>
  <si>
    <t>調理包</t>
    <phoneticPr fontId="10"/>
  </si>
  <si>
    <t>比例</t>
    <phoneticPr fontId="10"/>
  </si>
  <si>
    <t>作業原因</t>
    <phoneticPr fontId="10"/>
  </si>
  <si>
    <t>規格原因</t>
    <phoneticPr fontId="10"/>
  </si>
  <si>
    <t>調理麵</t>
    <phoneticPr fontId="10"/>
  </si>
  <si>
    <t>（６）人時生產性前幾名品項</t>
    <phoneticPr fontId="10"/>
  </si>
  <si>
    <t>人數</t>
    <phoneticPr fontId="10"/>
  </si>
  <si>
    <t>排名</t>
    <phoneticPr fontId="10"/>
  </si>
  <si>
    <t>產能</t>
    <phoneticPr fontId="10"/>
  </si>
  <si>
    <t>人時生產性</t>
    <phoneticPr fontId="10"/>
  </si>
  <si>
    <t>主要原因&amp;對策</t>
  </si>
  <si>
    <t>主要原因&amp;對策</t>
    <phoneticPr fontId="10"/>
  </si>
  <si>
    <t>（８）報廢原因別前幾名品項</t>
    <phoneticPr fontId="10"/>
  </si>
  <si>
    <t>半成品名</t>
    <phoneticPr fontId="10"/>
  </si>
  <si>
    <t>單價</t>
    <phoneticPr fontId="10"/>
  </si>
  <si>
    <t>報廢率</t>
    <phoneticPr fontId="10"/>
  </si>
  <si>
    <t>數量</t>
    <phoneticPr fontId="10"/>
  </si>
  <si>
    <t>實績</t>
    <phoneticPr fontId="10"/>
  </si>
  <si>
    <t>前幾名合計比例</t>
    <phoneticPr fontId="10"/>
  </si>
  <si>
    <t>前幾名合計金額</t>
    <phoneticPr fontId="10"/>
  </si>
  <si>
    <t>※補充</t>
    <phoneticPr fontId="10"/>
  </si>
  <si>
    <r>
      <rPr>
        <sz val="11"/>
        <color theme="1"/>
        <rFont val="Arial"/>
        <family val="3"/>
        <charset val="136"/>
        <scheme val="minor"/>
      </rPr>
      <t>個／</t>
    </r>
    <r>
      <rPr>
        <sz val="11"/>
        <color theme="1"/>
        <rFont val="Arial"/>
        <family val="2"/>
        <scheme val="minor"/>
      </rPr>
      <t>MH</t>
    </r>
    <phoneticPr fontId="10"/>
  </si>
  <si>
    <t>實施率</t>
    <phoneticPr fontId="10"/>
  </si>
  <si>
    <t>（５）品群別人時生產性</t>
    <phoneticPr fontId="10"/>
  </si>
  <si>
    <t>勞務成本</t>
    <phoneticPr fontId="10"/>
  </si>
  <si>
    <t>勞務費率</t>
    <phoneticPr fontId="10"/>
  </si>
  <si>
    <t>比例</t>
    <phoneticPr fontId="10"/>
  </si>
  <si>
    <t>前月</t>
    <phoneticPr fontId="10"/>
  </si>
  <si>
    <t>差異</t>
    <phoneticPr fontId="10"/>
  </si>
  <si>
    <t>KPI</t>
    <phoneticPr fontId="10"/>
  </si>
  <si>
    <t>當月</t>
    <phoneticPr fontId="10"/>
  </si>
  <si>
    <t>（２）ＫＰＩ達成進度</t>
    <phoneticPr fontId="10"/>
  </si>
  <si>
    <t>（７）原因別分析</t>
    <phoneticPr fontId="10"/>
  </si>
  <si>
    <t>月別</t>
    <phoneticPr fontId="10"/>
  </si>
  <si>
    <t>工廠名</t>
    <phoneticPr fontId="10"/>
  </si>
  <si>
    <t>手巻卵黄雞絞肉</t>
    <phoneticPr fontId="10"/>
  </si>
  <si>
    <t>減少暫時停止生產,人時UP</t>
    <phoneticPr fontId="10"/>
  </si>
  <si>
    <t>因組裝2食材,人員增加,產速減少</t>
    <phoneticPr fontId="10"/>
  </si>
  <si>
    <t>透由調整速度提升。</t>
    <phoneticPr fontId="10"/>
  </si>
  <si>
    <t>直巻明太子美奶茲</t>
    <phoneticPr fontId="10"/>
  </si>
  <si>
    <t>大口飯糰燒肉美奶滋</t>
    <phoneticPr fontId="10"/>
  </si>
  <si>
    <t>因摺疊增員。實施教育訓練。</t>
    <phoneticPr fontId="10"/>
  </si>
  <si>
    <t>明太子海苔便當</t>
    <phoneticPr fontId="10"/>
  </si>
  <si>
    <t>指導鋪開炒柴魚片</t>
    <phoneticPr fontId="10"/>
  </si>
  <si>
    <t>肉狀態不良，已連動開發</t>
    <phoneticPr fontId="10"/>
  </si>
  <si>
    <t>油炸白身魚</t>
    <phoneticPr fontId="10"/>
  </si>
  <si>
    <t>油調過多報廢。變更條件。</t>
    <phoneticPr fontId="10"/>
  </si>
  <si>
    <t>川燙蝦子拌醬</t>
    <phoneticPr fontId="10"/>
  </si>
  <si>
    <t>蝦子入數不足</t>
    <phoneticPr fontId="10"/>
  </si>
  <si>
    <t>特製醬汁炙燒牛五花便當</t>
    <phoneticPr fontId="10"/>
  </si>
  <si>
    <t>牛五花醬汁</t>
    <phoneticPr fontId="10"/>
  </si>
  <si>
    <t>難度有差異。調理指導。</t>
    <phoneticPr fontId="10"/>
  </si>
  <si>
    <t>因原料變更。</t>
    <phoneticPr fontId="10"/>
  </si>
  <si>
    <t>牛五花燒成</t>
    <phoneticPr fontId="10"/>
  </si>
  <si>
    <t>大口飯糰三種起司午餐肉</t>
    <phoneticPr fontId="10"/>
  </si>
  <si>
    <t>３種起司燒成</t>
    <phoneticPr fontId="10"/>
  </si>
  <si>
    <t>與燒成範本不同。</t>
    <phoneticPr fontId="10"/>
  </si>
  <si>
    <t>燒成過多，調整調理條件。</t>
    <phoneticPr fontId="10"/>
  </si>
  <si>
    <t>超用率</t>
    <phoneticPr fontId="10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</si>
  <si>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4</t>
    </r>
    <phoneticPr fontId="10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</si>
  <si>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3</t>
    </r>
    <phoneticPr fontId="10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</si>
  <si>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1</t>
    </r>
    <phoneticPr fontId="10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</si>
  <si>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2</t>
    </r>
    <phoneticPr fontId="10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</si>
  <si>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5</t>
    </r>
    <phoneticPr fontId="10"/>
  </si>
  <si>
    <t>超用率</t>
    <phoneticPr fontId="10"/>
  </si>
  <si>
    <t>日期</t>
    <phoneticPr fontId="13" type="noConversion"/>
  </si>
  <si>
    <t xml:space="preserve">半成品超用(%) </t>
  </si>
  <si>
    <t xml:space="preserve">人時生產性(個/人) </t>
  </si>
  <si>
    <t xml:space="preserve">人時生產性達成率(%) </t>
  </si>
  <si>
    <t>固定產線-導入率(固定產線數/總產線數)</t>
  </si>
  <si>
    <t>教育訓練-實施率(進度/計畫)</t>
  </si>
  <si>
    <t>品類業績</t>
    <phoneticPr fontId="13" type="noConversion"/>
  </si>
  <si>
    <t>業績(元)</t>
    <phoneticPr fontId="13" type="noConversion"/>
  </si>
  <si>
    <t>比例(%)</t>
    <phoneticPr fontId="13" type="noConversion"/>
  </si>
  <si>
    <t>三</t>
    <phoneticPr fontId="13" type="noConversion"/>
  </si>
  <si>
    <t>日</t>
    <phoneticPr fontId="13" type="noConversion"/>
  </si>
  <si>
    <r>
      <t>月</t>
    </r>
    <r>
      <rPr>
        <sz val="11"/>
        <color rgb="FF000000"/>
        <rFont val="Arial"/>
        <family val="3"/>
        <charset val="136"/>
      </rPr>
      <t>份</t>
    </r>
    <phoneticPr fontId="13" type="noConversion"/>
  </si>
  <si>
    <t>週累積</t>
    <phoneticPr fontId="13" type="noConversion"/>
  </si>
  <si>
    <t>月累積</t>
    <phoneticPr fontId="13" type="noConversion"/>
  </si>
  <si>
    <t>訂單數量(個)</t>
    <phoneticPr fontId="13" type="noConversion"/>
  </si>
  <si>
    <t>材料費(元)</t>
    <phoneticPr fontId="13" type="noConversion"/>
  </si>
  <si>
    <r>
      <t>（１）收支</t>
    </r>
    <r>
      <rPr>
        <b/>
        <sz val="22"/>
        <color rgb="FF000000"/>
        <rFont val="細明體"/>
        <family val="3"/>
        <charset val="136"/>
      </rPr>
      <t>狀</t>
    </r>
    <r>
      <rPr>
        <b/>
        <sz val="22"/>
        <color rgb="FF000000"/>
        <rFont val="Meiryo UI"/>
        <family val="2"/>
      </rPr>
      <t>況</t>
    </r>
    <phoneticPr fontId="13" type="noConversion"/>
  </si>
  <si>
    <t>材料費率（材料費／營業額）</t>
    <phoneticPr fontId="13" type="noConversion"/>
  </si>
  <si>
    <t>勞務成本（全廠人事成本）</t>
    <phoneticPr fontId="13" type="noConversion"/>
  </si>
  <si>
    <t>勞務費率（勞務成本／營業額）</t>
    <phoneticPr fontId="13" type="noConversion"/>
  </si>
  <si>
    <t>（２）ＫＰＩ達成進度</t>
    <phoneticPr fontId="10"/>
  </si>
  <si>
    <t>（２）ＫＰＩ達成進度</t>
    <phoneticPr fontId="13" type="noConversion"/>
  </si>
  <si>
    <t>週平均</t>
    <phoneticPr fontId="13" type="noConversion"/>
  </si>
  <si>
    <t>月平均</t>
    <phoneticPr fontId="13" type="noConversion"/>
  </si>
  <si>
    <t>一配</t>
    <phoneticPr fontId="13" type="noConversion"/>
  </si>
  <si>
    <t>二配</t>
    <phoneticPr fontId="13" type="noConversion"/>
  </si>
  <si>
    <t>便當</t>
  </si>
  <si>
    <t>便當</t>
    <phoneticPr fontId="13" type="noConversion"/>
  </si>
  <si>
    <t>主食</t>
  </si>
  <si>
    <t>主食</t>
    <phoneticPr fontId="13" type="noConversion"/>
  </si>
  <si>
    <t>熱食義麵</t>
  </si>
  <si>
    <t>季節調理麵</t>
  </si>
  <si>
    <t>微波小吃</t>
  </si>
  <si>
    <t>微波小吃</t>
    <phoneticPr fontId="13" type="noConversion"/>
  </si>
  <si>
    <r>
      <t>月</t>
    </r>
    <r>
      <rPr>
        <sz val="12"/>
        <color rgb="FF000000"/>
        <rFont val="Arial"/>
        <family val="3"/>
        <charset val="136"/>
      </rPr>
      <t>份</t>
    </r>
    <phoneticPr fontId="13" type="noConversion"/>
  </si>
  <si>
    <r>
      <t>18℃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3" type="noConversion"/>
  </si>
  <si>
    <r>
      <t>18℃</t>
    </r>
    <r>
      <rPr>
        <b/>
        <sz val="11.9"/>
        <color rgb="FF000000"/>
        <rFont val="Meiryo UI"/>
        <family val="2"/>
      </rPr>
      <t>-壽司手卷</t>
    </r>
    <phoneticPr fontId="13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</si>
  <si>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3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</si>
  <si>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壽司手卷</t>
    </r>
    <phoneticPr fontId="13" type="noConversion"/>
  </si>
  <si>
    <r>
      <t>熱食義</t>
    </r>
    <r>
      <rPr>
        <b/>
        <sz val="14"/>
        <color rgb="FF000000"/>
        <rFont val="細明體"/>
        <family val="3"/>
        <charset val="136"/>
      </rPr>
      <t>麵</t>
    </r>
    <phoneticPr fontId="13" type="noConversion"/>
  </si>
  <si>
    <r>
      <t>季節調理</t>
    </r>
    <r>
      <rPr>
        <b/>
        <sz val="14"/>
        <color rgb="FF000000"/>
        <rFont val="細明體"/>
        <family val="3"/>
        <charset val="136"/>
      </rPr>
      <t>麵</t>
    </r>
    <phoneticPr fontId="13" type="noConversion"/>
  </si>
  <si>
    <t>合計</t>
    <phoneticPr fontId="13" type="noConversion"/>
  </si>
  <si>
    <t>（４）訂單數量構成比</t>
    <phoneticPr fontId="10"/>
  </si>
  <si>
    <t>訂單量</t>
    <phoneticPr fontId="13" type="noConversion"/>
  </si>
  <si>
    <t>訂單數</t>
    <phoneticPr fontId="13" type="noConversion"/>
  </si>
  <si>
    <t>18℃-飯糰</t>
  </si>
  <si>
    <t>18℃-壽司手卷</t>
  </si>
  <si>
    <t>4℃-飯糰</t>
  </si>
  <si>
    <t>4℃-壽司手卷</t>
  </si>
  <si>
    <t>品群</t>
    <phoneticPr fontId="13" type="noConversion"/>
  </si>
  <si>
    <t>日期</t>
    <phoneticPr fontId="13" type="noConversion"/>
  </si>
  <si>
    <t>資料繳交</t>
    <phoneticPr fontId="13" type="noConversion"/>
  </si>
  <si>
    <t>五</t>
    <phoneticPr fontId="13" type="noConversion"/>
  </si>
  <si>
    <t>二</t>
    <phoneticPr fontId="13" type="noConversion"/>
  </si>
  <si>
    <t>四</t>
    <phoneticPr fontId="13" type="noConversion"/>
  </si>
  <si>
    <t>六</t>
    <phoneticPr fontId="13" type="noConversion"/>
  </si>
  <si>
    <t>一</t>
    <phoneticPr fontId="13" type="noConversion"/>
  </si>
  <si>
    <t>產線配置圖－每週更新</t>
    <phoneticPr fontId="13" type="noConversion"/>
  </si>
  <si>
    <t>製程不穩</t>
    <phoneticPr fontId="10"/>
  </si>
  <si>
    <t>研發設定</t>
    <phoneticPr fontId="10"/>
  </si>
  <si>
    <t>類別</t>
  </si>
  <si>
    <t>備註-商品名稱</t>
  </si>
  <si>
    <t>品群</t>
    <phoneticPr fontId="10"/>
  </si>
  <si>
    <t>品群</t>
    <phoneticPr fontId="10"/>
  </si>
  <si>
    <t>原物料規格</t>
    <phoneticPr fontId="10"/>
  </si>
  <si>
    <t>其他原因</t>
    <phoneticPr fontId="10"/>
  </si>
  <si>
    <t>類型</t>
    <phoneticPr fontId="13" type="noConversion"/>
  </si>
  <si>
    <t>作業原因</t>
    <phoneticPr fontId="10"/>
  </si>
  <si>
    <t>類型</t>
    <phoneticPr fontId="13" type="noConversion"/>
  </si>
  <si>
    <t>原料原因</t>
    <phoneticPr fontId="10"/>
  </si>
  <si>
    <t>個／MH</t>
    <phoneticPr fontId="10"/>
  </si>
  <si>
    <r>
      <t>（１）收支</t>
    </r>
    <r>
      <rPr>
        <b/>
        <sz val="12"/>
        <color theme="1"/>
        <rFont val="Arial"/>
        <family val="3"/>
        <charset val="136"/>
      </rPr>
      <t>狀</t>
    </r>
    <r>
      <rPr>
        <b/>
        <sz val="12"/>
        <color theme="1"/>
        <rFont val="Meiryo UI"/>
        <family val="2"/>
      </rPr>
      <t>況</t>
    </r>
    <phoneticPr fontId="10"/>
  </si>
  <si>
    <r>
      <t>（５）品群別人時生</t>
    </r>
    <r>
      <rPr>
        <b/>
        <sz val="12"/>
        <color theme="1"/>
        <rFont val="Arial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10"/>
  </si>
  <si>
    <t>項目</t>
    <phoneticPr fontId="13" type="noConversion"/>
  </si>
  <si>
    <r>
      <t>人時性(</t>
    </r>
    <r>
      <rPr>
        <sz val="10"/>
        <color theme="1"/>
        <rFont val="細明體"/>
        <family val="3"/>
        <charset val="136"/>
      </rPr>
      <t>個</t>
    </r>
    <r>
      <rPr>
        <sz val="10"/>
        <color theme="1"/>
        <rFont val="Meiryo UI"/>
        <family val="2"/>
      </rPr>
      <t>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  <phoneticPr fontId="10"/>
  </si>
  <si>
    <r>
      <t>人時</t>
    </r>
    <r>
      <rPr>
        <sz val="10"/>
        <color theme="1"/>
        <rFont val="細明體"/>
        <family val="3"/>
        <charset val="136"/>
      </rPr>
      <t>達成率</t>
    </r>
    <r>
      <rPr>
        <sz val="10"/>
        <color theme="1"/>
        <rFont val="Meiryo UI"/>
        <family val="2"/>
      </rPr>
      <t>(%/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  <phoneticPr fontId="10"/>
  </si>
  <si>
    <t>半成品-報廢(%)</t>
    <phoneticPr fontId="10"/>
  </si>
  <si>
    <t>半成品-超用(%)</t>
    <phoneticPr fontId="10"/>
  </si>
  <si>
    <r>
      <t>固定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線-</t>
    </r>
    <r>
      <rPr>
        <sz val="10"/>
        <color theme="1"/>
        <rFont val="細明體"/>
        <family val="3"/>
        <charset val="136"/>
      </rPr>
      <t>導入率(%)</t>
    </r>
    <phoneticPr fontId="10"/>
  </si>
  <si>
    <r>
      <t>教育訓練-</t>
    </r>
    <r>
      <rPr>
        <sz val="10"/>
        <color theme="1"/>
        <rFont val="細明體"/>
        <family val="3"/>
        <charset val="136"/>
      </rPr>
      <t>實施率(%)</t>
    </r>
    <phoneticPr fontId="10"/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</si>
  <si>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3" type="noConversion"/>
  </si>
  <si>
    <r>
      <t>（６）人時生</t>
    </r>
    <r>
      <rPr>
        <b/>
        <sz val="12"/>
        <color rgb="FF000000"/>
        <rFont val="Arial"/>
        <family val="3"/>
        <charset val="136"/>
      </rPr>
      <t>產</t>
    </r>
    <r>
      <rPr>
        <b/>
        <sz val="12"/>
        <color rgb="FF000000"/>
        <rFont val="Meiryo UI"/>
        <family val="2"/>
      </rPr>
      <t>性前幾名品項</t>
    </r>
    <phoneticPr fontId="13" type="noConversion"/>
  </si>
  <si>
    <r>
      <t>18℃-飯</t>
    </r>
    <r>
      <rPr>
        <sz val="11"/>
        <color theme="1"/>
        <rFont val="Arial"/>
        <family val="2"/>
      </rPr>
      <t>糰</t>
    </r>
  </si>
  <si>
    <r>
      <t>4℃-飯</t>
    </r>
    <r>
      <rPr>
        <sz val="11"/>
        <color theme="1"/>
        <rFont val="Arial"/>
        <family val="3"/>
        <charset val="136"/>
      </rPr>
      <t>糰</t>
    </r>
  </si>
  <si>
    <r>
      <t>熱食義</t>
    </r>
    <r>
      <rPr>
        <sz val="11"/>
        <color theme="1"/>
        <rFont val="Arial"/>
        <family val="2"/>
      </rPr>
      <t>麵</t>
    </r>
  </si>
  <si>
    <r>
      <t>季節調理</t>
    </r>
    <r>
      <rPr>
        <sz val="10"/>
        <color rgb="FF000000"/>
        <rFont val="Arial"/>
        <family val="2"/>
      </rPr>
      <t>麵</t>
    </r>
  </si>
  <si>
    <t>（８）報廢原因別前幾名品項</t>
    <phoneticPr fontId="13" type="noConversion"/>
  </si>
  <si>
    <r>
      <t>調理多</t>
    </r>
    <r>
      <rPr>
        <sz val="11"/>
        <color theme="1"/>
        <rFont val="Arial"/>
        <family val="3"/>
        <charset val="136"/>
      </rPr>
      <t>產</t>
    </r>
    <phoneticPr fontId="10"/>
  </si>
  <si>
    <t>原物料規格</t>
  </si>
  <si>
    <t>研發設定</t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</si>
  <si>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10"/>
  </si>
  <si>
    <r>
      <t>（9）</t>
    </r>
    <r>
      <rPr>
        <b/>
        <sz val="12"/>
        <color rgb="FF000000"/>
        <rFont val="細明體"/>
        <family val="3"/>
        <charset val="136"/>
      </rPr>
      <t>步</t>
    </r>
    <r>
      <rPr>
        <b/>
        <sz val="12"/>
        <color rgb="FF000000"/>
        <rFont val="Meiryo UI"/>
        <family val="2"/>
      </rPr>
      <t>留因素</t>
    </r>
    <phoneticPr fontId="13" type="noConversion"/>
  </si>
  <si>
    <r>
      <t>調理多</t>
    </r>
    <r>
      <rPr>
        <sz val="11"/>
        <color theme="1"/>
        <rFont val="Arial"/>
        <family val="3"/>
        <charset val="136"/>
      </rPr>
      <t>產</t>
    </r>
    <phoneticPr fontId="10"/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</si>
  <si>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10"/>
  </si>
  <si>
    <r>
      <t>4℃-飯</t>
    </r>
    <r>
      <rPr>
        <sz val="10"/>
        <color theme="1"/>
        <rFont val="細明體"/>
        <family val="3"/>
        <charset val="136"/>
      </rPr>
      <t>糰</t>
    </r>
    <r>
      <rPr>
        <sz val="10"/>
        <color theme="1"/>
        <rFont val="Meiryo UI"/>
        <family val="2"/>
      </rPr>
      <t>(065)</t>
    </r>
    <phoneticPr fontId="13" type="noConversion"/>
  </si>
  <si>
    <t>4℃-壽司手卷(077)</t>
  </si>
  <si>
    <t>4℃-壽司手卷(077)</t>
    <phoneticPr fontId="13" type="noConversion"/>
  </si>
  <si>
    <t>18℃-壽司手卷(071,072,075,076)</t>
  </si>
  <si>
    <t>18℃-壽司手卷(071,072,075,076)</t>
    <phoneticPr fontId="13" type="noConversion"/>
  </si>
  <si>
    <t>主食(091,092,093,094,095)</t>
  </si>
  <si>
    <t>主食(091,092,093,094,095)</t>
    <phoneticPr fontId="13" type="noConversion"/>
  </si>
  <si>
    <t>便當(083)</t>
  </si>
  <si>
    <t>便當(083)</t>
    <phoneticPr fontId="13" type="noConversion"/>
  </si>
  <si>
    <r>
      <t>18℃-飯A15:A23</t>
    </r>
    <r>
      <rPr>
        <sz val="10"/>
        <color theme="1"/>
        <rFont val="細明體"/>
        <family val="3"/>
        <charset val="136"/>
      </rPr>
      <t>糰</t>
    </r>
    <r>
      <rPr>
        <sz val="10"/>
        <color theme="1"/>
        <rFont val="Meiryo UI"/>
        <family val="2"/>
      </rPr>
      <t>(061,063)</t>
    </r>
    <phoneticPr fontId="13" type="noConversion"/>
  </si>
  <si>
    <r>
      <t>熱食義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(122,123,124,126)</t>
    </r>
    <phoneticPr fontId="13" type="noConversion"/>
  </si>
  <si>
    <r>
      <t>季節調理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(111,112)</t>
    </r>
    <phoneticPr fontId="13" type="noConversion"/>
  </si>
  <si>
    <t>微波小吃(153,154,155)</t>
  </si>
  <si>
    <t>微波小吃(153,154,155)</t>
    <phoneticPr fontId="13" type="noConversion"/>
  </si>
  <si>
    <t>18℃-飯A15:A23糰(061,063)</t>
  </si>
  <si>
    <t>4℃-飯糰(065)</t>
  </si>
  <si>
    <t>熱食義麵(122,123,124,126)</t>
  </si>
  <si>
    <t>季節調理麵(111,112)</t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</si>
  <si>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3" type="noConversion"/>
  </si>
  <si>
    <r>
      <t>（７）</t>
    </r>
    <r>
      <rPr>
        <b/>
        <sz val="12"/>
        <color rgb="FF000000"/>
        <rFont val="Meiryo UI"/>
        <family val="2"/>
      </rPr>
      <t>原因別分析</t>
    </r>
    <phoneticPr fontId="13" type="noConversion"/>
  </si>
  <si>
    <t>業績金額</t>
    <phoneticPr fontId="13" type="noConversion"/>
  </si>
  <si>
    <t>項目</t>
    <phoneticPr fontId="13" type="noConversion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</si>
  <si>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10"/>
  </si>
  <si>
    <t>製程不穩</t>
    <phoneticPr fontId="10"/>
  </si>
  <si>
    <t>抓樣不穩</t>
    <phoneticPr fontId="10"/>
  </si>
  <si>
    <t>比例</t>
    <phoneticPr fontId="10"/>
  </si>
  <si>
    <t>報廢</t>
    <phoneticPr fontId="10"/>
  </si>
  <si>
    <t>超用</t>
    <phoneticPr fontId="10"/>
  </si>
  <si>
    <t>原物料規格</t>
    <phoneticPr fontId="10"/>
  </si>
  <si>
    <t>研發設定</t>
    <phoneticPr fontId="10"/>
  </si>
  <si>
    <t>其他原因</t>
    <phoneticPr fontId="10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</si>
  <si>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13" type="noConversion"/>
  </si>
  <si>
    <t>展開量高於１０5％</t>
    <phoneticPr fontId="10"/>
  </si>
  <si>
    <t>18℃-壽司手卷(071,072,075,076)</t>
    <phoneticPr fontId="13" type="noConversion"/>
  </si>
  <si>
    <t>鮮食品群番</t>
    <phoneticPr fontId="13" type="noConversion"/>
  </si>
  <si>
    <t>06</t>
  </si>
  <si>
    <t>飯糰</t>
  </si>
  <si>
    <t>10</t>
  </si>
  <si>
    <t>三明治</t>
  </si>
  <si>
    <t>061</t>
  </si>
  <si>
    <t>飯糰一配</t>
  </si>
  <si>
    <t>106</t>
  </si>
  <si>
    <t>三明治４度Ｃ</t>
  </si>
  <si>
    <t>063</t>
  </si>
  <si>
    <t>飯糰二配</t>
  </si>
  <si>
    <t>107</t>
  </si>
  <si>
    <t>調理麵包４度Ｃ</t>
  </si>
  <si>
    <t>065</t>
  </si>
  <si>
    <t>飯糰４度Ｃ</t>
  </si>
  <si>
    <t>11</t>
  </si>
  <si>
    <t>07</t>
  </si>
  <si>
    <t>壽司、手卷</t>
  </si>
  <si>
    <t>111</t>
  </si>
  <si>
    <t>涼麵</t>
  </si>
  <si>
    <t>071</t>
  </si>
  <si>
    <t>壽司一配</t>
  </si>
  <si>
    <t>112</t>
  </si>
  <si>
    <t>熱湯麵</t>
  </si>
  <si>
    <t>072</t>
  </si>
  <si>
    <t>手卷一配</t>
  </si>
  <si>
    <t>12</t>
  </si>
  <si>
    <t>075</t>
  </si>
  <si>
    <t>壽司二配</t>
  </si>
  <si>
    <t>122</t>
  </si>
  <si>
    <t>熱食麵</t>
  </si>
  <si>
    <t>076</t>
  </si>
  <si>
    <t>手卷２配</t>
  </si>
  <si>
    <t>123</t>
  </si>
  <si>
    <t>077</t>
  </si>
  <si>
    <t>４℃壽司手卷</t>
  </si>
  <si>
    <t>124</t>
  </si>
  <si>
    <t>義大利麵</t>
  </si>
  <si>
    <t>08</t>
  </si>
  <si>
    <t>126</t>
  </si>
  <si>
    <t>冷凍調理麵</t>
  </si>
  <si>
    <t>083</t>
  </si>
  <si>
    <t>便當４℃</t>
  </si>
  <si>
    <t>14</t>
  </si>
  <si>
    <t>沙拉</t>
  </si>
  <si>
    <t>09</t>
  </si>
  <si>
    <t>微波主食</t>
  </si>
  <si>
    <t>141</t>
  </si>
  <si>
    <t>091</t>
  </si>
  <si>
    <t>中式主食二配</t>
  </si>
  <si>
    <t>15</t>
  </si>
  <si>
    <t>小菜、微波</t>
  </si>
  <si>
    <t>092</t>
  </si>
  <si>
    <t>西式主食二配</t>
  </si>
  <si>
    <t>153</t>
  </si>
  <si>
    <t>湯品</t>
  </si>
  <si>
    <t>093</t>
  </si>
  <si>
    <t>日式主食</t>
  </si>
  <si>
    <t>154</t>
  </si>
  <si>
    <t>滷味</t>
  </si>
  <si>
    <t>094</t>
  </si>
  <si>
    <t>粥品</t>
  </si>
  <si>
    <t>155</t>
  </si>
  <si>
    <t>特色小吃</t>
  </si>
  <si>
    <t>095</t>
  </si>
  <si>
    <t>其他飯類</t>
  </si>
  <si>
    <t>品類訂單量</t>
    <phoneticPr fontId="13" type="noConversion"/>
  </si>
  <si>
    <t>（3）業績構成比</t>
    <phoneticPr fontId="13" type="noConversion"/>
  </si>
  <si>
    <t>（4）訂單數量構成比</t>
    <phoneticPr fontId="13" type="noConversion"/>
  </si>
  <si>
    <t>展開量高於１０5％</t>
    <phoneticPr fontId="10"/>
  </si>
  <si>
    <t>展開量高於１０5％</t>
    <phoneticPr fontId="10"/>
  </si>
  <si>
    <t>展開量高於１０5％</t>
    <phoneticPr fontId="10"/>
  </si>
  <si>
    <t xml:space="preserve">半成品報廢(%) </t>
    <phoneticPr fontId="13" type="noConversion"/>
  </si>
  <si>
    <t>月別</t>
    <phoneticPr fontId="10"/>
  </si>
  <si>
    <t>週別</t>
    <phoneticPr fontId="13" type="noConversion"/>
  </si>
  <si>
    <t>當週</t>
  </si>
  <si>
    <t>當週</t>
    <phoneticPr fontId="10"/>
  </si>
  <si>
    <t>前週</t>
  </si>
  <si>
    <t>前週</t>
    <phoneticPr fontId="13" type="noConversion"/>
  </si>
  <si>
    <t>前週</t>
    <phoneticPr fontId="10"/>
  </si>
  <si>
    <t>月平均人時性</t>
  </si>
  <si>
    <t>月平均人時性</t>
    <phoneticPr fontId="13" type="noConversion"/>
  </si>
  <si>
    <t>KPI</t>
    <phoneticPr fontId="13" type="noConversion"/>
  </si>
  <si>
    <t>18℃-飯糰(061,063)</t>
  </si>
  <si>
    <t>二</t>
    <phoneticPr fontId="13" type="noConversion"/>
  </si>
  <si>
    <t>三</t>
    <phoneticPr fontId="13" type="noConversion"/>
  </si>
  <si>
    <t>四</t>
    <phoneticPr fontId="13" type="noConversion"/>
  </si>
  <si>
    <t>五</t>
    <phoneticPr fontId="13" type="noConversion"/>
  </si>
  <si>
    <t>六</t>
    <phoneticPr fontId="13" type="noConversion"/>
  </si>
  <si>
    <t>日</t>
    <phoneticPr fontId="13" type="noConversion"/>
  </si>
  <si>
    <t>一</t>
    <phoneticPr fontId="13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</si>
  <si>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3" type="noConversion"/>
  </si>
  <si>
    <t>生產課</t>
  </si>
  <si>
    <t>其他</t>
  </si>
  <si>
    <t>二配金咖哩果香甘口咖哩飯</t>
  </si>
  <si>
    <t>北海道秋鮭親子飯糰</t>
  </si>
  <si>
    <t>調配課</t>
  </si>
  <si>
    <t>共用類</t>
  </si>
  <si>
    <t>切-炙燒炭火燒肉片</t>
  </si>
  <si>
    <t>二配港式香滑嫩蛋牛肉燴飯</t>
  </si>
  <si>
    <t>營業額(元)</t>
    <phoneticPr fontId="13" type="noConversion"/>
  </si>
  <si>
    <t>營業額</t>
    <phoneticPr fontId="13" type="noConversion"/>
  </si>
  <si>
    <t>經典肉鬆飯糰</t>
  </si>
  <si>
    <t>蔬食鮪魚飯糰</t>
  </si>
  <si>
    <t>鮪魚飯糰</t>
  </si>
  <si>
    <t>壹號醬炙烤牛飯糰</t>
  </si>
  <si>
    <t>明太子龍蝦風味沙拉飯糰</t>
  </si>
  <si>
    <t>鹽蔥燒肉飯糰</t>
  </si>
  <si>
    <t>雞肉飯飯糰</t>
  </si>
  <si>
    <t>優質池上飯</t>
  </si>
  <si>
    <t>二配哞哞培根奶香海陸焗飯</t>
  </si>
  <si>
    <t>鐵板滑蛋炸豬排丼</t>
  </si>
  <si>
    <t>二配川味麻婆燒豆腐燴飯</t>
  </si>
  <si>
    <t>嫩烤香料雞胸排蔬滿盒</t>
  </si>
  <si>
    <t>新招牌腿排便當</t>
  </si>
  <si>
    <t>健身G肉餐盒</t>
  </si>
  <si>
    <t>烤蛋白餐盒</t>
  </si>
  <si>
    <t>椒麻香蔥雞涼拌麵</t>
  </si>
  <si>
    <t>台式麻醬涼麵</t>
  </si>
  <si>
    <t>大滿足香辣涼麵</t>
  </si>
  <si>
    <t>大滿足麻醬涼麵</t>
  </si>
  <si>
    <t>糖燻豬耳絲</t>
  </si>
  <si>
    <t>韓式蒜味炸雞</t>
  </si>
  <si>
    <t>古早味炒炊粉</t>
  </si>
  <si>
    <t>麻油雞飯糰</t>
  </si>
  <si>
    <t>淡麗清酒蒸蛤蜊烤飯糰</t>
  </si>
  <si>
    <t>大口日式塔塔醬蝦排飯糰</t>
  </si>
  <si>
    <t>大口蒜味香腸燒肉雙拼飯糰</t>
  </si>
  <si>
    <t>大口義式香草雞腿排飯糰</t>
  </si>
  <si>
    <t>晉欣廠</t>
    <phoneticPr fontId="13" type="noConversion"/>
  </si>
  <si>
    <r>
      <t>生</t>
    </r>
    <r>
      <rPr>
        <b/>
        <sz val="20"/>
        <color rgb="FF000000"/>
        <rFont val="微軟正黑體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  <phoneticPr fontId="13" type="noConversion"/>
  </si>
  <si>
    <t>累計</t>
    <phoneticPr fontId="13" type="noConversion"/>
  </si>
  <si>
    <t>製程不穩</t>
  </si>
  <si>
    <t>平均人時性</t>
    <phoneticPr fontId="13" type="noConversion"/>
  </si>
  <si>
    <t>排名</t>
    <phoneticPr fontId="13" type="noConversion"/>
  </si>
  <si>
    <t>實際</t>
    <phoneticPr fontId="13" type="noConversion"/>
  </si>
  <si>
    <t>品群</t>
    <phoneticPr fontId="13" type="noConversion"/>
  </si>
  <si>
    <t>計畫</t>
    <phoneticPr fontId="13" type="noConversion"/>
  </si>
  <si>
    <t>實績</t>
    <phoneticPr fontId="13" type="noConversion"/>
  </si>
  <si>
    <t>日報</t>
    <phoneticPr fontId="13" type="noConversion"/>
  </si>
  <si>
    <t>產線配置圖</t>
    <phoneticPr fontId="13" type="noConversion"/>
  </si>
  <si>
    <t>生產實績</t>
    <phoneticPr fontId="13" type="noConversion"/>
  </si>
  <si>
    <t>人數</t>
    <phoneticPr fontId="13" type="noConversion"/>
  </si>
  <si>
    <t>產能／時</t>
    <phoneticPr fontId="13" type="noConversion"/>
  </si>
  <si>
    <t>人時性</t>
    <phoneticPr fontId="13" type="noConversion"/>
  </si>
  <si>
    <r>
      <t>4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飯糰</t>
    </r>
    <phoneticPr fontId="13" type="noConversion"/>
  </si>
  <si>
    <t>商品名稱</t>
    <phoneticPr fontId="13" type="noConversion"/>
  </si>
  <si>
    <r>
      <rPr>
        <sz val="10"/>
        <color rgb="FF000000"/>
        <rFont val="Arial"/>
        <family val="3"/>
        <charset val="136"/>
        <scheme val="minor"/>
      </rPr>
      <t>4℃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3" type="noConversion"/>
  </si>
  <si>
    <t>熱食義麵</t>
    <phoneticPr fontId="13" type="noConversion"/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</si>
  <si>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  <phoneticPr fontId="10"/>
  </si>
  <si>
    <t>前週比</t>
    <phoneticPr fontId="13" type="noConversion"/>
  </si>
  <si>
    <t>主要原因&amp;對策</t>
    <phoneticPr fontId="10"/>
  </si>
  <si>
    <t>排名</t>
    <phoneticPr fontId="10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</si>
  <si>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3" type="noConversion"/>
  </si>
  <si>
    <t>便當</t>
    <phoneticPr fontId="13" type="noConversion"/>
  </si>
  <si>
    <t>燻之味-糖燻雞胗</t>
  </si>
  <si>
    <t>品群</t>
    <phoneticPr fontId="13" type="noConversion"/>
  </si>
  <si>
    <t>商品名稱</t>
    <phoneticPr fontId="13" type="noConversion"/>
  </si>
  <si>
    <t>計畫</t>
    <phoneticPr fontId="13" type="noConversion"/>
  </si>
  <si>
    <t>平均人時性</t>
    <phoneticPr fontId="13" type="noConversion"/>
  </si>
  <si>
    <t>實績</t>
    <phoneticPr fontId="13" type="noConversion"/>
  </si>
  <si>
    <t>排名</t>
    <phoneticPr fontId="13" type="noConversion"/>
  </si>
  <si>
    <t>日報</t>
    <phoneticPr fontId="13" type="noConversion"/>
  </si>
  <si>
    <t>實際</t>
    <phoneticPr fontId="13" type="noConversion"/>
  </si>
  <si>
    <t>產線配置圖</t>
    <phoneticPr fontId="13" type="noConversion"/>
  </si>
  <si>
    <t>生產實績</t>
    <phoneticPr fontId="13" type="noConversion"/>
  </si>
  <si>
    <t>人數</t>
    <phoneticPr fontId="13" type="noConversion"/>
  </si>
  <si>
    <t>產能／時</t>
    <phoneticPr fontId="13" type="noConversion"/>
  </si>
  <si>
    <t>人時性</t>
    <phoneticPr fontId="13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</si>
  <si>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3" type="noConversion"/>
  </si>
  <si>
    <r>
      <t>4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飯糰</t>
    </r>
    <phoneticPr fontId="13" type="noConversion"/>
  </si>
  <si>
    <r>
      <rPr>
        <sz val="10"/>
        <color rgb="FF000000"/>
        <rFont val="Arial"/>
        <family val="3"/>
        <charset val="136"/>
        <scheme val="minor"/>
      </rPr>
      <t>4℃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3" type="noConversion"/>
  </si>
  <si>
    <t>便當</t>
    <phoneticPr fontId="13" type="noConversion"/>
  </si>
  <si>
    <t>熱食義麵</t>
    <phoneticPr fontId="13" type="noConversion"/>
  </si>
  <si>
    <t>品群</t>
    <phoneticPr fontId="13" type="noConversion"/>
  </si>
  <si>
    <t>商品名稱</t>
    <phoneticPr fontId="13" type="noConversion"/>
  </si>
  <si>
    <t>計畫</t>
    <phoneticPr fontId="13" type="noConversion"/>
  </si>
  <si>
    <t>平均人時性</t>
    <phoneticPr fontId="13" type="noConversion"/>
  </si>
  <si>
    <t>實績</t>
    <phoneticPr fontId="13" type="noConversion"/>
  </si>
  <si>
    <t>排名</t>
    <phoneticPr fontId="13" type="noConversion"/>
  </si>
  <si>
    <t>日報</t>
    <phoneticPr fontId="13" type="noConversion"/>
  </si>
  <si>
    <t>實際</t>
    <phoneticPr fontId="13" type="noConversion"/>
  </si>
  <si>
    <t>產線配置圖</t>
    <phoneticPr fontId="13" type="noConversion"/>
  </si>
  <si>
    <t>生產實績</t>
    <phoneticPr fontId="13" type="noConversion"/>
  </si>
  <si>
    <t>人數</t>
    <phoneticPr fontId="13" type="noConversion"/>
  </si>
  <si>
    <t>產能／時</t>
    <phoneticPr fontId="13" type="noConversion"/>
  </si>
  <si>
    <t>人時性</t>
    <phoneticPr fontId="13" type="noConversion"/>
  </si>
  <si>
    <t>主食</t>
    <phoneticPr fontId="13" type="noConversion"/>
  </si>
  <si>
    <t>微波小吃</t>
    <phoneticPr fontId="13" type="noConversion"/>
  </si>
  <si>
    <t>季節調理麵</t>
    <phoneticPr fontId="13" type="noConversion"/>
  </si>
  <si>
    <r>
      <t>8</t>
    </r>
    <r>
      <rPr>
        <sz val="10"/>
        <color rgb="FF000000"/>
        <rFont val="細明體"/>
        <family val="3"/>
        <charset val="136"/>
      </rPr>
      <t>月</t>
    </r>
    <phoneticPr fontId="13" type="noConversion"/>
  </si>
  <si>
    <r>
      <t>9</t>
    </r>
    <r>
      <rPr>
        <sz val="10"/>
        <color rgb="FF000000"/>
        <rFont val="細明體"/>
        <family val="3"/>
        <charset val="136"/>
      </rPr>
      <t>月</t>
    </r>
    <phoneticPr fontId="13" type="noConversion"/>
  </si>
  <si>
    <r>
      <t>10月</t>
    </r>
    <r>
      <rPr>
        <sz val="10"/>
        <color rgb="FF000000"/>
        <rFont val="細明體"/>
        <family val="3"/>
        <charset val="136"/>
      </rPr>
      <t/>
    </r>
  </si>
  <si>
    <r>
      <t>11月</t>
    </r>
    <r>
      <rPr>
        <sz val="10"/>
        <color rgb="FF000000"/>
        <rFont val="細明體"/>
        <family val="3"/>
        <charset val="136"/>
      </rPr>
      <t/>
    </r>
  </si>
  <si>
    <r>
      <t>12月</t>
    </r>
    <r>
      <rPr>
        <sz val="10"/>
        <color rgb="FF000000"/>
        <rFont val="細明體"/>
        <family val="3"/>
        <charset val="136"/>
      </rPr>
      <t/>
    </r>
  </si>
  <si>
    <t>糖燻野郎起司炙燒牛烤飯糰</t>
  </si>
  <si>
    <t>品群</t>
    <phoneticPr fontId="13" type="noConversion"/>
  </si>
  <si>
    <t>商品名稱</t>
    <phoneticPr fontId="13" type="noConversion"/>
  </si>
  <si>
    <t>計畫</t>
    <phoneticPr fontId="13" type="noConversion"/>
  </si>
  <si>
    <t>日報</t>
    <phoneticPr fontId="13" type="noConversion"/>
  </si>
  <si>
    <t>實際</t>
    <phoneticPr fontId="13" type="noConversion"/>
  </si>
  <si>
    <t>平均人時性</t>
    <phoneticPr fontId="13" type="noConversion"/>
  </si>
  <si>
    <t>生產實績</t>
    <phoneticPr fontId="13" type="noConversion"/>
  </si>
  <si>
    <t>人時性</t>
    <phoneticPr fontId="13" type="noConversion"/>
  </si>
  <si>
    <t>產能／時</t>
    <phoneticPr fontId="13" type="noConversion"/>
  </si>
  <si>
    <t>排名</t>
    <phoneticPr fontId="13" type="noConversion"/>
  </si>
  <si>
    <t>人數</t>
    <phoneticPr fontId="13" type="noConversion"/>
  </si>
  <si>
    <t>季節調理麵</t>
    <phoneticPr fontId="13" type="noConversion"/>
  </si>
  <si>
    <t>品群</t>
    <phoneticPr fontId="13" type="noConversion"/>
  </si>
  <si>
    <t>微波小吃</t>
    <phoneticPr fontId="13" type="noConversion"/>
  </si>
  <si>
    <t>增加線上抽秤頻率</t>
  </si>
  <si>
    <r>
      <t>（５）品群別人時生</t>
    </r>
    <r>
      <rPr>
        <b/>
        <sz val="12"/>
        <color theme="1"/>
        <rFont val="細明體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10"/>
  </si>
  <si>
    <t>一</t>
  </si>
  <si>
    <t>二</t>
  </si>
  <si>
    <t>三</t>
  </si>
  <si>
    <t>四</t>
  </si>
  <si>
    <t>五</t>
  </si>
  <si>
    <t>六</t>
  </si>
  <si>
    <t>日</t>
  </si>
  <si>
    <r>
      <t>月</t>
    </r>
    <r>
      <rPr>
        <sz val="11"/>
        <color rgb="FFFF0000"/>
        <rFont val="細明體"/>
        <family val="3"/>
        <charset val="136"/>
      </rPr>
      <t>平均</t>
    </r>
    <phoneticPr fontId="13" type="noConversion"/>
  </si>
  <si>
    <t>品群</t>
    <phoneticPr fontId="13" type="noConversion"/>
  </si>
  <si>
    <t>商品名稱</t>
    <phoneticPr fontId="13" type="noConversion"/>
  </si>
  <si>
    <t>計畫</t>
    <phoneticPr fontId="13" type="noConversion"/>
  </si>
  <si>
    <t>平均人時性</t>
    <phoneticPr fontId="13" type="noConversion"/>
  </si>
  <si>
    <t>實績</t>
    <phoneticPr fontId="13" type="noConversion"/>
  </si>
  <si>
    <t>排名</t>
    <phoneticPr fontId="13" type="noConversion"/>
  </si>
  <si>
    <t>日報</t>
    <phoneticPr fontId="13" type="noConversion"/>
  </si>
  <si>
    <t>實際</t>
    <phoneticPr fontId="13" type="noConversion"/>
  </si>
  <si>
    <t>產線配置圖</t>
    <phoneticPr fontId="13" type="noConversion"/>
  </si>
  <si>
    <t>生產實績</t>
    <phoneticPr fontId="13" type="noConversion"/>
  </si>
  <si>
    <t>人數</t>
    <phoneticPr fontId="13" type="noConversion"/>
  </si>
  <si>
    <t>產能／時</t>
    <phoneticPr fontId="13" type="noConversion"/>
  </si>
  <si>
    <t>人時性</t>
    <phoneticPr fontId="13" type="noConversion"/>
  </si>
  <si>
    <r>
      <rPr>
        <sz val="10"/>
        <color rgb="FF000000"/>
        <rFont val="Arial"/>
        <family val="3"/>
        <charset val="136"/>
        <scheme val="minor"/>
      </rPr>
      <t>4℃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3" type="noConversion"/>
  </si>
  <si>
    <t>便當</t>
    <phoneticPr fontId="13" type="noConversion"/>
  </si>
  <si>
    <t>季節調理麵</t>
    <phoneticPr fontId="13" type="noConversion"/>
  </si>
  <si>
    <t>微波小吃</t>
    <phoneticPr fontId="13" type="noConversion"/>
  </si>
  <si>
    <t>品群</t>
    <phoneticPr fontId="13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</si>
  <si>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3" type="noConversion"/>
  </si>
  <si>
    <t>產線配置圖－月表</t>
    <phoneticPr fontId="13" type="noConversion"/>
  </si>
  <si>
    <t>品群</t>
    <phoneticPr fontId="13" type="noConversion"/>
  </si>
  <si>
    <t>商品名稱</t>
    <phoneticPr fontId="13" type="noConversion"/>
  </si>
  <si>
    <t>計畫</t>
    <phoneticPr fontId="13" type="noConversion"/>
  </si>
  <si>
    <t>平均人時性</t>
    <phoneticPr fontId="13" type="noConversion"/>
  </si>
  <si>
    <t>實績</t>
    <phoneticPr fontId="13" type="noConversion"/>
  </si>
  <si>
    <t>排名</t>
    <phoneticPr fontId="13" type="noConversion"/>
  </si>
  <si>
    <t>產線配置圖</t>
    <phoneticPr fontId="13" type="noConversion"/>
  </si>
  <si>
    <t>人數</t>
    <phoneticPr fontId="13" type="noConversion"/>
  </si>
  <si>
    <t>產能／時</t>
    <phoneticPr fontId="13" type="noConversion"/>
  </si>
  <si>
    <t>人時性</t>
    <phoneticPr fontId="13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</si>
  <si>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飯糰</t>
    </r>
    <phoneticPr fontId="13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</si>
  <si>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3" type="noConversion"/>
  </si>
  <si>
    <t>產線配置圖－月表</t>
    <phoneticPr fontId="13" type="noConversion"/>
  </si>
  <si>
    <r>
      <rPr>
        <sz val="10"/>
        <color rgb="FF000000"/>
        <rFont val="Arial"/>
        <family val="3"/>
        <charset val="136"/>
        <scheme val="minor"/>
      </rPr>
      <t>4℃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3" type="noConversion"/>
  </si>
  <si>
    <t>主食</t>
    <phoneticPr fontId="13" type="noConversion"/>
  </si>
  <si>
    <t>便當</t>
    <phoneticPr fontId="13" type="noConversion"/>
  </si>
  <si>
    <t>季節調理麵</t>
    <phoneticPr fontId="13" type="noConversion"/>
  </si>
  <si>
    <t>微波小吃</t>
    <phoneticPr fontId="13" type="noConversion"/>
  </si>
  <si>
    <t>海陸雙拼肉肉餐盒</t>
  </si>
  <si>
    <t>取樣不穩</t>
  </si>
  <si>
    <t>蔬活腿排補力餐盒</t>
  </si>
  <si>
    <t>類型</t>
    <phoneticPr fontId="13" type="noConversion"/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</si>
  <si>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3" type="noConversion"/>
  </si>
  <si>
    <t>（８）超用原因別前幾名品項</t>
    <phoneticPr fontId="13" type="noConversion"/>
  </si>
  <si>
    <t>展開量高於１０5％</t>
    <phoneticPr fontId="10"/>
  </si>
  <si>
    <r>
      <t>調理多</t>
    </r>
    <r>
      <rPr>
        <sz val="11"/>
        <color theme="1"/>
        <rFont val="Arial"/>
        <family val="3"/>
        <charset val="136"/>
      </rPr>
      <t>產</t>
    </r>
    <phoneticPr fontId="10"/>
  </si>
  <si>
    <t>製程不穩</t>
    <phoneticPr fontId="10"/>
  </si>
  <si>
    <t>取樣不穩</t>
    <phoneticPr fontId="10"/>
  </si>
  <si>
    <t>原物料規格</t>
    <phoneticPr fontId="10"/>
  </si>
  <si>
    <t>研發設定</t>
    <phoneticPr fontId="10"/>
  </si>
  <si>
    <t>其他原因</t>
    <phoneticPr fontId="10"/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</si>
  <si>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10"/>
  </si>
  <si>
    <t>原物料大小、厚薄差異</t>
  </si>
  <si>
    <t>其他原因</t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</si>
  <si>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  <phoneticPr fontId="10"/>
  </si>
  <si>
    <t>兩粒飯糰(鮪魚.焦糖鮭魚)</t>
  </si>
  <si>
    <t>二配泰式綠咖哩雞</t>
  </si>
  <si>
    <t>香腸腿排雙拼便當</t>
  </si>
  <si>
    <t>日式蕎麥沾麵</t>
  </si>
  <si>
    <t>二配金咖哩濃厚辛口咖哩飯</t>
  </si>
  <si>
    <t>確認備料量是否正確，調整出料率</t>
  </si>
  <si>
    <t>回饋研發，後續開發列入考量，設定放料量範圍。</t>
  </si>
  <si>
    <t>增加線上抽秤頻率，維持人員放料手感</t>
  </si>
  <si>
    <t>品群</t>
    <phoneticPr fontId="13" type="noConversion"/>
  </si>
  <si>
    <t>商品名稱</t>
    <phoneticPr fontId="13" type="noConversion"/>
  </si>
  <si>
    <t>計畫</t>
    <phoneticPr fontId="13" type="noConversion"/>
  </si>
  <si>
    <t>平均人時性</t>
    <phoneticPr fontId="13" type="noConversion"/>
  </si>
  <si>
    <t>實績</t>
    <phoneticPr fontId="13" type="noConversion"/>
  </si>
  <si>
    <t>排名</t>
    <phoneticPr fontId="13" type="noConversion"/>
  </si>
  <si>
    <t>日報</t>
    <phoneticPr fontId="13" type="noConversion"/>
  </si>
  <si>
    <t>實際</t>
    <phoneticPr fontId="13" type="noConversion"/>
  </si>
  <si>
    <t>產線配置圖</t>
    <phoneticPr fontId="13" type="noConversion"/>
  </si>
  <si>
    <t>生產實績</t>
    <phoneticPr fontId="13" type="noConversion"/>
  </si>
  <si>
    <t>人數</t>
    <phoneticPr fontId="13" type="noConversion"/>
  </si>
  <si>
    <t>產能／時</t>
    <phoneticPr fontId="13" type="noConversion"/>
  </si>
  <si>
    <t>人時性</t>
    <phoneticPr fontId="13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</si>
  <si>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3" type="noConversion"/>
  </si>
  <si>
    <r>
      <t>4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飯糰</t>
    </r>
    <phoneticPr fontId="13" type="noConversion"/>
  </si>
  <si>
    <t>品群</t>
  </si>
  <si>
    <t>商品名稱</t>
  </si>
  <si>
    <t>計畫</t>
  </si>
  <si>
    <t>平均人時性</t>
  </si>
  <si>
    <t>實績</t>
  </si>
  <si>
    <t>排名</t>
  </si>
  <si>
    <t>日報</t>
  </si>
  <si>
    <t>產線配置圖</t>
  </si>
  <si>
    <t>人數</t>
  </si>
  <si>
    <t>產能／時</t>
  </si>
  <si>
    <t>人時性</t>
  </si>
  <si>
    <t>品群</t>
    <phoneticPr fontId="10"/>
  </si>
  <si>
    <t>排名</t>
    <phoneticPr fontId="10"/>
  </si>
  <si>
    <t>品群</t>
    <phoneticPr fontId="13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</si>
  <si>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3" type="noConversion"/>
  </si>
  <si>
    <t>品群</t>
    <phoneticPr fontId="13" type="noConversion"/>
  </si>
  <si>
    <t>平均人時性</t>
    <phoneticPr fontId="13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</si>
  <si>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3" type="noConversion"/>
  </si>
  <si>
    <t>壹號醬雞豚雙拼</t>
  </si>
  <si>
    <t>烤飯糰1</t>
    <phoneticPr fontId="13" type="noConversion"/>
  </si>
  <si>
    <t>烤飯糰2</t>
    <phoneticPr fontId="13" type="noConversion"/>
  </si>
  <si>
    <t>人數</t>
    <phoneticPr fontId="10"/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</si>
  <si>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  <phoneticPr fontId="10"/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</si>
  <si>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  <phoneticPr fontId="10"/>
  </si>
  <si>
    <t>前週比</t>
    <phoneticPr fontId="13" type="noConversion"/>
  </si>
  <si>
    <t>主要原因&amp;對策</t>
    <phoneticPr fontId="10"/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</si>
  <si>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  <phoneticPr fontId="10"/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</si>
  <si>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  <phoneticPr fontId="10"/>
  </si>
  <si>
    <t>前週比</t>
    <phoneticPr fontId="13" type="noConversion"/>
  </si>
  <si>
    <t>排名</t>
    <phoneticPr fontId="13" type="noConversion"/>
  </si>
  <si>
    <t>好吃雞肉便當</t>
  </si>
  <si>
    <t>媽媽煮藝-鹹酥雞</t>
  </si>
  <si>
    <t>贅沢鮭魚肚飯糰</t>
  </si>
  <si>
    <t>熟成紅鮭飯糰</t>
  </si>
  <si>
    <t>碳烤燒肉飯飯糰(區)</t>
  </si>
  <si>
    <t>二配芝麻香鬆飯糰</t>
  </si>
  <si>
    <t>二配三杯醬爆菇菇飯糰</t>
  </si>
  <si>
    <t>二配大飯糰韓式蒜烤豬五花</t>
  </si>
  <si>
    <t>鮭魚奶油醬油飯糰</t>
  </si>
  <si>
    <t>煙燻培根飯糰(區)</t>
  </si>
  <si>
    <t>長野稻荷壽司</t>
  </si>
  <si>
    <t>大口歐風焙煎咖哩漢堡排飯糰</t>
  </si>
  <si>
    <t>二配香辣醬蒜味香腸蛋炒飯</t>
  </si>
  <si>
    <t>二配里肌豬排可可咖哩歐姆蛋飯</t>
  </si>
  <si>
    <t>二配黃金雞排蘑菇白醬歐姆蛋飯</t>
  </si>
  <si>
    <t>賣相要求</t>
  </si>
  <si>
    <t>媽媽煮藝-香滷牛肚絲</t>
  </si>
  <si>
    <t>壹號醬壽喜燒牛丼</t>
  </si>
  <si>
    <t>炒壽喜燒牛五花</t>
  </si>
  <si>
    <t>原物料的大小長短、油花分布不同導致相同賣相的需求下用量不一樣。</t>
  </si>
  <si>
    <t>韓式泡菜豬肉豆腐丼飯</t>
  </si>
  <si>
    <t>香檸奶油魚排蔬滿盒</t>
  </si>
  <si>
    <t>冰杓放料，冰杓滿度差異、半成品均勻度影響放料量</t>
  </si>
  <si>
    <t>半成品使用前先攪拌均勻。生產前及生產中確認設定及實際放料狀況</t>
  </si>
  <si>
    <t/>
  </si>
  <si>
    <t>Q彈燕麥飯</t>
  </si>
  <si>
    <t>炸醬炒泡麵</t>
  </si>
  <si>
    <t>鐵道滷排便當</t>
  </si>
  <si>
    <t>單價高</t>
  </si>
  <si>
    <t>柚檸海灣貝飯糰</t>
  </si>
  <si>
    <t>鮭鮪海饌雙手卷</t>
  </si>
  <si>
    <t>經典人氣雙手卷</t>
  </si>
  <si>
    <t>和風涓絲冷麵</t>
  </si>
  <si>
    <t>二配兩粒飯糰(鮪魚.焦糖鮭魚)</t>
  </si>
  <si>
    <r>
      <t>（７）</t>
    </r>
    <r>
      <rPr>
        <b/>
        <sz val="12"/>
        <color rgb="FF000000"/>
        <rFont val="Meiryo UI"/>
        <family val="2"/>
      </rPr>
      <t>原因別分析</t>
    </r>
    <phoneticPr fontId="13" type="noConversion"/>
  </si>
  <si>
    <t>%</t>
  </si>
  <si>
    <t>元</t>
  </si>
  <si>
    <t>展開量高於需求量</t>
  </si>
  <si>
    <t>百分比</t>
  </si>
  <si>
    <t>晉欣廠半成品管理日別總表</t>
    <phoneticPr fontId="13" type="noConversion"/>
  </si>
  <si>
    <t>日式炙烤親子丼</t>
  </si>
  <si>
    <t>黑胡椒洋蔥豬飯糰</t>
  </si>
  <si>
    <t>二配香烤魚排青醬燉飯</t>
  </si>
  <si>
    <t>懷舊滷雙拼便當</t>
  </si>
  <si>
    <t>黑胡椒毛豆</t>
  </si>
  <si>
    <t>毛豆三兄弟</t>
  </si>
  <si>
    <t>椒鹽檸檬鯖魚飯糰</t>
  </si>
  <si>
    <t>皮蛋辣拌麵</t>
  </si>
  <si>
    <t>日式胡麻雞絲冷麵</t>
  </si>
  <si>
    <t>二配打拋風味豬肉飯</t>
  </si>
  <si>
    <t>生產前先行撥散半成品，便於人員放樣</t>
  </si>
  <si>
    <t>蒸-醬香雞肉絲CL(全)</t>
  </si>
  <si>
    <t>明太子生鮭飯糰(區)</t>
  </si>
  <si>
    <t>二配厚香料優格咖哩雞排飯</t>
  </si>
  <si>
    <t>慢燉滷肉油蔥粄條</t>
  </si>
  <si>
    <t>嘉義崇文白醋涼麵</t>
  </si>
  <si>
    <t>雞汁油蔥手工麵線</t>
  </si>
  <si>
    <t>二配藤椒雞丁炒飯</t>
  </si>
  <si>
    <t>招牌雞絲胡麻涼麵</t>
  </si>
  <si>
    <t>菜梗、葉差異及分布不均，影響人員放料手感</t>
  </si>
  <si>
    <t>燻之味-糖燻雞腿</t>
  </si>
  <si>
    <t>香辣醬雞肉炒飯飯糰</t>
  </si>
  <si>
    <t>韓式黑嚕嚕炸醬麵</t>
  </si>
  <si>
    <t>半成品有結塊的狀況，影響人員放料手感</t>
  </si>
  <si>
    <t>川味花椒口水雞涼麵</t>
  </si>
  <si>
    <t>炙烤醬香燒豚飯</t>
  </si>
  <si>
    <t>確認備料量</t>
  </si>
  <si>
    <t>二配西班牙風味海鮮燉飯</t>
  </si>
  <si>
    <t>原物料的大小、長短、厚薄分布差異導致取樣易有不穩定的狀況</t>
  </si>
  <si>
    <t>二配大飯糰泡菜鮪魚</t>
  </si>
  <si>
    <t>二配油煮蛤蜊-肉</t>
  </si>
  <si>
    <t>二配西班牙烤雞腿丁(115年)</t>
  </si>
  <si>
    <t>二配鮭魚毛豆炊飯飯糰</t>
  </si>
  <si>
    <t>二配柚香雞胸五穀飯糰</t>
  </si>
  <si>
    <t>類型</t>
  </si>
  <si>
    <t>半成品名</t>
  </si>
  <si>
    <t>單價</t>
  </si>
  <si>
    <t>報廢率</t>
  </si>
  <si>
    <t>數量</t>
  </si>
  <si>
    <t>地中海布格麥烤魚餐盒</t>
  </si>
  <si>
    <t>前幾名合計比例</t>
  </si>
  <si>
    <t>前幾名合計金額</t>
  </si>
  <si>
    <t>增加放料抽秤頻率</t>
  </si>
  <si>
    <t>超用率</t>
  </si>
  <si>
    <t>調理多產</t>
  </si>
  <si>
    <t>賣相設定</t>
  </si>
  <si>
    <t>回饋研發，後續開發列入考量。</t>
  </si>
  <si>
    <t>報廢前二十名紀錄表</t>
  </si>
  <si>
    <t>月別</t>
  </si>
  <si>
    <t>排序</t>
  </si>
  <si>
    <t>半成品名稱</t>
  </si>
  <si>
    <t>報廢金額
(元)</t>
  </si>
  <si>
    <t>半成品單價
(元/kg)</t>
  </si>
  <si>
    <t>訂單需求
(kg/個)</t>
  </si>
  <si>
    <t>生管展開</t>
  </si>
  <si>
    <t>生產實際產出</t>
  </si>
  <si>
    <t>生產補單</t>
  </si>
  <si>
    <t>總產出</t>
  </si>
  <si>
    <t>報廢</t>
  </si>
  <si>
    <t>超用A(多展)</t>
  </si>
  <si>
    <t>超用B(多展-報廢)</t>
  </si>
  <si>
    <t>分析原因</t>
  </si>
  <si>
    <t>原因說明</t>
  </si>
  <si>
    <t>後續對策</t>
  </si>
  <si>
    <t>次數</t>
  </si>
  <si>
    <t>分析原因（件）</t>
  </si>
  <si>
    <t>kg/個</t>
  </si>
  <si>
    <t>原因分析</t>
  </si>
  <si>
    <t>總件數</t>
  </si>
  <si>
    <t>準備課</t>
  </si>
  <si>
    <r>
      <rPr>
        <b/>
        <sz val="16"/>
        <color rgb="FF000000"/>
        <rFont val="Microsoft JhengHei"/>
        <family val="2"/>
      </rPr>
      <t>報廢</t>
    </r>
    <r>
      <rPr>
        <b/>
        <sz val="16"/>
        <color rgb="FF000000"/>
        <rFont val="Meiryo UI"/>
        <family val="2"/>
      </rPr>
      <t>前二十名紀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3" type="noConversion"/>
  </si>
  <si>
    <t>超用前二十名紀錄表</t>
  </si>
  <si>
    <t>超用金額
(元)</t>
  </si>
  <si>
    <r>
      <rPr>
        <b/>
        <sz val="16"/>
        <color rgb="FF000000"/>
        <rFont val="Microsoft JhengHei"/>
        <family val="2"/>
      </rPr>
      <t>超用</t>
    </r>
    <r>
      <rPr>
        <b/>
        <sz val="16"/>
        <color rgb="FF000000"/>
        <rFont val="Meiryo UI"/>
        <family val="2"/>
      </rPr>
      <t>前二十名紀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3" type="noConversion"/>
  </si>
  <si>
    <t>7月總報廢合計</t>
    <phoneticPr fontId="13" type="noConversion"/>
  </si>
  <si>
    <t>7月總報廢率</t>
    <phoneticPr fontId="13" type="noConversion"/>
  </si>
  <si>
    <r>
      <t>7月總超用A合計金額
(</t>
    </r>
    <r>
      <rPr>
        <b/>
        <sz val="18"/>
        <color rgb="FFFF0000"/>
        <rFont val="微軟正黑體"/>
        <family val="2"/>
        <charset val="136"/>
      </rPr>
      <t>多展</t>
    </r>
    <r>
      <rPr>
        <b/>
        <sz val="18"/>
        <color theme="1"/>
        <rFont val="微軟正黑體"/>
        <family val="2"/>
        <charset val="136"/>
      </rPr>
      <t>)</t>
    </r>
    <phoneticPr fontId="13" type="noConversion"/>
  </si>
  <si>
    <r>
      <t>7月總超用率A
(</t>
    </r>
    <r>
      <rPr>
        <b/>
        <sz val="18"/>
        <color rgb="FFFF0000"/>
        <rFont val="微軟正黑體"/>
        <family val="2"/>
        <charset val="136"/>
      </rPr>
      <t>多展</t>
    </r>
    <r>
      <rPr>
        <b/>
        <sz val="18"/>
        <color theme="1"/>
        <rFont val="微軟正黑體"/>
        <family val="2"/>
        <charset val="136"/>
      </rPr>
      <t>)</t>
    </r>
    <phoneticPr fontId="13" type="noConversion"/>
  </si>
  <si>
    <t>7月總超用B合計金額
(多展-報廢)</t>
    <phoneticPr fontId="13" type="noConversion"/>
  </si>
  <si>
    <t>7月總超用率B
(多展-報廢)</t>
    <phoneticPr fontId="13" type="noConversion"/>
  </si>
  <si>
    <t>廢棄週合計</t>
    <phoneticPr fontId="13" type="noConversion"/>
  </si>
  <si>
    <t>超用週合計</t>
    <phoneticPr fontId="13" type="noConversion"/>
  </si>
  <si>
    <t>日期</t>
    <phoneticPr fontId="81" type="noConversion"/>
  </si>
  <si>
    <t>報廢額</t>
    <phoneticPr fontId="81" type="noConversion"/>
  </si>
  <si>
    <r>
      <t xml:space="preserve">報廢率
KPI </t>
    </r>
    <r>
      <rPr>
        <b/>
        <sz val="16"/>
        <color rgb="FFFF0000"/>
        <rFont val="微軟正黑體"/>
        <family val="2"/>
        <charset val="136"/>
      </rPr>
      <t>0.25%</t>
    </r>
    <phoneticPr fontId="13" type="noConversion"/>
  </si>
  <si>
    <t>超用額A</t>
    <phoneticPr fontId="81" type="noConversion"/>
  </si>
  <si>
    <t>超用率A</t>
    <phoneticPr fontId="13" type="noConversion"/>
  </si>
  <si>
    <t>超用額B</t>
    <phoneticPr fontId="81" type="noConversion"/>
  </si>
  <si>
    <t>超用率B</t>
    <phoneticPr fontId="13" type="noConversion"/>
  </si>
  <si>
    <t>營業額合計</t>
    <phoneticPr fontId="81" type="noConversion"/>
  </si>
  <si>
    <t>大口法式蕈菇起司雞排飯糰</t>
  </si>
  <si>
    <t>銀鮭美乃滋脆卷</t>
  </si>
  <si>
    <t>比例</t>
  </si>
  <si>
    <t>前20名原因分析</t>
  </si>
  <si>
    <t>項目</t>
  </si>
  <si>
    <t>超用</t>
  </si>
  <si>
    <t>金門高粱酒雞絲涼麵</t>
  </si>
  <si>
    <t>二配玉米濃湯焗烤飯</t>
  </si>
  <si>
    <t>金門高粱腿排蒜香白肉便當</t>
  </si>
  <si>
    <t>二配美味蟹煲</t>
  </si>
  <si>
    <t>二配蒸紅雪蟹肉</t>
  </si>
  <si>
    <t>韓式辣醬起司熱狗飯卷</t>
  </si>
  <si>
    <t>業績金額</t>
  </si>
  <si>
    <t>西西里風烤飯糰</t>
  </si>
  <si>
    <t>清洗青蔥絲</t>
  </si>
  <si>
    <t>川燙青花菜</t>
  </si>
  <si>
    <t>二配烤鹹蛋黃碎</t>
  </si>
  <si>
    <t>筋子銀鮭飯糰</t>
  </si>
  <si>
    <t>二配泰式檸檬魚飯</t>
  </si>
  <si>
    <t>炒鼎泰豐香辣醬</t>
  </si>
  <si>
    <t>蒜炒紅K高麗菜(111年)</t>
  </si>
  <si>
    <t>二配蒸燻腸片</t>
  </si>
  <si>
    <t>青木瓜雞絲泰泰雙手卷</t>
  </si>
  <si>
    <t>打拋風味豬肉拌麵</t>
  </si>
  <si>
    <t>月見烏龍冷麵</t>
  </si>
  <si>
    <t>▼1</t>
    <phoneticPr fontId="10"/>
  </si>
  <si>
    <t>▼2</t>
    <phoneticPr fontId="10"/>
  </si>
  <si>
    <t>▼3</t>
    <phoneticPr fontId="10"/>
  </si>
  <si>
    <t>▼4</t>
    <phoneticPr fontId="10"/>
  </si>
  <si>
    <t>▼5</t>
    <phoneticPr fontId="10"/>
  </si>
  <si>
    <t>－</t>
    <phoneticPr fontId="13" type="noConversion"/>
  </si>
  <si>
    <t>▲</t>
    <phoneticPr fontId="13" type="noConversion"/>
  </si>
  <si>
    <t>▼</t>
    <phoneticPr fontId="13" type="noConversion"/>
  </si>
  <si>
    <t>對比上週差異小。</t>
    <phoneticPr fontId="13" type="noConversion"/>
  </si>
  <si>
    <t>對比上週差異小</t>
    <phoneticPr fontId="13" type="noConversion"/>
  </si>
  <si>
    <t>半成品結凍強度影響擠醬機出料量</t>
  </si>
  <si>
    <t>生產前及生產中確認設定及實際出料狀況</t>
  </si>
  <si>
    <t>二配油亮蒜味香腸片</t>
  </si>
  <si>
    <t>炒泡麵高麗菜</t>
  </si>
  <si>
    <t>確認飯袋覆蓋狀況是否良好</t>
  </si>
  <si>
    <t>二配排骨蛋炒飯</t>
  </si>
  <si>
    <t>韓式泡菜冷麵</t>
  </si>
  <si>
    <t>兩支品項性質相近，產能及人時生產性接近，對比上週差異小。</t>
    <phoneticPr fontId="13" type="noConversion"/>
  </si>
  <si>
    <t>日式焙煎咖哩醬</t>
  </si>
  <si>
    <t>紹興醉雞風味飯糰(區)</t>
  </si>
  <si>
    <t>炒泡麵炒蛋</t>
  </si>
  <si>
    <t>二配蟹粉燴汁(115年)</t>
  </si>
  <si>
    <t>切-究極燒肉片</t>
  </si>
  <si>
    <t>二配川燙醃嫩化淨零碳排牛肉片</t>
  </si>
  <si>
    <t>增加線上抽秤頻率，穩定人員放料量</t>
  </si>
  <si>
    <t>飯糰排名前段品項，皆是使用GKK生產的單餡飯糰，產能及人時生產性差異小。對比上週差異小。</t>
    <phoneticPr fontId="13" type="noConversion"/>
  </si>
  <si>
    <t>香烤鱈魚輕蔬餐盒</t>
  </si>
  <si>
    <t>小黃瓜絲</t>
  </si>
  <si>
    <t>112年炒炊粉混蔬</t>
  </si>
  <si>
    <t>二配炒奶香玉米</t>
  </si>
  <si>
    <t>人員目視放樣量取樣放料，且半成品易沾附在手上，而有放料誤差</t>
  </si>
  <si>
    <t>粉絲煲湯凍</t>
  </si>
  <si>
    <t>香辣醬粉絲煲</t>
  </si>
  <si>
    <t>二配蒸-全熟雞肉絲CL(升)</t>
  </si>
  <si>
    <t>二配雞肉飯飯糰</t>
  </si>
  <si>
    <t>蒸益活雞胸丁</t>
  </si>
  <si>
    <t>益活雞胸補力餐盒</t>
  </si>
  <si>
    <t>二配歐姆蛋(111年版)</t>
  </si>
  <si>
    <t>加熱時間的長短影響最終出料量</t>
  </si>
  <si>
    <t>穩定加熱時間，確認製成率，調整出料量</t>
  </si>
  <si>
    <t>日式牛培根(115年)</t>
  </si>
  <si>
    <t>柚見極炙烤牛</t>
  </si>
  <si>
    <t>切-鹽烤牛肉(115年)</t>
  </si>
  <si>
    <t>二配醬燒炙烤牛飯糰</t>
  </si>
  <si>
    <t>大口益活烤雞蛋白青醬飯糰</t>
  </si>
  <si>
    <t>愛恨椒芝麵</t>
  </si>
  <si>
    <t>品項性質相同，使用人數相同，產能及人時生產性差異小。對比上週差異小。</t>
    <phoneticPr fontId="13" type="noConversion"/>
  </si>
  <si>
    <t>W4</t>
    <phoneticPr fontId="13" type="noConversion"/>
  </si>
  <si>
    <t>8/25-8/31</t>
  </si>
  <si>
    <t>開丼-醬色烤洋蔥絲</t>
  </si>
  <si>
    <t>二配經典肉鬆飯糰</t>
  </si>
  <si>
    <t>二配焙炒芝麻肉鬆</t>
  </si>
  <si>
    <t>二配泰式椰香綠咖哩醬</t>
  </si>
  <si>
    <t>113年奶油蕈菇起司醬</t>
  </si>
  <si>
    <t>混合愛恨椒芝椒麻油</t>
  </si>
  <si>
    <t>川燙毛豆玉米</t>
  </si>
  <si>
    <t>台式燒肉片</t>
  </si>
  <si>
    <t>嫩烤魚排佐花椰菜義大利麵</t>
  </si>
  <si>
    <t>川燙白花菜</t>
  </si>
  <si>
    <t>切烤雞胸肉</t>
  </si>
  <si>
    <t>二配炒解凍11N培根片</t>
  </si>
  <si>
    <t>二配蒸蛤蜊-肉</t>
  </si>
  <si>
    <t>炒泰式打拋肉</t>
  </si>
  <si>
    <t>炙烤雞腿丁(113年)</t>
  </si>
  <si>
    <t>二配叉燒蛋炒飯</t>
  </si>
  <si>
    <t>二配油亮台式叉燒丁</t>
  </si>
  <si>
    <t>煮日式洋蔥醬</t>
  </si>
  <si>
    <t>醬燒炙烤牛飯糰</t>
  </si>
  <si>
    <t>蒸箱製程時飯待未覆蓋好。加熱過程中，水氣跑入飯袋內導致最終產出多</t>
  </si>
  <si>
    <t>推入蒸箱加熱前，確認飯袋覆蓋狀況良好。設定表準的飯袋覆蓋手法。</t>
  </si>
  <si>
    <t>煮愛恨芝麻醬</t>
  </si>
  <si>
    <t>訂單量提升，人員順手度提升，產能及人時生產性對比上週提升。</t>
    <phoneticPr fontId="13" type="noConversion"/>
  </si>
  <si>
    <t>烤飯糰品項僅有單一半成品入機台包裝，產能及人時生產性相近，對比上週差異小。</t>
    <phoneticPr fontId="13" type="noConversion"/>
  </si>
  <si>
    <t>對比上週差異小。8/28下架</t>
    <phoneticPr fontId="13" type="noConversion"/>
  </si>
  <si>
    <t>兩支品項僅有單一半成品，皆使用八爪機生產，產能及人時生產性相近。對比上週差異小。</t>
    <phoneticPr fontId="13" type="noConversion"/>
  </si>
  <si>
    <t>8/25新品，對比其他熱麵品項，半成品數較多，人時生產性較低。</t>
    <phoneticPr fontId="13" type="noConversion"/>
  </si>
  <si>
    <t>8月W4無品項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</si>
</sst>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6">
    <numFmt numFmtId="42" formatCode="_-&quot;$&quot;* #,##0_-;\-&quot;$&quot;* #,##0_-;_-&quot;$&quot;* &quot;-&quot;_-;_-@_-"/>
    <numFmt numFmtId="44" formatCode="_-&quot;$&quot;* #,##0.00_-;\-&quot;$&quot;* #,##0.00_-;_-&quot;$&quot;* &quot;-&quot;??_-;_-@_-"/>
    <numFmt numFmtId="43" formatCode="_-* #,##0.00_-;\-* #,##0.00_-;_-* &quot;-&quot;??_-;_-@_-"/>
    <numFmt numFmtId="176" formatCode="&quot;NT$&quot;#,##0.0"/>
    <numFmt numFmtId="177" formatCode="0&quot;個&quot;"/>
    <numFmt numFmtId="178" formatCode="&quot;NT$&quot;#,##0.0_);[Red]\(&quot;NT$&quot;#,##0.0\)"/>
    <numFmt numFmtId="179" formatCode="m&quot;月&quot;d&quot;日&quot;"/>
    <numFmt numFmtId="180" formatCode="0.0&quot;個&quot;"/>
    <numFmt numFmtId="181" formatCode="0.0_);[Red]\(0.0\)"/>
    <numFmt numFmtId="182" formatCode="&quot;NT$&quot;#,##0.00_);[Red]\(&quot;NT$&quot;#,##0.00\)"/>
    <numFmt numFmtId="183" formatCode="0.0"/>
    <numFmt numFmtId="184" formatCode="0,000"/>
    <numFmt numFmtId="185" formatCode="0.0%"/>
    <numFmt numFmtId="186" formatCode="&quot;NT$&quot;#,##0_);[Red]\(&quot;NT$&quot;#,##0\)"/>
    <numFmt numFmtId="187" formatCode="&quot;NT$&quot;#,##0"/>
    <numFmt numFmtId="188" formatCode="_-* #,##0_-;\-* #,##0_-;_-* &quot;-&quot;??_-;_-@_-"/>
    <numFmt numFmtId="189" formatCode="0.000%"/>
    <numFmt numFmtId="190" formatCode="_-* #,##0.0_-;\-* #,##0.0_-;_-* &quot;-&quot;??_-;_-@_-"/>
    <numFmt numFmtId="191" formatCode="#,##0.0"/>
    <numFmt numFmtId="192" formatCode="#,##0.0_ "/>
    <numFmt numFmtId="193" formatCode="m/d\ aaaa"/>
    <numFmt numFmtId="194" formatCode="0,000&quot;元&quot;"/>
    <numFmt numFmtId="195" formatCode="000&quot;元&quot;"/>
    <numFmt numFmtId="196" formatCode="0.00_)"/>
    <numFmt numFmtId="197" formatCode="#,##0_ "/>
    <numFmt numFmtId="198" formatCode="#,##0.00_ "/>
  </numFmts>
  <fonts count="124">
    <font>
      <sz val="10"/>
      <color rgb="FF000000"/>
      <name val="Arial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  <font>
      <sz val="6"/>
      <name val="Arial"/>
      <family val="3"/>
      <charset val="128"/>
      <scheme val="minor"/>
    </font>
    <font>
      <sz val="11"/>
      <color theme="1"/>
      <name val="Arial"/>
      <family val="3"/>
      <charset val="136"/>
      <scheme val="minor"/>
    </font>
    <font>
      <sz val="10"/>
      <color theme="1"/>
      <name val="Arial"/>
      <family val="3"/>
      <charset val="136"/>
      <scheme val="minor"/>
    </font>
    <font>
      <sz val="9"/>
      <name val="Arial"/>
      <family val="3"/>
      <charset val="136"/>
      <scheme val="minor"/>
    </font>
    <font>
      <sz val="10"/>
      <color rgb="FF000000"/>
      <name val="Meiryo UI"/>
      <family val="2"/>
      <charset val="128"/>
    </font>
    <font>
      <sz val="11"/>
      <color rgb="FF000000"/>
      <name val="Meiryo UI"/>
      <family val="2"/>
      <charset val="128"/>
    </font>
    <font>
      <sz val="11"/>
      <color rgb="FF000000"/>
      <name val="Arial"/>
      <family val="3"/>
      <charset val="136"/>
    </font>
    <font>
      <sz val="11"/>
      <color rgb="FF000000"/>
      <name val="細明體"/>
      <family val="3"/>
      <charset val="136"/>
    </font>
    <font>
      <sz val="18"/>
      <color rgb="FF000000"/>
      <name val="Meiryo UI"/>
      <family val="2"/>
      <charset val="128"/>
    </font>
    <font>
      <b/>
      <sz val="22"/>
      <color rgb="FF000000"/>
      <name val="Meiryo UI"/>
      <family val="2"/>
      <charset val="128"/>
    </font>
    <font>
      <b/>
      <sz val="22"/>
      <color rgb="FF000000"/>
      <name val="細明體"/>
      <family val="3"/>
      <charset val="136"/>
    </font>
    <font>
      <sz val="12"/>
      <color rgb="FF000000"/>
      <name val="Arial"/>
      <family val="3"/>
      <charset val="136"/>
    </font>
    <font>
      <sz val="11"/>
      <color theme="1"/>
      <name val="細明體"/>
      <family val="3"/>
      <charset val="136"/>
    </font>
    <font>
      <b/>
      <sz val="14"/>
      <color rgb="FF000000"/>
      <name val="細明體"/>
      <family val="3"/>
      <charset val="136"/>
    </font>
    <font>
      <sz val="10"/>
      <color rgb="FF000000"/>
      <name val="Arial"/>
      <family val="2"/>
      <scheme val="minor"/>
    </font>
    <font>
      <b/>
      <sz val="22"/>
      <color rgb="FF000000"/>
      <name val="Meiryo UI"/>
      <family val="2"/>
    </font>
    <font>
      <sz val="10"/>
      <color rgb="FF000000"/>
      <name val="Meiryo UI"/>
      <family val="2"/>
    </font>
    <font>
      <sz val="11"/>
      <color rgb="FF000000"/>
      <name val="Meiryo UI"/>
      <family val="2"/>
    </font>
    <font>
      <sz val="11"/>
      <color theme="1"/>
      <name val="Meiryo UI"/>
      <family val="2"/>
    </font>
    <font>
      <sz val="12"/>
      <color rgb="FF000000"/>
      <name val="Meiryo UI"/>
      <family val="2"/>
    </font>
    <font>
      <b/>
      <sz val="14"/>
      <color rgb="FF000000"/>
      <name val="Meiryo UI"/>
      <family val="2"/>
    </font>
    <font>
      <b/>
      <sz val="11.9"/>
      <color rgb="FF000000"/>
      <name val="Meiryo UI"/>
      <family val="2"/>
    </font>
    <font>
      <b/>
      <sz val="16"/>
      <color rgb="FF000000"/>
      <name val="Meiryo UI"/>
      <family val="2"/>
    </font>
    <font>
      <sz val="10"/>
      <color rgb="FF000000"/>
      <name val="Arial"/>
      <family val="3"/>
      <charset val="136"/>
      <scheme val="minor"/>
    </font>
    <font>
      <b/>
      <sz val="12"/>
      <color rgb="FF000000"/>
      <name val="Arial"/>
      <family val="3"/>
      <charset val="136"/>
      <scheme val="minor"/>
    </font>
    <font>
      <b/>
      <sz val="12"/>
      <color rgb="FF000000"/>
      <name val="Arial"/>
      <family val="2"/>
      <scheme val="minor"/>
    </font>
    <font>
      <sz val="12"/>
      <color theme="1"/>
      <name val="Meiryo UI"/>
      <family val="2"/>
    </font>
    <font>
      <sz val="12"/>
      <color theme="1"/>
      <name val="微軟正黑體"/>
      <family val="2"/>
      <charset val="136"/>
    </font>
    <font>
      <sz val="12"/>
      <name val="Meiryo UI"/>
      <family val="2"/>
    </font>
    <font>
      <b/>
      <sz val="16"/>
      <color rgb="FF000000"/>
      <name val="Meiryo UI"/>
      <family val="2"/>
      <charset val="128"/>
    </font>
    <font>
      <b/>
      <sz val="14"/>
      <color rgb="FF000000"/>
      <name val="Arial"/>
      <family val="3"/>
      <charset val="136"/>
    </font>
    <font>
      <b/>
      <sz val="20"/>
      <color rgb="FF000000"/>
      <name val="Meiryo UI"/>
      <family val="2"/>
      <charset val="128"/>
    </font>
    <font>
      <b/>
      <sz val="20"/>
      <color rgb="FF000000"/>
      <name val="細明體"/>
      <family val="3"/>
      <charset val="136"/>
    </font>
    <font>
      <b/>
      <sz val="20"/>
      <color rgb="FF000000"/>
      <name val="Meiryo UI"/>
      <family val="2"/>
    </font>
    <font>
      <sz val="10"/>
      <color theme="1"/>
      <name val="Meiryo UI"/>
      <family val="2"/>
    </font>
    <font>
      <sz val="11"/>
      <color rgb="FFFF0000"/>
      <name val="Meiryo UI"/>
      <family val="2"/>
    </font>
    <font>
      <sz val="11"/>
      <color theme="1"/>
      <name val="Arial"/>
      <family val="3"/>
      <charset val="136"/>
    </font>
    <font>
      <sz val="10"/>
      <color theme="1"/>
      <name val="Arial"/>
      <family val="3"/>
      <charset val="136"/>
    </font>
    <font>
      <b/>
      <sz val="12"/>
      <color theme="1"/>
      <name val="Meiryo UI"/>
      <family val="2"/>
    </font>
    <font>
      <b/>
      <sz val="12"/>
      <color theme="1"/>
      <name val="Arial"/>
      <family val="3"/>
      <charset val="136"/>
    </font>
    <font>
      <b/>
      <sz val="12"/>
      <color theme="1"/>
      <name val="Meiryo UI"/>
      <family val="2"/>
      <charset val="128"/>
    </font>
    <font>
      <sz val="14"/>
      <color theme="1"/>
      <name val="Meiryo UI"/>
      <family val="2"/>
    </font>
    <font>
      <sz val="10"/>
      <color theme="1"/>
      <name val="細明體"/>
      <family val="3"/>
      <charset val="136"/>
    </font>
    <font>
      <b/>
      <sz val="12"/>
      <color rgb="FF000000"/>
      <name val="Meiryo UI"/>
      <family val="2"/>
      <charset val="128"/>
    </font>
    <font>
      <b/>
      <sz val="12"/>
      <color rgb="FF000000"/>
      <name val="Meiryo UI"/>
      <family val="2"/>
    </font>
    <font>
      <sz val="10"/>
      <name val="Meiryo UI"/>
      <family val="2"/>
    </font>
    <font>
      <b/>
      <sz val="12"/>
      <color rgb="FF000000"/>
      <name val="Arial"/>
      <family val="3"/>
      <charset val="136"/>
    </font>
    <font>
      <sz val="11"/>
      <color theme="1"/>
      <name val="Arial"/>
      <family val="2"/>
    </font>
    <font>
      <sz val="10"/>
      <color rgb="FF000000"/>
      <name val="Arial"/>
      <family val="2"/>
    </font>
    <font>
      <b/>
      <sz val="12"/>
      <color rgb="FF000000"/>
      <name val="細明體"/>
      <family val="3"/>
      <charset val="136"/>
    </font>
    <font>
      <b/>
      <sz val="14"/>
      <color theme="1"/>
      <name val="Meiryo UI"/>
      <family val="2"/>
    </font>
    <font>
      <b/>
      <sz val="14"/>
      <color theme="1"/>
      <name val="Arial"/>
      <family val="3"/>
      <charset val="136"/>
    </font>
    <font>
      <sz val="11"/>
      <color theme="1"/>
      <name val="Meiryo UI"/>
      <family val="2"/>
      <charset val="128"/>
    </font>
    <font>
      <sz val="10"/>
      <color rgb="FFFF0000"/>
      <name val="Meiryo UI"/>
      <family val="2"/>
    </font>
    <font>
      <b/>
      <sz val="16"/>
      <color rgb="FF000000"/>
      <name val="細明體"/>
      <family val="3"/>
      <charset val="136"/>
    </font>
    <font>
      <sz val="12"/>
      <color rgb="FFFF0000"/>
      <name val="Meiryo UI"/>
      <family val="2"/>
    </font>
    <font>
      <b/>
      <sz val="20"/>
      <color rgb="FF000000"/>
      <name val="微軟正黑體"/>
      <family val="2"/>
      <charset val="136"/>
    </font>
    <font>
      <sz val="11"/>
      <color theme="1"/>
      <name val="微軟正黑體"/>
      <family val="2"/>
      <charset val="136"/>
    </font>
    <font>
      <sz val="14"/>
      <color theme="1"/>
      <name val="細明體"/>
      <family val="3"/>
      <charset val="136"/>
    </font>
    <font>
      <sz val="10"/>
      <color rgb="FFFF0000"/>
      <name val="Arial"/>
      <family val="3"/>
      <charset val="136"/>
      <scheme val="minor"/>
    </font>
    <font>
      <sz val="6"/>
      <color rgb="FF000000"/>
      <name val="Meiryo UI"/>
      <family val="2"/>
    </font>
    <font>
      <sz val="9"/>
      <color rgb="FF000000"/>
      <name val="Meiryo UI"/>
      <family val="2"/>
    </font>
    <font>
      <sz val="10"/>
      <color rgb="FF000000"/>
      <name val="Arial"/>
      <family val="2"/>
      <scheme val="minor"/>
    </font>
    <font>
      <sz val="11"/>
      <color rgb="FF0070C0"/>
      <name val="新細明體"/>
      <family val="1"/>
      <charset val="136"/>
    </font>
    <font>
      <sz val="11"/>
      <color rgb="FF92D050"/>
      <name val="細明體"/>
      <family val="3"/>
      <charset val="136"/>
    </font>
    <font>
      <sz val="11"/>
      <color rgb="FFFF0000"/>
      <name val="新細明體"/>
      <family val="1"/>
      <charset val="136"/>
    </font>
    <font>
      <sz val="7"/>
      <color rgb="FF000000"/>
      <name val="Meiryo UI"/>
      <family val="2"/>
    </font>
    <font>
      <sz val="10"/>
      <color rgb="FF000000"/>
      <name val="細明體"/>
      <family val="3"/>
      <charset val="136"/>
    </font>
    <font>
      <b/>
      <sz val="12"/>
      <color theme="1"/>
      <name val="細明體"/>
      <family val="3"/>
      <charset val="136"/>
    </font>
    <font>
      <sz val="11"/>
      <color rgb="FFFF0000"/>
      <name val="細明體"/>
      <family val="3"/>
      <charset val="136"/>
    </font>
    <font>
      <sz val="12"/>
      <color theme="1"/>
      <name val="Meiryo UI"/>
      <family val="2"/>
      <charset val="128"/>
    </font>
    <font>
      <sz val="9"/>
      <name val="Arial"/>
      <family val="2"/>
      <charset val="136"/>
      <scheme val="minor"/>
    </font>
    <font>
      <sz val="14"/>
      <name val="微軟正黑體"/>
      <family val="2"/>
      <charset val="136"/>
    </font>
    <font>
      <sz val="12"/>
      <name val="新細明體"/>
      <family val="1"/>
      <charset val="136"/>
    </font>
    <font>
      <sz val="12"/>
      <name val="Times New Roman"/>
      <family val="1"/>
    </font>
    <font>
      <b/>
      <i/>
      <sz val="16"/>
      <name val="Helv"/>
      <family val="2"/>
    </font>
    <font>
      <sz val="12"/>
      <color theme="1"/>
      <name val="Arial"/>
      <family val="1"/>
      <charset val="136"/>
      <scheme val="minor"/>
    </font>
    <font>
      <u/>
      <sz val="12"/>
      <color indexed="12"/>
      <name val="新細明體"/>
      <family val="1"/>
      <charset val="136"/>
    </font>
    <font>
      <sz val="10"/>
      <color indexed="8"/>
      <name val="ARIAL"/>
      <family val="2"/>
    </font>
    <font>
      <sz val="12"/>
      <color theme="1"/>
      <name val="Arial"/>
      <family val="2"/>
      <scheme val="minor"/>
    </font>
    <font>
      <sz val="12"/>
      <color indexed="8"/>
      <name val="新細明體"/>
      <family val="1"/>
      <charset val="136"/>
    </font>
    <font>
      <sz val="12"/>
      <color indexed="17"/>
      <name val="新細明體"/>
      <family val="1"/>
      <charset val="136"/>
    </font>
    <font>
      <sz val="16"/>
      <color indexed="17"/>
      <name val="新細明體"/>
      <family val="1"/>
      <charset val="136"/>
    </font>
    <font>
      <sz val="11"/>
      <name val="ＭＳ Ｐゴシック"/>
      <family val="2"/>
      <charset val="128"/>
    </font>
    <font>
      <sz val="12"/>
      <color indexed="20"/>
      <name val="新細明體"/>
      <family val="1"/>
      <charset val="136"/>
    </font>
    <font>
      <sz val="20"/>
      <color indexed="20"/>
      <name val="新細明體"/>
      <family val="1"/>
      <charset val="136"/>
    </font>
    <font>
      <sz val="10"/>
      <color rgb="FFFF0000"/>
      <name val="Meiryo UI"/>
      <family val="2"/>
      <charset val="128"/>
    </font>
    <font>
      <sz val="14"/>
      <color rgb="FF0070C0"/>
      <name val="新細明體"/>
      <family val="1"/>
      <charset val="136"/>
    </font>
    <font>
      <b/>
      <sz val="20"/>
      <color theme="0"/>
      <name val="微軟正黑體"/>
      <family val="2"/>
      <charset val="136"/>
    </font>
    <font>
      <b/>
      <sz val="18"/>
      <color theme="1"/>
      <name val="微軟正黑體"/>
      <family val="2"/>
      <charset val="136"/>
    </font>
    <font>
      <b/>
      <sz val="16"/>
      <color theme="1"/>
      <name val="微軟正黑體"/>
      <family val="2"/>
      <charset val="136"/>
    </font>
    <font>
      <b/>
      <sz val="16"/>
      <color rgb="FF000000"/>
      <name val="微軟正黑體"/>
      <family val="2"/>
      <charset val="136"/>
    </font>
    <font>
      <sz val="11"/>
      <color theme="1"/>
      <name val="Microsoft JhengHei"/>
      <family val="3"/>
    </font>
    <font>
      <sz val="12"/>
      <color theme="1"/>
      <name val="細明體"/>
      <family val="2"/>
      <charset val="136"/>
    </font>
    <font>
      <sz val="9"/>
      <color rgb="FFFF0000"/>
      <name val="Meiryo UI"/>
      <family val="2"/>
    </font>
    <font>
      <sz val="6"/>
      <name val="Meiryo UI"/>
      <family val="2"/>
    </font>
    <font>
      <sz val="10"/>
      <color rgb="FF000000"/>
      <name val="微軟正黑體"/>
      <family val="2"/>
      <charset val="136"/>
    </font>
    <font>
      <sz val="10"/>
      <color rgb="FF000000"/>
      <name val="Arial"/>
      <family val="2"/>
      <charset val="136"/>
      <scheme val="minor"/>
    </font>
    <font>
      <b/>
      <sz val="16"/>
      <color rgb="FF000000"/>
      <name val="Microsoft JhengHei"/>
      <family val="2"/>
    </font>
    <font>
      <sz val="14"/>
      <color theme="1"/>
      <name val="微軟正黑體"/>
      <family val="2"/>
      <charset val="136"/>
    </font>
    <font>
      <b/>
      <sz val="18"/>
      <color rgb="FFFF0000"/>
      <name val="微軟正黑體"/>
      <family val="2"/>
      <charset val="136"/>
    </font>
    <font>
      <b/>
      <sz val="16"/>
      <color rgb="FFFF0000"/>
      <name val="微軟正黑體"/>
      <family val="2"/>
      <charset val="136"/>
    </font>
    <font>
      <sz val="18"/>
      <color theme="1"/>
      <name val="微軟正黑體"/>
      <family val="2"/>
      <charset val="136"/>
    </font>
    <font>
      <sz val="14"/>
      <color rgb="FFFF0000"/>
      <name val="微軟正黑體"/>
      <family val="2"/>
      <charset val="136"/>
    </font>
    <font>
      <sz val="6"/>
      <color theme="1"/>
      <name val="細明體"/>
      <family val="2"/>
      <charset val="136"/>
    </font>
    <font>
      <sz val="11"/>
      <color theme="1"/>
      <name val="Microsoft JhengHei"/>
      <family val="2"/>
    </font>
    <font>
      <sz val="12"/>
      <color rgb="FF000000"/>
      <name val="微軟正黑體"/>
      <family val="2"/>
      <charset val="136"/>
    </font>
    <font>
      <sz val="10"/>
      <color theme="1"/>
      <name val="細明體"/>
      <family val="2"/>
      <charset val="136"/>
    </font>
    <font>
      <sz val="6"/>
      <color theme="1"/>
      <name val="Meiryo UI"/>
      <family val="2"/>
    </font>
    <font>
      <sz val="11"/>
      <color theme="1"/>
      <name val="細明體"/>
      <family val="2"/>
      <charset val="136"/>
    </font>
    <font>
      <sz val="11"/>
      <name val="Meiryo UI"/>
      <family val="2"/>
    </font>
    <font>
      <sz val="10"/>
      <color rgb="FF000000"/>
      <name val="細明體"/>
      <family val="2"/>
      <charset val="136"/>
    </font>
    <font>
      <sz val="10"/>
      <color theme="1"/>
      <name val="Microsoft JhengHei"/>
      <family val="2"/>
    </font>
    <font>
      <sz val="6"/>
      <color theme="1"/>
      <name val="細明體"/>
      <family val="3"/>
      <charset val="136"/>
    </font>
  </fonts>
  <fills count="20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42"/>
      </patternFill>
    </fill>
    <fill>
      <patternFill patternType="solid">
        <fgColor indexed="4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</fills>
  <borders count="7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double">
        <color rgb="FF000000"/>
      </left>
      <right/>
      <top/>
      <bottom style="thin">
        <color indexed="64"/>
      </bottom>
      <diagonal/>
    </border>
    <border>
      <left style="double">
        <color rgb="FF000000"/>
      </left>
      <right/>
      <top style="thin">
        <color indexed="64"/>
      </top>
      <bottom style="thin">
        <color indexed="64"/>
      </bottom>
      <diagonal/>
    </border>
  </borders>
  <cellStyleXfs count="584">
    <xf numFmtId="0" fontId="0" fillId="0" borderId="0"/>
    <xf numFmtId="0" fontId="6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7" fillId="0" borderId="0"/>
    <xf numFmtId="0" fontId="6" fillId="0" borderId="0">
      <alignment vertical="center"/>
    </xf>
    <xf numFmtId="0" fontId="6" fillId="0" borderId="0">
      <alignment vertical="center"/>
    </xf>
    <xf numFmtId="9" fontId="9" fillId="0" borderId="0" applyFont="0" applyFill="0" applyBorder="0" applyAlignment="0" applyProtection="0">
      <alignment vertical="center"/>
    </xf>
    <xf numFmtId="0" fontId="9" fillId="0" borderId="0"/>
    <xf numFmtId="9" fontId="9" fillId="0" borderId="0" applyFont="0" applyFill="0" applyBorder="0" applyAlignment="0" applyProtection="0"/>
    <xf numFmtId="0" fontId="24" fillId="0" borderId="0"/>
    <xf numFmtId="0" fontId="5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43" fontId="72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3" fontId="24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83" fillId="0" borderId="0"/>
    <xf numFmtId="9" fontId="83" fillId="0" borderId="0" applyFont="0" applyFill="0" applyBorder="0" applyAlignment="0" applyProtection="0"/>
    <xf numFmtId="0" fontId="84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9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196" fontId="85" fillId="0" borderId="0"/>
    <xf numFmtId="0" fontId="9" fillId="0" borderId="0"/>
    <xf numFmtId="0" fontId="83" fillId="0" borderId="0">
      <alignment vertical="center"/>
    </xf>
    <xf numFmtId="0" fontId="86" fillId="0" borderId="0"/>
    <xf numFmtId="42" fontId="84" fillId="0" borderId="0" applyFont="0" applyFill="0" applyBorder="0" applyAlignment="0" applyProtection="0"/>
    <xf numFmtId="0" fontId="87" fillId="0" borderId="0" applyNumberFormat="0" applyFill="0" applyBorder="0" applyAlignment="0" applyProtection="0">
      <alignment vertical="top"/>
      <protection locked="0"/>
    </xf>
    <xf numFmtId="0" fontId="88" fillId="0" borderId="0">
      <alignment vertical="top"/>
    </xf>
    <xf numFmtId="0" fontId="9" fillId="0" borderId="0"/>
    <xf numFmtId="0" fontId="86" fillId="0" borderId="0">
      <alignment vertical="center"/>
    </xf>
    <xf numFmtId="0" fontId="83" fillId="0" borderId="0"/>
    <xf numFmtId="0" fontId="83" fillId="0" borderId="0"/>
    <xf numFmtId="0" fontId="83" fillId="0" borderId="0"/>
    <xf numFmtId="0" fontId="86" fillId="0" borderId="0">
      <alignment vertical="center"/>
    </xf>
    <xf numFmtId="0" fontId="83" fillId="0" borderId="0"/>
    <xf numFmtId="0" fontId="83" fillId="0" borderId="0"/>
    <xf numFmtId="0" fontId="86" fillId="0" borderId="0">
      <alignment vertical="center"/>
    </xf>
    <xf numFmtId="0" fontId="86" fillId="0" borderId="0">
      <alignment vertical="center"/>
    </xf>
    <xf numFmtId="0" fontId="83" fillId="0" borderId="0"/>
    <xf numFmtId="0" fontId="86" fillId="0" borderId="0">
      <alignment vertical="center"/>
    </xf>
    <xf numFmtId="0" fontId="83" fillId="0" borderId="0"/>
    <xf numFmtId="0" fontId="86" fillId="0" borderId="0">
      <alignment vertical="center"/>
    </xf>
    <xf numFmtId="0" fontId="83" fillId="0" borderId="0"/>
    <xf numFmtId="0" fontId="83" fillId="0" borderId="0"/>
    <xf numFmtId="0" fontId="83" fillId="0" borderId="0"/>
    <xf numFmtId="0" fontId="89" fillId="0" borderId="0"/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3" fillId="0" borderId="0">
      <alignment vertical="center"/>
    </xf>
    <xf numFmtId="0" fontId="83" fillId="0" borderId="0"/>
    <xf numFmtId="0" fontId="83" fillId="0" borderId="0"/>
    <xf numFmtId="0" fontId="89" fillId="0" borderId="0"/>
    <xf numFmtId="0" fontId="3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86" fillId="0" borderId="0"/>
    <xf numFmtId="0" fontId="83" fillId="0" borderId="0"/>
    <xf numFmtId="0" fontId="3" fillId="0" borderId="0">
      <alignment vertical="center"/>
    </xf>
    <xf numFmtId="0" fontId="86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86" fillId="0" borderId="0">
      <alignment vertical="center"/>
    </xf>
    <xf numFmtId="0" fontId="83" fillId="0" borderId="0"/>
    <xf numFmtId="0" fontId="86" fillId="0" borderId="0">
      <alignment vertical="center"/>
    </xf>
    <xf numFmtId="0" fontId="86" fillId="0" borderId="0">
      <alignment vertical="center"/>
    </xf>
    <xf numFmtId="0" fontId="83" fillId="0" borderId="0"/>
    <xf numFmtId="0" fontId="86" fillId="0" borderId="0">
      <alignment vertical="center"/>
    </xf>
    <xf numFmtId="0" fontId="86" fillId="0" borderId="0">
      <alignment vertical="center"/>
    </xf>
    <xf numFmtId="0" fontId="3" fillId="0" borderId="0">
      <alignment vertical="center"/>
    </xf>
    <xf numFmtId="0" fontId="83" fillId="0" borderId="0"/>
    <xf numFmtId="0" fontId="86" fillId="0" borderId="0">
      <alignment vertical="center"/>
    </xf>
    <xf numFmtId="0" fontId="83" fillId="0" borderId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6" fillId="0" borderId="0" applyFont="0" applyFill="0" applyBorder="0" applyAlignment="0" applyProtection="0">
      <alignment vertical="center"/>
    </xf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0" fontId="91" fillId="15" borderId="0" applyNumberFormat="0" applyBorder="0" applyAlignment="0" applyProtection="0">
      <alignment vertical="center"/>
    </xf>
    <xf numFmtId="0" fontId="91" fillId="15" borderId="0" applyNumberFormat="0" applyBorder="0" applyAlignment="0" applyProtection="0">
      <alignment vertical="center"/>
    </xf>
    <xf numFmtId="0" fontId="92" fillId="15" borderId="0" applyNumberFormat="0" applyBorder="0" applyAlignment="0" applyProtection="0">
      <alignment vertical="center"/>
    </xf>
    <xf numFmtId="0" fontId="91" fillId="15" borderId="0" applyNumberFormat="0" applyBorder="0" applyAlignment="0" applyProtection="0">
      <alignment vertical="center"/>
    </xf>
    <xf numFmtId="0" fontId="91" fillId="15" borderId="0" applyNumberFormat="0" applyBorder="0" applyAlignment="0" applyProtection="0">
      <alignment vertical="center"/>
    </xf>
    <xf numFmtId="0" fontId="91" fillId="15" borderId="0" applyNumberFormat="0" applyBorder="0" applyAlignment="0" applyProtection="0">
      <alignment vertical="center"/>
    </xf>
    <xf numFmtId="0" fontId="91" fillId="15" borderId="0" applyNumberFormat="0" applyBorder="0" applyAlignment="0" applyProtection="0">
      <alignment vertical="center"/>
    </xf>
    <xf numFmtId="0" fontId="91" fillId="15" borderId="0" applyNumberFormat="0" applyBorder="0" applyAlignment="0" applyProtection="0">
      <alignment vertical="center"/>
    </xf>
    <xf numFmtId="0" fontId="91" fillId="15" borderId="0" applyNumberFormat="0" applyBorder="0" applyAlignment="0" applyProtection="0">
      <alignment vertical="center"/>
    </xf>
    <xf numFmtId="0" fontId="91" fillId="15" borderId="0" applyNumberFormat="0" applyBorder="0" applyAlignment="0" applyProtection="0">
      <alignment vertical="center"/>
    </xf>
    <xf numFmtId="0" fontId="91" fillId="15" borderId="0" applyNumberFormat="0" applyBorder="0" applyAlignment="0" applyProtection="0">
      <alignment vertical="center"/>
    </xf>
    <xf numFmtId="0" fontId="92" fillId="15" borderId="0" applyNumberFormat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90" fillId="0" borderId="0" applyFont="0" applyFill="0" applyBorder="0" applyAlignment="0" applyProtection="0">
      <alignment vertical="center"/>
    </xf>
    <xf numFmtId="9" fontId="86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83" fillId="0" borderId="0" applyFont="0" applyFill="0" applyBorder="0" applyAlignment="0" applyProtection="0"/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44" fontId="89" fillId="0" borderId="0" applyFont="0" applyFill="0" applyBorder="0" applyAlignment="0" applyProtection="0">
      <alignment vertical="center"/>
    </xf>
    <xf numFmtId="0" fontId="93" fillId="0" borderId="0">
      <alignment vertical="center"/>
    </xf>
    <xf numFmtId="0" fontId="94" fillId="16" borderId="0" applyNumberFormat="0" applyBorder="0" applyAlignment="0" applyProtection="0">
      <alignment vertical="center"/>
    </xf>
    <xf numFmtId="0" fontId="94" fillId="16" borderId="0" applyNumberFormat="0" applyBorder="0" applyAlignment="0" applyProtection="0">
      <alignment vertical="center"/>
    </xf>
    <xf numFmtId="0" fontId="95" fillId="16" borderId="0" applyNumberFormat="0" applyBorder="0" applyAlignment="0" applyProtection="0">
      <alignment vertical="center"/>
    </xf>
    <xf numFmtId="0" fontId="94" fillId="16" borderId="0" applyNumberFormat="0" applyBorder="0" applyAlignment="0" applyProtection="0">
      <alignment vertical="center"/>
    </xf>
    <xf numFmtId="0" fontId="94" fillId="16" borderId="0" applyNumberFormat="0" applyBorder="0" applyAlignment="0" applyProtection="0">
      <alignment vertical="center"/>
    </xf>
    <xf numFmtId="0" fontId="94" fillId="16" borderId="0" applyNumberFormat="0" applyBorder="0" applyAlignment="0" applyProtection="0">
      <alignment vertical="center"/>
    </xf>
    <xf numFmtId="0" fontId="94" fillId="16" borderId="0" applyNumberFormat="0" applyBorder="0" applyAlignment="0" applyProtection="0">
      <alignment vertical="center"/>
    </xf>
    <xf numFmtId="0" fontId="94" fillId="16" borderId="0" applyNumberFormat="0" applyBorder="0" applyAlignment="0" applyProtection="0">
      <alignment vertical="center"/>
    </xf>
    <xf numFmtId="0" fontId="94" fillId="16" borderId="0" applyNumberFormat="0" applyBorder="0" applyAlignment="0" applyProtection="0">
      <alignment vertical="center"/>
    </xf>
    <xf numFmtId="0" fontId="94" fillId="16" borderId="0" applyNumberFormat="0" applyBorder="0" applyAlignment="0" applyProtection="0">
      <alignment vertical="center"/>
    </xf>
    <xf numFmtId="0" fontId="94" fillId="16" borderId="0" applyNumberFormat="0" applyBorder="0" applyAlignment="0" applyProtection="0">
      <alignment vertical="center"/>
    </xf>
    <xf numFmtId="0" fontId="95" fillId="16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952">
    <xf numFmtId="0" fontId="0" fillId="0" borderId="0" xfId="0" applyFont="1" applyAlignment="1"/>
    <xf numFmtId="0" fontId="7" fillId="0" borderId="0" xfId="0" applyFont="1" applyAlignment="1">
      <alignment shrinkToFit="1"/>
    </xf>
    <xf numFmtId="0" fontId="0" fillId="0" borderId="0" xfId="0" applyFont="1" applyAlignment="1">
      <alignment shrinkToFit="1"/>
    </xf>
    <xf numFmtId="0" fontId="7" fillId="0" borderId="1" xfId="0" applyFont="1" applyBorder="1" applyAlignment="1">
      <alignment horizontal="right" shrinkToFit="1"/>
    </xf>
    <xf numFmtId="0" fontId="7" fillId="0" borderId="1" xfId="0" applyFont="1" applyBorder="1" applyAlignment="1">
      <alignment shrinkToFit="1"/>
    </xf>
    <xf numFmtId="0" fontId="7" fillId="0" borderId="2" xfId="0" applyFont="1" applyBorder="1" applyAlignment="1">
      <alignment shrinkToFit="1"/>
    </xf>
    <xf numFmtId="0" fontId="8" fillId="0" borderId="3" xfId="0" applyFont="1" applyBorder="1" applyAlignment="1">
      <alignment shrinkToFit="1"/>
    </xf>
    <xf numFmtId="0" fontId="8" fillId="2" borderId="1" xfId="0" applyFont="1" applyFill="1" applyBorder="1" applyAlignment="1">
      <alignment shrinkToFit="1"/>
    </xf>
    <xf numFmtId="0" fontId="7" fillId="2" borderId="1" xfId="0" applyFont="1" applyFill="1" applyBorder="1" applyAlignment="1">
      <alignment shrinkToFit="1"/>
    </xf>
    <xf numFmtId="3" fontId="7" fillId="0" borderId="1" xfId="0" applyNumberFormat="1" applyFont="1" applyBorder="1" applyAlignment="1">
      <alignment shrinkToFit="1"/>
    </xf>
    <xf numFmtId="3" fontId="7" fillId="3" borderId="1" xfId="0" applyNumberFormat="1" applyFont="1" applyFill="1" applyBorder="1" applyAlignment="1">
      <alignment shrinkToFit="1"/>
    </xf>
    <xf numFmtId="4" fontId="7" fillId="0" borderId="1" xfId="0" applyNumberFormat="1" applyFont="1" applyBorder="1" applyAlignment="1">
      <alignment horizontal="right" shrinkToFit="1"/>
    </xf>
    <xf numFmtId="10" fontId="7" fillId="2" borderId="1" xfId="0" applyNumberFormat="1" applyFont="1" applyFill="1" applyBorder="1" applyAlignment="1">
      <alignment horizontal="right" shrinkToFit="1"/>
    </xf>
    <xf numFmtId="10" fontId="7" fillId="3" borderId="1" xfId="0" applyNumberFormat="1" applyFont="1" applyFill="1" applyBorder="1" applyAlignment="1">
      <alignment shrinkToFit="1"/>
    </xf>
    <xf numFmtId="10" fontId="7" fillId="0" borderId="1" xfId="0" applyNumberFormat="1" applyFont="1" applyBorder="1" applyAlignment="1">
      <alignment shrinkToFit="1"/>
    </xf>
    <xf numFmtId="10" fontId="8" fillId="0" borderId="0" xfId="0" applyNumberFormat="1" applyFont="1" applyAlignment="1">
      <alignment shrinkToFit="1"/>
    </xf>
    <xf numFmtId="0" fontId="7" fillId="3" borderId="1" xfId="0" applyFont="1" applyFill="1" applyBorder="1" applyAlignment="1">
      <alignment shrinkToFit="1"/>
    </xf>
    <xf numFmtId="4" fontId="7" fillId="0" borderId="1" xfId="0" applyNumberFormat="1" applyFont="1" applyBorder="1" applyAlignment="1">
      <alignment shrinkToFit="1"/>
    </xf>
    <xf numFmtId="0" fontId="8" fillId="2" borderId="5" xfId="0" applyFont="1" applyFill="1" applyBorder="1" applyAlignment="1">
      <alignment shrinkToFit="1"/>
    </xf>
    <xf numFmtId="0" fontId="8" fillId="2" borderId="3" xfId="0" applyFont="1" applyFill="1" applyBorder="1" applyAlignment="1">
      <alignment shrinkToFit="1"/>
    </xf>
    <xf numFmtId="0" fontId="8" fillId="2" borderId="6" xfId="0" applyFont="1" applyFill="1" applyBorder="1" applyAlignment="1">
      <alignment shrinkToFit="1"/>
    </xf>
    <xf numFmtId="0" fontId="7" fillId="2" borderId="3" xfId="0" applyFont="1" applyFill="1" applyBorder="1" applyAlignment="1">
      <alignment shrinkToFit="1"/>
    </xf>
    <xf numFmtId="0" fontId="7" fillId="2" borderId="6" xfId="0" applyFont="1" applyFill="1" applyBorder="1" applyAlignment="1">
      <alignment shrinkToFit="1"/>
    </xf>
    <xf numFmtId="0" fontId="8" fillId="2" borderId="7" xfId="0" applyFont="1" applyFill="1" applyBorder="1" applyAlignment="1">
      <alignment shrinkToFit="1"/>
    </xf>
    <xf numFmtId="0" fontId="7" fillId="0" borderId="3" xfId="0" applyFont="1" applyBorder="1" applyAlignment="1">
      <alignment shrinkToFit="1"/>
    </xf>
    <xf numFmtId="0" fontId="7" fillId="2" borderId="7" xfId="0" applyFont="1" applyFill="1" applyBorder="1" applyAlignment="1">
      <alignment shrinkToFit="1"/>
    </xf>
    <xf numFmtId="0" fontId="8" fillId="0" borderId="8" xfId="0" applyFont="1" applyBorder="1" applyAlignment="1">
      <alignment shrinkToFit="1"/>
    </xf>
    <xf numFmtId="0" fontId="7" fillId="0" borderId="5" xfId="0" applyFont="1" applyBorder="1" applyAlignment="1">
      <alignment shrinkToFit="1"/>
    </xf>
    <xf numFmtId="0" fontId="7" fillId="0" borderId="14" xfId="0" applyFont="1" applyBorder="1" applyAlignment="1">
      <alignment shrinkToFit="1"/>
    </xf>
    <xf numFmtId="0" fontId="7" fillId="0" borderId="8" xfId="0" applyFont="1" applyBorder="1" applyAlignment="1">
      <alignment shrinkToFit="1"/>
    </xf>
    <xf numFmtId="10" fontId="7" fillId="0" borderId="5" xfId="0" applyNumberFormat="1" applyFont="1" applyBorder="1" applyAlignment="1">
      <alignment shrinkToFit="1"/>
    </xf>
    <xf numFmtId="0" fontId="7" fillId="3" borderId="5" xfId="0" applyFont="1" applyFill="1" applyBorder="1" applyAlignment="1">
      <alignment shrinkToFit="1"/>
    </xf>
    <xf numFmtId="0" fontId="7" fillId="2" borderId="15" xfId="0" applyFont="1" applyFill="1" applyBorder="1" applyAlignment="1">
      <alignment shrinkToFit="1"/>
    </xf>
    <xf numFmtId="10" fontId="7" fillId="3" borderId="17" xfId="0" applyNumberFormat="1" applyFont="1" applyFill="1" applyBorder="1" applyAlignment="1">
      <alignment shrinkToFit="1"/>
    </xf>
    <xf numFmtId="0" fontId="7" fillId="3" borderId="18" xfId="0" applyFont="1" applyFill="1" applyBorder="1" applyAlignment="1">
      <alignment shrinkToFit="1"/>
    </xf>
    <xf numFmtId="0" fontId="7" fillId="0" borderId="6" xfId="0" applyFont="1" applyBorder="1" applyAlignment="1">
      <alignment shrinkToFit="1"/>
    </xf>
    <xf numFmtId="10" fontId="7" fillId="0" borderId="6" xfId="0" applyNumberFormat="1" applyFont="1" applyBorder="1" applyAlignment="1">
      <alignment shrinkToFit="1"/>
    </xf>
    <xf numFmtId="0" fontId="7" fillId="3" borderId="6" xfId="0" applyFont="1" applyFill="1" applyBorder="1" applyAlignment="1">
      <alignment shrinkToFit="1"/>
    </xf>
    <xf numFmtId="10" fontId="7" fillId="0" borderId="0" xfId="0" applyNumberFormat="1" applyFont="1" applyAlignment="1">
      <alignment shrinkToFit="1"/>
    </xf>
    <xf numFmtId="10" fontId="7" fillId="2" borderId="1" xfId="0" applyNumberFormat="1" applyFont="1" applyFill="1" applyBorder="1" applyAlignment="1">
      <alignment shrinkToFit="1"/>
    </xf>
    <xf numFmtId="0" fontId="7" fillId="3" borderId="7" xfId="0" applyFont="1" applyFill="1" applyBorder="1" applyAlignment="1">
      <alignment shrinkToFit="1"/>
    </xf>
    <xf numFmtId="10" fontId="7" fillId="3" borderId="5" xfId="0" applyNumberFormat="1" applyFont="1" applyFill="1" applyBorder="1" applyAlignment="1">
      <alignment shrinkToFit="1"/>
    </xf>
    <xf numFmtId="0" fontId="7" fillId="0" borderId="11" xfId="0" applyFont="1" applyBorder="1" applyAlignment="1">
      <alignment shrinkToFit="1"/>
    </xf>
    <xf numFmtId="10" fontId="7" fillId="0" borderId="14" xfId="0" applyNumberFormat="1" applyFont="1" applyBorder="1" applyAlignment="1">
      <alignment shrinkToFit="1"/>
    </xf>
    <xf numFmtId="10" fontId="7" fillId="3" borderId="14" xfId="0" applyNumberFormat="1" applyFont="1" applyFill="1" applyBorder="1" applyAlignment="1">
      <alignment shrinkToFit="1"/>
    </xf>
    <xf numFmtId="0" fontId="7" fillId="2" borderId="2" xfId="0" applyFont="1" applyFill="1" applyBorder="1" applyAlignment="1">
      <alignment shrinkToFit="1"/>
    </xf>
    <xf numFmtId="0" fontId="7" fillId="2" borderId="4" xfId="0" applyFont="1" applyFill="1" applyBorder="1" applyAlignment="1">
      <alignment shrinkToFit="1"/>
    </xf>
    <xf numFmtId="0" fontId="0" fillId="0" borderId="0" xfId="0" applyFont="1" applyAlignment="1">
      <alignment shrinkToFit="1"/>
    </xf>
    <xf numFmtId="0" fontId="11" fillId="0" borderId="1" xfId="0" applyFont="1" applyBorder="1" applyAlignment="1">
      <alignment shrinkToFit="1"/>
    </xf>
    <xf numFmtId="0" fontId="11" fillId="2" borderId="1" xfId="0" applyFont="1" applyFill="1" applyBorder="1" applyAlignment="1">
      <alignment horizontal="left" shrinkToFit="1"/>
    </xf>
    <xf numFmtId="0" fontId="12" fillId="2" borderId="1" xfId="0" applyFont="1" applyFill="1" applyBorder="1" applyAlignment="1">
      <alignment shrinkToFit="1"/>
    </xf>
    <xf numFmtId="0" fontId="11" fillId="2" borderId="6" xfId="0" applyFont="1" applyFill="1" applyBorder="1" applyAlignment="1">
      <alignment shrinkToFit="1"/>
    </xf>
    <xf numFmtId="0" fontId="11" fillId="2" borderId="2" xfId="0" applyFont="1" applyFill="1" applyBorder="1" applyAlignment="1">
      <alignment shrinkToFit="1"/>
    </xf>
    <xf numFmtId="0" fontId="12" fillId="2" borderId="5" xfId="0" applyFont="1" applyFill="1" applyBorder="1" applyAlignment="1">
      <alignment shrinkToFit="1"/>
    </xf>
    <xf numFmtId="0" fontId="12" fillId="2" borderId="4" xfId="0" applyFont="1" applyFill="1" applyBorder="1" applyAlignment="1">
      <alignment shrinkToFit="1"/>
    </xf>
    <xf numFmtId="0" fontId="7" fillId="2" borderId="22" xfId="0" applyFont="1" applyFill="1" applyBorder="1" applyAlignment="1">
      <alignment shrinkToFit="1"/>
    </xf>
    <xf numFmtId="0" fontId="7" fillId="2" borderId="23" xfId="0" applyFont="1" applyFill="1" applyBorder="1" applyAlignment="1">
      <alignment shrinkToFit="1"/>
    </xf>
    <xf numFmtId="0" fontId="11" fillId="2" borderId="22" xfId="0" applyFont="1" applyFill="1" applyBorder="1" applyAlignment="1">
      <alignment shrinkToFit="1"/>
    </xf>
    <xf numFmtId="0" fontId="11" fillId="2" borderId="1" xfId="0" applyFont="1" applyFill="1" applyBorder="1" applyAlignment="1">
      <alignment shrinkToFit="1"/>
    </xf>
    <xf numFmtId="0" fontId="11" fillId="2" borderId="4" xfId="0" applyFont="1" applyFill="1" applyBorder="1" applyAlignment="1">
      <alignment shrinkToFit="1"/>
    </xf>
    <xf numFmtId="0" fontId="11" fillId="2" borderId="16" xfId="0" applyFont="1" applyFill="1" applyBorder="1" applyAlignment="1">
      <alignment shrinkToFit="1"/>
    </xf>
    <xf numFmtId="0" fontId="11" fillId="4" borderId="0" xfId="0" applyFont="1" applyFill="1" applyAlignment="1"/>
    <xf numFmtId="0" fontId="12" fillId="4" borderId="0" xfId="0" applyFont="1" applyFill="1" applyAlignment="1">
      <alignment shrinkToFit="1"/>
    </xf>
    <xf numFmtId="0" fontId="11" fillId="4" borderId="0" xfId="0" applyFont="1" applyFill="1" applyAlignment="1">
      <alignment shrinkToFit="1"/>
    </xf>
    <xf numFmtId="0" fontId="8" fillId="4" borderId="0" xfId="0" applyFont="1" applyFill="1" applyAlignment="1">
      <alignment shrinkToFit="1"/>
    </xf>
    <xf numFmtId="0" fontId="7" fillId="4" borderId="0" xfId="0" applyFont="1" applyFill="1" applyAlignment="1"/>
    <xf numFmtId="10" fontId="7" fillId="4" borderId="0" xfId="0" applyNumberFormat="1" applyFont="1" applyFill="1" applyAlignment="1">
      <alignment shrinkToFit="1"/>
    </xf>
    <xf numFmtId="0" fontId="7" fillId="4" borderId="0" xfId="0" applyFont="1" applyFill="1" applyAlignment="1">
      <alignment shrinkToFit="1"/>
    </xf>
    <xf numFmtId="0" fontId="0" fillId="4" borderId="0" xfId="0" applyFont="1" applyFill="1" applyAlignment="1">
      <alignment shrinkToFit="1"/>
    </xf>
    <xf numFmtId="0" fontId="7" fillId="2" borderId="24" xfId="0" applyFont="1" applyFill="1" applyBorder="1" applyAlignment="1">
      <alignment shrinkToFit="1"/>
    </xf>
    <xf numFmtId="0" fontId="12" fillId="0" borderId="11" xfId="0" applyFont="1" applyBorder="1" applyAlignment="1">
      <alignment horizontal="right" shrinkToFit="1"/>
    </xf>
    <xf numFmtId="0" fontId="12" fillId="0" borderId="3" xfId="0" applyFont="1" applyBorder="1" applyAlignment="1">
      <alignment horizontal="right" shrinkToFit="1"/>
    </xf>
    <xf numFmtId="0" fontId="14" fillId="0" borderId="0" xfId="0" applyFont="1" applyAlignment="1">
      <alignment horizontal="center"/>
    </xf>
    <xf numFmtId="10" fontId="14" fillId="0" borderId="0" xfId="0" applyNumberFormat="1" applyFont="1" applyAlignment="1"/>
    <xf numFmtId="0" fontId="14" fillId="0" borderId="0" xfId="0" applyFont="1" applyAlignment="1"/>
    <xf numFmtId="0" fontId="18" fillId="0" borderId="0" xfId="0" applyFont="1" applyAlignment="1">
      <alignment horizontal="left" vertical="center"/>
    </xf>
    <xf numFmtId="0" fontId="0" fillId="0" borderId="0" xfId="0" applyFont="1" applyAlignment="1">
      <alignment shrinkToFit="1"/>
    </xf>
    <xf numFmtId="0" fontId="26" fillId="0" borderId="0" xfId="0" applyFont="1" applyAlignment="1"/>
    <xf numFmtId="176" fontId="27" fillId="5" borderId="0" xfId="0" applyNumberFormat="1" applyFont="1" applyFill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0" xfId="0" applyFont="1" applyAlignment="1">
      <alignment horizontal="center"/>
    </xf>
    <xf numFmtId="0" fontId="26" fillId="0" borderId="0" xfId="0" applyFont="1" applyAlignment="1">
      <alignment vertical="center"/>
    </xf>
    <xf numFmtId="0" fontId="14" fillId="0" borderId="0" xfId="0" applyFont="1" applyFill="1" applyAlignment="1">
      <alignment vertical="center"/>
    </xf>
    <xf numFmtId="0" fontId="26" fillId="0" borderId="0" xfId="0" applyFont="1" applyFill="1" applyAlignment="1"/>
    <xf numFmtId="0" fontId="26" fillId="0" borderId="0" xfId="0" applyFont="1" applyFill="1" applyAlignment="1">
      <alignment horizontal="center"/>
    </xf>
    <xf numFmtId="176" fontId="27" fillId="0" borderId="0" xfId="0" applyNumberFormat="1" applyFont="1" applyFill="1" applyAlignment="1">
      <alignment horizontal="center" vertical="center"/>
    </xf>
    <xf numFmtId="176" fontId="26" fillId="0" borderId="0" xfId="0" applyNumberFormat="1" applyFont="1" applyFill="1" applyAlignment="1"/>
    <xf numFmtId="177" fontId="26" fillId="0" borderId="0" xfId="0" applyNumberFormat="1" applyFont="1" applyFill="1" applyAlignment="1"/>
    <xf numFmtId="178" fontId="26" fillId="0" borderId="0" xfId="0" applyNumberFormat="1" applyFont="1" applyFill="1" applyAlignment="1"/>
    <xf numFmtId="10" fontId="26" fillId="0" borderId="0" xfId="0" applyNumberFormat="1" applyFont="1" applyFill="1" applyAlignment="1"/>
    <xf numFmtId="176" fontId="27" fillId="6" borderId="0" xfId="0" applyNumberFormat="1" applyFont="1" applyFill="1" applyAlignment="1">
      <alignment horizontal="center" vertical="center"/>
    </xf>
    <xf numFmtId="176" fontId="27" fillId="7" borderId="0" xfId="0" applyNumberFormat="1" applyFont="1" applyFill="1" applyAlignment="1">
      <alignment horizontal="center" vertical="center"/>
    </xf>
    <xf numFmtId="180" fontId="26" fillId="0" borderId="0" xfId="0" applyNumberFormat="1" applyFont="1" applyFill="1" applyAlignment="1"/>
    <xf numFmtId="180" fontId="14" fillId="0" borderId="0" xfId="0" applyNumberFormat="1" applyFont="1" applyAlignment="1"/>
    <xf numFmtId="176" fontId="17" fillId="0" borderId="0" xfId="0" applyNumberFormat="1" applyFont="1" applyFill="1" applyAlignment="1">
      <alignment horizontal="center" vertical="center"/>
    </xf>
    <xf numFmtId="180" fontId="17" fillId="0" borderId="0" xfId="0" applyNumberFormat="1" applyFont="1" applyFill="1" applyAlignment="1">
      <alignment horizontal="center" vertical="center"/>
    </xf>
    <xf numFmtId="182" fontId="26" fillId="0" borderId="0" xfId="0" applyNumberFormat="1" applyFont="1" applyFill="1" applyAlignment="1"/>
    <xf numFmtId="0" fontId="26" fillId="0" borderId="0" xfId="0" applyFont="1" applyFill="1" applyAlignment="1">
      <alignment vertical="center"/>
    </xf>
    <xf numFmtId="182" fontId="27" fillId="0" borderId="22" xfId="0" applyNumberFormat="1" applyFont="1" applyFill="1" applyBorder="1" applyAlignment="1">
      <alignment horizontal="center" vertical="center"/>
    </xf>
    <xf numFmtId="10" fontId="27" fillId="0" borderId="22" xfId="0" applyNumberFormat="1" applyFont="1" applyFill="1" applyBorder="1" applyAlignment="1">
      <alignment horizontal="center" vertical="center"/>
    </xf>
    <xf numFmtId="10" fontId="26" fillId="0" borderId="22" xfId="0" applyNumberFormat="1" applyFont="1" applyFill="1" applyBorder="1" applyAlignment="1"/>
    <xf numFmtId="182" fontId="26" fillId="0" borderId="0" xfId="0" applyNumberFormat="1" applyFont="1" applyFill="1" applyAlignment="1">
      <alignment horizontal="center"/>
    </xf>
    <xf numFmtId="0" fontId="29" fillId="0" borderId="0" xfId="0" applyFont="1" applyFill="1" applyAlignment="1"/>
    <xf numFmtId="177" fontId="26" fillId="0" borderId="0" xfId="0" applyNumberFormat="1" applyFont="1" applyFill="1" applyAlignment="1">
      <alignment horizontal="center"/>
    </xf>
    <xf numFmtId="177" fontId="17" fillId="0" borderId="22" xfId="0" applyNumberFormat="1" applyFont="1" applyFill="1" applyBorder="1" applyAlignment="1">
      <alignment horizontal="center" vertical="center"/>
    </xf>
    <xf numFmtId="177" fontId="26" fillId="0" borderId="22" xfId="0" applyNumberFormat="1" applyFont="1" applyFill="1" applyBorder="1" applyAlignment="1"/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vertical="center"/>
    </xf>
    <xf numFmtId="0" fontId="0" fillId="0" borderId="0" xfId="0" applyFont="1" applyAlignment="1">
      <alignment vertical="center" shrinkToFit="1"/>
    </xf>
    <xf numFmtId="0" fontId="0" fillId="0" borderId="0" xfId="0" applyFont="1" applyAlignment="1">
      <alignment horizontal="center" vertical="center" shrinkToFit="1"/>
    </xf>
    <xf numFmtId="0" fontId="0" fillId="0" borderId="0" xfId="0" applyFont="1" applyAlignment="1">
      <alignment wrapText="1" shrinkToFit="1"/>
    </xf>
    <xf numFmtId="0" fontId="7" fillId="0" borderId="3" xfId="0" applyFont="1" applyBorder="1" applyAlignment="1">
      <alignment vertical="center" shrinkToFit="1"/>
    </xf>
    <xf numFmtId="0" fontId="7" fillId="0" borderId="8" xfId="0" applyFont="1" applyBorder="1" applyAlignment="1">
      <alignment vertical="center" shrinkToFit="1"/>
    </xf>
    <xf numFmtId="0" fontId="11" fillId="2" borderId="1" xfId="0" applyFont="1" applyFill="1" applyBorder="1" applyAlignment="1">
      <alignment horizontal="center" vertical="center" shrinkToFit="1"/>
    </xf>
    <xf numFmtId="0" fontId="11" fillId="2" borderId="4" xfId="0" applyFont="1" applyFill="1" applyBorder="1" applyAlignment="1">
      <alignment horizontal="center" vertical="center" shrinkToFit="1"/>
    </xf>
    <xf numFmtId="0" fontId="11" fillId="2" borderId="2" xfId="0" applyFont="1" applyFill="1" applyBorder="1" applyAlignment="1">
      <alignment horizontal="center" vertical="center" shrinkToFit="1"/>
    </xf>
    <xf numFmtId="0" fontId="11" fillId="2" borderId="3" xfId="0" applyFont="1" applyFill="1" applyBorder="1" applyAlignment="1">
      <alignment horizontal="center" vertical="center" shrinkToFit="1"/>
    </xf>
    <xf numFmtId="0" fontId="7" fillId="2" borderId="1" xfId="0" applyFont="1" applyFill="1" applyBorder="1" applyAlignment="1">
      <alignment horizontal="center" vertical="center" shrinkToFit="1"/>
    </xf>
    <xf numFmtId="0" fontId="11" fillId="2" borderId="16" xfId="0" applyFont="1" applyFill="1" applyBorder="1" applyAlignment="1">
      <alignment horizontal="center" shrinkToFit="1"/>
    </xf>
    <xf numFmtId="0" fontId="26" fillId="0" borderId="0" xfId="0" applyFont="1" applyAlignment="1">
      <alignment shrinkToFit="1"/>
    </xf>
    <xf numFmtId="0" fontId="26" fillId="4" borderId="0" xfId="0" applyFont="1" applyFill="1" applyAlignment="1">
      <alignment shrinkToFit="1"/>
    </xf>
    <xf numFmtId="0" fontId="26" fillId="0" borderId="0" xfId="0" applyFont="1" applyFill="1" applyAlignment="1">
      <alignment shrinkToFit="1"/>
    </xf>
    <xf numFmtId="0" fontId="28" fillId="0" borderId="0" xfId="0" applyFont="1" applyFill="1" applyAlignment="1">
      <alignment shrinkToFit="1"/>
    </xf>
    <xf numFmtId="0" fontId="44" fillId="0" borderId="0" xfId="0" applyFont="1" applyFill="1" applyBorder="1" applyAlignment="1">
      <alignment shrinkToFit="1"/>
    </xf>
    <xf numFmtId="0" fontId="26" fillId="0" borderId="22" xfId="0" applyFont="1" applyFill="1" applyBorder="1" applyAlignment="1">
      <alignment shrinkToFit="1"/>
    </xf>
    <xf numFmtId="0" fontId="26" fillId="0" borderId="0" xfId="0" applyFont="1" applyFill="1" applyAlignment="1">
      <alignment horizontal="center" shrinkToFit="1"/>
    </xf>
    <xf numFmtId="0" fontId="28" fillId="0" borderId="0" xfId="0" applyFont="1" applyFill="1" applyAlignment="1">
      <alignment horizontal="center" shrinkToFit="1"/>
    </xf>
    <xf numFmtId="0" fontId="26" fillId="0" borderId="0" xfId="0" applyFont="1" applyFill="1" applyAlignment="1">
      <alignment horizontal="center" vertical="center" shrinkToFit="1"/>
    </xf>
    <xf numFmtId="0" fontId="44" fillId="0" borderId="22" xfId="0" applyFont="1" applyFill="1" applyBorder="1" applyAlignment="1">
      <alignment shrinkToFit="1"/>
    </xf>
    <xf numFmtId="4" fontId="28" fillId="0" borderId="22" xfId="0" applyNumberFormat="1" applyFont="1" applyFill="1" applyBorder="1" applyAlignment="1">
      <alignment shrinkToFit="1"/>
    </xf>
    <xf numFmtId="0" fontId="26" fillId="4" borderId="0" xfId="0" applyFont="1" applyFill="1" applyBorder="1" applyAlignment="1">
      <alignment shrinkToFit="1"/>
    </xf>
    <xf numFmtId="0" fontId="28" fillId="4" borderId="0" xfId="0" applyFont="1" applyFill="1" applyBorder="1" applyAlignment="1">
      <alignment shrinkToFit="1"/>
    </xf>
    <xf numFmtId="0" fontId="48" fillId="0" borderId="0" xfId="0" applyFont="1" applyFill="1" applyBorder="1" applyAlignment="1"/>
    <xf numFmtId="0" fontId="26" fillId="0" borderId="0" xfId="0" applyFont="1" applyFill="1" applyBorder="1" applyAlignment="1">
      <alignment shrinkToFit="1"/>
    </xf>
    <xf numFmtId="0" fontId="50" fillId="0" borderId="0" xfId="0" applyFont="1" applyFill="1" applyBorder="1" applyAlignment="1"/>
    <xf numFmtId="0" fontId="26" fillId="0" borderId="0" xfId="0" applyFont="1" applyFill="1" applyBorder="1" applyAlignment="1">
      <alignment horizontal="center" shrinkToFit="1"/>
    </xf>
    <xf numFmtId="0" fontId="26" fillId="0" borderId="0" xfId="0" applyFont="1" applyFill="1" applyBorder="1" applyAlignment="1">
      <alignment horizontal="center" vertical="center" shrinkToFit="1"/>
    </xf>
    <xf numFmtId="10" fontId="44" fillId="0" borderId="0" xfId="0" applyNumberFormat="1" applyFont="1" applyFill="1" applyBorder="1" applyAlignment="1">
      <alignment shrinkToFit="1"/>
    </xf>
    <xf numFmtId="0" fontId="45" fillId="0" borderId="0" xfId="0" applyFont="1" applyFill="1" applyBorder="1" applyAlignment="1"/>
    <xf numFmtId="0" fontId="51" fillId="0" borderId="22" xfId="0" applyFont="1" applyFill="1" applyBorder="1" applyAlignment="1">
      <alignment horizontal="center" vertical="center" shrinkToFit="1"/>
    </xf>
    <xf numFmtId="0" fontId="51" fillId="8" borderId="22" xfId="0" applyFont="1" applyFill="1" applyBorder="1" applyAlignment="1">
      <alignment horizontal="center" vertical="center" shrinkToFit="1"/>
    </xf>
    <xf numFmtId="0" fontId="44" fillId="0" borderId="22" xfId="0" applyFont="1" applyFill="1" applyBorder="1" applyAlignment="1">
      <alignment horizontal="center" shrinkToFit="1"/>
    </xf>
    <xf numFmtId="3" fontId="28" fillId="0" borderId="22" xfId="0" applyNumberFormat="1" applyFont="1" applyFill="1" applyBorder="1" applyAlignment="1">
      <alignment shrinkToFit="1"/>
    </xf>
    <xf numFmtId="10" fontId="28" fillId="0" borderId="22" xfId="0" applyNumberFormat="1" applyFont="1" applyFill="1" applyBorder="1" applyAlignment="1">
      <alignment shrinkToFit="1"/>
    </xf>
    <xf numFmtId="4" fontId="28" fillId="0" borderId="22" xfId="0" applyNumberFormat="1" applyFont="1" applyFill="1" applyBorder="1" applyAlignment="1">
      <alignment horizontal="right" shrinkToFit="1"/>
    </xf>
    <xf numFmtId="0" fontId="44" fillId="0" borderId="22" xfId="0" applyFont="1" applyFill="1" applyBorder="1" applyAlignment="1">
      <alignment horizontal="center" vertical="center" shrinkToFit="1"/>
    </xf>
    <xf numFmtId="0" fontId="52" fillId="0" borderId="22" xfId="0" applyFont="1" applyFill="1" applyBorder="1" applyAlignment="1">
      <alignment horizontal="center" shrinkToFit="1"/>
    </xf>
    <xf numFmtId="0" fontId="7" fillId="0" borderId="0" xfId="0" applyFont="1" applyBorder="1" applyAlignment="1">
      <alignment horizontal="center" vertical="center" shrinkToFit="1"/>
    </xf>
    <xf numFmtId="0" fontId="7" fillId="0" borderId="0" xfId="0" applyFont="1" applyBorder="1" applyAlignment="1">
      <alignment horizontal="right" shrinkToFit="1"/>
    </xf>
    <xf numFmtId="0" fontId="11" fillId="0" borderId="0" xfId="0" applyFont="1" applyBorder="1" applyAlignment="1">
      <alignment shrinkToFit="1"/>
    </xf>
    <xf numFmtId="0" fontId="7" fillId="0" borderId="0" xfId="0" applyFont="1" applyBorder="1" applyAlignment="1">
      <alignment shrinkToFit="1"/>
    </xf>
    <xf numFmtId="0" fontId="26" fillId="0" borderId="0" xfId="0" applyFont="1" applyBorder="1" applyAlignment="1">
      <alignment shrinkToFit="1"/>
    </xf>
    <xf numFmtId="0" fontId="26" fillId="4" borderId="0" xfId="0" applyFont="1" applyFill="1" applyBorder="1" applyAlignment="1">
      <alignment horizontal="center" vertical="center" shrinkToFit="1"/>
    </xf>
    <xf numFmtId="0" fontId="26" fillId="0" borderId="0" xfId="0" applyFont="1" applyAlignment="1">
      <alignment horizontal="center" vertical="center" shrinkToFit="1"/>
    </xf>
    <xf numFmtId="0" fontId="26" fillId="4" borderId="0" xfId="0" applyFont="1" applyFill="1" applyBorder="1" applyAlignment="1">
      <alignment horizontal="center" shrinkToFit="1"/>
    </xf>
    <xf numFmtId="0" fontId="28" fillId="0" borderId="22" xfId="0" applyFont="1" applyBorder="1" applyAlignment="1">
      <alignment horizontal="center" vertical="center" shrinkToFit="1"/>
    </xf>
    <xf numFmtId="0" fontId="28" fillId="0" borderId="22" xfId="0" applyFont="1" applyBorder="1" applyAlignment="1">
      <alignment horizontal="center" shrinkToFit="1"/>
    </xf>
    <xf numFmtId="0" fontId="44" fillId="0" borderId="22" xfId="0" applyFont="1" applyBorder="1" applyAlignment="1">
      <alignment horizontal="center" shrinkToFit="1"/>
    </xf>
    <xf numFmtId="0" fontId="26" fillId="4" borderId="22" xfId="0" applyFont="1" applyFill="1" applyBorder="1" applyAlignment="1">
      <alignment horizontal="center" shrinkToFit="1"/>
    </xf>
    <xf numFmtId="0" fontId="28" fillId="4" borderId="22" xfId="0" applyFont="1" applyFill="1" applyBorder="1" applyAlignment="1">
      <alignment horizontal="center" shrinkToFit="1"/>
    </xf>
    <xf numFmtId="0" fontId="26" fillId="0" borderId="0" xfId="0" applyFont="1" applyAlignment="1">
      <alignment vertical="center" shrinkToFit="1"/>
    </xf>
    <xf numFmtId="0" fontId="26" fillId="0" borderId="0" xfId="0" applyFont="1" applyAlignment="1">
      <alignment horizontal="center" shrinkToFit="1"/>
    </xf>
    <xf numFmtId="0" fontId="28" fillId="2" borderId="22" xfId="0" applyFont="1" applyFill="1" applyBorder="1" applyAlignment="1">
      <alignment horizontal="center" vertical="center" shrinkToFit="1"/>
    </xf>
    <xf numFmtId="0" fontId="28" fillId="0" borderId="22" xfId="0" applyFont="1" applyBorder="1" applyAlignment="1">
      <alignment shrinkToFit="1"/>
    </xf>
    <xf numFmtId="0" fontId="44" fillId="0" borderId="22" xfId="0" applyFont="1" applyBorder="1" applyAlignment="1">
      <alignment horizontal="right" shrinkToFit="1"/>
    </xf>
    <xf numFmtId="0" fontId="28" fillId="5" borderId="22" xfId="0" applyFont="1" applyFill="1" applyBorder="1" applyAlignment="1">
      <alignment horizontal="center" vertical="center" shrinkToFit="1"/>
    </xf>
    <xf numFmtId="0" fontId="28" fillId="5" borderId="22" xfId="0" applyFont="1" applyFill="1" applyBorder="1" applyAlignment="1">
      <alignment horizontal="center" shrinkToFit="1"/>
    </xf>
    <xf numFmtId="0" fontId="44" fillId="5" borderId="22" xfId="0" applyFont="1" applyFill="1" applyBorder="1" applyAlignment="1">
      <alignment horizontal="center" shrinkToFit="1"/>
    </xf>
    <xf numFmtId="0" fontId="26" fillId="5" borderId="22" xfId="0" applyFont="1" applyFill="1" applyBorder="1" applyAlignment="1">
      <alignment horizontal="center" shrinkToFit="1"/>
    </xf>
    <xf numFmtId="0" fontId="28" fillId="2" borderId="1" xfId="0" applyFont="1" applyFill="1" applyBorder="1" applyAlignment="1">
      <alignment horizontal="center" vertical="center" shrinkToFit="1"/>
    </xf>
    <xf numFmtId="0" fontId="28" fillId="0" borderId="3" xfId="0" applyFont="1" applyBorder="1" applyAlignment="1">
      <alignment vertical="center" shrinkToFit="1"/>
    </xf>
    <xf numFmtId="0" fontId="28" fillId="0" borderId="1" xfId="0" applyFont="1" applyBorder="1" applyAlignment="1">
      <alignment shrinkToFit="1"/>
    </xf>
    <xf numFmtId="0" fontId="28" fillId="0" borderId="8" xfId="0" applyFont="1" applyBorder="1" applyAlignment="1">
      <alignment vertical="center" shrinkToFit="1"/>
    </xf>
    <xf numFmtId="0" fontId="28" fillId="0" borderId="5" xfId="0" applyFont="1" applyBorder="1" applyAlignment="1">
      <alignment shrinkToFit="1"/>
    </xf>
    <xf numFmtId="0" fontId="26" fillId="0" borderId="0" xfId="0" applyFont="1" applyAlignment="1">
      <alignment wrapText="1" shrinkToFit="1"/>
    </xf>
    <xf numFmtId="0" fontId="26" fillId="0" borderId="0" xfId="0" applyFont="1" applyAlignment="1">
      <alignment horizontal="center" vertical="center" wrapText="1" shrinkToFit="1"/>
    </xf>
    <xf numFmtId="10" fontId="28" fillId="2" borderId="22" xfId="0" applyNumberFormat="1" applyFont="1" applyFill="1" applyBorder="1" applyAlignment="1">
      <alignment horizontal="center" vertical="center" shrinkToFit="1"/>
    </xf>
    <xf numFmtId="10" fontId="28" fillId="0" borderId="22" xfId="0" applyNumberFormat="1" applyFont="1" applyBorder="1" applyAlignment="1">
      <alignment shrinkToFit="1"/>
    </xf>
    <xf numFmtId="10" fontId="28" fillId="3" borderId="22" xfId="0" applyNumberFormat="1" applyFont="1" applyFill="1" applyBorder="1" applyAlignment="1">
      <alignment shrinkToFit="1"/>
    </xf>
    <xf numFmtId="0" fontId="28" fillId="2" borderId="23" xfId="0" applyFont="1" applyFill="1" applyBorder="1" applyAlignment="1">
      <alignment horizontal="center" vertical="center" shrinkToFit="1"/>
    </xf>
    <xf numFmtId="10" fontId="28" fillId="2" borderId="23" xfId="0" applyNumberFormat="1" applyFont="1" applyFill="1" applyBorder="1" applyAlignment="1">
      <alignment horizontal="center" vertical="center" shrinkToFit="1"/>
    </xf>
    <xf numFmtId="1" fontId="0" fillId="0" borderId="22" xfId="0" applyNumberFormat="1" applyFont="1" applyBorder="1" applyAlignment="1">
      <alignment horizontal="center" vertical="center"/>
    </xf>
    <xf numFmtId="0" fontId="26" fillId="0" borderId="0" xfId="11" applyFont="1" applyAlignment="1">
      <alignment shrinkToFit="1"/>
    </xf>
    <xf numFmtId="0" fontId="26" fillId="4" borderId="0" xfId="11" applyFont="1" applyFill="1" applyAlignment="1">
      <alignment shrinkToFit="1"/>
    </xf>
    <xf numFmtId="0" fontId="26" fillId="0" borderId="0" xfId="11" applyFont="1" applyBorder="1" applyAlignment="1">
      <alignment shrinkToFit="1"/>
    </xf>
    <xf numFmtId="0" fontId="26" fillId="4" borderId="0" xfId="11" applyFont="1" applyFill="1" applyBorder="1" applyAlignment="1">
      <alignment shrinkToFit="1"/>
    </xf>
    <xf numFmtId="0" fontId="45" fillId="0" borderId="0" xfId="11" applyFont="1" applyAlignment="1">
      <alignment shrinkToFit="1"/>
    </xf>
    <xf numFmtId="184" fontId="63" fillId="0" borderId="0" xfId="11" applyNumberFormat="1" applyFont="1" applyAlignment="1">
      <alignment shrinkToFit="1"/>
    </xf>
    <xf numFmtId="0" fontId="44" fillId="0" borderId="6" xfId="11" applyFont="1" applyFill="1" applyBorder="1" applyAlignment="1">
      <alignment horizontal="center" shrinkToFit="1"/>
    </xf>
    <xf numFmtId="3" fontId="36" fillId="0" borderId="6" xfId="11" applyNumberFormat="1" applyFont="1" applyFill="1" applyBorder="1" applyAlignment="1">
      <alignment shrinkToFit="1"/>
    </xf>
    <xf numFmtId="10" fontId="36" fillId="0" borderId="6" xfId="11" applyNumberFormat="1" applyFont="1" applyFill="1" applyBorder="1" applyAlignment="1">
      <alignment shrinkToFit="1"/>
    </xf>
    <xf numFmtId="3" fontId="28" fillId="0" borderId="22" xfId="11" applyNumberFormat="1" applyFont="1" applyFill="1" applyBorder="1" applyAlignment="1">
      <alignment shrinkToFit="1"/>
    </xf>
    <xf numFmtId="10" fontId="28" fillId="0" borderId="22" xfId="11" applyNumberFormat="1" applyFont="1" applyFill="1" applyBorder="1" applyAlignment="1">
      <alignment shrinkToFit="1"/>
    </xf>
    <xf numFmtId="0" fontId="26" fillId="0" borderId="0" xfId="11" applyFont="1" applyFill="1" applyAlignment="1">
      <alignment shrinkToFit="1"/>
    </xf>
    <xf numFmtId="0" fontId="44" fillId="0" borderId="1" xfId="11" applyFont="1" applyFill="1" applyBorder="1" applyAlignment="1">
      <alignment horizontal="center" shrinkToFit="1"/>
    </xf>
    <xf numFmtId="3" fontId="36" fillId="0" borderId="1" xfId="11" applyNumberFormat="1" applyFont="1" applyFill="1" applyBorder="1" applyAlignment="1">
      <alignment shrinkToFit="1"/>
    </xf>
    <xf numFmtId="0" fontId="35" fillId="0" borderId="34" xfId="0" applyFont="1" applyBorder="1" applyAlignment="1">
      <alignment horizontal="left" vertical="center"/>
    </xf>
    <xf numFmtId="0" fontId="35" fillId="0" borderId="36" xfId="0" applyFont="1" applyBorder="1" applyAlignment="1">
      <alignment horizontal="left" vertical="center"/>
    </xf>
    <xf numFmtId="1" fontId="0" fillId="0" borderId="22" xfId="0" applyNumberFormat="1" applyFont="1" applyFill="1" applyBorder="1" applyAlignment="1">
      <alignment horizontal="center" vertical="center"/>
    </xf>
    <xf numFmtId="183" fontId="0" fillId="0" borderId="22" xfId="0" applyNumberFormat="1" applyFont="1" applyFill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0" fontId="0" fillId="0" borderId="22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left" vertical="center"/>
    </xf>
    <xf numFmtId="0" fontId="35" fillId="0" borderId="34" xfId="0" applyFont="1" applyFill="1" applyBorder="1" applyAlignment="1">
      <alignment horizontal="left" vertical="center"/>
    </xf>
    <xf numFmtId="0" fontId="35" fillId="0" borderId="26" xfId="0" applyFont="1" applyFill="1" applyBorder="1" applyAlignment="1">
      <alignment horizontal="left" vertical="center"/>
    </xf>
    <xf numFmtId="0" fontId="35" fillId="0" borderId="36" xfId="0" applyFont="1" applyFill="1" applyBorder="1" applyAlignment="1">
      <alignment horizontal="left" vertical="center"/>
    </xf>
    <xf numFmtId="0" fontId="35" fillId="0" borderId="32" xfId="0" applyFont="1" applyFill="1" applyBorder="1" applyAlignment="1">
      <alignment horizontal="left" vertical="center"/>
    </xf>
    <xf numFmtId="0" fontId="35" fillId="0" borderId="37" xfId="0" applyFont="1" applyFill="1" applyBorder="1" applyAlignment="1">
      <alignment horizontal="left" vertical="center"/>
    </xf>
    <xf numFmtId="0" fontId="7" fillId="0" borderId="0" xfId="5"/>
    <xf numFmtId="0" fontId="67" fillId="8" borderId="30" xfId="5" applyFont="1" applyFill="1" applyBorder="1"/>
    <xf numFmtId="0" fontId="67" fillId="0" borderId="0" xfId="5" applyFont="1"/>
    <xf numFmtId="0" fontId="67" fillId="0" borderId="22" xfId="5" applyFont="1" applyBorder="1"/>
    <xf numFmtId="0" fontId="67" fillId="8" borderId="22" xfId="5" applyFont="1" applyFill="1" applyBorder="1"/>
    <xf numFmtId="185" fontId="26" fillId="0" borderId="0" xfId="0" applyNumberFormat="1" applyFont="1" applyFill="1" applyAlignment="1"/>
    <xf numFmtId="0" fontId="51" fillId="8" borderId="22" xfId="0" applyFont="1" applyFill="1" applyBorder="1" applyAlignment="1">
      <alignment horizontal="center" vertical="center" shrinkToFit="1"/>
    </xf>
    <xf numFmtId="0" fontId="28" fillId="0" borderId="22" xfId="11" applyFont="1" applyFill="1" applyBorder="1" applyAlignment="1">
      <alignment horizontal="center" vertical="center" shrinkToFit="1"/>
    </xf>
    <xf numFmtId="0" fontId="68" fillId="0" borderId="22" xfId="0" applyFont="1" applyFill="1" applyBorder="1" applyAlignment="1">
      <alignment horizontal="center" vertical="center" shrinkToFit="1"/>
    </xf>
    <xf numFmtId="0" fontId="52" fillId="0" borderId="22" xfId="0" applyFont="1" applyFill="1" applyBorder="1" applyAlignment="1">
      <alignment horizontal="center" vertical="center" shrinkToFit="1"/>
    </xf>
    <xf numFmtId="0" fontId="52" fillId="0" borderId="22" xfId="0" applyFont="1" applyFill="1" applyBorder="1" applyAlignment="1">
      <alignment shrinkToFit="1"/>
    </xf>
    <xf numFmtId="183" fontId="0" fillId="0" borderId="0" xfId="0" applyNumberFormat="1" applyFont="1" applyAlignment="1">
      <alignment horizontal="center" vertical="center"/>
    </xf>
    <xf numFmtId="0" fontId="69" fillId="0" borderId="0" xfId="0" applyFont="1" applyAlignment="1">
      <alignment vertical="center"/>
    </xf>
    <xf numFmtId="0" fontId="62" fillId="2" borderId="22" xfId="0" applyFont="1" applyFill="1" applyBorder="1" applyAlignment="1">
      <alignment horizontal="center" vertical="center" shrinkToFit="1"/>
    </xf>
    <xf numFmtId="0" fontId="29" fillId="5" borderId="23" xfId="11" applyFont="1" applyFill="1" applyBorder="1" applyAlignment="1">
      <alignment horizontal="center" vertical="center"/>
    </xf>
    <xf numFmtId="3" fontId="28" fillId="5" borderId="22" xfId="0" applyNumberFormat="1" applyFont="1" applyFill="1" applyBorder="1" applyAlignment="1">
      <alignment shrinkToFit="1"/>
    </xf>
    <xf numFmtId="10" fontId="28" fillId="5" borderId="22" xfId="0" applyNumberFormat="1" applyFont="1" applyFill="1" applyBorder="1" applyAlignment="1">
      <alignment shrinkToFit="1"/>
    </xf>
    <xf numFmtId="0" fontId="0" fillId="5" borderId="22" xfId="0" applyFont="1" applyFill="1" applyBorder="1" applyAlignment="1">
      <alignment horizontal="center" vertical="center"/>
    </xf>
    <xf numFmtId="186" fontId="70" fillId="0" borderId="22" xfId="0" applyNumberFormat="1" applyFont="1" applyFill="1" applyBorder="1" applyAlignment="1"/>
    <xf numFmtId="186" fontId="26" fillId="0" borderId="0" xfId="0" applyNumberFormat="1" applyFont="1" applyFill="1" applyAlignment="1"/>
    <xf numFmtId="180" fontId="26" fillId="9" borderId="0" xfId="0" applyNumberFormat="1" applyFont="1" applyFill="1" applyAlignment="1"/>
    <xf numFmtId="187" fontId="26" fillId="9" borderId="0" xfId="0" applyNumberFormat="1" applyFont="1" applyFill="1" applyAlignment="1"/>
    <xf numFmtId="177" fontId="26" fillId="9" borderId="0" xfId="0" applyNumberFormat="1" applyFont="1" applyFill="1" applyAlignment="1"/>
    <xf numFmtId="186" fontId="26" fillId="9" borderId="0" xfId="0" applyNumberFormat="1" applyFont="1" applyFill="1" applyAlignment="1"/>
    <xf numFmtId="185" fontId="26" fillId="9" borderId="0" xfId="0" applyNumberFormat="1" applyFont="1" applyFill="1" applyAlignment="1"/>
    <xf numFmtId="186" fontId="70" fillId="9" borderId="22" xfId="0" applyNumberFormat="1" applyFont="1" applyFill="1" applyBorder="1" applyAlignment="1"/>
    <xf numFmtId="177" fontId="26" fillId="9" borderId="22" xfId="0" applyNumberFormat="1" applyFont="1" applyFill="1" applyBorder="1" applyAlignment="1"/>
    <xf numFmtId="188" fontId="28" fillId="0" borderId="22" xfId="14" applyNumberFormat="1" applyFont="1" applyFill="1" applyBorder="1" applyAlignment="1">
      <alignment shrinkToFit="1"/>
    </xf>
    <xf numFmtId="189" fontId="28" fillId="5" borderId="22" xfId="0" applyNumberFormat="1" applyFont="1" applyFill="1" applyBorder="1" applyAlignment="1">
      <alignment shrinkToFit="1"/>
    </xf>
    <xf numFmtId="3" fontId="28" fillId="5" borderId="22" xfId="0" applyNumberFormat="1" applyFont="1" applyFill="1" applyBorder="1" applyAlignment="1">
      <alignment horizontal="right" shrinkToFit="1"/>
    </xf>
    <xf numFmtId="188" fontId="28" fillId="5" borderId="22" xfId="14" applyNumberFormat="1" applyFont="1" applyFill="1" applyBorder="1" applyAlignment="1">
      <alignment shrinkToFit="1"/>
    </xf>
    <xf numFmtId="0" fontId="73" fillId="0" borderId="22" xfId="0" applyFont="1" applyBorder="1" applyAlignment="1">
      <alignment horizontal="center" vertical="center" shrinkToFit="1"/>
    </xf>
    <xf numFmtId="0" fontId="74" fillId="0" borderId="22" xfId="0" applyFont="1" applyBorder="1" applyAlignment="1">
      <alignment horizontal="center" vertical="center" shrinkToFit="1"/>
    </xf>
    <xf numFmtId="0" fontId="75" fillId="0" borderId="22" xfId="0" applyFont="1" applyBorder="1" applyAlignment="1">
      <alignment horizontal="center" vertical="center" shrinkToFit="1"/>
    </xf>
    <xf numFmtId="190" fontId="28" fillId="5" borderId="22" xfId="14" applyNumberFormat="1" applyFont="1" applyFill="1" applyBorder="1" applyAlignment="1">
      <alignment shrinkToFit="1"/>
    </xf>
    <xf numFmtId="191" fontId="28" fillId="0" borderId="22" xfId="0" applyNumberFormat="1" applyFont="1" applyFill="1" applyBorder="1" applyAlignment="1">
      <alignment shrinkToFit="1"/>
    </xf>
    <xf numFmtId="10" fontId="28" fillId="3" borderId="22" xfId="0" applyNumberFormat="1" applyFont="1" applyFill="1" applyBorder="1" applyAlignment="1">
      <alignment horizontal="center" shrinkToFit="1"/>
    </xf>
    <xf numFmtId="0" fontId="11" fillId="2" borderId="22" xfId="0" applyFont="1" applyFill="1" applyBorder="1" applyAlignment="1">
      <alignment horizontal="center" shrinkToFit="1"/>
    </xf>
    <xf numFmtId="189" fontId="26" fillId="9" borderId="0" xfId="0" applyNumberFormat="1" applyFont="1" applyFill="1" applyAlignment="1"/>
    <xf numFmtId="189" fontId="28" fillId="0" borderId="22" xfId="0" applyNumberFormat="1" applyFont="1" applyFill="1" applyBorder="1" applyAlignment="1">
      <alignment shrinkToFit="1"/>
    </xf>
    <xf numFmtId="185" fontId="28" fillId="5" borderId="22" xfId="0" applyNumberFormat="1" applyFont="1" applyFill="1" applyBorder="1" applyAlignment="1">
      <alignment shrinkToFit="1"/>
    </xf>
    <xf numFmtId="185" fontId="28" fillId="0" borderId="22" xfId="0" applyNumberFormat="1" applyFont="1" applyFill="1" applyBorder="1" applyAlignment="1">
      <alignment shrinkToFit="1"/>
    </xf>
    <xf numFmtId="183" fontId="26" fillId="0" borderId="0" xfId="0" applyNumberFormat="1" applyFont="1" applyAlignment="1">
      <alignment shrinkToFit="1"/>
    </xf>
    <xf numFmtId="9" fontId="28" fillId="5" borderId="22" xfId="0" applyNumberFormat="1" applyFont="1" applyFill="1" applyBorder="1" applyAlignment="1">
      <alignment shrinkToFit="1"/>
    </xf>
    <xf numFmtId="9" fontId="28" fillId="0" borderId="22" xfId="0" applyNumberFormat="1" applyFont="1" applyFill="1" applyBorder="1" applyAlignment="1">
      <alignment shrinkToFit="1"/>
    </xf>
    <xf numFmtId="3" fontId="45" fillId="5" borderId="22" xfId="0" applyNumberFormat="1" applyFont="1" applyFill="1" applyBorder="1" applyAlignment="1">
      <alignment shrinkToFit="1"/>
    </xf>
    <xf numFmtId="10" fontId="45" fillId="5" borderId="22" xfId="0" applyNumberFormat="1" applyFont="1" applyFill="1" applyBorder="1" applyAlignment="1">
      <alignment shrinkToFit="1"/>
    </xf>
    <xf numFmtId="189" fontId="45" fillId="5" borderId="22" xfId="0" applyNumberFormat="1" applyFont="1" applyFill="1" applyBorder="1" applyAlignment="1">
      <alignment shrinkToFit="1"/>
    </xf>
    <xf numFmtId="185" fontId="45" fillId="5" borderId="22" xfId="0" applyNumberFormat="1" applyFont="1" applyFill="1" applyBorder="1" applyAlignment="1">
      <alignment shrinkToFit="1"/>
    </xf>
    <xf numFmtId="190" fontId="45" fillId="5" borderId="22" xfId="14" applyNumberFormat="1" applyFont="1" applyFill="1" applyBorder="1" applyAlignment="1">
      <alignment shrinkToFit="1"/>
    </xf>
    <xf numFmtId="191" fontId="45" fillId="5" borderId="22" xfId="0" applyNumberFormat="1" applyFont="1" applyFill="1" applyBorder="1" applyAlignment="1">
      <alignment horizontal="right" shrinkToFit="1"/>
    </xf>
    <xf numFmtId="190" fontId="28" fillId="0" borderId="22" xfId="14" applyNumberFormat="1" applyFont="1" applyFill="1" applyBorder="1" applyAlignment="1">
      <alignment horizontal="right" shrinkToFit="1"/>
    </xf>
    <xf numFmtId="0" fontId="0" fillId="0" borderId="0" xfId="0" applyFont="1" applyAlignment="1">
      <alignment shrinkToFit="1"/>
    </xf>
    <xf numFmtId="0" fontId="44" fillId="0" borderId="44" xfId="11" applyFont="1" applyFill="1" applyBorder="1" applyAlignment="1">
      <alignment horizontal="center" shrinkToFit="1"/>
    </xf>
    <xf numFmtId="3" fontId="36" fillId="7" borderId="6" xfId="11" applyNumberFormat="1" applyFont="1" applyFill="1" applyBorder="1" applyAlignment="1">
      <alignment shrinkToFit="1"/>
    </xf>
    <xf numFmtId="10" fontId="26" fillId="10" borderId="22" xfId="0" applyNumberFormat="1" applyFont="1" applyFill="1" applyBorder="1" applyAlignment="1"/>
    <xf numFmtId="177" fontId="71" fillId="10" borderId="0" xfId="0" applyNumberFormat="1" applyFont="1" applyFill="1" applyAlignment="1"/>
    <xf numFmtId="177" fontId="71" fillId="0" borderId="0" xfId="0" applyNumberFormat="1" applyFont="1" applyFill="1" applyAlignment="1"/>
    <xf numFmtId="10" fontId="76" fillId="10" borderId="22" xfId="0" applyNumberFormat="1" applyFont="1" applyFill="1" applyBorder="1" applyAlignment="1"/>
    <xf numFmtId="177" fontId="76" fillId="0" borderId="0" xfId="0" applyNumberFormat="1" applyFont="1" applyFill="1" applyAlignment="1"/>
    <xf numFmtId="10" fontId="76" fillId="0" borderId="0" xfId="0" applyNumberFormat="1" applyFont="1" applyFill="1" applyAlignment="1"/>
    <xf numFmtId="3" fontId="76" fillId="0" borderId="0" xfId="0" applyNumberFormat="1" applyFont="1" applyFill="1" applyAlignment="1"/>
    <xf numFmtId="186" fontId="70" fillId="10" borderId="22" xfId="0" applyNumberFormat="1" applyFont="1" applyFill="1" applyBorder="1" applyAlignment="1"/>
    <xf numFmtId="3" fontId="28" fillId="11" borderId="22" xfId="0" applyNumberFormat="1" applyFont="1" applyFill="1" applyBorder="1" applyAlignment="1">
      <alignment shrinkToFit="1"/>
    </xf>
    <xf numFmtId="10" fontId="28" fillId="11" borderId="22" xfId="0" applyNumberFormat="1" applyFont="1" applyFill="1" applyBorder="1" applyAlignment="1">
      <alignment shrinkToFit="1"/>
    </xf>
    <xf numFmtId="183" fontId="28" fillId="0" borderId="22" xfId="0" applyNumberFormat="1" applyFont="1" applyFill="1" applyBorder="1" applyAlignment="1">
      <alignment shrinkToFit="1"/>
    </xf>
    <xf numFmtId="3" fontId="28" fillId="0" borderId="22" xfId="0" applyNumberFormat="1" applyFont="1" applyFill="1" applyBorder="1" applyAlignment="1">
      <alignment horizontal="right" shrinkToFit="1"/>
    </xf>
    <xf numFmtId="0" fontId="0" fillId="0" borderId="22" xfId="0" applyFont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33" fillId="0" borderId="22" xfId="0" applyFont="1" applyFill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33" fillId="0" borderId="22" xfId="0" applyFont="1" applyFill="1" applyBorder="1" applyAlignment="1">
      <alignment horizontal="center" vertical="center"/>
    </xf>
    <xf numFmtId="0" fontId="33" fillId="0" borderId="22" xfId="0" applyFont="1" applyFill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35" fillId="0" borderId="0" xfId="0" applyFont="1" applyBorder="1" applyAlignment="1">
      <alignment horizontal="left" vertical="center"/>
    </xf>
    <xf numFmtId="0" fontId="35" fillId="0" borderId="26" xfId="0" applyFont="1" applyBorder="1" applyAlignment="1">
      <alignment horizontal="left" vertical="center"/>
    </xf>
    <xf numFmtId="4" fontId="28" fillId="11" borderId="22" xfId="0" applyNumberFormat="1" applyFont="1" applyFill="1" applyBorder="1" applyAlignment="1">
      <alignment horizontal="right" shrinkToFit="1"/>
    </xf>
    <xf numFmtId="189" fontId="28" fillId="11" borderId="22" xfId="0" applyNumberFormat="1" applyFont="1" applyFill="1" applyBorder="1" applyAlignment="1">
      <alignment shrinkToFit="1"/>
    </xf>
    <xf numFmtId="185" fontId="28" fillId="11" borderId="22" xfId="0" applyNumberFormat="1" applyFont="1" applyFill="1" applyBorder="1" applyAlignment="1">
      <alignment shrinkToFit="1"/>
    </xf>
    <xf numFmtId="183" fontId="7" fillId="0" borderId="0" xfId="0" applyNumberFormat="1" applyFont="1" applyBorder="1" applyAlignment="1">
      <alignment horizontal="right" vertical="center" shrinkToFit="1"/>
    </xf>
    <xf numFmtId="0" fontId="33" fillId="0" borderId="22" xfId="0" applyFont="1" applyFill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33" fillId="0" borderId="22" xfId="0" applyFont="1" applyFill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91" fontId="26" fillId="0" borderId="0" xfId="0" applyNumberFormat="1" applyFont="1" applyFill="1" applyAlignment="1">
      <alignment shrinkToFit="1"/>
    </xf>
    <xf numFmtId="187" fontId="26" fillId="0" borderId="0" xfId="0" applyNumberFormat="1" applyFont="1" applyFill="1" applyAlignment="1"/>
    <xf numFmtId="189" fontId="26" fillId="0" borderId="0" xfId="0" applyNumberFormat="1" applyFont="1" applyFill="1" applyAlignment="1"/>
    <xf numFmtId="179" fontId="63" fillId="0" borderId="0" xfId="0" applyNumberFormat="1" applyFont="1" applyFill="1" applyAlignment="1">
      <alignment horizontal="center"/>
    </xf>
    <xf numFmtId="176" fontId="45" fillId="0" borderId="0" xfId="0" applyNumberFormat="1" applyFont="1" applyFill="1" applyAlignment="1">
      <alignment horizontal="center" vertical="center"/>
    </xf>
    <xf numFmtId="177" fontId="26" fillId="0" borderId="0" xfId="0" applyNumberFormat="1" applyFont="1" applyFill="1" applyAlignment="1">
      <alignment horizontal="right"/>
    </xf>
    <xf numFmtId="183" fontId="28" fillId="11" borderId="22" xfId="0" applyNumberFormat="1" applyFont="1" applyFill="1" applyBorder="1" applyAlignment="1">
      <alignment shrinkToFit="1"/>
    </xf>
    <xf numFmtId="0" fontId="0" fillId="0" borderId="22" xfId="0" applyFont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33" fillId="0" borderId="22" xfId="0" applyFont="1" applyFill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35" fillId="12" borderId="37" xfId="0" applyFont="1" applyFill="1" applyBorder="1" applyAlignment="1">
      <alignment horizontal="left" vertical="center"/>
    </xf>
    <xf numFmtId="0" fontId="35" fillId="12" borderId="32" xfId="0" applyFont="1" applyFill="1" applyBorder="1" applyAlignment="1">
      <alignment horizontal="left" vertical="center"/>
    </xf>
    <xf numFmtId="0" fontId="35" fillId="12" borderId="26" xfId="0" applyFont="1" applyFill="1" applyBorder="1" applyAlignment="1">
      <alignment horizontal="left" vertical="center"/>
    </xf>
    <xf numFmtId="0" fontId="35" fillId="12" borderId="36" xfId="0" applyFont="1" applyFill="1" applyBorder="1" applyAlignment="1">
      <alignment horizontal="left" vertical="center"/>
    </xf>
    <xf numFmtId="1" fontId="33" fillId="0" borderId="22" xfId="0" applyNumberFormat="1" applyFont="1" applyFill="1" applyBorder="1" applyAlignment="1">
      <alignment horizontal="center" vertical="center"/>
    </xf>
    <xf numFmtId="0" fontId="33" fillId="5" borderId="22" xfId="0" applyFont="1" applyFill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177" fontId="26" fillId="0" borderId="0" xfId="0" applyNumberFormat="1" applyFont="1" applyFill="1" applyBorder="1" applyAlignment="1"/>
    <xf numFmtId="10" fontId="26" fillId="0" borderId="0" xfId="0" applyNumberFormat="1" applyFont="1" applyFill="1" applyAlignment="1">
      <alignment vertical="center"/>
    </xf>
    <xf numFmtId="187" fontId="26" fillId="0" borderId="0" xfId="0" applyNumberFormat="1" applyFont="1" applyFill="1" applyAlignment="1">
      <alignment vertical="center"/>
    </xf>
    <xf numFmtId="177" fontId="26" fillId="0" borderId="0" xfId="0" applyNumberFormat="1" applyFont="1" applyFill="1" applyAlignment="1">
      <alignment vertical="center"/>
    </xf>
    <xf numFmtId="0" fontId="28" fillId="2" borderId="22" xfId="0" applyFont="1" applyFill="1" applyBorder="1" applyAlignment="1">
      <alignment horizontal="center" shrinkToFit="1"/>
    </xf>
    <xf numFmtId="0" fontId="62" fillId="2" borderId="1" xfId="0" applyFont="1" applyFill="1" applyBorder="1" applyAlignment="1">
      <alignment horizontal="center" vertical="center" shrinkToFit="1"/>
    </xf>
    <xf numFmtId="0" fontId="26" fillId="0" borderId="0" xfId="11" applyFont="1" applyAlignment="1">
      <alignment horizontal="center" vertical="center" shrinkToFit="1"/>
    </xf>
    <xf numFmtId="0" fontId="26" fillId="0" borderId="0" xfId="11" applyFont="1" applyAlignment="1">
      <alignment wrapText="1" shrinkToFit="1"/>
    </xf>
    <xf numFmtId="0" fontId="26" fillId="0" borderId="0" xfId="11" applyFont="1" applyAlignment="1">
      <alignment vertical="center" shrinkToFit="1"/>
    </xf>
    <xf numFmtId="0" fontId="24" fillId="0" borderId="0" xfId="11" applyFont="1" applyAlignment="1">
      <alignment horizontal="center" vertical="center" shrinkToFit="1"/>
    </xf>
    <xf numFmtId="0" fontId="24" fillId="0" borderId="0" xfId="11" applyFont="1" applyAlignment="1">
      <alignment shrinkToFit="1"/>
    </xf>
    <xf numFmtId="0" fontId="24" fillId="0" borderId="0" xfId="11" applyFont="1" applyAlignment="1">
      <alignment wrapText="1" shrinkToFit="1"/>
    </xf>
    <xf numFmtId="0" fontId="24" fillId="0" borderId="0" xfId="11" applyFont="1" applyAlignment="1">
      <alignment vertical="center" shrinkToFit="1"/>
    </xf>
    <xf numFmtId="0" fontId="29" fillId="0" borderId="0" xfId="11" applyFont="1"/>
    <xf numFmtId="0" fontId="29" fillId="0" borderId="0" xfId="11" applyFont="1" applyAlignment="1">
      <alignment vertical="center"/>
    </xf>
    <xf numFmtId="0" fontId="29" fillId="0" borderId="22" xfId="11" applyFont="1" applyBorder="1" applyAlignment="1">
      <alignment horizontal="center" vertical="center"/>
    </xf>
    <xf numFmtId="192" fontId="36" fillId="8" borderId="22" xfId="11" applyNumberFormat="1" applyFont="1" applyFill="1" applyBorder="1" applyAlignment="1">
      <alignment horizontal="center" vertical="center"/>
    </xf>
    <xf numFmtId="0" fontId="36" fillId="0" borderId="22" xfId="11" applyFont="1" applyBorder="1" applyAlignment="1">
      <alignment horizontal="center" vertical="center"/>
    </xf>
    <xf numFmtId="0" fontId="29" fillId="0" borderId="41" xfId="11" applyFont="1" applyBorder="1" applyAlignment="1">
      <alignment horizontal="center" vertical="center"/>
    </xf>
    <xf numFmtId="0" fontId="29" fillId="0" borderId="0" xfId="11" applyFont="1" applyAlignment="1">
      <alignment horizontal="left" vertical="center"/>
    </xf>
    <xf numFmtId="0" fontId="55" fillId="0" borderId="0" xfId="0" applyFont="1" applyFill="1" applyAlignment="1">
      <alignment vertical="center"/>
    </xf>
    <xf numFmtId="0" fontId="55" fillId="0" borderId="0" xfId="0" applyFont="1" applyFill="1" applyAlignment="1"/>
    <xf numFmtId="177" fontId="55" fillId="0" borderId="0" xfId="0" applyNumberFormat="1" applyFont="1" applyFill="1" applyAlignment="1"/>
    <xf numFmtId="177" fontId="55" fillId="0" borderId="0" xfId="0" applyNumberFormat="1" applyFont="1" applyFill="1" applyAlignment="1">
      <alignment horizontal="right"/>
    </xf>
    <xf numFmtId="10" fontId="55" fillId="0" borderId="22" xfId="0" applyNumberFormat="1" applyFont="1" applyFill="1" applyBorder="1" applyAlignment="1"/>
    <xf numFmtId="0" fontId="55" fillId="0" borderId="0" xfId="0" applyFont="1" applyAlignment="1"/>
    <xf numFmtId="0" fontId="26" fillId="0" borderId="37" xfId="0" applyFont="1" applyFill="1" applyBorder="1" applyAlignment="1">
      <alignment vertical="center"/>
    </xf>
    <xf numFmtId="177" fontId="26" fillId="0" borderId="34" xfId="0" applyNumberFormat="1" applyFont="1" applyFill="1" applyBorder="1" applyAlignment="1">
      <alignment vertical="center"/>
    </xf>
    <xf numFmtId="0" fontId="0" fillId="0" borderId="27" xfId="0" applyBorder="1" applyAlignment="1">
      <alignment vertical="center"/>
    </xf>
    <xf numFmtId="0" fontId="0" fillId="0" borderId="28" xfId="0" applyBorder="1" applyAlignment="1">
      <alignment vertical="center"/>
    </xf>
    <xf numFmtId="0" fontId="0" fillId="0" borderId="25" xfId="0" applyBorder="1" applyAlignment="1">
      <alignment vertical="center"/>
    </xf>
    <xf numFmtId="0" fontId="33" fillId="0" borderId="22" xfId="0" applyFont="1" applyBorder="1" applyAlignment="1">
      <alignment horizontal="center" vertical="center"/>
    </xf>
    <xf numFmtId="0" fontId="44" fillId="2" borderId="22" xfId="0" applyFont="1" applyFill="1" applyBorder="1" applyAlignment="1">
      <alignment horizontal="center" vertical="center" shrinkToFit="1"/>
    </xf>
    <xf numFmtId="0" fontId="33" fillId="4" borderId="22" xfId="0" applyFont="1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0" fontId="0" fillId="4" borderId="22" xfId="0" applyFill="1" applyBorder="1" applyAlignment="1">
      <alignment horizontal="center" vertical="center"/>
    </xf>
    <xf numFmtId="0" fontId="0" fillId="5" borderId="22" xfId="0" applyFill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79" fontId="55" fillId="0" borderId="0" xfId="0" applyNumberFormat="1" applyFont="1" applyFill="1" applyAlignment="1">
      <alignment horizontal="center"/>
    </xf>
    <xf numFmtId="0" fontId="0" fillId="0" borderId="27" xfId="0" applyBorder="1" applyAlignment="1">
      <alignment horizontal="left" vertical="center"/>
    </xf>
    <xf numFmtId="1" fontId="28" fillId="0" borderId="22" xfId="0" applyNumberFormat="1" applyFont="1" applyBorder="1" applyAlignment="1">
      <alignment shrinkToFit="1"/>
    </xf>
    <xf numFmtId="0" fontId="33" fillId="0" borderId="27" xfId="0" applyFont="1" applyBorder="1" applyAlignment="1">
      <alignment vertical="center"/>
    </xf>
    <xf numFmtId="0" fontId="33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44" fillId="2" borderId="22" xfId="0" applyFont="1" applyFill="1" applyBorder="1" applyAlignment="1">
      <alignment horizontal="center" vertical="center" shrinkToFit="1"/>
    </xf>
    <xf numFmtId="0" fontId="33" fillId="0" borderId="27" xfId="0" applyFont="1" applyBorder="1" applyAlignment="1">
      <alignment horizontal="left" vertical="center"/>
    </xf>
    <xf numFmtId="1" fontId="0" fillId="0" borderId="22" xfId="0" applyNumberFormat="1" applyFont="1" applyFill="1" applyBorder="1" applyAlignment="1">
      <alignment horizontal="center" vertical="center"/>
    </xf>
    <xf numFmtId="183" fontId="0" fillId="0" borderId="22" xfId="0" applyNumberForma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0" fontId="24" fillId="0" borderId="27" xfId="0" applyFont="1" applyBorder="1" applyAlignment="1">
      <alignment vertical="center"/>
    </xf>
    <xf numFmtId="0" fontId="0" fillId="0" borderId="22" xfId="0" applyFont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33" fillId="4" borderId="22" xfId="0" applyFont="1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97" fillId="0" borderId="22" xfId="0" applyFont="1" applyBorder="1" applyAlignment="1">
      <alignment horizontal="center" vertical="center" shrinkToFit="1"/>
    </xf>
    <xf numFmtId="0" fontId="33" fillId="0" borderId="22" xfId="0" applyFont="1" applyFill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183" fontId="0" fillId="0" borderId="22" xfId="0" applyNumberFormat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0" fontId="29" fillId="0" borderId="0" xfId="11" applyFont="1" applyAlignment="1">
      <alignment horizontal="center" vertical="center"/>
    </xf>
    <xf numFmtId="0" fontId="45" fillId="0" borderId="51" xfId="11" applyFont="1" applyBorder="1" applyAlignment="1">
      <alignment shrinkToFit="1"/>
    </xf>
    <xf numFmtId="184" fontId="63" fillId="13" borderId="52" xfId="11" applyNumberFormat="1" applyFont="1" applyFill="1" applyBorder="1" applyAlignment="1">
      <alignment shrinkToFit="1"/>
    </xf>
    <xf numFmtId="10" fontId="36" fillId="0" borderId="60" xfId="11" applyNumberFormat="1" applyFont="1" applyFill="1" applyBorder="1" applyAlignment="1">
      <alignment shrinkToFit="1"/>
    </xf>
    <xf numFmtId="3" fontId="28" fillId="7" borderId="42" xfId="11" applyNumberFormat="1" applyFont="1" applyFill="1" applyBorder="1" applyAlignment="1">
      <alignment shrinkToFit="1"/>
    </xf>
    <xf numFmtId="0" fontId="44" fillId="0" borderId="62" xfId="11" applyFont="1" applyFill="1" applyBorder="1" applyAlignment="1">
      <alignment horizontal="center" shrinkToFit="1"/>
    </xf>
    <xf numFmtId="3" fontId="36" fillId="7" borderId="45" xfId="11" applyNumberFormat="1" applyFont="1" applyFill="1" applyBorder="1" applyAlignment="1">
      <alignment shrinkToFit="1"/>
    </xf>
    <xf numFmtId="10" fontId="36" fillId="0" borderId="63" xfId="11" applyNumberFormat="1" applyFont="1" applyFill="1" applyBorder="1" applyAlignment="1">
      <alignment shrinkToFit="1"/>
    </xf>
    <xf numFmtId="3" fontId="28" fillId="7" borderId="65" xfId="11" applyNumberFormat="1" applyFont="1" applyFill="1" applyBorder="1" applyAlignment="1">
      <alignment shrinkToFit="1"/>
    </xf>
    <xf numFmtId="1" fontId="7" fillId="3" borderId="1" xfId="0" applyNumberFormat="1" applyFont="1" applyFill="1" applyBorder="1" applyAlignment="1">
      <alignment shrinkToFit="1"/>
    </xf>
    <xf numFmtId="1" fontId="28" fillId="3" borderId="18" xfId="0" applyNumberFormat="1" applyFont="1" applyFill="1" applyBorder="1" applyAlignment="1">
      <alignment shrinkToFit="1"/>
    </xf>
    <xf numFmtId="0" fontId="29" fillId="8" borderId="22" xfId="11" applyFont="1" applyFill="1" applyBorder="1" applyAlignment="1">
      <alignment horizontal="left" vertical="center"/>
    </xf>
    <xf numFmtId="197" fontId="36" fillId="4" borderId="22" xfId="11" applyNumberFormat="1" applyFont="1" applyFill="1" applyBorder="1" applyAlignment="1">
      <alignment horizontal="center" vertical="center"/>
    </xf>
    <xf numFmtId="198" fontId="36" fillId="8" borderId="22" xfId="11" applyNumberFormat="1" applyFont="1" applyFill="1" applyBorder="1" applyAlignment="1">
      <alignment horizontal="center" vertical="center"/>
    </xf>
    <xf numFmtId="198" fontId="36" fillId="8" borderId="22" xfId="13" applyNumberFormat="1" applyFont="1" applyFill="1" applyBorder="1" applyAlignment="1">
      <alignment horizontal="center" vertical="center"/>
    </xf>
    <xf numFmtId="185" fontId="36" fillId="0" borderId="22" xfId="13" applyNumberFormat="1" applyFont="1" applyFill="1" applyBorder="1" applyAlignment="1">
      <alignment horizontal="center" vertical="center"/>
    </xf>
    <xf numFmtId="0" fontId="36" fillId="0" borderId="22" xfId="11" applyFont="1" applyBorder="1" applyAlignment="1">
      <alignment horizontal="left" vertical="center"/>
    </xf>
    <xf numFmtId="0" fontId="0" fillId="0" borderId="0" xfId="0"/>
    <xf numFmtId="1" fontId="29" fillId="0" borderId="67" xfId="11" applyNumberFormat="1" applyFont="1" applyBorder="1" applyAlignment="1">
      <alignment horizontal="center" vertical="center"/>
    </xf>
    <xf numFmtId="0" fontId="0" fillId="0" borderId="0" xfId="5" applyFont="1"/>
    <xf numFmtId="1" fontId="29" fillId="0" borderId="22" xfId="11" applyNumberFormat="1" applyFont="1" applyBorder="1" applyAlignment="1">
      <alignment horizontal="center" vertical="center"/>
    </xf>
    <xf numFmtId="1" fontId="65" fillId="0" borderId="68" xfId="11" applyNumberFormat="1" applyFont="1" applyBorder="1" applyAlignment="1">
      <alignment horizontal="center" vertical="center"/>
    </xf>
    <xf numFmtId="9" fontId="29" fillId="0" borderId="68" xfId="13" applyFont="1" applyBorder="1" applyAlignment="1">
      <alignment horizontal="center" vertical="center"/>
    </xf>
    <xf numFmtId="197" fontId="36" fillId="0" borderId="22" xfId="11" applyNumberFormat="1" applyFont="1" applyBorder="1" applyAlignment="1">
      <alignment horizontal="center" vertical="center"/>
    </xf>
    <xf numFmtId="197" fontId="36" fillId="0" borderId="22" xfId="13" applyNumberFormat="1" applyFont="1" applyFill="1" applyBorder="1" applyAlignment="1">
      <alignment horizontal="center" vertical="center"/>
    </xf>
    <xf numFmtId="0" fontId="26" fillId="0" borderId="69" xfId="11" applyFont="1" applyBorder="1" applyAlignment="1">
      <alignment shrinkToFit="1"/>
    </xf>
    <xf numFmtId="0" fontId="26" fillId="0" borderId="69" xfId="11" applyFont="1" applyFill="1" applyBorder="1" applyAlignment="1">
      <alignment shrinkToFit="1"/>
    </xf>
    <xf numFmtId="0" fontId="26" fillId="0" borderId="0" xfId="11" applyFont="1" applyFill="1" applyBorder="1" applyAlignment="1">
      <alignment shrinkToFit="1"/>
    </xf>
    <xf numFmtId="0" fontId="0" fillId="0" borderId="22" xfId="0" applyFont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1" fontId="27" fillId="0" borderId="22" xfId="0" applyNumberFormat="1" applyFont="1" applyBorder="1" applyAlignment="1">
      <alignment shrinkToFit="1"/>
    </xf>
    <xf numFmtId="0" fontId="103" fillId="0" borderId="22" xfId="11" applyFont="1" applyBorder="1" applyAlignment="1">
      <alignment horizontal="center" vertical="center"/>
    </xf>
    <xf numFmtId="0" fontId="63" fillId="0" borderId="0" xfId="0" applyFont="1" applyFill="1" applyAlignment="1">
      <alignment vertical="center"/>
    </xf>
    <xf numFmtId="187" fontId="63" fillId="9" borderId="0" xfId="0" applyNumberFormat="1" applyFont="1" applyFill="1" applyAlignment="1"/>
    <xf numFmtId="187" fontId="63" fillId="0" borderId="0" xfId="0" applyNumberFormat="1" applyFont="1" applyFill="1" applyAlignment="1"/>
    <xf numFmtId="187" fontId="63" fillId="0" borderId="0" xfId="0" applyNumberFormat="1" applyFont="1" applyFill="1" applyAlignment="1">
      <alignment vertical="center"/>
    </xf>
    <xf numFmtId="177" fontId="63" fillId="9" borderId="0" xfId="0" applyNumberFormat="1" applyFont="1" applyFill="1" applyAlignment="1"/>
    <xf numFmtId="10" fontId="63" fillId="0" borderId="0" xfId="0" applyNumberFormat="1" applyFont="1" applyFill="1" applyAlignment="1">
      <alignment vertical="center"/>
    </xf>
    <xf numFmtId="0" fontId="63" fillId="0" borderId="0" xfId="0" applyFont="1" applyFill="1" applyAlignment="1"/>
    <xf numFmtId="176" fontId="63" fillId="0" borderId="0" xfId="0" applyNumberFormat="1" applyFont="1" applyFill="1" applyAlignment="1"/>
    <xf numFmtId="187" fontId="55" fillId="9" borderId="0" xfId="0" applyNumberFormat="1" applyFont="1" applyFill="1" applyAlignment="1"/>
    <xf numFmtId="187" fontId="55" fillId="0" borderId="0" xfId="0" applyNumberFormat="1" applyFont="1" applyFill="1" applyAlignment="1"/>
    <xf numFmtId="187" fontId="55" fillId="0" borderId="0" xfId="0" applyNumberFormat="1" applyFont="1" applyFill="1" applyAlignment="1">
      <alignment vertical="center"/>
    </xf>
    <xf numFmtId="177" fontId="55" fillId="9" borderId="0" xfId="0" applyNumberFormat="1" applyFont="1" applyFill="1" applyAlignment="1"/>
    <xf numFmtId="177" fontId="55" fillId="0" borderId="0" xfId="0" applyNumberFormat="1" applyFont="1" applyFill="1" applyAlignment="1">
      <alignment vertical="center"/>
    </xf>
    <xf numFmtId="10" fontId="55" fillId="0" borderId="0" xfId="0" applyNumberFormat="1" applyFont="1" applyFill="1" applyAlignment="1"/>
    <xf numFmtId="10" fontId="55" fillId="0" borderId="0" xfId="0" applyNumberFormat="1" applyFont="1" applyFill="1" applyAlignment="1">
      <alignment vertical="center"/>
    </xf>
    <xf numFmtId="176" fontId="55" fillId="0" borderId="0" xfId="0" applyNumberFormat="1" applyFont="1" applyFill="1" applyAlignment="1"/>
    <xf numFmtId="180" fontId="55" fillId="9" borderId="0" xfId="0" applyNumberFormat="1" applyFont="1" applyFill="1" applyAlignment="1"/>
    <xf numFmtId="180" fontId="55" fillId="0" borderId="0" xfId="0" applyNumberFormat="1" applyFont="1" applyFill="1" applyAlignment="1"/>
    <xf numFmtId="185" fontId="55" fillId="0" borderId="0" xfId="0" applyNumberFormat="1" applyFont="1" applyFill="1" applyAlignment="1"/>
    <xf numFmtId="189" fontId="55" fillId="9" borderId="0" xfId="0" applyNumberFormat="1" applyFont="1" applyFill="1" applyAlignment="1"/>
    <xf numFmtId="189" fontId="55" fillId="0" borderId="0" xfId="0" applyNumberFormat="1" applyFont="1" applyFill="1" applyAlignment="1"/>
    <xf numFmtId="185" fontId="55" fillId="9" borderId="0" xfId="0" applyNumberFormat="1" applyFont="1" applyFill="1" applyAlignment="1"/>
    <xf numFmtId="180" fontId="55" fillId="0" borderId="0" xfId="0" applyNumberFormat="1" applyFont="1" applyAlignment="1"/>
    <xf numFmtId="10" fontId="55" fillId="0" borderId="0" xfId="0" applyNumberFormat="1" applyFont="1" applyAlignment="1"/>
    <xf numFmtId="0" fontId="96" fillId="0" borderId="0" xfId="0" applyFont="1" applyFill="1" applyAlignment="1">
      <alignment vertical="center"/>
    </xf>
    <xf numFmtId="185" fontId="63" fillId="0" borderId="0" xfId="0" applyNumberFormat="1" applyFont="1" applyFill="1" applyAlignment="1"/>
    <xf numFmtId="189" fontId="63" fillId="0" borderId="0" xfId="0" applyNumberFormat="1" applyFont="1" applyFill="1" applyAlignment="1"/>
    <xf numFmtId="0" fontId="63" fillId="0" borderId="0" xfId="0" applyFont="1" applyAlignment="1"/>
    <xf numFmtId="186" fontId="63" fillId="0" borderId="0" xfId="0" applyNumberFormat="1" applyFont="1" applyFill="1" applyAlignment="1"/>
    <xf numFmtId="186" fontId="104" fillId="0" borderId="34" xfId="0" applyNumberFormat="1" applyFont="1" applyFill="1" applyBorder="1" applyAlignment="1">
      <alignment vertical="center"/>
    </xf>
    <xf numFmtId="182" fontId="63" fillId="0" borderId="0" xfId="0" applyNumberFormat="1" applyFont="1" applyFill="1" applyAlignment="1"/>
    <xf numFmtId="186" fontId="105" fillId="9" borderId="22" xfId="0" applyNumberFormat="1" applyFont="1" applyFill="1" applyBorder="1" applyAlignment="1"/>
    <xf numFmtId="186" fontId="105" fillId="0" borderId="22" xfId="0" applyNumberFormat="1" applyFont="1" applyFill="1" applyBorder="1" applyAlignment="1"/>
    <xf numFmtId="177" fontId="55" fillId="0" borderId="34" xfId="0" applyNumberFormat="1" applyFont="1" applyFill="1" applyBorder="1" applyAlignment="1">
      <alignment vertical="center"/>
    </xf>
    <xf numFmtId="183" fontId="26" fillId="0" borderId="0" xfId="0" applyNumberFormat="1" applyFont="1" applyAlignment="1">
      <alignment horizontal="center" vertical="center" shrinkToFit="1"/>
    </xf>
    <xf numFmtId="1" fontId="26" fillId="0" borderId="0" xfId="0" applyNumberFormat="1" applyFont="1" applyAlignment="1">
      <alignment horizontal="center" vertical="center" shrinkToFit="1"/>
    </xf>
    <xf numFmtId="1" fontId="26" fillId="0" borderId="0" xfId="0" applyNumberFormat="1" applyFont="1" applyAlignment="1">
      <alignment shrinkToFit="1"/>
    </xf>
    <xf numFmtId="0" fontId="33" fillId="0" borderId="22" xfId="0" applyFont="1" applyBorder="1" applyAlignment="1">
      <alignment horizontal="center" vertical="center"/>
    </xf>
    <xf numFmtId="0" fontId="107" fillId="0" borderId="27" xfId="0" applyFont="1" applyBorder="1" applyAlignment="1">
      <alignment horizontal="left" vertical="center"/>
    </xf>
    <xf numFmtId="0" fontId="106" fillId="0" borderId="27" xfId="0" applyFont="1" applyBorder="1" applyAlignment="1">
      <alignment vertical="center"/>
    </xf>
    <xf numFmtId="0" fontId="106" fillId="0" borderId="27" xfId="0" applyFont="1" applyBorder="1" applyAlignment="1">
      <alignment horizontal="left" vertical="center"/>
    </xf>
    <xf numFmtId="1" fontId="0" fillId="0" borderId="31" xfId="0" applyNumberFormat="1" applyFont="1" applyFill="1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0" fontId="36" fillId="5" borderId="23" xfId="5" applyFont="1" applyFill="1" applyBorder="1" applyAlignment="1">
      <alignment horizontal="center" vertical="center"/>
    </xf>
    <xf numFmtId="198" fontId="36" fillId="0" borderId="22" xfId="11" applyNumberFormat="1" applyFont="1" applyBorder="1" applyAlignment="1">
      <alignment horizontal="center" vertical="center"/>
    </xf>
    <xf numFmtId="198" fontId="65" fillId="0" borderId="22" xfId="11" applyNumberFormat="1" applyFont="1" applyBorder="1" applyAlignment="1">
      <alignment horizontal="center" vertical="center"/>
    </xf>
    <xf numFmtId="185" fontId="65" fillId="0" borderId="22" xfId="13" applyNumberFormat="1" applyFont="1" applyFill="1" applyBorder="1" applyAlignment="1">
      <alignment horizontal="center" vertical="center"/>
    </xf>
    <xf numFmtId="197" fontId="65" fillId="0" borderId="22" xfId="13" applyNumberFormat="1" applyFont="1" applyFill="1" applyBorder="1" applyAlignment="1">
      <alignment horizontal="center" vertical="center"/>
    </xf>
    <xf numFmtId="0" fontId="80" fillId="0" borderId="22" xfId="11" applyFont="1" applyBorder="1" applyAlignment="1">
      <alignment horizontal="center" vertical="center"/>
    </xf>
    <xf numFmtId="0" fontId="32" fillId="0" borderId="0" xfId="11" applyFont="1"/>
    <xf numFmtId="9" fontId="29" fillId="0" borderId="68" xfId="13" applyFont="1" applyBorder="1" applyAlignment="1">
      <alignment horizontal="center"/>
    </xf>
    <xf numFmtId="0" fontId="109" fillId="0" borderId="0" xfId="581" applyFont="1">
      <alignment vertical="center"/>
    </xf>
    <xf numFmtId="0" fontId="37" fillId="0" borderId="0" xfId="581" applyFont="1">
      <alignment vertical="center"/>
    </xf>
    <xf numFmtId="0" fontId="99" fillId="0" borderId="27" xfId="581" applyFont="1" applyBorder="1" applyAlignment="1">
      <alignment horizontal="center" vertical="center" wrapText="1"/>
    </xf>
    <xf numFmtId="0" fontId="99" fillId="0" borderId="25" xfId="581" applyFont="1" applyBorder="1" applyAlignment="1">
      <alignment horizontal="center" vertical="center" wrapText="1"/>
    </xf>
    <xf numFmtId="0" fontId="110" fillId="0" borderId="23" xfId="581" applyFont="1" applyBorder="1" applyAlignment="1">
      <alignment horizontal="center" vertical="center" wrapText="1"/>
    </xf>
    <xf numFmtId="0" fontId="110" fillId="0" borderId="25" xfId="581" applyFont="1" applyBorder="1" applyAlignment="1">
      <alignment horizontal="center" vertical="center" wrapText="1"/>
    </xf>
    <xf numFmtId="0" fontId="99" fillId="0" borderId="0" xfId="581" applyFont="1">
      <alignment vertical="center"/>
    </xf>
    <xf numFmtId="194" fontId="99" fillId="0" borderId="23" xfId="581" applyNumberFormat="1" applyFont="1" applyBorder="1" applyAlignment="1">
      <alignment horizontal="center" vertical="center"/>
    </xf>
    <xf numFmtId="10" fontId="99" fillId="0" borderId="23" xfId="581" applyNumberFormat="1" applyFont="1" applyBorder="1" applyAlignment="1">
      <alignment horizontal="center" vertical="center"/>
    </xf>
    <xf numFmtId="194" fontId="110" fillId="0" borderId="23" xfId="581" applyNumberFormat="1" applyFont="1" applyBorder="1" applyAlignment="1">
      <alignment horizontal="center" vertical="center"/>
    </xf>
    <xf numFmtId="10" fontId="110" fillId="0" borderId="23" xfId="581" applyNumberFormat="1" applyFont="1" applyBorder="1" applyAlignment="1">
      <alignment horizontal="center" vertical="center"/>
    </xf>
    <xf numFmtId="0" fontId="99" fillId="0" borderId="0" xfId="581" applyFont="1" applyAlignment="1">
      <alignment horizontal="center" vertical="center"/>
    </xf>
    <xf numFmtId="10" fontId="99" fillId="0" borderId="0" xfId="3" applyNumberFormat="1" applyFont="1" applyFill="1" applyBorder="1" applyAlignment="1">
      <alignment horizontal="center" vertical="center"/>
    </xf>
    <xf numFmtId="0" fontId="100" fillId="0" borderId="23" xfId="581" applyFont="1" applyBorder="1" applyAlignment="1">
      <alignment horizontal="center" vertical="center" wrapText="1"/>
    </xf>
    <xf numFmtId="0" fontId="111" fillId="0" borderId="23" xfId="581" applyFont="1" applyBorder="1" applyAlignment="1">
      <alignment horizontal="center" vertical="center" wrapText="1"/>
    </xf>
    <xf numFmtId="194" fontId="99" fillId="0" borderId="0" xfId="581" applyNumberFormat="1" applyFont="1">
      <alignment vertical="center"/>
    </xf>
    <xf numFmtId="194" fontId="112" fillId="0" borderId="0" xfId="581" applyNumberFormat="1" applyFont="1">
      <alignment vertical="center"/>
    </xf>
    <xf numFmtId="195" fontId="109" fillId="0" borderId="0" xfId="581" applyNumberFormat="1" applyFont="1">
      <alignment vertical="center"/>
    </xf>
    <xf numFmtId="195" fontId="37" fillId="0" borderId="0" xfId="581" applyNumberFormat="1" applyFont="1">
      <alignment vertical="center"/>
    </xf>
    <xf numFmtId="193" fontId="82" fillId="5" borderId="22" xfId="5" applyNumberFormat="1" applyFont="1" applyFill="1" applyBorder="1" applyAlignment="1">
      <alignment horizontal="center" vertical="center"/>
    </xf>
    <xf numFmtId="194" fontId="109" fillId="8" borderId="22" xfId="581" applyNumberFormat="1" applyFont="1" applyFill="1" applyBorder="1" applyAlignment="1">
      <alignment horizontal="center" vertical="center"/>
    </xf>
    <xf numFmtId="194" fontId="109" fillId="8" borderId="22" xfId="582" applyNumberFormat="1" applyFont="1" applyFill="1" applyBorder="1" applyAlignment="1">
      <alignment horizontal="center" vertical="center"/>
    </xf>
    <xf numFmtId="189" fontId="109" fillId="0" borderId="22" xfId="581" applyNumberFormat="1" applyFont="1" applyBorder="1" applyAlignment="1">
      <alignment horizontal="center" vertical="center"/>
    </xf>
    <xf numFmtId="10" fontId="109" fillId="0" borderId="22" xfId="3" applyNumberFormat="1" applyFont="1" applyBorder="1" applyAlignment="1">
      <alignment horizontal="center" vertical="center"/>
    </xf>
    <xf numFmtId="194" fontId="113" fillId="8" borderId="22" xfId="582" applyNumberFormat="1" applyFont="1" applyFill="1" applyBorder="1" applyAlignment="1">
      <alignment horizontal="center" vertical="center"/>
    </xf>
    <xf numFmtId="10" fontId="113" fillId="0" borderId="22" xfId="3" applyNumberFormat="1" applyFont="1" applyBorder="1" applyAlignment="1">
      <alignment horizontal="center" vertical="center"/>
    </xf>
    <xf numFmtId="193" fontId="82" fillId="14" borderId="22" xfId="5" applyNumberFormat="1" applyFont="1" applyFill="1" applyBorder="1" applyAlignment="1">
      <alignment horizontal="center" vertical="center"/>
    </xf>
    <xf numFmtId="193" fontId="82" fillId="0" borderId="22" xfId="5" applyNumberFormat="1" applyFont="1" applyBorder="1" applyAlignment="1">
      <alignment horizontal="center" vertical="center"/>
    </xf>
    <xf numFmtId="194" fontId="109" fillId="8" borderId="22" xfId="583" applyNumberFormat="1" applyFont="1" applyFill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" fontId="0" fillId="0" borderId="22" xfId="0" applyNumberFormat="1" applyFont="1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0" fontId="33" fillId="0" borderId="22" xfId="0" applyFont="1" applyFill="1" applyBorder="1" applyAlignment="1">
      <alignment horizontal="center" vertical="center"/>
    </xf>
    <xf numFmtId="1" fontId="0" fillId="0" borderId="22" xfId="0" applyNumberFormat="1" applyFont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33" fillId="0" borderId="22" xfId="0" applyFont="1" applyFill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" fontId="0" fillId="0" borderId="22" xfId="0" applyNumberFormat="1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43" fontId="7" fillId="0" borderId="0" xfId="0" applyNumberFormat="1" applyFont="1" applyBorder="1" applyAlignment="1">
      <alignment horizontal="center" vertical="center" shrinkToFit="1"/>
    </xf>
    <xf numFmtId="0" fontId="0" fillId="0" borderId="22" xfId="0" applyFont="1" applyBorder="1" applyAlignment="1">
      <alignment horizontal="center" vertical="center"/>
    </xf>
    <xf numFmtId="1" fontId="0" fillId="0" borderId="22" xfId="0" applyNumberFormat="1" applyFont="1" applyBorder="1" applyAlignment="1">
      <alignment horizontal="center" vertical="center"/>
    </xf>
    <xf numFmtId="0" fontId="33" fillId="0" borderId="22" xfId="0" applyFont="1" applyFill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" fontId="0" fillId="0" borderId="22" xfId="0" applyNumberFormat="1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183" fontId="0" fillId="0" borderId="22" xfId="0" applyNumberFormat="1" applyBorder="1" applyAlignment="1">
      <alignment horizontal="center" vertical="center"/>
    </xf>
    <xf numFmtId="176" fontId="26" fillId="19" borderId="0" xfId="0" applyNumberFormat="1" applyFont="1" applyFill="1" applyAlignment="1"/>
    <xf numFmtId="177" fontId="26" fillId="19" borderId="0" xfId="0" applyNumberFormat="1" applyFont="1" applyFill="1" applyAlignment="1"/>
    <xf numFmtId="0" fontId="28" fillId="0" borderId="42" xfId="11" applyFont="1" applyBorder="1" applyAlignment="1">
      <alignment horizontal="center" vertical="center" shrinkToFit="1"/>
    </xf>
    <xf numFmtId="0" fontId="28" fillId="0" borderId="43" xfId="11" applyFont="1" applyBorder="1" applyAlignment="1">
      <alignment horizontal="center" vertical="center" shrinkToFit="1"/>
    </xf>
    <xf numFmtId="0" fontId="28" fillId="0" borderId="25" xfId="11" applyFont="1" applyBorder="1" applyAlignment="1">
      <alignment horizontal="center" vertical="center" shrinkToFit="1"/>
    </xf>
    <xf numFmtId="0" fontId="28" fillId="0" borderId="22" xfId="11" applyFont="1" applyBorder="1" applyAlignment="1">
      <alignment horizontal="center" vertical="center" shrinkToFit="1"/>
    </xf>
    <xf numFmtId="0" fontId="28" fillId="0" borderId="27" xfId="11" applyFont="1" applyBorder="1" applyAlignment="1">
      <alignment horizontal="center" vertical="center" shrinkToFit="1"/>
    </xf>
    <xf numFmtId="0" fontId="44" fillId="0" borderId="61" xfId="11" applyFont="1" applyBorder="1" applyAlignment="1">
      <alignment horizontal="center" shrinkToFit="1"/>
    </xf>
    <xf numFmtId="10" fontId="28" fillId="0" borderId="43" xfId="11" applyNumberFormat="1" applyFont="1" applyBorder="1" applyAlignment="1">
      <alignment shrinkToFit="1"/>
    </xf>
    <xf numFmtId="10" fontId="28" fillId="0" borderId="22" xfId="11" applyNumberFormat="1" applyFont="1" applyBorder="1" applyAlignment="1">
      <alignment shrinkToFit="1"/>
    </xf>
    <xf numFmtId="10" fontId="28" fillId="0" borderId="27" xfId="11" applyNumberFormat="1" applyFont="1" applyBorder="1" applyAlignment="1">
      <alignment shrinkToFit="1"/>
    </xf>
    <xf numFmtId="0" fontId="44" fillId="0" borderId="64" xfId="11" applyFont="1" applyBorder="1" applyAlignment="1">
      <alignment horizontal="center" shrinkToFit="1"/>
    </xf>
    <xf numFmtId="10" fontId="28" fillId="0" borderId="47" xfId="11" applyNumberFormat="1" applyFont="1" applyBorder="1" applyAlignment="1">
      <alignment shrinkToFit="1"/>
    </xf>
    <xf numFmtId="10" fontId="28" fillId="0" borderId="46" xfId="11" applyNumberFormat="1" applyFont="1" applyBorder="1" applyAlignment="1">
      <alignment shrinkToFit="1"/>
    </xf>
    <xf numFmtId="10" fontId="28" fillId="0" borderId="66" xfId="11" applyNumberFormat="1" applyFont="1" applyBorder="1" applyAlignment="1">
      <alignment shrinkToFit="1"/>
    </xf>
    <xf numFmtId="0" fontId="0" fillId="0" borderId="22" xfId="0" applyFont="1" applyBorder="1" applyAlignment="1">
      <alignment horizontal="center" vertical="center"/>
    </xf>
    <xf numFmtId="1" fontId="0" fillId="0" borderId="22" xfId="0" applyNumberFormat="1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1" fontId="0" fillId="0" borderId="22" xfId="0" applyNumberFormat="1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" fontId="0" fillId="0" borderId="22" xfId="0" applyNumberFormat="1" applyFont="1" applyBorder="1" applyAlignment="1">
      <alignment horizontal="center" vertical="center"/>
    </xf>
    <xf numFmtId="0" fontId="0" fillId="0" borderId="0" xfId="0" applyFont="1" applyAlignment="1">
      <alignment shrinkToFit="1"/>
    </xf>
    <xf numFmtId="0" fontId="28" fillId="0" borderId="22" xfId="11" applyFont="1" applyFill="1" applyBorder="1" applyAlignment="1">
      <alignment horizontal="center" vertical="center" shrinkToFit="1"/>
    </xf>
    <xf numFmtId="0" fontId="28" fillId="0" borderId="43" xfId="11" applyFont="1" applyFill="1" applyBorder="1" applyAlignment="1">
      <alignment horizontal="center" vertical="center" shrinkToFit="1"/>
    </xf>
    <xf numFmtId="0" fontId="28" fillId="2" borderId="4" xfId="0" applyFont="1" applyFill="1" applyBorder="1" applyAlignment="1">
      <alignment horizontal="center" vertical="center" shrinkToFit="1"/>
    </xf>
    <xf numFmtId="0" fontId="28" fillId="2" borderId="2" xfId="0" applyFont="1" applyFill="1" applyBorder="1" applyAlignment="1">
      <alignment horizontal="center" vertical="center" shrinkToFit="1"/>
    </xf>
    <xf numFmtId="0" fontId="28" fillId="2" borderId="3" xfId="0" applyFont="1" applyFill="1" applyBorder="1" applyAlignment="1">
      <alignment horizontal="center" vertical="center" shrinkToFit="1"/>
    </xf>
    <xf numFmtId="0" fontId="36" fillId="5" borderId="22" xfId="580" applyFont="1" applyFill="1" applyBorder="1" applyAlignment="1">
      <alignment horizontal="center" vertical="center" wrapText="1"/>
    </xf>
    <xf numFmtId="0" fontId="80" fillId="5" borderId="22" xfId="580" applyFont="1" applyFill="1" applyBorder="1" applyAlignment="1">
      <alignment horizontal="center" vertical="center" wrapText="1"/>
    </xf>
    <xf numFmtId="0" fontId="0" fillId="0" borderId="22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" fontId="0" fillId="0" borderId="22" xfId="0" applyNumberFormat="1" applyFont="1" applyBorder="1" applyAlignment="1">
      <alignment horizontal="center" vertical="center"/>
    </xf>
    <xf numFmtId="0" fontId="44" fillId="0" borderId="22" xfId="0" applyFont="1" applyBorder="1" applyAlignment="1">
      <alignment shrinkToFit="1"/>
    </xf>
    <xf numFmtId="0" fontId="44" fillId="2" borderId="22" xfId="0" applyFont="1" applyFill="1" applyBorder="1" applyAlignment="1">
      <alignment horizontal="center" shrinkToFit="1"/>
    </xf>
    <xf numFmtId="0" fontId="28" fillId="0" borderId="22" xfId="0" applyFont="1" applyBorder="1" applyAlignment="1">
      <alignment shrinkToFit="1"/>
    </xf>
    <xf numFmtId="0" fontId="121" fillId="0" borderId="53" xfId="11" applyFont="1" applyBorder="1" applyAlignment="1">
      <alignment shrinkToFit="1"/>
    </xf>
    <xf numFmtId="0" fontId="7" fillId="0" borderId="4" xfId="0" applyFont="1" applyBorder="1" applyAlignment="1">
      <alignment shrinkToFit="1"/>
    </xf>
    <xf numFmtId="0" fontId="9" fillId="0" borderId="3" xfId="0" applyFont="1" applyBorder="1" applyAlignment="1">
      <alignment shrinkToFit="1"/>
    </xf>
    <xf numFmtId="0" fontId="7" fillId="0" borderId="9" xfId="0" applyFont="1" applyBorder="1" applyAlignment="1">
      <alignment shrinkToFit="1"/>
    </xf>
    <xf numFmtId="0" fontId="9" fillId="0" borderId="8" xfId="0" applyFont="1" applyBorder="1" applyAlignment="1">
      <alignment shrinkToFit="1"/>
    </xf>
    <xf numFmtId="0" fontId="7" fillId="2" borderId="2" xfId="0" applyFont="1" applyFill="1" applyBorder="1" applyAlignment="1">
      <alignment shrinkToFit="1"/>
    </xf>
    <xf numFmtId="0" fontId="11" fillId="0" borderId="19" xfId="0" applyFont="1" applyBorder="1" applyAlignment="1">
      <alignment shrinkToFit="1"/>
    </xf>
    <xf numFmtId="0" fontId="9" fillId="0" borderId="21" xfId="0" applyFont="1" applyBorder="1" applyAlignment="1">
      <alignment shrinkToFit="1"/>
    </xf>
    <xf numFmtId="0" fontId="11" fillId="0" borderId="4" xfId="0" applyFont="1" applyBorder="1" applyAlignment="1">
      <alignment shrinkToFit="1"/>
    </xf>
    <xf numFmtId="0" fontId="9" fillId="0" borderId="2" xfId="0" applyFont="1" applyBorder="1" applyAlignment="1">
      <alignment shrinkToFit="1"/>
    </xf>
    <xf numFmtId="0" fontId="9" fillId="0" borderId="10" xfId="0" applyFont="1" applyBorder="1" applyAlignment="1">
      <alignment shrinkToFit="1"/>
    </xf>
    <xf numFmtId="0" fontId="11" fillId="0" borderId="12" xfId="0" applyFont="1" applyBorder="1" applyAlignment="1">
      <alignment shrinkToFit="1"/>
    </xf>
    <xf numFmtId="0" fontId="9" fillId="0" borderId="13" xfId="0" applyFont="1" applyBorder="1" applyAlignment="1">
      <alignment shrinkToFit="1"/>
    </xf>
    <xf numFmtId="0" fontId="9" fillId="0" borderId="11" xfId="0" applyFont="1" applyBorder="1" applyAlignment="1">
      <alignment shrinkToFit="1"/>
    </xf>
    <xf numFmtId="0" fontId="7" fillId="2" borderId="4" xfId="0" applyFont="1" applyFill="1" applyBorder="1" applyAlignment="1">
      <alignment shrinkToFit="1"/>
    </xf>
    <xf numFmtId="0" fontId="7" fillId="2" borderId="3" xfId="0" applyFont="1" applyFill="1" applyBorder="1" applyAlignment="1">
      <alignment shrinkToFit="1"/>
    </xf>
    <xf numFmtId="0" fontId="7" fillId="0" borderId="0" xfId="0" applyFont="1" applyAlignment="1">
      <alignment shrinkToFit="1"/>
    </xf>
    <xf numFmtId="0" fontId="0" fillId="0" borderId="0" xfId="0" applyFont="1" applyAlignment="1">
      <alignment shrinkToFit="1"/>
    </xf>
    <xf numFmtId="0" fontId="12" fillId="2" borderId="4" xfId="0" applyFont="1" applyFill="1" applyBorder="1" applyAlignment="1">
      <alignment shrinkToFit="1"/>
    </xf>
    <xf numFmtId="0" fontId="12" fillId="2" borderId="3" xfId="0" applyFont="1" applyFill="1" applyBorder="1" applyAlignment="1">
      <alignment shrinkToFit="1"/>
    </xf>
    <xf numFmtId="0" fontId="11" fillId="2" borderId="4" xfId="0" applyFont="1" applyFill="1" applyBorder="1" applyAlignment="1">
      <alignment shrinkToFit="1"/>
    </xf>
    <xf numFmtId="0" fontId="11" fillId="2" borderId="2" xfId="0" applyFont="1" applyFill="1" applyBorder="1" applyAlignment="1">
      <alignment shrinkToFit="1"/>
    </xf>
    <xf numFmtId="0" fontId="11" fillId="2" borderId="3" xfId="0" applyFont="1" applyFill="1" applyBorder="1" applyAlignment="1">
      <alignment shrinkToFit="1"/>
    </xf>
    <xf numFmtId="0" fontId="8" fillId="0" borderId="4" xfId="0" applyFont="1" applyBorder="1" applyAlignment="1">
      <alignment shrinkToFit="1"/>
    </xf>
    <xf numFmtId="0" fontId="7" fillId="0" borderId="19" xfId="0" applyFont="1" applyBorder="1" applyAlignment="1">
      <alignment shrinkToFit="1"/>
    </xf>
    <xf numFmtId="0" fontId="9" fillId="0" borderId="20" xfId="0" applyFont="1" applyBorder="1" applyAlignment="1">
      <alignment shrinkToFit="1"/>
    </xf>
    <xf numFmtId="0" fontId="8" fillId="2" borderId="4" xfId="0" applyFont="1" applyFill="1" applyBorder="1" applyAlignment="1">
      <alignment shrinkToFit="1"/>
    </xf>
    <xf numFmtId="0" fontId="8" fillId="0" borderId="9" xfId="0" applyFont="1" applyBorder="1" applyAlignment="1">
      <alignment shrinkToFit="1"/>
    </xf>
    <xf numFmtId="0" fontId="41" fillId="0" borderId="0" xfId="0" applyFont="1" applyBorder="1" applyAlignment="1">
      <alignment horizontal="center" vertical="center" shrinkToFit="1"/>
    </xf>
    <xf numFmtId="0" fontId="51" fillId="8" borderId="22" xfId="0" applyFont="1" applyFill="1" applyBorder="1" applyAlignment="1">
      <alignment horizontal="center" vertical="center" shrinkToFit="1"/>
    </xf>
    <xf numFmtId="10" fontId="27" fillId="0" borderId="0" xfId="0" applyNumberFormat="1" applyFont="1" applyFill="1" applyAlignment="1">
      <alignment horizontal="center" vertical="center"/>
    </xf>
    <xf numFmtId="0" fontId="19" fillId="0" borderId="0" xfId="0" applyFont="1" applyFill="1" applyAlignment="1">
      <alignment horizontal="center" vertical="center"/>
    </xf>
    <xf numFmtId="177" fontId="27" fillId="7" borderId="0" xfId="0" applyNumberFormat="1" applyFont="1" applyFill="1" applyAlignment="1">
      <alignment horizontal="center" vertical="center"/>
    </xf>
    <xf numFmtId="178" fontId="27" fillId="6" borderId="0" xfId="0" applyNumberFormat="1" applyFont="1" applyFill="1" applyAlignment="1">
      <alignment horizontal="center" vertical="center"/>
    </xf>
    <xf numFmtId="176" fontId="27" fillId="5" borderId="0" xfId="0" applyNumberFormat="1" applyFont="1" applyFill="1" applyAlignment="1">
      <alignment horizontal="center" vertical="center"/>
    </xf>
    <xf numFmtId="0" fontId="27" fillId="0" borderId="0" xfId="0" applyFont="1" applyFill="1" applyAlignment="1">
      <alignment horizontal="center" vertical="center"/>
    </xf>
    <xf numFmtId="0" fontId="28" fillId="0" borderId="0" xfId="0" applyFont="1" applyFill="1" applyBorder="1" applyAlignment="1">
      <alignment horizontal="center" vertical="center" shrinkToFit="1"/>
    </xf>
    <xf numFmtId="178" fontId="27" fillId="0" borderId="0" xfId="0" applyNumberFormat="1" applyFont="1" applyFill="1" applyAlignment="1">
      <alignment horizontal="center" vertical="center"/>
    </xf>
    <xf numFmtId="0" fontId="25" fillId="0" borderId="0" xfId="0" applyFont="1" applyFill="1" applyAlignment="1">
      <alignment horizontal="center" vertical="center"/>
    </xf>
    <xf numFmtId="181" fontId="15" fillId="0" borderId="0" xfId="0" applyNumberFormat="1" applyFont="1" applyFill="1" applyAlignment="1">
      <alignment horizontal="center" vertical="center"/>
    </xf>
    <xf numFmtId="10" fontId="15" fillId="5" borderId="0" xfId="0" applyNumberFormat="1" applyFont="1" applyFill="1" applyAlignment="1">
      <alignment horizontal="center" vertical="center"/>
    </xf>
    <xf numFmtId="10" fontId="15" fillId="0" borderId="0" xfId="0" applyNumberFormat="1" applyFont="1" applyFill="1" applyAlignment="1">
      <alignment horizontal="center" vertical="center"/>
    </xf>
    <xf numFmtId="182" fontId="27" fillId="0" borderId="22" xfId="0" applyNumberFormat="1" applyFont="1" applyFill="1" applyBorder="1" applyAlignment="1">
      <alignment horizontal="center" vertical="center"/>
    </xf>
    <xf numFmtId="0" fontId="30" fillId="0" borderId="22" xfId="0" applyFont="1" applyFill="1" applyBorder="1" applyAlignment="1">
      <alignment horizontal="center" vertical="center"/>
    </xf>
    <xf numFmtId="0" fontId="23" fillId="0" borderId="22" xfId="0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0" fontId="29" fillId="0" borderId="22" xfId="0" applyFont="1" applyFill="1" applyBorder="1" applyAlignment="1">
      <alignment horizontal="center" vertical="center"/>
    </xf>
    <xf numFmtId="0" fontId="28" fillId="0" borderId="22" xfId="0" applyFont="1" applyFill="1" applyBorder="1" applyAlignment="1">
      <alignment horizontal="center" vertical="center" shrinkToFit="1"/>
    </xf>
    <xf numFmtId="182" fontId="28" fillId="0" borderId="22" xfId="0" applyNumberFormat="1" applyFont="1" applyFill="1" applyBorder="1" applyAlignment="1">
      <alignment horizontal="center" vertical="center" shrinkToFit="1"/>
    </xf>
    <xf numFmtId="0" fontId="18" fillId="0" borderId="22" xfId="0" applyFont="1" applyFill="1" applyBorder="1" applyAlignment="1">
      <alignment horizontal="center" vertical="center"/>
    </xf>
    <xf numFmtId="177" fontId="30" fillId="0" borderId="22" xfId="0" applyNumberFormat="1" applyFont="1" applyFill="1" applyBorder="1" applyAlignment="1">
      <alignment horizontal="center" vertical="center"/>
    </xf>
    <xf numFmtId="177" fontId="23" fillId="0" borderId="22" xfId="0" applyNumberFormat="1" applyFont="1" applyFill="1" applyBorder="1" applyAlignment="1">
      <alignment horizontal="center" vertical="center"/>
    </xf>
    <xf numFmtId="177" fontId="27" fillId="0" borderId="22" xfId="0" applyNumberFormat="1" applyFont="1" applyFill="1" applyBorder="1" applyAlignment="1">
      <alignment horizontal="center" vertical="center"/>
    </xf>
    <xf numFmtId="177" fontId="18" fillId="0" borderId="22" xfId="0" applyNumberFormat="1" applyFont="1" applyFill="1" applyBorder="1" applyAlignment="1">
      <alignment horizontal="center" vertical="center"/>
    </xf>
    <xf numFmtId="177" fontId="22" fillId="0" borderId="22" xfId="0" applyNumberFormat="1" applyFont="1" applyFill="1" applyBorder="1" applyAlignment="1">
      <alignment horizontal="center" vertical="center" shrinkToFit="1"/>
    </xf>
    <xf numFmtId="177" fontId="28" fillId="0" borderId="22" xfId="0" applyNumberFormat="1" applyFont="1" applyFill="1" applyBorder="1" applyAlignment="1">
      <alignment horizontal="center" vertical="center" shrinkToFit="1"/>
    </xf>
    <xf numFmtId="183" fontId="0" fillId="0" borderId="31" xfId="0" applyNumberFormat="1" applyFont="1" applyFill="1" applyBorder="1" applyAlignment="1">
      <alignment horizontal="center" vertical="center"/>
    </xf>
    <xf numFmtId="183" fontId="0" fillId="0" borderId="33" xfId="0" applyNumberFormat="1" applyFont="1" applyFill="1" applyBorder="1" applyAlignment="1">
      <alignment horizontal="center" vertical="center"/>
    </xf>
    <xf numFmtId="183" fontId="0" fillId="0" borderId="35" xfId="0" applyNumberFormat="1" applyFont="1" applyFill="1" applyBorder="1" applyAlignment="1">
      <alignment horizontal="center" vertical="center"/>
    </xf>
    <xf numFmtId="0" fontId="33" fillId="0" borderId="22" xfId="0" applyFont="1" applyFill="1" applyBorder="1" applyAlignment="1">
      <alignment horizontal="center" vertical="center"/>
    </xf>
    <xf numFmtId="0" fontId="33" fillId="0" borderId="31" xfId="0" applyFont="1" applyFill="1" applyBorder="1" applyAlignment="1">
      <alignment horizontal="center" vertical="center"/>
    </xf>
    <xf numFmtId="0" fontId="33" fillId="0" borderId="33" xfId="0" applyFont="1" applyFill="1" applyBorder="1" applyAlignment="1">
      <alignment horizontal="center" vertical="center"/>
    </xf>
    <xf numFmtId="0" fontId="33" fillId="0" borderId="35" xfId="0" applyFont="1" applyFill="1" applyBorder="1" applyAlignment="1">
      <alignment horizontal="center" vertical="center"/>
    </xf>
    <xf numFmtId="0" fontId="33" fillId="0" borderId="27" xfId="0" applyFont="1" applyFill="1" applyBorder="1" applyAlignment="1">
      <alignment horizontal="center" vertical="center"/>
    </xf>
    <xf numFmtId="0" fontId="33" fillId="0" borderId="28" xfId="0" applyFont="1" applyFill="1" applyBorder="1" applyAlignment="1">
      <alignment horizontal="center" vertical="center"/>
    </xf>
    <xf numFmtId="0" fontId="33" fillId="0" borderId="25" xfId="0" applyFont="1" applyFill="1" applyBorder="1" applyAlignment="1">
      <alignment horizontal="center" vertical="center"/>
    </xf>
    <xf numFmtId="0" fontId="33" fillId="0" borderId="23" xfId="0" applyFont="1" applyFill="1" applyBorder="1" applyAlignment="1">
      <alignment horizontal="center" vertical="center"/>
    </xf>
    <xf numFmtId="0" fontId="33" fillId="0" borderId="29" xfId="0" applyFont="1" applyFill="1" applyBorder="1" applyAlignment="1">
      <alignment horizontal="center" vertical="center"/>
    </xf>
    <xf numFmtId="0" fontId="33" fillId="0" borderId="30" xfId="0" applyFont="1" applyFill="1" applyBorder="1" applyAlignment="1">
      <alignment horizontal="center" vertical="center"/>
    </xf>
    <xf numFmtId="183" fontId="0" fillId="0" borderId="23" xfId="0" applyNumberFormat="1" applyFont="1" applyFill="1" applyBorder="1" applyAlignment="1">
      <alignment horizontal="center" vertical="center"/>
    </xf>
    <xf numFmtId="183" fontId="0" fillId="0" borderId="29" xfId="0" applyNumberFormat="1" applyFont="1" applyFill="1" applyBorder="1" applyAlignment="1">
      <alignment horizontal="center" vertical="center"/>
    </xf>
    <xf numFmtId="183" fontId="0" fillId="0" borderId="30" xfId="0" applyNumberFormat="1" applyFont="1" applyFill="1" applyBorder="1" applyAlignment="1">
      <alignment horizontal="center" vertical="center"/>
    </xf>
    <xf numFmtId="0" fontId="33" fillId="0" borderId="27" xfId="0" applyFont="1" applyBorder="1" applyAlignment="1">
      <alignment horizontal="center" vertical="center"/>
    </xf>
    <xf numFmtId="0" fontId="33" fillId="0" borderId="28" xfId="0" applyFont="1" applyBorder="1" applyAlignment="1">
      <alignment horizontal="center" vertical="center"/>
    </xf>
    <xf numFmtId="0" fontId="33" fillId="0" borderId="25" xfId="0" applyFont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33" fillId="0" borderId="23" xfId="0" applyFont="1" applyBorder="1" applyAlignment="1">
      <alignment horizontal="center" vertical="center"/>
    </xf>
    <xf numFmtId="0" fontId="33" fillId="0" borderId="29" xfId="0" applyFont="1" applyBorder="1" applyAlignment="1">
      <alignment horizontal="center" vertical="center"/>
    </xf>
    <xf numFmtId="0" fontId="33" fillId="0" borderId="30" xfId="0" applyFont="1" applyBorder="1" applyAlignment="1">
      <alignment horizontal="center" vertical="center"/>
    </xf>
    <xf numFmtId="179" fontId="33" fillId="0" borderId="27" xfId="0" applyNumberFormat="1" applyFont="1" applyBorder="1" applyAlignment="1">
      <alignment horizontal="center" vertical="center"/>
    </xf>
    <xf numFmtId="179" fontId="33" fillId="0" borderId="28" xfId="0" applyNumberFormat="1" applyFont="1" applyBorder="1" applyAlignment="1">
      <alignment horizontal="center" vertical="center"/>
    </xf>
    <xf numFmtId="179" fontId="33" fillId="0" borderId="25" xfId="0" applyNumberFormat="1" applyFont="1" applyBorder="1" applyAlignment="1">
      <alignment horizontal="center" vertical="center"/>
    </xf>
    <xf numFmtId="179" fontId="33" fillId="0" borderId="22" xfId="0" applyNumberFormat="1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3" xfId="0" applyNumberFormat="1" applyFont="1" applyBorder="1" applyAlignment="1">
      <alignment horizontal="center" vertical="center"/>
    </xf>
    <xf numFmtId="183" fontId="0" fillId="0" borderId="29" xfId="0" applyNumberFormat="1" applyFont="1" applyBorder="1" applyAlignment="1">
      <alignment horizontal="center" vertical="center"/>
    </xf>
    <xf numFmtId="183" fontId="0" fillId="0" borderId="30" xfId="0" applyNumberFormat="1" applyFont="1" applyBorder="1" applyAlignment="1">
      <alignment horizontal="center" vertical="center"/>
    </xf>
    <xf numFmtId="0" fontId="34" fillId="0" borderId="0" xfId="0" applyFont="1" applyAlignment="1">
      <alignment horizontal="left" vertical="center"/>
    </xf>
    <xf numFmtId="0" fontId="35" fillId="0" borderId="0" xfId="0" applyFont="1" applyAlignment="1">
      <alignment horizontal="left" vertical="center"/>
    </xf>
    <xf numFmtId="0" fontId="35" fillId="0" borderId="0" xfId="0" applyFont="1" applyBorder="1" applyAlignment="1">
      <alignment horizontal="left" vertical="center"/>
    </xf>
    <xf numFmtId="0" fontId="35" fillId="0" borderId="26" xfId="0" applyFont="1" applyBorder="1" applyAlignment="1">
      <alignment horizontal="left" vertical="center"/>
    </xf>
    <xf numFmtId="0" fontId="33" fillId="0" borderId="31" xfId="0" applyFont="1" applyBorder="1" applyAlignment="1">
      <alignment horizontal="center" vertical="center"/>
    </xf>
    <xf numFmtId="0" fontId="33" fillId="0" borderId="33" xfId="0" applyFont="1" applyBorder="1" applyAlignment="1">
      <alignment horizontal="center" vertical="center"/>
    </xf>
    <xf numFmtId="0" fontId="33" fillId="0" borderId="35" xfId="0" applyFont="1" applyBorder="1" applyAlignment="1">
      <alignment horizontal="center" vertical="center"/>
    </xf>
    <xf numFmtId="0" fontId="33" fillId="0" borderId="32" xfId="0" applyFont="1" applyBorder="1" applyAlignment="1">
      <alignment horizontal="center" vertical="center"/>
    </xf>
    <xf numFmtId="0" fontId="33" fillId="0" borderId="34" xfId="0" applyFont="1" applyBorder="1" applyAlignment="1">
      <alignment horizontal="center" vertical="center"/>
    </xf>
    <xf numFmtId="0" fontId="33" fillId="0" borderId="36" xfId="0" applyFont="1" applyBorder="1" applyAlignment="1">
      <alignment horizontal="center" vertical="center"/>
    </xf>
    <xf numFmtId="0" fontId="0" fillId="0" borderId="23" xfId="0" applyFont="1" applyBorder="1" applyAlignment="1">
      <alignment horizontal="center" vertical="center"/>
    </xf>
    <xf numFmtId="0" fontId="0" fillId="0" borderId="29" xfId="0" applyFont="1" applyBorder="1" applyAlignment="1">
      <alignment horizontal="center" vertical="center"/>
    </xf>
    <xf numFmtId="0" fontId="0" fillId="0" borderId="30" xfId="0" applyFont="1" applyBorder="1" applyAlignment="1">
      <alignment horizontal="center" vertical="center"/>
    </xf>
    <xf numFmtId="0" fontId="34" fillId="0" borderId="37" xfId="0" applyFont="1" applyBorder="1" applyAlignment="1">
      <alignment horizontal="left" vertical="center"/>
    </xf>
    <xf numFmtId="0" fontId="35" fillId="0" borderId="37" xfId="0" applyFont="1" applyBorder="1" applyAlignment="1">
      <alignment horizontal="left" vertical="center"/>
    </xf>
    <xf numFmtId="0" fontId="24" fillId="0" borderId="22" xfId="0" applyFont="1" applyBorder="1" applyAlignment="1">
      <alignment horizontal="center" vertical="center" wrapText="1"/>
    </xf>
    <xf numFmtId="0" fontId="0" fillId="0" borderId="22" xfId="0" applyBorder="1" applyAlignment="1">
      <alignment horizontal="center" vertical="center"/>
    </xf>
    <xf numFmtId="0" fontId="33" fillId="4" borderId="27" xfId="0" applyFont="1" applyFill="1" applyBorder="1" applyAlignment="1">
      <alignment horizontal="center" vertical="center"/>
    </xf>
    <xf numFmtId="0" fontId="33" fillId="4" borderId="28" xfId="0" applyFont="1" applyFill="1" applyBorder="1" applyAlignment="1">
      <alignment horizontal="center" vertical="center"/>
    </xf>
    <xf numFmtId="0" fontId="33" fillId="4" borderId="25" xfId="0" applyFont="1" applyFill="1" applyBorder="1" applyAlignment="1">
      <alignment horizontal="center" vertical="center"/>
    </xf>
    <xf numFmtId="0" fontId="33" fillId="4" borderId="22" xfId="0" applyFont="1" applyFill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34" fillId="12" borderId="0" xfId="0" applyFont="1" applyFill="1" applyAlignment="1">
      <alignment horizontal="left" vertical="center"/>
    </xf>
    <xf numFmtId="0" fontId="35" fillId="12" borderId="0" xfId="0" applyFont="1" applyFill="1" applyAlignment="1">
      <alignment horizontal="left" vertical="center"/>
    </xf>
    <xf numFmtId="0" fontId="35" fillId="12" borderId="0" xfId="0" applyFont="1" applyFill="1" applyBorder="1" applyAlignment="1">
      <alignment horizontal="left" vertical="center"/>
    </xf>
    <xf numFmtId="0" fontId="35" fillId="12" borderId="26" xfId="0" applyFont="1" applyFill="1" applyBorder="1" applyAlignment="1">
      <alignment horizontal="left" vertical="center"/>
    </xf>
    <xf numFmtId="1" fontId="33" fillId="0" borderId="22" xfId="0" applyNumberFormat="1" applyFont="1" applyFill="1" applyBorder="1" applyAlignment="1">
      <alignment horizontal="center" vertical="center"/>
    </xf>
    <xf numFmtId="183" fontId="0" fillId="0" borderId="31" xfId="0" applyNumberFormat="1" applyBorder="1" applyAlignment="1">
      <alignment horizontal="center" vertical="center"/>
    </xf>
    <xf numFmtId="183" fontId="0" fillId="0" borderId="33" xfId="0" applyNumberForma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183" fontId="0" fillId="4" borderId="22" xfId="0" applyNumberFormat="1" applyFill="1" applyBorder="1" applyAlignment="1">
      <alignment horizontal="center" vertical="center"/>
    </xf>
    <xf numFmtId="0" fontId="24" fillId="0" borderId="22" xfId="0" applyFont="1" applyBorder="1" applyAlignment="1">
      <alignment horizontal="center" vertical="center"/>
    </xf>
    <xf numFmtId="183" fontId="0" fillId="0" borderId="35" xfId="0" applyNumberFormat="1" applyBorder="1" applyAlignment="1">
      <alignment horizontal="center" vertical="center"/>
    </xf>
    <xf numFmtId="0" fontId="34" fillId="0" borderId="26" xfId="0" applyFont="1" applyBorder="1" applyAlignment="1">
      <alignment horizontal="left" vertical="center"/>
    </xf>
    <xf numFmtId="183" fontId="0" fillId="0" borderId="31" xfId="0" applyNumberFormat="1" applyFont="1" applyBorder="1" applyAlignment="1">
      <alignment horizontal="center" vertical="center"/>
    </xf>
    <xf numFmtId="183" fontId="0" fillId="0" borderId="33" xfId="0" applyNumberFormat="1" applyFont="1" applyBorder="1" applyAlignment="1">
      <alignment horizontal="center" vertical="center"/>
    </xf>
    <xf numFmtId="183" fontId="0" fillId="0" borderId="35" xfId="0" applyNumberFormat="1" applyFont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1" fontId="0" fillId="0" borderId="33" xfId="0" applyNumberFormat="1" applyFont="1" applyFill="1" applyBorder="1" applyAlignment="1">
      <alignment horizontal="center" vertical="center"/>
    </xf>
    <xf numFmtId="1" fontId="0" fillId="0" borderId="35" xfId="0" applyNumberFormat="1" applyFont="1" applyFill="1" applyBorder="1" applyAlignment="1">
      <alignment horizontal="center" vertical="center"/>
    </xf>
    <xf numFmtId="1" fontId="33" fillId="0" borderId="31" xfId="0" applyNumberFormat="1" applyFont="1" applyFill="1" applyBorder="1" applyAlignment="1">
      <alignment horizontal="center" vertical="center"/>
    </xf>
    <xf numFmtId="1" fontId="33" fillId="0" borderId="33" xfId="0" applyNumberFormat="1" applyFont="1" applyFill="1" applyBorder="1" applyAlignment="1">
      <alignment horizontal="center" vertical="center"/>
    </xf>
    <xf numFmtId="1" fontId="33" fillId="0" borderId="35" xfId="0" applyNumberFormat="1" applyFont="1" applyFill="1" applyBorder="1" applyAlignment="1">
      <alignment horizontal="center" vertical="center"/>
    </xf>
    <xf numFmtId="1" fontId="33" fillId="0" borderId="23" xfId="0" applyNumberFormat="1" applyFont="1" applyFill="1" applyBorder="1" applyAlignment="1">
      <alignment horizontal="center" vertical="center"/>
    </xf>
    <xf numFmtId="1" fontId="33" fillId="0" borderId="29" xfId="0" applyNumberFormat="1" applyFont="1" applyFill="1" applyBorder="1" applyAlignment="1">
      <alignment horizontal="center" vertical="center"/>
    </xf>
    <xf numFmtId="1" fontId="33" fillId="0" borderId="30" xfId="0" applyNumberFormat="1" applyFont="1" applyFill="1" applyBorder="1" applyAlignment="1">
      <alignment horizontal="center" vertical="center"/>
    </xf>
    <xf numFmtId="183" fontId="0" fillId="0" borderId="22" xfId="0" applyNumberFormat="1" applyBorder="1" applyAlignment="1">
      <alignment horizontal="center" vertical="center"/>
    </xf>
    <xf numFmtId="1" fontId="0" fillId="0" borderId="22" xfId="0" applyNumberFormat="1" applyFont="1" applyBorder="1" applyAlignment="1">
      <alignment horizontal="center" vertical="center"/>
    </xf>
    <xf numFmtId="1" fontId="33" fillId="0" borderId="28" xfId="0" applyNumberFormat="1" applyFont="1" applyBorder="1" applyAlignment="1">
      <alignment horizontal="center" vertical="center"/>
    </xf>
    <xf numFmtId="183" fontId="33" fillId="0" borderId="25" xfId="0" applyNumberFormat="1" applyFont="1" applyBorder="1" applyAlignment="1">
      <alignment horizontal="center" vertical="center"/>
    </xf>
    <xf numFmtId="2" fontId="0" fillId="0" borderId="22" xfId="0" applyNumberFormat="1" applyBorder="1" applyAlignment="1">
      <alignment horizontal="center" vertical="center"/>
    </xf>
    <xf numFmtId="1" fontId="0" fillId="0" borderId="23" xfId="0" applyNumberFormat="1" applyBorder="1" applyAlignment="1">
      <alignment horizontal="center" vertical="center"/>
    </xf>
    <xf numFmtId="1" fontId="0" fillId="0" borderId="29" xfId="0" applyNumberFormat="1" applyBorder="1" applyAlignment="1">
      <alignment horizontal="center" vertical="center"/>
    </xf>
    <xf numFmtId="1" fontId="0" fillId="0" borderId="30" xfId="0" applyNumberFormat="1" applyBorder="1" applyAlignment="1">
      <alignment horizontal="center" vertical="center"/>
    </xf>
    <xf numFmtId="0" fontId="44" fillId="0" borderId="22" xfId="0" applyFont="1" applyBorder="1" applyAlignment="1">
      <alignment shrinkToFit="1"/>
    </xf>
    <xf numFmtId="0" fontId="55" fillId="0" borderId="22" xfId="0" applyFont="1" applyBorder="1" applyAlignment="1">
      <alignment shrinkToFit="1"/>
    </xf>
    <xf numFmtId="0" fontId="44" fillId="2" borderId="22" xfId="0" applyFont="1" applyFill="1" applyBorder="1" applyAlignment="1">
      <alignment horizontal="center" shrinkToFit="1"/>
    </xf>
    <xf numFmtId="0" fontId="55" fillId="0" borderId="22" xfId="0" applyFont="1" applyBorder="1" applyAlignment="1">
      <alignment horizontal="center" shrinkToFit="1"/>
    </xf>
    <xf numFmtId="0" fontId="26" fillId="0" borderId="22" xfId="0" applyFont="1" applyBorder="1" applyAlignment="1">
      <alignment horizontal="center" vertical="center" shrinkToFit="1"/>
    </xf>
    <xf numFmtId="0" fontId="44" fillId="2" borderId="22" xfId="0" applyFont="1" applyFill="1" applyBorder="1" applyAlignment="1">
      <alignment horizontal="center" vertical="center" shrinkToFit="1"/>
    </xf>
    <xf numFmtId="0" fontId="52" fillId="0" borderId="22" xfId="0" applyFont="1" applyBorder="1" applyAlignment="1">
      <alignment shrinkToFit="1"/>
    </xf>
    <xf numFmtId="0" fontId="122" fillId="0" borderId="22" xfId="0" applyFont="1" applyBorder="1" applyAlignment="1">
      <alignment horizontal="center" vertical="center" shrinkToFit="1"/>
    </xf>
    <xf numFmtId="0" fontId="55" fillId="0" borderId="22" xfId="0" applyFont="1" applyBorder="1" applyAlignment="1">
      <alignment horizontal="center" vertical="center" shrinkToFit="1"/>
    </xf>
    <xf numFmtId="0" fontId="22" fillId="0" borderId="22" xfId="0" applyFont="1" applyBorder="1" applyAlignment="1">
      <alignment horizontal="center" vertical="center" shrinkToFit="1"/>
    </xf>
    <xf numFmtId="0" fontId="77" fillId="0" borderId="22" xfId="0" applyFont="1" applyBorder="1" applyAlignment="1">
      <alignment horizontal="center" shrinkToFit="1"/>
    </xf>
    <xf numFmtId="0" fontId="52" fillId="0" borderId="31" xfId="0" applyFont="1" applyBorder="1" applyAlignment="1">
      <alignment horizontal="center" vertical="center" wrapText="1" shrinkToFit="1"/>
    </xf>
    <xf numFmtId="0" fontId="52" fillId="0" borderId="32" xfId="0" applyFont="1" applyBorder="1" applyAlignment="1">
      <alignment horizontal="center" vertical="center" wrapText="1" shrinkToFit="1"/>
    </xf>
    <xf numFmtId="0" fontId="52" fillId="0" borderId="33" xfId="0" applyFont="1" applyBorder="1" applyAlignment="1">
      <alignment horizontal="center" vertical="center" wrapText="1" shrinkToFit="1"/>
    </xf>
    <xf numFmtId="0" fontId="52" fillId="0" borderId="34" xfId="0" applyFont="1" applyBorder="1" applyAlignment="1">
      <alignment horizontal="center" vertical="center" wrapText="1" shrinkToFit="1"/>
    </xf>
    <xf numFmtId="0" fontId="52" fillId="0" borderId="35" xfId="0" applyFont="1" applyBorder="1" applyAlignment="1">
      <alignment horizontal="center" vertical="center" wrapText="1" shrinkToFit="1"/>
    </xf>
    <xf numFmtId="0" fontId="52" fillId="0" borderId="36" xfId="0" applyFont="1" applyBorder="1" applyAlignment="1">
      <alignment horizontal="center" vertical="center" wrapText="1" shrinkToFit="1"/>
    </xf>
    <xf numFmtId="0" fontId="53" fillId="0" borderId="0" xfId="0" applyFont="1" applyBorder="1" applyAlignment="1">
      <alignment horizontal="left" vertical="center" shrinkToFit="1"/>
    </xf>
    <xf numFmtId="0" fontId="54" fillId="0" borderId="0" xfId="0" applyFont="1" applyBorder="1" applyAlignment="1">
      <alignment horizontal="left" vertical="center" shrinkToFit="1"/>
    </xf>
    <xf numFmtId="0" fontId="28" fillId="0" borderId="22" xfId="0" applyFont="1" applyBorder="1" applyAlignment="1">
      <alignment horizontal="center" shrinkToFit="1"/>
    </xf>
    <xf numFmtId="0" fontId="115" fillId="0" borderId="22" xfId="0" applyFont="1" applyBorder="1" applyAlignment="1">
      <alignment horizontal="center" shrinkToFit="1"/>
    </xf>
    <xf numFmtId="179" fontId="119" fillId="0" borderId="22" xfId="0" applyNumberFormat="1" applyFont="1" applyBorder="1" applyAlignment="1">
      <alignment horizontal="center" vertical="center" shrinkToFit="1"/>
    </xf>
    <xf numFmtId="0" fontId="120" fillId="0" borderId="22" xfId="0" applyFont="1" applyBorder="1" applyAlignment="1">
      <alignment horizontal="center" vertical="center" shrinkToFit="1"/>
    </xf>
    <xf numFmtId="0" fontId="22" fillId="0" borderId="22" xfId="0" applyFont="1" applyBorder="1" applyAlignment="1">
      <alignment shrinkToFit="1"/>
    </xf>
    <xf numFmtId="0" fontId="67" fillId="0" borderId="22" xfId="0" applyFont="1" applyBorder="1" applyAlignment="1">
      <alignment shrinkToFit="1"/>
    </xf>
    <xf numFmtId="0" fontId="117" fillId="0" borderId="22" xfId="0" applyFont="1" applyBorder="1" applyAlignment="1">
      <alignment horizontal="center" vertical="center" shrinkToFit="1"/>
    </xf>
    <xf numFmtId="0" fontId="114" fillId="0" borderId="22" xfId="0" applyFont="1" applyBorder="1" applyAlignment="1">
      <alignment horizontal="center" vertical="center" wrapText="1" shrinkToFit="1"/>
    </xf>
    <xf numFmtId="0" fontId="105" fillId="0" borderId="22" xfId="0" applyFont="1" applyBorder="1" applyAlignment="1">
      <alignment horizontal="center" vertical="center" wrapText="1" shrinkToFit="1"/>
    </xf>
    <xf numFmtId="0" fontId="114" fillId="0" borderId="31" xfId="0" applyFont="1" applyBorder="1" applyAlignment="1">
      <alignment horizontal="center" vertical="center" wrapText="1" shrinkToFit="1"/>
    </xf>
    <xf numFmtId="0" fontId="114" fillId="0" borderId="32" xfId="0" applyFont="1" applyBorder="1" applyAlignment="1">
      <alignment horizontal="center" vertical="center" wrapText="1" shrinkToFit="1"/>
    </xf>
    <xf numFmtId="0" fontId="114" fillId="0" borderId="35" xfId="0" applyFont="1" applyBorder="1" applyAlignment="1">
      <alignment horizontal="center" vertical="center" wrapText="1" shrinkToFit="1"/>
    </xf>
    <xf numFmtId="0" fontId="114" fillId="0" borderId="36" xfId="0" applyFont="1" applyBorder="1" applyAlignment="1">
      <alignment horizontal="center" vertical="center" wrapText="1" shrinkToFit="1"/>
    </xf>
    <xf numFmtId="0" fontId="44" fillId="0" borderId="22" xfId="0" applyFont="1" applyBorder="1" applyAlignment="1">
      <alignment horizontal="center" vertical="center" shrinkToFit="1"/>
    </xf>
    <xf numFmtId="0" fontId="44" fillId="0" borderId="31" xfId="0" applyFont="1" applyBorder="1" applyAlignment="1">
      <alignment horizontal="center" vertical="center" shrinkToFit="1"/>
    </xf>
    <xf numFmtId="0" fontId="44" fillId="0" borderId="32" xfId="0" applyFont="1" applyBorder="1" applyAlignment="1">
      <alignment horizontal="center" vertical="center" shrinkToFit="1"/>
    </xf>
    <xf numFmtId="0" fontId="44" fillId="0" borderId="33" xfId="0" applyFont="1" applyBorder="1" applyAlignment="1">
      <alignment horizontal="center" vertical="center" shrinkToFit="1"/>
    </xf>
    <xf numFmtId="0" fontId="44" fillId="0" borderId="34" xfId="0" applyFont="1" applyBorder="1" applyAlignment="1">
      <alignment horizontal="center" vertical="center" shrinkToFit="1"/>
    </xf>
    <xf numFmtId="0" fontId="44" fillId="0" borderId="35" xfId="0" applyFont="1" applyBorder="1" applyAlignment="1">
      <alignment horizontal="center" vertical="center" shrinkToFit="1"/>
    </xf>
    <xf numFmtId="0" fontId="44" fillId="0" borderId="36" xfId="0" applyFont="1" applyBorder="1" applyAlignment="1">
      <alignment horizontal="center" vertical="center" shrinkToFit="1"/>
    </xf>
    <xf numFmtId="0" fontId="52" fillId="0" borderId="22" xfId="0" applyFont="1" applyBorder="1" applyAlignment="1">
      <alignment horizontal="center" vertical="center" shrinkToFit="1"/>
    </xf>
    <xf numFmtId="0" fontId="123" fillId="0" borderId="31" xfId="0" applyFont="1" applyBorder="1" applyAlignment="1">
      <alignment horizontal="center" vertical="center" wrapText="1" shrinkToFit="1"/>
    </xf>
    <xf numFmtId="0" fontId="123" fillId="0" borderId="32" xfId="0" applyFont="1" applyBorder="1" applyAlignment="1">
      <alignment horizontal="center" vertical="center" wrapText="1" shrinkToFit="1"/>
    </xf>
    <xf numFmtId="0" fontId="123" fillId="0" borderId="35" xfId="0" applyFont="1" applyBorder="1" applyAlignment="1">
      <alignment horizontal="center" vertical="center" wrapText="1" shrinkToFit="1"/>
    </xf>
    <xf numFmtId="0" fontId="123" fillId="0" borderId="36" xfId="0" applyFont="1" applyBorder="1" applyAlignment="1">
      <alignment horizontal="center" vertical="center" wrapText="1" shrinkToFit="1"/>
    </xf>
    <xf numFmtId="0" fontId="22" fillId="0" borderId="31" xfId="0" applyFont="1" applyBorder="1" applyAlignment="1">
      <alignment horizontal="center" vertical="center" shrinkToFit="1"/>
    </xf>
    <xf numFmtId="0" fontId="22" fillId="0" borderId="32" xfId="0" applyFont="1" applyBorder="1" applyAlignment="1">
      <alignment horizontal="center" vertical="center" shrinkToFit="1"/>
    </xf>
    <xf numFmtId="0" fontId="22" fillId="0" borderId="35" xfId="0" applyFont="1" applyBorder="1" applyAlignment="1">
      <alignment horizontal="center" vertical="center" shrinkToFit="1"/>
    </xf>
    <xf numFmtId="0" fontId="22" fillId="0" borderId="36" xfId="0" applyFont="1" applyBorder="1" applyAlignment="1">
      <alignment horizontal="center" vertical="center" shrinkToFit="1"/>
    </xf>
    <xf numFmtId="0" fontId="52" fillId="0" borderId="27" xfId="0" applyFont="1" applyBorder="1" applyAlignment="1">
      <alignment horizontal="center" vertical="center" shrinkToFit="1"/>
    </xf>
    <xf numFmtId="0" fontId="44" fillId="0" borderId="25" xfId="0" applyFont="1" applyBorder="1" applyAlignment="1">
      <alignment horizontal="center" vertical="center" shrinkToFit="1"/>
    </xf>
    <xf numFmtId="0" fontId="44" fillId="2" borderId="27" xfId="0" applyFont="1" applyFill="1" applyBorder="1" applyAlignment="1">
      <alignment horizontal="center" shrinkToFit="1"/>
    </xf>
    <xf numFmtId="0" fontId="44" fillId="2" borderId="25" xfId="0" applyFont="1" applyFill="1" applyBorder="1" applyAlignment="1">
      <alignment horizontal="center" shrinkToFit="1"/>
    </xf>
    <xf numFmtId="0" fontId="22" fillId="0" borderId="27" xfId="0" applyFont="1" applyBorder="1" applyAlignment="1">
      <alignment vertical="center" shrinkToFit="1"/>
    </xf>
    <xf numFmtId="0" fontId="28" fillId="0" borderId="25" xfId="0" applyFont="1" applyBorder="1" applyAlignment="1">
      <alignment vertical="center" shrinkToFit="1"/>
    </xf>
    <xf numFmtId="0" fontId="28" fillId="0" borderId="31" xfId="0" applyFont="1" applyBorder="1" applyAlignment="1">
      <alignment horizontal="center" vertical="center" shrinkToFit="1"/>
    </xf>
    <xf numFmtId="0" fontId="28" fillId="0" borderId="32" xfId="0" applyFont="1" applyBorder="1" applyAlignment="1">
      <alignment horizontal="center" vertical="center" shrinkToFit="1"/>
    </xf>
    <xf numFmtId="0" fontId="28" fillId="0" borderId="35" xfId="0" applyFont="1" applyBorder="1" applyAlignment="1">
      <alignment horizontal="center" vertical="center" shrinkToFit="1"/>
    </xf>
    <xf numFmtId="0" fontId="28" fillId="0" borderId="36" xfId="0" applyFont="1" applyBorder="1" applyAlignment="1">
      <alignment horizontal="center" vertical="center" shrinkToFit="1"/>
    </xf>
    <xf numFmtId="0" fontId="28" fillId="0" borderId="27" xfId="0" applyFont="1" applyBorder="1" applyAlignment="1">
      <alignment horizontal="center" vertical="center" shrinkToFit="1"/>
    </xf>
    <xf numFmtId="0" fontId="28" fillId="0" borderId="25" xfId="0" applyFont="1" applyBorder="1" applyAlignment="1">
      <alignment horizontal="center" vertical="center" shrinkToFit="1"/>
    </xf>
    <xf numFmtId="0" fontId="26" fillId="0" borderId="23" xfId="0" applyFont="1" applyBorder="1" applyAlignment="1">
      <alignment horizontal="center" vertical="center" shrinkToFit="1"/>
    </xf>
    <xf numFmtId="0" fontId="26" fillId="0" borderId="30" xfId="0" applyFont="1" applyBorder="1" applyAlignment="1">
      <alignment horizontal="center" vertical="center" shrinkToFit="1"/>
    </xf>
    <xf numFmtId="0" fontId="44" fillId="2" borderId="27" xfId="0" applyFont="1" applyFill="1" applyBorder="1" applyAlignment="1">
      <alignment horizontal="center" vertical="center" shrinkToFit="1"/>
    </xf>
    <xf numFmtId="0" fontId="44" fillId="2" borderId="25" xfId="0" applyFont="1" applyFill="1" applyBorder="1" applyAlignment="1">
      <alignment horizontal="center" vertical="center" shrinkToFit="1"/>
    </xf>
    <xf numFmtId="0" fontId="44" fillId="2" borderId="28" xfId="0" applyFont="1" applyFill="1" applyBorder="1" applyAlignment="1">
      <alignment horizontal="center" vertical="center" shrinkToFit="1"/>
    </xf>
    <xf numFmtId="0" fontId="26" fillId="0" borderId="29" xfId="0" applyFont="1" applyBorder="1" applyAlignment="1">
      <alignment horizontal="center" vertical="center" shrinkToFit="1"/>
    </xf>
    <xf numFmtId="0" fontId="44" fillId="2" borderId="23" xfId="0" applyFont="1" applyFill="1" applyBorder="1" applyAlignment="1">
      <alignment horizontal="center" vertical="center" shrinkToFit="1"/>
    </xf>
    <xf numFmtId="0" fontId="44" fillId="2" borderId="29" xfId="0" applyFont="1" applyFill="1" applyBorder="1" applyAlignment="1">
      <alignment horizontal="center" vertical="center" shrinkToFit="1"/>
    </xf>
    <xf numFmtId="0" fontId="44" fillId="2" borderId="30" xfId="0" applyFont="1" applyFill="1" applyBorder="1" applyAlignment="1">
      <alignment horizontal="center" vertical="center" shrinkToFit="1"/>
    </xf>
    <xf numFmtId="0" fontId="44" fillId="0" borderId="27" xfId="0" applyFont="1" applyBorder="1" applyAlignment="1">
      <alignment horizontal="center" vertical="center" shrinkToFit="1"/>
    </xf>
    <xf numFmtId="0" fontId="119" fillId="0" borderId="27" xfId="0" applyFont="1" applyBorder="1" applyAlignment="1">
      <alignment horizontal="center" vertical="center" shrinkToFit="1"/>
    </xf>
    <xf numFmtId="0" fontId="44" fillId="2" borderId="28" xfId="0" applyFont="1" applyFill="1" applyBorder="1" applyAlignment="1">
      <alignment horizontal="center" shrinkToFit="1"/>
    </xf>
    <xf numFmtId="0" fontId="28" fillId="0" borderId="27" xfId="0" applyFont="1" applyBorder="1" applyAlignment="1">
      <alignment shrinkToFit="1"/>
    </xf>
    <xf numFmtId="0" fontId="28" fillId="0" borderId="25" xfId="0" applyFont="1" applyBorder="1" applyAlignment="1">
      <alignment shrinkToFit="1"/>
    </xf>
    <xf numFmtId="0" fontId="118" fillId="0" borderId="32" xfId="0" applyFont="1" applyBorder="1" applyAlignment="1">
      <alignment horizontal="center" vertical="center" wrapText="1" shrinkToFit="1"/>
    </xf>
    <xf numFmtId="0" fontId="118" fillId="0" borderId="35" xfId="0" applyFont="1" applyBorder="1" applyAlignment="1">
      <alignment horizontal="center" vertical="center" wrapText="1" shrinkToFit="1"/>
    </xf>
    <xf numFmtId="0" fontId="118" fillId="0" borderId="36" xfId="0" applyFont="1" applyBorder="1" applyAlignment="1">
      <alignment horizontal="center" vertical="center" wrapText="1" shrinkToFit="1"/>
    </xf>
    <xf numFmtId="0" fontId="44" fillId="0" borderId="27" xfId="0" applyFont="1" applyBorder="1" applyAlignment="1">
      <alignment shrinkToFit="1"/>
    </xf>
    <xf numFmtId="0" fontId="44" fillId="0" borderId="25" xfId="0" applyFont="1" applyBorder="1" applyAlignment="1">
      <alignment shrinkToFit="1"/>
    </xf>
    <xf numFmtId="0" fontId="60" fillId="0" borderId="22" xfId="11" applyFont="1" applyFill="1" applyBorder="1" applyAlignment="1">
      <alignment horizontal="center" vertical="center" shrinkToFit="1"/>
    </xf>
    <xf numFmtId="0" fontId="30" fillId="0" borderId="22" xfId="11" applyFont="1" applyBorder="1" applyAlignment="1">
      <alignment horizontal="center" vertical="center" shrinkToFit="1"/>
    </xf>
    <xf numFmtId="0" fontId="41" fillId="0" borderId="0" xfId="11" applyFont="1" applyBorder="1" applyAlignment="1">
      <alignment horizontal="center" vertical="center" shrinkToFit="1"/>
    </xf>
    <xf numFmtId="0" fontId="53" fillId="0" borderId="0" xfId="11" applyFont="1" applyBorder="1" applyAlignment="1">
      <alignment horizontal="left" vertical="center" shrinkToFit="1"/>
    </xf>
    <xf numFmtId="0" fontId="45" fillId="0" borderId="22" xfId="11" applyFont="1" applyFill="1" applyBorder="1" applyAlignment="1">
      <alignment horizontal="center" vertical="center"/>
    </xf>
    <xf numFmtId="0" fontId="28" fillId="0" borderId="22" xfId="11" applyFont="1" applyFill="1" applyBorder="1" applyAlignment="1">
      <alignment horizontal="center" vertical="center" shrinkToFit="1"/>
    </xf>
    <xf numFmtId="0" fontId="28" fillId="0" borderId="37" xfId="11" applyFont="1" applyFill="1" applyBorder="1" applyAlignment="1">
      <alignment horizontal="center" vertical="center" shrinkToFit="1"/>
    </xf>
    <xf numFmtId="0" fontId="28" fillId="0" borderId="0" xfId="11" applyFont="1" applyFill="1" applyBorder="1" applyAlignment="1">
      <alignment horizontal="center" vertical="center" shrinkToFit="1"/>
    </xf>
    <xf numFmtId="0" fontId="26" fillId="0" borderId="22" xfId="11" applyFont="1" applyFill="1" applyBorder="1" applyAlignment="1">
      <alignment horizontal="center" vertical="center" shrinkToFit="1"/>
    </xf>
    <xf numFmtId="0" fontId="26" fillId="0" borderId="22" xfId="11" applyFont="1" applyBorder="1" applyAlignment="1">
      <alignment horizontal="center" shrinkToFit="1"/>
    </xf>
    <xf numFmtId="0" fontId="60" fillId="0" borderId="27" xfId="11" applyFont="1" applyBorder="1" applyAlignment="1">
      <alignment horizontal="center" vertical="center" shrinkToFit="1"/>
    </xf>
    <xf numFmtId="0" fontId="60" fillId="0" borderId="50" xfId="11" applyFont="1" applyBorder="1" applyAlignment="1">
      <alignment horizontal="center" vertical="center" shrinkToFit="1"/>
    </xf>
    <xf numFmtId="0" fontId="14" fillId="17" borderId="54" xfId="11" applyFont="1" applyFill="1" applyBorder="1" applyAlignment="1">
      <alignment horizontal="center" vertical="center" shrinkToFit="1"/>
    </xf>
    <xf numFmtId="0" fontId="14" fillId="17" borderId="55" xfId="11" applyFont="1" applyFill="1" applyBorder="1" applyAlignment="1">
      <alignment horizontal="center" vertical="center" shrinkToFit="1"/>
    </xf>
    <xf numFmtId="0" fontId="14" fillId="17" borderId="56" xfId="11" applyFont="1" applyFill="1" applyBorder="1" applyAlignment="1">
      <alignment horizontal="center" vertical="center" shrinkToFit="1"/>
    </xf>
    <xf numFmtId="0" fontId="45" fillId="0" borderId="42" xfId="11" applyFont="1" applyFill="1" applyBorder="1" applyAlignment="1">
      <alignment horizontal="center" vertical="center"/>
    </xf>
    <xf numFmtId="0" fontId="28" fillId="0" borderId="43" xfId="11" applyFont="1" applyFill="1" applyBorder="1" applyAlignment="1">
      <alignment horizontal="center" vertical="center" shrinkToFit="1"/>
    </xf>
    <xf numFmtId="0" fontId="45" fillId="0" borderId="70" xfId="11" applyFont="1" applyBorder="1" applyAlignment="1">
      <alignment horizontal="center" vertical="center"/>
    </xf>
    <xf numFmtId="0" fontId="45" fillId="0" borderId="59" xfId="11" applyFont="1" applyBorder="1" applyAlignment="1">
      <alignment horizontal="center" vertical="center"/>
    </xf>
    <xf numFmtId="0" fontId="26" fillId="0" borderId="57" xfId="11" applyFont="1" applyBorder="1" applyAlignment="1">
      <alignment horizontal="center" vertical="center" shrinkToFit="1"/>
    </xf>
    <xf numFmtId="0" fontId="26" fillId="0" borderId="71" xfId="11" applyFont="1" applyBorder="1" applyAlignment="1">
      <alignment horizontal="center" vertical="center" shrinkToFit="1"/>
    </xf>
    <xf numFmtId="0" fontId="26" fillId="0" borderId="36" xfId="11" applyFont="1" applyBorder="1" applyAlignment="1">
      <alignment horizontal="center" vertical="center" shrinkToFit="1"/>
    </xf>
    <xf numFmtId="0" fontId="26" fillId="0" borderId="30" xfId="11" applyFont="1" applyBorder="1" applyAlignment="1">
      <alignment horizontal="center" vertical="center" shrinkToFit="1"/>
    </xf>
    <xf numFmtId="0" fontId="26" fillId="0" borderId="35" xfId="11" applyFont="1" applyBorder="1" applyAlignment="1">
      <alignment horizontal="center" vertical="center" shrinkToFit="1"/>
    </xf>
    <xf numFmtId="0" fontId="26" fillId="0" borderId="70" xfId="11" applyFont="1" applyBorder="1" applyAlignment="1">
      <alignment horizontal="center" vertical="center" shrinkToFit="1"/>
    </xf>
    <xf numFmtId="0" fontId="26" fillId="0" borderId="58" xfId="11" applyFont="1" applyBorder="1" applyAlignment="1">
      <alignment horizontal="center" vertical="center" shrinkToFit="1"/>
    </xf>
    <xf numFmtId="0" fontId="26" fillId="0" borderId="26" xfId="11" applyFont="1" applyBorder="1" applyAlignment="1">
      <alignment horizontal="center" vertical="center" shrinkToFit="1"/>
    </xf>
    <xf numFmtId="0" fontId="60" fillId="0" borderId="42" xfId="11" applyFont="1" applyBorder="1" applyAlignment="1">
      <alignment horizontal="center" vertical="center" shrinkToFit="1"/>
    </xf>
    <xf numFmtId="0" fontId="60" fillId="0" borderId="43" xfId="11" applyFont="1" applyBorder="1" applyAlignment="1">
      <alignment horizontal="center" vertical="center" shrinkToFit="1"/>
    </xf>
    <xf numFmtId="0" fontId="60" fillId="0" borderId="25" xfId="11" applyFont="1" applyBorder="1" applyAlignment="1">
      <alignment horizontal="center" vertical="center" shrinkToFit="1"/>
    </xf>
    <xf numFmtId="0" fontId="60" fillId="0" borderId="22" xfId="11" applyFont="1" applyBorder="1" applyAlignment="1">
      <alignment horizontal="center" vertical="center" shrinkToFit="1"/>
    </xf>
    <xf numFmtId="0" fontId="60" fillId="0" borderId="59" xfId="11" applyFont="1" applyBorder="1" applyAlignment="1">
      <alignment horizontal="center" vertical="center" shrinkToFit="1"/>
    </xf>
    <xf numFmtId="0" fontId="60" fillId="0" borderId="28" xfId="11" applyFont="1" applyBorder="1" applyAlignment="1">
      <alignment horizontal="center" vertical="center" shrinkToFit="1"/>
    </xf>
    <xf numFmtId="0" fontId="28" fillId="2" borderId="27" xfId="0" applyFont="1" applyFill="1" applyBorder="1" applyAlignment="1">
      <alignment horizontal="center" vertical="center" shrinkToFit="1"/>
    </xf>
    <xf numFmtId="0" fontId="28" fillId="2" borderId="28" xfId="0" applyFont="1" applyFill="1" applyBorder="1" applyAlignment="1">
      <alignment horizontal="center" vertical="center" shrinkToFit="1"/>
    </xf>
    <xf numFmtId="0" fontId="28" fillId="2" borderId="25" xfId="0" applyFont="1" applyFill="1" applyBorder="1" applyAlignment="1">
      <alignment horizontal="center" vertical="center" shrinkToFit="1"/>
    </xf>
    <xf numFmtId="0" fontId="28" fillId="2" borderId="27" xfId="0" applyFont="1" applyFill="1" applyBorder="1" applyAlignment="1">
      <alignment horizontal="center" shrinkToFit="1"/>
    </xf>
    <xf numFmtId="0" fontId="28" fillId="2" borderId="28" xfId="0" applyFont="1" applyFill="1" applyBorder="1" applyAlignment="1">
      <alignment horizontal="center" shrinkToFit="1"/>
    </xf>
    <xf numFmtId="0" fontId="28" fillId="2" borderId="25" xfId="0" applyFont="1" applyFill="1" applyBorder="1" applyAlignment="1">
      <alignment horizontal="center" shrinkToFit="1"/>
    </xf>
    <xf numFmtId="0" fontId="26" fillId="0" borderId="23" xfId="0" applyFont="1" applyBorder="1" applyAlignment="1">
      <alignment horizontal="center" vertical="center" wrapText="1" shrinkToFit="1"/>
    </xf>
    <xf numFmtId="0" fontId="26" fillId="0" borderId="29" xfId="0" applyFont="1" applyBorder="1" applyAlignment="1">
      <alignment horizontal="center" vertical="center" wrapText="1" shrinkToFit="1"/>
    </xf>
    <xf numFmtId="0" fontId="26" fillId="0" borderId="30" xfId="0" applyFont="1" applyBorder="1" applyAlignment="1">
      <alignment horizontal="center" vertical="center" wrapText="1" shrinkToFit="1"/>
    </xf>
    <xf numFmtId="0" fontId="7" fillId="0" borderId="2" xfId="0" applyFont="1" applyBorder="1" applyAlignment="1">
      <alignment shrinkToFit="1"/>
    </xf>
    <xf numFmtId="0" fontId="7" fillId="0" borderId="3" xfId="0" applyFont="1" applyBorder="1" applyAlignment="1">
      <alignment shrinkToFit="1"/>
    </xf>
    <xf numFmtId="0" fontId="28" fillId="2" borderId="35" xfId="0" applyFont="1" applyFill="1" applyBorder="1" applyAlignment="1">
      <alignment horizontal="center" vertical="center" shrinkToFit="1"/>
    </xf>
    <xf numFmtId="0" fontId="28" fillId="2" borderId="26" xfId="0" applyFont="1" applyFill="1" applyBorder="1" applyAlignment="1">
      <alignment horizontal="center" vertical="center" shrinkToFit="1"/>
    </xf>
    <xf numFmtId="0" fontId="28" fillId="2" borderId="36" xfId="0" applyFont="1" applyFill="1" applyBorder="1" applyAlignment="1">
      <alignment horizontal="center" vertical="center" shrinkToFit="1"/>
    </xf>
    <xf numFmtId="0" fontId="28" fillId="2" borderId="74" xfId="0" applyFont="1" applyFill="1" applyBorder="1" applyAlignment="1">
      <alignment horizontal="center" shrinkToFit="1"/>
    </xf>
    <xf numFmtId="0" fontId="11" fillId="0" borderId="4" xfId="0" applyFont="1" applyBorder="1" applyAlignment="1">
      <alignment horizontal="center" shrinkToFit="1"/>
    </xf>
    <xf numFmtId="0" fontId="11" fillId="0" borderId="3" xfId="0" applyFont="1" applyBorder="1" applyAlignment="1">
      <alignment horizontal="center" shrinkToFit="1"/>
    </xf>
    <xf numFmtId="0" fontId="11" fillId="0" borderId="48" xfId="0" applyFont="1" applyBorder="1" applyAlignment="1">
      <alignment horizontal="center" shrinkToFit="1"/>
    </xf>
    <xf numFmtId="0" fontId="11" fillId="0" borderId="49" xfId="0" applyFont="1" applyBorder="1" applyAlignment="1">
      <alignment horizontal="center" shrinkToFit="1"/>
    </xf>
    <xf numFmtId="0" fontId="26" fillId="0" borderId="27" xfId="0" applyFont="1" applyBorder="1" applyAlignment="1">
      <alignment horizontal="center" vertical="center" shrinkToFit="1"/>
    </xf>
    <xf numFmtId="0" fontId="26" fillId="0" borderId="25" xfId="0" applyFont="1" applyBorder="1" applyAlignment="1">
      <alignment horizontal="center" vertical="center" shrinkToFit="1"/>
    </xf>
    <xf numFmtId="0" fontId="28" fillId="2" borderId="4" xfId="0" applyFont="1" applyFill="1" applyBorder="1" applyAlignment="1">
      <alignment horizontal="center" vertical="center" shrinkToFit="1"/>
    </xf>
    <xf numFmtId="0" fontId="28" fillId="2" borderId="2" xfId="0" applyFont="1" applyFill="1" applyBorder="1" applyAlignment="1">
      <alignment horizontal="center" vertical="center" shrinkToFit="1"/>
    </xf>
    <xf numFmtId="0" fontId="28" fillId="2" borderId="3" xfId="0" applyFont="1" applyFill="1" applyBorder="1" applyAlignment="1">
      <alignment horizontal="center" vertical="center" shrinkToFit="1"/>
    </xf>
    <xf numFmtId="0" fontId="44" fillId="2" borderId="4" xfId="0" applyFont="1" applyFill="1" applyBorder="1" applyAlignment="1">
      <alignment horizontal="center" vertical="center" shrinkToFit="1"/>
    </xf>
    <xf numFmtId="0" fontId="44" fillId="2" borderId="3" xfId="0" applyFont="1" applyFill="1" applyBorder="1" applyAlignment="1">
      <alignment horizontal="center" vertical="center" shrinkToFit="1"/>
    </xf>
    <xf numFmtId="0" fontId="7" fillId="0" borderId="48" xfId="0" applyFont="1" applyBorder="1" applyAlignment="1">
      <alignment shrinkToFit="1"/>
    </xf>
    <xf numFmtId="0" fontId="7" fillId="0" borderId="72" xfId="0" applyFont="1" applyBorder="1" applyAlignment="1">
      <alignment shrinkToFit="1"/>
    </xf>
    <xf numFmtId="0" fontId="7" fillId="0" borderId="49" xfId="0" applyFont="1" applyBorder="1" applyAlignment="1">
      <alignment shrinkToFit="1"/>
    </xf>
    <xf numFmtId="0" fontId="26" fillId="0" borderId="22" xfId="0" applyFont="1" applyFill="1" applyBorder="1" applyAlignment="1">
      <alignment horizontal="center" vertical="center" shrinkToFit="1"/>
    </xf>
    <xf numFmtId="0" fontId="28" fillId="2" borderId="73" xfId="0" applyFont="1" applyFill="1" applyBorder="1" applyAlignment="1">
      <alignment horizontal="center" shrinkToFit="1"/>
    </xf>
    <xf numFmtId="0" fontId="28" fillId="2" borderId="26" xfId="0" applyFont="1" applyFill="1" applyBorder="1" applyAlignment="1">
      <alignment horizontal="center" shrinkToFit="1"/>
    </xf>
    <xf numFmtId="0" fontId="28" fillId="2" borderId="36" xfId="0" applyFont="1" applyFill="1" applyBorder="1" applyAlignment="1">
      <alignment horizontal="center" shrinkToFit="1"/>
    </xf>
    <xf numFmtId="0" fontId="62" fillId="0" borderId="22" xfId="0" applyFont="1" applyFill="1" applyBorder="1" applyAlignment="1">
      <alignment horizontal="center" vertical="center" shrinkToFit="1"/>
    </xf>
    <xf numFmtId="0" fontId="26" fillId="8" borderId="22" xfId="0" applyFont="1" applyFill="1" applyBorder="1" applyAlignment="1">
      <alignment horizontal="center" vertical="center" shrinkToFit="1"/>
    </xf>
    <xf numFmtId="0" fontId="28" fillId="8" borderId="22" xfId="0" applyFont="1" applyFill="1" applyBorder="1" applyAlignment="1">
      <alignment horizontal="center" vertical="center" shrinkToFit="1"/>
    </xf>
    <xf numFmtId="0" fontId="102" fillId="0" borderId="4" xfId="0" applyFont="1" applyBorder="1" applyAlignment="1">
      <alignment horizontal="center" shrinkToFit="1"/>
    </xf>
    <xf numFmtId="0" fontId="102" fillId="0" borderId="3" xfId="0" applyFont="1" applyBorder="1" applyAlignment="1">
      <alignment horizontal="center" shrinkToFit="1"/>
    </xf>
    <xf numFmtId="0" fontId="33" fillId="0" borderId="22" xfId="0" applyFont="1" applyBorder="1" applyAlignment="1">
      <alignment horizontal="center" vertical="center" shrinkToFit="1"/>
    </xf>
    <xf numFmtId="0" fontId="0" fillId="0" borderId="22" xfId="0" applyFont="1" applyBorder="1" applyAlignment="1">
      <alignment horizontal="center" vertical="center" shrinkToFit="1"/>
    </xf>
    <xf numFmtId="0" fontId="7" fillId="2" borderId="4" xfId="0" applyFont="1" applyFill="1" applyBorder="1" applyAlignment="1">
      <alignment horizontal="center" vertical="center" shrinkToFit="1"/>
    </xf>
    <xf numFmtId="0" fontId="7" fillId="2" borderId="2" xfId="0" applyFont="1" applyFill="1" applyBorder="1" applyAlignment="1">
      <alignment horizontal="center" vertical="center" shrinkToFit="1"/>
    </xf>
    <xf numFmtId="0" fontId="7" fillId="2" borderId="3" xfId="0" applyFont="1" applyFill="1" applyBorder="1" applyAlignment="1">
      <alignment horizontal="center" vertical="center" shrinkToFit="1"/>
    </xf>
    <xf numFmtId="0" fontId="12" fillId="2" borderId="4" xfId="0" applyFont="1" applyFill="1" applyBorder="1" applyAlignment="1">
      <alignment horizontal="center" vertical="center" shrinkToFit="1"/>
    </xf>
    <xf numFmtId="0" fontId="12" fillId="2" borderId="3" xfId="0" applyFont="1" applyFill="1" applyBorder="1" applyAlignment="1">
      <alignment horizontal="center" vertical="center" shrinkToFit="1"/>
    </xf>
    <xf numFmtId="0" fontId="33" fillId="0" borderId="22" xfId="0" applyFont="1" applyBorder="1" applyAlignment="1">
      <alignment horizontal="center" vertical="center" wrapText="1" shrinkToFit="1"/>
    </xf>
    <xf numFmtId="0" fontId="0" fillId="0" borderId="22" xfId="0" applyFont="1" applyBorder="1" applyAlignment="1">
      <alignment horizontal="center" vertical="center" wrapText="1" shrinkToFit="1"/>
    </xf>
    <xf numFmtId="0" fontId="7" fillId="2" borderId="0" xfId="0" applyFont="1" applyFill="1" applyBorder="1" applyAlignment="1">
      <alignment horizontal="center" vertical="center" shrinkToFit="1"/>
    </xf>
    <xf numFmtId="0" fontId="7" fillId="2" borderId="40" xfId="0" applyFont="1" applyFill="1" applyBorder="1" applyAlignment="1">
      <alignment horizontal="center" vertical="center" shrinkToFit="1"/>
    </xf>
    <xf numFmtId="0" fontId="7" fillId="2" borderId="39" xfId="0" applyFont="1" applyFill="1" applyBorder="1" applyAlignment="1">
      <alignment horizontal="center" shrinkToFit="1"/>
    </xf>
    <xf numFmtId="0" fontId="7" fillId="2" borderId="2" xfId="0" applyFont="1" applyFill="1" applyBorder="1" applyAlignment="1">
      <alignment horizontal="center" shrinkToFit="1"/>
    </xf>
    <xf numFmtId="0" fontId="7" fillId="2" borderId="3" xfId="0" applyFont="1" applyFill="1" applyBorder="1" applyAlignment="1">
      <alignment horizontal="center" shrinkToFit="1"/>
    </xf>
    <xf numFmtId="0" fontId="7" fillId="0" borderId="3" xfId="0" applyFont="1" applyBorder="1" applyAlignment="1">
      <alignment horizontal="center" shrinkToFit="1"/>
    </xf>
    <xf numFmtId="0" fontId="7" fillId="2" borderId="22" xfId="0" applyFont="1" applyFill="1" applyBorder="1" applyAlignment="1">
      <alignment horizontal="center" shrinkToFit="1"/>
    </xf>
    <xf numFmtId="0" fontId="7" fillId="2" borderId="22" xfId="0" applyFont="1" applyFill="1" applyBorder="1" applyAlignment="1">
      <alignment horizontal="center" vertical="center" shrinkToFit="1"/>
    </xf>
    <xf numFmtId="0" fontId="62" fillId="0" borderId="22" xfId="11" applyFont="1" applyFill="1" applyBorder="1" applyAlignment="1">
      <alignment horizontal="center" vertical="center" shrinkToFit="1"/>
    </xf>
    <xf numFmtId="0" fontId="26" fillId="8" borderId="22" xfId="11" applyFont="1" applyFill="1" applyBorder="1" applyAlignment="1">
      <alignment horizontal="center" vertical="center" shrinkToFit="1"/>
    </xf>
    <xf numFmtId="0" fontId="28" fillId="8" borderId="22" xfId="11" applyFont="1" applyFill="1" applyBorder="1" applyAlignment="1">
      <alignment horizontal="center" vertical="center" shrinkToFit="1"/>
    </xf>
    <xf numFmtId="0" fontId="62" fillId="8" borderId="22" xfId="11" applyFont="1" applyFill="1" applyBorder="1" applyAlignment="1">
      <alignment horizontal="center" vertical="center" shrinkToFit="1"/>
    </xf>
    <xf numFmtId="0" fontId="28" fillId="0" borderId="22" xfId="0" applyFont="1" applyBorder="1" applyAlignment="1">
      <alignment shrinkToFit="1"/>
    </xf>
    <xf numFmtId="0" fontId="28" fillId="2" borderId="22" xfId="0" applyFont="1" applyFill="1" applyBorder="1" applyAlignment="1">
      <alignment horizontal="center" vertical="center" shrinkToFit="1"/>
    </xf>
    <xf numFmtId="0" fontId="28" fillId="0" borderId="0" xfId="0" applyFont="1" applyFill="1" applyBorder="1" applyAlignment="1">
      <alignment horizontal="center" shrinkToFit="1"/>
    </xf>
    <xf numFmtId="0" fontId="28" fillId="0" borderId="38" xfId="0" applyFont="1" applyFill="1" applyBorder="1" applyAlignment="1">
      <alignment horizontal="center" shrinkToFit="1"/>
    </xf>
    <xf numFmtId="0" fontId="28" fillId="2" borderId="23" xfId="0" applyFont="1" applyFill="1" applyBorder="1" applyAlignment="1">
      <alignment horizontal="center" vertical="center" shrinkToFit="1"/>
    </xf>
    <xf numFmtId="0" fontId="28" fillId="2" borderId="29" xfId="0" applyFont="1" applyFill="1" applyBorder="1" applyAlignment="1">
      <alignment horizontal="center" vertical="center" shrinkToFit="1"/>
    </xf>
    <xf numFmtId="0" fontId="53" fillId="0" borderId="26" xfId="0" applyFont="1" applyBorder="1" applyAlignment="1">
      <alignment horizontal="left" vertical="center" shrinkToFit="1"/>
    </xf>
    <xf numFmtId="0" fontId="28" fillId="2" borderId="33" xfId="0" applyFont="1" applyFill="1" applyBorder="1" applyAlignment="1">
      <alignment horizontal="center" vertical="center" shrinkToFit="1"/>
    </xf>
    <xf numFmtId="0" fontId="28" fillId="2" borderId="0" xfId="0" applyFont="1" applyFill="1" applyBorder="1" applyAlignment="1">
      <alignment horizontal="center" vertical="center" shrinkToFit="1"/>
    </xf>
    <xf numFmtId="0" fontId="51" fillId="5" borderId="31" xfId="5" applyFont="1" applyFill="1" applyBorder="1" applyAlignment="1">
      <alignment horizontal="center" vertical="center"/>
    </xf>
    <xf numFmtId="0" fontId="51" fillId="5" borderId="37" xfId="5" applyFont="1" applyFill="1" applyBorder="1" applyAlignment="1">
      <alignment horizontal="center" vertical="center"/>
    </xf>
    <xf numFmtId="0" fontId="51" fillId="5" borderId="32" xfId="5" applyFont="1" applyFill="1" applyBorder="1" applyAlignment="1">
      <alignment horizontal="center" vertical="center"/>
    </xf>
    <xf numFmtId="0" fontId="51" fillId="5" borderId="33" xfId="5" applyFont="1" applyFill="1" applyBorder="1" applyAlignment="1">
      <alignment horizontal="center" vertical="center"/>
    </xf>
    <xf numFmtId="0" fontId="51" fillId="5" borderId="0" xfId="5" applyFont="1" applyFill="1" applyAlignment="1">
      <alignment horizontal="center" vertical="center"/>
    </xf>
    <xf numFmtId="0" fontId="51" fillId="5" borderId="34" xfId="5" applyFont="1" applyFill="1" applyBorder="1" applyAlignment="1">
      <alignment horizontal="center" vertical="center"/>
    </xf>
    <xf numFmtId="0" fontId="51" fillId="5" borderId="35" xfId="5" applyFont="1" applyFill="1" applyBorder="1" applyAlignment="1">
      <alignment horizontal="center" vertical="center"/>
    </xf>
    <xf numFmtId="0" fontId="51" fillId="5" borderId="26" xfId="5" applyFont="1" applyFill="1" applyBorder="1" applyAlignment="1">
      <alignment horizontal="center" vertical="center"/>
    </xf>
    <xf numFmtId="0" fontId="51" fillId="5" borderId="36" xfId="5" applyFont="1" applyFill="1" applyBorder="1" applyAlignment="1">
      <alignment horizontal="center" vertical="center"/>
    </xf>
    <xf numFmtId="0" fontId="116" fillId="0" borderId="31" xfId="11" applyFont="1" applyBorder="1" applyAlignment="1">
      <alignment horizontal="center" vertical="center"/>
    </xf>
    <xf numFmtId="0" fontId="29" fillId="0" borderId="32" xfId="11" applyFont="1" applyBorder="1" applyAlignment="1">
      <alignment horizontal="center" vertical="center"/>
    </xf>
    <xf numFmtId="0" fontId="29" fillId="0" borderId="33" xfId="11" applyFont="1" applyBorder="1" applyAlignment="1">
      <alignment horizontal="center" vertical="center"/>
    </xf>
    <xf numFmtId="0" fontId="29" fillId="0" borderId="34" xfId="11" applyFont="1" applyBorder="1" applyAlignment="1">
      <alignment horizontal="center" vertical="center"/>
    </xf>
    <xf numFmtId="0" fontId="29" fillId="0" borderId="35" xfId="11" applyFont="1" applyBorder="1" applyAlignment="1">
      <alignment horizontal="center" vertical="center"/>
    </xf>
    <xf numFmtId="0" fontId="29" fillId="0" borderId="36" xfId="11" applyFont="1" applyBorder="1" applyAlignment="1">
      <alignment horizontal="center" vertical="center"/>
    </xf>
    <xf numFmtId="0" fontId="36" fillId="5" borderId="23" xfId="5" applyFont="1" applyFill="1" applyBorder="1" applyAlignment="1">
      <alignment horizontal="center" vertical="center"/>
    </xf>
    <xf numFmtId="0" fontId="36" fillId="5" borderId="30" xfId="5" applyFont="1" applyFill="1" applyBorder="1" applyAlignment="1">
      <alignment horizontal="center" vertical="center"/>
    </xf>
    <xf numFmtId="0" fontId="38" fillId="5" borderId="27" xfId="580" applyFont="1" applyFill="1" applyBorder="1" applyAlignment="1">
      <alignment horizontal="center" vertical="center"/>
    </xf>
    <xf numFmtId="0" fontId="38" fillId="5" borderId="25" xfId="580" applyFont="1" applyFill="1" applyBorder="1" applyAlignment="1">
      <alignment horizontal="center" vertical="center"/>
    </xf>
    <xf numFmtId="0" fontId="38" fillId="5" borderId="27" xfId="580" applyFont="1" applyFill="1" applyBorder="1" applyAlignment="1">
      <alignment horizontal="center" vertical="center" wrapText="1"/>
    </xf>
    <xf numFmtId="0" fontId="38" fillId="5" borderId="28" xfId="580" applyFont="1" applyFill="1" applyBorder="1" applyAlignment="1">
      <alignment horizontal="center" vertical="center" wrapText="1"/>
    </xf>
    <xf numFmtId="0" fontId="38" fillId="5" borderId="25" xfId="580" applyFont="1" applyFill="1" applyBorder="1" applyAlignment="1">
      <alignment horizontal="center" vertical="center" wrapText="1"/>
    </xf>
    <xf numFmtId="0" fontId="36" fillId="5" borderId="22" xfId="580" applyFont="1" applyFill="1" applyBorder="1" applyAlignment="1">
      <alignment horizontal="center" vertical="center" wrapText="1"/>
    </xf>
    <xf numFmtId="0" fontId="36" fillId="5" borderId="23" xfId="580" applyFont="1" applyFill="1" applyBorder="1" applyAlignment="1">
      <alignment horizontal="center" vertical="center" wrapText="1"/>
    </xf>
    <xf numFmtId="0" fontId="36" fillId="5" borderId="30" xfId="580" applyFont="1" applyFill="1" applyBorder="1" applyAlignment="1">
      <alignment horizontal="center" vertical="center" wrapText="1"/>
    </xf>
    <xf numFmtId="0" fontId="80" fillId="5" borderId="23" xfId="580" applyFont="1" applyFill="1" applyBorder="1" applyAlignment="1">
      <alignment horizontal="center" vertical="center" wrapText="1"/>
    </xf>
    <xf numFmtId="0" fontId="29" fillId="5" borderId="33" xfId="11" applyFont="1" applyFill="1" applyBorder="1" applyAlignment="1">
      <alignment horizontal="center" vertical="center"/>
    </xf>
    <xf numFmtId="0" fontId="29" fillId="5" borderId="34" xfId="11" applyFont="1" applyFill="1" applyBorder="1" applyAlignment="1">
      <alignment horizontal="center" vertical="center"/>
    </xf>
    <xf numFmtId="0" fontId="29" fillId="5" borderId="35" xfId="11" applyFont="1" applyFill="1" applyBorder="1" applyAlignment="1">
      <alignment horizontal="center" vertical="center"/>
    </xf>
    <xf numFmtId="0" fontId="29" fillId="5" borderId="36" xfId="11" applyFont="1" applyFill="1" applyBorder="1" applyAlignment="1">
      <alignment horizontal="center" vertical="center"/>
    </xf>
    <xf numFmtId="0" fontId="36" fillId="5" borderId="22" xfId="580" applyFont="1" applyFill="1" applyBorder="1" applyAlignment="1">
      <alignment horizontal="center" vertical="center"/>
    </xf>
    <xf numFmtId="0" fontId="80" fillId="5" borderId="22" xfId="580" applyFont="1" applyFill="1" applyBorder="1" applyAlignment="1">
      <alignment horizontal="center" vertical="center"/>
    </xf>
    <xf numFmtId="0" fontId="39" fillId="0" borderId="26" xfId="11" applyFont="1" applyBorder="1" applyAlignment="1">
      <alignment horizontal="center" vertical="center"/>
    </xf>
    <xf numFmtId="0" fontId="32" fillId="0" borderId="26" xfId="11" applyFont="1" applyBorder="1" applyAlignment="1">
      <alignment horizontal="center" vertical="center"/>
    </xf>
    <xf numFmtId="0" fontId="65" fillId="5" borderId="31" xfId="580" applyFont="1" applyFill="1" applyBorder="1" applyAlignment="1">
      <alignment horizontal="center" vertical="center" wrapText="1"/>
    </xf>
    <xf numFmtId="0" fontId="65" fillId="5" borderId="37" xfId="580" applyFont="1" applyFill="1" applyBorder="1" applyAlignment="1">
      <alignment horizontal="center" vertical="center" wrapText="1"/>
    </xf>
    <xf numFmtId="0" fontId="65" fillId="5" borderId="32" xfId="580" applyFont="1" applyFill="1" applyBorder="1" applyAlignment="1">
      <alignment horizontal="center" vertical="center" wrapText="1"/>
    </xf>
    <xf numFmtId="0" fontId="38" fillId="5" borderId="28" xfId="580" applyFont="1" applyFill="1" applyBorder="1" applyAlignment="1">
      <alignment horizontal="center" vertical="center"/>
    </xf>
    <xf numFmtId="0" fontId="29" fillId="0" borderId="31" xfId="11" applyFont="1" applyBorder="1" applyAlignment="1">
      <alignment horizontal="center" vertical="center"/>
    </xf>
    <xf numFmtId="0" fontId="80" fillId="5" borderId="22" xfId="580" applyFont="1" applyFill="1" applyBorder="1" applyAlignment="1">
      <alignment horizontal="center" vertical="center" wrapText="1"/>
    </xf>
    <xf numFmtId="195" fontId="109" fillId="5" borderId="22" xfId="581" applyNumberFormat="1" applyFont="1" applyFill="1" applyBorder="1" applyAlignment="1">
      <alignment horizontal="center" vertical="center"/>
    </xf>
    <xf numFmtId="195" fontId="109" fillId="14" borderId="22" xfId="581" applyNumberFormat="1" applyFont="1" applyFill="1" applyBorder="1" applyAlignment="1">
      <alignment horizontal="center" vertical="center"/>
    </xf>
    <xf numFmtId="0" fontId="98" fillId="18" borderId="22" xfId="581" applyFont="1" applyFill="1" applyBorder="1" applyAlignment="1">
      <alignment horizontal="center" vertical="center"/>
    </xf>
    <xf numFmtId="0" fontId="99" fillId="0" borderId="23" xfId="581" applyFont="1" applyBorder="1" applyAlignment="1">
      <alignment horizontal="center" vertical="center"/>
    </xf>
    <xf numFmtId="0" fontId="99" fillId="0" borderId="30" xfId="581" applyFont="1" applyBorder="1" applyAlignment="1">
      <alignment horizontal="center" vertical="center"/>
    </xf>
    <xf numFmtId="194" fontId="99" fillId="0" borderId="23" xfId="581" applyNumberFormat="1" applyFont="1" applyBorder="1" applyAlignment="1">
      <alignment horizontal="center" vertical="center"/>
    </xf>
    <xf numFmtId="194" fontId="99" fillId="0" borderId="30" xfId="581" applyNumberFormat="1" applyFont="1" applyBorder="1" applyAlignment="1">
      <alignment horizontal="center" vertical="center"/>
    </xf>
    <xf numFmtId="189" fontId="99" fillId="0" borderId="23" xfId="581" applyNumberFormat="1" applyFont="1" applyBorder="1" applyAlignment="1">
      <alignment horizontal="center" vertical="center"/>
    </xf>
    <xf numFmtId="189" fontId="99" fillId="0" borderId="30" xfId="581" applyNumberFormat="1" applyFont="1" applyBorder="1" applyAlignment="1">
      <alignment horizontal="center" vertical="center"/>
    </xf>
    <xf numFmtId="0" fontId="101" fillId="0" borderId="23" xfId="11" applyFont="1" applyBorder="1" applyAlignment="1">
      <alignment horizontal="center" vertical="center"/>
    </xf>
    <xf numFmtId="0" fontId="101" fillId="0" borderId="29" xfId="11" applyFont="1" applyBorder="1" applyAlignment="1">
      <alignment horizontal="center" vertical="center"/>
    </xf>
    <xf numFmtId="0" fontId="101" fillId="0" borderId="30" xfId="11" applyFont="1" applyBorder="1" applyAlignment="1">
      <alignment horizontal="center" vertical="center"/>
    </xf>
    <xf numFmtId="0" fontId="37" fillId="5" borderId="22" xfId="5" applyFont="1" applyFill="1" applyBorder="1" applyAlignment="1">
      <alignment horizontal="center"/>
    </xf>
    <xf numFmtId="0" fontId="77" fillId="0" borderId="0" xfId="0" applyFont="1" applyFill="1" applyBorder="1" applyAlignment="1">
      <alignment shrinkToFit="1"/>
    </xf>
  </cellXfs>
  <cellStyles count="584">
    <cellStyle name="??_x000c_鞜_x0007__x000d_槉U_x0001_??_x0007__x0001__x0001_" xfId="25"/>
    <cellStyle name="_98-春節暫停營業明細-ToDC" xfId="26"/>
    <cellStyle name="_98-春節暫停營業明細-ToDC_1-晉欣鮮食廠-2012年春節作業體制" xfId="27"/>
    <cellStyle name="_excel報告書" xfId="28"/>
    <cellStyle name="_excel報告書_1-晉欣鮮食廠-2012年春節作業體制" xfId="29"/>
    <cellStyle name="_excel報告書_96年月餅預購競賽獎勵案" xfId="30"/>
    <cellStyle name="_excel報告書_96年月餅預購競賽獎勵案_1-晉欣鮮食廠-2012年春節作業體制" xfId="31"/>
    <cellStyle name="_excel報告書_96年月餅預購競賽獎勵案_97年春節保全回收報告書" xfId="32"/>
    <cellStyle name="_excel報告書_96年月餅預購競賽獎勵案_97年春節保全回收報告書_1-晉欣鮮食廠-2012年春節作業體制" xfId="33"/>
    <cellStyle name="_excel報告書_96年月餅預購競賽獎勵案_97年春節保全回收報告書_Book1" xfId="34"/>
    <cellStyle name="_excel報告書_96年月餅預購競賽獎勵案_97年春節保全回收報告書_Book1_1-晉欣鮮食廠-2012年春節作業體制" xfId="35"/>
    <cellStyle name="_excel報告書_96年月餅預購競賽獎勵案_97年春節保全回收報告書_春節作業手冊-981217" xfId="36"/>
    <cellStyle name="_excel報告書_96年月餅預購競賽獎勵案_97年春節保全回收報告書_春節作業手冊-981217_1-晉欣鮮食廠-2012年春節作業體制" xfId="37"/>
    <cellStyle name="_excel報告書_96年月餅預購競賽獎勵案_97年營業競賽提案報告書" xfId="38"/>
    <cellStyle name="_excel報告書_96年月餅預購競賽獎勵案_97年營業競賽提案報告書_1-晉欣鮮食廠-2012年春節作業體制" xfId="39"/>
    <cellStyle name="_excel報告書_96年月餅預購競賽獎勵案_97年營業競賽提案報告書_97年春節保全回收報告書" xfId="40"/>
    <cellStyle name="_excel報告書_96年月餅預購競賽獎勵案_97年營業競賽提案報告書_97年春節保全回收報告書_1-晉欣鮮食廠-2012年春節作業體制" xfId="41"/>
    <cellStyle name="_excel報告書_96年月餅預購競賽獎勵案_97年營業競賽提案報告書_97年春節保全回收報告書_Book1" xfId="42"/>
    <cellStyle name="_excel報告書_96年月餅預購競賽獎勵案_97年營業競賽提案報告書_97年春節保全回收報告書_Book1_1-晉欣鮮食廠-2012年春節作業體制" xfId="43"/>
    <cellStyle name="_excel報告書_96年月餅預購競賽獎勵案_97年營業競賽提案報告書_97年春節保全回收報告書_春節作業手冊-981217" xfId="44"/>
    <cellStyle name="_excel報告書_96年月餅預購競賽獎勵案_97年營業競賽提案報告書_97年春節保全回收報告書_春節作業手冊-981217_1-晉欣鮮食廠-2012年春節作業體制" xfId="45"/>
    <cellStyle name="_excel報告書_96年月餅預購競賽獎勵案_97年營業競賽提案報告書_97年營業競賽提案報告書" xfId="46"/>
    <cellStyle name="_excel報告書_96年月餅預購競賽獎勵案_97年營業競賽提案報告書_97年營業競賽提案報告書_1-晉欣鮮食廠-2012年春節作業體制" xfId="47"/>
    <cellStyle name="_excel報告書_96年月餅預購競賽獎勵案_97年營業競賽提案報告書_97年營業競賽提案報告書_97年春節保全回收報告書" xfId="48"/>
    <cellStyle name="_excel報告書_96年月餅預購競賽獎勵案_97年營業競賽提案報告書_97年營業競賽提案報告書_97年春節保全回收報告書_1-晉欣鮮食廠-2012年春節作業體制" xfId="49"/>
    <cellStyle name="_excel報告書_96年月餅預購競賽獎勵案_97年營業競賽提案報告書_97年營業競賽提案報告書_97年春節保全回收報告書_Book1" xfId="50"/>
    <cellStyle name="_excel報告書_96年月餅預購競賽獎勵案_97年營業競賽提案報告書_97年營業競賽提案報告書_97年春節保全回收報告書_Book1_1-晉欣鮮食廠-2012年春節作業體制" xfId="51"/>
    <cellStyle name="_excel報告書_96年月餅預購競賽獎勵案_97年營業競賽提案報告書_97年營業競賽提案報告書_97年春節保全回收報告書_春節作業手冊-981217" xfId="52"/>
    <cellStyle name="_excel報告書_96年月餅預購競賽獎勵案_97年營業競賽提案報告書_97年營業競賽提案報告書_97年春節保全回收報告書_春節作業手冊-981217_1-晉欣鮮食廠-2012年春節作業體制" xfId="53"/>
    <cellStyle name="_excel報告書_96年月餅預購競賽獎勵案_97年營業競賽提案報告書_97年營業競賽提案報告書_97年營業競賽提案報告書" xfId="54"/>
    <cellStyle name="_excel報告書_96年月餅預購競賽獎勵案_97年營業競賽提案報告書_97年營業競賽提案報告書_97年營業競賽提案報告書_1-晉欣鮮食廠-2012年春節作業體制" xfId="55"/>
    <cellStyle name="_excel報告書_96年月餅預購競賽獎勵案_97年營業競賽提案報告書_97年營業競賽提案報告書_97年營業競賽提案報告書_97年春節保全回收報告書" xfId="56"/>
    <cellStyle name="_excel報告書_96年月餅預購競賽獎勵案_97年營業競賽提案報告書_97年營業競賽提案報告書_97年營業競賽提案報告書_97年春節保全回收報告書_1-晉欣鮮食廠-2012年春節作業體制" xfId="57"/>
    <cellStyle name="_excel報告書_96年月餅預購競賽獎勵案_97年營業競賽提案報告書_97年營業競賽提案報告書_97年營業競賽提案報告書_97年春節保全回收報告書_Book1" xfId="58"/>
    <cellStyle name="_excel報告書_96年月餅預購競賽獎勵案_97年營業競賽提案報告書_97年營業競賽提案報告書_97年營業競賽提案報告書_97年春節保全回收報告書_Book1_1-晉欣鮮食廠-2012年春節作業體制" xfId="59"/>
    <cellStyle name="_excel報告書_96年月餅預購競賽獎勵案_97年營業競賽提案報告書_97年營業競賽提案報告書_97年營業競賽提案報告書_97年春節保全回收報告書_春節作業手冊-981217" xfId="60"/>
    <cellStyle name="_excel報告書_96年月餅預購競賽獎勵案_97年營業競賽提案報告書_97年營業競賽提案報告書_97年營業競賽提案報告書_97年春節保全回收報告書_春節作業手冊-981217_1-晉欣鮮食廠-2012年春節作業體制" xfId="61"/>
    <cellStyle name="_excel報告書_96年月餅預購競賽獎勵案_97年營業競賽提案報告書_97年營業競賽提案報告書_97年營業競賽提案報告書_Book1" xfId="62"/>
    <cellStyle name="_excel報告書_96年月餅預購競賽獎勵案_97年營業競賽提案報告書_97年營業競賽提案報告書_97年營業競賽提案報告書_Book1_1-晉欣鮮食廠-2012年春節作業體制" xfId="63"/>
    <cellStyle name="_excel報告書_96年月餅預購競賽獎勵案_97年營業競賽提案報告書_97年營業競賽提案報告書_97年營業競賽提案報告書_春節作業手冊-981217" xfId="64"/>
    <cellStyle name="_excel報告書_96年月餅預購競賽獎勵案_97年營業競賽提案報告書_97年營業競賽提案報告書_97年營業競賽提案報告書_春節作業手冊-981217_1-晉欣鮮食廠-2012年春節作業體制" xfId="65"/>
    <cellStyle name="_excel報告書_96年月餅預購競賽獎勵案_97年營業競賽提案報告書_97年營業競賽提案報告書_Book1" xfId="66"/>
    <cellStyle name="_excel報告書_96年月餅預購競賽獎勵案_97年營業競賽提案報告書_97年營業競賽提案報告書_Book1_1-晉欣鮮食廠-2012年春節作業體制" xfId="67"/>
    <cellStyle name="_excel報告書_96年月餅預購競賽獎勵案_97年營業競賽提案報告書_97年營業競賽提案報告書_春節作業手冊-981217" xfId="68"/>
    <cellStyle name="_excel報告書_96年月餅預購競賽獎勵案_97年營業競賽提案報告書_97年營業競賽提案報告書_春節作業手冊-981217_1-晉欣鮮食廠-2012年春節作業體制" xfId="69"/>
    <cellStyle name="_excel報告書_96年月餅預購競賽獎勵案_97年營業競賽提案報告書_Book1" xfId="70"/>
    <cellStyle name="_excel報告書_96年月餅預購競賽獎勵案_97年營業競賽提案報告書_Book1_1-晉欣鮮食廠-2012年春節作業體制" xfId="71"/>
    <cellStyle name="_excel報告書_96年月餅預購競賽獎勵案_97年營業競賽提案報告書_春節作業手冊-981217" xfId="72"/>
    <cellStyle name="_excel報告書_96年月餅預購競賽獎勵案_97年營業競賽提案報告書_春節作業手冊-981217_1-晉欣鮮食廠-2012年春節作業體制" xfId="73"/>
    <cellStyle name="_excel報告書_96年月餅預購競賽獎勵案_Book1" xfId="74"/>
    <cellStyle name="_excel報告書_96年月餅預購競賽獎勵案_Book1_1-晉欣鮮食廠-2012年春節作業體制" xfId="75"/>
    <cellStyle name="_excel報告書_96年月餅預購競賽獎勵案_春節作業手冊-981217" xfId="76"/>
    <cellStyle name="_excel報告書_96年月餅預購競賽獎勵案_春節作業手冊-981217_1-晉欣鮮食廠-2012年春節作業體制" xfId="77"/>
    <cellStyle name="_excel報告書_97年春節保全回收報告書" xfId="78"/>
    <cellStyle name="_excel報告書_97年春節保全回收報告書_1-晉欣鮮食廠-2012年春節作業體制" xfId="79"/>
    <cellStyle name="_excel報告書_97年春節保全回收報告書_Book1" xfId="80"/>
    <cellStyle name="_excel報告書_97年春節保全回收報告書_Book1_1-晉欣鮮食廠-2012年春節作業體制" xfId="81"/>
    <cellStyle name="_excel報告書_97年春節保全回收報告書_春節作業手冊-981217" xfId="82"/>
    <cellStyle name="_excel報告書_97年春節保全回收報告書_春節作業手冊-981217_1-晉欣鮮食廠-2012年春節作業體制" xfId="83"/>
    <cellStyle name="_excel報告書_97年營業競賽提案報告書" xfId="84"/>
    <cellStyle name="_excel報告書_97年營業競賽提案報告書_1-晉欣鮮食廠-2012年春節作業體制" xfId="85"/>
    <cellStyle name="_excel報告書_97年營業競賽提案報告書_97年春節保全回收報告書" xfId="86"/>
    <cellStyle name="_excel報告書_97年營業競賽提案報告書_97年春節保全回收報告書_1-晉欣鮮食廠-2012年春節作業體制" xfId="87"/>
    <cellStyle name="_excel報告書_97年營業競賽提案報告書_97年春節保全回收報告書_Book1" xfId="88"/>
    <cellStyle name="_excel報告書_97年營業競賽提案報告書_97年春節保全回收報告書_Book1_1-晉欣鮮食廠-2012年春節作業體制" xfId="89"/>
    <cellStyle name="_excel報告書_97年營業競賽提案報告書_97年春節保全回收報告書_春節作業手冊-981217" xfId="90"/>
    <cellStyle name="_excel報告書_97年營業競賽提案報告書_97年春節保全回收報告書_春節作業手冊-981217_1-晉欣鮮食廠-2012年春節作業體制" xfId="91"/>
    <cellStyle name="_excel報告書_97年營業競賽提案報告書_97年營業競賽提案報告書" xfId="92"/>
    <cellStyle name="_excel報告書_97年營業競賽提案報告書_97年營業競賽提案報告書_1-晉欣鮮食廠-2012年春節作業體制" xfId="93"/>
    <cellStyle name="_excel報告書_97年營業競賽提案報告書_97年營業競賽提案報告書_97年春節保全回收報告書" xfId="94"/>
    <cellStyle name="_excel報告書_97年營業競賽提案報告書_97年營業競賽提案報告書_97年春節保全回收報告書_1-晉欣鮮食廠-2012年春節作業體制" xfId="95"/>
    <cellStyle name="_excel報告書_97年營業競賽提案報告書_97年營業競賽提案報告書_97年春節保全回收報告書_Book1" xfId="96"/>
    <cellStyle name="_excel報告書_97年營業競賽提案報告書_97年營業競賽提案報告書_97年春節保全回收報告書_Book1_1-晉欣鮮食廠-2012年春節作業體制" xfId="97"/>
    <cellStyle name="_excel報告書_97年營業競賽提案報告書_97年營業競賽提案報告書_97年春節保全回收報告書_春節作業手冊-981217" xfId="98"/>
    <cellStyle name="_excel報告書_97年營業競賽提案報告書_97年營業競賽提案報告書_97年春節保全回收報告書_春節作業手冊-981217_1-晉欣鮮食廠-2012年春節作業體制" xfId="99"/>
    <cellStyle name="_excel報告書_97年營業競賽提案報告書_97年營業競賽提案報告書_97年營業競賽提案報告書" xfId="100"/>
    <cellStyle name="_excel報告書_97年營業競賽提案報告書_97年營業競賽提案報告書_97年營業競賽提案報告書_1-晉欣鮮食廠-2012年春節作業體制" xfId="101"/>
    <cellStyle name="_excel報告書_97年營業競賽提案報告書_97年營業競賽提案報告書_97年營業競賽提案報告書_97年春節保全回收報告書" xfId="102"/>
    <cellStyle name="_excel報告書_97年營業競賽提案報告書_97年營業競賽提案報告書_97年營業競賽提案報告書_97年春節保全回收報告書_1-晉欣鮮食廠-2012年春節作業體制" xfId="103"/>
    <cellStyle name="_excel報告書_97年營業競賽提案報告書_97年營業競賽提案報告書_97年營業競賽提案報告書_97年春節保全回收報告書_Book1" xfId="104"/>
    <cellStyle name="_excel報告書_97年營業競賽提案報告書_97年營業競賽提案報告書_97年營業競賽提案報告書_97年春節保全回收報告書_Book1_1-晉欣鮮食廠-2012年春節作業體制" xfId="105"/>
    <cellStyle name="_excel報告書_97年營業競賽提案報告書_97年營業競賽提案報告書_97年營業競賽提案報告書_97年春節保全回收報告書_春節作業手冊-981217" xfId="106"/>
    <cellStyle name="_excel報告書_97年營業競賽提案報告書_97年營業競賽提案報告書_97年營業競賽提案報告書_97年春節保全回收報告書_春節作業手冊-981217_1-晉欣鮮食廠-2012年春節作業體制" xfId="107"/>
    <cellStyle name="_excel報告書_97年營業競賽提案報告書_97年營業競賽提案報告書_97年營業競賽提案報告書_Book1" xfId="108"/>
    <cellStyle name="_excel報告書_97年營業競賽提案報告書_97年營業競賽提案報告書_97年營業競賽提案報告書_Book1_1-晉欣鮮食廠-2012年春節作業體制" xfId="109"/>
    <cellStyle name="_excel報告書_97年營業競賽提案報告書_97年營業競賽提案報告書_97年營業競賽提案報告書_春節作業手冊-981217" xfId="110"/>
    <cellStyle name="_excel報告書_97年營業競賽提案報告書_97年營業競賽提案報告書_97年營業競賽提案報告書_春節作業手冊-981217_1-晉欣鮮食廠-2012年春節作業體制" xfId="111"/>
    <cellStyle name="_excel報告書_97年營業競賽提案報告書_97年營業競賽提案報告書_Book1" xfId="112"/>
    <cellStyle name="_excel報告書_97年營業競賽提案報告書_97年營業競賽提案報告書_Book1_1-晉欣鮮食廠-2012年春節作業體制" xfId="113"/>
    <cellStyle name="_excel報告書_97年營業競賽提案報告書_97年營業競賽提案報告書_春節作業手冊-981217" xfId="114"/>
    <cellStyle name="_excel報告書_97年營業競賽提案報告書_97年營業競賽提案報告書_春節作業手冊-981217_1-晉欣鮮食廠-2012年春節作業體制" xfId="115"/>
    <cellStyle name="_excel報告書_97年營業競賽提案報告書_Book1" xfId="116"/>
    <cellStyle name="_excel報告書_97年營業競賽提案報告書_Book1_1-晉欣鮮食廠-2012年春節作業體制" xfId="117"/>
    <cellStyle name="_excel報告書_97年營業競賽提案報告書_春節作業手冊-981217" xfId="118"/>
    <cellStyle name="_excel報告書_97年營業競賽提案報告書_春節作業手冊-981217_1-晉欣鮮食廠-2012年春節作業體制" xfId="119"/>
    <cellStyle name="_excel報告書_Book1" xfId="120"/>
    <cellStyle name="_excel報告書_Book1_1-晉欣鮮食廠-2012年春節作業體制" xfId="121"/>
    <cellStyle name="_excel報告書_春節作業手冊-981217" xfId="122"/>
    <cellStyle name="_excel報告書_春節作業手冊-981217_1-晉欣鮮食廠-2012年春節作業體制" xfId="123"/>
    <cellStyle name="_日翊98年春節作業-To毓琦" xfId="124"/>
    <cellStyle name="_封閉型商圈日商" xfId="125"/>
    <cellStyle name="_封閉型商圈日商_1-晉欣鮮食廠-2012年春節作業體制" xfId="126"/>
    <cellStyle name="_封閉型商圈日商_97年春節保全回收報告書" xfId="127"/>
    <cellStyle name="_封閉型商圈日商_97年春節保全回收報告書_1-晉欣鮮食廠-2012年春節作業體制" xfId="128"/>
    <cellStyle name="_封閉型商圈日商_97年春節保全回收報告書_Book1" xfId="129"/>
    <cellStyle name="_封閉型商圈日商_97年春節保全回收報告書_Book1_1-晉欣鮮食廠-2012年春節作業體制" xfId="130"/>
    <cellStyle name="_封閉型商圈日商_97年春節保全回收報告書_春節作業手冊-981217" xfId="131"/>
    <cellStyle name="_封閉型商圈日商_97年春節保全回收報告書_春節作業手冊-981217_1-晉欣鮮食廠-2012年春節作業體制" xfId="132"/>
    <cellStyle name="_封閉型商圈日商_97年營業競賽提案報告書" xfId="133"/>
    <cellStyle name="_封閉型商圈日商_97年營業競賽提案報告書_1-晉欣鮮食廠-2012年春節作業體制" xfId="134"/>
    <cellStyle name="_封閉型商圈日商_97年營業競賽提案報告書_97年春節保全回收報告書" xfId="135"/>
    <cellStyle name="_封閉型商圈日商_97年營業競賽提案報告書_97年春節保全回收報告書_1-晉欣鮮食廠-2012年春節作業體制" xfId="136"/>
    <cellStyle name="_封閉型商圈日商_97年營業競賽提案報告書_97年春節保全回收報告書_Book1" xfId="137"/>
    <cellStyle name="_封閉型商圈日商_97年營業競賽提案報告書_97年春節保全回收報告書_Book1_1-晉欣鮮食廠-2012年春節作業體制" xfId="138"/>
    <cellStyle name="_封閉型商圈日商_97年營業競賽提案報告書_97年春節保全回收報告書_春節作業手冊-981217" xfId="139"/>
    <cellStyle name="_封閉型商圈日商_97年營業競賽提案報告書_97年春節保全回收報告書_春節作業手冊-981217_1-晉欣鮮食廠-2012年春節作業體制" xfId="140"/>
    <cellStyle name="_封閉型商圈日商_97年營業競賽提案報告書_97年營業競賽提案報告書" xfId="141"/>
    <cellStyle name="_封閉型商圈日商_97年營業競賽提案報告書_97年營業競賽提案報告書_1-晉欣鮮食廠-2012年春節作業體制" xfId="142"/>
    <cellStyle name="_封閉型商圈日商_97年營業競賽提案報告書_97年營業競賽提案報告書_97年春節保全回收報告書" xfId="143"/>
    <cellStyle name="_封閉型商圈日商_97年營業競賽提案報告書_97年營業競賽提案報告書_97年春節保全回收報告書_1-晉欣鮮食廠-2012年春節作業體制" xfId="144"/>
    <cellStyle name="_封閉型商圈日商_97年營業競賽提案報告書_97年營業競賽提案報告書_97年春節保全回收報告書_Book1" xfId="145"/>
    <cellStyle name="_封閉型商圈日商_97年營業競賽提案報告書_97年營業競賽提案報告書_97年春節保全回收報告書_Book1_1-晉欣鮮食廠-2012年春節作業體制" xfId="146"/>
    <cellStyle name="_封閉型商圈日商_97年營業競賽提案報告書_97年營業競賽提案報告書_97年春節保全回收報告書_春節作業手冊-981217" xfId="147"/>
    <cellStyle name="_封閉型商圈日商_97年營業競賽提案報告書_97年營業競賽提案報告書_97年春節保全回收報告書_春節作業手冊-981217_1-晉欣鮮食廠-2012年春節作業體制" xfId="148"/>
    <cellStyle name="_封閉型商圈日商_97年營業競賽提案報告書_97年營業競賽提案報告書_97年營業競賽提案報告書" xfId="149"/>
    <cellStyle name="_封閉型商圈日商_97年營業競賽提案報告書_97年營業競賽提案報告書_97年營業競賽提案報告書_1-晉欣鮮食廠-2012年春節作業體制" xfId="150"/>
    <cellStyle name="_封閉型商圈日商_97年營業競賽提案報告書_97年營業競賽提案報告書_97年營業競賽提案報告書_97年春節保全回收報告書" xfId="151"/>
    <cellStyle name="_封閉型商圈日商_97年營業競賽提案報告書_97年營業競賽提案報告書_97年營業競賽提案報告書_97年春節保全回收報告書_1-晉欣鮮食廠-2012年春節作業體制" xfId="152"/>
    <cellStyle name="_封閉型商圈日商_97年營業競賽提案報告書_97年營業競賽提案報告書_97年營業競賽提案報告書_97年春節保全回收報告書_Book1" xfId="153"/>
    <cellStyle name="_封閉型商圈日商_97年營業競賽提案報告書_97年營業競賽提案報告書_97年營業競賽提案報告書_97年春節保全回收報告書_Book1_1-晉欣鮮食廠-2012年春節作業體制" xfId="154"/>
    <cellStyle name="_封閉型商圈日商_97年營業競賽提案報告書_97年營業競賽提案報告書_97年營業競賽提案報告書_97年春節保全回收報告書_春節作業手冊-981217" xfId="155"/>
    <cellStyle name="_封閉型商圈日商_97年營業競賽提案報告書_97年營業競賽提案報告書_97年營業競賽提案報告書_97年春節保全回收報告書_春節作業手冊-981217_1-晉欣鮮食廠-2012年春節作業體制" xfId="156"/>
    <cellStyle name="_封閉型商圈日商_97年營業競賽提案報告書_97年營業競賽提案報告書_97年營業競賽提案報告書_Book1" xfId="157"/>
    <cellStyle name="_封閉型商圈日商_97年營業競賽提案報告書_97年營業競賽提案報告書_97年營業競賽提案報告書_Book1_1-晉欣鮮食廠-2012年春節作業體制" xfId="158"/>
    <cellStyle name="_封閉型商圈日商_97年營業競賽提案報告書_97年營業競賽提案報告書_97年營業競賽提案報告書_春節作業手冊-981217" xfId="159"/>
    <cellStyle name="_封閉型商圈日商_97年營業競賽提案報告書_97年營業競賽提案報告書_97年營業競賽提案報告書_春節作業手冊-981217_1-晉欣鮮食廠-2012年春節作業體制" xfId="160"/>
    <cellStyle name="_封閉型商圈日商_97年營業競賽提案報告書_97年營業競賽提案報告書_Book1" xfId="161"/>
    <cellStyle name="_封閉型商圈日商_97年營業競賽提案報告書_97年營業競賽提案報告書_Book1_1-晉欣鮮食廠-2012年春節作業體制" xfId="162"/>
    <cellStyle name="_封閉型商圈日商_97年營業競賽提案報告書_97年營業競賽提案報告書_春節作業手冊-981217" xfId="163"/>
    <cellStyle name="_封閉型商圈日商_97年營業競賽提案報告書_97年營業競賽提案報告書_春節作業手冊-981217_1-晉欣鮮食廠-2012年春節作業體制" xfId="164"/>
    <cellStyle name="_封閉型商圈日商_97年營業競賽提案報告書_Book1" xfId="165"/>
    <cellStyle name="_封閉型商圈日商_97年營業競賽提案報告書_Book1_1-晉欣鮮食廠-2012年春節作業體制" xfId="166"/>
    <cellStyle name="_封閉型商圈日商_97年營業競賽提案報告書_春節作業手冊-981217" xfId="167"/>
    <cellStyle name="_封閉型商圈日商_97年營業競賽提案報告書_春節作業手冊-981217_1-晉欣鮮食廠-2012年春節作業體制" xfId="168"/>
    <cellStyle name="_封閉型商圈日商_Book1" xfId="169"/>
    <cellStyle name="_封閉型商圈日商_Book1_1-晉欣鮮食廠-2012年春節作業體制" xfId="170"/>
    <cellStyle name="_封閉型商圈日商_春節作業手冊-981217" xfId="171"/>
    <cellStyle name="_封閉型商圈日商_春節作業手冊-981217_1-晉欣鮮食廠-2012年春節作業體制" xfId="172"/>
    <cellStyle name="_封閉型商圈日商-1" xfId="173"/>
    <cellStyle name="_封閉型商圈日商-1_1-晉欣鮮食廠-2012年春節作業體制" xfId="174"/>
    <cellStyle name="_封閉型商圈日商-1_97年春節保全回收報告書" xfId="175"/>
    <cellStyle name="_封閉型商圈日商-1_97年春節保全回收報告書_1-晉欣鮮食廠-2012年春節作業體制" xfId="176"/>
    <cellStyle name="_封閉型商圈日商-1_97年春節保全回收報告書_Book1" xfId="177"/>
    <cellStyle name="_封閉型商圈日商-1_97年春節保全回收報告書_Book1_1-晉欣鮮食廠-2012年春節作業體制" xfId="178"/>
    <cellStyle name="_封閉型商圈日商-1_97年春節保全回收報告書_春節作業手冊-981217" xfId="179"/>
    <cellStyle name="_封閉型商圈日商-1_97年春節保全回收報告書_春節作業手冊-981217_1-晉欣鮮食廠-2012年春節作業體制" xfId="180"/>
    <cellStyle name="_封閉型商圈日商-1_97年營業競賽提案報告書" xfId="181"/>
    <cellStyle name="_封閉型商圈日商-1_97年營業競賽提案報告書_1-晉欣鮮食廠-2012年春節作業體制" xfId="182"/>
    <cellStyle name="_封閉型商圈日商-1_97年營業競賽提案報告書_97年春節保全回收報告書" xfId="183"/>
    <cellStyle name="_封閉型商圈日商-1_97年營業競賽提案報告書_97年春節保全回收報告書_1-晉欣鮮食廠-2012年春節作業體制" xfId="184"/>
    <cellStyle name="_封閉型商圈日商-1_97年營業競賽提案報告書_97年春節保全回收報告書_Book1" xfId="185"/>
    <cellStyle name="_封閉型商圈日商-1_97年營業競賽提案報告書_97年春節保全回收報告書_Book1_1-晉欣鮮食廠-2012年春節作業體制" xfId="186"/>
    <cellStyle name="_封閉型商圈日商-1_97年營業競賽提案報告書_97年春節保全回收報告書_春節作業手冊-981217" xfId="187"/>
    <cellStyle name="_封閉型商圈日商-1_97年營業競賽提案報告書_97年春節保全回收報告書_春節作業手冊-981217_1-晉欣鮮食廠-2012年春節作業體制" xfId="188"/>
    <cellStyle name="_封閉型商圈日商-1_97年營業競賽提案報告書_97年營業競賽提案報告書" xfId="189"/>
    <cellStyle name="_封閉型商圈日商-1_97年營業競賽提案報告書_97年營業競賽提案報告書_1-晉欣鮮食廠-2012年春節作業體制" xfId="190"/>
    <cellStyle name="_封閉型商圈日商-1_97年營業競賽提案報告書_97年營業競賽提案報告書_97年春節保全回收報告書" xfId="191"/>
    <cellStyle name="_封閉型商圈日商-1_97年營業競賽提案報告書_97年營業競賽提案報告書_97年春節保全回收報告書_1-晉欣鮮食廠-2012年春節作業體制" xfId="192"/>
    <cellStyle name="_封閉型商圈日商-1_97年營業競賽提案報告書_97年營業競賽提案報告書_97年春節保全回收報告書_Book1" xfId="193"/>
    <cellStyle name="_封閉型商圈日商-1_97年營業競賽提案報告書_97年營業競賽提案報告書_97年春節保全回收報告書_Book1_1-晉欣鮮食廠-2012年春節作業體制" xfId="194"/>
    <cellStyle name="_封閉型商圈日商-1_97年營業競賽提案報告書_97年營業競賽提案報告書_97年春節保全回收報告書_春節作業手冊-981217" xfId="195"/>
    <cellStyle name="_封閉型商圈日商-1_97年營業競賽提案報告書_97年營業競賽提案報告書_97年春節保全回收報告書_春節作業手冊-981217_1-晉欣鮮食廠-2012年春節作業體制" xfId="196"/>
    <cellStyle name="_封閉型商圈日商-1_97年營業競賽提案報告書_97年營業競賽提案報告書_97年營業競賽提案報告書" xfId="197"/>
    <cellStyle name="_封閉型商圈日商-1_97年營業競賽提案報告書_97年營業競賽提案報告書_97年營業競賽提案報告書_1-晉欣鮮食廠-2012年春節作業體制" xfId="198"/>
    <cellStyle name="_封閉型商圈日商-1_97年營業競賽提案報告書_97年營業競賽提案報告書_97年營業競賽提案報告書_97年春節保全回收報告書" xfId="199"/>
    <cellStyle name="_封閉型商圈日商-1_97年營業競賽提案報告書_97年營業競賽提案報告書_97年營業競賽提案報告書_97年春節保全回收報告書_1-晉欣鮮食廠-2012年春節作業體制" xfId="200"/>
    <cellStyle name="_封閉型商圈日商-1_97年營業競賽提案報告書_97年營業競賽提案報告書_97年營業競賽提案報告書_97年春節保全回收報告書_Book1" xfId="201"/>
    <cellStyle name="_封閉型商圈日商-1_97年營業競賽提案報告書_97年營業競賽提案報告書_97年營業競賽提案報告書_97年春節保全回收報告書_Book1_1-晉欣鮮食廠-2012年春節作業體制" xfId="202"/>
    <cellStyle name="_封閉型商圈日商-1_97年營業競賽提案報告書_97年營業競賽提案報告書_97年營業競賽提案報告書_97年春節保全回收報告書_春節作業手冊-981217" xfId="203"/>
    <cellStyle name="_封閉型商圈日商-1_97年營業競賽提案報告書_97年營業競賽提案報告書_97年營業競賽提案報告書_97年春節保全回收報告書_春節作業手冊-981217_1-晉欣鮮食廠-2012年春節作業體制" xfId="204"/>
    <cellStyle name="_封閉型商圈日商-1_97年營業競賽提案報告書_97年營業競賽提案報告書_97年營業競賽提案報告書_Book1" xfId="205"/>
    <cellStyle name="_封閉型商圈日商-1_97年營業競賽提案報告書_97年營業競賽提案報告書_97年營業競賽提案報告書_Book1_1-晉欣鮮食廠-2012年春節作業體制" xfId="206"/>
    <cellStyle name="_封閉型商圈日商-1_97年營業競賽提案報告書_97年營業競賽提案報告書_97年營業競賽提案報告書_春節作業手冊-981217" xfId="207"/>
    <cellStyle name="_封閉型商圈日商-1_97年營業競賽提案報告書_97年營業競賽提案報告書_97年營業競賽提案報告書_春節作業手冊-981217_1-晉欣鮮食廠-2012年春節作業體制" xfId="208"/>
    <cellStyle name="_封閉型商圈日商-1_97年營業競賽提案報告書_97年營業競賽提案報告書_Book1" xfId="209"/>
    <cellStyle name="_封閉型商圈日商-1_97年營業競賽提案報告書_97年營業競賽提案報告書_Book1_1-晉欣鮮食廠-2012年春節作業體制" xfId="210"/>
    <cellStyle name="_封閉型商圈日商-1_97年營業競賽提案報告書_97年營業競賽提案報告書_春節作業手冊-981217" xfId="211"/>
    <cellStyle name="_封閉型商圈日商-1_97年營業競賽提案報告書_97年營業競賽提案報告書_春節作業手冊-981217_1-晉欣鮮食廠-2012年春節作業體制" xfId="212"/>
    <cellStyle name="_封閉型商圈日商-1_97年營業競賽提案報告書_Book1" xfId="213"/>
    <cellStyle name="_封閉型商圈日商-1_97年營業競賽提案報告書_Book1_1-晉欣鮮食廠-2012年春節作業體制" xfId="214"/>
    <cellStyle name="_封閉型商圈日商-1_97年營業競賽提案報告書_春節作業手冊-981217" xfId="215"/>
    <cellStyle name="_封閉型商圈日商-1_97年營業競賽提案報告書_春節作業手冊-981217_1-晉欣鮮食廠-2012年春節作業體制" xfId="216"/>
    <cellStyle name="_封閉型商圈日商-1_Book1" xfId="217"/>
    <cellStyle name="_封閉型商圈日商-1_Book1_1-晉欣鮮食廠-2012年春節作業體制" xfId="218"/>
    <cellStyle name="_封閉型商圈日商-1_春節作業手冊-981217" xfId="219"/>
    <cellStyle name="_封閉型商圈日商-1_春節作業手冊-981217_1-晉欣鮮食廠-2012年春節作業體制" xfId="220"/>
    <cellStyle name="_封閉型商圈店舖明細" xfId="221"/>
    <cellStyle name="_封閉型商圈店舖明細_1-晉欣鮮食廠-2012年春節作業體制" xfId="222"/>
    <cellStyle name="_封閉型商圈店舖明細_97年春節保全回收報告書" xfId="223"/>
    <cellStyle name="_封閉型商圈店舖明細_97年春節保全回收報告書_1-晉欣鮮食廠-2012年春節作業體制" xfId="224"/>
    <cellStyle name="_封閉型商圈店舖明細_97年春節保全回收報告書_Book1" xfId="225"/>
    <cellStyle name="_封閉型商圈店舖明細_97年春節保全回收報告書_Book1_1-晉欣鮮食廠-2012年春節作業體制" xfId="226"/>
    <cellStyle name="_封閉型商圈店舖明細_97年春節保全回收報告書_春節作業手冊-981217" xfId="227"/>
    <cellStyle name="_封閉型商圈店舖明細_97年春節保全回收報告書_春節作業手冊-981217_1-晉欣鮮食廠-2012年春節作業體制" xfId="228"/>
    <cellStyle name="_封閉型商圈店舖明細_97年營業競賽提案報告書" xfId="229"/>
    <cellStyle name="_封閉型商圈店舖明細_97年營業競賽提案報告書_1-晉欣鮮食廠-2012年春節作業體制" xfId="230"/>
    <cellStyle name="_封閉型商圈店舖明細_97年營業競賽提案報告書_97年春節保全回收報告書" xfId="231"/>
    <cellStyle name="_封閉型商圈店舖明細_97年營業競賽提案報告書_97年春節保全回收報告書_1-晉欣鮮食廠-2012年春節作業體制" xfId="232"/>
    <cellStyle name="_封閉型商圈店舖明細_97年營業競賽提案報告書_97年春節保全回收報告書_Book1" xfId="233"/>
    <cellStyle name="_封閉型商圈店舖明細_97年營業競賽提案報告書_97年春節保全回收報告書_Book1_1-晉欣鮮食廠-2012年春節作業體制" xfId="234"/>
    <cellStyle name="_封閉型商圈店舖明細_97年營業競賽提案報告書_97年春節保全回收報告書_春節作業手冊-981217" xfId="235"/>
    <cellStyle name="_封閉型商圈店舖明細_97年營業競賽提案報告書_97年春節保全回收報告書_春節作業手冊-981217_1-晉欣鮮食廠-2012年春節作業體制" xfId="236"/>
    <cellStyle name="_封閉型商圈店舖明細_97年營業競賽提案報告書_97年營業競賽提案報告書" xfId="237"/>
    <cellStyle name="_封閉型商圈店舖明細_97年營業競賽提案報告書_97年營業競賽提案報告書_1-晉欣鮮食廠-2012年春節作業體制" xfId="238"/>
    <cellStyle name="_封閉型商圈店舖明細_97年營業競賽提案報告書_97年營業競賽提案報告書_97年春節保全回收報告書" xfId="239"/>
    <cellStyle name="_封閉型商圈店舖明細_97年營業競賽提案報告書_97年營業競賽提案報告書_97年春節保全回收報告書_1-晉欣鮮食廠-2012年春節作業體制" xfId="240"/>
    <cellStyle name="_封閉型商圈店舖明細_97年營業競賽提案報告書_97年營業競賽提案報告書_97年春節保全回收報告書_Book1" xfId="241"/>
    <cellStyle name="_封閉型商圈店舖明細_97年營業競賽提案報告書_97年營業競賽提案報告書_97年春節保全回收報告書_Book1_1-晉欣鮮食廠-2012年春節作業體制" xfId="242"/>
    <cellStyle name="_封閉型商圈店舖明細_97年營業競賽提案報告書_97年營業競賽提案報告書_97年春節保全回收報告書_春節作業手冊-981217" xfId="243"/>
    <cellStyle name="_封閉型商圈店舖明細_97年營業競賽提案報告書_97年營業競賽提案報告書_97年春節保全回收報告書_春節作業手冊-981217_1-晉欣鮮食廠-2012年春節作業體制" xfId="244"/>
    <cellStyle name="_封閉型商圈店舖明細_97年營業競賽提案報告書_97年營業競賽提案報告書_97年營業競賽提案報告書" xfId="245"/>
    <cellStyle name="_封閉型商圈店舖明細_97年營業競賽提案報告書_97年營業競賽提案報告書_97年營業競賽提案報告書_1-晉欣鮮食廠-2012年春節作業體制" xfId="246"/>
    <cellStyle name="_封閉型商圈店舖明細_97年營業競賽提案報告書_97年營業競賽提案報告書_97年營業競賽提案報告書_97年春節保全回收報告書" xfId="247"/>
    <cellStyle name="_封閉型商圈店舖明細_97年營業競賽提案報告書_97年營業競賽提案報告書_97年營業競賽提案報告書_97年春節保全回收報告書_1-晉欣鮮食廠-2012年春節作業體制" xfId="248"/>
    <cellStyle name="_封閉型商圈店舖明細_97年營業競賽提案報告書_97年營業競賽提案報告書_97年營業競賽提案報告書_97年春節保全回收報告書_Book1" xfId="249"/>
    <cellStyle name="_封閉型商圈店舖明細_97年營業競賽提案報告書_97年營業競賽提案報告書_97年營業競賽提案報告書_97年春節保全回收報告書_Book1_1-晉欣鮮食廠-2012年春節作業體制" xfId="250"/>
    <cellStyle name="_封閉型商圈店舖明細_97年營業競賽提案報告書_97年營業競賽提案報告書_97年營業競賽提案報告書_97年春節保全回收報告書_春節作業手冊-981217" xfId="251"/>
    <cellStyle name="_封閉型商圈店舖明細_97年營業競賽提案報告書_97年營業競賽提案報告書_97年營業競賽提案報告書_97年春節保全回收報告書_春節作業手冊-981217_1-晉欣鮮食廠-2012年春節作業體制" xfId="252"/>
    <cellStyle name="_封閉型商圈店舖明細_97年營業競賽提案報告書_97年營業競賽提案報告書_97年營業競賽提案報告書_Book1" xfId="253"/>
    <cellStyle name="_封閉型商圈店舖明細_97年營業競賽提案報告書_97年營業競賽提案報告書_97年營業競賽提案報告書_Book1_1-晉欣鮮食廠-2012年春節作業體制" xfId="254"/>
    <cellStyle name="_封閉型商圈店舖明細_97年營業競賽提案報告書_97年營業競賽提案報告書_97年營業競賽提案報告書_春節作業手冊-981217" xfId="255"/>
    <cellStyle name="_封閉型商圈店舖明細_97年營業競賽提案報告書_97年營業競賽提案報告書_97年營業競賽提案報告書_春節作業手冊-981217_1-晉欣鮮食廠-2012年春節作業體制" xfId="256"/>
    <cellStyle name="_封閉型商圈店舖明細_97年營業競賽提案報告書_97年營業競賽提案報告書_Book1" xfId="257"/>
    <cellStyle name="_封閉型商圈店舖明細_97年營業競賽提案報告書_97年營業競賽提案報告書_Book1_1-晉欣鮮食廠-2012年春節作業體制" xfId="258"/>
    <cellStyle name="_封閉型商圈店舖明細_97年營業競賽提案報告書_97年營業競賽提案報告書_春節作業手冊-981217" xfId="259"/>
    <cellStyle name="_封閉型商圈店舖明細_97年營業競賽提案報告書_97年營業競賽提案報告書_春節作業手冊-981217_1-晉欣鮮食廠-2012年春節作業體制" xfId="260"/>
    <cellStyle name="_封閉型商圈店舖明細_97年營業競賽提案報告書_Book1" xfId="261"/>
    <cellStyle name="_封閉型商圈店舖明細_97年營業競賽提案報告書_Book1_1-晉欣鮮食廠-2012年春節作業體制" xfId="262"/>
    <cellStyle name="_封閉型商圈店舖明細_97年營業競賽提案報告書_春節作業手冊-981217" xfId="263"/>
    <cellStyle name="_封閉型商圈店舖明細_97年營業競賽提案報告書_春節作業手冊-981217_1-晉欣鮮食廠-2012年春節作業體制" xfId="264"/>
    <cellStyle name="_封閉型商圈店舖明細_Book1" xfId="265"/>
    <cellStyle name="_封閉型商圈店舖明細_Book1_1-晉欣鮮食廠-2012年春節作業體制" xfId="266"/>
    <cellStyle name="_封閉型商圈店舖明細_春節作業手冊-981217" xfId="267"/>
    <cellStyle name="_封閉型商圈店舖明細_春節作業手冊-981217_1-晉欣鮮食廠-2012年春節作業體制" xfId="268"/>
    <cellStyle name="_封閉型商圈建議台整品項" xfId="269"/>
    <cellStyle name="_封閉型商圈建議台整品項_1-晉欣鮮食廠-2012年春節作業體制" xfId="270"/>
    <cellStyle name="_封閉型商圈建議台整品項_97年春節保全回收報告書" xfId="271"/>
    <cellStyle name="_封閉型商圈建議台整品項_97年春節保全回收報告書_1-晉欣鮮食廠-2012年春節作業體制" xfId="272"/>
    <cellStyle name="_封閉型商圈建議台整品項_97年春節保全回收報告書_Book1" xfId="273"/>
    <cellStyle name="_封閉型商圈建議台整品項_97年春節保全回收報告書_Book1_1-晉欣鮮食廠-2012年春節作業體制" xfId="274"/>
    <cellStyle name="_封閉型商圈建議台整品項_97年春節保全回收報告書_春節作業手冊-981217" xfId="275"/>
    <cellStyle name="_封閉型商圈建議台整品項_97年春節保全回收報告書_春節作業手冊-981217_1-晉欣鮮食廠-2012年春節作業體制" xfId="276"/>
    <cellStyle name="_封閉型商圈建議台整品項_97年營業競賽提案報告書" xfId="277"/>
    <cellStyle name="_封閉型商圈建議台整品項_97年營業競賽提案報告書_1-晉欣鮮食廠-2012年春節作業體制" xfId="278"/>
    <cellStyle name="_封閉型商圈建議台整品項_97年營業競賽提案報告書_97年春節保全回收報告書" xfId="279"/>
    <cellStyle name="_封閉型商圈建議台整品項_97年營業競賽提案報告書_97年春節保全回收報告書_1-晉欣鮮食廠-2012年春節作業體制" xfId="280"/>
    <cellStyle name="_封閉型商圈建議台整品項_97年營業競賽提案報告書_97年春節保全回收報告書_Book1" xfId="281"/>
    <cellStyle name="_封閉型商圈建議台整品項_97年營業競賽提案報告書_97年春節保全回收報告書_Book1_1-晉欣鮮食廠-2012年春節作業體制" xfId="282"/>
    <cellStyle name="_封閉型商圈建議台整品項_97年營業競賽提案報告書_97年春節保全回收報告書_春節作業手冊-981217" xfId="283"/>
    <cellStyle name="_封閉型商圈建議台整品項_97年營業競賽提案報告書_97年春節保全回收報告書_春節作業手冊-981217_1-晉欣鮮食廠-2012年春節作業體制" xfId="284"/>
    <cellStyle name="_封閉型商圈建議台整品項_97年營業競賽提案報告書_97年營業競賽提案報告書" xfId="285"/>
    <cellStyle name="_封閉型商圈建議台整品項_97年營業競賽提案報告書_97年營業競賽提案報告書_1-晉欣鮮食廠-2012年春節作業體制" xfId="286"/>
    <cellStyle name="_封閉型商圈建議台整品項_97年營業競賽提案報告書_97年營業競賽提案報告書_97年春節保全回收報告書" xfId="287"/>
    <cellStyle name="_封閉型商圈建議台整品項_97年營業競賽提案報告書_97年營業競賽提案報告書_97年春節保全回收報告書_1-晉欣鮮食廠-2012年春節作業體制" xfId="288"/>
    <cellStyle name="_封閉型商圈建議台整品項_97年營業競賽提案報告書_97年營業競賽提案報告書_97年春節保全回收報告書_Book1" xfId="289"/>
    <cellStyle name="_封閉型商圈建議台整品項_97年營業競賽提案報告書_97年營業競賽提案報告書_97年春節保全回收報告書_Book1_1-晉欣鮮食廠-2012年春節作業體制" xfId="290"/>
    <cellStyle name="_封閉型商圈建議台整品項_97年營業競賽提案報告書_97年營業競賽提案報告書_97年春節保全回收報告書_春節作業手冊-981217" xfId="291"/>
    <cellStyle name="_封閉型商圈建議台整品項_97年營業競賽提案報告書_97年營業競賽提案報告書_97年春節保全回收報告書_春節作業手冊-981217_1-晉欣鮮食廠-2012年春節作業體制" xfId="292"/>
    <cellStyle name="_封閉型商圈建議台整品項_97年營業競賽提案報告書_97年營業競賽提案報告書_97年營業競賽提案報告書" xfId="293"/>
    <cellStyle name="_封閉型商圈建議台整品項_97年營業競賽提案報告書_97年營業競賽提案報告書_97年營業競賽提案報告書_1-晉欣鮮食廠-2012年春節作業體制" xfId="294"/>
    <cellStyle name="_封閉型商圈建議台整品項_97年營業競賽提案報告書_97年營業競賽提案報告書_97年營業競賽提案報告書_97年春節保全回收報告書" xfId="295"/>
    <cellStyle name="_封閉型商圈建議台整品項_97年營業競賽提案報告書_97年營業競賽提案報告書_97年營業競賽提案報告書_97年春節保全回收報告書_1-晉欣鮮食廠-2012年春節作業體制" xfId="296"/>
    <cellStyle name="_封閉型商圈建議台整品項_97年營業競賽提案報告書_97年營業競賽提案報告書_97年營業競賽提案報告書_97年春節保全回收報告書_Book1" xfId="297"/>
    <cellStyle name="_封閉型商圈建議台整品項_97年營業競賽提案報告書_97年營業競賽提案報告書_97年營業競賽提案報告書_97年春節保全回收報告書_Book1_1-晉欣鮮食廠-2012年春節作業體制" xfId="298"/>
    <cellStyle name="_封閉型商圈建議台整品項_97年營業競賽提案報告書_97年營業競賽提案報告書_97年營業競賽提案報告書_97年春節保全回收報告書_春節作業手冊-981217" xfId="299"/>
    <cellStyle name="_封閉型商圈建議台整品項_97年營業競賽提案報告書_97年營業競賽提案報告書_97年營業競賽提案報告書_97年春節保全回收報告書_春節作業手冊-981217_1-晉欣鮮食廠-2012年春節作業體制" xfId="300"/>
    <cellStyle name="_封閉型商圈建議台整品項_97年營業競賽提案報告書_97年營業競賽提案報告書_97年營業競賽提案報告書_Book1" xfId="301"/>
    <cellStyle name="_封閉型商圈建議台整品項_97年營業競賽提案報告書_97年營業競賽提案報告書_97年營業競賽提案報告書_Book1_1-晉欣鮮食廠-2012年春節作業體制" xfId="302"/>
    <cellStyle name="_封閉型商圈建議台整品項_97年營業競賽提案報告書_97年營業競賽提案報告書_97年營業競賽提案報告書_春節作業手冊-981217" xfId="303"/>
    <cellStyle name="_封閉型商圈建議台整品項_97年營業競賽提案報告書_97年營業競賽提案報告書_97年營業競賽提案報告書_春節作業手冊-981217_1-晉欣鮮食廠-2012年春節作業體制" xfId="304"/>
    <cellStyle name="_封閉型商圈建議台整品項_97年營業競賽提案報告書_97年營業競賽提案報告書_Book1" xfId="305"/>
    <cellStyle name="_封閉型商圈建議台整品項_97年營業競賽提案報告書_97年營業競賽提案報告書_Book1_1-晉欣鮮食廠-2012年春節作業體制" xfId="306"/>
    <cellStyle name="_封閉型商圈建議台整品項_97年營業競賽提案報告書_97年營業競賽提案報告書_春節作業手冊-981217" xfId="307"/>
    <cellStyle name="_封閉型商圈建議台整品項_97年營業競賽提案報告書_97年營業競賽提案報告書_春節作業手冊-981217_1-晉欣鮮食廠-2012年春節作業體制" xfId="308"/>
    <cellStyle name="_封閉型商圈建議台整品項_97年營業競賽提案報告書_Book1" xfId="309"/>
    <cellStyle name="_封閉型商圈建議台整品項_97年營業競賽提案報告書_Book1_1-晉欣鮮食廠-2012年春節作業體制" xfId="310"/>
    <cellStyle name="_封閉型商圈建議台整品項_97年營業競賽提案報告書_春節作業手冊-981217" xfId="311"/>
    <cellStyle name="_封閉型商圈建議台整品項_97年營業競賽提案報告書_春節作業手冊-981217_1-晉欣鮮食廠-2012年春節作業體制" xfId="312"/>
    <cellStyle name="_封閉型商圈建議台整品項_Book1" xfId="313"/>
    <cellStyle name="_封閉型商圈建議台整品項_Book1_1-晉欣鮮食廠-2012年春節作業體制" xfId="314"/>
    <cellStyle name="_封閉型商圈建議台整品項_春節作業手冊-981217" xfId="315"/>
    <cellStyle name="_封閉型商圈建議台整品項_春節作業手冊-981217_1-晉欣鮮食廠-2012年春節作業體制" xfId="316"/>
    <cellStyle name="_樂清9507租賃用品申請" xfId="317"/>
    <cellStyle name="_樂清9507租賃用品申請_1-晉欣鮮食廠-2012年春節作業體制" xfId="318"/>
    <cellStyle name="_樂清9507租賃用品申請_96年月餅預購競賽獎勵案" xfId="319"/>
    <cellStyle name="_樂清9507租賃用品申請_96年月餅預購競賽獎勵案_1-晉欣鮮食廠-2012年春節作業體制" xfId="320"/>
    <cellStyle name="_樂清9507租賃用品申請_96年月餅預購競賽獎勵案_96年月餅預購競賽獎勵案" xfId="321"/>
    <cellStyle name="_樂清9507租賃用品申請_96年月餅預購競賽獎勵案_96年月餅預購競賽獎勵案_1-晉欣鮮食廠-2012年春節作業體制" xfId="322"/>
    <cellStyle name="_樂清9507租賃用品申請_96年月餅預購競賽獎勵案_96年月餅預購競賽獎勵案_97年春節保全回收報告書" xfId="323"/>
    <cellStyle name="_樂清9507租賃用品申請_96年月餅預購競賽獎勵案_96年月餅預購競賽獎勵案_97年春節保全回收報告書_1-晉欣鮮食廠-2012年春節作業體制" xfId="324"/>
    <cellStyle name="_樂清9507租賃用品申請_96年月餅預購競賽獎勵案_96年月餅預購競賽獎勵案_97年春節保全回收報告書_Book1" xfId="325"/>
    <cellStyle name="_樂清9507租賃用品申請_96年月餅預購競賽獎勵案_96年月餅預購競賽獎勵案_97年春節保全回收報告書_Book1_1-晉欣鮮食廠-2012年春節作業體制" xfId="326"/>
    <cellStyle name="_樂清9507租賃用品申請_96年月餅預購競賽獎勵案_96年月餅預購競賽獎勵案_97年春節保全回收報告書_春節作業手冊-981217" xfId="327"/>
    <cellStyle name="_樂清9507租賃用品申請_96年月餅預購競賽獎勵案_96年月餅預購競賽獎勵案_97年春節保全回收報告書_春節作業手冊-981217_1-晉欣鮮食廠-2012年春節作業體制" xfId="328"/>
    <cellStyle name="_樂清9507租賃用品申請_96年月餅預購競賽獎勵案_96年月餅預購競賽獎勵案_97年營業競賽提案報告書" xfId="329"/>
    <cellStyle name="_樂清9507租賃用品申請_96年月餅預購競賽獎勵案_96年月餅預購競賽獎勵案_97年營業競賽提案報告書_1-晉欣鮮食廠-2012年春節作業體制" xfId="330"/>
    <cellStyle name="_樂清9507租賃用品申請_96年月餅預購競賽獎勵案_96年月餅預購競賽獎勵案_97年營業競賽提案報告書_97年春節保全回收報告書" xfId="331"/>
    <cellStyle name="_樂清9507租賃用品申請_96年月餅預購競賽獎勵案_96年月餅預購競賽獎勵案_97年營業競賽提案報告書_97年春節保全回收報告書_1-晉欣鮮食廠-2012年春節作業體制" xfId="332"/>
    <cellStyle name="_樂清9507租賃用品申請_96年月餅預購競賽獎勵案_96年月餅預購競賽獎勵案_97年營業競賽提案報告書_97年春節保全回收報告書_Book1" xfId="333"/>
    <cellStyle name="_樂清9507租賃用品申請_96年月餅預購競賽獎勵案_96年月餅預購競賽獎勵案_97年營業競賽提案報告書_97年春節保全回收報告書_Book1_1-晉欣鮮食廠-2012年春節作業體制" xfId="334"/>
    <cellStyle name="_樂清9507租賃用品申請_96年月餅預購競賽獎勵案_96年月餅預購競賽獎勵案_97年營業競賽提案報告書_97年春節保全回收報告書_春節作業手冊-981217" xfId="335"/>
    <cellStyle name="_樂清9507租賃用品申請_96年月餅預購競賽獎勵案_96年月餅預購競賽獎勵案_97年營業競賽提案報告書_97年春節保全回收報告書_春節作業手冊-981217_1-晉欣鮮食廠-2012年春節作業體制" xfId="336"/>
    <cellStyle name="_樂清9507租賃用品申請_96年月餅預購競賽獎勵案_96年月餅預購競賽獎勵案_97年營業競賽提案報告書_97年營業競賽提案報告書" xfId="337"/>
    <cellStyle name="_樂清9507租賃用品申請_96年月餅預購競賽獎勵案_96年月餅預購競賽獎勵案_97年營業競賽提案報告書_97年營業競賽提案報告書_1-晉欣鮮食廠-2012年春節作業體制" xfId="338"/>
    <cellStyle name="_樂清9507租賃用品申請_96年月餅預購競賽獎勵案_96年月餅預購競賽獎勵案_97年營業競賽提案報告書_97年營業競賽提案報告書_97年春節保全回收報告書" xfId="339"/>
    <cellStyle name="_樂清9507租賃用品申請_96年月餅預購競賽獎勵案_96年月餅預購競賽獎勵案_97年營業競賽提案報告書_97年營業競賽提案報告書_97年春節保全回收報告書_1-晉欣鮮食廠-2012年春節作業體制" xfId="340"/>
    <cellStyle name="_樂清9507租賃用品申請_96年月餅預購競賽獎勵案_96年月餅預購競賽獎勵案_97年營業競賽提案報告書_97年營業競賽提案報告書_97年春節保全回收報告書_Book1" xfId="341"/>
    <cellStyle name="_樂清9507租賃用品申請_96年月餅預購競賽獎勵案_96年月餅預購競賽獎勵案_97年營業競賽提案報告書_97年營業競賽提案報告書_97年春節保全回收報告書_Book1_1-晉欣鮮食廠-2012年春節作業體制" xfId="342"/>
    <cellStyle name="_樂清9507租賃用品申請_96年月餅預購競賽獎勵案_96年月餅預購競賽獎勵案_97年營業競賽提案報告書_97年營業競賽提案報告書_97年春節保全回收報告書_春節作業手冊-981217" xfId="343"/>
    <cellStyle name="_樂清9507租賃用品申請_96年月餅預購競賽獎勵案_96年月餅預購競賽獎勵案_97年營業競賽提案報告書_97年營業競賽提案報告書_97年春節保全回收報告書_春節作業手冊-981217_1-晉欣鮮食廠-2012年春節作業體制" xfId="344"/>
    <cellStyle name="_樂清9507租賃用品申請_96年月餅預購競賽獎勵案_96年月餅預購競賽獎勵案_97年營業競賽提案報告書_97年營業競賽提案報告書_97年營業競賽提案報告書" xfId="345"/>
    <cellStyle name="_樂清9507租賃用品申請_96年月餅預購競賽獎勵案_96年月餅預購競賽獎勵案_97年營業競賽提案報告書_97年營業競賽提案報告書_97年營業競賽提案報告書_1-晉欣鮮食廠-2012年春節作業體制" xfId="346"/>
    <cellStyle name="_樂清9507租賃用品申請_96年月餅預購競賽獎勵案_96年月餅預購競賽獎勵案_97年營業競賽提案報告書_97年營業競賽提案報告書_97年營業競賽提案報告書_97年春節保全回收報告書" xfId="347"/>
    <cellStyle name="_樂清9507租賃用品申請_96年月餅預購競賽獎勵案_96年月餅預購競賽獎勵案_97年營業競賽提案報告書_97年營業競賽提案報告書_97年營業競賽提案報告書_97年春節保全回收報告書_1-晉欣鮮食廠-2012年春節作業體制" xfId="348"/>
    <cellStyle name="_樂清9507租賃用品申請_96年月餅預購競賽獎勵案_96年月餅預購競賽獎勵案_97年營業競賽提案報告書_97年營業競賽提案報告書_97年營業競賽提案報告書_97年春節保全回收報告書_Book1" xfId="349"/>
    <cellStyle name="_樂清9507租賃用品申請_96年月餅預購競賽獎勵案_96年月餅預購競賽獎勵案_97年營業競賽提案報告書_97年營業競賽提案報告書_97年營業競賽提案報告書_97年春節保全回收報告書_Book1_1-晉欣鮮食廠-2012年春節作業體制" xfId="350"/>
    <cellStyle name="_樂清9507租賃用品申請_96年月餅預購競賽獎勵案_96年月餅預購競賽獎勵案_97年營業競賽提案報告書_97年營業競賽提案報告書_97年營業競賽提案報告書_97年春節保全回收報告書_春節作業手冊-981217" xfId="351"/>
    <cellStyle name="_樂清9507租賃用品申請_96年月餅預購競賽獎勵案_96年月餅預購競賽獎勵案_97年營業競賽提案報告書_97年營業競賽提案報告書_97年營業競賽提案報告書_97年春節保全回收報告書_春節作業手冊-981217_1-晉欣鮮食廠-2012年春節作業體制" xfId="352"/>
    <cellStyle name="_樂清9507租賃用品申請_96年月餅預購競賽獎勵案_96年月餅預購競賽獎勵案_97年營業競賽提案報告書_97年營業競賽提案報告書_97年營業競賽提案報告書_Book1" xfId="353"/>
    <cellStyle name="_樂清9507租賃用品申請_96年月餅預購競賽獎勵案_96年月餅預購競賽獎勵案_97年營業競賽提案報告書_97年營業競賽提案報告書_97年營業競賽提案報告書_Book1_1-晉欣鮮食廠-2012年春節作業體制" xfId="354"/>
    <cellStyle name="_樂清9507租賃用品申請_96年月餅預購競賽獎勵案_96年月餅預購競賽獎勵案_97年營業競賽提案報告書_97年營業競賽提案報告書_97年營業競賽提案報告書_春節作業手冊-981217" xfId="355"/>
    <cellStyle name="_樂清9507租賃用品申請_96年月餅預購競賽獎勵案_96年月餅預購競賽獎勵案_97年營業競賽提案報告書_97年營業競賽提案報告書_97年營業競賽提案報告書_春節作業手冊-981217_1-晉欣鮮食廠-2012年春節作業體制" xfId="356"/>
    <cellStyle name="_樂清9507租賃用品申請_96年月餅預購競賽獎勵案_96年月餅預購競賽獎勵案_97年營業競賽提案報告書_97年營業競賽提案報告書_Book1" xfId="357"/>
    <cellStyle name="_樂清9507租賃用品申請_96年月餅預購競賽獎勵案_96年月餅預購競賽獎勵案_97年營業競賽提案報告書_97年營業競賽提案報告書_Book1_1-晉欣鮮食廠-2012年春節作業體制" xfId="358"/>
    <cellStyle name="_樂清9507租賃用品申請_96年月餅預購競賽獎勵案_96年月餅預購競賽獎勵案_97年營業競賽提案報告書_97年營業競賽提案報告書_春節作業手冊-981217" xfId="359"/>
    <cellStyle name="_樂清9507租賃用品申請_96年月餅預購競賽獎勵案_96年月餅預購競賽獎勵案_97年營業競賽提案報告書_97年營業競賽提案報告書_春節作業手冊-981217_1-晉欣鮮食廠-2012年春節作業體制" xfId="360"/>
    <cellStyle name="_樂清9507租賃用品申請_96年月餅預購競賽獎勵案_96年月餅預購競賽獎勵案_97年營業競賽提案報告書_Book1" xfId="361"/>
    <cellStyle name="_樂清9507租賃用品申請_96年月餅預購競賽獎勵案_96年月餅預購競賽獎勵案_97年營業競賽提案報告書_Book1_1-晉欣鮮食廠-2012年春節作業體制" xfId="362"/>
    <cellStyle name="_樂清9507租賃用品申請_96年月餅預購競賽獎勵案_96年月餅預購競賽獎勵案_97年營業競賽提案報告書_春節作業手冊-981217" xfId="363"/>
    <cellStyle name="_樂清9507租賃用品申請_96年月餅預購競賽獎勵案_96年月餅預購競賽獎勵案_97年營業競賽提案報告書_春節作業手冊-981217_1-晉欣鮮食廠-2012年春節作業體制" xfId="364"/>
    <cellStyle name="_樂清9507租賃用品申請_96年月餅預購競賽獎勵案_96年月餅預購競賽獎勵案_Book1" xfId="365"/>
    <cellStyle name="_樂清9507租賃用品申請_96年月餅預購競賽獎勵案_96年月餅預購競賽獎勵案_Book1_1-晉欣鮮食廠-2012年春節作業體制" xfId="366"/>
    <cellStyle name="_樂清9507租賃用品申請_96年月餅預購競賽獎勵案_96年月餅預購競賽獎勵案_春節作業手冊-981217" xfId="367"/>
    <cellStyle name="_樂清9507租賃用品申請_96年月餅預購競賽獎勵案_96年月餅預購競賽獎勵案_春節作業手冊-981217_1-晉欣鮮食廠-2012年春節作業體制" xfId="368"/>
    <cellStyle name="_樂清9507租賃用品申請_96年月餅預購競賽獎勵案_97年春節保全回收報告書" xfId="369"/>
    <cellStyle name="_樂清9507租賃用品申請_96年月餅預購競賽獎勵案_97年春節保全回收報告書_1-晉欣鮮食廠-2012年春節作業體制" xfId="370"/>
    <cellStyle name="_樂清9507租賃用品申請_96年月餅預購競賽獎勵案_97年春節保全回收報告書_Book1" xfId="371"/>
    <cellStyle name="_樂清9507租賃用品申請_96年月餅預購競賽獎勵案_97年春節保全回收報告書_Book1_1-晉欣鮮食廠-2012年春節作業體制" xfId="372"/>
    <cellStyle name="_樂清9507租賃用品申請_96年月餅預購競賽獎勵案_97年春節保全回收報告書_春節作業手冊-981217" xfId="373"/>
    <cellStyle name="_樂清9507租賃用品申請_96年月餅預購競賽獎勵案_97年春節保全回收報告書_春節作業手冊-981217_1-晉欣鮮食廠-2012年春節作業體制" xfId="374"/>
    <cellStyle name="_樂清9507租賃用品申請_96年月餅預購競賽獎勵案_97年營業競賽提案報告書" xfId="375"/>
    <cellStyle name="_樂清9507租賃用品申請_96年月餅預購競賽獎勵案_97年營業競賽提案報告書_1-晉欣鮮食廠-2012年春節作業體制" xfId="376"/>
    <cellStyle name="_樂清9507租賃用品申請_96年月餅預購競賽獎勵案_97年營業競賽提案報告書_97年春節保全回收報告書" xfId="377"/>
    <cellStyle name="_樂清9507租賃用品申請_96年月餅預購競賽獎勵案_97年營業競賽提案報告書_97年春節保全回收報告書_1-晉欣鮮食廠-2012年春節作業體制" xfId="378"/>
    <cellStyle name="_樂清9507租賃用品申請_96年月餅預購競賽獎勵案_97年營業競賽提案報告書_97年春節保全回收報告書_Book1" xfId="379"/>
    <cellStyle name="_樂清9507租賃用品申請_96年月餅預購競賽獎勵案_97年營業競賽提案報告書_97年春節保全回收報告書_Book1_1-晉欣鮮食廠-2012年春節作業體制" xfId="380"/>
    <cellStyle name="_樂清9507租賃用品申請_96年月餅預購競賽獎勵案_97年營業競賽提案報告書_97年春節保全回收報告書_春節作業手冊-981217" xfId="381"/>
    <cellStyle name="_樂清9507租賃用品申請_96年月餅預購競賽獎勵案_97年營業競賽提案報告書_97年春節保全回收報告書_春節作業手冊-981217_1-晉欣鮮食廠-2012年春節作業體制" xfId="382"/>
    <cellStyle name="_樂清9507租賃用品申請_96年月餅預購競賽獎勵案_97年營業競賽提案報告書_97年營業競賽提案報告書" xfId="383"/>
    <cellStyle name="_樂清9507租賃用品申請_96年月餅預購競賽獎勵案_97年營業競賽提案報告書_97年營業競賽提案報告書_1-晉欣鮮食廠-2012年春節作業體制" xfId="384"/>
    <cellStyle name="_樂清9507租賃用品申請_96年月餅預購競賽獎勵案_97年營業競賽提案報告書_97年營業競賽提案報告書_97年春節保全回收報告書" xfId="385"/>
    <cellStyle name="_樂清9507租賃用品申請_96年月餅預購競賽獎勵案_97年營業競賽提案報告書_97年營業競賽提案報告書_97年春節保全回收報告書_1-晉欣鮮食廠-2012年春節作業體制" xfId="386"/>
    <cellStyle name="_樂清9507租賃用品申請_96年月餅預購競賽獎勵案_97年營業競賽提案報告書_97年營業競賽提案報告書_97年春節保全回收報告書_Book1" xfId="387"/>
    <cellStyle name="_樂清9507租賃用品申請_96年月餅預購競賽獎勵案_97年營業競賽提案報告書_97年營業競賽提案報告書_97年春節保全回收報告書_Book1_1-晉欣鮮食廠-2012年春節作業體制" xfId="388"/>
    <cellStyle name="_樂清9507租賃用品申請_96年月餅預購競賽獎勵案_97年營業競賽提案報告書_97年營業競賽提案報告書_97年春節保全回收報告書_春節作業手冊-981217" xfId="389"/>
    <cellStyle name="_樂清9507租賃用品申請_96年月餅預購競賽獎勵案_97年營業競賽提案報告書_97年營業競賽提案報告書_97年春節保全回收報告書_春節作業手冊-981217_1-晉欣鮮食廠-2012年春節作業體制" xfId="390"/>
    <cellStyle name="_樂清9507租賃用品申請_96年月餅預購競賽獎勵案_97年營業競賽提案報告書_97年營業競賽提案報告書_97年營業競賽提案報告書" xfId="391"/>
    <cellStyle name="_樂清9507租賃用品申請_96年月餅預購競賽獎勵案_97年營業競賽提案報告書_97年營業競賽提案報告書_97年營業競賽提案報告書_1-晉欣鮮食廠-2012年春節作業體制" xfId="392"/>
    <cellStyle name="_樂清9507租賃用品申請_96年月餅預購競賽獎勵案_97年營業競賽提案報告書_97年營業競賽提案報告書_97年營業競賽提案報告書_97年春節保全回收報告書" xfId="393"/>
    <cellStyle name="_樂清9507租賃用品申請_96年月餅預購競賽獎勵案_97年營業競賽提案報告書_97年營業競賽提案報告書_97年營業競賽提案報告書_97年春節保全回收報告書_1-晉欣鮮食廠-2012年春節作業體制" xfId="394"/>
    <cellStyle name="_樂清9507租賃用品申請_96年月餅預購競賽獎勵案_97年營業競賽提案報告書_97年營業競賽提案報告書_97年營業競賽提案報告書_97年春節保全回收報告書_Book1" xfId="395"/>
    <cellStyle name="_樂清9507租賃用品申請_96年月餅預購競賽獎勵案_97年營業競賽提案報告書_97年營業競賽提案報告書_97年營業競賽提案報告書_97年春節保全回收報告書_Book1_1-晉欣鮮食廠-2012年春節作業體制" xfId="396"/>
    <cellStyle name="_樂清9507租賃用品申請_96年月餅預購競賽獎勵案_97年營業競賽提案報告書_97年營業競賽提案報告書_97年營業競賽提案報告書_97年春節保全回收報告書_春節作業手冊-981217" xfId="397"/>
    <cellStyle name="_樂清9507租賃用品申請_96年月餅預購競賽獎勵案_97年營業競賽提案報告書_97年營業競賽提案報告書_97年營業競賽提案報告書_97年春節保全回收報告書_春節作業手冊-981217_1-晉欣鮮食廠-2012年春節作業體制" xfId="398"/>
    <cellStyle name="_樂清9507租賃用品申請_96年月餅預購競賽獎勵案_97年營業競賽提案報告書_97年營業競賽提案報告書_97年營業競賽提案報告書_Book1" xfId="399"/>
    <cellStyle name="_樂清9507租賃用品申請_96年月餅預購競賽獎勵案_97年營業競賽提案報告書_97年營業競賽提案報告書_97年營業競賽提案報告書_Book1_1-晉欣鮮食廠-2012年春節作業體制" xfId="400"/>
    <cellStyle name="_樂清9507租賃用品申請_96年月餅預購競賽獎勵案_97年營業競賽提案報告書_97年營業競賽提案報告書_97年營業競賽提案報告書_春節作業手冊-981217" xfId="401"/>
    <cellStyle name="_樂清9507租賃用品申請_96年月餅預購競賽獎勵案_97年營業競賽提案報告書_97年營業競賽提案報告書_97年營業競賽提案報告書_春節作業手冊-981217_1-晉欣鮮食廠-2012年春節作業體制" xfId="402"/>
    <cellStyle name="_樂清9507租賃用品申請_96年月餅預購競賽獎勵案_97年營業競賽提案報告書_97年營業競賽提案報告書_Book1" xfId="403"/>
    <cellStyle name="_樂清9507租賃用品申請_96年月餅預購競賽獎勵案_97年營業競賽提案報告書_97年營業競賽提案報告書_Book1_1-晉欣鮮食廠-2012年春節作業體制" xfId="404"/>
    <cellStyle name="_樂清9507租賃用品申請_96年月餅預購競賽獎勵案_97年營業競賽提案報告書_97年營業競賽提案報告書_春節作業手冊-981217" xfId="405"/>
    <cellStyle name="_樂清9507租賃用品申請_96年月餅預購競賽獎勵案_97年營業競賽提案報告書_97年營業競賽提案報告書_春節作業手冊-981217_1-晉欣鮮食廠-2012年春節作業體制" xfId="406"/>
    <cellStyle name="_樂清9507租賃用品申請_96年月餅預購競賽獎勵案_97年營業競賽提案報告書_Book1" xfId="407"/>
    <cellStyle name="_樂清9507租賃用品申請_96年月餅預購競賽獎勵案_97年營業競賽提案報告書_Book1_1-晉欣鮮食廠-2012年春節作業體制" xfId="408"/>
    <cellStyle name="_樂清9507租賃用品申請_96年月餅預購競賽獎勵案_97年營業競賽提案報告書_春節作業手冊-981217" xfId="409"/>
    <cellStyle name="_樂清9507租賃用品申請_96年月餅預購競賽獎勵案_97年營業競賽提案報告書_春節作業手冊-981217_1-晉欣鮮食廠-2012年春節作業體制" xfId="410"/>
    <cellStyle name="_樂清9507租賃用品申請_96年月餅預購競賽獎勵案_Book1" xfId="411"/>
    <cellStyle name="_樂清9507租賃用品申請_96年月餅預購競賽獎勵案_Book1_1-晉欣鮮食廠-2012年春節作業體制" xfId="412"/>
    <cellStyle name="_樂清9507租賃用品申請_96年月餅預購競賽獎勵案_春節作業手冊-981217" xfId="413"/>
    <cellStyle name="_樂清9507租賃用品申請_96年月餅預購競賽獎勵案_春節作業手冊-981217_1-晉欣鮮食廠-2012年春節作業體制" xfId="414"/>
    <cellStyle name="_樂清9507租賃用品申請_97年春節保全回收報告書" xfId="415"/>
    <cellStyle name="_樂清9507租賃用品申請_97年春節保全回收報告書_1-晉欣鮮食廠-2012年春節作業體制" xfId="416"/>
    <cellStyle name="_樂清9507租賃用品申請_97年春節保全回收報告書_Book1" xfId="417"/>
    <cellStyle name="_樂清9507租賃用品申請_97年春節保全回收報告書_Book1_1-晉欣鮮食廠-2012年春節作業體制" xfId="418"/>
    <cellStyle name="_樂清9507租賃用品申請_97年春節保全回收報告書_春節作業手冊-981217" xfId="419"/>
    <cellStyle name="_樂清9507租賃用品申請_97年春節保全回收報告書_春節作業手冊-981217_1-晉欣鮮食廠-2012年春節作業體制" xfId="420"/>
    <cellStyle name="_樂清9507租賃用品申請_97年營業競賽提案報告書" xfId="421"/>
    <cellStyle name="_樂清9507租賃用品申請_97年營業競賽提案報告書_1-晉欣鮮食廠-2012年春節作業體制" xfId="422"/>
    <cellStyle name="_樂清9507租賃用品申請_97年營業競賽提案報告書_97年春節保全回收報告書" xfId="423"/>
    <cellStyle name="_樂清9507租賃用品申請_97年營業競賽提案報告書_97年春節保全回收報告書_1-晉欣鮮食廠-2012年春節作業體制" xfId="424"/>
    <cellStyle name="_樂清9507租賃用品申請_97年營業競賽提案報告書_97年春節保全回收報告書_Book1" xfId="425"/>
    <cellStyle name="_樂清9507租賃用品申請_97年營業競賽提案報告書_97年春節保全回收報告書_Book1_1-晉欣鮮食廠-2012年春節作業體制" xfId="426"/>
    <cellStyle name="_樂清9507租賃用品申請_97年營業競賽提案報告書_97年春節保全回收報告書_春節作業手冊-981217" xfId="427"/>
    <cellStyle name="_樂清9507租賃用品申請_97年營業競賽提案報告書_97年春節保全回收報告書_春節作業手冊-981217_1-晉欣鮮食廠-2012年春節作業體制" xfId="428"/>
    <cellStyle name="_樂清9507租賃用品申請_97年營業競賽提案報告書_97年營業競賽提案報告書" xfId="429"/>
    <cellStyle name="_樂清9507租賃用品申請_97年營業競賽提案報告書_97年營業競賽提案報告書_1-晉欣鮮食廠-2012年春節作業體制" xfId="430"/>
    <cellStyle name="_樂清9507租賃用品申請_97年營業競賽提案報告書_97年營業競賽提案報告書_97年春節保全回收報告書" xfId="431"/>
    <cellStyle name="_樂清9507租賃用品申請_97年營業競賽提案報告書_97年營業競賽提案報告書_97年春節保全回收報告書_1-晉欣鮮食廠-2012年春節作業體制" xfId="432"/>
    <cellStyle name="_樂清9507租賃用品申請_97年營業競賽提案報告書_97年營業競賽提案報告書_97年春節保全回收報告書_Book1" xfId="433"/>
    <cellStyle name="_樂清9507租賃用品申請_97年營業競賽提案報告書_97年營業競賽提案報告書_97年春節保全回收報告書_Book1_1-晉欣鮮食廠-2012年春節作業體制" xfId="434"/>
    <cellStyle name="_樂清9507租賃用品申請_97年營業競賽提案報告書_97年營業競賽提案報告書_97年春節保全回收報告書_春節作業手冊-981217" xfId="435"/>
    <cellStyle name="_樂清9507租賃用品申請_97年營業競賽提案報告書_97年營業競賽提案報告書_97年春節保全回收報告書_春節作業手冊-981217_1-晉欣鮮食廠-2012年春節作業體制" xfId="436"/>
    <cellStyle name="_樂清9507租賃用品申請_97年營業競賽提案報告書_97年營業競賽提案報告書_97年營業競賽提案報告書" xfId="437"/>
    <cellStyle name="_樂清9507租賃用品申請_97年營業競賽提案報告書_97年營業競賽提案報告書_97年營業競賽提案報告書_1-晉欣鮮食廠-2012年春節作業體制" xfId="438"/>
    <cellStyle name="_樂清9507租賃用品申請_97年營業競賽提案報告書_97年營業競賽提案報告書_97年營業競賽提案報告書_97年春節保全回收報告書" xfId="439"/>
    <cellStyle name="_樂清9507租賃用品申請_97年營業競賽提案報告書_97年營業競賽提案報告書_97年營業競賽提案報告書_97年春節保全回收報告書_1-晉欣鮮食廠-2012年春節作業體制" xfId="440"/>
    <cellStyle name="_樂清9507租賃用品申請_97年營業競賽提案報告書_97年營業競賽提案報告書_97年營業競賽提案報告書_97年春節保全回收報告書_Book1" xfId="441"/>
    <cellStyle name="_樂清9507租賃用品申請_97年營業競賽提案報告書_97年營業競賽提案報告書_97年營業競賽提案報告書_97年春節保全回收報告書_Book1_1-晉欣鮮食廠-2012年春節作業體制" xfId="442"/>
    <cellStyle name="_樂清9507租賃用品申請_97年營業競賽提案報告書_97年營業競賽提案報告書_97年營業競賽提案報告書_97年春節保全回收報告書_春節作業手冊-981217" xfId="443"/>
    <cellStyle name="_樂清9507租賃用品申請_97年營業競賽提案報告書_97年營業競賽提案報告書_97年營業競賽提案報告書_97年春節保全回收報告書_春節作業手冊-981217_1-晉欣鮮食廠-2012年春節作業體制" xfId="444"/>
    <cellStyle name="_樂清9507租賃用品申請_97年營業競賽提案報告書_97年營業競賽提案報告書_97年營業競賽提案報告書_Book1" xfId="445"/>
    <cellStyle name="_樂清9507租賃用品申請_97年營業競賽提案報告書_97年營業競賽提案報告書_97年營業競賽提案報告書_Book1_1-晉欣鮮食廠-2012年春節作業體制" xfId="446"/>
    <cellStyle name="_樂清9507租賃用品申請_97年營業競賽提案報告書_97年營業競賽提案報告書_97年營業競賽提案報告書_春節作業手冊-981217" xfId="447"/>
    <cellStyle name="_樂清9507租賃用品申請_97年營業競賽提案報告書_97年營業競賽提案報告書_97年營業競賽提案報告書_春節作業手冊-981217_1-晉欣鮮食廠-2012年春節作業體制" xfId="448"/>
    <cellStyle name="_樂清9507租賃用品申請_97年營業競賽提案報告書_97年營業競賽提案報告書_Book1" xfId="449"/>
    <cellStyle name="_樂清9507租賃用品申請_97年營業競賽提案報告書_97年營業競賽提案報告書_Book1_1-晉欣鮮食廠-2012年春節作業體制" xfId="450"/>
    <cellStyle name="_樂清9507租賃用品申請_97年營業競賽提案報告書_97年營業競賽提案報告書_春節作業手冊-981217" xfId="451"/>
    <cellStyle name="_樂清9507租賃用品申請_97年營業競賽提案報告書_97年營業競賽提案報告書_春節作業手冊-981217_1-晉欣鮮食廠-2012年春節作業體制" xfId="452"/>
    <cellStyle name="_樂清9507租賃用品申請_97年營業競賽提案報告書_Book1" xfId="453"/>
    <cellStyle name="_樂清9507租賃用品申請_97年營業競賽提案報告書_Book1_1-晉欣鮮食廠-2012年春節作業體制" xfId="454"/>
    <cellStyle name="_樂清9507租賃用品申請_97年營業競賽提案報告書_春節作業手冊-981217" xfId="455"/>
    <cellStyle name="_樂清9507租賃用品申請_97年營業競賽提案報告書_春節作業手冊-981217_1-晉欣鮮食廠-2012年春節作業體制" xfId="456"/>
    <cellStyle name="_樂清9507租賃用品申請_Book1" xfId="457"/>
    <cellStyle name="_樂清9507租賃用品申請_Book1_1-晉欣鮮食廠-2012年春節作業體制" xfId="458"/>
    <cellStyle name="_樂清9507租賃用品申請_春節作業手冊-981217" xfId="459"/>
    <cellStyle name="_樂清9507租賃用品申請_春節作業手冊-981217_1-晉欣鮮食廠-2012年春節作業體制" xfId="460"/>
    <cellStyle name="Normal - Style1" xfId="461"/>
    <cellStyle name="Normal_Co-wide Monthly" xfId="462"/>
    <cellStyle name="一般" xfId="0" builtinId="0"/>
    <cellStyle name="一般 10" xfId="469"/>
    <cellStyle name="一般 10 2" xfId="470"/>
    <cellStyle name="一般 11" xfId="471"/>
    <cellStyle name="一般 12" xfId="472"/>
    <cellStyle name="一般 13" xfId="473"/>
    <cellStyle name="一般 14" xfId="474"/>
    <cellStyle name="一般 15" xfId="475"/>
    <cellStyle name="一般 15 2" xfId="476"/>
    <cellStyle name="一般 16" xfId="477"/>
    <cellStyle name="一般 17" xfId="478"/>
    <cellStyle name="一般 18" xfId="479"/>
    <cellStyle name="一般 19" xfId="480"/>
    <cellStyle name="一般 2" xfId="1"/>
    <cellStyle name="一般 2 2" xfId="481"/>
    <cellStyle name="一般 2 2 2" xfId="9"/>
    <cellStyle name="一般 2 2 2 2" xfId="482"/>
    <cellStyle name="一般 2 2 3" xfId="483"/>
    <cellStyle name="一般 2 2 30 2 2 30 2" xfId="4"/>
    <cellStyle name="一般 2 2 30 2 2 30 2 2" xfId="12"/>
    <cellStyle name="一般 2 2 30 2 2 30 2 2 2" xfId="15"/>
    <cellStyle name="一般 2 2 30 2 2 30 2 2 2 2 2" xfId="577"/>
    <cellStyle name="一般 2 2 30 2 2 30 2 2 2 2 2 2" xfId="580"/>
    <cellStyle name="一般 2 2 30 2 2 30 2 2 2 4" xfId="583"/>
    <cellStyle name="一般 2 2 30 2 2 30 2 2 3" xfId="16"/>
    <cellStyle name="一般 2 2 30 2 2 30 2 2 4" xfId="17"/>
    <cellStyle name="一般 2 2 30 2 2 30 2 3 2" xfId="578"/>
    <cellStyle name="一般 2 2 30 2 2 30 2 3 3" xfId="581"/>
    <cellStyle name="一般 2 2 30 2 3 2" xfId="6"/>
    <cellStyle name="一般 2 2 30 2 3 2 2 2" xfId="18"/>
    <cellStyle name="一般 2 2 30 2 3 2 3" xfId="579"/>
    <cellStyle name="一般 2 2 30 2 3 2 4" xfId="582"/>
    <cellStyle name="一般 2 2 30 3 30" xfId="7"/>
    <cellStyle name="一般 2 3" xfId="484"/>
    <cellStyle name="一般 2 4" xfId="485"/>
    <cellStyle name="一般 2 5" xfId="486"/>
    <cellStyle name="一般 2 6" xfId="487"/>
    <cellStyle name="一般 2 7" xfId="488"/>
    <cellStyle name="一般 2 8" xfId="489"/>
    <cellStyle name="一般 2 9" xfId="23"/>
    <cellStyle name="一般 20" xfId="490"/>
    <cellStyle name="一般 21" xfId="491"/>
    <cellStyle name="一般 22" xfId="492"/>
    <cellStyle name="一般 23" xfId="493"/>
    <cellStyle name="一般 24" xfId="21"/>
    <cellStyle name="一般 3" xfId="11"/>
    <cellStyle name="一般 3 2" xfId="494"/>
    <cellStyle name="一般 3 2 2" xfId="495"/>
    <cellStyle name="一般 3 3" xfId="496"/>
    <cellStyle name="一般 3 4" xfId="497"/>
    <cellStyle name="一般 3 5" xfId="498"/>
    <cellStyle name="一般 3 5 2" xfId="499"/>
    <cellStyle name="一般 3 6" xfId="500"/>
    <cellStyle name="一般 3 7" xfId="501"/>
    <cellStyle name="一般 3 8" xfId="463"/>
    <cellStyle name="一般 4" xfId="5"/>
    <cellStyle name="一般 4 2" xfId="502"/>
    <cellStyle name="一般 4 3" xfId="503"/>
    <cellStyle name="一般 4 4" xfId="464"/>
    <cellStyle name="一般 5" xfId="504"/>
    <cellStyle name="一般 5 2" xfId="505"/>
    <cellStyle name="一般 6" xfId="506"/>
    <cellStyle name="一般 6 2" xfId="507"/>
    <cellStyle name="一般 7" xfId="508"/>
    <cellStyle name="一般 8" xfId="509"/>
    <cellStyle name="一般 8 2" xfId="510"/>
    <cellStyle name="一般 9" xfId="511"/>
    <cellStyle name="一般 9 2" xfId="512"/>
    <cellStyle name="千分位" xfId="14" builtinId="3"/>
    <cellStyle name="千分位 2" xfId="2"/>
    <cellStyle name="千分位 2 2" xfId="514"/>
    <cellStyle name="千分位 2 3" xfId="515"/>
    <cellStyle name="千分位 2 4" xfId="516"/>
    <cellStyle name="千分位 2 5" xfId="517"/>
    <cellStyle name="千分位 2 6" xfId="518"/>
    <cellStyle name="千分位 2 7" xfId="519"/>
    <cellStyle name="千分位 2 8" xfId="513"/>
    <cellStyle name="千分位 3" xfId="19"/>
    <cellStyle name="千分位 3 2" xfId="520"/>
    <cellStyle name="千分位 4" xfId="521"/>
    <cellStyle name="千分位 5" xfId="522"/>
    <cellStyle name="千分位 5 2" xfId="523"/>
    <cellStyle name="千分位 6" xfId="524"/>
    <cellStyle name="千分位 7" xfId="525"/>
    <cellStyle name="千分位 8" xfId="526"/>
    <cellStyle name="千分位 9" xfId="576"/>
    <cellStyle name="好_1001024-晉欣重要管制流程 (3)" xfId="527"/>
    <cellStyle name="好_Sheet1" xfId="528"/>
    <cellStyle name="好_工作日報表---" xfId="529"/>
    <cellStyle name="好_晉欣重要管制流程-油炸作業" xfId="530"/>
    <cellStyle name="好_晉欣重要管制流程-原物料驗收" xfId="531"/>
    <cellStyle name="好_晉欣重要管制流程-烤箱作業" xfId="532"/>
    <cellStyle name="好_晉欣重要管制流程-理貨作業" xfId="533"/>
    <cellStyle name="好_晉欣重要管制流程-煮麵作業" xfId="534"/>
    <cellStyle name="好_晉欣重要管制流程-飯糰機操作&amp;丼飯作業&amp;三明治&amp;標籤&amp;炊飯&amp;美生菜" xfId="535"/>
    <cellStyle name="好_晉欣重要管制流程-準備室作業" xfId="536"/>
    <cellStyle name="好_晉欣重要管制流程-補料作業" xfId="537"/>
    <cellStyle name="好_配料相關一、二--------" xfId="538"/>
    <cellStyle name="百分比 2" xfId="8"/>
    <cellStyle name="百分比 2 2" xfId="10"/>
    <cellStyle name="百分比 2 2 2" xfId="20"/>
    <cellStyle name="百分比 2 2 2 2" xfId="540"/>
    <cellStyle name="百分比 2 2 3" xfId="539"/>
    <cellStyle name="百分比 2 3" xfId="541"/>
    <cellStyle name="百分比 2 4" xfId="542"/>
    <cellStyle name="百分比 2 5" xfId="24"/>
    <cellStyle name="百分比 3" xfId="3"/>
    <cellStyle name="百分比 3 2" xfId="544"/>
    <cellStyle name="百分比 3 3" xfId="545"/>
    <cellStyle name="百分比 3 4" xfId="543"/>
    <cellStyle name="百分比 4" xfId="13"/>
    <cellStyle name="百分比 4 2" xfId="547"/>
    <cellStyle name="百分比 4 2 2" xfId="548"/>
    <cellStyle name="百分比 4 2 2 2" xfId="549"/>
    <cellStyle name="百分比 4 2 3" xfId="550"/>
    <cellStyle name="百分比 4 3" xfId="551"/>
    <cellStyle name="百分比 4 3 2" xfId="552"/>
    <cellStyle name="百分比 4 3 2 2" xfId="553"/>
    <cellStyle name="百分比 4 3 2 2 2" xfId="554"/>
    <cellStyle name="百分比 4 3 2 2 2 2" xfId="555"/>
    <cellStyle name="百分比 4 3 2 2 2 2 2" xfId="556"/>
    <cellStyle name="百分比 4 4" xfId="557"/>
    <cellStyle name="百分比 4 5" xfId="546"/>
    <cellStyle name="百分比 5" xfId="558"/>
    <cellStyle name="百分比 5 2" xfId="559"/>
    <cellStyle name="百分比 5 3" xfId="560"/>
    <cellStyle name="百分比 6" xfId="561"/>
    <cellStyle name="百分比 7" xfId="22"/>
    <cellStyle name="貨幣 2" xfId="562"/>
    <cellStyle name="貨幣[0]_ AUDIT" xfId="465"/>
    <cellStyle name="超連結 2" xfId="466"/>
    <cellStyle name="標準 2_關所SOP" xfId="563"/>
    <cellStyle name="樣式 1" xfId="467"/>
    <cellStyle name="樣式 2" xfId="468"/>
    <cellStyle name="壞_1001024-晉欣重要管制流程 (3)" xfId="564"/>
    <cellStyle name="壞_Sheet1" xfId="565"/>
    <cellStyle name="壞_工作日報表---" xfId="566"/>
    <cellStyle name="壞_晉欣重要管制流程-油炸作業" xfId="567"/>
    <cellStyle name="壞_晉欣重要管制流程-原物料驗收" xfId="568"/>
    <cellStyle name="壞_晉欣重要管制流程-烤箱作業" xfId="569"/>
    <cellStyle name="壞_晉欣重要管制流程-理貨作業" xfId="570"/>
    <cellStyle name="壞_晉欣重要管制流程-煮麵作業" xfId="571"/>
    <cellStyle name="壞_晉欣重要管制流程-飯糰機操作&amp;丼飯作業&amp;三明治&amp;標籤&amp;炊飯&amp;美生菜" xfId="572"/>
    <cellStyle name="壞_晉欣重要管制流程-準備室作業" xfId="573"/>
    <cellStyle name="壞_晉欣重要管制流程-補料作業" xfId="574"/>
    <cellStyle name="壞_配料相關一、二--------" xfId="575"/>
  </cellStyles>
  <dxfs count="3"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theme="1"/>
      </font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38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66259</xdr:colOff>
      <xdr:row>15</xdr:row>
      <xdr:rowOff>74543</xdr:rowOff>
    </xdr:from>
    <xdr:to>
      <xdr:col>12</xdr:col>
      <xdr:colOff>627283</xdr:colOff>
      <xdr:row>29</xdr:row>
      <xdr:rowOff>132521</xdr:rowOff>
    </xdr:to>
    <xdr:pic>
      <xdr:nvPicPr>
        <xdr:cNvPr id="2" name="圖片 1">
          <a:extLst>
            <a:ext uri="{FF2B5EF4-FFF2-40B4-BE49-F238E27FC236}">
              <a16:creationId xmlns="" xmlns:a16="http://schemas.microsoft.com/office/drawing/2014/main" id="{00000000-0008-0000-1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259" y="3602934"/>
          <a:ext cx="8934741" cy="2840935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AA55"/>
  <sheetViews>
    <sheetView zoomScaleNormal="100" workbookViewId="0">
      <selection activeCell="E17" sqref="E17"/>
    </sheetView>
  </sheetViews>
  <sheetFormatPr defaultColWidth="12.5703125" defaultRowHeight="15.75" customHeight="1"/>
  <cols>
    <col min="1" max="2" width="12.5703125" style="2" customWidth="1"/>
    <col min="3" max="16384" width="12.5703125" style="2"/>
  </cols>
  <sheetData>
    <row r="1" spans="1:23" ht="15.75" customHeight="1">
      <c r="A1" s="1"/>
      <c r="G1" s="1"/>
      <c r="M1" s="1"/>
      <c r="S1" s="1"/>
    </row>
    <row r="2" spans="1:23" ht="15.75" customHeight="1">
      <c r="A2" s="3">
        <v>7</v>
      </c>
      <c r="B2" s="49" t="s">
        <v>73</v>
      </c>
      <c r="C2" s="48" t="s">
        <v>74</v>
      </c>
      <c r="D2" s="5" t="s">
        <v>0</v>
      </c>
      <c r="E2" s="6"/>
      <c r="G2" s="1"/>
      <c r="M2" s="1"/>
      <c r="S2" s="1"/>
    </row>
    <row r="3" spans="1:23" ht="15.75" customHeight="1">
      <c r="A3" s="1"/>
      <c r="G3" s="1"/>
      <c r="M3" s="1"/>
      <c r="S3" s="1"/>
    </row>
    <row r="4" spans="1:23" ht="15.75" customHeight="1">
      <c r="A4" s="61" t="s">
        <v>21</v>
      </c>
      <c r="B4" s="68"/>
      <c r="C4" s="68"/>
      <c r="D4" s="68"/>
      <c r="E4" s="62" t="s">
        <v>23</v>
      </c>
      <c r="G4" s="61" t="s">
        <v>71</v>
      </c>
      <c r="H4" s="68"/>
      <c r="I4" s="68"/>
      <c r="J4" s="68"/>
      <c r="K4" s="68"/>
      <c r="M4" s="61" t="s">
        <v>32</v>
      </c>
      <c r="N4" s="68"/>
      <c r="O4" s="68"/>
      <c r="P4" s="68"/>
      <c r="Q4" s="68"/>
      <c r="R4" s="68"/>
      <c r="S4" s="61" t="s">
        <v>33</v>
      </c>
      <c r="T4" s="68"/>
      <c r="U4" s="68"/>
      <c r="V4" s="68"/>
      <c r="W4" s="68"/>
    </row>
    <row r="5" spans="1:23" ht="15.75" customHeight="1">
      <c r="A5" s="7"/>
      <c r="B5" s="50" t="s">
        <v>22</v>
      </c>
      <c r="C5" s="7" t="s">
        <v>1</v>
      </c>
      <c r="D5" s="7" t="s">
        <v>2</v>
      </c>
      <c r="E5" s="7" t="s">
        <v>3</v>
      </c>
      <c r="G5" s="7"/>
      <c r="H5" s="50" t="s">
        <v>69</v>
      </c>
      <c r="I5" s="50" t="s">
        <v>70</v>
      </c>
      <c r="J5" s="50" t="s">
        <v>67</v>
      </c>
      <c r="K5" s="7" t="s">
        <v>3</v>
      </c>
      <c r="L5" s="63" t="s">
        <v>60</v>
      </c>
      <c r="M5" s="7"/>
      <c r="N5" s="50" t="s">
        <v>22</v>
      </c>
      <c r="O5" s="50" t="s">
        <v>66</v>
      </c>
      <c r="P5" s="50" t="s">
        <v>67</v>
      </c>
      <c r="Q5" s="50" t="s">
        <v>68</v>
      </c>
      <c r="R5" s="68"/>
      <c r="S5" s="7"/>
      <c r="T5" s="50" t="s">
        <v>22</v>
      </c>
      <c r="U5" s="50" t="s">
        <v>66</v>
      </c>
      <c r="V5" s="50" t="s">
        <v>67</v>
      </c>
      <c r="W5" s="50" t="s">
        <v>68</v>
      </c>
    </row>
    <row r="6" spans="1:23" ht="15.75" customHeight="1">
      <c r="A6" s="50" t="s">
        <v>24</v>
      </c>
      <c r="B6" s="9">
        <v>500000</v>
      </c>
      <c r="C6" s="9">
        <v>510000</v>
      </c>
      <c r="D6" s="10">
        <f t="shared" ref="D6:D11" si="0">B6-C6</f>
        <v>-10000</v>
      </c>
      <c r="E6" s="9">
        <f>B6+C6</f>
        <v>1010000</v>
      </c>
      <c r="G6" s="50" t="s">
        <v>30</v>
      </c>
      <c r="H6" s="11">
        <v>110</v>
      </c>
      <c r="I6" s="11">
        <v>100</v>
      </c>
      <c r="J6" s="11">
        <v>90</v>
      </c>
      <c r="K6" s="12"/>
      <c r="L6" s="63" t="s">
        <v>61</v>
      </c>
      <c r="M6" s="50" t="s">
        <v>34</v>
      </c>
      <c r="N6" s="9">
        <v>150000</v>
      </c>
      <c r="O6" s="13">
        <f t="shared" ref="O6:O13" si="1">IFERROR(N6/$B$6,"")</f>
        <v>0.3</v>
      </c>
      <c r="P6" s="14">
        <v>0.4</v>
      </c>
      <c r="Q6" s="13">
        <f t="shared" ref="Q6:Q13" si="2">IFERROR(O6-P6,"")</f>
        <v>-0.10000000000000003</v>
      </c>
      <c r="S6" s="50" t="s">
        <v>34</v>
      </c>
      <c r="T6" s="9">
        <v>35000</v>
      </c>
      <c r="U6" s="13">
        <f t="shared" ref="U6:U13" si="3">IFERROR(T6/$B$7,"")</f>
        <v>0.35</v>
      </c>
      <c r="V6" s="14">
        <v>0.3</v>
      </c>
      <c r="W6" s="13">
        <f t="shared" ref="W6:W13" si="4">IFERROR(U6-V6,"")</f>
        <v>4.9999999999999989E-2</v>
      </c>
    </row>
    <row r="7" spans="1:23" ht="15.75" customHeight="1">
      <c r="A7" s="50" t="s">
        <v>25</v>
      </c>
      <c r="B7" s="9">
        <v>100000</v>
      </c>
      <c r="C7" s="9">
        <v>110000</v>
      </c>
      <c r="D7" s="10">
        <f t="shared" si="0"/>
        <v>-10000</v>
      </c>
      <c r="E7" s="9">
        <f>B7+C7</f>
        <v>210000</v>
      </c>
      <c r="G7" s="54" t="s">
        <v>31</v>
      </c>
      <c r="H7" s="14">
        <v>0.8</v>
      </c>
      <c r="I7" s="14">
        <v>0.85</v>
      </c>
      <c r="J7" s="14">
        <v>0.81</v>
      </c>
      <c r="K7" s="14">
        <v>0.84</v>
      </c>
      <c r="L7" s="67" t="s">
        <v>4</v>
      </c>
      <c r="M7" s="50" t="s">
        <v>35</v>
      </c>
      <c r="N7" s="9">
        <v>100000</v>
      </c>
      <c r="O7" s="13">
        <f t="shared" si="1"/>
        <v>0.2</v>
      </c>
      <c r="P7" s="14">
        <v>0.15</v>
      </c>
      <c r="Q7" s="13">
        <f t="shared" si="2"/>
        <v>5.0000000000000017E-2</v>
      </c>
      <c r="S7" s="50" t="s">
        <v>35</v>
      </c>
      <c r="T7" s="9">
        <v>30000</v>
      </c>
      <c r="U7" s="13">
        <f t="shared" si="3"/>
        <v>0.3</v>
      </c>
      <c r="V7" s="14">
        <v>0.15</v>
      </c>
      <c r="W7" s="13">
        <f t="shared" si="4"/>
        <v>0.15</v>
      </c>
    </row>
    <row r="8" spans="1:23" ht="15.75" customHeight="1">
      <c r="A8" s="7" t="s">
        <v>5</v>
      </c>
      <c r="B8" s="9">
        <v>250000</v>
      </c>
      <c r="C8" s="9">
        <v>260000</v>
      </c>
      <c r="D8" s="10">
        <f t="shared" si="0"/>
        <v>-10000</v>
      </c>
      <c r="E8" s="9">
        <f>B8+C8</f>
        <v>510000</v>
      </c>
      <c r="G8" s="50" t="s">
        <v>26</v>
      </c>
      <c r="H8" s="14">
        <v>2.5000000000000001E-3</v>
      </c>
      <c r="I8" s="14">
        <v>2.3999999999999998E-3</v>
      </c>
      <c r="J8" s="14">
        <v>2.3E-3</v>
      </c>
      <c r="K8" s="14">
        <v>2.3500000000000001E-3</v>
      </c>
      <c r="L8" s="63" t="s">
        <v>55</v>
      </c>
      <c r="M8" s="50" t="s">
        <v>36</v>
      </c>
      <c r="N8" s="9">
        <v>160000</v>
      </c>
      <c r="O8" s="13">
        <f t="shared" si="1"/>
        <v>0.32</v>
      </c>
      <c r="P8" s="14">
        <v>0.28000000000000003</v>
      </c>
      <c r="Q8" s="13">
        <f t="shared" si="2"/>
        <v>3.999999999999998E-2</v>
      </c>
      <c r="S8" s="50" t="s">
        <v>36</v>
      </c>
      <c r="T8" s="9">
        <v>20000</v>
      </c>
      <c r="U8" s="13">
        <f t="shared" si="3"/>
        <v>0.2</v>
      </c>
      <c r="V8" s="14">
        <v>0.28000000000000003</v>
      </c>
      <c r="W8" s="13">
        <f t="shared" si="4"/>
        <v>-8.0000000000000016E-2</v>
      </c>
    </row>
    <row r="9" spans="1:23" ht="15.75" customHeight="1">
      <c r="A9" s="7" t="s">
        <v>6</v>
      </c>
      <c r="B9" s="14">
        <f>B8/B6</f>
        <v>0.5</v>
      </c>
      <c r="C9" s="14">
        <f>C8/C6</f>
        <v>0.50980392156862742</v>
      </c>
      <c r="D9" s="13">
        <f t="shared" si="0"/>
        <v>-9.8039215686274161E-3</v>
      </c>
      <c r="E9" s="14">
        <f>(B9+C9)/2</f>
        <v>0.50490196078431371</v>
      </c>
      <c r="G9" s="50" t="s">
        <v>27</v>
      </c>
      <c r="H9" s="14">
        <v>6.0000000000000001E-3</v>
      </c>
      <c r="I9" s="14">
        <v>8.9999999999999993E-3</v>
      </c>
      <c r="J9" s="14">
        <v>9.4999999999999998E-3</v>
      </c>
      <c r="K9" s="14">
        <v>9.1999999999999998E-3</v>
      </c>
      <c r="L9" s="63" t="s">
        <v>104</v>
      </c>
      <c r="M9" s="50" t="s">
        <v>44</v>
      </c>
      <c r="N9" s="9">
        <v>90000</v>
      </c>
      <c r="O9" s="13">
        <f t="shared" si="1"/>
        <v>0.18</v>
      </c>
      <c r="P9" s="14">
        <v>0.17</v>
      </c>
      <c r="Q9" s="13">
        <f t="shared" si="2"/>
        <v>9.9999999999999811E-3</v>
      </c>
      <c r="S9" s="50" t="s">
        <v>44</v>
      </c>
      <c r="T9" s="9">
        <v>15000</v>
      </c>
      <c r="U9" s="13">
        <f t="shared" si="3"/>
        <v>0.15</v>
      </c>
      <c r="V9" s="14">
        <v>0.27</v>
      </c>
      <c r="W9" s="13">
        <f t="shared" si="4"/>
        <v>-0.12000000000000002</v>
      </c>
    </row>
    <row r="10" spans="1:23" ht="15.75" customHeight="1">
      <c r="A10" s="50" t="s">
        <v>64</v>
      </c>
      <c r="B10" s="9">
        <v>100000</v>
      </c>
      <c r="C10" s="9">
        <v>105000</v>
      </c>
      <c r="D10" s="10">
        <f t="shared" si="0"/>
        <v>-5000</v>
      </c>
      <c r="E10" s="9">
        <f>B10+C10</f>
        <v>205000</v>
      </c>
      <c r="G10" s="50" t="s">
        <v>28</v>
      </c>
      <c r="H10" s="14">
        <v>0.95</v>
      </c>
      <c r="I10" s="14">
        <v>0.9</v>
      </c>
      <c r="J10" s="14">
        <v>0.92</v>
      </c>
      <c r="K10" s="14">
        <v>0.91</v>
      </c>
      <c r="L10" s="67" t="s">
        <v>7</v>
      </c>
      <c r="M10" s="50" t="s">
        <v>37</v>
      </c>
      <c r="N10" s="9" t="s">
        <v>8</v>
      </c>
      <c r="O10" s="13" t="str">
        <f t="shared" si="1"/>
        <v/>
      </c>
      <c r="P10" s="4" t="s">
        <v>9</v>
      </c>
      <c r="Q10" s="13" t="str">
        <f t="shared" si="2"/>
        <v/>
      </c>
      <c r="S10" s="50" t="s">
        <v>37</v>
      </c>
      <c r="T10" s="9" t="s">
        <v>8</v>
      </c>
      <c r="U10" s="13" t="str">
        <f t="shared" si="3"/>
        <v/>
      </c>
      <c r="V10" s="4" t="s">
        <v>9</v>
      </c>
      <c r="W10" s="13" t="str">
        <f t="shared" si="4"/>
        <v/>
      </c>
    </row>
    <row r="11" spans="1:23" ht="15.75" customHeight="1">
      <c r="A11" s="50" t="s">
        <v>65</v>
      </c>
      <c r="B11" s="14">
        <f>B10/B6</f>
        <v>0.2</v>
      </c>
      <c r="C11" s="14">
        <f>C10/C6</f>
        <v>0.20588235294117646</v>
      </c>
      <c r="D11" s="13">
        <f t="shared" si="0"/>
        <v>-5.8823529411764497E-3</v>
      </c>
      <c r="E11" s="14">
        <f>(B11+C11)/2</f>
        <v>0.20294117647058824</v>
      </c>
      <c r="G11" s="50" t="s">
        <v>29</v>
      </c>
      <c r="H11" s="14">
        <v>0.8</v>
      </c>
      <c r="I11" s="14">
        <v>0.85</v>
      </c>
      <c r="J11" s="14">
        <v>1</v>
      </c>
      <c r="K11" s="14">
        <v>0.92</v>
      </c>
      <c r="L11" s="63" t="s">
        <v>62</v>
      </c>
      <c r="M11" s="50" t="s">
        <v>38</v>
      </c>
      <c r="N11" s="9" t="s">
        <v>8</v>
      </c>
      <c r="O11" s="13" t="str">
        <f t="shared" si="1"/>
        <v/>
      </c>
      <c r="P11" s="4" t="s">
        <v>9</v>
      </c>
      <c r="Q11" s="13" t="str">
        <f t="shared" si="2"/>
        <v/>
      </c>
      <c r="S11" s="50" t="s">
        <v>38</v>
      </c>
      <c r="T11" s="9" t="s">
        <v>8</v>
      </c>
      <c r="U11" s="13" t="str">
        <f t="shared" si="3"/>
        <v/>
      </c>
      <c r="V11" s="4" t="s">
        <v>9</v>
      </c>
      <c r="W11" s="13" t="str">
        <f t="shared" si="4"/>
        <v/>
      </c>
    </row>
    <row r="12" spans="1:23" ht="15.75" customHeight="1">
      <c r="M12" s="50" t="s">
        <v>39</v>
      </c>
      <c r="N12" s="9" t="s">
        <v>8</v>
      </c>
      <c r="O12" s="13" t="str">
        <f t="shared" si="1"/>
        <v/>
      </c>
      <c r="P12" s="4" t="s">
        <v>9</v>
      </c>
      <c r="Q12" s="13" t="str">
        <f t="shared" si="2"/>
        <v/>
      </c>
      <c r="S12" s="50" t="s">
        <v>39</v>
      </c>
      <c r="T12" s="9" t="s">
        <v>8</v>
      </c>
      <c r="U12" s="13" t="str">
        <f t="shared" si="3"/>
        <v/>
      </c>
      <c r="V12" s="4" t="s">
        <v>9</v>
      </c>
      <c r="W12" s="13" t="str">
        <f t="shared" si="4"/>
        <v/>
      </c>
    </row>
    <row r="13" spans="1:23" ht="15.75" customHeight="1">
      <c r="A13" s="61" t="s">
        <v>63</v>
      </c>
      <c r="B13" s="68"/>
      <c r="C13" s="68"/>
      <c r="D13" s="68"/>
      <c r="E13" s="68"/>
      <c r="F13" s="68"/>
      <c r="G13" s="47"/>
      <c r="H13" s="47"/>
      <c r="I13" s="47"/>
      <c r="J13" s="47"/>
      <c r="K13" s="47"/>
      <c r="M13" s="50" t="s">
        <v>40</v>
      </c>
      <c r="N13" s="9" t="s">
        <v>8</v>
      </c>
      <c r="O13" s="13" t="str">
        <f t="shared" si="1"/>
        <v/>
      </c>
      <c r="P13" s="4" t="s">
        <v>9</v>
      </c>
      <c r="Q13" s="13" t="str">
        <f t="shared" si="2"/>
        <v/>
      </c>
      <c r="S13" s="50" t="s">
        <v>40</v>
      </c>
      <c r="T13" s="9" t="s">
        <v>8</v>
      </c>
      <c r="U13" s="13" t="str">
        <f t="shared" si="3"/>
        <v/>
      </c>
      <c r="V13" s="4" t="s">
        <v>9</v>
      </c>
      <c r="W13" s="13" t="str">
        <f t="shared" si="4"/>
        <v/>
      </c>
    </row>
    <row r="14" spans="1:23" ht="12.75">
      <c r="A14" s="7"/>
      <c r="B14" s="50" t="s">
        <v>22</v>
      </c>
      <c r="C14" s="7" t="s">
        <v>1</v>
      </c>
      <c r="D14" s="7" t="s">
        <v>2</v>
      </c>
      <c r="E14" s="7" t="s">
        <v>3</v>
      </c>
      <c r="F14" s="68"/>
      <c r="G14" s="7"/>
      <c r="H14" s="50" t="s">
        <v>22</v>
      </c>
      <c r="I14" s="7" t="s">
        <v>1</v>
      </c>
      <c r="J14" s="7" t="s">
        <v>2</v>
      </c>
      <c r="K14" s="7" t="s">
        <v>3</v>
      </c>
      <c r="O14" s="15">
        <f>SUM(O6:O13)</f>
        <v>1</v>
      </c>
      <c r="P14" s="15">
        <f>SUM(P6:P13)</f>
        <v>1</v>
      </c>
      <c r="U14" s="15">
        <f>SUM(U6:U13)</f>
        <v>0.99999999999999989</v>
      </c>
      <c r="V14" s="15">
        <f>SUM(V6:V13)</f>
        <v>1</v>
      </c>
    </row>
    <row r="15" spans="1:23" ht="15.75" customHeight="1">
      <c r="A15" s="50" t="s">
        <v>34</v>
      </c>
      <c r="B15" s="4">
        <v>600</v>
      </c>
      <c r="C15" s="4">
        <v>660</v>
      </c>
      <c r="D15" s="16">
        <f>B15-C15</f>
        <v>-60</v>
      </c>
      <c r="E15" s="17">
        <f>(B15+C15)/2</f>
        <v>630</v>
      </c>
      <c r="G15" s="50" t="s">
        <v>37</v>
      </c>
      <c r="H15" s="4"/>
      <c r="I15" s="4"/>
      <c r="J15" s="16">
        <f>H15-I15</f>
        <v>0</v>
      </c>
      <c r="K15" s="17"/>
      <c r="M15" s="61" t="s">
        <v>72</v>
      </c>
      <c r="N15" s="68"/>
      <c r="O15" s="68"/>
      <c r="P15" s="68"/>
      <c r="Q15" s="68"/>
      <c r="R15" s="68"/>
      <c r="S15" s="68"/>
    </row>
    <row r="16" spans="1:23" ht="15.75" customHeight="1">
      <c r="A16" s="50" t="s">
        <v>35</v>
      </c>
      <c r="B16" s="4">
        <v>800</v>
      </c>
      <c r="C16" s="4">
        <v>780</v>
      </c>
      <c r="D16" s="16">
        <f>B16-C16</f>
        <v>20</v>
      </c>
      <c r="E16" s="17">
        <f>(B16+C16)/2</f>
        <v>790</v>
      </c>
      <c r="G16" s="50" t="s">
        <v>38</v>
      </c>
      <c r="H16" s="4"/>
      <c r="I16" s="4"/>
      <c r="J16" s="16">
        <f>H16-I16</f>
        <v>0</v>
      </c>
      <c r="K16" s="17"/>
      <c r="M16" s="18"/>
      <c r="N16" s="46" t="s">
        <v>10</v>
      </c>
      <c r="O16" s="19"/>
      <c r="P16" s="59" t="s">
        <v>42</v>
      </c>
      <c r="Q16" s="19"/>
      <c r="R16" s="52" t="s">
        <v>43</v>
      </c>
      <c r="S16" s="19"/>
    </row>
    <row r="17" spans="1:27" ht="15.75" customHeight="1">
      <c r="A17" s="50" t="s">
        <v>36</v>
      </c>
      <c r="B17" s="4">
        <v>130</v>
      </c>
      <c r="C17" s="4">
        <v>111</v>
      </c>
      <c r="D17" s="16">
        <f>B17-C17</f>
        <v>19</v>
      </c>
      <c r="E17" s="17">
        <f>(B17+C17)/2</f>
        <v>120.5</v>
      </c>
      <c r="G17" s="50" t="s">
        <v>39</v>
      </c>
      <c r="H17" s="4"/>
      <c r="I17" s="4"/>
      <c r="J17" s="16">
        <f>H17-I17</f>
        <v>0</v>
      </c>
      <c r="K17" s="17"/>
      <c r="M17" s="20"/>
      <c r="N17" s="21" t="s">
        <v>11</v>
      </c>
      <c r="O17" s="51" t="s">
        <v>41</v>
      </c>
      <c r="P17" s="8" t="s">
        <v>11</v>
      </c>
      <c r="Q17" s="51" t="s">
        <v>41</v>
      </c>
      <c r="R17" s="8" t="s">
        <v>11</v>
      </c>
      <c r="S17" s="51" t="s">
        <v>41</v>
      </c>
    </row>
    <row r="18" spans="1:27" ht="15.75" customHeight="1">
      <c r="A18" s="50" t="s">
        <v>44</v>
      </c>
      <c r="B18" s="4">
        <v>140</v>
      </c>
      <c r="C18" s="4">
        <v>165</v>
      </c>
      <c r="D18" s="16">
        <f>B18-C18</f>
        <v>-25</v>
      </c>
      <c r="E18" s="17">
        <f>(B18+C18)/2</f>
        <v>152.5</v>
      </c>
      <c r="G18" s="50" t="s">
        <v>40</v>
      </c>
      <c r="H18" s="4"/>
      <c r="I18" s="4"/>
      <c r="J18" s="16">
        <f>H18-I18</f>
        <v>0</v>
      </c>
      <c r="K18" s="17"/>
      <c r="M18" s="50" t="s">
        <v>26</v>
      </c>
      <c r="N18" s="9">
        <v>1200</v>
      </c>
      <c r="O18" s="13">
        <f>N18/$B$6</f>
        <v>2.3999999999999998E-3</v>
      </c>
      <c r="P18" s="9">
        <v>900</v>
      </c>
      <c r="Q18" s="13">
        <f>IFERROR(P18/$B$6,"")</f>
        <v>1.8E-3</v>
      </c>
      <c r="R18" s="9">
        <v>300</v>
      </c>
      <c r="S18" s="13">
        <f>IFERROR(R18/$B$6,"")</f>
        <v>5.9999999999999995E-4</v>
      </c>
    </row>
    <row r="19" spans="1:27" ht="15.75" customHeight="1">
      <c r="M19" s="50" t="s">
        <v>27</v>
      </c>
      <c r="N19" s="9">
        <v>4500</v>
      </c>
      <c r="O19" s="13">
        <f>N19/$B$6</f>
        <v>8.9999999999999993E-3</v>
      </c>
      <c r="P19" s="9">
        <v>3500</v>
      </c>
      <c r="Q19" s="13">
        <f>IFERROR(P19/$B$6,"")</f>
        <v>7.0000000000000001E-3</v>
      </c>
      <c r="R19" s="9">
        <v>1000</v>
      </c>
      <c r="S19" s="13">
        <f>IFERROR(R19/$B$6,"")</f>
        <v>2E-3</v>
      </c>
    </row>
    <row r="20" spans="1:27" ht="15.75" customHeight="1">
      <c r="A20" s="61" t="s">
        <v>45</v>
      </c>
      <c r="B20" s="68"/>
      <c r="C20" s="64"/>
      <c r="D20" s="68"/>
      <c r="E20" s="68"/>
      <c r="F20" s="64"/>
      <c r="G20" s="64"/>
      <c r="H20" s="64"/>
      <c r="I20" s="64"/>
      <c r="J20" s="68"/>
      <c r="K20" s="68"/>
    </row>
    <row r="21" spans="1:27" ht="15.75" customHeight="1">
      <c r="A21" s="18"/>
      <c r="B21" s="50" t="s">
        <v>47</v>
      </c>
      <c r="C21" s="603" t="s">
        <v>12</v>
      </c>
      <c r="D21" s="586"/>
      <c r="E21" s="579"/>
      <c r="F21" s="50" t="s">
        <v>46</v>
      </c>
      <c r="G21" s="50" t="s">
        <v>48</v>
      </c>
      <c r="H21" s="50" t="s">
        <v>49</v>
      </c>
      <c r="I21" s="8" t="s">
        <v>13</v>
      </c>
      <c r="J21" s="595" t="s">
        <v>51</v>
      </c>
      <c r="K21" s="579"/>
      <c r="M21" s="61" t="s">
        <v>52</v>
      </c>
      <c r="N21" s="68"/>
      <c r="O21" s="64"/>
      <c r="P21" s="68"/>
      <c r="Q21" s="68"/>
      <c r="R21" s="64"/>
      <c r="S21" s="64"/>
      <c r="T21" s="64"/>
      <c r="U21" s="64"/>
      <c r="V21" s="64"/>
      <c r="W21" s="64"/>
      <c r="X21" s="64"/>
      <c r="Y21" s="64"/>
      <c r="Z21" s="68"/>
      <c r="AA21" s="68"/>
    </row>
    <row r="22" spans="1:27" ht="15.75" customHeight="1">
      <c r="A22" s="53" t="s">
        <v>34</v>
      </c>
      <c r="B22" s="6">
        <v>1</v>
      </c>
      <c r="C22" s="578" t="s">
        <v>14</v>
      </c>
      <c r="D22" s="586"/>
      <c r="E22" s="579"/>
      <c r="F22" s="4">
        <v>3</v>
      </c>
      <c r="G22" s="4">
        <v>3000</v>
      </c>
      <c r="H22" s="4">
        <v>1000</v>
      </c>
      <c r="I22" s="4">
        <v>10</v>
      </c>
      <c r="J22" s="585" t="s">
        <v>76</v>
      </c>
      <c r="K22" s="579"/>
      <c r="M22" s="53" t="s">
        <v>26</v>
      </c>
      <c r="N22" s="58" t="s">
        <v>47</v>
      </c>
      <c r="O22" s="591" t="s">
        <v>12</v>
      </c>
      <c r="P22" s="586"/>
      <c r="Q22" s="579"/>
      <c r="R22" s="597" t="s">
        <v>53</v>
      </c>
      <c r="S22" s="586"/>
      <c r="T22" s="579"/>
      <c r="U22" s="58" t="s">
        <v>54</v>
      </c>
      <c r="V22" s="58" t="s">
        <v>55</v>
      </c>
      <c r="W22" s="58" t="s">
        <v>56</v>
      </c>
      <c r="X22" s="8" t="s">
        <v>11</v>
      </c>
      <c r="Y22" s="8" t="s">
        <v>13</v>
      </c>
      <c r="Z22" s="595" t="s">
        <v>51</v>
      </c>
      <c r="AA22" s="579"/>
    </row>
    <row r="23" spans="1:27" ht="15.75" customHeight="1">
      <c r="A23" s="23"/>
      <c r="B23" s="6">
        <v>2</v>
      </c>
      <c r="C23" s="600"/>
      <c r="D23" s="586"/>
      <c r="E23" s="579"/>
      <c r="F23" s="4"/>
      <c r="G23" s="4"/>
      <c r="H23" s="4"/>
      <c r="I23" s="4"/>
      <c r="J23" s="600"/>
      <c r="K23" s="579"/>
      <c r="M23" s="57" t="s">
        <v>42</v>
      </c>
      <c r="N23" s="24">
        <v>1</v>
      </c>
      <c r="O23" s="585" t="s">
        <v>82</v>
      </c>
      <c r="P23" s="586"/>
      <c r="Q23" s="579"/>
      <c r="R23" s="585" t="s">
        <v>85</v>
      </c>
      <c r="S23" s="586"/>
      <c r="T23" s="579"/>
      <c r="U23" s="4">
        <v>10</v>
      </c>
      <c r="V23" s="14">
        <v>0.15</v>
      </c>
      <c r="W23" s="4">
        <v>10</v>
      </c>
      <c r="X23" s="16">
        <f>W23*U23</f>
        <v>100</v>
      </c>
      <c r="Y23" s="4">
        <v>80</v>
      </c>
      <c r="Z23" s="585" t="s">
        <v>86</v>
      </c>
      <c r="AA23" s="579"/>
    </row>
    <row r="24" spans="1:27" ht="15.75" customHeight="1">
      <c r="A24" s="23"/>
      <c r="B24" s="6">
        <v>3</v>
      </c>
      <c r="C24" s="600"/>
      <c r="D24" s="586"/>
      <c r="E24" s="579"/>
      <c r="F24" s="4"/>
      <c r="G24" s="4"/>
      <c r="H24" s="4"/>
      <c r="I24" s="4"/>
      <c r="J24" s="600"/>
      <c r="K24" s="579"/>
      <c r="M24" s="25"/>
      <c r="N24" s="24">
        <v>2</v>
      </c>
      <c r="O24" s="578"/>
      <c r="P24" s="586"/>
      <c r="Q24" s="579"/>
      <c r="R24" s="578"/>
      <c r="S24" s="586"/>
      <c r="T24" s="579"/>
      <c r="U24" s="4"/>
      <c r="V24" s="14"/>
      <c r="W24" s="4"/>
      <c r="X24" s="16">
        <f>W24*U24</f>
        <v>0</v>
      </c>
      <c r="Y24" s="4"/>
      <c r="Z24" s="578"/>
      <c r="AA24" s="579"/>
    </row>
    <row r="25" spans="1:27" ht="15.75" customHeight="1">
      <c r="A25" s="23"/>
      <c r="B25" s="6">
        <v>4</v>
      </c>
      <c r="C25" s="600"/>
      <c r="D25" s="586"/>
      <c r="E25" s="579"/>
      <c r="F25" s="4"/>
      <c r="G25" s="4"/>
      <c r="H25" s="4"/>
      <c r="I25" s="4"/>
      <c r="J25" s="600"/>
      <c r="K25" s="579"/>
      <c r="M25" s="25"/>
      <c r="N25" s="24">
        <v>3</v>
      </c>
      <c r="O25" s="578"/>
      <c r="P25" s="586"/>
      <c r="Q25" s="579"/>
      <c r="R25" s="578"/>
      <c r="S25" s="586"/>
      <c r="T25" s="579"/>
      <c r="U25" s="4"/>
      <c r="V25" s="14"/>
      <c r="W25" s="4"/>
      <c r="X25" s="16">
        <f>W25*U25</f>
        <v>0</v>
      </c>
      <c r="Y25" s="4"/>
      <c r="Z25" s="578"/>
      <c r="AA25" s="579"/>
    </row>
    <row r="26" spans="1:27" ht="15.75" customHeight="1">
      <c r="A26" s="23"/>
      <c r="B26" s="26">
        <v>5</v>
      </c>
      <c r="C26" s="604"/>
      <c r="D26" s="587"/>
      <c r="E26" s="581"/>
      <c r="F26" s="27"/>
      <c r="G26" s="27"/>
      <c r="H26" s="27"/>
      <c r="I26" s="27"/>
      <c r="J26" s="604"/>
      <c r="K26" s="581"/>
      <c r="M26" s="25"/>
      <c r="N26" s="24">
        <v>4</v>
      </c>
      <c r="O26" s="578"/>
      <c r="P26" s="586"/>
      <c r="Q26" s="579"/>
      <c r="R26" s="578"/>
      <c r="S26" s="586"/>
      <c r="T26" s="579"/>
      <c r="U26" s="4"/>
      <c r="V26" s="14"/>
      <c r="W26" s="4"/>
      <c r="X26" s="16">
        <f>W26*U26</f>
        <v>0</v>
      </c>
      <c r="Y26" s="4"/>
      <c r="Z26" s="578"/>
      <c r="AA26" s="579"/>
    </row>
    <row r="27" spans="1:27" ht="15.75" customHeight="1">
      <c r="A27" s="23"/>
      <c r="B27" s="70" t="s">
        <v>101</v>
      </c>
      <c r="C27" s="588" t="s">
        <v>75</v>
      </c>
      <c r="D27" s="589"/>
      <c r="E27" s="590"/>
      <c r="F27" s="28">
        <v>4</v>
      </c>
      <c r="G27" s="28">
        <v>2800</v>
      </c>
      <c r="H27" s="28">
        <v>700</v>
      </c>
      <c r="I27" s="28" t="s">
        <v>15</v>
      </c>
      <c r="J27" s="588" t="s">
        <v>77</v>
      </c>
      <c r="K27" s="590"/>
      <c r="M27" s="25"/>
      <c r="N27" s="29">
        <v>5</v>
      </c>
      <c r="O27" s="580"/>
      <c r="P27" s="587"/>
      <c r="Q27" s="581"/>
      <c r="R27" s="580"/>
      <c r="S27" s="587"/>
      <c r="T27" s="581"/>
      <c r="U27" s="27"/>
      <c r="V27" s="30"/>
      <c r="W27" s="27"/>
      <c r="X27" s="31">
        <f>W27*U27</f>
        <v>0</v>
      </c>
      <c r="Y27" s="4"/>
      <c r="Z27" s="580"/>
      <c r="AA27" s="581"/>
    </row>
    <row r="28" spans="1:27" ht="15.75" customHeight="1">
      <c r="A28" s="23"/>
      <c r="B28" s="71" t="s">
        <v>102</v>
      </c>
      <c r="C28" s="600"/>
      <c r="D28" s="586"/>
      <c r="E28" s="579"/>
      <c r="F28" s="4"/>
      <c r="G28" s="4"/>
      <c r="H28" s="4"/>
      <c r="I28" s="4"/>
      <c r="J28" s="600"/>
      <c r="K28" s="579"/>
      <c r="M28" s="32"/>
      <c r="N28" s="56"/>
      <c r="O28" s="582"/>
      <c r="P28" s="586"/>
      <c r="Q28" s="586"/>
      <c r="R28" s="582"/>
      <c r="S28" s="586"/>
      <c r="T28" s="586"/>
      <c r="U28" s="60" t="s">
        <v>58</v>
      </c>
      <c r="V28" s="33">
        <f>X28/N18</f>
        <v>8.3333333333333329E-2</v>
      </c>
      <c r="W28" s="60" t="s">
        <v>59</v>
      </c>
      <c r="X28" s="34">
        <f>SUM(X23:X27)</f>
        <v>100</v>
      </c>
      <c r="Y28" s="45"/>
      <c r="Z28" s="582"/>
      <c r="AA28" s="579"/>
    </row>
    <row r="29" spans="1:27" ht="15.75" customHeight="1">
      <c r="A29" s="23"/>
      <c r="B29" s="71" t="s">
        <v>100</v>
      </c>
      <c r="C29" s="600"/>
      <c r="D29" s="586"/>
      <c r="E29" s="579"/>
      <c r="F29" s="4"/>
      <c r="G29" s="4"/>
      <c r="H29" s="4"/>
      <c r="I29" s="4"/>
      <c r="J29" s="600"/>
      <c r="K29" s="579"/>
      <c r="M29" s="57" t="s">
        <v>43</v>
      </c>
      <c r="N29" s="24">
        <v>1</v>
      </c>
      <c r="O29" s="601" t="s">
        <v>16</v>
      </c>
      <c r="P29" s="602"/>
      <c r="Q29" s="584"/>
      <c r="R29" s="583" t="s">
        <v>87</v>
      </c>
      <c r="S29" s="602"/>
      <c r="T29" s="584"/>
      <c r="U29" s="35">
        <v>5.55</v>
      </c>
      <c r="V29" s="36">
        <v>0.21</v>
      </c>
      <c r="W29" s="35">
        <v>50</v>
      </c>
      <c r="X29" s="37">
        <f>W29*U29</f>
        <v>277.5</v>
      </c>
      <c r="Y29" s="4">
        <v>35</v>
      </c>
      <c r="Z29" s="583" t="s">
        <v>88</v>
      </c>
      <c r="AA29" s="584"/>
    </row>
    <row r="30" spans="1:27" ht="15.75" customHeight="1">
      <c r="A30" s="23"/>
      <c r="B30" s="71" t="s">
        <v>99</v>
      </c>
      <c r="C30" s="600"/>
      <c r="D30" s="586"/>
      <c r="E30" s="579"/>
      <c r="F30" s="4"/>
      <c r="G30" s="4"/>
      <c r="H30" s="4"/>
      <c r="I30" s="4"/>
      <c r="J30" s="600"/>
      <c r="K30" s="579"/>
      <c r="M30" s="25"/>
      <c r="N30" s="24">
        <v>2</v>
      </c>
      <c r="O30" s="578"/>
      <c r="P30" s="586"/>
      <c r="Q30" s="579"/>
      <c r="R30" s="578"/>
      <c r="S30" s="586"/>
      <c r="T30" s="579"/>
      <c r="U30" s="4"/>
      <c r="V30" s="14"/>
      <c r="W30" s="4"/>
      <c r="X30" s="16">
        <f>W30*U30</f>
        <v>0</v>
      </c>
      <c r="Y30" s="4"/>
      <c r="Z30" s="578"/>
      <c r="AA30" s="579"/>
    </row>
    <row r="31" spans="1:27" ht="15.75" customHeight="1">
      <c r="A31" s="20"/>
      <c r="B31" s="71" t="s">
        <v>103</v>
      </c>
      <c r="C31" s="600"/>
      <c r="D31" s="586"/>
      <c r="E31" s="579"/>
      <c r="F31" s="4"/>
      <c r="G31" s="4"/>
      <c r="H31" s="4"/>
      <c r="I31" s="4"/>
      <c r="J31" s="600"/>
      <c r="K31" s="579"/>
      <c r="M31" s="25"/>
      <c r="N31" s="24">
        <v>3</v>
      </c>
      <c r="O31" s="578"/>
      <c r="P31" s="586"/>
      <c r="Q31" s="579"/>
      <c r="R31" s="578"/>
      <c r="S31" s="586"/>
      <c r="T31" s="579"/>
      <c r="U31" s="4"/>
      <c r="V31" s="14"/>
      <c r="W31" s="4"/>
      <c r="X31" s="16">
        <f>W31*U31</f>
        <v>0</v>
      </c>
      <c r="Y31" s="4"/>
      <c r="Z31" s="578"/>
      <c r="AA31" s="579"/>
    </row>
    <row r="32" spans="1:27" ht="15.75" customHeight="1">
      <c r="A32" s="68"/>
      <c r="M32" s="25"/>
      <c r="N32" s="24">
        <v>4</v>
      </c>
      <c r="O32" s="578"/>
      <c r="P32" s="586"/>
      <c r="Q32" s="579"/>
      <c r="R32" s="578"/>
      <c r="S32" s="586"/>
      <c r="T32" s="579"/>
      <c r="U32" s="4"/>
      <c r="V32" s="14"/>
      <c r="W32" s="4"/>
      <c r="X32" s="16">
        <f>W32*U32</f>
        <v>0</v>
      </c>
      <c r="Y32" s="4"/>
      <c r="Z32" s="578"/>
      <c r="AA32" s="579"/>
    </row>
    <row r="33" spans="1:27" ht="15.75" customHeight="1">
      <c r="A33" s="18"/>
      <c r="B33" s="50" t="s">
        <v>47</v>
      </c>
      <c r="C33" s="603" t="s">
        <v>12</v>
      </c>
      <c r="D33" s="586"/>
      <c r="E33" s="579"/>
      <c r="F33" s="50" t="s">
        <v>46</v>
      </c>
      <c r="G33" s="50" t="s">
        <v>48</v>
      </c>
      <c r="H33" s="50" t="s">
        <v>49</v>
      </c>
      <c r="I33" s="8" t="s">
        <v>13</v>
      </c>
      <c r="J33" s="595" t="s">
        <v>51</v>
      </c>
      <c r="K33" s="579"/>
      <c r="M33" s="25"/>
      <c r="N33" s="29">
        <v>5</v>
      </c>
      <c r="O33" s="578"/>
      <c r="P33" s="586"/>
      <c r="Q33" s="579"/>
      <c r="R33" s="578"/>
      <c r="S33" s="586"/>
      <c r="T33" s="579"/>
      <c r="U33" s="27"/>
      <c r="V33" s="30"/>
      <c r="W33" s="27"/>
      <c r="X33" s="31">
        <f>W33*U33</f>
        <v>0</v>
      </c>
      <c r="Y33" s="4"/>
      <c r="Z33" s="578"/>
      <c r="AA33" s="579"/>
    </row>
    <row r="34" spans="1:27" ht="15.75" customHeight="1">
      <c r="A34" s="53" t="s">
        <v>35</v>
      </c>
      <c r="B34" s="6">
        <v>1</v>
      </c>
      <c r="C34" s="585" t="s">
        <v>79</v>
      </c>
      <c r="D34" s="586"/>
      <c r="E34" s="579"/>
      <c r="F34" s="4">
        <v>3</v>
      </c>
      <c r="G34" s="4">
        <v>2500</v>
      </c>
      <c r="H34" s="4">
        <v>833.33</v>
      </c>
      <c r="I34" s="4">
        <v>20</v>
      </c>
      <c r="J34" s="585" t="s">
        <v>78</v>
      </c>
      <c r="K34" s="579"/>
      <c r="M34" s="69"/>
      <c r="N34" s="45"/>
      <c r="O34" s="582"/>
      <c r="P34" s="586"/>
      <c r="Q34" s="586"/>
      <c r="R34" s="582"/>
      <c r="S34" s="586"/>
      <c r="T34" s="586"/>
      <c r="U34" s="60" t="s">
        <v>58</v>
      </c>
      <c r="V34" s="33">
        <f>X34/N18</f>
        <v>0.23125000000000001</v>
      </c>
      <c r="W34" s="60" t="s">
        <v>59</v>
      </c>
      <c r="X34" s="34">
        <f>SUM(X29:X33)</f>
        <v>277.5</v>
      </c>
      <c r="Y34" s="45"/>
      <c r="Z34" s="582"/>
      <c r="AA34" s="579"/>
    </row>
    <row r="35" spans="1:27" ht="15.75" customHeight="1">
      <c r="A35" s="23"/>
      <c r="B35" s="6">
        <v>2</v>
      </c>
      <c r="C35" s="578"/>
      <c r="D35" s="586"/>
      <c r="E35" s="579"/>
      <c r="F35" s="4"/>
      <c r="G35" s="4"/>
      <c r="H35" s="4"/>
      <c r="I35" s="4"/>
      <c r="J35" s="578"/>
      <c r="K35" s="579"/>
      <c r="M35" s="1"/>
      <c r="N35" s="1"/>
      <c r="O35" s="593"/>
      <c r="P35" s="594"/>
      <c r="Q35" s="594"/>
      <c r="R35" s="593"/>
      <c r="S35" s="594"/>
      <c r="T35" s="594"/>
      <c r="U35" s="1"/>
      <c r="V35" s="38"/>
      <c r="W35" s="1"/>
      <c r="X35" s="1"/>
      <c r="Y35" s="593"/>
      <c r="Z35" s="594"/>
      <c r="AA35" s="594"/>
    </row>
    <row r="36" spans="1:27" ht="15.75" customHeight="1">
      <c r="A36" s="23"/>
      <c r="B36" s="6">
        <v>3</v>
      </c>
      <c r="C36" s="578"/>
      <c r="D36" s="586"/>
      <c r="E36" s="579"/>
      <c r="F36" s="4"/>
      <c r="G36" s="4"/>
      <c r="H36" s="4"/>
      <c r="I36" s="4"/>
      <c r="J36" s="578"/>
      <c r="K36" s="579"/>
      <c r="M36" s="53" t="s">
        <v>27</v>
      </c>
      <c r="N36" s="58" t="s">
        <v>47</v>
      </c>
      <c r="O36" s="591" t="s">
        <v>12</v>
      </c>
      <c r="P36" s="582"/>
      <c r="Q36" s="592"/>
      <c r="R36" s="597" t="s">
        <v>53</v>
      </c>
      <c r="S36" s="598"/>
      <c r="T36" s="599"/>
      <c r="U36" s="58" t="s">
        <v>54</v>
      </c>
      <c r="V36" s="58" t="s">
        <v>55</v>
      </c>
      <c r="W36" s="58" t="s">
        <v>56</v>
      </c>
      <c r="X36" s="8" t="s">
        <v>11</v>
      </c>
      <c r="Y36" s="8" t="s">
        <v>13</v>
      </c>
      <c r="Z36" s="595" t="s">
        <v>51</v>
      </c>
      <c r="AA36" s="596"/>
    </row>
    <row r="37" spans="1:27" ht="15.75" customHeight="1">
      <c r="A37" s="23"/>
      <c r="B37" s="6">
        <v>4</v>
      </c>
      <c r="C37" s="578"/>
      <c r="D37" s="586"/>
      <c r="E37" s="579"/>
      <c r="F37" s="4"/>
      <c r="G37" s="4"/>
      <c r="H37" s="4"/>
      <c r="I37" s="4"/>
      <c r="J37" s="578"/>
      <c r="K37" s="579"/>
      <c r="M37" s="57" t="s">
        <v>42</v>
      </c>
      <c r="N37" s="24">
        <v>1</v>
      </c>
      <c r="O37" s="585" t="s">
        <v>89</v>
      </c>
      <c r="P37" s="586"/>
      <c r="Q37" s="579"/>
      <c r="R37" s="585" t="s">
        <v>90</v>
      </c>
      <c r="S37" s="586"/>
      <c r="T37" s="579"/>
      <c r="U37" s="4">
        <v>25</v>
      </c>
      <c r="V37" s="14">
        <v>0.25</v>
      </c>
      <c r="W37" s="4">
        <v>10</v>
      </c>
      <c r="X37" s="16">
        <f>W37*U37</f>
        <v>250</v>
      </c>
      <c r="Y37" s="4">
        <v>150</v>
      </c>
      <c r="Z37" s="585" t="s">
        <v>91</v>
      </c>
      <c r="AA37" s="579"/>
    </row>
    <row r="38" spans="1:27" ht="15.75" customHeight="1">
      <c r="A38" s="23"/>
      <c r="B38" s="26">
        <v>5</v>
      </c>
      <c r="C38" s="580"/>
      <c r="D38" s="587"/>
      <c r="E38" s="581"/>
      <c r="F38" s="27"/>
      <c r="G38" s="27"/>
      <c r="H38" s="27"/>
      <c r="I38" s="27"/>
      <c r="J38" s="580"/>
      <c r="K38" s="581"/>
      <c r="M38" s="25"/>
      <c r="N38" s="24">
        <v>2</v>
      </c>
      <c r="O38" s="578"/>
      <c r="P38" s="586"/>
      <c r="Q38" s="579"/>
      <c r="R38" s="578"/>
      <c r="S38" s="586"/>
      <c r="T38" s="579"/>
      <c r="U38" s="4"/>
      <c r="V38" s="14"/>
      <c r="W38" s="4"/>
      <c r="X38" s="16">
        <f>W38*U38</f>
        <v>0</v>
      </c>
      <c r="Y38" s="4"/>
      <c r="Z38" s="578"/>
      <c r="AA38" s="579"/>
    </row>
    <row r="39" spans="1:27" ht="14.25">
      <c r="A39" s="23"/>
      <c r="B39" s="70" t="s">
        <v>101</v>
      </c>
      <c r="C39" s="588" t="s">
        <v>80</v>
      </c>
      <c r="D39" s="589"/>
      <c r="E39" s="590"/>
      <c r="F39" s="28">
        <v>7</v>
      </c>
      <c r="G39" s="28">
        <v>2200</v>
      </c>
      <c r="H39" s="28">
        <v>314.29000000000002</v>
      </c>
      <c r="I39" s="28">
        <v>-15</v>
      </c>
      <c r="J39" s="588" t="s">
        <v>81</v>
      </c>
      <c r="K39" s="590"/>
      <c r="M39" s="25"/>
      <c r="N39" s="24">
        <v>3</v>
      </c>
      <c r="O39" s="578"/>
      <c r="P39" s="586"/>
      <c r="Q39" s="579"/>
      <c r="R39" s="578"/>
      <c r="S39" s="586"/>
      <c r="T39" s="579"/>
      <c r="U39" s="4"/>
      <c r="V39" s="14"/>
      <c r="W39" s="4"/>
      <c r="X39" s="16">
        <f>W39*U39</f>
        <v>0</v>
      </c>
      <c r="Y39" s="4"/>
      <c r="Z39" s="578"/>
      <c r="AA39" s="579"/>
    </row>
    <row r="40" spans="1:27" ht="14.25">
      <c r="A40" s="23"/>
      <c r="B40" s="71" t="s">
        <v>102</v>
      </c>
      <c r="C40" s="578"/>
      <c r="D40" s="586"/>
      <c r="E40" s="579"/>
      <c r="F40" s="4"/>
      <c r="G40" s="4"/>
      <c r="H40" s="4"/>
      <c r="I40" s="4"/>
      <c r="J40" s="578"/>
      <c r="K40" s="579"/>
      <c r="M40" s="25"/>
      <c r="N40" s="24">
        <v>4</v>
      </c>
      <c r="O40" s="578"/>
      <c r="P40" s="586"/>
      <c r="Q40" s="579"/>
      <c r="R40" s="578"/>
      <c r="S40" s="586"/>
      <c r="T40" s="579"/>
      <c r="U40" s="4"/>
      <c r="V40" s="14"/>
      <c r="W40" s="4"/>
      <c r="X40" s="16">
        <f>W40*U40</f>
        <v>0</v>
      </c>
      <c r="Y40" s="4"/>
      <c r="Z40" s="578"/>
      <c r="AA40" s="579"/>
    </row>
    <row r="41" spans="1:27" ht="14.25">
      <c r="A41" s="23"/>
      <c r="B41" s="71" t="s">
        <v>100</v>
      </c>
      <c r="C41" s="578"/>
      <c r="D41" s="586"/>
      <c r="E41" s="579"/>
      <c r="F41" s="4"/>
      <c r="G41" s="4"/>
      <c r="H41" s="4"/>
      <c r="I41" s="4"/>
      <c r="J41" s="578"/>
      <c r="K41" s="579"/>
      <c r="M41" s="25"/>
      <c r="N41" s="29">
        <v>5</v>
      </c>
      <c r="O41" s="580"/>
      <c r="P41" s="587"/>
      <c r="Q41" s="581"/>
      <c r="R41" s="580"/>
      <c r="S41" s="587"/>
      <c r="T41" s="581"/>
      <c r="U41" s="27"/>
      <c r="V41" s="30"/>
      <c r="W41" s="27"/>
      <c r="X41" s="31">
        <f>W41*U41</f>
        <v>0</v>
      </c>
      <c r="Y41" s="4"/>
      <c r="Z41" s="578"/>
      <c r="AA41" s="579"/>
    </row>
    <row r="42" spans="1:27" ht="14.25">
      <c r="A42" s="23"/>
      <c r="B42" s="71" t="s">
        <v>99</v>
      </c>
      <c r="C42" s="578"/>
      <c r="D42" s="586"/>
      <c r="E42" s="579"/>
      <c r="F42" s="4"/>
      <c r="G42" s="4"/>
      <c r="H42" s="4"/>
      <c r="I42" s="4"/>
      <c r="J42" s="578"/>
      <c r="K42" s="579"/>
      <c r="M42" s="32"/>
      <c r="N42" s="55"/>
      <c r="O42" s="582"/>
      <c r="P42" s="586"/>
      <c r="Q42" s="586"/>
      <c r="R42" s="582"/>
      <c r="S42" s="586"/>
      <c r="T42" s="586"/>
      <c r="U42" s="60" t="s">
        <v>58</v>
      </c>
      <c r="V42" s="33">
        <f>X42/N19</f>
        <v>5.5555555555555552E-2</v>
      </c>
      <c r="W42" s="60" t="s">
        <v>59</v>
      </c>
      <c r="X42" s="34">
        <f>SUM(X37:X41)</f>
        <v>250</v>
      </c>
      <c r="Y42" s="45"/>
      <c r="Z42" s="582"/>
      <c r="AA42" s="579"/>
    </row>
    <row r="43" spans="1:27" ht="14.25">
      <c r="A43" s="20"/>
      <c r="B43" s="71" t="s">
        <v>103</v>
      </c>
      <c r="C43" s="578"/>
      <c r="D43" s="586"/>
      <c r="E43" s="579"/>
      <c r="F43" s="4"/>
      <c r="G43" s="4"/>
      <c r="H43" s="4"/>
      <c r="I43" s="4"/>
      <c r="J43" s="578"/>
      <c r="K43" s="579"/>
      <c r="M43" s="57" t="s">
        <v>43</v>
      </c>
      <c r="N43" s="24">
        <v>1</v>
      </c>
      <c r="O43" s="585" t="s">
        <v>89</v>
      </c>
      <c r="P43" s="586"/>
      <c r="Q43" s="579"/>
      <c r="R43" s="583" t="s">
        <v>93</v>
      </c>
      <c r="S43" s="602"/>
      <c r="T43" s="584"/>
      <c r="U43" s="35">
        <v>30</v>
      </c>
      <c r="V43" s="36">
        <v>0.1</v>
      </c>
      <c r="W43" s="35">
        <v>20</v>
      </c>
      <c r="X43" s="37">
        <f>W43*U43</f>
        <v>600</v>
      </c>
      <c r="Y43" s="4">
        <v>400</v>
      </c>
      <c r="Z43" s="585" t="s">
        <v>92</v>
      </c>
      <c r="AA43" s="579"/>
    </row>
    <row r="44" spans="1:27" ht="14.25">
      <c r="A44" s="68"/>
      <c r="M44" s="25"/>
      <c r="N44" s="24">
        <v>2</v>
      </c>
      <c r="O44" s="578"/>
      <c r="P44" s="586"/>
      <c r="Q44" s="579"/>
      <c r="R44" s="578"/>
      <c r="S44" s="586"/>
      <c r="T44" s="579"/>
      <c r="U44" s="4"/>
      <c r="V44" s="14"/>
      <c r="W44" s="4"/>
      <c r="X44" s="37">
        <f>W44*U44</f>
        <v>0</v>
      </c>
      <c r="Y44" s="4"/>
      <c r="Z44" s="578"/>
      <c r="AA44" s="579"/>
    </row>
    <row r="45" spans="1:27" ht="14.25">
      <c r="A45" s="18"/>
      <c r="B45" s="50" t="s">
        <v>47</v>
      </c>
      <c r="C45" s="603" t="s">
        <v>12</v>
      </c>
      <c r="D45" s="586"/>
      <c r="E45" s="579"/>
      <c r="F45" s="50" t="s">
        <v>46</v>
      </c>
      <c r="G45" s="50" t="s">
        <v>48</v>
      </c>
      <c r="H45" s="50" t="s">
        <v>49</v>
      </c>
      <c r="I45" s="8" t="s">
        <v>13</v>
      </c>
      <c r="J45" s="595" t="s">
        <v>51</v>
      </c>
      <c r="K45" s="579"/>
      <c r="M45" s="25"/>
      <c r="N45" s="24">
        <v>3</v>
      </c>
      <c r="O45" s="578"/>
      <c r="P45" s="586"/>
      <c r="Q45" s="579"/>
      <c r="R45" s="578"/>
      <c r="S45" s="586"/>
      <c r="T45" s="579"/>
      <c r="U45" s="4"/>
      <c r="V45" s="14"/>
      <c r="W45" s="4"/>
      <c r="X45" s="37">
        <f>W45*U45</f>
        <v>0</v>
      </c>
      <c r="Y45" s="4"/>
      <c r="Z45" s="578"/>
      <c r="AA45" s="579"/>
    </row>
    <row r="46" spans="1:27" ht="14.25">
      <c r="A46" s="53" t="s">
        <v>36</v>
      </c>
      <c r="B46" s="6">
        <v>1</v>
      </c>
      <c r="C46" s="585" t="s">
        <v>82</v>
      </c>
      <c r="D46" s="586"/>
      <c r="E46" s="579"/>
      <c r="F46" s="4">
        <v>15</v>
      </c>
      <c r="G46" s="4">
        <v>1200</v>
      </c>
      <c r="H46" s="4">
        <v>80</v>
      </c>
      <c r="I46" s="4">
        <v>5</v>
      </c>
      <c r="J46" s="585" t="s">
        <v>83</v>
      </c>
      <c r="K46" s="579"/>
      <c r="M46" s="25"/>
      <c r="N46" s="24">
        <v>4</v>
      </c>
      <c r="O46" s="578"/>
      <c r="P46" s="586"/>
      <c r="Q46" s="579"/>
      <c r="R46" s="578"/>
      <c r="S46" s="586"/>
      <c r="T46" s="579"/>
      <c r="U46" s="4"/>
      <c r="V46" s="14"/>
      <c r="W46" s="4"/>
      <c r="X46" s="37">
        <f>W46*U46</f>
        <v>0</v>
      </c>
      <c r="Y46" s="4"/>
      <c r="Z46" s="578"/>
      <c r="AA46" s="579"/>
    </row>
    <row r="47" spans="1:27" ht="14.25">
      <c r="A47" s="23"/>
      <c r="B47" s="6">
        <v>2</v>
      </c>
      <c r="C47" s="578"/>
      <c r="D47" s="586"/>
      <c r="E47" s="579"/>
      <c r="F47" s="4"/>
      <c r="G47" s="4"/>
      <c r="H47" s="4"/>
      <c r="I47" s="4"/>
      <c r="J47" s="578"/>
      <c r="K47" s="579"/>
      <c r="M47" s="25"/>
      <c r="N47" s="29">
        <v>5</v>
      </c>
      <c r="O47" s="578"/>
      <c r="P47" s="586"/>
      <c r="Q47" s="579"/>
      <c r="R47" s="578"/>
      <c r="S47" s="586"/>
      <c r="T47" s="579"/>
      <c r="U47" s="27"/>
      <c r="V47" s="30"/>
      <c r="W47" s="27"/>
      <c r="X47" s="40">
        <f>W47*U47</f>
        <v>0</v>
      </c>
      <c r="Y47" s="4"/>
      <c r="Z47" s="578"/>
      <c r="AA47" s="579"/>
    </row>
    <row r="48" spans="1:27" ht="14.25">
      <c r="A48" s="23"/>
      <c r="B48" s="6">
        <v>3</v>
      </c>
      <c r="C48" s="578"/>
      <c r="D48" s="586"/>
      <c r="E48" s="579"/>
      <c r="F48" s="4"/>
      <c r="G48" s="4"/>
      <c r="H48" s="4"/>
      <c r="I48" s="4"/>
      <c r="J48" s="578"/>
      <c r="K48" s="579"/>
      <c r="M48" s="69"/>
      <c r="N48" s="45"/>
      <c r="O48" s="582"/>
      <c r="P48" s="586"/>
      <c r="Q48" s="586"/>
      <c r="R48" s="582"/>
      <c r="S48" s="586"/>
      <c r="T48" s="586"/>
      <c r="U48" s="60" t="s">
        <v>58</v>
      </c>
      <c r="V48" s="33">
        <f>X48/N19</f>
        <v>0.13333333333333333</v>
      </c>
      <c r="W48" s="60" t="s">
        <v>59</v>
      </c>
      <c r="X48" s="34">
        <f>SUM(X43:X47)</f>
        <v>600</v>
      </c>
      <c r="Y48" s="45"/>
      <c r="Z48" s="582"/>
      <c r="AA48" s="579"/>
    </row>
    <row r="49" spans="1:27" ht="14.25">
      <c r="A49" s="23"/>
      <c r="B49" s="6">
        <v>4</v>
      </c>
      <c r="C49" s="578"/>
      <c r="D49" s="586"/>
      <c r="E49" s="579"/>
      <c r="F49" s="4"/>
      <c r="G49" s="4"/>
      <c r="H49" s="4"/>
      <c r="I49" s="4"/>
      <c r="J49" s="578"/>
      <c r="K49" s="579"/>
      <c r="M49" s="1"/>
      <c r="N49" s="1"/>
      <c r="O49" s="1"/>
      <c r="P49" s="1"/>
      <c r="Q49" s="1"/>
      <c r="R49" s="1"/>
      <c r="S49" s="1"/>
      <c r="T49" s="1"/>
      <c r="U49" s="1"/>
      <c r="V49" s="38"/>
      <c r="W49" s="1"/>
      <c r="X49" s="1"/>
      <c r="Y49" s="1"/>
      <c r="Z49" s="1"/>
      <c r="AA49" s="1"/>
    </row>
    <row r="50" spans="1:27" ht="14.25">
      <c r="A50" s="23"/>
      <c r="B50" s="26">
        <v>5</v>
      </c>
      <c r="C50" s="580"/>
      <c r="D50" s="587"/>
      <c r="E50" s="581"/>
      <c r="F50" s="27"/>
      <c r="G50" s="27"/>
      <c r="H50" s="27"/>
      <c r="I50" s="27"/>
      <c r="J50" s="580"/>
      <c r="K50" s="581"/>
      <c r="M50" s="65" t="s">
        <v>17</v>
      </c>
      <c r="N50" s="67"/>
      <c r="O50" s="67"/>
      <c r="P50" s="67"/>
      <c r="Q50" s="67"/>
      <c r="R50" s="67"/>
      <c r="S50" s="67"/>
      <c r="T50" s="67"/>
      <c r="U50" s="67"/>
      <c r="V50" s="66"/>
      <c r="W50" s="67"/>
      <c r="X50" s="67"/>
      <c r="Y50" s="67"/>
      <c r="Z50" s="67"/>
      <c r="AA50" s="67"/>
    </row>
    <row r="51" spans="1:27" ht="14.25">
      <c r="A51" s="23"/>
      <c r="B51" s="70" t="s">
        <v>101</v>
      </c>
      <c r="C51" s="588" t="s">
        <v>89</v>
      </c>
      <c r="D51" s="589"/>
      <c r="E51" s="590"/>
      <c r="F51" s="28">
        <v>18</v>
      </c>
      <c r="G51" s="28">
        <v>800</v>
      </c>
      <c r="H51" s="28">
        <v>44.44</v>
      </c>
      <c r="I51" s="28">
        <v>-15</v>
      </c>
      <c r="J51" s="588" t="s">
        <v>84</v>
      </c>
      <c r="K51" s="590"/>
      <c r="M51" s="8"/>
      <c r="N51" s="8" t="s">
        <v>18</v>
      </c>
      <c r="O51" s="591" t="s">
        <v>12</v>
      </c>
      <c r="P51" s="582"/>
      <c r="Q51" s="592"/>
      <c r="R51" s="597" t="s">
        <v>53</v>
      </c>
      <c r="S51" s="598"/>
      <c r="T51" s="599"/>
      <c r="U51" s="58" t="s">
        <v>54</v>
      </c>
      <c r="V51" s="39" t="s">
        <v>19</v>
      </c>
      <c r="W51" s="58" t="s">
        <v>57</v>
      </c>
      <c r="X51" s="8" t="s">
        <v>2</v>
      </c>
      <c r="Y51" s="591" t="s">
        <v>50</v>
      </c>
      <c r="Z51" s="582"/>
      <c r="AA51" s="592"/>
    </row>
    <row r="52" spans="1:27" ht="14.25">
      <c r="A52" s="23"/>
      <c r="B52" s="71" t="s">
        <v>102</v>
      </c>
      <c r="C52" s="578"/>
      <c r="D52" s="586"/>
      <c r="E52" s="579"/>
      <c r="F52" s="4"/>
      <c r="G52" s="4"/>
      <c r="H52" s="4"/>
      <c r="I52" s="4"/>
      <c r="J52" s="578"/>
      <c r="K52" s="579"/>
      <c r="M52" s="57" t="s">
        <v>42</v>
      </c>
      <c r="N52" s="24">
        <v>1</v>
      </c>
      <c r="O52" s="585" t="s">
        <v>89</v>
      </c>
      <c r="P52" s="586"/>
      <c r="Q52" s="579"/>
      <c r="R52" s="583" t="s">
        <v>93</v>
      </c>
      <c r="S52" s="602"/>
      <c r="T52" s="584"/>
      <c r="U52" s="4">
        <v>30</v>
      </c>
      <c r="V52" s="14">
        <v>0.62</v>
      </c>
      <c r="W52" s="14">
        <v>0.57999999999999996</v>
      </c>
      <c r="X52" s="13">
        <f>W52-V52</f>
        <v>-4.0000000000000036E-2</v>
      </c>
      <c r="Y52" s="585" t="s">
        <v>97</v>
      </c>
      <c r="Z52" s="586"/>
      <c r="AA52" s="579"/>
    </row>
    <row r="53" spans="1:27" ht="14.25">
      <c r="A53" s="23"/>
      <c r="B53" s="71" t="s">
        <v>100</v>
      </c>
      <c r="C53" s="578"/>
      <c r="D53" s="586"/>
      <c r="E53" s="579"/>
      <c r="F53" s="4"/>
      <c r="G53" s="4"/>
      <c r="H53" s="4"/>
      <c r="I53" s="4"/>
      <c r="J53" s="578"/>
      <c r="K53" s="579"/>
      <c r="M53" s="25"/>
      <c r="N53" s="29">
        <v>2</v>
      </c>
      <c r="O53" s="580"/>
      <c r="P53" s="587"/>
      <c r="Q53" s="581"/>
      <c r="R53" s="580"/>
      <c r="S53" s="587"/>
      <c r="T53" s="581"/>
      <c r="U53" s="27"/>
      <c r="V53" s="30"/>
      <c r="W53" s="30"/>
      <c r="X53" s="41">
        <f>W53-V53</f>
        <v>0</v>
      </c>
      <c r="Y53" s="580"/>
      <c r="Z53" s="587"/>
      <c r="AA53" s="581"/>
    </row>
    <row r="54" spans="1:27" ht="14.25">
      <c r="A54" s="23"/>
      <c r="B54" s="71" t="s">
        <v>99</v>
      </c>
      <c r="C54" s="578"/>
      <c r="D54" s="586"/>
      <c r="E54" s="579"/>
      <c r="F54" s="4"/>
      <c r="G54" s="4"/>
      <c r="H54" s="4"/>
      <c r="I54" s="4"/>
      <c r="J54" s="578"/>
      <c r="K54" s="579"/>
      <c r="M54" s="57" t="s">
        <v>43</v>
      </c>
      <c r="N54" s="42">
        <v>1</v>
      </c>
      <c r="O54" s="588" t="s">
        <v>94</v>
      </c>
      <c r="P54" s="589"/>
      <c r="Q54" s="590"/>
      <c r="R54" s="588" t="s">
        <v>95</v>
      </c>
      <c r="S54" s="589"/>
      <c r="T54" s="590"/>
      <c r="U54" s="28">
        <v>20</v>
      </c>
      <c r="V54" s="43">
        <v>0.9</v>
      </c>
      <c r="W54" s="43">
        <v>0.82</v>
      </c>
      <c r="X54" s="44">
        <f>W54-V54</f>
        <v>-8.0000000000000071E-2</v>
      </c>
      <c r="Y54" s="588" t="s">
        <v>96</v>
      </c>
      <c r="Z54" s="589"/>
      <c r="AA54" s="590"/>
    </row>
    <row r="55" spans="1:27" ht="14.25">
      <c r="A55" s="20"/>
      <c r="B55" s="71" t="s">
        <v>103</v>
      </c>
      <c r="C55" s="578"/>
      <c r="D55" s="586"/>
      <c r="E55" s="579"/>
      <c r="F55" s="4"/>
      <c r="G55" s="4"/>
      <c r="H55" s="4"/>
      <c r="I55" s="4"/>
      <c r="J55" s="578"/>
      <c r="K55" s="579"/>
      <c r="M55" s="22"/>
      <c r="N55" s="24">
        <v>2</v>
      </c>
      <c r="O55" s="578"/>
      <c r="P55" s="586"/>
      <c r="Q55" s="579"/>
      <c r="R55" s="578"/>
      <c r="S55" s="586"/>
      <c r="T55" s="579"/>
      <c r="U55" s="4"/>
      <c r="V55" s="14"/>
      <c r="W55" s="14"/>
      <c r="X55" s="13">
        <f>W55-V55</f>
        <v>0</v>
      </c>
      <c r="Y55" s="578"/>
      <c r="Z55" s="586"/>
      <c r="AA55" s="579"/>
    </row>
  </sheetData>
  <mergeCells count="162">
    <mergeCell ref="C29:E29"/>
    <mergeCell ref="C30:E30"/>
    <mergeCell ref="C31:E31"/>
    <mergeCell ref="C33:E33"/>
    <mergeCell ref="Z37:AA37"/>
    <mergeCell ref="Z38:AA38"/>
    <mergeCell ref="Z39:AA39"/>
    <mergeCell ref="Z40:AA40"/>
    <mergeCell ref="Z41:AA41"/>
    <mergeCell ref="J38:K38"/>
    <mergeCell ref="J39:K39"/>
    <mergeCell ref="O39:Q39"/>
    <mergeCell ref="R39:T39"/>
    <mergeCell ref="O40:Q40"/>
    <mergeCell ref="R40:T40"/>
    <mergeCell ref="R41:T41"/>
    <mergeCell ref="O41:Q41"/>
    <mergeCell ref="O36:Q36"/>
    <mergeCell ref="O37:Q37"/>
    <mergeCell ref="R37:T37"/>
    <mergeCell ref="O38:Q38"/>
    <mergeCell ref="R38:T38"/>
    <mergeCell ref="O34:Q34"/>
    <mergeCell ref="R34:T34"/>
    <mergeCell ref="J26:K26"/>
    <mergeCell ref="O25:Q25"/>
    <mergeCell ref="O26:Q26"/>
    <mergeCell ref="R26:T26"/>
    <mergeCell ref="O27:Q27"/>
    <mergeCell ref="R27:T27"/>
    <mergeCell ref="O28:Q28"/>
    <mergeCell ref="R28:T28"/>
    <mergeCell ref="C26:E26"/>
    <mergeCell ref="C27:E27"/>
    <mergeCell ref="C28:E28"/>
    <mergeCell ref="O24:Q24"/>
    <mergeCell ref="R24:T24"/>
    <mergeCell ref="Z24:AA24"/>
    <mergeCell ref="R25:T25"/>
    <mergeCell ref="Z25:AA25"/>
    <mergeCell ref="J22:K22"/>
    <mergeCell ref="J23:K23"/>
    <mergeCell ref="C24:E24"/>
    <mergeCell ref="J24:K24"/>
    <mergeCell ref="C25:E25"/>
    <mergeCell ref="J25:K25"/>
    <mergeCell ref="C21:E21"/>
    <mergeCell ref="J21:K21"/>
    <mergeCell ref="C22:E22"/>
    <mergeCell ref="O22:Q22"/>
    <mergeCell ref="R22:T22"/>
    <mergeCell ref="Z22:AA22"/>
    <mergeCell ref="C23:E23"/>
    <mergeCell ref="Z23:AA23"/>
    <mergeCell ref="O23:Q23"/>
    <mergeCell ref="R23:T23"/>
    <mergeCell ref="O46:Q46"/>
    <mergeCell ref="R46:T46"/>
    <mergeCell ref="O47:Q47"/>
    <mergeCell ref="R47:T47"/>
    <mergeCell ref="R48:T48"/>
    <mergeCell ref="O54:Q54"/>
    <mergeCell ref="R54:T54"/>
    <mergeCell ref="O55:Q55"/>
    <mergeCell ref="R55:T55"/>
    <mergeCell ref="O48:Q48"/>
    <mergeCell ref="O51:Q51"/>
    <mergeCell ref="R51:T51"/>
    <mergeCell ref="O52:Q52"/>
    <mergeCell ref="R52:T52"/>
    <mergeCell ref="O53:Q53"/>
    <mergeCell ref="R53:T53"/>
    <mergeCell ref="O42:Q42"/>
    <mergeCell ref="R42:T42"/>
    <mergeCell ref="O43:Q43"/>
    <mergeCell ref="R43:T43"/>
    <mergeCell ref="O44:Q44"/>
    <mergeCell ref="R44:T44"/>
    <mergeCell ref="O45:Q45"/>
    <mergeCell ref="R45:T45"/>
    <mergeCell ref="C55:E55"/>
    <mergeCell ref="C43:E43"/>
    <mergeCell ref="C45:E45"/>
    <mergeCell ref="C46:E46"/>
    <mergeCell ref="C47:E47"/>
    <mergeCell ref="C48:E48"/>
    <mergeCell ref="C49:E49"/>
    <mergeCell ref="C50:E50"/>
    <mergeCell ref="J52:K52"/>
    <mergeCell ref="J53:K53"/>
    <mergeCell ref="J54:K54"/>
    <mergeCell ref="J55:K55"/>
    <mergeCell ref="J45:K45"/>
    <mergeCell ref="J46:K46"/>
    <mergeCell ref="J47:K47"/>
    <mergeCell ref="J48:K48"/>
    <mergeCell ref="C52:E52"/>
    <mergeCell ref="C53:E53"/>
    <mergeCell ref="C54:E54"/>
    <mergeCell ref="C34:E34"/>
    <mergeCell ref="C35:E35"/>
    <mergeCell ref="C36:E36"/>
    <mergeCell ref="C37:E37"/>
    <mergeCell ref="J37:K37"/>
    <mergeCell ref="C38:E38"/>
    <mergeCell ref="C39:E39"/>
    <mergeCell ref="C40:E40"/>
    <mergeCell ref="J40:K40"/>
    <mergeCell ref="J49:K49"/>
    <mergeCell ref="J50:K50"/>
    <mergeCell ref="J51:K51"/>
    <mergeCell ref="C41:E41"/>
    <mergeCell ref="J41:K41"/>
    <mergeCell ref="C42:E42"/>
    <mergeCell ref="J42:K42"/>
    <mergeCell ref="J43:K43"/>
    <mergeCell ref="C51:E51"/>
    <mergeCell ref="O35:Q35"/>
    <mergeCell ref="R35:T35"/>
    <mergeCell ref="R36:T36"/>
    <mergeCell ref="J35:K35"/>
    <mergeCell ref="J36:K36"/>
    <mergeCell ref="J27:K27"/>
    <mergeCell ref="J28:K28"/>
    <mergeCell ref="J29:K29"/>
    <mergeCell ref="J30:K30"/>
    <mergeCell ref="J31:K31"/>
    <mergeCell ref="J33:K33"/>
    <mergeCell ref="J34:K34"/>
    <mergeCell ref="O32:Q32"/>
    <mergeCell ref="O33:Q33"/>
    <mergeCell ref="O29:Q29"/>
    <mergeCell ref="R29:T29"/>
    <mergeCell ref="O30:Q30"/>
    <mergeCell ref="R30:T30"/>
    <mergeCell ref="O31:Q31"/>
    <mergeCell ref="R31:T31"/>
    <mergeCell ref="R32:T32"/>
    <mergeCell ref="R33:T33"/>
    <mergeCell ref="Y54:AA54"/>
    <mergeCell ref="Y55:AA55"/>
    <mergeCell ref="Z33:AA33"/>
    <mergeCell ref="Z34:AA34"/>
    <mergeCell ref="Z45:AA45"/>
    <mergeCell ref="Z46:AA46"/>
    <mergeCell ref="Z47:AA47"/>
    <mergeCell ref="Z48:AA48"/>
    <mergeCell ref="Y51:AA51"/>
    <mergeCell ref="Y35:AA35"/>
    <mergeCell ref="Z36:AA36"/>
    <mergeCell ref="Z42:AA42"/>
    <mergeCell ref="Z43:AA43"/>
    <mergeCell ref="Z44:AA44"/>
    <mergeCell ref="Z26:AA26"/>
    <mergeCell ref="Z27:AA27"/>
    <mergeCell ref="Z28:AA28"/>
    <mergeCell ref="Z29:AA29"/>
    <mergeCell ref="Z30:AA30"/>
    <mergeCell ref="Z31:AA31"/>
    <mergeCell ref="Z32:AA32"/>
    <mergeCell ref="Y52:AA52"/>
    <mergeCell ref="Y53:AA53"/>
  </mergeCells>
  <phoneticPr fontId="10"/>
  <printOptions horizontalCentered="1" gridLines="1"/>
  <pageMargins left="0.7" right="0.7" top="0.75" bottom="0.75" header="0" footer="0"/>
  <pageSetup paperSize="9" fitToHeight="0" pageOrder="overThenDown" orientation="landscape" cellComments="atEnd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0" summaryRight="0"/>
  </sheetPr>
  <dimension ref="A1:R38"/>
  <sheetViews>
    <sheetView zoomScale="90" zoomScaleNormal="90" zoomScaleSheetLayoutView="115" workbookViewId="0">
      <selection activeCell="B6" sqref="B6:B11"/>
    </sheetView>
  </sheetViews>
  <sheetFormatPr defaultColWidth="12.5703125" defaultRowHeight="15.75" customHeight="1"/>
  <cols>
    <col min="1" max="1" width="27.42578125" style="119" bestFit="1" customWidth="1"/>
    <col min="2" max="2" width="12.5703125" style="119" customWidth="1"/>
    <col min="3" max="4" width="12.5703125" style="119"/>
    <col min="5" max="5" width="16.42578125" style="119" customWidth="1"/>
    <col min="6" max="6" width="2.42578125" style="119" customWidth="1"/>
    <col min="7" max="7" width="24.85546875" style="119" bestFit="1" customWidth="1"/>
    <col min="8" max="10" width="12.5703125" style="119"/>
    <col min="11" max="11" width="16.42578125" style="119" customWidth="1"/>
    <col min="12" max="12" width="12.5703125" style="120"/>
    <col min="13" max="16384" width="12.5703125" style="119"/>
  </cols>
  <sheetData>
    <row r="1" spans="1:12" ht="15.75" customHeight="1">
      <c r="A1" s="605" t="s">
        <v>363</v>
      </c>
      <c r="B1" s="605"/>
      <c r="C1" s="605"/>
      <c r="D1" s="605"/>
      <c r="E1" s="605"/>
      <c r="F1" s="605"/>
      <c r="G1" s="605"/>
      <c r="H1" s="605"/>
      <c r="I1" s="605"/>
      <c r="J1" s="605"/>
      <c r="K1" s="605"/>
      <c r="L1" s="119"/>
    </row>
    <row r="2" spans="1:12" s="120" customFormat="1" ht="15.75" customHeight="1">
      <c r="A2" s="605"/>
      <c r="B2" s="605"/>
      <c r="C2" s="605"/>
      <c r="D2" s="605"/>
      <c r="E2" s="605"/>
      <c r="F2" s="605"/>
      <c r="G2" s="605"/>
      <c r="H2" s="605"/>
      <c r="I2" s="605"/>
      <c r="J2" s="605"/>
      <c r="K2" s="605"/>
    </row>
    <row r="3" spans="1:12" ht="21.6" customHeight="1">
      <c r="A3" s="139" t="s">
        <v>306</v>
      </c>
      <c r="B3" s="140">
        <v>10</v>
      </c>
      <c r="C3" s="139" t="s">
        <v>20</v>
      </c>
      <c r="D3" s="606" t="s">
        <v>362</v>
      </c>
      <c r="E3" s="606"/>
      <c r="F3" s="130"/>
      <c r="G3" s="131"/>
      <c r="H3" s="130"/>
      <c r="I3" s="130"/>
      <c r="J3" s="130"/>
      <c r="K3" s="130"/>
    </row>
    <row r="4" spans="1:12" s="121" customFormat="1" ht="15.75" customHeight="1">
      <c r="A4" s="132" t="s">
        <v>176</v>
      </c>
      <c r="B4" s="133"/>
      <c r="C4" s="133"/>
      <c r="D4" s="133"/>
      <c r="E4" s="123" t="s">
        <v>23</v>
      </c>
      <c r="F4" s="133"/>
      <c r="G4" s="134" t="s">
        <v>125</v>
      </c>
      <c r="H4" s="133"/>
      <c r="I4" s="133"/>
      <c r="J4" s="133"/>
      <c r="K4" s="133"/>
    </row>
    <row r="5" spans="1:12" s="125" customFormat="1" ht="15.75" customHeight="1">
      <c r="A5" s="146" t="s">
        <v>178</v>
      </c>
      <c r="B5" s="141" t="s">
        <v>22</v>
      </c>
      <c r="C5" s="141" t="s">
        <v>1</v>
      </c>
      <c r="D5" s="141" t="s">
        <v>2</v>
      </c>
      <c r="E5" s="141" t="s">
        <v>3</v>
      </c>
      <c r="F5" s="135"/>
      <c r="G5" s="146" t="s">
        <v>178</v>
      </c>
      <c r="H5" s="141" t="s">
        <v>69</v>
      </c>
      <c r="I5" s="141" t="s">
        <v>22</v>
      </c>
      <c r="J5" s="141" t="s">
        <v>67</v>
      </c>
      <c r="K5" s="141" t="s">
        <v>3</v>
      </c>
      <c r="L5" s="126" t="s">
        <v>60</v>
      </c>
    </row>
    <row r="6" spans="1:12" s="121" customFormat="1" ht="18" customHeight="1">
      <c r="A6" s="128" t="s">
        <v>24</v>
      </c>
      <c r="B6" s="142">
        <f>'（１）收支狀況'!H10/1000</f>
        <v>248139.74900000001</v>
      </c>
      <c r="C6" s="271">
        <v>224463.48699999999</v>
      </c>
      <c r="D6" s="142">
        <f t="shared" ref="D6:D11" si="0">B6-C6</f>
        <v>23676.262000000017</v>
      </c>
      <c r="E6" s="142">
        <f t="shared" ref="E6:E11" si="1">B6</f>
        <v>248139.74900000001</v>
      </c>
      <c r="F6" s="133"/>
      <c r="G6" s="128" t="s">
        <v>179</v>
      </c>
      <c r="H6" s="274">
        <v>266</v>
      </c>
      <c r="I6" s="144">
        <f>'（２）ＫＰＩ達成進度'!H6</f>
        <v>0</v>
      </c>
      <c r="J6" s="286">
        <v>330.21457859125206</v>
      </c>
      <c r="K6" s="144">
        <f t="shared" ref="K6:K11" si="2">I6</f>
        <v>0</v>
      </c>
      <c r="L6" s="122" t="s">
        <v>175</v>
      </c>
    </row>
    <row r="7" spans="1:12" s="121" customFormat="1" ht="18" customHeight="1">
      <c r="A7" s="128" t="s">
        <v>25</v>
      </c>
      <c r="B7" s="142">
        <f>'（１）收支狀況'!K10</f>
        <v>7294039</v>
      </c>
      <c r="C7" s="271">
        <v>6964636</v>
      </c>
      <c r="D7" s="142">
        <f t="shared" si="0"/>
        <v>329403</v>
      </c>
      <c r="E7" s="142">
        <f t="shared" si="1"/>
        <v>7294039</v>
      </c>
      <c r="F7" s="133"/>
      <c r="G7" s="128" t="s">
        <v>180</v>
      </c>
      <c r="H7" s="252">
        <v>0.8</v>
      </c>
      <c r="I7" s="143">
        <f>'（２）ＫＰＩ達成進度'!K6</f>
        <v>0</v>
      </c>
      <c r="J7" s="272">
        <v>0.90222562456626254</v>
      </c>
      <c r="K7" s="143">
        <f t="shared" si="2"/>
        <v>0</v>
      </c>
      <c r="L7" s="122" t="s">
        <v>4</v>
      </c>
    </row>
    <row r="8" spans="1:12" s="121" customFormat="1" ht="18" customHeight="1">
      <c r="A8" s="128" t="s">
        <v>5</v>
      </c>
      <c r="B8" s="142">
        <f>'（１）收支狀況'!N10/1000</f>
        <v>166242.09700000001</v>
      </c>
      <c r="C8" s="271">
        <v>150244.29199999999</v>
      </c>
      <c r="D8" s="142">
        <f>B8-C8</f>
        <v>15997.805000000022</v>
      </c>
      <c r="E8" s="142">
        <f t="shared" si="1"/>
        <v>166242.09700000001</v>
      </c>
      <c r="F8" s="133"/>
      <c r="G8" s="128" t="s">
        <v>181</v>
      </c>
      <c r="H8" s="247">
        <v>2.5000000000000001E-3</v>
      </c>
      <c r="I8" s="247">
        <f>'（２）ＫＰＩ達成進度'!N6</f>
        <v>0</v>
      </c>
      <c r="J8" s="287">
        <v>2.4646256819628254E-3</v>
      </c>
      <c r="K8" s="247">
        <f t="shared" si="2"/>
        <v>0</v>
      </c>
      <c r="L8" s="122" t="s">
        <v>55</v>
      </c>
    </row>
    <row r="9" spans="1:12" s="121" customFormat="1" ht="18" customHeight="1">
      <c r="A9" s="128" t="s">
        <v>6</v>
      </c>
      <c r="B9" s="143">
        <f>'（１）收支狀況'!Q10</f>
        <v>0.66995351478331677</v>
      </c>
      <c r="C9" s="272">
        <v>0.66934847180735457</v>
      </c>
      <c r="D9" s="143">
        <f t="shared" si="0"/>
        <v>6.0504297596220002E-4</v>
      </c>
      <c r="E9" s="143">
        <f t="shared" si="1"/>
        <v>0.66995351478331677</v>
      </c>
      <c r="F9" s="133"/>
      <c r="G9" s="128" t="s">
        <v>182</v>
      </c>
      <c r="H9" s="247">
        <v>2.5999999999999999E-3</v>
      </c>
      <c r="I9" s="247">
        <f>'（２）ＫＰＩ達成進度'!Q6</f>
        <v>0</v>
      </c>
      <c r="J9" s="287">
        <v>2.3405370745029669E-3</v>
      </c>
      <c r="K9" s="247">
        <f t="shared" si="2"/>
        <v>0</v>
      </c>
      <c r="L9" s="122" t="s">
        <v>98</v>
      </c>
    </row>
    <row r="10" spans="1:12" s="121" customFormat="1" ht="18" customHeight="1">
      <c r="A10" s="128" t="s">
        <v>64</v>
      </c>
      <c r="B10" s="142">
        <f>'（１）收支狀況'!T10/1000</f>
        <v>29105.019065908204</v>
      </c>
      <c r="C10" s="271">
        <v>32105.786706827967</v>
      </c>
      <c r="D10" s="142">
        <f t="shared" si="0"/>
        <v>-3000.7676409197629</v>
      </c>
      <c r="E10" s="142">
        <f t="shared" si="1"/>
        <v>29105.019065908204</v>
      </c>
      <c r="F10" s="133"/>
      <c r="G10" s="128" t="s">
        <v>183</v>
      </c>
      <c r="H10" s="249">
        <v>0.8</v>
      </c>
      <c r="I10" s="249">
        <f>'（２）ＫＰＩ達成進度'!T6</f>
        <v>0</v>
      </c>
      <c r="J10" s="288">
        <v>0.91666666666666707</v>
      </c>
      <c r="K10" s="249">
        <f t="shared" si="2"/>
        <v>0</v>
      </c>
      <c r="L10" s="122" t="s">
        <v>7</v>
      </c>
    </row>
    <row r="11" spans="1:12" s="121" customFormat="1" ht="18" customHeight="1">
      <c r="A11" s="128" t="s">
        <v>65</v>
      </c>
      <c r="B11" s="143">
        <f>'（１）收支狀況'!W10</f>
        <v>0.11729285285086753</v>
      </c>
      <c r="C11" s="272">
        <v>0.14303344894053066</v>
      </c>
      <c r="D11" s="143">
        <f t="shared" si="0"/>
        <v>-2.5740596089663129E-2</v>
      </c>
      <c r="E11" s="143">
        <f t="shared" si="1"/>
        <v>0.11729285285086753</v>
      </c>
      <c r="F11" s="133"/>
      <c r="G11" s="128" t="s">
        <v>184</v>
      </c>
      <c r="H11" s="249">
        <v>1</v>
      </c>
      <c r="I11" s="143">
        <f>'（２）ＫＰＩ達成進度'!W6</f>
        <v>0</v>
      </c>
      <c r="J11" s="272">
        <v>0.84941935483870945</v>
      </c>
      <c r="K11" s="143">
        <f t="shared" si="2"/>
        <v>0</v>
      </c>
      <c r="L11" s="122" t="s">
        <v>62</v>
      </c>
    </row>
    <row r="12" spans="1:12" s="121" customFormat="1" ht="9.6" customHeight="1">
      <c r="A12" s="133"/>
      <c r="B12" s="133"/>
      <c r="C12" s="133"/>
      <c r="D12" s="133"/>
      <c r="E12" s="133"/>
      <c r="F12" s="133"/>
      <c r="G12" s="133"/>
      <c r="H12" s="133"/>
      <c r="I12" s="133"/>
      <c r="J12" s="133"/>
      <c r="K12" s="133"/>
    </row>
    <row r="13" spans="1:12" s="121" customFormat="1" ht="15.75" customHeight="1">
      <c r="A13" s="132" t="s">
        <v>32</v>
      </c>
      <c r="B13" s="133"/>
      <c r="C13" s="133"/>
      <c r="D13" s="133"/>
      <c r="E13" s="133"/>
      <c r="F13" s="133"/>
      <c r="G13" s="132" t="s">
        <v>147</v>
      </c>
      <c r="H13" s="133"/>
      <c r="I13" s="133"/>
      <c r="J13" s="133"/>
      <c r="K13" s="133"/>
    </row>
    <row r="14" spans="1:12" s="127" customFormat="1" ht="14.25">
      <c r="A14" s="145"/>
      <c r="B14" s="145" t="s">
        <v>22</v>
      </c>
      <c r="C14" s="145" t="s">
        <v>66</v>
      </c>
      <c r="D14" s="145" t="s">
        <v>67</v>
      </c>
      <c r="E14" s="145" t="s">
        <v>68</v>
      </c>
      <c r="F14" s="136"/>
      <c r="G14" s="145"/>
      <c r="H14" s="145" t="s">
        <v>22</v>
      </c>
      <c r="I14" s="145" t="s">
        <v>66</v>
      </c>
      <c r="J14" s="145" t="s">
        <v>67</v>
      </c>
      <c r="K14" s="145" t="s">
        <v>68</v>
      </c>
    </row>
    <row r="15" spans="1:12" s="121" customFormat="1" ht="18" customHeight="1">
      <c r="A15" s="128" t="s">
        <v>208</v>
      </c>
      <c r="B15" s="142">
        <f>'（３）業績構成比'!M50/1000</f>
        <v>44342.131789775267</v>
      </c>
      <c r="C15" s="143">
        <f>IFERROR(B15/$B$6,"")</f>
        <v>0.17869822133887653</v>
      </c>
      <c r="D15" s="272">
        <v>0.19061185820038584</v>
      </c>
      <c r="E15" s="143">
        <f>IFERROR(C15-D15,"")</f>
        <v>-1.1913636861509314E-2</v>
      </c>
      <c r="F15" s="133"/>
      <c r="G15" s="128" t="s">
        <v>213</v>
      </c>
      <c r="H15" s="142">
        <f>'（４）訂單數量構成比'!M50</f>
        <v>2414902</v>
      </c>
      <c r="I15" s="143">
        <f t="shared" ref="I15:I23" si="3">IFERROR(H15/$B$7,"")</f>
        <v>0.33107884397108378</v>
      </c>
      <c r="J15" s="272">
        <v>0.33067557299476957</v>
      </c>
      <c r="K15" s="143">
        <f t="shared" ref="K15:K23" si="4">IFERROR(I15-J15,"")</f>
        <v>4.0327097631420727E-4</v>
      </c>
    </row>
    <row r="16" spans="1:12" s="121" customFormat="1" ht="18" customHeight="1">
      <c r="A16" s="128" t="s">
        <v>203</v>
      </c>
      <c r="B16" s="142">
        <f>'（３）業績構成比'!S50/1000</f>
        <v>6015.7806050803329</v>
      </c>
      <c r="C16" s="143">
        <f t="shared" ref="C16:C23" si="5">IFERROR(B16/$B$6,"")</f>
        <v>2.4243518538742185E-2</v>
      </c>
      <c r="D16" s="272">
        <v>4.2789233591899609E-2</v>
      </c>
      <c r="E16" s="143">
        <f t="shared" ref="E16:E23" si="6">IFERROR(C16-D16,"")</f>
        <v>-1.8545715053157424E-2</v>
      </c>
      <c r="F16" s="133"/>
      <c r="G16" s="128" t="s">
        <v>232</v>
      </c>
      <c r="H16" s="142">
        <f>'（４）訂單數量構成比'!S51</f>
        <v>214509</v>
      </c>
      <c r="I16" s="143">
        <f t="shared" si="3"/>
        <v>2.9408809028852189E-2</v>
      </c>
      <c r="J16" s="272">
        <v>6.1681041191528174E-2</v>
      </c>
      <c r="K16" s="143">
        <f t="shared" si="4"/>
        <v>-3.2272232162675982E-2</v>
      </c>
    </row>
    <row r="17" spans="1:18" s="121" customFormat="1" ht="18" customHeight="1">
      <c r="A17" s="128" t="s">
        <v>199</v>
      </c>
      <c r="B17" s="142">
        <f>'（３）業績構成比'!U50/1000</f>
        <v>33810.737661965955</v>
      </c>
      <c r="C17" s="143">
        <f t="shared" si="5"/>
        <v>0.13625683832688149</v>
      </c>
      <c r="D17" s="272">
        <v>8.6938303169141445E-2</v>
      </c>
      <c r="E17" s="143">
        <f t="shared" si="6"/>
        <v>4.931853515774004E-2</v>
      </c>
      <c r="F17" s="133"/>
      <c r="G17" s="128" t="s">
        <v>214</v>
      </c>
      <c r="H17" s="142">
        <f>'（４）訂單數量構成比'!U50</f>
        <v>1027741</v>
      </c>
      <c r="I17" s="143">
        <f t="shared" si="3"/>
        <v>0.14090149504273283</v>
      </c>
      <c r="J17" s="272">
        <v>8.2530228428305513E-2</v>
      </c>
      <c r="K17" s="143">
        <f t="shared" si="4"/>
        <v>5.837126661442732E-2</v>
      </c>
    </row>
    <row r="18" spans="1:18" s="121" customFormat="1" ht="18" customHeight="1">
      <c r="A18" s="128" t="s">
        <v>201</v>
      </c>
      <c r="B18" s="142">
        <f>'（３）業績構成比'!W50/1000</f>
        <v>1770.6453759915594</v>
      </c>
      <c r="C18" s="143">
        <f t="shared" si="5"/>
        <v>7.1356781133503902E-3</v>
      </c>
      <c r="D18" s="272">
        <v>1.4659145993880142E-2</v>
      </c>
      <c r="E18" s="143">
        <f t="shared" si="6"/>
        <v>-7.5234678805297514E-3</v>
      </c>
      <c r="F18" s="133"/>
      <c r="G18" s="128" t="s">
        <v>200</v>
      </c>
      <c r="H18" s="142">
        <f>'（４）訂單數量構成比'!W50</f>
        <v>58321</v>
      </c>
      <c r="I18" s="143">
        <f t="shared" si="3"/>
        <v>7.9957071795201534E-3</v>
      </c>
      <c r="J18" s="272">
        <v>1.6773740939224964E-2</v>
      </c>
      <c r="K18" s="143">
        <f t="shared" si="4"/>
        <v>-8.7780337597048105E-3</v>
      </c>
    </row>
    <row r="19" spans="1:18" s="121" customFormat="1" ht="18" customHeight="1">
      <c r="A19" s="128" t="s">
        <v>205</v>
      </c>
      <c r="B19" s="142">
        <f>'（３）業績構成比'!AC50/1000</f>
        <v>63361.602655361414</v>
      </c>
      <c r="C19" s="143">
        <f t="shared" si="5"/>
        <v>0.25534644453662847</v>
      </c>
      <c r="D19" s="272">
        <v>0.24409177848792188</v>
      </c>
      <c r="E19" s="143">
        <f t="shared" si="6"/>
        <v>1.1254666048706591E-2</v>
      </c>
      <c r="F19" s="133"/>
      <c r="G19" s="128" t="s">
        <v>204</v>
      </c>
      <c r="H19" s="142">
        <f>'（４）訂單數量構成比'!AC50</f>
        <v>1653477</v>
      </c>
      <c r="I19" s="143">
        <f t="shared" si="3"/>
        <v>0.22668880712044451</v>
      </c>
      <c r="J19" s="272">
        <v>0.19673059726308739</v>
      </c>
      <c r="K19" s="143">
        <f t="shared" si="4"/>
        <v>2.9958209857357115E-2</v>
      </c>
    </row>
    <row r="20" spans="1:18" s="121" customFormat="1" ht="18" customHeight="1">
      <c r="A20" s="128" t="s">
        <v>207</v>
      </c>
      <c r="B20" s="142">
        <f>'（３）業績構成比'!AE50/1000</f>
        <v>45816.108618545251</v>
      </c>
      <c r="C20" s="143">
        <f t="shared" si="5"/>
        <v>0.18463832901896443</v>
      </c>
      <c r="D20" s="272">
        <v>0.1397972381723295</v>
      </c>
      <c r="E20" s="143">
        <f t="shared" si="6"/>
        <v>4.4841090846634929E-2</v>
      </c>
      <c r="F20" s="133"/>
      <c r="G20" s="128" t="s">
        <v>206</v>
      </c>
      <c r="H20" s="142">
        <f>'（４）訂單數量構成比'!AE50</f>
        <v>780280</v>
      </c>
      <c r="I20" s="143">
        <f t="shared" si="3"/>
        <v>0.10697502440006147</v>
      </c>
      <c r="J20" s="272">
        <v>7.9797709456746913E-2</v>
      </c>
      <c r="K20" s="143">
        <f t="shared" si="4"/>
        <v>2.7177314943314559E-2</v>
      </c>
    </row>
    <row r="21" spans="1:18" s="121" customFormat="1" ht="18" customHeight="1">
      <c r="A21" s="128" t="s">
        <v>209</v>
      </c>
      <c r="B21" s="142">
        <f>'（３）業績構成比'!AG50/1000</f>
        <v>24848.504011937239</v>
      </c>
      <c r="C21" s="143">
        <f>IFERROR(B21/$B$6,"")</f>
        <v>0.10013915187742548</v>
      </c>
      <c r="D21" s="272">
        <v>0.13619626613806221</v>
      </c>
      <c r="E21" s="143">
        <f>IFERROR(C21-D21,"")</f>
        <v>-3.6057114260636736E-2</v>
      </c>
      <c r="F21" s="133"/>
      <c r="G21" s="128" t="s">
        <v>215</v>
      </c>
      <c r="H21" s="142">
        <f>'（４）訂單數量構成比'!AG50</f>
        <v>509873</v>
      </c>
      <c r="I21" s="143">
        <f>IFERROR(H21/$B$7,"")</f>
        <v>6.9902697257308327E-2</v>
      </c>
      <c r="J21" s="272">
        <v>9.0009011239065476E-2</v>
      </c>
      <c r="K21" s="143">
        <f>IFERROR(I21-J21,"")</f>
        <v>-2.0106313981757148E-2</v>
      </c>
    </row>
    <row r="22" spans="1:18" s="121" customFormat="1" ht="18" customHeight="1">
      <c r="A22" s="128" t="s">
        <v>210</v>
      </c>
      <c r="B22" s="142">
        <f>'（３）業績構成比'!AI50/1000</f>
        <v>33627.885955463898</v>
      </c>
      <c r="C22" s="143">
        <f t="shared" si="5"/>
        <v>0.13551994829922995</v>
      </c>
      <c r="D22" s="272">
        <v>6.8175373790099608E-2</v>
      </c>
      <c r="E22" s="143">
        <f t="shared" si="6"/>
        <v>6.7344574509130339E-2</v>
      </c>
      <c r="F22" s="133"/>
      <c r="G22" s="128" t="s">
        <v>216</v>
      </c>
      <c r="H22" s="142">
        <f>'（４）訂單數量構成比'!AI50</f>
        <v>905310</v>
      </c>
      <c r="I22" s="143">
        <f t="shared" si="3"/>
        <v>0.12411641890041991</v>
      </c>
      <c r="J22" s="272">
        <v>5.972113976954431E-2</v>
      </c>
      <c r="K22" s="143">
        <f t="shared" si="4"/>
        <v>6.4395279130875602E-2</v>
      </c>
    </row>
    <row r="23" spans="1:18" s="121" customFormat="1" ht="18" customHeight="1">
      <c r="A23" s="128" t="s">
        <v>212</v>
      </c>
      <c r="B23" s="142">
        <f>'（３）業績構成比'!AK50/1000</f>
        <v>23318.047128319988</v>
      </c>
      <c r="C23" s="143">
        <f t="shared" si="5"/>
        <v>9.3971430302043177E-2</v>
      </c>
      <c r="D23" s="272">
        <v>7.674080245627983E-2</v>
      </c>
      <c r="E23" s="143">
        <f t="shared" si="6"/>
        <v>1.7230627845763347E-2</v>
      </c>
      <c r="F23" s="133"/>
      <c r="G23" s="128" t="s">
        <v>211</v>
      </c>
      <c r="H23" s="142">
        <f>'（４）訂單數量構成比'!AK50</f>
        <v>789229</v>
      </c>
      <c r="I23" s="143">
        <f t="shared" si="3"/>
        <v>0.10820191666098851</v>
      </c>
      <c r="J23" s="272">
        <v>8.2080958717727678E-2</v>
      </c>
      <c r="K23" s="143">
        <f t="shared" si="4"/>
        <v>2.6120957943260831E-2</v>
      </c>
    </row>
    <row r="24" spans="1:18" s="121" customFormat="1" ht="15.75" customHeight="1">
      <c r="A24" s="133"/>
      <c r="B24" s="133"/>
      <c r="C24" s="137">
        <f>SUM(C15:C23)</f>
        <v>1.1159495603521421</v>
      </c>
      <c r="D24" s="137">
        <f>SUM(D15:D23)</f>
        <v>1.0000000000000002</v>
      </c>
      <c r="E24" s="133"/>
      <c r="F24" s="133"/>
      <c r="G24" s="133"/>
      <c r="H24" s="133"/>
      <c r="I24" s="137">
        <f>SUM(I15:I23)</f>
        <v>1.1452697195614114</v>
      </c>
      <c r="J24" s="137">
        <f>SUM(J15:J23)</f>
        <v>1</v>
      </c>
      <c r="K24" s="133"/>
    </row>
    <row r="25" spans="1:18" s="121" customFormat="1" ht="9.6" customHeight="1">
      <c r="A25" s="138"/>
      <c r="B25" s="133"/>
      <c r="C25" s="133"/>
      <c r="D25" s="133"/>
      <c r="E25" s="133"/>
      <c r="F25" s="133"/>
      <c r="G25" s="133"/>
      <c r="H25" s="133"/>
      <c r="I25" s="133"/>
      <c r="J25" s="133"/>
      <c r="K25" s="133"/>
    </row>
    <row r="26" spans="1:18" s="121" customFormat="1" ht="15.75" customHeight="1">
      <c r="A26" s="132" t="s">
        <v>177</v>
      </c>
      <c r="B26" s="133"/>
      <c r="C26" s="133"/>
      <c r="D26" s="133"/>
      <c r="E26" s="133"/>
      <c r="F26" s="133"/>
      <c r="G26" s="133"/>
      <c r="H26" s="133"/>
      <c r="I26" s="133"/>
      <c r="J26" s="133"/>
      <c r="K26" s="133"/>
      <c r="L26" s="133"/>
      <c r="M26" s="133"/>
      <c r="N26" s="133"/>
      <c r="O26" s="133"/>
      <c r="P26" s="133"/>
      <c r="Q26" s="133"/>
      <c r="R26" s="133"/>
    </row>
    <row r="27" spans="1:18" s="121" customFormat="1" ht="15.75" customHeight="1">
      <c r="A27" s="128" t="s">
        <v>167</v>
      </c>
      <c r="B27" s="128" t="s">
        <v>22</v>
      </c>
      <c r="C27" s="128" t="s">
        <v>1</v>
      </c>
      <c r="D27" s="128" t="s">
        <v>2</v>
      </c>
      <c r="E27" s="128" t="s">
        <v>3</v>
      </c>
      <c r="F27" s="133"/>
      <c r="G27" s="133"/>
      <c r="H27" s="133"/>
      <c r="I27" s="133"/>
      <c r="M27" s="135" t="s">
        <v>423</v>
      </c>
      <c r="N27" s="135" t="s">
        <v>424</v>
      </c>
      <c r="O27" s="135" t="s">
        <v>425</v>
      </c>
      <c r="P27" s="135" t="s">
        <v>426</v>
      </c>
      <c r="Q27" s="135" t="s">
        <v>427</v>
      </c>
      <c r="R27" s="133"/>
    </row>
    <row r="28" spans="1:18" s="121" customFormat="1" ht="18" customHeight="1">
      <c r="A28" s="128" t="s">
        <v>213</v>
      </c>
      <c r="B28" s="273">
        <f>'（５-1）品群別人時生產性（18℃-飯糰）'!$C$1</f>
        <v>815.88841001195294</v>
      </c>
      <c r="C28" s="302">
        <v>756.20246993670457</v>
      </c>
      <c r="D28" s="243">
        <f t="shared" ref="D28:D36" si="7">B28-C28</f>
        <v>59.685940075248368</v>
      </c>
      <c r="E28" s="273">
        <f>R28</f>
        <v>766.7079724699563</v>
      </c>
      <c r="F28" s="133"/>
      <c r="G28" s="147"/>
      <c r="H28" s="147"/>
      <c r="I28" s="147"/>
      <c r="M28" s="273">
        <v>717.52753492795955</v>
      </c>
      <c r="N28" s="273">
        <f>B28</f>
        <v>815.88841001195294</v>
      </c>
      <c r="O28" s="273"/>
      <c r="P28" s="273"/>
      <c r="Q28" s="273"/>
      <c r="R28" s="289">
        <f>AVERAGE(M28:Q28)</f>
        <v>766.7079724699563</v>
      </c>
    </row>
    <row r="29" spans="1:18" s="121" customFormat="1" ht="18" customHeight="1">
      <c r="A29" s="128" t="s">
        <v>202</v>
      </c>
      <c r="B29" s="273">
        <f>'（５-2）品群別人時生產性（18-壽司手卷)'!$C$1</f>
        <v>139.22698391736532</v>
      </c>
      <c r="C29" s="302">
        <v>198.82982221081653</v>
      </c>
      <c r="D29" s="243">
        <f t="shared" si="7"/>
        <v>-59.602838293451214</v>
      </c>
      <c r="E29" s="273">
        <f t="shared" ref="E29:E36" si="8">R29</f>
        <v>168.42985040183669</v>
      </c>
      <c r="F29" s="133"/>
      <c r="G29" s="148"/>
      <c r="H29" s="148"/>
      <c r="I29" s="148"/>
      <c r="M29" s="273">
        <v>197.63271688630809</v>
      </c>
      <c r="N29" s="273">
        <f t="shared" ref="N29:N36" si="9">B29</f>
        <v>139.22698391736532</v>
      </c>
      <c r="O29" s="273"/>
      <c r="P29" s="273"/>
      <c r="Q29" s="273"/>
      <c r="R29" s="289">
        <f t="shared" ref="R29:R36" si="10">AVERAGE(M29:Q29)</f>
        <v>168.42985040183669</v>
      </c>
    </row>
    <row r="30" spans="1:18" s="121" customFormat="1" ht="18" customHeight="1">
      <c r="A30" s="128" t="s">
        <v>214</v>
      </c>
      <c r="B30" s="273">
        <f>'（５-3）品群別人時生產性（4℃-飯糰)'!$C$1</f>
        <v>235.16397851804476</v>
      </c>
      <c r="C30" s="302">
        <v>253.36933201602551</v>
      </c>
      <c r="D30" s="243">
        <f t="shared" si="7"/>
        <v>-18.205353497980752</v>
      </c>
      <c r="E30" s="273">
        <f t="shared" si="8"/>
        <v>237.811274948174</v>
      </c>
      <c r="F30" s="133"/>
      <c r="G30" s="133"/>
      <c r="H30" s="133"/>
      <c r="I30" s="133"/>
      <c r="M30" s="273">
        <v>240.45857137830325</v>
      </c>
      <c r="N30" s="273">
        <f t="shared" si="9"/>
        <v>235.16397851804476</v>
      </c>
      <c r="O30" s="273"/>
      <c r="P30" s="273"/>
      <c r="Q30" s="273"/>
      <c r="R30" s="289">
        <f t="shared" si="10"/>
        <v>237.811274948174</v>
      </c>
    </row>
    <row r="31" spans="1:18" s="121" customFormat="1" ht="18" customHeight="1">
      <c r="A31" s="128" t="s">
        <v>200</v>
      </c>
      <c r="B31" s="273">
        <f>'（５-4）品群別人時生產性（4℃-壽司手卷)'!$C$1</f>
        <v>149.22745576310135</v>
      </c>
      <c r="C31" s="302">
        <v>112.99131142028241</v>
      </c>
      <c r="D31" s="243">
        <f t="shared" si="7"/>
        <v>36.236144342818932</v>
      </c>
      <c r="E31" s="273">
        <f t="shared" si="8"/>
        <v>128.04628933561946</v>
      </c>
      <c r="F31" s="133"/>
      <c r="G31" s="133"/>
      <c r="H31" s="133"/>
      <c r="I31" s="133"/>
      <c r="M31" s="273">
        <v>106.86512290813759</v>
      </c>
      <c r="N31" s="273">
        <f t="shared" si="9"/>
        <v>149.22745576310135</v>
      </c>
      <c r="O31" s="273"/>
      <c r="P31" s="273"/>
      <c r="Q31" s="273"/>
      <c r="R31" s="289">
        <f t="shared" si="10"/>
        <v>128.04628933561946</v>
      </c>
    </row>
    <row r="32" spans="1:18" s="121" customFormat="1" ht="18" customHeight="1">
      <c r="A32" s="128" t="s">
        <v>204</v>
      </c>
      <c r="B32" s="273">
        <f>'（５-5）品群別人時生產性(主食) '!$C$1</f>
        <v>89.769931741277631</v>
      </c>
      <c r="C32" s="302">
        <v>85.495684450909806</v>
      </c>
      <c r="D32" s="243">
        <f t="shared" si="7"/>
        <v>4.2742472903678248</v>
      </c>
      <c r="E32" s="273">
        <f t="shared" si="8"/>
        <v>89.540180073005459</v>
      </c>
      <c r="F32" s="133"/>
      <c r="G32" s="133"/>
      <c r="H32" s="133"/>
      <c r="I32" s="133"/>
      <c r="M32" s="273">
        <v>89.310428404733287</v>
      </c>
      <c r="N32" s="273">
        <f t="shared" si="9"/>
        <v>89.769931741277631</v>
      </c>
      <c r="O32" s="273"/>
      <c r="P32" s="273"/>
      <c r="Q32" s="273"/>
      <c r="R32" s="289">
        <f t="shared" si="10"/>
        <v>89.540180073005459</v>
      </c>
    </row>
    <row r="33" spans="1:18" s="121" customFormat="1" ht="18" customHeight="1">
      <c r="A33" s="128" t="s">
        <v>206</v>
      </c>
      <c r="B33" s="273">
        <f>'（５-6）品群別人時生產性(便當)'!$C$1</f>
        <v>72.005371898797449</v>
      </c>
      <c r="C33" s="302">
        <v>66.943613625537381</v>
      </c>
      <c r="D33" s="243">
        <f t="shared" si="7"/>
        <v>5.0617582732600681</v>
      </c>
      <c r="E33" s="273">
        <f t="shared" si="8"/>
        <v>68.839057179038605</v>
      </c>
      <c r="F33" s="133"/>
      <c r="G33" s="133"/>
      <c r="H33" s="133"/>
      <c r="I33" s="133"/>
      <c r="M33" s="273">
        <v>65.67274245927976</v>
      </c>
      <c r="N33" s="273">
        <f t="shared" si="9"/>
        <v>72.005371898797449</v>
      </c>
      <c r="O33" s="273"/>
      <c r="P33" s="273"/>
      <c r="Q33" s="273"/>
      <c r="R33" s="289">
        <f t="shared" si="10"/>
        <v>68.839057179038605</v>
      </c>
    </row>
    <row r="34" spans="1:18" s="121" customFormat="1" ht="18" customHeight="1">
      <c r="A34" s="128" t="s">
        <v>215</v>
      </c>
      <c r="B34" s="273">
        <f>'（５-7）品群別人時生產性(熱食義麵) '!$C$1</f>
        <v>79.761775622504771</v>
      </c>
      <c r="C34" s="302">
        <v>80.555861357885718</v>
      </c>
      <c r="D34" s="243">
        <f t="shared" si="7"/>
        <v>-0.79408573538094629</v>
      </c>
      <c r="E34" s="273">
        <f t="shared" si="8"/>
        <v>77.620172322228768</v>
      </c>
      <c r="F34" s="133"/>
      <c r="G34" s="133"/>
      <c r="H34" s="133"/>
      <c r="I34" s="133"/>
      <c r="M34" s="273">
        <v>75.478569021952779</v>
      </c>
      <c r="N34" s="273">
        <f t="shared" si="9"/>
        <v>79.761775622504771</v>
      </c>
      <c r="O34" s="273"/>
      <c r="P34" s="273"/>
      <c r="Q34" s="273"/>
      <c r="R34" s="289">
        <f t="shared" si="10"/>
        <v>77.620172322228768</v>
      </c>
    </row>
    <row r="35" spans="1:18" s="121" customFormat="1" ht="18" customHeight="1">
      <c r="A35" s="128" t="s">
        <v>216</v>
      </c>
      <c r="B35" s="273">
        <f>'（５-8）品群別人時生產性(季節調理麵) '!$C$1</f>
        <v>125.48572844565702</v>
      </c>
      <c r="C35" s="302">
        <v>121.13262609451999</v>
      </c>
      <c r="D35" s="243">
        <f t="shared" si="7"/>
        <v>4.353102351137025</v>
      </c>
      <c r="E35" s="273">
        <f t="shared" si="8"/>
        <v>119.99565023613002</v>
      </c>
      <c r="F35" s="133"/>
      <c r="G35" s="133"/>
      <c r="H35" s="133"/>
      <c r="I35" s="133"/>
      <c r="M35" s="273">
        <v>114.50557202660302</v>
      </c>
      <c r="N35" s="273">
        <f t="shared" si="9"/>
        <v>125.48572844565702</v>
      </c>
      <c r="O35" s="273"/>
      <c r="P35" s="273"/>
      <c r="Q35" s="273"/>
      <c r="R35" s="289">
        <f t="shared" si="10"/>
        <v>119.99565023613002</v>
      </c>
    </row>
    <row r="36" spans="1:18" s="121" customFormat="1" ht="18" customHeight="1">
      <c r="A36" s="124" t="s">
        <v>211</v>
      </c>
      <c r="B36" s="273">
        <f>'（５-9）品群別人時生產性(微波小吃)'!$C$1</f>
        <v>160.65888813838649</v>
      </c>
      <c r="C36" s="302">
        <v>115.3662253913358</v>
      </c>
      <c r="D36" s="243">
        <f t="shared" si="7"/>
        <v>45.292662747050684</v>
      </c>
      <c r="E36" s="273">
        <f t="shared" si="8"/>
        <v>130.1536150901261</v>
      </c>
      <c r="F36" s="133"/>
      <c r="G36" s="133"/>
      <c r="H36" s="133"/>
      <c r="I36" s="133"/>
      <c r="M36" s="273">
        <v>99.648342041865732</v>
      </c>
      <c r="N36" s="273">
        <f t="shared" si="9"/>
        <v>160.65888813838649</v>
      </c>
      <c r="O36" s="273"/>
      <c r="P36" s="273"/>
      <c r="Q36" s="273"/>
      <c r="R36" s="289">
        <f t="shared" si="10"/>
        <v>130.1536150901261</v>
      </c>
    </row>
    <row r="37" spans="1:18" s="121" customFormat="1" ht="15.75" customHeight="1"/>
    <row r="38" spans="1:18" s="121" customFormat="1" ht="15.75" customHeight="1"/>
  </sheetData>
  <mergeCells count="2">
    <mergeCell ref="A1:K2"/>
    <mergeCell ref="D3:E3"/>
  </mergeCells>
  <phoneticPr fontId="13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R38"/>
  <sheetViews>
    <sheetView tabSelected="1" zoomScale="85" zoomScaleNormal="85" zoomScaleSheetLayoutView="100" workbookViewId="0">
      <selection activeCell="G31" sqref="G31"/>
    </sheetView>
  </sheetViews>
  <sheetFormatPr defaultColWidth="12.5703125" defaultRowHeight="15.75" customHeight="1"/>
  <cols>
    <col min="1" max="1" width="27.42578125" style="119" bestFit="1" customWidth="1"/>
    <col min="2" max="2" width="12.5703125" style="119" customWidth="1"/>
    <col min="3" max="4" width="12.5703125" style="119"/>
    <col min="5" max="5" width="16.42578125" style="119" customWidth="1"/>
    <col min="6" max="6" width="2.42578125" style="119" customWidth="1"/>
    <col min="7" max="7" width="24.85546875" style="119" bestFit="1" customWidth="1"/>
    <col min="8" max="10" width="12.5703125" style="119"/>
    <col min="11" max="11" width="16.42578125" style="119" customWidth="1"/>
    <col min="12" max="12" width="12.5703125" style="120"/>
    <col min="13" max="16384" width="12.5703125" style="119"/>
  </cols>
  <sheetData>
    <row r="1" spans="1:18" ht="15.75" customHeight="1">
      <c r="A1" s="605" t="s">
        <v>363</v>
      </c>
      <c r="B1" s="605"/>
      <c r="C1" s="605"/>
      <c r="D1" s="605"/>
      <c r="E1" s="605"/>
      <c r="F1" s="605"/>
      <c r="G1" s="605"/>
      <c r="H1" s="605"/>
      <c r="I1" s="605"/>
      <c r="J1" s="605"/>
      <c r="K1" s="605"/>
      <c r="L1" s="119"/>
    </row>
    <row r="2" spans="1:18" s="120" customFormat="1" ht="15.75" customHeight="1">
      <c r="A2" s="605"/>
      <c r="B2" s="605"/>
      <c r="C2" s="605"/>
      <c r="D2" s="605"/>
      <c r="E2" s="605"/>
      <c r="F2" s="605"/>
      <c r="G2" s="605"/>
      <c r="H2" s="605"/>
      <c r="I2" s="605"/>
      <c r="J2" s="605"/>
      <c r="K2" s="605"/>
    </row>
    <row r="3" spans="1:18" ht="21.6" customHeight="1">
      <c r="A3" s="139" t="s">
        <v>306</v>
      </c>
      <c r="B3" s="214">
        <v>8</v>
      </c>
      <c r="C3" s="216" t="s">
        <v>307</v>
      </c>
      <c r="D3" s="214" t="s">
        <v>763</v>
      </c>
      <c r="E3" s="139" t="s">
        <v>20</v>
      </c>
      <c r="F3" s="606" t="s">
        <v>362</v>
      </c>
      <c r="G3" s="606"/>
      <c r="H3" s="130"/>
      <c r="I3" s="131"/>
      <c r="J3" s="130"/>
      <c r="K3" s="130"/>
      <c r="L3" s="130"/>
      <c r="M3" s="130"/>
      <c r="N3" s="120"/>
    </row>
    <row r="4" spans="1:18" s="121" customFormat="1" ht="15.75" customHeight="1">
      <c r="A4" s="132" t="s">
        <v>176</v>
      </c>
      <c r="B4" s="133"/>
      <c r="C4" s="133"/>
      <c r="D4" s="133"/>
      <c r="E4" s="123" t="s">
        <v>23</v>
      </c>
      <c r="F4" s="133"/>
      <c r="G4" s="134" t="s">
        <v>125</v>
      </c>
      <c r="H4" s="133"/>
      <c r="I4" s="133"/>
      <c r="J4" s="133"/>
      <c r="K4" s="133"/>
    </row>
    <row r="5" spans="1:18" s="125" customFormat="1" ht="15.75" customHeight="1">
      <c r="A5" s="146" t="s">
        <v>178</v>
      </c>
      <c r="B5" s="146" t="s">
        <v>309</v>
      </c>
      <c r="C5" s="146" t="s">
        <v>311</v>
      </c>
      <c r="D5" s="141" t="s">
        <v>2</v>
      </c>
      <c r="E5" s="141" t="s">
        <v>3</v>
      </c>
      <c r="F5" s="135"/>
      <c r="G5" s="146" t="s">
        <v>178</v>
      </c>
      <c r="H5" s="141" t="s">
        <v>69</v>
      </c>
      <c r="I5" s="141" t="s">
        <v>308</v>
      </c>
      <c r="J5" s="141" t="s">
        <v>310</v>
      </c>
      <c r="K5" s="141" t="s">
        <v>3</v>
      </c>
      <c r="L5" s="126" t="s">
        <v>60</v>
      </c>
    </row>
    <row r="6" spans="1:18" s="121" customFormat="1" ht="18" customHeight="1">
      <c r="A6" s="128" t="s">
        <v>24</v>
      </c>
      <c r="B6" s="223">
        <f>'（１）收支狀況'!G33/1000</f>
        <v>56983.669000000002</v>
      </c>
      <c r="C6" s="253">
        <v>56328.159</v>
      </c>
      <c r="D6" s="142">
        <f t="shared" ref="D6:D11" si="0">B6-C6</f>
        <v>655.51000000000204</v>
      </c>
      <c r="E6" s="235">
        <f>'（１）收支狀況'!H10/1000</f>
        <v>248139.74900000001</v>
      </c>
      <c r="F6" s="133"/>
      <c r="G6" s="128" t="s">
        <v>179</v>
      </c>
      <c r="H6" s="274">
        <v>366</v>
      </c>
      <c r="I6" s="237">
        <f>'（２）ＫＰＩ達成進度'!G33</f>
        <v>358.9416245794082</v>
      </c>
      <c r="J6" s="258">
        <v>334.75260573491187</v>
      </c>
      <c r="K6" s="259">
        <f>'（２）ＫＰＩ達成進度'!H10</f>
        <v>339.26595074120166</v>
      </c>
      <c r="L6" s="122" t="s">
        <v>175</v>
      </c>
    </row>
    <row r="7" spans="1:18" s="121" customFormat="1" ht="18" customHeight="1">
      <c r="A7" s="128" t="s">
        <v>25</v>
      </c>
      <c r="B7" s="223">
        <f>'（１）收支狀況'!J33</f>
        <v>1763767</v>
      </c>
      <c r="C7" s="253">
        <v>1650500</v>
      </c>
      <c r="D7" s="142">
        <f t="shared" si="0"/>
        <v>113267</v>
      </c>
      <c r="E7" s="235">
        <f>'（１）收支狀況'!K10</f>
        <v>7294039</v>
      </c>
      <c r="F7" s="133"/>
      <c r="G7" s="128" t="s">
        <v>180</v>
      </c>
      <c r="H7" s="252">
        <v>0.8</v>
      </c>
      <c r="I7" s="251">
        <f>'（２）ＫＰＩ達成進度'!J33</f>
        <v>0.98071482125521336</v>
      </c>
      <c r="J7" s="256">
        <v>0.91462460583309257</v>
      </c>
      <c r="K7" s="252">
        <f>'（２）ＫＰＩ達成進度'!K10</f>
        <v>0.92695614956612482</v>
      </c>
      <c r="L7" s="122" t="s">
        <v>4</v>
      </c>
    </row>
    <row r="8" spans="1:18" s="121" customFormat="1" ht="18" customHeight="1">
      <c r="A8" s="128" t="s">
        <v>5</v>
      </c>
      <c r="B8" s="223">
        <f>'（１）收支狀況'!M33/1000</f>
        <v>38639.205999999998</v>
      </c>
      <c r="C8" s="253">
        <v>38281.107000000004</v>
      </c>
      <c r="D8" s="142">
        <f>B8-C8</f>
        <v>358.0989999999947</v>
      </c>
      <c r="E8" s="235">
        <f>'（１）收支狀況'!N10/1000</f>
        <v>166242.09700000001</v>
      </c>
      <c r="F8" s="133"/>
      <c r="G8" s="128" t="s">
        <v>181</v>
      </c>
      <c r="H8" s="247">
        <v>2.5000000000000001E-3</v>
      </c>
      <c r="I8" s="236">
        <f>'（２）ＫＰＩ達成進度'!M33</f>
        <v>2.4197447717567259E-3</v>
      </c>
      <c r="J8" s="255">
        <v>2.4125367863284926E-3</v>
      </c>
      <c r="K8" s="247">
        <f>'（２）ＫＰＩ達成進度'!N10</f>
        <v>2.4160898338316519E-3</v>
      </c>
      <c r="L8" s="122" t="s">
        <v>55</v>
      </c>
    </row>
    <row r="9" spans="1:18" s="121" customFormat="1" ht="18" customHeight="1">
      <c r="A9" s="128" t="s">
        <v>6</v>
      </c>
      <c r="B9" s="224">
        <f>'（１）收支狀況'!P33</f>
        <v>0.67807508147641393</v>
      </c>
      <c r="C9" s="254">
        <v>0.67960870157322206</v>
      </c>
      <c r="D9" s="143">
        <f t="shared" si="0"/>
        <v>-1.5336200968081304E-3</v>
      </c>
      <c r="E9" s="143">
        <f>'（１）收支狀況'!Q10</f>
        <v>0.66995351478331677</v>
      </c>
      <c r="F9" s="133"/>
      <c r="G9" s="128" t="s">
        <v>182</v>
      </c>
      <c r="H9" s="247">
        <v>2.5999999999999999E-3</v>
      </c>
      <c r="I9" s="236">
        <f>'（２）ＫＰＩ達成進度'!P33</f>
        <v>4.0024424360287619E-3</v>
      </c>
      <c r="J9" s="255">
        <v>4.0034775594795817E-3</v>
      </c>
      <c r="K9" s="247">
        <f>'（２）ＫＰＩ達成進度'!Q10</f>
        <v>4.0167948488228295E-3</v>
      </c>
      <c r="L9" s="122" t="s">
        <v>98</v>
      </c>
    </row>
    <row r="10" spans="1:18" s="121" customFormat="1" ht="18" customHeight="1">
      <c r="A10" s="128" t="s">
        <v>64</v>
      </c>
      <c r="B10" s="223">
        <f>'（１）收支狀況'!S33/1000</f>
        <v>6258.5953415096574</v>
      </c>
      <c r="C10" s="253">
        <f>6281599.73593327/1000</f>
        <v>6281.5997359332705</v>
      </c>
      <c r="D10" s="142">
        <f t="shared" si="0"/>
        <v>-23.004394423613121</v>
      </c>
      <c r="E10" s="235">
        <f>'（１）收支狀況'!T10/1000</f>
        <v>29105.019065908204</v>
      </c>
      <c r="F10" s="133"/>
      <c r="G10" s="128" t="s">
        <v>183</v>
      </c>
      <c r="H10" s="249">
        <v>0.8</v>
      </c>
      <c r="I10" s="248">
        <v>0.91400000000000003</v>
      </c>
      <c r="J10" s="256">
        <v>0.91400000000000003</v>
      </c>
      <c r="K10" s="249">
        <v>0.91700000000000004</v>
      </c>
      <c r="L10" s="122" t="s">
        <v>7</v>
      </c>
    </row>
    <row r="11" spans="1:18" s="121" customFormat="1" ht="18" customHeight="1">
      <c r="A11" s="128" t="s">
        <v>65</v>
      </c>
      <c r="B11" s="224">
        <f>'（１）收支狀況'!V33</f>
        <v>0.10983138592760071</v>
      </c>
      <c r="C11" s="254">
        <v>0.111517930773013</v>
      </c>
      <c r="D11" s="143">
        <f t="shared" si="0"/>
        <v>-1.6865448454122939E-3</v>
      </c>
      <c r="E11" s="143">
        <f>'（１）收支狀況'!W10</f>
        <v>0.11729285285086753</v>
      </c>
      <c r="F11" s="133"/>
      <c r="G11" s="128" t="s">
        <v>184</v>
      </c>
      <c r="H11" s="249">
        <v>1</v>
      </c>
      <c r="I11" s="248">
        <f>'（２）ＫＰＩ達成進度'!V33</f>
        <v>0.68757142857142839</v>
      </c>
      <c r="J11" s="256">
        <v>0.67657142857142871</v>
      </c>
      <c r="K11" s="249">
        <f>'（２）ＫＰＩ達成進度'!W10</f>
        <v>0.65903225806451615</v>
      </c>
      <c r="L11" s="122" t="s">
        <v>62</v>
      </c>
    </row>
    <row r="12" spans="1:18" s="121" customFormat="1" ht="9.6" customHeight="1">
      <c r="A12" s="133"/>
      <c r="B12" s="133"/>
      <c r="C12" s="133"/>
      <c r="D12" s="133"/>
      <c r="E12" s="133"/>
      <c r="F12" s="133"/>
      <c r="G12" s="133"/>
      <c r="H12" s="133"/>
      <c r="I12" s="133"/>
      <c r="J12" s="133"/>
      <c r="K12" s="133"/>
    </row>
    <row r="13" spans="1:18" s="121" customFormat="1" ht="15.75" customHeight="1">
      <c r="A13" s="132" t="s">
        <v>32</v>
      </c>
      <c r="B13" s="133"/>
      <c r="C13" s="133"/>
      <c r="D13" s="133"/>
      <c r="E13" s="133"/>
      <c r="F13" s="133"/>
      <c r="G13" s="132" t="s">
        <v>147</v>
      </c>
      <c r="H13" s="133"/>
      <c r="I13" s="133"/>
      <c r="J13" s="133"/>
      <c r="K13" s="133"/>
    </row>
    <row r="14" spans="1:18" s="127" customFormat="1" ht="14.25">
      <c r="A14" s="145"/>
      <c r="B14" s="217" t="s">
        <v>309</v>
      </c>
      <c r="C14" s="145" t="s">
        <v>66</v>
      </c>
      <c r="D14" s="217" t="s">
        <v>312</v>
      </c>
      <c r="E14" s="145" t="s">
        <v>68</v>
      </c>
      <c r="F14" s="136"/>
      <c r="G14" s="145"/>
      <c r="H14" s="217" t="s">
        <v>309</v>
      </c>
      <c r="I14" s="145" t="s">
        <v>66</v>
      </c>
      <c r="J14" s="217" t="s">
        <v>312</v>
      </c>
      <c r="K14" s="145" t="s">
        <v>68</v>
      </c>
      <c r="M14" s="121"/>
      <c r="N14" s="121"/>
      <c r="O14" s="121"/>
      <c r="P14" s="121"/>
      <c r="Q14" s="121"/>
      <c r="R14" s="121"/>
    </row>
    <row r="15" spans="1:18" s="121" customFormat="1" ht="18" customHeight="1">
      <c r="A15" s="128" t="s">
        <v>316</v>
      </c>
      <c r="B15" s="238">
        <f>SUM('（３）業績構成比'!I35:I49,'（３）業績構成比'!K35:K49)/1000</f>
        <v>11307.996279411918</v>
      </c>
      <c r="C15" s="143">
        <f>IFERROR(B15/$B$6,"")</f>
        <v>0.19844275522890459</v>
      </c>
      <c r="D15" s="254">
        <v>0.14898859983199059</v>
      </c>
      <c r="E15" s="143">
        <f>IFERROR(C15-D15,"")</f>
        <v>4.9454155396914001E-2</v>
      </c>
      <c r="F15" s="133"/>
      <c r="G15" s="128" t="s">
        <v>316</v>
      </c>
      <c r="H15" s="238">
        <f>SUM(,'（４）訂單數量構成比'!I35:I49,'（４）訂單數量構成比'!K35:K49)</f>
        <v>602578</v>
      </c>
      <c r="I15" s="143">
        <f t="shared" ref="I15:I23" si="1">IFERROR(H15/$B$7,"")</f>
        <v>0.34164263193494376</v>
      </c>
      <c r="J15" s="254">
        <v>0.27189094213874582</v>
      </c>
      <c r="K15" s="143">
        <f t="shared" ref="K15:K23" si="2">IFERROR(I15-J15,"")</f>
        <v>6.9751689796197947E-2</v>
      </c>
    </row>
    <row r="16" spans="1:18" s="121" customFormat="1" ht="18" customHeight="1">
      <c r="A16" s="128" t="s">
        <v>203</v>
      </c>
      <c r="B16" s="238">
        <f>SUM('（３）業績構成比'!O35:O49,'（３）業績構成比'!Q35:Q49)/1000</f>
        <v>1382.7591000438106</v>
      </c>
      <c r="C16" s="143">
        <f t="shared" ref="C16:C23" si="3">IFERROR(B16/$B$6,"")</f>
        <v>2.4265883968331532E-2</v>
      </c>
      <c r="D16" s="254">
        <v>1.9368121587847707E-2</v>
      </c>
      <c r="E16" s="143">
        <f t="shared" ref="E16:E23" si="4">IFERROR(C16-D16,"")</f>
        <v>4.897762380483825E-3</v>
      </c>
      <c r="F16" s="133"/>
      <c r="G16" s="128" t="s">
        <v>232</v>
      </c>
      <c r="H16" s="238">
        <f>SUM('（４）訂單數量構成比'!O35:O49,'（４）訂單數量構成比'!Q35:Q49)</f>
        <v>48467</v>
      </c>
      <c r="I16" s="143">
        <f t="shared" si="1"/>
        <v>2.7479253212017232E-2</v>
      </c>
      <c r="J16" s="254">
        <v>2.2657376552559831E-2</v>
      </c>
      <c r="K16" s="143">
        <f t="shared" si="2"/>
        <v>4.8218766594574011E-3</v>
      </c>
    </row>
    <row r="17" spans="1:11" s="121" customFormat="1" ht="18" customHeight="1">
      <c r="A17" s="128" t="s">
        <v>199</v>
      </c>
      <c r="B17" s="238">
        <f>SUM('（３）業績構成比'!U35:U49)/1000</f>
        <v>6928.9669259195007</v>
      </c>
      <c r="C17" s="143">
        <f t="shared" si="3"/>
        <v>0.12159566148538979</v>
      </c>
      <c r="D17" s="254">
        <v>0.13267849573361712</v>
      </c>
      <c r="E17" s="143">
        <f t="shared" si="4"/>
        <v>-1.1082834248227327E-2</v>
      </c>
      <c r="F17" s="133"/>
      <c r="G17" s="128" t="s">
        <v>214</v>
      </c>
      <c r="H17" s="238">
        <f>SUM('（４）訂單數量構成比'!U35:U49)</f>
        <v>212082</v>
      </c>
      <c r="I17" s="143">
        <f t="shared" si="1"/>
        <v>0.12024377369573191</v>
      </c>
      <c r="J17" s="254">
        <v>0.13647016055740685</v>
      </c>
      <c r="K17" s="143">
        <f t="shared" si="2"/>
        <v>-1.6226386861674935E-2</v>
      </c>
    </row>
    <row r="18" spans="1:11" s="121" customFormat="1" ht="18" customHeight="1">
      <c r="A18" s="128" t="s">
        <v>201</v>
      </c>
      <c r="B18" s="238">
        <f>SUM('（３）業績構成比'!W35:W49)/1000</f>
        <v>0</v>
      </c>
      <c r="C18" s="143">
        <f t="shared" si="3"/>
        <v>0</v>
      </c>
      <c r="D18" s="254">
        <v>1.8905830320732067E-3</v>
      </c>
      <c r="E18" s="143">
        <f t="shared" si="4"/>
        <v>-1.8905830320732067E-3</v>
      </c>
      <c r="F18" s="133"/>
      <c r="G18" s="128" t="s">
        <v>200</v>
      </c>
      <c r="H18" s="238">
        <f>SUM('（４）訂單數量構成比'!W35:W49)</f>
        <v>0</v>
      </c>
      <c r="I18" s="143">
        <f t="shared" si="1"/>
        <v>0</v>
      </c>
      <c r="J18" s="254">
        <v>2.4786428355043928E-3</v>
      </c>
      <c r="K18" s="143">
        <f t="shared" si="2"/>
        <v>-2.4786428355043928E-3</v>
      </c>
    </row>
    <row r="19" spans="1:11" s="121" customFormat="1" ht="18" customHeight="1">
      <c r="A19" s="128" t="s">
        <v>205</v>
      </c>
      <c r="B19" s="238">
        <f>SUM('（３）業績構成比'!Y35:Y49,'（３）業績構成比'!AA35:AA49)/1000</f>
        <v>13586.639113146848</v>
      </c>
      <c r="C19" s="143">
        <f t="shared" si="3"/>
        <v>0.23843040210602878</v>
      </c>
      <c r="D19" s="254">
        <v>0.24084979079310179</v>
      </c>
      <c r="E19" s="143">
        <f t="shared" si="4"/>
        <v>-2.4193886870730041E-3</v>
      </c>
      <c r="F19" s="133"/>
      <c r="G19" s="128" t="s">
        <v>204</v>
      </c>
      <c r="H19" s="238">
        <f>SUM('（４）訂單數量構成比'!Y35:Y49,'（４）訂單數量構成比'!AA35:AA49)</f>
        <v>344726</v>
      </c>
      <c r="I19" s="143">
        <f t="shared" si="1"/>
        <v>0.19544871856656804</v>
      </c>
      <c r="J19" s="254">
        <v>0.20588851863071797</v>
      </c>
      <c r="K19" s="143">
        <f t="shared" si="2"/>
        <v>-1.0439800064149934E-2</v>
      </c>
    </row>
    <row r="20" spans="1:11" s="121" customFormat="1" ht="18" customHeight="1">
      <c r="A20" s="128" t="s">
        <v>207</v>
      </c>
      <c r="B20" s="238">
        <f>SUM('（３）業績構成比'!AE35:AE49)/1000</f>
        <v>9251.9075533505347</v>
      </c>
      <c r="C20" s="143">
        <f t="shared" si="3"/>
        <v>0.16236068536321405</v>
      </c>
      <c r="D20" s="254">
        <v>0.18166701428814905</v>
      </c>
      <c r="E20" s="143">
        <f t="shared" si="4"/>
        <v>-1.9306328924935001E-2</v>
      </c>
      <c r="F20" s="133"/>
      <c r="G20" s="128" t="s">
        <v>206</v>
      </c>
      <c r="H20" s="238">
        <f>SUM('（４）訂單數量構成比'!AE35:AE49)</f>
        <v>159441</v>
      </c>
      <c r="I20" s="143">
        <f t="shared" si="1"/>
        <v>9.0397994746471616E-2</v>
      </c>
      <c r="J20" s="254">
        <v>0.10313177824901545</v>
      </c>
      <c r="K20" s="143">
        <f t="shared" si="2"/>
        <v>-1.2733783502543838E-2</v>
      </c>
    </row>
    <row r="21" spans="1:11" s="121" customFormat="1" ht="18" customHeight="1">
      <c r="A21" s="128" t="s">
        <v>209</v>
      </c>
      <c r="B21" s="238">
        <f>SUM('（３）業績構成比'!AG35:AG49)/1000</f>
        <v>5006.9028106274855</v>
      </c>
      <c r="C21" s="143">
        <f t="shared" si="3"/>
        <v>8.7865574444276048E-2</v>
      </c>
      <c r="D21" s="254">
        <v>8.3387128518547932E-2</v>
      </c>
      <c r="E21" s="143">
        <f t="shared" si="4"/>
        <v>4.4784459257281167E-3</v>
      </c>
      <c r="F21" s="133"/>
      <c r="G21" s="128" t="s">
        <v>215</v>
      </c>
      <c r="H21" s="238">
        <f>SUM('（４）訂單數量構成比'!AG35:AG49)</f>
        <v>103296</v>
      </c>
      <c r="I21" s="143">
        <f t="shared" si="1"/>
        <v>5.8565558829482577E-2</v>
      </c>
      <c r="J21" s="254">
        <v>6.2552559830354432E-2</v>
      </c>
      <c r="K21" s="143">
        <f t="shared" si="2"/>
        <v>-3.9870010008718551E-3</v>
      </c>
    </row>
    <row r="22" spans="1:11" s="121" customFormat="1" ht="18" customHeight="1">
      <c r="A22" s="128" t="s">
        <v>210</v>
      </c>
      <c r="B22" s="238">
        <f>SUM('（３）業績構成比'!AI35:AI49)/1000</f>
        <v>5112.7422837957574</v>
      </c>
      <c r="C22" s="143">
        <f t="shared" si="3"/>
        <v>8.9722939458246484E-2</v>
      </c>
      <c r="D22" s="254">
        <v>0.1124079464832865</v>
      </c>
      <c r="E22" s="143">
        <f t="shared" si="4"/>
        <v>-2.2685007025040019E-2</v>
      </c>
      <c r="F22" s="133"/>
      <c r="G22" s="128" t="s">
        <v>216</v>
      </c>
      <c r="H22" s="238">
        <f>SUM('（４）訂單數量構成比'!AI35:AI49)</f>
        <v>142911</v>
      </c>
      <c r="I22" s="143">
        <f t="shared" si="1"/>
        <v>8.102600853740885E-2</v>
      </c>
      <c r="J22" s="254">
        <v>0.10429869736443502</v>
      </c>
      <c r="K22" s="143">
        <f t="shared" si="2"/>
        <v>-2.3272688827026169E-2</v>
      </c>
    </row>
    <row r="23" spans="1:11" s="121" customFormat="1" ht="18" customHeight="1">
      <c r="A23" s="128" t="s">
        <v>212</v>
      </c>
      <c r="B23" s="238">
        <f>SUM('（３）業績構成比'!AK35:AK49)/1000</f>
        <v>4405.7549337041419</v>
      </c>
      <c r="C23" s="143">
        <f t="shared" si="3"/>
        <v>7.7316097945608619E-2</v>
      </c>
      <c r="D23" s="254">
        <v>7.8762319731386171E-2</v>
      </c>
      <c r="E23" s="143">
        <f t="shared" si="4"/>
        <v>-1.4462217857775517E-3</v>
      </c>
      <c r="F23" s="133"/>
      <c r="G23" s="128" t="s">
        <v>211</v>
      </c>
      <c r="H23" s="238">
        <f>SUM('（４）訂單數量構成比'!AK35:AK49)</f>
        <v>150266</v>
      </c>
      <c r="I23" s="143">
        <f t="shared" si="1"/>
        <v>8.5196060477375976E-2</v>
      </c>
      <c r="J23" s="254">
        <v>9.0631323841260228E-2</v>
      </c>
      <c r="K23" s="143">
        <f t="shared" si="2"/>
        <v>-5.4352633638842518E-3</v>
      </c>
    </row>
    <row r="24" spans="1:11" s="121" customFormat="1" ht="15.75" customHeight="1">
      <c r="A24" s="133"/>
      <c r="B24" s="133"/>
      <c r="C24" s="137">
        <f>SUM(C15:C23)</f>
        <v>0.99999999999999978</v>
      </c>
      <c r="D24" s="137">
        <f>SUM(D15:D23)</f>
        <v>0.99999999999999989</v>
      </c>
      <c r="E24" s="133"/>
      <c r="F24" s="133"/>
      <c r="G24" s="133"/>
      <c r="H24" s="133"/>
      <c r="I24" s="137">
        <f>SUM(I15:I23)</f>
        <v>0.99999999999999989</v>
      </c>
      <c r="J24" s="137">
        <f>SUM(J15:J23)</f>
        <v>1</v>
      </c>
      <c r="K24" s="133"/>
    </row>
    <row r="25" spans="1:11" s="121" customFormat="1" ht="9.6" customHeight="1">
      <c r="A25" s="138"/>
      <c r="B25" s="133"/>
      <c r="C25" s="133"/>
      <c r="D25" s="133"/>
      <c r="E25" s="133"/>
      <c r="F25" s="133"/>
      <c r="G25" s="133"/>
      <c r="H25" s="133"/>
      <c r="I25" s="133"/>
      <c r="J25" s="133"/>
      <c r="K25" s="133"/>
    </row>
    <row r="26" spans="1:11" s="121" customFormat="1" ht="15.75" customHeight="1">
      <c r="A26" s="132" t="s">
        <v>444</v>
      </c>
      <c r="B26" s="133"/>
      <c r="C26" s="133"/>
      <c r="D26" s="133"/>
      <c r="E26" s="133"/>
      <c r="F26" s="133"/>
      <c r="G26" s="133"/>
      <c r="H26" s="133"/>
      <c r="I26" s="133"/>
      <c r="J26" s="133"/>
      <c r="K26" s="133"/>
    </row>
    <row r="27" spans="1:11" s="121" customFormat="1" ht="15.75" customHeight="1">
      <c r="A27" s="128" t="s">
        <v>167</v>
      </c>
      <c r="B27" s="218" t="s">
        <v>309</v>
      </c>
      <c r="C27" s="218" t="s">
        <v>311</v>
      </c>
      <c r="D27" s="128" t="s">
        <v>2</v>
      </c>
      <c r="E27" s="128" t="s">
        <v>364</v>
      </c>
      <c r="G27" s="133"/>
      <c r="H27" s="133"/>
      <c r="I27" s="133"/>
      <c r="J27" s="133"/>
      <c r="K27" s="133"/>
    </row>
    <row r="28" spans="1:11" s="121" customFormat="1" ht="18" customHeight="1">
      <c r="A28" s="128" t="s">
        <v>316</v>
      </c>
      <c r="B28" s="242">
        <f>'（５-1）品群別人時生產性（18℃-飯糰）'!L147</f>
        <v>830.41616594065533</v>
      </c>
      <c r="C28" s="257">
        <v>809.46173228216003</v>
      </c>
      <c r="D28" s="243">
        <f t="shared" ref="D28:D36" si="5">B28-C28</f>
        <v>20.954433658495304</v>
      </c>
      <c r="E28" s="129">
        <f>'（５-1）品群別人時生產性（18℃-飯糰）'!C1</f>
        <v>815.88841001195294</v>
      </c>
      <c r="G28" s="147"/>
      <c r="H28" s="525"/>
      <c r="I28" s="147"/>
      <c r="J28" s="147"/>
      <c r="K28" s="133"/>
    </row>
    <row r="29" spans="1:11" s="121" customFormat="1" ht="18" customHeight="1">
      <c r="A29" s="128" t="s">
        <v>202</v>
      </c>
      <c r="B29" s="242">
        <f>'（５-2）品群別人時生產性（18-壽司手卷)'!L87</f>
        <v>141.06820694461382</v>
      </c>
      <c r="C29" s="257">
        <v>139.53764773687845</v>
      </c>
      <c r="D29" s="243">
        <f t="shared" si="5"/>
        <v>1.5305592077353651</v>
      </c>
      <c r="E29" s="129">
        <f>'（５-2）品群別人時生產性（18-壽司手卷)'!C1</f>
        <v>139.22698391736532</v>
      </c>
      <c r="G29" s="148"/>
      <c r="H29" s="525"/>
      <c r="I29" s="149"/>
      <c r="J29" s="150"/>
      <c r="K29" s="133"/>
    </row>
    <row r="30" spans="1:11" s="121" customFormat="1" ht="18" customHeight="1">
      <c r="A30" s="128" t="s">
        <v>214</v>
      </c>
      <c r="B30" s="242">
        <f>'（５-3）品群別人時生產性（4℃-飯糰)'!L87</f>
        <v>232.60359423290868</v>
      </c>
      <c r="C30" s="257">
        <v>239.42922442491036</v>
      </c>
      <c r="D30" s="243">
        <f t="shared" si="5"/>
        <v>-6.8256301920016824</v>
      </c>
      <c r="E30" s="129">
        <f>'（５-3）品群別人時生產性（4℃-飯糰)'!C1</f>
        <v>235.16397851804476</v>
      </c>
      <c r="G30" s="133"/>
      <c r="H30" s="525"/>
      <c r="I30" s="133"/>
      <c r="J30" s="133"/>
      <c r="K30" s="133"/>
    </row>
    <row r="31" spans="1:11" s="121" customFormat="1" ht="18" customHeight="1">
      <c r="A31" s="128" t="s">
        <v>200</v>
      </c>
      <c r="B31" s="242" t="str">
        <f>'（５-4）品群別人時生產性（4℃-壽司手卷)'!L87</f>
        <v>-</v>
      </c>
      <c r="C31" s="257">
        <v>147.65659340659343</v>
      </c>
      <c r="D31" s="243"/>
      <c r="E31" s="129">
        <f>'（５-4）品群別人時生產性（4℃-壽司手卷)'!C1</f>
        <v>149.22745576310135</v>
      </c>
      <c r="G31" s="951" t="s">
        <v>792</v>
      </c>
      <c r="H31" s="525"/>
      <c r="I31" s="133"/>
      <c r="J31" s="133"/>
      <c r="K31" s="133"/>
    </row>
    <row r="32" spans="1:11" s="121" customFormat="1" ht="18" customHeight="1">
      <c r="A32" s="128" t="s">
        <v>204</v>
      </c>
      <c r="B32" s="242">
        <f>'（５-5）品群別人時生產性(主食) '!L147</f>
        <v>88.794934189831906</v>
      </c>
      <c r="C32" s="257">
        <v>89.53221202442775</v>
      </c>
      <c r="D32" s="243">
        <f t="shared" si="5"/>
        <v>-0.73727783459584373</v>
      </c>
      <c r="E32" s="129">
        <f>'（５-5）品群別人時生產性(主食) '!C1</f>
        <v>89.769931741277631</v>
      </c>
      <c r="G32" s="133"/>
      <c r="H32" s="525"/>
      <c r="I32" s="133"/>
      <c r="J32" s="133"/>
      <c r="K32" s="133"/>
    </row>
    <row r="33" spans="1:11" s="121" customFormat="1" ht="18" customHeight="1">
      <c r="A33" s="128" t="s">
        <v>206</v>
      </c>
      <c r="B33" s="242">
        <f>'（５-6）品群別人時生產性(便當)'!L87</f>
        <v>71.703028226385655</v>
      </c>
      <c r="C33" s="257">
        <v>73.243043233558595</v>
      </c>
      <c r="D33" s="243">
        <f t="shared" si="5"/>
        <v>-1.5400150071729399</v>
      </c>
      <c r="E33" s="129">
        <f>'（５-6）品群別人時生產性(便當)'!C1</f>
        <v>72.005371898797449</v>
      </c>
      <c r="G33" s="133"/>
      <c r="H33" s="525"/>
      <c r="I33" s="133"/>
      <c r="J33" s="133"/>
      <c r="K33" s="133"/>
    </row>
    <row r="34" spans="1:11" s="121" customFormat="1" ht="18" customHeight="1">
      <c r="A34" s="128" t="s">
        <v>215</v>
      </c>
      <c r="B34" s="242">
        <f>'（５-7）品群別人時生產性(熱食義麵) '!L87</f>
        <v>80.888180902499485</v>
      </c>
      <c r="C34" s="257">
        <v>78.826599166932567</v>
      </c>
      <c r="D34" s="243">
        <f t="shared" si="5"/>
        <v>2.0615817355669179</v>
      </c>
      <c r="E34" s="129">
        <f>'（５-7）品群別人時生產性(熱食義麵) '!C1</f>
        <v>79.761775622504771</v>
      </c>
      <c r="G34" s="133"/>
      <c r="H34" s="525"/>
      <c r="I34" s="133"/>
      <c r="J34" s="133"/>
      <c r="K34" s="133"/>
    </row>
    <row r="35" spans="1:11" s="121" customFormat="1" ht="18" customHeight="1">
      <c r="A35" s="128" t="s">
        <v>216</v>
      </c>
      <c r="B35" s="242">
        <f>'（５-8）品群別人時生產性(季節調理麵) '!L87</f>
        <v>125.99484386958157</v>
      </c>
      <c r="C35" s="257">
        <v>126.55085664206436</v>
      </c>
      <c r="D35" s="243">
        <f t="shared" si="5"/>
        <v>-0.55601277248278791</v>
      </c>
      <c r="E35" s="129">
        <f>'（５-8）品群別人時生產性(季節調理麵) '!C1</f>
        <v>125.48572844565702</v>
      </c>
      <c r="G35" s="133"/>
      <c r="H35" s="525"/>
      <c r="I35" s="133"/>
      <c r="J35" s="133"/>
      <c r="K35" s="133"/>
    </row>
    <row r="36" spans="1:11" s="121" customFormat="1" ht="18" customHeight="1">
      <c r="A36" s="124" t="s">
        <v>211</v>
      </c>
      <c r="B36" s="242">
        <f>'（５-9）品群別人時生產性(微波小吃)'!L87</f>
        <v>164.98762869485964</v>
      </c>
      <c r="C36" s="257">
        <v>162.34446135718014</v>
      </c>
      <c r="D36" s="243">
        <f t="shared" si="5"/>
        <v>2.6431673376795004</v>
      </c>
      <c r="E36" s="129">
        <f>'（５-9）品群別人時生產性(微波小吃)'!C1</f>
        <v>160.65888813838649</v>
      </c>
      <c r="G36" s="133"/>
      <c r="H36" s="525"/>
      <c r="I36" s="133"/>
      <c r="J36" s="133"/>
      <c r="K36" s="133"/>
    </row>
    <row r="37" spans="1:11" s="121" customFormat="1" ht="15.75" customHeight="1">
      <c r="D37" s="296"/>
    </row>
    <row r="38" spans="1:11" s="121" customFormat="1" ht="15.75" customHeight="1"/>
  </sheetData>
  <mergeCells count="2">
    <mergeCell ref="A1:K2"/>
    <mergeCell ref="F3:G3"/>
  </mergeCells>
  <phoneticPr fontId="13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2:W58"/>
  <sheetViews>
    <sheetView zoomScale="60" zoomScaleNormal="60" workbookViewId="0">
      <pane xSplit="5" ySplit="4" topLeftCell="F9" activePane="bottomRight" state="frozen"/>
      <selection pane="topRight" activeCell="F1" sqref="F1"/>
      <selection pane="bottomLeft" activeCell="A5" sqref="A5"/>
      <selection pane="bottomRight" activeCell="R9" sqref="R9:R39"/>
    </sheetView>
  </sheetViews>
  <sheetFormatPr defaultColWidth="8.85546875" defaultRowHeight="14.25"/>
  <cols>
    <col min="1" max="1" width="10.42578125" style="83" bestFit="1" customWidth="1"/>
    <col min="2" max="2" width="12.5703125" style="82" customWidth="1"/>
    <col min="3" max="3" width="8.85546875" style="83"/>
    <col min="4" max="4" width="17.42578125" style="84" customWidth="1"/>
    <col min="5" max="5" width="4.42578125" style="84" customWidth="1"/>
    <col min="6" max="8" width="19.5703125" style="86" customWidth="1"/>
    <col min="9" max="13" width="19.5703125" style="87" customWidth="1"/>
    <col min="14" max="14" width="19.5703125" style="88" customWidth="1"/>
    <col min="15" max="17" width="19.5703125" style="89" customWidth="1"/>
    <col min="18" max="20" width="19.5703125" style="88" customWidth="1"/>
    <col min="21" max="21" width="19.5703125" style="89" customWidth="1"/>
    <col min="22" max="23" width="19.5703125" style="83" customWidth="1"/>
    <col min="24" max="16384" width="8.85546875" style="83"/>
  </cols>
  <sheetData>
    <row r="2" spans="1:23" ht="38.1" customHeight="1">
      <c r="B2" s="608" t="s">
        <v>121</v>
      </c>
      <c r="C2" s="608"/>
      <c r="D2" s="608"/>
      <c r="E2" s="608"/>
      <c r="F2" s="608"/>
      <c r="G2" s="608"/>
      <c r="H2" s="608"/>
      <c r="I2" s="608"/>
      <c r="J2" s="608"/>
      <c r="K2" s="608"/>
      <c r="L2" s="608"/>
      <c r="M2" s="608"/>
      <c r="N2" s="608"/>
      <c r="O2" s="608"/>
      <c r="P2" s="608"/>
      <c r="Q2" s="608"/>
      <c r="R2" s="608"/>
      <c r="S2" s="608"/>
      <c r="T2" s="608"/>
      <c r="U2" s="608"/>
      <c r="V2" s="608"/>
      <c r="W2" s="608"/>
    </row>
    <row r="3" spans="1:23" s="84" customFormat="1" ht="23.45" customHeight="1">
      <c r="B3" s="97"/>
      <c r="C3" s="612" t="s">
        <v>116</v>
      </c>
      <c r="D3" s="613" t="s">
        <v>105</v>
      </c>
      <c r="E3" s="613"/>
      <c r="F3" s="611" t="s">
        <v>333</v>
      </c>
      <c r="G3" s="611"/>
      <c r="H3" s="611"/>
      <c r="I3" s="609" t="s">
        <v>119</v>
      </c>
      <c r="J3" s="609"/>
      <c r="K3" s="609"/>
      <c r="L3" s="610" t="s">
        <v>120</v>
      </c>
      <c r="M3" s="610"/>
      <c r="N3" s="610"/>
      <c r="O3" s="607" t="s">
        <v>122</v>
      </c>
      <c r="P3" s="607"/>
      <c r="Q3" s="607"/>
      <c r="R3" s="614" t="s">
        <v>123</v>
      </c>
      <c r="S3" s="614"/>
      <c r="T3" s="614"/>
      <c r="U3" s="607" t="s">
        <v>124</v>
      </c>
      <c r="V3" s="607"/>
      <c r="W3" s="607"/>
    </row>
    <row r="4" spans="1:23" s="84" customFormat="1" ht="23.45" customHeight="1">
      <c r="A4" s="97"/>
      <c r="B4" s="97"/>
      <c r="C4" s="612"/>
      <c r="D4" s="613"/>
      <c r="E4" s="613"/>
      <c r="F4" s="78" t="s">
        <v>115</v>
      </c>
      <c r="G4" s="78" t="s">
        <v>117</v>
      </c>
      <c r="H4" s="78" t="s">
        <v>118</v>
      </c>
      <c r="I4" s="91" t="s">
        <v>115</v>
      </c>
      <c r="J4" s="91" t="s">
        <v>117</v>
      </c>
      <c r="K4" s="91" t="s">
        <v>118</v>
      </c>
      <c r="L4" s="90" t="s">
        <v>115</v>
      </c>
      <c r="M4" s="90" t="s">
        <v>117</v>
      </c>
      <c r="N4" s="90" t="s">
        <v>118</v>
      </c>
      <c r="O4" s="85" t="s">
        <v>115</v>
      </c>
      <c r="P4" s="85" t="s">
        <v>117</v>
      </c>
      <c r="Q4" s="300" t="s">
        <v>452</v>
      </c>
      <c r="R4" s="85" t="s">
        <v>115</v>
      </c>
      <c r="S4" s="85" t="s">
        <v>117</v>
      </c>
      <c r="T4" s="85" t="s">
        <v>118</v>
      </c>
      <c r="U4" s="85" t="s">
        <v>115</v>
      </c>
      <c r="V4" s="85" t="s">
        <v>117</v>
      </c>
      <c r="W4" s="300" t="s">
        <v>452</v>
      </c>
    </row>
    <row r="5" spans="1:23">
      <c r="A5" s="97"/>
      <c r="B5" s="97"/>
      <c r="C5" s="97"/>
      <c r="D5" s="299">
        <v>46231</v>
      </c>
      <c r="E5" s="299" t="s">
        <v>446</v>
      </c>
      <c r="F5" s="433">
        <v>8700275</v>
      </c>
      <c r="H5" s="316"/>
      <c r="I5" s="429">
        <v>256784</v>
      </c>
      <c r="K5" s="317"/>
      <c r="L5" s="426">
        <v>6236241</v>
      </c>
      <c r="M5" s="297"/>
      <c r="N5" s="316"/>
      <c r="O5" s="89">
        <f t="shared" ref="O5:O39" si="0">L5/F5</f>
        <v>0.71678665329544178</v>
      </c>
      <c r="P5" s="298"/>
      <c r="Q5" s="315"/>
      <c r="R5" s="426">
        <v>986497.00424745306</v>
      </c>
      <c r="S5" s="297"/>
      <c r="T5" s="316"/>
      <c r="U5" s="89">
        <f t="shared" ref="U5:U40" si="1">R5/F5</f>
        <v>0.11338687619040239</v>
      </c>
      <c r="V5" s="298"/>
      <c r="W5" s="315"/>
    </row>
    <row r="6" spans="1:23">
      <c r="A6" s="97"/>
      <c r="B6" s="97"/>
      <c r="C6" s="97"/>
      <c r="D6" s="299">
        <f t="shared" ref="D6" si="2">D5+1</f>
        <v>46232</v>
      </c>
      <c r="E6" s="299" t="s">
        <v>447</v>
      </c>
      <c r="F6" s="433">
        <v>8324343</v>
      </c>
      <c r="G6" s="297">
        <f>SUM(F5:F11)</f>
        <v>57089870</v>
      </c>
      <c r="H6" s="316"/>
      <c r="I6" s="429">
        <v>245995</v>
      </c>
      <c r="J6" s="87">
        <f>SUM(I5:I11)</f>
        <v>1682008</v>
      </c>
      <c r="K6" s="317"/>
      <c r="L6" s="426">
        <v>5957129</v>
      </c>
      <c r="M6" s="297">
        <f>SUM(L5:L11)</f>
        <v>38932153</v>
      </c>
      <c r="N6" s="316"/>
      <c r="O6" s="89">
        <f t="shared" si="0"/>
        <v>0.71562752760187798</v>
      </c>
      <c r="P6" s="89">
        <f>M6/G6</f>
        <v>0.68194502807590907</v>
      </c>
      <c r="Q6" s="315"/>
      <c r="R6" s="426">
        <v>998692.8327414114</v>
      </c>
      <c r="S6" s="297">
        <f>SUM(R5:R11)</f>
        <v>6795694.39648051</v>
      </c>
      <c r="T6" s="316"/>
      <c r="U6" s="89">
        <f t="shared" si="1"/>
        <v>0.11997257113761547</v>
      </c>
      <c r="V6" s="89">
        <f>S6/G6</f>
        <v>0.11903503014598754</v>
      </c>
      <c r="W6" s="315"/>
    </row>
    <row r="7" spans="1:23" ht="16.5" customHeight="1">
      <c r="A7" s="97"/>
      <c r="B7" s="97"/>
      <c r="C7" s="97"/>
      <c r="D7" s="299">
        <f>D6+1</f>
        <v>46233</v>
      </c>
      <c r="E7" s="299" t="s">
        <v>448</v>
      </c>
      <c r="F7" s="433">
        <v>7885992</v>
      </c>
      <c r="I7" s="429">
        <v>234341</v>
      </c>
      <c r="L7" s="426">
        <v>5662746</v>
      </c>
      <c r="M7" s="86"/>
      <c r="N7" s="86"/>
      <c r="O7" s="89">
        <f t="shared" si="0"/>
        <v>0.71807655904292067</v>
      </c>
      <c r="R7" s="426">
        <v>960954.77050450572</v>
      </c>
      <c r="S7" s="86"/>
      <c r="T7" s="86"/>
      <c r="U7" s="89">
        <f t="shared" si="1"/>
        <v>0.12185591495711709</v>
      </c>
      <c r="V7" s="89"/>
    </row>
    <row r="8" spans="1:23" ht="16.5" customHeight="1">
      <c r="A8" s="97"/>
      <c r="B8" s="97"/>
      <c r="C8" s="97"/>
      <c r="D8" s="299">
        <f t="shared" ref="D8:D11" si="3">D7+1</f>
        <v>46234</v>
      </c>
      <c r="E8" s="299" t="s">
        <v>449</v>
      </c>
      <c r="F8" s="433">
        <v>7084934</v>
      </c>
      <c r="G8" s="297"/>
      <c r="H8" s="316"/>
      <c r="I8" s="429">
        <v>211184</v>
      </c>
      <c r="K8" s="317"/>
      <c r="L8" s="426">
        <v>4712463</v>
      </c>
      <c r="M8" s="297"/>
      <c r="N8" s="316"/>
      <c r="O8" s="89">
        <f t="shared" si="0"/>
        <v>0.66513858844697782</v>
      </c>
      <c r="P8" s="298"/>
      <c r="Q8" s="315"/>
      <c r="R8" s="426">
        <v>999698.18725912366</v>
      </c>
      <c r="S8" s="297"/>
      <c r="T8" s="316"/>
      <c r="U8" s="89">
        <f t="shared" si="1"/>
        <v>0.14110197600416935</v>
      </c>
      <c r="V8" s="298"/>
      <c r="W8" s="315"/>
    </row>
    <row r="9" spans="1:23" ht="16.5" customHeight="1">
      <c r="A9" s="97"/>
      <c r="B9" s="97"/>
      <c r="C9" s="97"/>
      <c r="D9" s="299">
        <f t="shared" si="3"/>
        <v>46235</v>
      </c>
      <c r="E9" s="299" t="s">
        <v>450</v>
      </c>
      <c r="F9" s="433">
        <v>7328189</v>
      </c>
      <c r="G9" s="297"/>
      <c r="H9" s="316"/>
      <c r="I9" s="429">
        <v>217421</v>
      </c>
      <c r="K9" s="317"/>
      <c r="L9" s="426">
        <v>4864135</v>
      </c>
      <c r="M9" s="297"/>
      <c r="N9" s="316"/>
      <c r="O9" s="89">
        <f t="shared" si="0"/>
        <v>0.66375676173199138</v>
      </c>
      <c r="P9" s="298"/>
      <c r="Q9" s="315"/>
      <c r="R9" s="426">
        <v>906921.18743595888</v>
      </c>
      <c r="S9" s="297"/>
      <c r="T9" s="316"/>
      <c r="U9" s="89">
        <f t="shared" si="1"/>
        <v>0.12375788717184544</v>
      </c>
      <c r="V9" s="298"/>
      <c r="W9" s="315"/>
    </row>
    <row r="10" spans="1:23" ht="16.5" customHeight="1">
      <c r="A10" s="97"/>
      <c r="B10" s="97"/>
      <c r="C10" s="97"/>
      <c r="D10" s="299">
        <f t="shared" si="3"/>
        <v>46236</v>
      </c>
      <c r="E10" s="299" t="s">
        <v>451</v>
      </c>
      <c r="F10" s="433">
        <v>8762335</v>
      </c>
      <c r="H10" s="316">
        <f>SUM(F6:F36)</f>
        <v>248139749</v>
      </c>
      <c r="I10" s="429">
        <v>257215</v>
      </c>
      <c r="K10" s="317">
        <f>SUM(I6:I36)</f>
        <v>7294039</v>
      </c>
      <c r="L10" s="426">
        <v>5758898</v>
      </c>
      <c r="M10" s="86"/>
      <c r="N10" s="316">
        <f>SUM(L6:L36)</f>
        <v>166242097</v>
      </c>
      <c r="O10" s="89">
        <f t="shared" si="0"/>
        <v>0.65723326031246232</v>
      </c>
      <c r="P10" s="298"/>
      <c r="Q10" s="315">
        <f>N10/H10</f>
        <v>0.66995351478331677</v>
      </c>
      <c r="R10" s="426">
        <v>949244.87509915337</v>
      </c>
      <c r="S10" s="86"/>
      <c r="T10" s="316">
        <f>SUM(R6:R36)</f>
        <v>29105019.065908205</v>
      </c>
      <c r="U10" s="89">
        <f t="shared" si="1"/>
        <v>0.10833241083559957</v>
      </c>
      <c r="V10" s="298"/>
      <c r="W10" s="315">
        <f>T10/H10</f>
        <v>0.11729285285086753</v>
      </c>
    </row>
    <row r="11" spans="1:23" ht="16.5" customHeight="1">
      <c r="A11" s="97"/>
      <c r="B11" s="97"/>
      <c r="C11" s="97"/>
      <c r="D11" s="299">
        <f t="shared" si="3"/>
        <v>46237</v>
      </c>
      <c r="E11" s="299" t="s">
        <v>445</v>
      </c>
      <c r="F11" s="433">
        <v>9003802</v>
      </c>
      <c r="G11" s="297"/>
      <c r="H11" s="316"/>
      <c r="I11" s="429">
        <v>259068</v>
      </c>
      <c r="K11" s="317"/>
      <c r="L11" s="426">
        <v>5740541</v>
      </c>
      <c r="M11" s="297"/>
      <c r="N11" s="316"/>
      <c r="O11" s="89">
        <f t="shared" si="0"/>
        <v>0.63756855159631454</v>
      </c>
      <c r="Q11" s="315"/>
      <c r="R11" s="426">
        <v>993685.53919290344</v>
      </c>
      <c r="S11" s="297"/>
      <c r="T11" s="316"/>
      <c r="U11" s="89">
        <f t="shared" si="1"/>
        <v>0.11036288216832216</v>
      </c>
      <c r="V11" s="89"/>
      <c r="W11" s="315"/>
    </row>
    <row r="12" spans="1:23" ht="16.5" customHeight="1">
      <c r="A12" s="97"/>
      <c r="B12" s="97"/>
      <c r="C12" s="97"/>
      <c r="D12" s="355">
        <f t="shared" ref="D12:D34" si="4">D11+1</f>
        <v>46238</v>
      </c>
      <c r="E12" s="355" t="s">
        <v>446</v>
      </c>
      <c r="F12" s="229">
        <v>8602665</v>
      </c>
      <c r="G12" s="297">
        <f>SUM(F12:F18)</f>
        <v>55933813</v>
      </c>
      <c r="H12" s="316"/>
      <c r="I12" s="230">
        <v>252047</v>
      </c>
      <c r="J12" s="87">
        <f>SUM(I12:I18)</f>
        <v>1651043</v>
      </c>
      <c r="K12" s="317"/>
      <c r="L12" s="229">
        <v>5915078</v>
      </c>
      <c r="M12" s="297">
        <f>SUM(L12:L18)</f>
        <v>37432210</v>
      </c>
      <c r="N12" s="316"/>
      <c r="O12" s="89">
        <f t="shared" si="0"/>
        <v>0.68758669551819118</v>
      </c>
      <c r="P12" s="89">
        <f>M12/G12</f>
        <v>0.669223283597705</v>
      </c>
      <c r="Q12" s="315"/>
      <c r="R12" s="231">
        <v>980405.10259915318</v>
      </c>
      <c r="S12" s="297">
        <f>SUM(R12:R18)</f>
        <v>6757047.5089683775</v>
      </c>
      <c r="T12" s="316"/>
      <c r="U12" s="89">
        <f t="shared" si="1"/>
        <v>0.11396527734128356</v>
      </c>
      <c r="V12" s="89">
        <f>S12/G12</f>
        <v>0.12080434260700906</v>
      </c>
      <c r="W12" s="315"/>
    </row>
    <row r="13" spans="1:23" ht="16.5" customHeight="1">
      <c r="A13" s="97"/>
      <c r="B13" s="97"/>
      <c r="C13" s="97"/>
      <c r="D13" s="355">
        <f t="shared" si="4"/>
        <v>46239</v>
      </c>
      <c r="E13" s="355" t="s">
        <v>447</v>
      </c>
      <c r="F13" s="229">
        <v>8256703</v>
      </c>
      <c r="H13" s="316"/>
      <c r="I13" s="230">
        <v>243421</v>
      </c>
      <c r="K13" s="317"/>
      <c r="L13" s="229">
        <v>5540670</v>
      </c>
      <c r="M13" s="86"/>
      <c r="N13" s="316"/>
      <c r="O13" s="89">
        <f t="shared" si="0"/>
        <v>0.67105114474869687</v>
      </c>
      <c r="P13" s="298"/>
      <c r="Q13" s="315"/>
      <c r="R13" s="229">
        <v>970573.72400193091</v>
      </c>
      <c r="S13" s="86"/>
      <c r="T13" s="316"/>
      <c r="U13" s="89">
        <f t="shared" si="1"/>
        <v>0.11754979245371075</v>
      </c>
      <c r="V13" s="298"/>
      <c r="W13" s="315"/>
    </row>
    <row r="14" spans="1:23" ht="16.5" customHeight="1">
      <c r="A14" s="97"/>
      <c r="B14" s="97"/>
      <c r="C14" s="97"/>
      <c r="D14" s="355">
        <f t="shared" si="4"/>
        <v>46240</v>
      </c>
      <c r="E14" s="355" t="s">
        <v>448</v>
      </c>
      <c r="F14" s="229">
        <v>7670457</v>
      </c>
      <c r="G14" s="297"/>
      <c r="H14" s="316"/>
      <c r="I14" s="230">
        <v>227805</v>
      </c>
      <c r="K14" s="317"/>
      <c r="L14" s="229">
        <v>5186165</v>
      </c>
      <c r="M14" s="297"/>
      <c r="N14" s="316"/>
      <c r="O14" s="89">
        <f t="shared" si="0"/>
        <v>0.67612203549280048</v>
      </c>
      <c r="P14" s="298"/>
      <c r="Q14" s="315"/>
      <c r="R14" s="229">
        <v>954082.40942554187</v>
      </c>
      <c r="S14" s="297"/>
      <c r="T14" s="316"/>
      <c r="U14" s="89">
        <f t="shared" si="1"/>
        <v>0.12438403727777131</v>
      </c>
      <c r="V14" s="298"/>
      <c r="W14" s="315"/>
    </row>
    <row r="15" spans="1:23" ht="16.5" customHeight="1">
      <c r="A15" s="97"/>
      <c r="B15" s="97"/>
      <c r="C15" s="97"/>
      <c r="D15" s="355">
        <f t="shared" si="4"/>
        <v>46241</v>
      </c>
      <c r="E15" s="355" t="s">
        <v>449</v>
      </c>
      <c r="F15" s="229">
        <v>6794244</v>
      </c>
      <c r="G15" s="297"/>
      <c r="H15" s="316"/>
      <c r="I15" s="230">
        <v>203589</v>
      </c>
      <c r="K15" s="317"/>
      <c r="L15" s="229">
        <v>4527728</v>
      </c>
      <c r="M15" s="297"/>
      <c r="N15" s="316"/>
      <c r="O15" s="89">
        <f t="shared" si="0"/>
        <v>0.66640644639786262</v>
      </c>
      <c r="Q15" s="315"/>
      <c r="R15" s="229">
        <v>932954.23817554209</v>
      </c>
      <c r="S15" s="297"/>
      <c r="T15" s="316"/>
      <c r="U15" s="89">
        <f t="shared" si="1"/>
        <v>0.13731538610852687</v>
      </c>
      <c r="V15" s="89"/>
      <c r="W15" s="315"/>
    </row>
    <row r="16" spans="1:23" ht="16.5" customHeight="1">
      <c r="A16" s="97"/>
      <c r="B16" s="97"/>
      <c r="C16" s="97"/>
      <c r="D16" s="355">
        <f t="shared" si="4"/>
        <v>46242</v>
      </c>
      <c r="E16" s="355" t="s">
        <v>450</v>
      </c>
      <c r="F16" s="229">
        <v>7244290</v>
      </c>
      <c r="G16" s="297"/>
      <c r="H16" s="316"/>
      <c r="I16" s="230">
        <v>215322</v>
      </c>
      <c r="K16" s="317"/>
      <c r="L16" s="229">
        <v>4949860</v>
      </c>
      <c r="M16" s="297"/>
      <c r="N16" s="316"/>
      <c r="O16" s="89">
        <f t="shared" si="0"/>
        <v>0.6832774502401201</v>
      </c>
      <c r="P16" s="298"/>
      <c r="Q16" s="315"/>
      <c r="R16" s="229">
        <v>959236.67129706976</v>
      </c>
      <c r="S16" s="297"/>
      <c r="T16" s="316"/>
      <c r="U16" s="89">
        <f t="shared" si="1"/>
        <v>0.13241279287508778</v>
      </c>
      <c r="V16" s="298"/>
      <c r="W16" s="315"/>
    </row>
    <row r="17" spans="1:23" ht="16.5" customHeight="1">
      <c r="A17" s="97"/>
      <c r="B17" s="97"/>
      <c r="C17" s="97"/>
      <c r="D17" s="355">
        <f t="shared" si="4"/>
        <v>46243</v>
      </c>
      <c r="E17" s="355" t="s">
        <v>451</v>
      </c>
      <c r="F17" s="229">
        <v>8720178</v>
      </c>
      <c r="H17" s="316"/>
      <c r="I17" s="230">
        <v>255929</v>
      </c>
      <c r="K17" s="317"/>
      <c r="L17" s="229">
        <v>5531501</v>
      </c>
      <c r="M17" s="86"/>
      <c r="N17" s="316"/>
      <c r="O17" s="89">
        <f t="shared" si="0"/>
        <v>0.63433349640339909</v>
      </c>
      <c r="P17" s="298"/>
      <c r="Q17" s="315"/>
      <c r="R17" s="229">
        <v>975745.21914429206</v>
      </c>
      <c r="S17" s="86"/>
      <c r="T17" s="316"/>
      <c r="U17" s="89">
        <f t="shared" si="1"/>
        <v>0.11189510341925268</v>
      </c>
      <c r="V17" s="298"/>
      <c r="W17" s="315"/>
    </row>
    <row r="18" spans="1:23" ht="16.5" customHeight="1">
      <c r="A18" s="97"/>
      <c r="B18" s="97"/>
      <c r="C18" s="97"/>
      <c r="D18" s="355">
        <f t="shared" si="4"/>
        <v>46244</v>
      </c>
      <c r="E18" s="355" t="s">
        <v>445</v>
      </c>
      <c r="F18" s="229">
        <v>8645276</v>
      </c>
      <c r="G18" s="297"/>
      <c r="H18" s="316"/>
      <c r="I18" s="230">
        <v>252930</v>
      </c>
      <c r="K18" s="317"/>
      <c r="L18" s="229">
        <v>5781208</v>
      </c>
      <c r="M18" s="297"/>
      <c r="N18" s="316"/>
      <c r="O18" s="89">
        <f t="shared" si="0"/>
        <v>0.66871294797297387</v>
      </c>
      <c r="P18" s="298"/>
      <c r="Q18" s="315"/>
      <c r="R18" s="229">
        <v>984050.14432484761</v>
      </c>
      <c r="S18" s="297"/>
      <c r="T18" s="316"/>
      <c r="U18" s="89">
        <f t="shared" si="1"/>
        <v>0.11382518549145772</v>
      </c>
      <c r="V18" s="298"/>
      <c r="W18" s="315"/>
    </row>
    <row r="19" spans="1:23" ht="16.5" customHeight="1">
      <c r="A19" s="97"/>
      <c r="B19" s="97"/>
      <c r="C19" s="97"/>
      <c r="D19" s="299">
        <f t="shared" si="4"/>
        <v>46245</v>
      </c>
      <c r="E19" s="299" t="s">
        <v>446</v>
      </c>
      <c r="F19" s="229">
        <v>8196585</v>
      </c>
      <c r="G19" s="297">
        <f>SUM(F19:F25)</f>
        <v>54050197</v>
      </c>
      <c r="H19" s="316"/>
      <c r="I19" s="230">
        <v>242065</v>
      </c>
      <c r="J19" s="87">
        <f>SUM(I19:I25)</f>
        <v>1606324</v>
      </c>
      <c r="K19" s="317"/>
      <c r="L19" s="229">
        <v>5543864</v>
      </c>
      <c r="M19" s="297">
        <f>SUM(L19:L25)</f>
        <v>36304586</v>
      </c>
      <c r="N19" s="316"/>
      <c r="O19" s="89">
        <f t="shared" si="0"/>
        <v>0.67636265591096778</v>
      </c>
      <c r="P19" s="89">
        <f>M19/G19</f>
        <v>0.67168276925984194</v>
      </c>
      <c r="Q19" s="315"/>
      <c r="R19" s="229">
        <v>972820.53348109743</v>
      </c>
      <c r="S19" s="297">
        <f>SUM(R19:R25)</f>
        <v>6695281.2850864325</v>
      </c>
      <c r="T19" s="316"/>
      <c r="U19" s="89">
        <f t="shared" si="1"/>
        <v>0.1186860788341849</v>
      </c>
      <c r="V19" s="89">
        <f>S19/G19</f>
        <v>0.12387154268996342</v>
      </c>
      <c r="W19" s="315"/>
    </row>
    <row r="20" spans="1:23" ht="16.5" customHeight="1">
      <c r="A20" s="97"/>
      <c r="B20" s="97"/>
      <c r="C20" s="97"/>
      <c r="D20" s="299">
        <f t="shared" si="4"/>
        <v>46246</v>
      </c>
      <c r="E20" s="299" t="s">
        <v>447</v>
      </c>
      <c r="F20" s="229">
        <v>7757225</v>
      </c>
      <c r="G20" s="297"/>
      <c r="H20" s="316"/>
      <c r="I20" s="230">
        <v>232004</v>
      </c>
      <c r="K20" s="317"/>
      <c r="L20" s="229">
        <v>5241866</v>
      </c>
      <c r="M20" s="297"/>
      <c r="N20" s="316"/>
      <c r="O20" s="89">
        <f t="shared" si="0"/>
        <v>0.67573984253389585</v>
      </c>
      <c r="P20" s="298"/>
      <c r="Q20" s="315"/>
      <c r="R20" s="229">
        <v>961601.93626581982</v>
      </c>
      <c r="S20" s="297"/>
      <c r="T20" s="316"/>
      <c r="U20" s="89">
        <f t="shared" si="1"/>
        <v>0.1239621045239528</v>
      </c>
      <c r="V20" s="298"/>
      <c r="W20" s="315"/>
    </row>
    <row r="21" spans="1:23" ht="16.5" customHeight="1">
      <c r="A21" s="97"/>
      <c r="B21" s="97"/>
      <c r="C21" s="97"/>
      <c r="D21" s="299">
        <f t="shared" si="4"/>
        <v>46247</v>
      </c>
      <c r="E21" s="299" t="s">
        <v>448</v>
      </c>
      <c r="F21" s="229">
        <v>7394587</v>
      </c>
      <c r="H21" s="316"/>
      <c r="I21" s="230">
        <v>222698</v>
      </c>
      <c r="K21" s="317"/>
      <c r="L21" s="229">
        <v>5064204</v>
      </c>
      <c r="M21" s="86"/>
      <c r="N21" s="316"/>
      <c r="O21" s="89">
        <f t="shared" si="0"/>
        <v>0.68485285249872641</v>
      </c>
      <c r="P21" s="298"/>
      <c r="Q21" s="315"/>
      <c r="R21" s="229">
        <v>936596.00069290306</v>
      </c>
      <c r="S21" s="86"/>
      <c r="T21" s="316"/>
      <c r="U21" s="89">
        <f t="shared" si="1"/>
        <v>0.12665967696274358</v>
      </c>
      <c r="V21" s="298"/>
      <c r="W21" s="315"/>
    </row>
    <row r="22" spans="1:23" ht="16.5" customHeight="1">
      <c r="A22" s="97"/>
      <c r="B22" s="97"/>
      <c r="C22" s="97"/>
      <c r="D22" s="299">
        <f t="shared" si="4"/>
        <v>46248</v>
      </c>
      <c r="E22" s="299" t="s">
        <v>449</v>
      </c>
      <c r="F22" s="229">
        <v>6557542</v>
      </c>
      <c r="G22" s="297"/>
      <c r="H22" s="316"/>
      <c r="I22" s="230">
        <v>199003</v>
      </c>
      <c r="K22" s="317"/>
      <c r="L22" s="229">
        <v>4574891</v>
      </c>
      <c r="M22" s="297"/>
      <c r="N22" s="316"/>
      <c r="O22" s="89">
        <f t="shared" si="0"/>
        <v>0.69765332803053337</v>
      </c>
      <c r="Q22" s="315"/>
      <c r="R22" s="229">
        <v>925447.36320331972</v>
      </c>
      <c r="S22" s="297"/>
      <c r="T22" s="316"/>
      <c r="U22" s="89">
        <f t="shared" si="1"/>
        <v>0.1411271728344736</v>
      </c>
      <c r="V22" s="89"/>
      <c r="W22" s="315"/>
    </row>
    <row r="23" spans="1:23" ht="16.5" customHeight="1">
      <c r="A23" s="97"/>
      <c r="B23" s="97"/>
      <c r="C23" s="97"/>
      <c r="D23" s="299">
        <f t="shared" si="4"/>
        <v>46249</v>
      </c>
      <c r="E23" s="299" t="s">
        <v>450</v>
      </c>
      <c r="F23" s="229">
        <v>7004503</v>
      </c>
      <c r="G23" s="297"/>
      <c r="H23" s="316"/>
      <c r="I23" s="230">
        <v>209965</v>
      </c>
      <c r="K23" s="317"/>
      <c r="L23" s="229">
        <v>4696427</v>
      </c>
      <c r="M23" s="297"/>
      <c r="N23" s="316"/>
      <c r="O23" s="89">
        <f t="shared" si="0"/>
        <v>0.67048682825890715</v>
      </c>
      <c r="P23" s="298"/>
      <c r="Q23" s="315"/>
      <c r="R23" s="229">
        <v>929361.82546720852</v>
      </c>
      <c r="S23" s="297"/>
      <c r="T23" s="316"/>
      <c r="U23" s="89">
        <f t="shared" si="1"/>
        <v>0.13268062351707302</v>
      </c>
      <c r="V23" s="298"/>
      <c r="W23" s="315"/>
    </row>
    <row r="24" spans="1:23" ht="16.5" customHeight="1">
      <c r="A24" s="97"/>
      <c r="B24" s="97"/>
      <c r="C24" s="97"/>
      <c r="D24" s="299">
        <f t="shared" si="4"/>
        <v>46250</v>
      </c>
      <c r="E24" s="299" t="s">
        <v>451</v>
      </c>
      <c r="F24" s="229">
        <v>8582365</v>
      </c>
      <c r="G24" s="297"/>
      <c r="H24" s="316"/>
      <c r="I24" s="230">
        <v>250522</v>
      </c>
      <c r="K24" s="317"/>
      <c r="L24" s="229">
        <v>5489708</v>
      </c>
      <c r="M24" s="297"/>
      <c r="N24" s="316"/>
      <c r="O24" s="89">
        <f t="shared" si="0"/>
        <v>0.63964979350097551</v>
      </c>
      <c r="P24" s="298"/>
      <c r="Q24" s="315"/>
      <c r="R24" s="229">
        <v>978410.60504706984</v>
      </c>
      <c r="S24" s="297"/>
      <c r="T24" s="316"/>
      <c r="U24" s="89">
        <f t="shared" si="1"/>
        <v>0.11400244630088208</v>
      </c>
      <c r="V24" s="298"/>
      <c r="W24" s="315"/>
    </row>
    <row r="25" spans="1:23" ht="16.5" customHeight="1">
      <c r="A25" s="97"/>
      <c r="B25" s="97"/>
      <c r="C25" s="97"/>
      <c r="D25" s="299">
        <f t="shared" si="4"/>
        <v>46251</v>
      </c>
      <c r="E25" s="299" t="s">
        <v>445</v>
      </c>
      <c r="F25" s="229">
        <v>8557390</v>
      </c>
      <c r="H25" s="316"/>
      <c r="I25" s="230">
        <v>250067</v>
      </c>
      <c r="K25" s="317"/>
      <c r="L25" s="229">
        <v>5693626</v>
      </c>
      <c r="M25" s="86"/>
      <c r="N25" s="316"/>
      <c r="O25" s="89">
        <f t="shared" si="0"/>
        <v>0.66534609267545364</v>
      </c>
      <c r="P25" s="298"/>
      <c r="Q25" s="315"/>
      <c r="R25" s="229">
        <v>991043.02092901454</v>
      </c>
      <c r="S25" s="86"/>
      <c r="T25" s="316"/>
      <c r="U25" s="89">
        <f t="shared" si="1"/>
        <v>0.11581136548982979</v>
      </c>
      <c r="V25" s="298"/>
      <c r="W25" s="315"/>
    </row>
    <row r="26" spans="1:23" ht="16.5" customHeight="1">
      <c r="A26" s="97"/>
      <c r="B26" s="97"/>
      <c r="C26" s="97"/>
      <c r="D26" s="355">
        <f t="shared" si="4"/>
        <v>46252</v>
      </c>
      <c r="E26" s="355" t="s">
        <v>446</v>
      </c>
      <c r="F26" s="229">
        <v>9261715</v>
      </c>
      <c r="G26" s="297">
        <f>SUM(F26:F32)</f>
        <v>56328159</v>
      </c>
      <c r="H26" s="316"/>
      <c r="I26" s="230">
        <v>265246</v>
      </c>
      <c r="J26" s="87">
        <f>SUM(I26:I32)</f>
        <v>1650500</v>
      </c>
      <c r="K26" s="317"/>
      <c r="L26" s="229">
        <v>6234475</v>
      </c>
      <c r="M26" s="297">
        <f>SUM(L26:L32)</f>
        <v>38281107</v>
      </c>
      <c r="N26" s="316"/>
      <c r="O26" s="89">
        <f t="shared" si="0"/>
        <v>0.67314476854448668</v>
      </c>
      <c r="P26" s="89">
        <f>M26/G26</f>
        <v>0.67960870157322206</v>
      </c>
      <c r="Q26" s="315"/>
      <c r="R26" s="229">
        <v>950094.13536794728</v>
      </c>
      <c r="S26" s="297">
        <f>SUM(R26:R32)</f>
        <v>6281599.7359332694</v>
      </c>
      <c r="T26" s="316"/>
      <c r="U26" s="89">
        <f t="shared" si="1"/>
        <v>0.1025829595672019</v>
      </c>
      <c r="V26" s="89">
        <f>S26/G26</f>
        <v>0.111517930773013</v>
      </c>
      <c r="W26" s="315"/>
    </row>
    <row r="27" spans="1:23">
      <c r="A27" s="97"/>
      <c r="B27" s="97"/>
      <c r="C27" s="97"/>
      <c r="D27" s="355">
        <f t="shared" si="4"/>
        <v>46253</v>
      </c>
      <c r="E27" s="355" t="s">
        <v>447</v>
      </c>
      <c r="F27" s="229">
        <v>8223442</v>
      </c>
      <c r="G27" s="297"/>
      <c r="H27" s="316"/>
      <c r="I27" s="230">
        <v>242085</v>
      </c>
      <c r="K27" s="317"/>
      <c r="L27" s="229">
        <v>5718054</v>
      </c>
      <c r="M27" s="297"/>
      <c r="N27" s="316"/>
      <c r="O27" s="89">
        <f t="shared" si="0"/>
        <v>0.69533584598760467</v>
      </c>
      <c r="P27" s="298"/>
      <c r="Q27" s="315"/>
      <c r="R27" s="229">
        <v>915153.58626725269</v>
      </c>
      <c r="S27" s="297"/>
      <c r="T27" s="316"/>
      <c r="U27" s="89">
        <f t="shared" si="1"/>
        <v>0.11128595377303721</v>
      </c>
      <c r="V27" s="298"/>
      <c r="W27" s="315"/>
    </row>
    <row r="28" spans="1:23">
      <c r="A28" s="97"/>
      <c r="B28" s="97"/>
      <c r="C28" s="97"/>
      <c r="D28" s="355">
        <f t="shared" si="4"/>
        <v>46254</v>
      </c>
      <c r="E28" s="355" t="s">
        <v>448</v>
      </c>
      <c r="F28" s="229">
        <v>7777327</v>
      </c>
      <c r="H28" s="316"/>
      <c r="I28" s="230">
        <v>229428</v>
      </c>
      <c r="K28" s="317"/>
      <c r="L28" s="229">
        <v>5378531</v>
      </c>
      <c r="M28" s="86"/>
      <c r="N28" s="316"/>
      <c r="O28" s="89">
        <f t="shared" si="0"/>
        <v>0.69156549544592893</v>
      </c>
      <c r="P28" s="298"/>
      <c r="Q28" s="315"/>
      <c r="R28" s="229">
        <v>892046.139176975</v>
      </c>
      <c r="S28" s="86"/>
      <c r="T28" s="316"/>
      <c r="U28" s="89">
        <f t="shared" si="1"/>
        <v>0.11469829405102486</v>
      </c>
      <c r="V28" s="298"/>
      <c r="W28" s="315"/>
    </row>
    <row r="29" spans="1:23">
      <c r="A29" s="97"/>
      <c r="B29" s="97"/>
      <c r="C29" s="97"/>
      <c r="D29" s="355">
        <f t="shared" si="4"/>
        <v>46255</v>
      </c>
      <c r="E29" s="355" t="s">
        <v>449</v>
      </c>
      <c r="F29" s="229">
        <v>6482925</v>
      </c>
      <c r="G29" s="297"/>
      <c r="H29" s="316"/>
      <c r="I29" s="230">
        <v>195574</v>
      </c>
      <c r="K29" s="317"/>
      <c r="L29" s="229">
        <v>4514195</v>
      </c>
      <c r="M29" s="297"/>
      <c r="N29" s="316"/>
      <c r="O29" s="89">
        <f t="shared" si="0"/>
        <v>0.6963207194283445</v>
      </c>
      <c r="Q29" s="315"/>
      <c r="R29" s="229">
        <v>862881.6652672526</v>
      </c>
      <c r="S29" s="297"/>
      <c r="T29" s="316"/>
      <c r="U29" s="89">
        <f t="shared" si="1"/>
        <v>0.13310067064901299</v>
      </c>
      <c r="V29" s="89"/>
      <c r="W29" s="315"/>
    </row>
    <row r="30" spans="1:23">
      <c r="A30" s="97"/>
      <c r="B30" s="97"/>
      <c r="C30" s="97"/>
      <c r="D30" s="355">
        <f t="shared" si="4"/>
        <v>46256</v>
      </c>
      <c r="E30" s="355" t="s">
        <v>450</v>
      </c>
      <c r="F30" s="229">
        <v>7062658</v>
      </c>
      <c r="G30" s="297"/>
      <c r="H30" s="316"/>
      <c r="I30" s="230">
        <v>209261</v>
      </c>
      <c r="K30" s="317"/>
      <c r="L30" s="229">
        <v>4825315</v>
      </c>
      <c r="M30" s="297"/>
      <c r="N30" s="316"/>
      <c r="O30" s="89">
        <f t="shared" si="0"/>
        <v>0.68321515780602715</v>
      </c>
      <c r="P30" s="298"/>
      <c r="Q30" s="315"/>
      <c r="R30" s="229">
        <v>866960.51358322485</v>
      </c>
      <c r="S30" s="297"/>
      <c r="T30" s="316"/>
      <c r="U30" s="89">
        <f t="shared" si="1"/>
        <v>0.12275272476498576</v>
      </c>
      <c r="V30" s="298"/>
      <c r="W30" s="315"/>
    </row>
    <row r="31" spans="1:23">
      <c r="A31" s="97"/>
      <c r="B31" s="97"/>
      <c r="C31" s="97"/>
      <c r="D31" s="355">
        <f t="shared" si="4"/>
        <v>46257</v>
      </c>
      <c r="E31" s="355" t="s">
        <v>451</v>
      </c>
      <c r="F31" s="229">
        <v>8897810</v>
      </c>
      <c r="G31" s="297"/>
      <c r="H31" s="316"/>
      <c r="I31" s="230">
        <v>257066</v>
      </c>
      <c r="K31" s="317"/>
      <c r="L31" s="229">
        <v>5842339</v>
      </c>
      <c r="M31" s="297"/>
      <c r="N31" s="316"/>
      <c r="O31" s="89">
        <f t="shared" si="0"/>
        <v>0.656604153156788</v>
      </c>
      <c r="P31" s="298"/>
      <c r="Q31" s="315"/>
      <c r="R31" s="229">
        <v>897510.39450683619</v>
      </c>
      <c r="S31" s="297"/>
      <c r="T31" s="316"/>
      <c r="U31" s="89">
        <f t="shared" si="1"/>
        <v>0.10086868504798778</v>
      </c>
      <c r="V31" s="298"/>
      <c r="W31" s="315"/>
    </row>
    <row r="32" spans="1:23">
      <c r="A32" s="97"/>
      <c r="B32" s="97"/>
      <c r="C32" s="97"/>
      <c r="D32" s="355">
        <f t="shared" si="4"/>
        <v>46258</v>
      </c>
      <c r="E32" s="355" t="s">
        <v>445</v>
      </c>
      <c r="F32" s="229">
        <v>8622282</v>
      </c>
      <c r="H32" s="316"/>
      <c r="I32" s="230">
        <v>251840</v>
      </c>
      <c r="K32" s="317"/>
      <c r="L32" s="229">
        <v>5768198</v>
      </c>
      <c r="M32" s="86"/>
      <c r="N32" s="316"/>
      <c r="O32" s="89">
        <f t="shared" si="0"/>
        <v>0.66898739799974072</v>
      </c>
      <c r="P32" s="298"/>
      <c r="Q32" s="315"/>
      <c r="R32" s="229">
        <v>896953.30176378042</v>
      </c>
      <c r="S32" s="86"/>
      <c r="T32" s="316"/>
      <c r="U32" s="89">
        <f t="shared" si="1"/>
        <v>0.10402736790141873</v>
      </c>
      <c r="V32" s="298"/>
      <c r="W32" s="315"/>
    </row>
    <row r="33" spans="1:23" s="431" customFormat="1">
      <c r="A33" s="425"/>
      <c r="B33" s="425"/>
      <c r="C33" s="425"/>
      <c r="D33" s="299">
        <f t="shared" si="4"/>
        <v>46259</v>
      </c>
      <c r="E33" s="299" t="s">
        <v>446</v>
      </c>
      <c r="F33" s="433">
        <v>9024965</v>
      </c>
      <c r="G33" s="434">
        <f>SUM(F33:F39)</f>
        <v>56983669</v>
      </c>
      <c r="H33" s="435"/>
      <c r="I33" s="436">
        <v>251515</v>
      </c>
      <c r="J33" s="336">
        <f>SUM(I33:I39)</f>
        <v>1763767</v>
      </c>
      <c r="K33" s="437"/>
      <c r="L33" s="229">
        <v>5776643</v>
      </c>
      <c r="M33" s="434">
        <f>SUM(L33:L39)</f>
        <v>38639206</v>
      </c>
      <c r="N33" s="435"/>
      <c r="O33" s="438">
        <f t="shared" si="0"/>
        <v>0.6400737288177849</v>
      </c>
      <c r="P33" s="438">
        <f>M33/G33</f>
        <v>0.67807508147641393</v>
      </c>
      <c r="Q33" s="439"/>
      <c r="R33" s="433">
        <v>893638.44536447478</v>
      </c>
      <c r="S33" s="434">
        <f>SUM(R33:R39)</f>
        <v>6258595.341509657</v>
      </c>
      <c r="T33" s="435"/>
      <c r="U33" s="438">
        <f t="shared" si="1"/>
        <v>9.9018494294933534E-2</v>
      </c>
      <c r="V33" s="438">
        <f>S33/G33</f>
        <v>0.10983138592760071</v>
      </c>
      <c r="W33" s="430"/>
    </row>
    <row r="34" spans="1:23" s="431" customFormat="1">
      <c r="A34" s="425"/>
      <c r="B34" s="425"/>
      <c r="C34" s="425"/>
      <c r="D34" s="299">
        <f t="shared" si="4"/>
        <v>46260</v>
      </c>
      <c r="E34" s="299" t="s">
        <v>447</v>
      </c>
      <c r="F34" s="433">
        <v>8226921</v>
      </c>
      <c r="G34" s="440"/>
      <c r="H34" s="435"/>
      <c r="I34" s="436">
        <v>235274</v>
      </c>
      <c r="J34" s="336"/>
      <c r="K34" s="437"/>
      <c r="L34" s="229">
        <v>5404425</v>
      </c>
      <c r="M34" s="434"/>
      <c r="N34" s="435"/>
      <c r="O34" s="438">
        <f t="shared" si="0"/>
        <v>0.65691952068094495</v>
      </c>
      <c r="P34" s="438"/>
      <c r="Q34" s="439"/>
      <c r="R34" s="433">
        <v>883799.64078808599</v>
      </c>
      <c r="S34" s="434"/>
      <c r="T34" s="435"/>
      <c r="U34" s="438">
        <f t="shared" si="1"/>
        <v>0.10742775344361347</v>
      </c>
      <c r="V34" s="438"/>
      <c r="W34" s="430"/>
    </row>
    <row r="35" spans="1:23" s="431" customFormat="1">
      <c r="A35" s="425"/>
      <c r="B35" s="425"/>
      <c r="D35" s="299">
        <f>D34+1</f>
        <v>46261</v>
      </c>
      <c r="E35" s="299" t="s">
        <v>448</v>
      </c>
      <c r="F35" s="433">
        <v>8093461</v>
      </c>
      <c r="G35" s="434"/>
      <c r="H35" s="440"/>
      <c r="I35" s="436">
        <v>251686</v>
      </c>
      <c r="J35" s="336"/>
      <c r="K35" s="336"/>
      <c r="L35" s="229">
        <v>5439353</v>
      </c>
      <c r="M35" s="434"/>
      <c r="N35" s="440"/>
      <c r="O35" s="438">
        <f t="shared" si="0"/>
        <v>0.67206761112458568</v>
      </c>
      <c r="P35" s="438"/>
      <c r="Q35" s="440"/>
      <c r="R35" s="433">
        <v>895801.66140614171</v>
      </c>
      <c r="S35" s="434"/>
      <c r="T35" s="440"/>
      <c r="U35" s="438">
        <f t="shared" si="1"/>
        <v>0.11068214962747602</v>
      </c>
      <c r="V35" s="438"/>
      <c r="W35" s="432"/>
    </row>
    <row r="36" spans="1:23" s="431" customFormat="1">
      <c r="A36" s="425"/>
      <c r="B36" s="425"/>
      <c r="C36" s="425"/>
      <c r="D36" s="299">
        <f t="shared" ref="D36:D39" si="5">D35+1</f>
        <v>46262</v>
      </c>
      <c r="E36" s="299" t="s">
        <v>449</v>
      </c>
      <c r="F36" s="433">
        <v>8092638</v>
      </c>
      <c r="G36" s="434"/>
      <c r="H36" s="435"/>
      <c r="I36" s="436">
        <v>222473</v>
      </c>
      <c r="J36" s="336"/>
      <c r="K36" s="437"/>
      <c r="L36" s="229">
        <v>4907861</v>
      </c>
      <c r="M36" s="434"/>
      <c r="N36" s="435"/>
      <c r="O36" s="438">
        <f t="shared" si="0"/>
        <v>0.60645997016053355</v>
      </c>
      <c r="P36" s="438"/>
      <c r="Q36" s="439"/>
      <c r="R36" s="433">
        <v>888653.39612836356</v>
      </c>
      <c r="S36" s="434"/>
      <c r="T36" s="435"/>
      <c r="U36" s="438">
        <f t="shared" si="1"/>
        <v>0.10981010099900225</v>
      </c>
      <c r="V36" s="438"/>
      <c r="W36" s="430"/>
    </row>
    <row r="37" spans="1:23" s="431" customFormat="1">
      <c r="A37" s="425"/>
      <c r="B37" s="425"/>
      <c r="D37" s="299">
        <f t="shared" si="5"/>
        <v>46263</v>
      </c>
      <c r="E37" s="299" t="s">
        <v>450</v>
      </c>
      <c r="F37" s="433">
        <v>7053318</v>
      </c>
      <c r="G37" s="434"/>
      <c r="H37" s="440"/>
      <c r="I37" s="436">
        <v>233660</v>
      </c>
      <c r="J37" s="336"/>
      <c r="K37" s="336"/>
      <c r="L37" s="433">
        <v>4892856</v>
      </c>
      <c r="M37" s="434"/>
      <c r="N37" s="440"/>
      <c r="O37" s="438">
        <f t="shared" si="0"/>
        <v>0.69369564792059568</v>
      </c>
      <c r="P37" s="438"/>
      <c r="Q37" s="440"/>
      <c r="R37" s="433">
        <v>852236.42605544685</v>
      </c>
      <c r="S37" s="434"/>
      <c r="T37" s="440"/>
      <c r="U37" s="438">
        <f t="shared" si="1"/>
        <v>0.12082773328176141</v>
      </c>
      <c r="V37" s="438"/>
      <c r="W37" s="432"/>
    </row>
    <row r="38" spans="1:23" s="431" customFormat="1">
      <c r="A38" s="425"/>
      <c r="B38" s="425"/>
      <c r="D38" s="299">
        <f t="shared" si="5"/>
        <v>46264</v>
      </c>
      <c r="E38" s="299" t="s">
        <v>451</v>
      </c>
      <c r="F38" s="433">
        <v>7474537</v>
      </c>
      <c r="G38" s="434"/>
      <c r="H38" s="440"/>
      <c r="I38" s="436">
        <v>276946</v>
      </c>
      <c r="J38" s="336"/>
      <c r="K38" s="336"/>
      <c r="L38" s="433">
        <v>5884960</v>
      </c>
      <c r="M38" s="434"/>
      <c r="N38" s="440"/>
      <c r="O38" s="438">
        <f t="shared" si="0"/>
        <v>0.78733438606297623</v>
      </c>
      <c r="P38" s="438"/>
      <c r="Q38" s="440"/>
      <c r="R38" s="433">
        <v>897822.09785753035</v>
      </c>
      <c r="S38" s="434"/>
      <c r="T38" s="440"/>
      <c r="U38" s="438">
        <f t="shared" si="1"/>
        <v>0.12011741969536445</v>
      </c>
      <c r="V38" s="438"/>
      <c r="W38" s="432"/>
    </row>
    <row r="39" spans="1:23" s="431" customFormat="1">
      <c r="A39" s="425"/>
      <c r="B39" s="425"/>
      <c r="D39" s="299">
        <f t="shared" si="5"/>
        <v>46265</v>
      </c>
      <c r="E39" s="299" t="s">
        <v>445</v>
      </c>
      <c r="F39" s="433">
        <v>9017829</v>
      </c>
      <c r="G39" s="434"/>
      <c r="H39" s="440"/>
      <c r="I39" s="436">
        <v>292213</v>
      </c>
      <c r="J39" s="336"/>
      <c r="K39" s="336"/>
      <c r="L39" s="433">
        <v>6333108</v>
      </c>
      <c r="M39" s="434"/>
      <c r="N39" s="440"/>
      <c r="O39" s="438">
        <f t="shared" si="0"/>
        <v>0.70228743525742177</v>
      </c>
      <c r="P39" s="438"/>
      <c r="Q39" s="440"/>
      <c r="R39" s="433">
        <v>946643.67390961351</v>
      </c>
      <c r="S39" s="434"/>
      <c r="T39" s="440"/>
      <c r="U39" s="438">
        <f t="shared" si="1"/>
        <v>0.10497467560203387</v>
      </c>
      <c r="V39" s="438"/>
      <c r="W39" s="432"/>
    </row>
    <row r="40" spans="1:23">
      <c r="A40" s="97"/>
      <c r="B40" s="97"/>
      <c r="D40" s="355"/>
      <c r="E40" s="355"/>
      <c r="F40" s="229"/>
      <c r="G40" s="434">
        <f>SUM(F40:F46)</f>
        <v>0</v>
      </c>
      <c r="I40" s="230"/>
      <c r="J40" s="336">
        <f>SUM(I40:I46)</f>
        <v>0</v>
      </c>
      <c r="L40" s="229"/>
      <c r="M40" s="434">
        <f>SUM(L40:L46)</f>
        <v>0</v>
      </c>
      <c r="N40" s="86"/>
      <c r="O40" s="89" t="e">
        <f>L40/F40</f>
        <v>#DIV/0!</v>
      </c>
      <c r="P40" s="438" t="e">
        <f>M40/G40</f>
        <v>#DIV/0!</v>
      </c>
      <c r="Q40" s="86"/>
      <c r="R40" s="229"/>
      <c r="S40" s="434">
        <f>SUM(R40:R46)</f>
        <v>0</v>
      </c>
      <c r="T40" s="86"/>
      <c r="U40" s="89" t="e">
        <f t="shared" si="1"/>
        <v>#DIV/0!</v>
      </c>
      <c r="V40" s="438" t="e">
        <f>S40/G40</f>
        <v>#DIV/0!</v>
      </c>
      <c r="W40" s="86"/>
    </row>
    <row r="41" spans="1:23">
      <c r="A41" s="97"/>
      <c r="B41" s="97"/>
      <c r="D41" s="355"/>
      <c r="E41" s="355"/>
      <c r="F41" s="229"/>
      <c r="G41" s="297"/>
      <c r="I41" s="230"/>
      <c r="L41" s="229"/>
      <c r="M41" s="297"/>
      <c r="N41" s="86"/>
      <c r="O41" s="89" t="e">
        <f t="shared" ref="O41:O46" si="6">L41/F41</f>
        <v>#DIV/0!</v>
      </c>
      <c r="Q41" s="86"/>
      <c r="R41" s="229"/>
      <c r="S41" s="297"/>
      <c r="T41" s="86"/>
      <c r="U41" s="89" t="e">
        <f t="shared" ref="U41:U46" si="7">R41/F41</f>
        <v>#DIV/0!</v>
      </c>
      <c r="V41" s="89"/>
      <c r="W41" s="86"/>
    </row>
    <row r="42" spans="1:23">
      <c r="A42" s="97"/>
      <c r="B42" s="97"/>
      <c r="D42" s="355"/>
      <c r="E42" s="355"/>
      <c r="F42" s="229"/>
      <c r="G42" s="297"/>
      <c r="I42" s="230"/>
      <c r="L42" s="229"/>
      <c r="M42" s="297"/>
      <c r="N42" s="86"/>
      <c r="O42" s="89" t="e">
        <f t="shared" si="6"/>
        <v>#DIV/0!</v>
      </c>
      <c r="Q42" s="86"/>
      <c r="R42" s="229"/>
      <c r="S42" s="297"/>
      <c r="T42" s="86"/>
      <c r="U42" s="89" t="e">
        <f t="shared" si="7"/>
        <v>#DIV/0!</v>
      </c>
      <c r="V42" s="89"/>
      <c r="W42" s="86"/>
    </row>
    <row r="43" spans="1:23">
      <c r="A43" s="97"/>
      <c r="B43" s="97"/>
      <c r="D43" s="355"/>
      <c r="E43" s="355"/>
      <c r="F43" s="229"/>
      <c r="G43" s="297"/>
      <c r="I43" s="230"/>
      <c r="L43" s="229"/>
      <c r="M43" s="297"/>
      <c r="N43" s="86"/>
      <c r="O43" s="89" t="e">
        <f t="shared" si="6"/>
        <v>#DIV/0!</v>
      </c>
      <c r="Q43" s="86"/>
      <c r="R43" s="229"/>
      <c r="S43" s="297"/>
      <c r="T43" s="86"/>
      <c r="U43" s="89" t="e">
        <f t="shared" si="7"/>
        <v>#DIV/0!</v>
      </c>
      <c r="V43" s="89"/>
      <c r="W43" s="86"/>
    </row>
    <row r="44" spans="1:23">
      <c r="A44" s="97"/>
      <c r="B44" s="97"/>
      <c r="D44" s="355"/>
      <c r="E44" s="355"/>
      <c r="F44" s="229"/>
      <c r="G44" s="297"/>
      <c r="I44" s="230"/>
      <c r="L44" s="229"/>
      <c r="M44" s="297"/>
      <c r="N44" s="86"/>
      <c r="O44" s="89" t="e">
        <f t="shared" si="6"/>
        <v>#DIV/0!</v>
      </c>
      <c r="Q44" s="86"/>
      <c r="R44" s="229"/>
      <c r="S44" s="297"/>
      <c r="T44" s="86"/>
      <c r="U44" s="89" t="e">
        <f t="shared" si="7"/>
        <v>#DIV/0!</v>
      </c>
      <c r="V44" s="89"/>
      <c r="W44" s="86"/>
    </row>
    <row r="45" spans="1:23">
      <c r="A45" s="97"/>
      <c r="B45" s="97"/>
      <c r="D45" s="355"/>
      <c r="E45" s="355"/>
      <c r="F45" s="229"/>
      <c r="G45" s="297"/>
      <c r="I45" s="230"/>
      <c r="L45" s="229"/>
      <c r="M45" s="297"/>
      <c r="N45" s="86"/>
      <c r="O45" s="89" t="e">
        <f t="shared" si="6"/>
        <v>#DIV/0!</v>
      </c>
      <c r="Q45" s="86"/>
      <c r="R45" s="229"/>
      <c r="S45" s="297"/>
      <c r="T45" s="86"/>
      <c r="U45" s="89" t="e">
        <f t="shared" si="7"/>
        <v>#DIV/0!</v>
      </c>
      <c r="V45" s="89"/>
      <c r="W45" s="86"/>
    </row>
    <row r="46" spans="1:23">
      <c r="A46" s="97"/>
      <c r="B46" s="97"/>
      <c r="D46" s="355"/>
      <c r="E46" s="355"/>
      <c r="F46" s="229"/>
      <c r="G46" s="297"/>
      <c r="I46" s="230"/>
      <c r="L46" s="229"/>
      <c r="M46" s="297"/>
      <c r="N46" s="86"/>
      <c r="O46" s="89" t="e">
        <f t="shared" si="6"/>
        <v>#DIV/0!</v>
      </c>
      <c r="Q46" s="86"/>
      <c r="R46" s="229"/>
      <c r="S46" s="297"/>
      <c r="T46" s="86"/>
      <c r="U46" s="89" t="e">
        <f t="shared" si="7"/>
        <v>#DIV/0!</v>
      </c>
      <c r="V46" s="89"/>
      <c r="W46" s="86"/>
    </row>
    <row r="47" spans="1:23">
      <c r="A47" s="97"/>
      <c r="B47" s="97"/>
      <c r="F47" s="537"/>
      <c r="I47" s="538"/>
      <c r="M47" s="86"/>
    </row>
    <row r="48" spans="1:23">
      <c r="A48" s="97"/>
      <c r="B48" s="97"/>
      <c r="M48" s="86"/>
    </row>
    <row r="49" spans="1:13">
      <c r="A49" s="97"/>
      <c r="B49" s="97"/>
      <c r="M49" s="86"/>
    </row>
    <row r="50" spans="1:13">
      <c r="B50" s="97"/>
      <c r="M50" s="86"/>
    </row>
    <row r="51" spans="1:13">
      <c r="M51" s="86"/>
    </row>
    <row r="52" spans="1:13">
      <c r="M52" s="86"/>
    </row>
    <row r="53" spans="1:13">
      <c r="M53" s="86"/>
    </row>
    <row r="54" spans="1:13">
      <c r="M54" s="86"/>
    </row>
    <row r="55" spans="1:13">
      <c r="M55" s="86"/>
    </row>
    <row r="56" spans="1:13">
      <c r="M56" s="86"/>
    </row>
    <row r="57" spans="1:13">
      <c r="M57" s="86"/>
    </row>
    <row r="58" spans="1:13">
      <c r="M58" s="86"/>
    </row>
  </sheetData>
  <mergeCells count="9">
    <mergeCell ref="O3:Q3"/>
    <mergeCell ref="B2:W2"/>
    <mergeCell ref="I3:K3"/>
    <mergeCell ref="L3:N3"/>
    <mergeCell ref="F3:H3"/>
    <mergeCell ref="C3:C4"/>
    <mergeCell ref="D3:E4"/>
    <mergeCell ref="R3:T3"/>
    <mergeCell ref="U3:W3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B1:W50"/>
  <sheetViews>
    <sheetView zoomScale="70" zoomScaleNormal="70" workbookViewId="0">
      <pane xSplit="5" ySplit="4" topLeftCell="F9" activePane="bottomRight" state="frozen"/>
      <selection pane="topRight" activeCell="F1" sqref="F1"/>
      <selection pane="bottomLeft" activeCell="A5" sqref="A5"/>
      <selection pane="bottomRight" activeCell="O9" sqref="O9:O39"/>
    </sheetView>
  </sheetViews>
  <sheetFormatPr defaultColWidth="8.85546875" defaultRowHeight="14.25"/>
  <cols>
    <col min="1" max="1" width="4.42578125" style="74" customWidth="1"/>
    <col min="2" max="2" width="12.5703125" style="82" customWidth="1"/>
    <col min="3" max="3" width="8.85546875" style="83"/>
    <col min="4" max="4" width="17.42578125" style="84" customWidth="1"/>
    <col min="5" max="5" width="4.42578125" style="84" customWidth="1"/>
    <col min="6" max="8" width="25.5703125" style="93" customWidth="1"/>
    <col min="9" max="11" width="15" style="73" customWidth="1"/>
    <col min="12" max="17" width="14.5703125" style="73" customWidth="1"/>
    <col min="18" max="21" width="14.140625" style="73" customWidth="1"/>
    <col min="22" max="23" width="14.140625" style="74" customWidth="1"/>
    <col min="24" max="16384" width="8.85546875" style="74"/>
  </cols>
  <sheetData>
    <row r="1" spans="2:23">
      <c r="B1" s="82" t="s">
        <v>315</v>
      </c>
      <c r="C1" s="83">
        <v>366</v>
      </c>
    </row>
    <row r="2" spans="2:23" ht="38.1" customHeight="1">
      <c r="B2" s="608" t="s">
        <v>126</v>
      </c>
      <c r="C2" s="615"/>
      <c r="D2" s="615"/>
      <c r="E2" s="615"/>
      <c r="F2" s="615"/>
      <c r="G2" s="615"/>
      <c r="H2" s="615"/>
      <c r="I2" s="615"/>
      <c r="J2" s="615"/>
      <c r="K2" s="615"/>
      <c r="L2" s="615"/>
      <c r="M2" s="615"/>
      <c r="N2" s="615"/>
      <c r="O2" s="615"/>
      <c r="P2" s="615"/>
      <c r="Q2" s="615"/>
      <c r="R2" s="615"/>
      <c r="S2" s="615"/>
      <c r="T2" s="615"/>
      <c r="U2" s="615"/>
    </row>
    <row r="3" spans="2:23" s="72" customFormat="1" ht="23.45" customHeight="1">
      <c r="B3" s="97"/>
      <c r="C3" s="612" t="s">
        <v>116</v>
      </c>
      <c r="D3" s="613" t="s">
        <v>105</v>
      </c>
      <c r="E3" s="613"/>
      <c r="F3" s="616" t="s">
        <v>107</v>
      </c>
      <c r="G3" s="616"/>
      <c r="H3" s="616"/>
      <c r="I3" s="618" t="s">
        <v>108</v>
      </c>
      <c r="J3" s="618"/>
      <c r="K3" s="618"/>
      <c r="L3" s="617" t="s">
        <v>305</v>
      </c>
      <c r="M3" s="617"/>
      <c r="N3" s="617"/>
      <c r="O3" s="617" t="s">
        <v>106</v>
      </c>
      <c r="P3" s="617"/>
      <c r="Q3" s="617"/>
      <c r="R3" s="617" t="s">
        <v>109</v>
      </c>
      <c r="S3" s="617"/>
      <c r="T3" s="617"/>
      <c r="U3" s="617" t="s">
        <v>110</v>
      </c>
      <c r="V3" s="617"/>
      <c r="W3" s="617"/>
    </row>
    <row r="4" spans="2:23" ht="15.75">
      <c r="B4" s="97"/>
      <c r="C4" s="612"/>
      <c r="D4" s="613"/>
      <c r="E4" s="613"/>
      <c r="F4" s="85" t="s">
        <v>115</v>
      </c>
      <c r="G4" s="95" t="s">
        <v>127</v>
      </c>
      <c r="H4" s="95" t="s">
        <v>128</v>
      </c>
      <c r="I4" s="85" t="s">
        <v>115</v>
      </c>
      <c r="J4" s="94" t="s">
        <v>127</v>
      </c>
      <c r="K4" s="94" t="s">
        <v>128</v>
      </c>
      <c r="L4" s="85" t="s">
        <v>115</v>
      </c>
      <c r="M4" s="94" t="s">
        <v>127</v>
      </c>
      <c r="N4" s="94" t="s">
        <v>128</v>
      </c>
      <c r="O4" s="85" t="s">
        <v>115</v>
      </c>
      <c r="P4" s="94" t="s">
        <v>127</v>
      </c>
      <c r="Q4" s="94" t="s">
        <v>128</v>
      </c>
      <c r="R4" s="85" t="s">
        <v>115</v>
      </c>
      <c r="S4" s="94" t="s">
        <v>127</v>
      </c>
      <c r="T4" s="94" t="s">
        <v>128</v>
      </c>
      <c r="U4" s="85" t="s">
        <v>115</v>
      </c>
      <c r="V4" s="94" t="s">
        <v>127</v>
      </c>
      <c r="W4" s="94" t="s">
        <v>128</v>
      </c>
    </row>
    <row r="5" spans="2:23" ht="14.45" customHeight="1">
      <c r="B5" s="97"/>
      <c r="C5" s="97"/>
      <c r="D5" s="299">
        <v>46231</v>
      </c>
      <c r="E5" s="299" t="s">
        <v>446</v>
      </c>
      <c r="F5" s="441">
        <v>328.4248285461149</v>
      </c>
      <c r="G5" s="92"/>
      <c r="H5" s="92"/>
      <c r="I5" s="89">
        <f>F5/$C$1</f>
        <v>0.89733559712053246</v>
      </c>
      <c r="J5" s="213"/>
      <c r="K5" s="213"/>
      <c r="L5" s="444">
        <v>2.4388992301967454E-3</v>
      </c>
      <c r="M5" s="298"/>
      <c r="N5" s="298"/>
      <c r="O5" s="444">
        <v>4.0723096480537449E-3</v>
      </c>
      <c r="P5" s="298"/>
      <c r="Q5" s="298"/>
      <c r="R5" s="232">
        <v>0.91700000000000004</v>
      </c>
      <c r="S5" s="213"/>
      <c r="T5" s="298"/>
      <c r="U5" s="446">
        <v>0.628</v>
      </c>
      <c r="V5" s="213"/>
      <c r="W5" s="298"/>
    </row>
    <row r="6" spans="2:23" ht="14.45" customHeight="1">
      <c r="B6" s="97"/>
      <c r="C6" s="97"/>
      <c r="D6" s="299">
        <f t="shared" ref="D6" si="0">D5+1</f>
        <v>46232</v>
      </c>
      <c r="E6" s="299" t="s">
        <v>447</v>
      </c>
      <c r="F6" s="441">
        <v>328.50777581631075</v>
      </c>
      <c r="G6" s="93">
        <f>AVERAGE(F5:F11)</f>
        <v>334.52225648057777</v>
      </c>
      <c r="H6" s="92"/>
      <c r="I6" s="89">
        <f>F6/$C$1</f>
        <v>0.89756222900631355</v>
      </c>
      <c r="J6" s="213">
        <f>AVERAGE(I5:I11)</f>
        <v>0.91399523628573187</v>
      </c>
      <c r="K6" s="213"/>
      <c r="L6" s="444">
        <v>2.4210970163050711E-3</v>
      </c>
      <c r="M6" s="298">
        <f>AVERAGE(L5:L11)</f>
        <v>2.4198242433001622E-3</v>
      </c>
      <c r="N6" s="298"/>
      <c r="O6" s="444">
        <v>4.0365122693396035E-3</v>
      </c>
      <c r="P6" s="298">
        <f>AVERAGE(O5:O11)</f>
        <v>4.0222240714083606E-3</v>
      </c>
      <c r="Q6" s="298"/>
      <c r="R6" s="232">
        <v>0.91700000000000004</v>
      </c>
      <c r="S6" s="213">
        <f>AVERAGE(R5:R11)</f>
        <v>0.91699999999999993</v>
      </c>
      <c r="T6" s="298"/>
      <c r="U6" s="446">
        <v>0.63</v>
      </c>
      <c r="V6" s="213">
        <f>AVERAGE(U5:U11)</f>
        <v>0.63428571428571434</v>
      </c>
      <c r="W6" s="298"/>
    </row>
    <row r="7" spans="2:23" ht="14.45" customHeight="1">
      <c r="B7" s="97"/>
      <c r="C7" s="97"/>
      <c r="D7" s="299">
        <f>D6+1</f>
        <v>46233</v>
      </c>
      <c r="E7" s="299" t="s">
        <v>448</v>
      </c>
      <c r="F7" s="441">
        <v>338.97033023101329</v>
      </c>
      <c r="I7" s="89">
        <f t="shared" ref="I7:I40" si="1">F7/$C$1</f>
        <v>0.9261484432541347</v>
      </c>
      <c r="J7" s="213"/>
      <c r="L7" s="444">
        <v>2.4213998695408259E-3</v>
      </c>
      <c r="M7" s="298"/>
      <c r="O7" s="444">
        <v>3.9859059441865498E-3</v>
      </c>
      <c r="P7" s="298"/>
      <c r="R7" s="232">
        <v>0.91700000000000004</v>
      </c>
      <c r="S7" s="213"/>
      <c r="U7" s="446">
        <v>0.63200000000000001</v>
      </c>
      <c r="V7" s="213"/>
    </row>
    <row r="8" spans="2:23" ht="14.45" customHeight="1">
      <c r="B8" s="97"/>
      <c r="C8" s="97"/>
      <c r="D8" s="299">
        <f t="shared" ref="D8:D34" si="2">D7+1</f>
        <v>46234</v>
      </c>
      <c r="E8" s="299" t="s">
        <v>449</v>
      </c>
      <c r="F8" s="441">
        <v>340.37942666573224</v>
      </c>
      <c r="G8" s="92"/>
      <c r="H8" s="92"/>
      <c r="I8" s="89">
        <f t="shared" si="1"/>
        <v>0.92999843351292966</v>
      </c>
      <c r="J8" s="213"/>
      <c r="K8" s="213"/>
      <c r="L8" s="444">
        <v>2.4203802039652021E-3</v>
      </c>
      <c r="M8" s="298"/>
      <c r="N8" s="298"/>
      <c r="O8" s="444">
        <v>4.1277674793460881E-3</v>
      </c>
      <c r="P8" s="298"/>
      <c r="Q8" s="298"/>
      <c r="R8" s="232">
        <v>0.91700000000000004</v>
      </c>
      <c r="S8" s="213"/>
      <c r="T8" s="298"/>
      <c r="U8" s="446">
        <v>0.63400000000000001</v>
      </c>
      <c r="V8" s="213"/>
      <c r="W8" s="298"/>
    </row>
    <row r="9" spans="2:23" ht="14.45" customHeight="1">
      <c r="B9" s="97"/>
      <c r="C9" s="97"/>
      <c r="D9" s="299">
        <f t="shared" si="2"/>
        <v>46235</v>
      </c>
      <c r="E9" s="299" t="s">
        <v>450</v>
      </c>
      <c r="F9" s="441">
        <v>343.88787883985617</v>
      </c>
      <c r="G9" s="92"/>
      <c r="H9" s="92"/>
      <c r="I9" s="89">
        <f t="shared" si="1"/>
        <v>0.93958436841490756</v>
      </c>
      <c r="J9" s="213"/>
      <c r="K9" s="213"/>
      <c r="L9" s="444">
        <v>2.4074657463119455E-3</v>
      </c>
      <c r="M9" s="298"/>
      <c r="N9" s="298"/>
      <c r="O9" s="444">
        <v>4.0692649086942869E-3</v>
      </c>
      <c r="P9" s="298"/>
      <c r="Q9" s="298"/>
      <c r="R9" s="232">
        <v>0.91700000000000004</v>
      </c>
      <c r="S9" s="213"/>
      <c r="T9" s="298"/>
      <c r="U9" s="446">
        <v>0.63600000000000001</v>
      </c>
      <c r="V9" s="213"/>
      <c r="W9" s="298"/>
    </row>
    <row r="10" spans="2:23" ht="14.45" customHeight="1">
      <c r="B10" s="97"/>
      <c r="C10" s="97"/>
      <c r="D10" s="299">
        <f t="shared" si="2"/>
        <v>46236</v>
      </c>
      <c r="E10" s="299" t="s">
        <v>451</v>
      </c>
      <c r="F10" s="441">
        <v>332.5855552650176</v>
      </c>
      <c r="G10" s="92"/>
      <c r="H10" s="92">
        <f>AVERAGE(F6:F36)</f>
        <v>339.26595074120166</v>
      </c>
      <c r="I10" s="89">
        <f t="shared" si="1"/>
        <v>0.90870370290988411</v>
      </c>
      <c r="J10" s="213"/>
      <c r="K10" s="213">
        <f>AVERAGE(I6:I36)</f>
        <v>0.92695614956612482</v>
      </c>
      <c r="L10" s="444">
        <v>2.4088657874870131E-3</v>
      </c>
      <c r="M10" s="298"/>
      <c r="N10" s="298">
        <f>AVERAGE(L6:L36)</f>
        <v>2.4160898338316519E-3</v>
      </c>
      <c r="O10" s="444">
        <v>3.9230234296986338E-3</v>
      </c>
      <c r="P10" s="298"/>
      <c r="Q10" s="298">
        <f>AVERAGE(O6:O36)</f>
        <v>4.0167948488228295E-3</v>
      </c>
      <c r="R10" s="232">
        <v>0.91700000000000004</v>
      </c>
      <c r="S10" s="213"/>
      <c r="T10" s="213">
        <f>AVERAGE(R6:R36)</f>
        <v>0.9170000000000007</v>
      </c>
      <c r="U10" s="446">
        <v>0.64</v>
      </c>
      <c r="V10" s="213"/>
      <c r="W10" s="213">
        <f>AVERAGE(U6:U36)</f>
        <v>0.65903225806451615</v>
      </c>
    </row>
    <row r="11" spans="2:23" ht="14.45" customHeight="1">
      <c r="B11" s="97"/>
      <c r="C11" s="97"/>
      <c r="D11" s="299">
        <f t="shared" si="2"/>
        <v>46237</v>
      </c>
      <c r="E11" s="299" t="s">
        <v>445</v>
      </c>
      <c r="F11" s="441">
        <v>328.9</v>
      </c>
      <c r="G11" s="92"/>
      <c r="H11" s="92"/>
      <c r="I11" s="89">
        <f t="shared" si="1"/>
        <v>0.89863387978142073</v>
      </c>
      <c r="J11" s="213"/>
      <c r="K11" s="213"/>
      <c r="L11" s="444">
        <v>2.4206618492943325E-3</v>
      </c>
      <c r="M11" s="298"/>
      <c r="N11" s="298"/>
      <c r="O11" s="444">
        <v>3.9407848205396216E-3</v>
      </c>
      <c r="P11" s="298"/>
      <c r="Q11" s="298"/>
      <c r="R11" s="232">
        <v>0.91700000000000004</v>
      </c>
      <c r="S11" s="213"/>
      <c r="T11" s="298"/>
      <c r="U11" s="446">
        <v>0.64</v>
      </c>
      <c r="V11" s="213"/>
      <c r="W11" s="213"/>
    </row>
    <row r="12" spans="2:23" ht="14.45" customHeight="1">
      <c r="B12" s="97"/>
      <c r="C12" s="97"/>
      <c r="D12" s="355">
        <f t="shared" si="2"/>
        <v>46238</v>
      </c>
      <c r="E12" s="355" t="s">
        <v>446</v>
      </c>
      <c r="F12" s="228">
        <v>331.44501150401555</v>
      </c>
      <c r="G12" s="92">
        <f>AVERAGE(F12:F18)</f>
        <v>337.77196419729756</v>
      </c>
      <c r="H12" s="92"/>
      <c r="I12" s="89">
        <f t="shared" si="1"/>
        <v>0.90558746312572558</v>
      </c>
      <c r="J12" s="213">
        <f>AVERAGE(I12:I18)</f>
        <v>0.92287421911829903</v>
      </c>
      <c r="K12" s="213"/>
      <c r="L12" s="246">
        <v>2.4317094760751452E-3</v>
      </c>
      <c r="M12" s="298">
        <f>AVERAGE(L12:L18)</f>
        <v>2.4189888231761479E-3</v>
      </c>
      <c r="N12" s="298"/>
      <c r="O12" s="246">
        <v>3.9126941391727354E-3</v>
      </c>
      <c r="P12" s="298">
        <f>AVERAGE(O12:O18)</f>
        <v>4.006105428948744E-3</v>
      </c>
      <c r="Q12" s="298"/>
      <c r="R12" s="232">
        <v>0.91700000000000004</v>
      </c>
      <c r="S12" s="213">
        <f>AVERAGE(R12:R18)</f>
        <v>0.91699999999999993</v>
      </c>
      <c r="T12" s="298"/>
      <c r="U12" s="232">
        <v>0.64</v>
      </c>
      <c r="V12" s="213">
        <f>AVERAGE(U12:U18)</f>
        <v>0.64571428571428569</v>
      </c>
      <c r="W12" s="298"/>
    </row>
    <row r="13" spans="2:23" ht="14.45" customHeight="1">
      <c r="B13" s="97"/>
      <c r="C13" s="97"/>
      <c r="D13" s="355">
        <f t="shared" si="2"/>
        <v>46239</v>
      </c>
      <c r="E13" s="355" t="s">
        <v>447</v>
      </c>
      <c r="F13" s="228">
        <v>338.13524042719422</v>
      </c>
      <c r="G13" s="92"/>
      <c r="H13" s="92"/>
      <c r="I13" s="89">
        <f t="shared" si="1"/>
        <v>0.92386677712348142</v>
      </c>
      <c r="J13" s="213"/>
      <c r="K13" s="213"/>
      <c r="L13" s="246">
        <v>2.4327200578729787E-3</v>
      </c>
      <c r="M13" s="298"/>
      <c r="N13" s="298"/>
      <c r="O13" s="246">
        <v>4.0301267263417101E-3</v>
      </c>
      <c r="P13" s="298"/>
      <c r="Q13" s="298"/>
      <c r="R13" s="232">
        <v>0.91700000000000004</v>
      </c>
      <c r="S13" s="213"/>
      <c r="T13" s="298"/>
      <c r="U13" s="232">
        <v>0.64200000000000002</v>
      </c>
      <c r="V13" s="213"/>
      <c r="W13" s="298"/>
    </row>
    <row r="14" spans="2:23" ht="14.45" customHeight="1">
      <c r="B14" s="97"/>
      <c r="C14" s="97"/>
      <c r="D14" s="355">
        <f t="shared" si="2"/>
        <v>46240</v>
      </c>
      <c r="E14" s="355" t="s">
        <v>448</v>
      </c>
      <c r="F14" s="228">
        <v>343.38448265914514</v>
      </c>
      <c r="H14" s="92"/>
      <c r="I14" s="89">
        <f t="shared" si="1"/>
        <v>0.9382089690140577</v>
      </c>
      <c r="J14" s="213"/>
      <c r="K14" s="213"/>
      <c r="L14" s="246">
        <v>2.4072596978250453E-3</v>
      </c>
      <c r="M14" s="298"/>
      <c r="N14" s="298"/>
      <c r="O14" s="246">
        <v>4.0101691537886295E-3</v>
      </c>
      <c r="P14" s="298"/>
      <c r="Q14" s="298"/>
      <c r="R14" s="232">
        <v>0.91700000000000004</v>
      </c>
      <c r="S14" s="213"/>
      <c r="T14" s="298"/>
      <c r="U14" s="232">
        <v>0.64200000000000002</v>
      </c>
      <c r="V14" s="213"/>
      <c r="W14" s="298"/>
    </row>
    <row r="15" spans="2:23" ht="14.45" customHeight="1">
      <c r="B15" s="97"/>
      <c r="C15" s="97"/>
      <c r="D15" s="355">
        <f t="shared" si="2"/>
        <v>46241</v>
      </c>
      <c r="E15" s="355" t="s">
        <v>449</v>
      </c>
      <c r="F15" s="228">
        <v>338.97219891513311</v>
      </c>
      <c r="G15" s="92"/>
      <c r="H15" s="92"/>
      <c r="I15" s="89">
        <f t="shared" si="1"/>
        <v>0.92615354894845114</v>
      </c>
      <c r="J15" s="213"/>
      <c r="K15" s="213"/>
      <c r="L15" s="246">
        <v>2.417055083685542E-3</v>
      </c>
      <c r="M15" s="298"/>
      <c r="N15" s="298"/>
      <c r="O15" s="246">
        <v>4.0877170342113337E-3</v>
      </c>
      <c r="P15" s="298"/>
      <c r="Q15" s="298"/>
      <c r="R15" s="232">
        <v>0.91700000000000004</v>
      </c>
      <c r="S15" s="213"/>
      <c r="T15" s="298"/>
      <c r="U15" s="232">
        <v>0.64400000000000002</v>
      </c>
      <c r="V15" s="213"/>
      <c r="W15" s="298"/>
    </row>
    <row r="16" spans="2:23" ht="14.45" customHeight="1">
      <c r="B16" s="97"/>
      <c r="C16" s="97"/>
      <c r="D16" s="355">
        <f t="shared" si="2"/>
        <v>46242</v>
      </c>
      <c r="E16" s="355" t="s">
        <v>450</v>
      </c>
      <c r="F16" s="228">
        <v>334.99049588230508</v>
      </c>
      <c r="G16" s="92"/>
      <c r="H16" s="92"/>
      <c r="I16" s="89">
        <f t="shared" si="1"/>
        <v>0.91527457891340191</v>
      </c>
      <c r="J16" s="213"/>
      <c r="K16" s="213"/>
      <c r="L16" s="246">
        <v>2.4205796565294844E-3</v>
      </c>
      <c r="M16" s="298"/>
      <c r="N16" s="298"/>
      <c r="O16" s="246">
        <v>4.0921397465732146E-3</v>
      </c>
      <c r="P16" s="298"/>
      <c r="Q16" s="298"/>
      <c r="R16" s="232">
        <v>0.91700000000000004</v>
      </c>
      <c r="S16" s="213"/>
      <c r="T16" s="298"/>
      <c r="U16" s="232">
        <v>0.65</v>
      </c>
      <c r="V16" s="213"/>
      <c r="W16" s="298"/>
    </row>
    <row r="17" spans="2:23" ht="14.45" customHeight="1">
      <c r="B17" s="97"/>
      <c r="C17" s="97"/>
      <c r="D17" s="355">
        <f t="shared" si="2"/>
        <v>46243</v>
      </c>
      <c r="E17" s="355" t="s">
        <v>451</v>
      </c>
      <c r="F17" s="228">
        <v>333.17064781322705</v>
      </c>
      <c r="G17" s="92"/>
      <c r="H17" s="92"/>
      <c r="I17" s="89">
        <f t="shared" si="1"/>
        <v>0.91030231642958215</v>
      </c>
      <c r="J17" s="213"/>
      <c r="K17" s="213"/>
      <c r="L17" s="246">
        <v>2.422535984930585E-3</v>
      </c>
      <c r="M17" s="298"/>
      <c r="N17" s="298"/>
      <c r="O17" s="246">
        <v>3.9300850392660052E-3</v>
      </c>
      <c r="P17" s="298"/>
      <c r="Q17" s="298"/>
      <c r="R17" s="232">
        <v>0.91700000000000004</v>
      </c>
      <c r="S17" s="213"/>
      <c r="T17" s="298"/>
      <c r="U17" s="232">
        <v>0.65</v>
      </c>
      <c r="V17" s="213"/>
      <c r="W17" s="298"/>
    </row>
    <row r="18" spans="2:23" ht="14.45" customHeight="1">
      <c r="B18" s="97"/>
      <c r="C18" s="97"/>
      <c r="D18" s="355">
        <f t="shared" si="2"/>
        <v>46244</v>
      </c>
      <c r="E18" s="355" t="s">
        <v>445</v>
      </c>
      <c r="F18" s="228">
        <v>344.30567218006246</v>
      </c>
      <c r="G18" s="92"/>
      <c r="H18" s="92"/>
      <c r="I18" s="89">
        <f t="shared" si="1"/>
        <v>0.94072588027339465</v>
      </c>
      <c r="J18" s="213"/>
      <c r="K18" s="213"/>
      <c r="L18" s="246">
        <v>2.4010618053142549E-3</v>
      </c>
      <c r="M18" s="298"/>
      <c r="N18" s="298"/>
      <c r="O18" s="246">
        <v>3.9798061632875829E-3</v>
      </c>
      <c r="P18" s="298"/>
      <c r="Q18" s="298"/>
      <c r="R18" s="232">
        <v>0.91700000000000004</v>
      </c>
      <c r="S18" s="213"/>
      <c r="T18" s="298"/>
      <c r="U18" s="232">
        <v>0.65200000000000002</v>
      </c>
      <c r="V18" s="213"/>
      <c r="W18" s="298"/>
    </row>
    <row r="19" spans="2:23" ht="14.45" customHeight="1">
      <c r="B19" s="97"/>
      <c r="C19" s="97"/>
      <c r="D19" s="299">
        <f t="shared" si="2"/>
        <v>46245</v>
      </c>
      <c r="E19" s="299" t="s">
        <v>446</v>
      </c>
      <c r="F19" s="228">
        <v>336.14068218614904</v>
      </c>
      <c r="G19" s="92">
        <f>AVERAGE(F19:F25)</f>
        <v>338.58019892259688</v>
      </c>
      <c r="H19" s="92"/>
      <c r="I19" s="89">
        <f t="shared" si="1"/>
        <v>0.91841716444303012</v>
      </c>
      <c r="J19" s="213">
        <f>AVERAGE(I19:I25)</f>
        <v>0.92508251071747782</v>
      </c>
      <c r="K19" s="213"/>
      <c r="L19" s="246">
        <v>2.4016910701224999E-3</v>
      </c>
      <c r="M19" s="298">
        <f>AVERAGE(L19:L25)</f>
        <v>2.4141756216058312E-3</v>
      </c>
      <c r="N19" s="298"/>
      <c r="O19" s="246">
        <v>4.1310063262723299E-3</v>
      </c>
      <c r="P19" s="298">
        <f>AVERAGE(O19:O25)</f>
        <v>4.0628327196311704E-3</v>
      </c>
      <c r="Q19" s="298"/>
      <c r="R19" s="232">
        <v>0.91700000000000004</v>
      </c>
      <c r="S19" s="213">
        <f>AVERAGE(R19:R25)</f>
        <v>0.91699999999999993</v>
      </c>
      <c r="T19" s="298"/>
      <c r="U19" s="232">
        <v>0.65200000000000002</v>
      </c>
      <c r="V19" s="213">
        <f>AVERAGE(U19:U25)</f>
        <v>0.65971428571428581</v>
      </c>
      <c r="W19" s="298"/>
    </row>
    <row r="20" spans="2:23" ht="14.45" customHeight="1">
      <c r="B20" s="97"/>
      <c r="C20" s="97"/>
      <c r="D20" s="299">
        <f t="shared" si="2"/>
        <v>46246</v>
      </c>
      <c r="E20" s="299" t="s">
        <v>447</v>
      </c>
      <c r="F20" s="228">
        <v>335.43489578114105</v>
      </c>
      <c r="G20" s="92"/>
      <c r="H20" s="92"/>
      <c r="I20" s="89">
        <f t="shared" si="1"/>
        <v>0.9164887862872706</v>
      </c>
      <c r="J20" s="213"/>
      <c r="K20" s="213"/>
      <c r="L20" s="246">
        <v>2.4201691971033499E-3</v>
      </c>
      <c r="M20" s="298"/>
      <c r="N20" s="298"/>
      <c r="O20" s="246">
        <v>4.15357327577256E-3</v>
      </c>
      <c r="P20" s="298"/>
      <c r="Q20" s="298"/>
      <c r="R20" s="232">
        <v>0.91700000000000004</v>
      </c>
      <c r="S20" s="213"/>
      <c r="T20" s="298"/>
      <c r="U20" s="232">
        <v>0.65400000000000003</v>
      </c>
      <c r="V20" s="213"/>
      <c r="W20" s="298"/>
    </row>
    <row r="21" spans="2:23" ht="14.45" customHeight="1">
      <c r="B21" s="97"/>
      <c r="C21" s="97"/>
      <c r="D21" s="299">
        <f t="shared" si="2"/>
        <v>46247</v>
      </c>
      <c r="E21" s="299" t="s">
        <v>448</v>
      </c>
      <c r="F21" s="228">
        <v>334.13408422852507</v>
      </c>
      <c r="G21" s="92"/>
      <c r="H21" s="92"/>
      <c r="I21" s="89">
        <f t="shared" si="1"/>
        <v>0.91293465636209037</v>
      </c>
      <c r="J21" s="213"/>
      <c r="K21" s="213"/>
      <c r="L21" s="246">
        <v>2.4315083452260398E-3</v>
      </c>
      <c r="M21" s="298"/>
      <c r="N21" s="298"/>
      <c r="O21" s="246">
        <v>4.1547394258987704E-3</v>
      </c>
      <c r="P21" s="298"/>
      <c r="Q21" s="298"/>
      <c r="R21" s="232">
        <v>0.91700000000000004</v>
      </c>
      <c r="S21" s="213"/>
      <c r="T21" s="298"/>
      <c r="U21" s="232">
        <v>0.65600000000000003</v>
      </c>
      <c r="V21" s="213"/>
      <c r="W21" s="298"/>
    </row>
    <row r="22" spans="2:23" ht="14.45" customHeight="1">
      <c r="B22" s="97"/>
      <c r="C22" s="97"/>
      <c r="D22" s="299">
        <f t="shared" si="2"/>
        <v>46248</v>
      </c>
      <c r="E22" s="299" t="s">
        <v>449</v>
      </c>
      <c r="F22" s="228">
        <v>341.56336985956347</v>
      </c>
      <c r="G22" s="92"/>
      <c r="H22" s="92"/>
      <c r="I22" s="89">
        <f t="shared" si="1"/>
        <v>0.93323325098241383</v>
      </c>
      <c r="J22" s="213"/>
      <c r="K22" s="213"/>
      <c r="L22" s="246">
        <v>2.43889600707094E-3</v>
      </c>
      <c r="M22" s="298"/>
      <c r="N22" s="298"/>
      <c r="O22" s="246">
        <v>4.0932167139483703E-3</v>
      </c>
      <c r="P22" s="298"/>
      <c r="Q22" s="298"/>
      <c r="R22" s="232">
        <v>0.91700000000000004</v>
      </c>
      <c r="S22" s="213"/>
      <c r="T22" s="298"/>
      <c r="U22" s="232">
        <v>0.65800000000000003</v>
      </c>
      <c r="V22" s="213"/>
      <c r="W22" s="298"/>
    </row>
    <row r="23" spans="2:23" ht="14.45" customHeight="1">
      <c r="B23" s="97"/>
      <c r="C23" s="97"/>
      <c r="D23" s="299">
        <f t="shared" si="2"/>
        <v>46249</v>
      </c>
      <c r="E23" s="299" t="s">
        <v>450</v>
      </c>
      <c r="F23" s="228">
        <v>339.89372218622833</v>
      </c>
      <c r="G23" s="92"/>
      <c r="H23" s="92"/>
      <c r="I23" s="89">
        <f t="shared" si="1"/>
        <v>0.92867137209352002</v>
      </c>
      <c r="J23" s="213"/>
      <c r="K23" s="213"/>
      <c r="L23" s="246">
        <v>2.40830791278125E-3</v>
      </c>
      <c r="M23" s="298"/>
      <c r="N23" s="298"/>
      <c r="O23" s="246">
        <v>3.9812960319954198E-3</v>
      </c>
      <c r="P23" s="298"/>
      <c r="Q23" s="298"/>
      <c r="R23" s="232">
        <v>0.91700000000000004</v>
      </c>
      <c r="S23" s="213"/>
      <c r="T23" s="298"/>
      <c r="U23" s="232">
        <v>0.66500000000000004</v>
      </c>
      <c r="V23" s="213"/>
      <c r="W23" s="298"/>
    </row>
    <row r="24" spans="2:23" ht="14.45" customHeight="1">
      <c r="B24" s="97"/>
      <c r="C24" s="97"/>
      <c r="D24" s="299">
        <f t="shared" si="2"/>
        <v>46250</v>
      </c>
      <c r="E24" s="299" t="s">
        <v>451</v>
      </c>
      <c r="F24" s="228">
        <v>338.11098588846875</v>
      </c>
      <c r="G24" s="92"/>
      <c r="H24" s="92"/>
      <c r="I24" s="89">
        <f t="shared" si="1"/>
        <v>0.92380050789199109</v>
      </c>
      <c r="J24" s="213"/>
      <c r="K24" s="213"/>
      <c r="L24" s="246">
        <v>2.39908405200664E-3</v>
      </c>
      <c r="M24" s="298"/>
      <c r="N24" s="298"/>
      <c r="O24" s="246">
        <v>3.9273335083726902E-3</v>
      </c>
      <c r="P24" s="298"/>
      <c r="Q24" s="298"/>
      <c r="R24" s="232">
        <v>0.91700000000000004</v>
      </c>
      <c r="S24" s="213"/>
      <c r="T24" s="298"/>
      <c r="U24" s="232">
        <v>0.66500000000000004</v>
      </c>
      <c r="V24" s="213"/>
      <c r="W24" s="298"/>
    </row>
    <row r="25" spans="2:23" ht="14.45" customHeight="1">
      <c r="B25" s="97"/>
      <c r="C25" s="97"/>
      <c r="D25" s="299">
        <f t="shared" si="2"/>
        <v>46251</v>
      </c>
      <c r="E25" s="299" t="s">
        <v>445</v>
      </c>
      <c r="F25" s="228">
        <v>344.78365232810222</v>
      </c>
      <c r="G25" s="92"/>
      <c r="H25" s="92"/>
      <c r="I25" s="89">
        <f t="shared" si="1"/>
        <v>0.94203183696202797</v>
      </c>
      <c r="J25" s="213"/>
      <c r="K25" s="213"/>
      <c r="L25" s="246">
        <v>2.3995727669301001E-3</v>
      </c>
      <c r="M25" s="298"/>
      <c r="N25" s="298"/>
      <c r="O25" s="246">
        <v>3.9986637551580502E-3</v>
      </c>
      <c r="P25" s="298"/>
      <c r="Q25" s="298"/>
      <c r="R25" s="232">
        <v>0.91700000000000004</v>
      </c>
      <c r="S25" s="213"/>
      <c r="T25" s="298"/>
      <c r="U25" s="232">
        <v>0.66800000000000004</v>
      </c>
      <c r="V25" s="213"/>
      <c r="W25" s="298"/>
    </row>
    <row r="26" spans="2:23" ht="14.45" customHeight="1">
      <c r="B26" s="97"/>
      <c r="C26" s="97"/>
      <c r="D26" s="355">
        <f t="shared" si="2"/>
        <v>46252</v>
      </c>
      <c r="E26" s="355" t="s">
        <v>446</v>
      </c>
      <c r="F26" s="228">
        <v>330.29075633332843</v>
      </c>
      <c r="G26" s="92">
        <f>AVERAGE(F26:F32)</f>
        <v>334.75260573491187</v>
      </c>
      <c r="H26" s="92"/>
      <c r="I26" s="89">
        <f t="shared" si="1"/>
        <v>0.90243376047357493</v>
      </c>
      <c r="J26" s="213">
        <f>AVERAGE(I26:I32)</f>
        <v>0.91462460583309257</v>
      </c>
      <c r="K26" s="213"/>
      <c r="L26" s="246">
        <v>2.420717977178093E-3</v>
      </c>
      <c r="M26" s="298">
        <f>AVERAGE(L26:L32)</f>
        <v>2.4125367863284926E-3</v>
      </c>
      <c r="N26" s="298"/>
      <c r="O26" s="246">
        <v>3.9389033240603928E-3</v>
      </c>
      <c r="P26" s="298">
        <f>AVERAGE(O26:O32)</f>
        <v>4.0034775594795817E-3</v>
      </c>
      <c r="Q26" s="298"/>
      <c r="R26" s="232">
        <v>0.91700000000000004</v>
      </c>
      <c r="S26" s="213">
        <f>AVERAGE(R26:R32)</f>
        <v>0.91699999999999993</v>
      </c>
      <c r="T26" s="298"/>
      <c r="U26" s="232">
        <v>0.67</v>
      </c>
      <c r="V26" s="213">
        <f>AVERAGE(U26:U32)</f>
        <v>0.67657142857142871</v>
      </c>
      <c r="W26" s="298"/>
    </row>
    <row r="27" spans="2:23" ht="14.45" customHeight="1">
      <c r="B27" s="97"/>
      <c r="C27" s="97"/>
      <c r="D27" s="355">
        <f t="shared" si="2"/>
        <v>46253</v>
      </c>
      <c r="E27" s="355" t="s">
        <v>447</v>
      </c>
      <c r="F27" s="228">
        <v>333.11304331892092</v>
      </c>
      <c r="G27" s="92"/>
      <c r="H27" s="92"/>
      <c r="I27" s="89">
        <f t="shared" si="1"/>
        <v>0.9101449271008768</v>
      </c>
      <c r="J27" s="213"/>
      <c r="K27" s="213"/>
      <c r="L27" s="246">
        <v>2.3982787256236486E-3</v>
      </c>
      <c r="M27" s="298"/>
      <c r="N27" s="298"/>
      <c r="O27" s="246">
        <v>3.9493117295026758E-3</v>
      </c>
      <c r="P27" s="298"/>
      <c r="Q27" s="298"/>
      <c r="R27" s="232">
        <v>0.91700000000000004</v>
      </c>
      <c r="S27" s="213"/>
      <c r="T27" s="298"/>
      <c r="U27" s="232">
        <v>0.67200000000000004</v>
      </c>
      <c r="V27" s="213"/>
      <c r="W27" s="298"/>
    </row>
    <row r="28" spans="2:23" ht="14.45" customHeight="1">
      <c r="B28" s="97"/>
      <c r="C28" s="97"/>
      <c r="D28" s="355">
        <f t="shared" si="2"/>
        <v>46254</v>
      </c>
      <c r="E28" s="355" t="s">
        <v>448</v>
      </c>
      <c r="F28" s="228">
        <v>337.31652493174028</v>
      </c>
      <c r="G28" s="92"/>
      <c r="H28" s="92"/>
      <c r="I28" s="89">
        <f t="shared" si="1"/>
        <v>0.92162984954027394</v>
      </c>
      <c r="J28" s="213"/>
      <c r="K28" s="213"/>
      <c r="L28" s="246">
        <v>2.4192463554637738E-3</v>
      </c>
      <c r="M28" s="298"/>
      <c r="N28" s="298"/>
      <c r="O28" s="246">
        <v>4.0008581499131985E-3</v>
      </c>
      <c r="P28" s="298"/>
      <c r="Q28" s="298"/>
      <c r="R28" s="232">
        <v>0.91700000000000004</v>
      </c>
      <c r="S28" s="213"/>
      <c r="T28" s="298"/>
      <c r="U28" s="232">
        <v>0.67200000000000004</v>
      </c>
      <c r="V28" s="213"/>
      <c r="W28" s="298"/>
    </row>
    <row r="29" spans="2:23" ht="14.45" customHeight="1">
      <c r="B29" s="97"/>
      <c r="C29" s="97"/>
      <c r="D29" s="355">
        <f t="shared" si="2"/>
        <v>46255</v>
      </c>
      <c r="E29" s="355" t="s">
        <v>449</v>
      </c>
      <c r="F29" s="228">
        <v>346.32628923386972</v>
      </c>
      <c r="G29" s="92"/>
      <c r="H29" s="92"/>
      <c r="I29" s="89">
        <f t="shared" si="1"/>
        <v>0.94624669189581889</v>
      </c>
      <c r="J29" s="213"/>
      <c r="K29" s="213"/>
      <c r="L29" s="246">
        <v>2.3890973596023394E-3</v>
      </c>
      <c r="M29" s="298"/>
      <c r="N29" s="298"/>
      <c r="O29" s="246">
        <v>4.1835191091139897E-3</v>
      </c>
      <c r="P29" s="298"/>
      <c r="Q29" s="298"/>
      <c r="R29" s="232">
        <v>0.91700000000000004</v>
      </c>
      <c r="S29" s="213"/>
      <c r="T29" s="298"/>
      <c r="U29" s="232">
        <v>0.67600000000000005</v>
      </c>
      <c r="V29" s="213"/>
      <c r="W29" s="298"/>
    </row>
    <row r="30" spans="2:23" ht="14.45" customHeight="1">
      <c r="B30" s="97"/>
      <c r="C30" s="97"/>
      <c r="D30" s="355">
        <f t="shared" si="2"/>
        <v>46256</v>
      </c>
      <c r="E30" s="355" t="s">
        <v>450</v>
      </c>
      <c r="F30" s="228">
        <v>333.96577298418993</v>
      </c>
      <c r="G30" s="92"/>
      <c r="H30" s="92"/>
      <c r="I30" s="89">
        <f t="shared" si="1"/>
        <v>0.9124747895742894</v>
      </c>
      <c r="J30" s="213"/>
      <c r="K30" s="213"/>
      <c r="L30" s="246">
        <v>2.4294135437394797E-3</v>
      </c>
      <c r="M30" s="298"/>
      <c r="N30" s="298"/>
      <c r="O30" s="246">
        <v>4.0415533189035961E-3</v>
      </c>
      <c r="P30" s="298"/>
      <c r="Q30" s="298"/>
      <c r="R30" s="232">
        <v>0.91700000000000004</v>
      </c>
      <c r="S30" s="213"/>
      <c r="T30" s="298"/>
      <c r="U30" s="232">
        <v>0.68</v>
      </c>
      <c r="V30" s="213"/>
      <c r="W30" s="298"/>
    </row>
    <row r="31" spans="2:23" ht="14.45" customHeight="1">
      <c r="B31" s="97"/>
      <c r="C31" s="97"/>
      <c r="D31" s="355">
        <f t="shared" si="2"/>
        <v>46257</v>
      </c>
      <c r="E31" s="355" t="s">
        <v>451</v>
      </c>
      <c r="F31" s="228">
        <v>330.34998866208826</v>
      </c>
      <c r="G31" s="92"/>
      <c r="H31" s="92"/>
      <c r="I31" s="89">
        <f t="shared" si="1"/>
        <v>0.90259559743739959</v>
      </c>
      <c r="J31" s="213"/>
      <c r="K31" s="213"/>
      <c r="L31" s="246">
        <v>2.4198089192733942E-3</v>
      </c>
      <c r="M31" s="298"/>
      <c r="N31" s="298"/>
      <c r="O31" s="246">
        <v>3.9489191963608056E-3</v>
      </c>
      <c r="P31" s="298"/>
      <c r="Q31" s="298"/>
      <c r="R31" s="232">
        <v>0.91700000000000004</v>
      </c>
      <c r="S31" s="213"/>
      <c r="T31" s="298"/>
      <c r="U31" s="232">
        <v>0.68200000000000005</v>
      </c>
      <c r="V31" s="213"/>
      <c r="W31" s="298"/>
    </row>
    <row r="32" spans="2:23" ht="14.45" customHeight="1">
      <c r="B32" s="97"/>
      <c r="C32" s="97"/>
      <c r="D32" s="355">
        <f t="shared" si="2"/>
        <v>46258</v>
      </c>
      <c r="E32" s="355" t="s">
        <v>445</v>
      </c>
      <c r="F32" s="228">
        <v>331.90586468024532</v>
      </c>
      <c r="G32" s="92"/>
      <c r="H32" s="92"/>
      <c r="I32" s="89">
        <f t="shared" si="1"/>
        <v>0.90684662480941347</v>
      </c>
      <c r="J32" s="213"/>
      <c r="K32" s="213"/>
      <c r="L32" s="246">
        <v>2.4111946234187192E-3</v>
      </c>
      <c r="M32" s="298"/>
      <c r="N32" s="298"/>
      <c r="O32" s="246">
        <v>3.9612780885024202E-3</v>
      </c>
      <c r="P32" s="298"/>
      <c r="Q32" s="298"/>
      <c r="R32" s="232">
        <v>0.91700000000000004</v>
      </c>
      <c r="S32" s="213"/>
      <c r="T32" s="298"/>
      <c r="U32" s="232">
        <v>0.68400000000000005</v>
      </c>
      <c r="V32" s="213"/>
      <c r="W32" s="298"/>
    </row>
    <row r="33" spans="2:23" s="452" customFormat="1" ht="14.45" customHeight="1">
      <c r="B33" s="449"/>
      <c r="C33" s="449"/>
      <c r="D33" s="299">
        <f t="shared" si="2"/>
        <v>46259</v>
      </c>
      <c r="E33" s="299" t="s">
        <v>446</v>
      </c>
      <c r="F33" s="441">
        <v>354.74483890495947</v>
      </c>
      <c r="G33" s="442">
        <f>AVERAGE(F33:F39)</f>
        <v>358.9416245794082</v>
      </c>
      <c r="H33" s="442"/>
      <c r="I33" s="438">
        <f t="shared" si="1"/>
        <v>0.96924819372939741</v>
      </c>
      <c r="J33" s="443">
        <f>AVERAGE(I33:I39)</f>
        <v>0.98071482125521336</v>
      </c>
      <c r="K33" s="443"/>
      <c r="L33" s="444">
        <v>2.429483106028666E-3</v>
      </c>
      <c r="M33" s="445">
        <f>AVERAGE(L33:L39)</f>
        <v>2.4197447717567259E-3</v>
      </c>
      <c r="N33" s="445"/>
      <c r="O33" s="444">
        <v>3.9879379033602898E-3</v>
      </c>
      <c r="P33" s="445">
        <f>AVERAGE(O33:O39)</f>
        <v>4.0024424360287619E-3</v>
      </c>
      <c r="Q33" s="445"/>
      <c r="R33" s="232">
        <v>0.91700000000000004</v>
      </c>
      <c r="S33" s="213">
        <f>AVERAGE(R33:R39)</f>
        <v>0.91699999999999993</v>
      </c>
      <c r="T33" s="445"/>
      <c r="U33" s="446">
        <v>0.68400000000000005</v>
      </c>
      <c r="V33" s="443">
        <f>AVERAGE(U33:U39)</f>
        <v>0.68757142857142839</v>
      </c>
      <c r="W33" s="451"/>
    </row>
    <row r="34" spans="2:23" s="452" customFormat="1" ht="14.45" customHeight="1">
      <c r="B34" s="449"/>
      <c r="C34" s="449"/>
      <c r="D34" s="299">
        <f t="shared" si="2"/>
        <v>46260</v>
      </c>
      <c r="E34" s="299" t="s">
        <v>447</v>
      </c>
      <c r="F34" s="441">
        <v>342.71514808576967</v>
      </c>
      <c r="G34" s="442"/>
      <c r="H34" s="442"/>
      <c r="I34" s="438">
        <f t="shared" si="1"/>
        <v>0.93638018602669304</v>
      </c>
      <c r="J34" s="443"/>
      <c r="K34" s="443"/>
      <c r="L34" s="444">
        <v>2.4221698494491439E-3</v>
      </c>
      <c r="M34" s="445"/>
      <c r="N34" s="445"/>
      <c r="O34" s="444">
        <v>3.9967565022199676E-3</v>
      </c>
      <c r="P34" s="445"/>
      <c r="Q34" s="445"/>
      <c r="R34" s="232">
        <v>0.91700000000000004</v>
      </c>
      <c r="S34" s="443"/>
      <c r="T34" s="445"/>
      <c r="U34" s="446">
        <v>0.68600000000000005</v>
      </c>
      <c r="V34" s="443"/>
      <c r="W34" s="451"/>
    </row>
    <row r="35" spans="2:23" s="452" customFormat="1">
      <c r="B35" s="449"/>
      <c r="C35" s="431"/>
      <c r="D35" s="299">
        <f>D34+1</f>
        <v>46261</v>
      </c>
      <c r="E35" s="299" t="s">
        <v>448</v>
      </c>
      <c r="F35" s="441">
        <v>361.01921217437132</v>
      </c>
      <c r="G35" s="442"/>
      <c r="H35" s="447"/>
      <c r="I35" s="438">
        <f t="shared" si="1"/>
        <v>0.98639129009391069</v>
      </c>
      <c r="J35" s="443"/>
      <c r="K35" s="448"/>
      <c r="L35" s="444">
        <v>2.4073755343974597E-3</v>
      </c>
      <c r="M35" s="445"/>
      <c r="N35" s="448"/>
      <c r="O35" s="444">
        <v>3.9867100923706312E-3</v>
      </c>
      <c r="P35" s="445"/>
      <c r="Q35" s="448"/>
      <c r="R35" s="232">
        <v>0.91700000000000004</v>
      </c>
      <c r="S35" s="443"/>
      <c r="T35" s="448"/>
      <c r="U35" s="446">
        <v>0.68600000000000005</v>
      </c>
      <c r="V35" s="443"/>
    </row>
    <row r="36" spans="2:23" s="452" customFormat="1">
      <c r="B36" s="449"/>
      <c r="C36" s="449"/>
      <c r="D36" s="299">
        <f t="shared" ref="D36:D39" si="3">D35+1</f>
        <v>46262</v>
      </c>
      <c r="E36" s="299" t="s">
        <v>449</v>
      </c>
      <c r="F36" s="441">
        <v>367.80092501057919</v>
      </c>
      <c r="G36" s="442"/>
      <c r="H36" s="442"/>
      <c r="I36" s="438">
        <f t="shared" si="1"/>
        <v>1.0049205601381945</v>
      </c>
      <c r="J36" s="443"/>
      <c r="K36" s="443"/>
      <c r="L36" s="444">
        <v>2.4199772682282341E-3</v>
      </c>
      <c r="M36" s="443"/>
      <c r="N36" s="445"/>
      <c r="O36" s="444">
        <v>3.9590670073355516E-3</v>
      </c>
      <c r="P36" s="443"/>
      <c r="Q36" s="445"/>
      <c r="R36" s="232">
        <v>0.91700000000000004</v>
      </c>
      <c r="S36" s="443"/>
      <c r="T36" s="443"/>
      <c r="U36" s="446">
        <v>0.68799999999999994</v>
      </c>
      <c r="V36" s="443"/>
      <c r="W36" s="450"/>
    </row>
    <row r="37" spans="2:23" s="452" customFormat="1">
      <c r="B37" s="449"/>
      <c r="C37" s="431"/>
      <c r="D37" s="299">
        <f t="shared" si="3"/>
        <v>46263</v>
      </c>
      <c r="E37" s="299" t="s">
        <v>450</v>
      </c>
      <c r="F37" s="441">
        <v>378.57362395425463</v>
      </c>
      <c r="G37" s="442"/>
      <c r="H37" s="442"/>
      <c r="I37" s="438">
        <f t="shared" si="1"/>
        <v>1.0343541638094389</v>
      </c>
      <c r="J37" s="443"/>
      <c r="K37" s="440"/>
      <c r="L37" s="444">
        <v>2.4222642449978861E-3</v>
      </c>
      <c r="M37" s="443"/>
      <c r="N37" s="438"/>
      <c r="O37" s="444">
        <v>4.0712753912413987E-3</v>
      </c>
      <c r="P37" s="443"/>
      <c r="Q37" s="438"/>
      <c r="R37" s="232">
        <v>0.91700000000000004</v>
      </c>
      <c r="S37" s="443"/>
      <c r="T37" s="443"/>
      <c r="U37" s="446">
        <v>0.68899999999999995</v>
      </c>
      <c r="V37" s="443"/>
      <c r="W37" s="450"/>
    </row>
    <row r="38" spans="2:23" s="452" customFormat="1">
      <c r="B38" s="449"/>
      <c r="C38" s="431"/>
      <c r="D38" s="299">
        <f t="shared" si="3"/>
        <v>46264</v>
      </c>
      <c r="E38" s="299" t="s">
        <v>451</v>
      </c>
      <c r="F38" s="441">
        <v>365.96181764535868</v>
      </c>
      <c r="G38" s="442"/>
      <c r="H38" s="442"/>
      <c r="I38" s="438">
        <f t="shared" si="1"/>
        <v>0.99989567662666301</v>
      </c>
      <c r="J38" s="443"/>
      <c r="K38" s="440"/>
      <c r="L38" s="444">
        <v>2.4290467757400892E-3</v>
      </c>
      <c r="M38" s="443"/>
      <c r="N38" s="438"/>
      <c r="O38" s="444">
        <v>3.9817850925080714E-3</v>
      </c>
      <c r="P38" s="443"/>
      <c r="Q38" s="438"/>
      <c r="R38" s="232">
        <v>0.91700000000000004</v>
      </c>
      <c r="S38" s="443"/>
      <c r="T38" s="443"/>
      <c r="U38" s="446">
        <v>0.69</v>
      </c>
      <c r="V38" s="443"/>
      <c r="W38" s="450"/>
    </row>
    <row r="39" spans="2:23" s="452" customFormat="1">
      <c r="B39" s="449"/>
      <c r="C39" s="431"/>
      <c r="D39" s="299">
        <f t="shared" si="3"/>
        <v>46265</v>
      </c>
      <c r="E39" s="299" t="s">
        <v>445</v>
      </c>
      <c r="F39" s="441">
        <v>341.77580628056427</v>
      </c>
      <c r="G39" s="442"/>
      <c r="H39" s="442"/>
      <c r="I39" s="438">
        <f t="shared" si="1"/>
        <v>0.93381367836219742</v>
      </c>
      <c r="J39" s="443"/>
      <c r="K39" s="440"/>
      <c r="L39" s="444">
        <v>2.407896623455601E-3</v>
      </c>
      <c r="M39" s="443"/>
      <c r="N39" s="438"/>
      <c r="O39" s="444">
        <v>4.0335650631654245E-3</v>
      </c>
      <c r="P39" s="443"/>
      <c r="Q39" s="438"/>
      <c r="R39" s="232">
        <v>0.91700000000000004</v>
      </c>
      <c r="S39" s="443"/>
      <c r="T39" s="443"/>
      <c r="U39" s="446">
        <v>0.69</v>
      </c>
      <c r="V39" s="443"/>
      <c r="W39" s="450"/>
    </row>
    <row r="40" spans="2:23">
      <c r="B40" s="97"/>
      <c r="D40" s="355"/>
      <c r="E40" s="355"/>
      <c r="F40" s="228"/>
      <c r="G40" s="442" t="e">
        <f>AVERAGE(F40:F46)</f>
        <v>#DIV/0!</v>
      </c>
      <c r="H40" s="92"/>
      <c r="I40" s="89">
        <f t="shared" si="1"/>
        <v>0</v>
      </c>
      <c r="J40" s="443">
        <f>AVERAGE(I40:I46)</f>
        <v>0</v>
      </c>
      <c r="K40" s="86"/>
      <c r="L40" s="246"/>
      <c r="M40" s="445" t="e">
        <f>AVERAGE(L40:L46)</f>
        <v>#DIV/0!</v>
      </c>
      <c r="N40" s="89"/>
      <c r="O40" s="246"/>
      <c r="P40" s="445" t="e">
        <f>AVERAGE(O40:O46)</f>
        <v>#DIV/0!</v>
      </c>
      <c r="Q40" s="89"/>
      <c r="R40" s="232"/>
      <c r="S40" s="213" t="e">
        <f>AVERAGE(R40:R46)</f>
        <v>#DIV/0!</v>
      </c>
      <c r="T40" s="213"/>
      <c r="U40" s="232"/>
      <c r="V40" s="443" t="e">
        <f>AVERAGE(U40:U46)</f>
        <v>#DIV/0!</v>
      </c>
      <c r="W40" s="213"/>
    </row>
    <row r="41" spans="2:23">
      <c r="B41" s="97"/>
      <c r="D41" s="355"/>
      <c r="E41" s="355"/>
      <c r="F41" s="228"/>
      <c r="G41" s="92"/>
      <c r="H41" s="92"/>
      <c r="I41" s="89">
        <f t="shared" ref="I41:I45" si="4">F41/$C$1</f>
        <v>0</v>
      </c>
      <c r="J41" s="213"/>
      <c r="K41" s="86"/>
      <c r="L41" s="246"/>
      <c r="M41" s="213"/>
      <c r="N41" s="89"/>
      <c r="O41" s="246"/>
      <c r="P41" s="213"/>
      <c r="Q41" s="89"/>
      <c r="R41" s="232"/>
      <c r="S41" s="213"/>
      <c r="T41" s="213"/>
      <c r="U41" s="232"/>
      <c r="V41" s="213"/>
      <c r="W41" s="213"/>
    </row>
    <row r="42" spans="2:23">
      <c r="B42" s="97"/>
      <c r="D42" s="355"/>
      <c r="E42" s="355"/>
      <c r="F42" s="228"/>
      <c r="G42" s="92"/>
      <c r="H42" s="92"/>
      <c r="I42" s="89">
        <f t="shared" si="4"/>
        <v>0</v>
      </c>
      <c r="J42" s="213"/>
      <c r="K42" s="86"/>
      <c r="L42" s="246"/>
      <c r="M42" s="213"/>
      <c r="N42" s="89"/>
      <c r="O42" s="246"/>
      <c r="P42" s="213"/>
      <c r="Q42" s="89"/>
      <c r="R42" s="232"/>
      <c r="S42" s="213"/>
      <c r="T42" s="213"/>
      <c r="U42" s="232"/>
      <c r="V42" s="213"/>
      <c r="W42" s="213"/>
    </row>
    <row r="43" spans="2:23">
      <c r="B43" s="97"/>
      <c r="D43" s="355"/>
      <c r="E43" s="355"/>
      <c r="F43" s="228"/>
      <c r="G43" s="92"/>
      <c r="H43" s="92"/>
      <c r="I43" s="89">
        <f t="shared" si="4"/>
        <v>0</v>
      </c>
      <c r="J43" s="213"/>
      <c r="K43" s="86"/>
      <c r="L43" s="246"/>
      <c r="M43" s="213"/>
      <c r="N43" s="89"/>
      <c r="O43" s="246"/>
      <c r="P43" s="213"/>
      <c r="Q43" s="89"/>
      <c r="R43" s="232"/>
      <c r="S43" s="213"/>
      <c r="T43" s="213"/>
      <c r="U43" s="232"/>
      <c r="V43" s="213"/>
      <c r="W43" s="213"/>
    </row>
    <row r="44" spans="2:23">
      <c r="B44" s="97"/>
      <c r="D44" s="355"/>
      <c r="E44" s="355"/>
      <c r="F44" s="228"/>
      <c r="G44" s="92"/>
      <c r="H44" s="92"/>
      <c r="I44" s="89">
        <f t="shared" si="4"/>
        <v>0</v>
      </c>
      <c r="J44" s="213"/>
      <c r="K44" s="86"/>
      <c r="L44" s="246"/>
      <c r="M44" s="213"/>
      <c r="N44" s="89"/>
      <c r="O44" s="246"/>
      <c r="P44" s="213"/>
      <c r="Q44" s="89"/>
      <c r="R44" s="232"/>
      <c r="S44" s="213"/>
      <c r="T44" s="213"/>
      <c r="U44" s="232"/>
      <c r="V44" s="213"/>
      <c r="W44" s="213"/>
    </row>
    <row r="45" spans="2:23">
      <c r="B45" s="97"/>
      <c r="D45" s="355"/>
      <c r="E45" s="355"/>
      <c r="F45" s="228"/>
      <c r="G45" s="92"/>
      <c r="H45" s="92"/>
      <c r="I45" s="89">
        <f t="shared" si="4"/>
        <v>0</v>
      </c>
      <c r="J45" s="213"/>
      <c r="K45" s="86"/>
      <c r="L45" s="246"/>
      <c r="M45" s="213"/>
      <c r="N45" s="89"/>
      <c r="O45" s="246"/>
      <c r="P45" s="213"/>
      <c r="Q45" s="89"/>
      <c r="R45" s="232"/>
      <c r="S45" s="213"/>
      <c r="T45" s="213"/>
      <c r="U45" s="232"/>
      <c r="V45" s="213"/>
      <c r="W45" s="213"/>
    </row>
    <row r="46" spans="2:23">
      <c r="B46" s="97"/>
      <c r="D46" s="355"/>
      <c r="E46" s="355"/>
      <c r="F46" s="228"/>
      <c r="G46" s="92"/>
      <c r="H46" s="92"/>
      <c r="I46" s="89">
        <f t="shared" ref="I46" si="5">F46/$C$1</f>
        <v>0</v>
      </c>
      <c r="J46" s="213"/>
      <c r="K46" s="86"/>
      <c r="L46" s="246"/>
      <c r="M46" s="213"/>
      <c r="N46" s="89"/>
      <c r="O46" s="246"/>
      <c r="P46" s="213"/>
      <c r="Q46" s="89"/>
      <c r="R46" s="232"/>
      <c r="S46" s="213"/>
      <c r="T46" s="213"/>
      <c r="U46" s="232"/>
      <c r="V46" s="213"/>
      <c r="W46" s="213"/>
    </row>
    <row r="47" spans="2:23">
      <c r="B47" s="97"/>
    </row>
    <row r="48" spans="2:23">
      <c r="B48" s="97"/>
    </row>
    <row r="49" spans="2:2">
      <c r="B49" s="97"/>
    </row>
    <row r="50" spans="2:2">
      <c r="B50" s="97"/>
    </row>
  </sheetData>
  <mergeCells count="9">
    <mergeCell ref="B2:U2"/>
    <mergeCell ref="F3:H3"/>
    <mergeCell ref="L3:N3"/>
    <mergeCell ref="R3:T3"/>
    <mergeCell ref="C3:C4"/>
    <mergeCell ref="D3:E4"/>
    <mergeCell ref="I3:K3"/>
    <mergeCell ref="O3:Q3"/>
    <mergeCell ref="U3:W3"/>
  </mergeCells>
  <phoneticPr fontId="13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2:AT106"/>
  <sheetViews>
    <sheetView zoomScale="85" zoomScaleNormal="85" workbookViewId="0">
      <pane xSplit="5" ySplit="6" topLeftCell="O11" activePane="bottomRight" state="frozen"/>
      <selection pane="topRight" activeCell="F1" sqref="F1"/>
      <selection pane="bottomLeft" activeCell="A7" sqref="A7"/>
      <selection pane="bottomRight" activeCell="AK11" sqref="AK11:AK41"/>
    </sheetView>
  </sheetViews>
  <sheetFormatPr defaultColWidth="8.85546875" defaultRowHeight="16.5"/>
  <cols>
    <col min="1" max="1" width="0" style="77" hidden="1" customWidth="1"/>
    <col min="2" max="2" width="13.140625" style="77" hidden="1" customWidth="1"/>
    <col min="3" max="3" width="0" style="102" hidden="1" customWidth="1"/>
    <col min="4" max="4" width="11" style="102" bestFit="1" customWidth="1"/>
    <col min="5" max="5" width="8.5703125" style="84" customWidth="1"/>
    <col min="6" max="8" width="17.42578125" style="101" customWidth="1"/>
    <col min="9" max="9" width="10.5703125" style="96" customWidth="1"/>
    <col min="10" max="10" width="10.5703125" style="89" customWidth="1"/>
    <col min="11" max="11" width="10.5703125" style="96" customWidth="1"/>
    <col min="12" max="14" width="10.5703125" style="89" customWidth="1"/>
    <col min="15" max="15" width="10.5703125" style="96" customWidth="1"/>
    <col min="16" max="16" width="10.5703125" style="89" customWidth="1"/>
    <col min="17" max="17" width="10.5703125" style="96" customWidth="1"/>
    <col min="18" max="18" width="10.5703125" style="89" customWidth="1"/>
    <col min="19" max="19" width="10.5703125" style="96" customWidth="1"/>
    <col min="20" max="20" width="10.5703125" style="89" customWidth="1"/>
    <col min="21" max="21" width="10.5703125" style="96" customWidth="1"/>
    <col min="22" max="22" width="10.5703125" style="89" customWidth="1"/>
    <col min="23" max="23" width="10.5703125" style="96" customWidth="1"/>
    <col min="24" max="24" width="10.5703125" style="89" customWidth="1"/>
    <col min="25" max="25" width="10.5703125" style="96" customWidth="1"/>
    <col min="26" max="26" width="10.5703125" style="89" customWidth="1"/>
    <col min="27" max="27" width="10.5703125" style="96" customWidth="1"/>
    <col min="28" max="28" width="10.5703125" style="89" customWidth="1"/>
    <col min="29" max="29" width="10.5703125" style="96" customWidth="1"/>
    <col min="30" max="30" width="10.5703125" style="89" customWidth="1"/>
    <col min="31" max="31" width="10.5703125" style="96" customWidth="1"/>
    <col min="32" max="32" width="10.5703125" style="89" customWidth="1"/>
    <col min="33" max="33" width="10.42578125" style="96" customWidth="1"/>
    <col min="34" max="34" width="10.42578125" style="89" customWidth="1"/>
    <col min="35" max="35" width="10.42578125" style="96" customWidth="1"/>
    <col min="36" max="36" width="10.42578125" style="89" customWidth="1"/>
    <col min="37" max="37" width="10.42578125" style="96" customWidth="1"/>
    <col min="38" max="38" width="10.42578125" style="89" customWidth="1"/>
    <col min="39" max="16384" width="8.85546875" style="77"/>
  </cols>
  <sheetData>
    <row r="2" spans="1:38" ht="38.1" customHeight="1">
      <c r="A2" s="75"/>
      <c r="B2" s="622" t="s">
        <v>300</v>
      </c>
      <c r="C2" s="622"/>
      <c r="D2" s="622"/>
      <c r="E2" s="622"/>
      <c r="F2" s="622"/>
      <c r="G2" s="622"/>
      <c r="H2" s="622"/>
      <c r="I2" s="622"/>
      <c r="J2" s="622"/>
      <c r="K2" s="622"/>
      <c r="L2" s="622"/>
      <c r="M2" s="622"/>
      <c r="N2" s="622"/>
      <c r="O2" s="622"/>
      <c r="P2" s="622"/>
      <c r="Q2" s="622"/>
      <c r="R2" s="622"/>
      <c r="S2" s="622"/>
      <c r="T2" s="622"/>
      <c r="U2" s="622"/>
      <c r="V2" s="622"/>
      <c r="W2" s="622"/>
      <c r="X2" s="622"/>
      <c r="Y2" s="622"/>
      <c r="Z2" s="622"/>
      <c r="AA2" s="622"/>
      <c r="AB2" s="622"/>
      <c r="AC2" s="622"/>
      <c r="AD2" s="622"/>
      <c r="AE2" s="622"/>
      <c r="AF2" s="622"/>
      <c r="AG2" s="622"/>
      <c r="AH2" s="622"/>
      <c r="AI2" s="622"/>
      <c r="AJ2" s="622"/>
      <c r="AK2" s="622"/>
      <c r="AL2" s="622"/>
    </row>
    <row r="3" spans="1:38" ht="25.35" customHeight="1">
      <c r="B3" s="97"/>
      <c r="C3" s="623" t="s">
        <v>139</v>
      </c>
      <c r="D3" s="624" t="s">
        <v>105</v>
      </c>
      <c r="E3" s="624"/>
      <c r="F3" s="625" t="s">
        <v>334</v>
      </c>
      <c r="G3" s="625"/>
      <c r="H3" s="625"/>
      <c r="I3" s="626" t="s">
        <v>111</v>
      </c>
      <c r="J3" s="626"/>
      <c r="K3" s="626"/>
      <c r="L3" s="626"/>
      <c r="M3" s="626"/>
      <c r="N3" s="626"/>
      <c r="O3" s="626"/>
      <c r="P3" s="626"/>
      <c r="Q3" s="626"/>
      <c r="R3" s="626"/>
      <c r="S3" s="626"/>
      <c r="T3" s="626"/>
      <c r="U3" s="626"/>
      <c r="V3" s="626"/>
      <c r="W3" s="626"/>
      <c r="X3" s="626"/>
      <c r="Y3" s="626"/>
      <c r="Z3" s="626"/>
      <c r="AA3" s="626"/>
      <c r="AB3" s="626"/>
      <c r="AC3" s="626"/>
      <c r="AD3" s="626"/>
      <c r="AE3" s="626"/>
      <c r="AF3" s="626"/>
      <c r="AG3" s="626"/>
      <c r="AH3" s="626"/>
      <c r="AI3" s="626"/>
      <c r="AJ3" s="626"/>
      <c r="AK3" s="626"/>
      <c r="AL3" s="626"/>
    </row>
    <row r="4" spans="1:38" ht="25.35" customHeight="1">
      <c r="B4" s="97"/>
      <c r="C4" s="623"/>
      <c r="D4" s="624"/>
      <c r="E4" s="624"/>
      <c r="F4" s="625"/>
      <c r="G4" s="625"/>
      <c r="H4" s="625"/>
      <c r="I4" s="620" t="s">
        <v>140</v>
      </c>
      <c r="J4" s="620"/>
      <c r="K4" s="620"/>
      <c r="L4" s="620"/>
      <c r="M4" s="620"/>
      <c r="N4" s="620"/>
      <c r="O4" s="620" t="s">
        <v>141</v>
      </c>
      <c r="P4" s="620"/>
      <c r="Q4" s="620"/>
      <c r="R4" s="620"/>
      <c r="S4" s="620"/>
      <c r="T4" s="620"/>
      <c r="U4" s="620" t="s">
        <v>324</v>
      </c>
      <c r="V4" s="620"/>
      <c r="W4" s="620" t="s">
        <v>143</v>
      </c>
      <c r="X4" s="620"/>
      <c r="Y4" s="620" t="s">
        <v>134</v>
      </c>
      <c r="Z4" s="620"/>
      <c r="AA4" s="620"/>
      <c r="AB4" s="620"/>
      <c r="AC4" s="620"/>
      <c r="AD4" s="620"/>
      <c r="AE4" s="620" t="s">
        <v>132</v>
      </c>
      <c r="AF4" s="620"/>
      <c r="AG4" s="620" t="s">
        <v>144</v>
      </c>
      <c r="AH4" s="620"/>
      <c r="AI4" s="620" t="s">
        <v>145</v>
      </c>
      <c r="AJ4" s="620"/>
      <c r="AK4" s="620" t="s">
        <v>138</v>
      </c>
      <c r="AL4" s="620"/>
    </row>
    <row r="5" spans="1:38" ht="25.35" customHeight="1">
      <c r="B5" s="97"/>
      <c r="C5" s="623"/>
      <c r="D5" s="624"/>
      <c r="E5" s="624"/>
      <c r="F5" s="619" t="s">
        <v>115</v>
      </c>
      <c r="G5" s="619" t="s">
        <v>117</v>
      </c>
      <c r="H5" s="619" t="s">
        <v>118</v>
      </c>
      <c r="I5" s="620" t="s">
        <v>129</v>
      </c>
      <c r="J5" s="620"/>
      <c r="K5" s="620" t="s">
        <v>130</v>
      </c>
      <c r="L5" s="620"/>
      <c r="M5" s="621" t="s">
        <v>146</v>
      </c>
      <c r="N5" s="620"/>
      <c r="O5" s="620" t="s">
        <v>129</v>
      </c>
      <c r="P5" s="620"/>
      <c r="Q5" s="620" t="s">
        <v>130</v>
      </c>
      <c r="R5" s="620"/>
      <c r="S5" s="621" t="s">
        <v>146</v>
      </c>
      <c r="T5" s="620"/>
      <c r="U5" s="620" t="s">
        <v>129</v>
      </c>
      <c r="V5" s="620"/>
      <c r="W5" s="620" t="s">
        <v>129</v>
      </c>
      <c r="X5" s="620"/>
      <c r="Y5" s="620" t="s">
        <v>129</v>
      </c>
      <c r="Z5" s="620"/>
      <c r="AA5" s="620" t="s">
        <v>130</v>
      </c>
      <c r="AB5" s="620"/>
      <c r="AC5" s="621" t="s">
        <v>146</v>
      </c>
      <c r="AD5" s="620"/>
      <c r="AE5" s="620" t="s">
        <v>129</v>
      </c>
      <c r="AF5" s="620"/>
      <c r="AG5" s="620" t="s">
        <v>129</v>
      </c>
      <c r="AH5" s="620"/>
      <c r="AI5" s="620" t="s">
        <v>129</v>
      </c>
      <c r="AJ5" s="620"/>
      <c r="AK5" s="620" t="s">
        <v>129</v>
      </c>
      <c r="AL5" s="620"/>
    </row>
    <row r="6" spans="1:38" s="80" customFormat="1" ht="23.45" customHeight="1">
      <c r="B6" s="97"/>
      <c r="C6" s="623"/>
      <c r="D6" s="624"/>
      <c r="E6" s="624"/>
      <c r="F6" s="619"/>
      <c r="G6" s="619"/>
      <c r="H6" s="619"/>
      <c r="I6" s="98" t="s">
        <v>112</v>
      </c>
      <c r="J6" s="99" t="s">
        <v>113</v>
      </c>
      <c r="K6" s="98" t="s">
        <v>112</v>
      </c>
      <c r="L6" s="99" t="s">
        <v>113</v>
      </c>
      <c r="M6" s="98" t="s">
        <v>112</v>
      </c>
      <c r="N6" s="99" t="s">
        <v>113</v>
      </c>
      <c r="O6" s="98" t="s">
        <v>112</v>
      </c>
      <c r="P6" s="99" t="s">
        <v>113</v>
      </c>
      <c r="Q6" s="98" t="s">
        <v>112</v>
      </c>
      <c r="R6" s="99" t="s">
        <v>113</v>
      </c>
      <c r="S6" s="98" t="s">
        <v>112</v>
      </c>
      <c r="T6" s="99" t="s">
        <v>113</v>
      </c>
      <c r="U6" s="98" t="s">
        <v>112</v>
      </c>
      <c r="V6" s="99" t="s">
        <v>113</v>
      </c>
      <c r="W6" s="98" t="s">
        <v>112</v>
      </c>
      <c r="X6" s="99" t="s">
        <v>113</v>
      </c>
      <c r="Y6" s="98" t="s">
        <v>112</v>
      </c>
      <c r="Z6" s="99" t="s">
        <v>113</v>
      </c>
      <c r="AA6" s="98" t="s">
        <v>112</v>
      </c>
      <c r="AB6" s="99" t="s">
        <v>113</v>
      </c>
      <c r="AC6" s="98" t="s">
        <v>112</v>
      </c>
      <c r="AD6" s="99" t="s">
        <v>113</v>
      </c>
      <c r="AE6" s="98" t="s">
        <v>112</v>
      </c>
      <c r="AF6" s="99" t="s">
        <v>113</v>
      </c>
      <c r="AG6" s="98" t="s">
        <v>112</v>
      </c>
      <c r="AH6" s="99" t="s">
        <v>113</v>
      </c>
      <c r="AI6" s="98" t="s">
        <v>112</v>
      </c>
      <c r="AJ6" s="99" t="s">
        <v>113</v>
      </c>
      <c r="AK6" s="98" t="s">
        <v>112</v>
      </c>
      <c r="AL6" s="99" t="s">
        <v>113</v>
      </c>
    </row>
    <row r="7" spans="1:38" ht="14.25">
      <c r="B7" s="97"/>
      <c r="C7" s="83"/>
      <c r="D7" s="299">
        <v>46231</v>
      </c>
      <c r="E7" s="299" t="s">
        <v>446</v>
      </c>
      <c r="F7" s="227">
        <f t="shared" ref="F7" si="0">SUM(M7,S7,U7,W7,AC7,AE7,AG7,AI7,AK7)</f>
        <v>8700275</v>
      </c>
      <c r="G7" s="297"/>
      <c r="I7" s="456">
        <v>603262.52868638129</v>
      </c>
      <c r="J7" s="338">
        <f t="shared" ref="J7:J13" si="1">I7/F7</f>
        <v>6.9338328809880292E-2</v>
      </c>
      <c r="K7" s="456">
        <v>751265.74826947367</v>
      </c>
      <c r="L7" s="338">
        <f t="shared" ref="L7:L13" si="2">K7/F7</f>
        <v>8.6349655415429244E-2</v>
      </c>
      <c r="M7" s="457">
        <f t="shared" ref="M7:M13" si="3">SUM(I7+K7)</f>
        <v>1354528.2769558551</v>
      </c>
      <c r="N7" s="338">
        <f t="shared" ref="N7:N13" si="4">M7/F7</f>
        <v>0.15568798422530955</v>
      </c>
      <c r="O7" s="456">
        <v>216344.63870068808</v>
      </c>
      <c r="P7" s="338">
        <f t="shared" ref="P7:P13" si="5">O7/F7</f>
        <v>2.4866413843319675E-2</v>
      </c>
      <c r="Q7" s="456"/>
      <c r="R7" s="338">
        <f t="shared" ref="R7:R13" si="6">Q7/$F7</f>
        <v>0</v>
      </c>
      <c r="S7" s="457">
        <f t="shared" ref="S7:S13" si="7">SUM(O7+Q7)</f>
        <v>216344.63870068808</v>
      </c>
      <c r="T7" s="338">
        <f t="shared" ref="T7:T13" si="8">S7/F7</f>
        <v>2.4866413843319675E-2</v>
      </c>
      <c r="U7" s="456">
        <v>1036644.3877259293</v>
      </c>
      <c r="V7" s="338">
        <f t="shared" ref="V7:V13" si="9">U7/F7</f>
        <v>0.11915076106513062</v>
      </c>
      <c r="W7" s="456">
        <v>92954.912885850805</v>
      </c>
      <c r="X7" s="338">
        <f t="shared" ref="X7:X13" si="10">W7/F7</f>
        <v>1.068413502858827E-2</v>
      </c>
      <c r="Y7" s="456">
        <v>673989.88000655465</v>
      </c>
      <c r="Z7" s="338">
        <f t="shared" ref="Z7:Z13" si="11">Y7/F7</f>
        <v>7.7467652460014733E-2</v>
      </c>
      <c r="AA7" s="456">
        <v>1229401.401895995</v>
      </c>
      <c r="AB7" s="338">
        <f t="shared" ref="AB7:AB13" si="12">AA7/$F7</f>
        <v>0.14130603939484615</v>
      </c>
      <c r="AC7" s="457">
        <f t="shared" ref="AC7:AC13" si="13">SUM(Y7+AA7)</f>
        <v>1903391.2819025498</v>
      </c>
      <c r="AD7" s="338">
        <f t="shared" ref="AD7:AD13" si="14">AC7/F7</f>
        <v>0.2187736918548609</v>
      </c>
      <c r="AE7" s="456">
        <v>1356521.9347200366</v>
      </c>
      <c r="AF7" s="338">
        <f t="shared" ref="AF7:AF13" si="15">AE7/F7</f>
        <v>0.15591713304694813</v>
      </c>
      <c r="AG7" s="456">
        <v>798520.5685431239</v>
      </c>
      <c r="AH7" s="338">
        <f t="shared" ref="AH7:AH13" si="16">AG7/F7</f>
        <v>9.1781072269913749E-2</v>
      </c>
      <c r="AI7" s="456">
        <v>1116518.0826606222</v>
      </c>
      <c r="AJ7" s="338">
        <f t="shared" ref="AJ7:AJ13" si="17">AI7/F7</f>
        <v>0.12833135534918405</v>
      </c>
      <c r="AK7" s="456">
        <v>824850.91590534337</v>
      </c>
      <c r="AL7" s="100">
        <f>AK7/F7</f>
        <v>9.4807453316744977E-2</v>
      </c>
    </row>
    <row r="8" spans="1:38" ht="14.25">
      <c r="B8" s="97"/>
      <c r="C8" s="340"/>
      <c r="D8" s="299">
        <f t="shared" ref="D8" si="18">D7+1</f>
        <v>46232</v>
      </c>
      <c r="E8" s="299" t="s">
        <v>447</v>
      </c>
      <c r="F8" s="227">
        <f>SUM(M8,S8,U8,W8,AC8,AE8,AG8,AI8,AK8)</f>
        <v>8324343.0000000009</v>
      </c>
      <c r="G8" s="297">
        <f>SUM(F7:F13)</f>
        <v>57089870</v>
      </c>
      <c r="H8" s="316"/>
      <c r="I8" s="456">
        <v>589000.29774245247</v>
      </c>
      <c r="J8" s="338">
        <f t="shared" si="1"/>
        <v>7.0756370531878901E-2</v>
      </c>
      <c r="K8" s="456">
        <v>729127.96946627158</v>
      </c>
      <c r="L8" s="338">
        <f t="shared" si="2"/>
        <v>8.7589851771637889E-2</v>
      </c>
      <c r="M8" s="457">
        <f t="shared" si="3"/>
        <v>1318128.267208724</v>
      </c>
      <c r="N8" s="338">
        <f t="shared" si="4"/>
        <v>0.1583462223035168</v>
      </c>
      <c r="O8" s="456">
        <v>216599.63008771063</v>
      </c>
      <c r="P8" s="338">
        <f t="shared" si="5"/>
        <v>2.6020027056514922E-2</v>
      </c>
      <c r="Q8" s="456"/>
      <c r="R8" s="338">
        <f t="shared" si="6"/>
        <v>0</v>
      </c>
      <c r="S8" s="457">
        <f t="shared" si="7"/>
        <v>216599.63008771063</v>
      </c>
      <c r="T8" s="338">
        <f t="shared" si="8"/>
        <v>2.6020027056514922E-2</v>
      </c>
      <c r="U8" s="456">
        <v>968615.47729784832</v>
      </c>
      <c r="V8" s="338">
        <f t="shared" si="9"/>
        <v>0.11635939044052464</v>
      </c>
      <c r="W8" s="456">
        <v>97229.993593751249</v>
      </c>
      <c r="X8" s="338">
        <f t="shared" si="10"/>
        <v>1.1680200298540225E-2</v>
      </c>
      <c r="Y8" s="456">
        <v>649741.1913785201</v>
      </c>
      <c r="Z8" s="338">
        <f t="shared" si="11"/>
        <v>7.8053149825580231E-2</v>
      </c>
      <c r="AA8" s="456">
        <v>1207425.2819815527</v>
      </c>
      <c r="AB8" s="338">
        <f t="shared" si="12"/>
        <v>0.14504751690091969</v>
      </c>
      <c r="AC8" s="457">
        <f t="shared" si="13"/>
        <v>1857166.4733600728</v>
      </c>
      <c r="AD8" s="338">
        <f t="shared" si="14"/>
        <v>0.22310066672649992</v>
      </c>
      <c r="AE8" s="456">
        <v>1297826.6808317655</v>
      </c>
      <c r="AF8" s="338">
        <f t="shared" si="15"/>
        <v>0.15590740084013421</v>
      </c>
      <c r="AG8" s="456">
        <v>753145.31434979057</v>
      </c>
      <c r="AH8" s="338">
        <f t="shared" si="16"/>
        <v>9.0475045820407746E-2</v>
      </c>
      <c r="AI8" s="456">
        <v>1089677.2920187039</v>
      </c>
      <c r="AJ8" s="338">
        <f t="shared" si="17"/>
        <v>0.1309024978930714</v>
      </c>
      <c r="AK8" s="456">
        <v>725953.87125163223</v>
      </c>
      <c r="AL8" s="100">
        <f>AK8/F8</f>
        <v>8.7208548620789916E-2</v>
      </c>
    </row>
    <row r="9" spans="1:38" ht="14.25">
      <c r="B9" s="97"/>
      <c r="C9" s="97"/>
      <c r="D9" s="299">
        <f>D8+1</f>
        <v>46233</v>
      </c>
      <c r="E9" s="299" t="s">
        <v>448</v>
      </c>
      <c r="F9" s="227">
        <f t="shared" ref="F9:F49" si="19">SUM(M9,S9,U9,W9,AC9,AE9,AG9,AI9,AK9)</f>
        <v>7885992.0000000019</v>
      </c>
      <c r="G9" s="86"/>
      <c r="H9" s="86"/>
      <c r="I9" s="233">
        <v>552671.7833564399</v>
      </c>
      <c r="J9" s="100">
        <f t="shared" si="1"/>
        <v>7.0082721787752225E-2</v>
      </c>
      <c r="K9" s="233">
        <v>678790.14300753491</v>
      </c>
      <c r="L9" s="100">
        <f t="shared" si="2"/>
        <v>8.6075428811940816E-2</v>
      </c>
      <c r="M9" s="226">
        <f t="shared" si="3"/>
        <v>1231461.9263639748</v>
      </c>
      <c r="N9" s="100">
        <f t="shared" si="4"/>
        <v>0.15615815059969304</v>
      </c>
      <c r="O9" s="233">
        <v>208171.90349129023</v>
      </c>
      <c r="P9" s="100">
        <f t="shared" si="5"/>
        <v>2.6397681292510845E-2</v>
      </c>
      <c r="Q9" s="233"/>
      <c r="R9" s="100">
        <f t="shared" si="6"/>
        <v>0</v>
      </c>
      <c r="S9" s="226">
        <f t="shared" si="7"/>
        <v>208171.90349129023</v>
      </c>
      <c r="T9" s="100">
        <f t="shared" si="8"/>
        <v>2.6397681292510845E-2</v>
      </c>
      <c r="U9" s="233">
        <v>899137.90517656144</v>
      </c>
      <c r="V9" s="100">
        <f t="shared" si="9"/>
        <v>0.11401709577901692</v>
      </c>
      <c r="W9" s="233">
        <v>93008.686002876071</v>
      </c>
      <c r="X9" s="100">
        <f t="shared" si="10"/>
        <v>1.1794164387039202E-2</v>
      </c>
      <c r="Y9" s="233">
        <v>618149.51097348158</v>
      </c>
      <c r="Z9" s="100">
        <f t="shared" si="11"/>
        <v>7.8385764400151742E-2</v>
      </c>
      <c r="AA9" s="233">
        <v>991952.74309342704</v>
      </c>
      <c r="AB9" s="100">
        <f t="shared" si="12"/>
        <v>0.1257866788469259</v>
      </c>
      <c r="AC9" s="226">
        <f t="shared" si="13"/>
        <v>1610102.2540669087</v>
      </c>
      <c r="AD9" s="100">
        <f t="shared" si="14"/>
        <v>0.20417244324707765</v>
      </c>
      <c r="AE9" s="233">
        <v>1287578.8253542988</v>
      </c>
      <c r="AF9" s="100">
        <f t="shared" si="15"/>
        <v>0.16327417341461906</v>
      </c>
      <c r="AG9" s="233">
        <v>720441.31359132275</v>
      </c>
      <c r="AH9" s="100">
        <f t="shared" si="16"/>
        <v>9.1357094147612949E-2</v>
      </c>
      <c r="AI9" s="233">
        <v>1133233.8965380767</v>
      </c>
      <c r="AJ9" s="100">
        <f t="shared" si="17"/>
        <v>0.14370213621039388</v>
      </c>
      <c r="AK9" s="233">
        <v>702855.28941469197</v>
      </c>
      <c r="AL9" s="100">
        <f>AK9/F9</f>
        <v>8.9127060922036414E-2</v>
      </c>
    </row>
    <row r="10" spans="1:38" ht="14.25">
      <c r="B10" s="97"/>
      <c r="C10" s="97"/>
      <c r="D10" s="299">
        <f t="shared" ref="D10:D36" si="20">D9+1</f>
        <v>46234</v>
      </c>
      <c r="E10" s="299" t="s">
        <v>449</v>
      </c>
      <c r="F10" s="227">
        <f t="shared" si="19"/>
        <v>7084934.0000000019</v>
      </c>
      <c r="G10" s="297"/>
      <c r="H10" s="316"/>
      <c r="I10" s="233">
        <v>481892.84793548757</v>
      </c>
      <c r="J10" s="100">
        <f t="shared" si="1"/>
        <v>6.8016561330774217E-2</v>
      </c>
      <c r="K10" s="233">
        <v>635062.51469062688</v>
      </c>
      <c r="L10" s="100">
        <f t="shared" si="2"/>
        <v>8.9635628883857871E-2</v>
      </c>
      <c r="M10" s="226">
        <f t="shared" si="3"/>
        <v>1116955.3626261144</v>
      </c>
      <c r="N10" s="100">
        <f t="shared" si="4"/>
        <v>0.15765219021463209</v>
      </c>
      <c r="O10" s="233">
        <v>179741.43536573189</v>
      </c>
      <c r="P10" s="100">
        <f t="shared" si="5"/>
        <v>2.5369528546875925E-2</v>
      </c>
      <c r="Q10" s="233"/>
      <c r="R10" s="100">
        <f t="shared" si="6"/>
        <v>0</v>
      </c>
      <c r="S10" s="226">
        <f t="shared" si="7"/>
        <v>179741.43536573189</v>
      </c>
      <c r="T10" s="100">
        <f t="shared" si="8"/>
        <v>2.5369528546875925E-2</v>
      </c>
      <c r="U10" s="233">
        <v>777229.11797457642</v>
      </c>
      <c r="V10" s="100">
        <f t="shared" si="9"/>
        <v>0.10970167371701363</v>
      </c>
      <c r="W10" s="233">
        <v>68175.968689468849</v>
      </c>
      <c r="X10" s="100">
        <f t="shared" si="10"/>
        <v>9.6226681419288914E-3</v>
      </c>
      <c r="Y10" s="233">
        <v>545390.29673808522</v>
      </c>
      <c r="Z10" s="100">
        <f t="shared" si="11"/>
        <v>7.6978881770540852E-2</v>
      </c>
      <c r="AA10" s="233">
        <v>961827.25912239193</v>
      </c>
      <c r="AB10" s="100">
        <f t="shared" si="12"/>
        <v>0.13575669993854447</v>
      </c>
      <c r="AC10" s="226">
        <f t="shared" si="13"/>
        <v>1507217.555860477</v>
      </c>
      <c r="AD10" s="100">
        <f t="shared" si="14"/>
        <v>0.21273558170908533</v>
      </c>
      <c r="AE10" s="233">
        <v>1019223.9560060934</v>
      </c>
      <c r="AF10" s="100">
        <f t="shared" si="15"/>
        <v>0.14385793234010269</v>
      </c>
      <c r="AG10" s="233">
        <v>668505.42792191531</v>
      </c>
      <c r="AH10" s="100">
        <f t="shared" si="16"/>
        <v>9.4355914666518437E-2</v>
      </c>
      <c r="AI10" s="233">
        <v>1151947.3692613298</v>
      </c>
      <c r="AJ10" s="100">
        <f t="shared" si="17"/>
        <v>0.16259112212778967</v>
      </c>
      <c r="AK10" s="233">
        <v>595937.80629429407</v>
      </c>
      <c r="AL10" s="100">
        <f t="shared" ref="AL10:AL13" si="21">AK10/F10</f>
        <v>8.4113388536053255E-2</v>
      </c>
    </row>
    <row r="11" spans="1:38" ht="14.25">
      <c r="B11" s="97"/>
      <c r="C11" s="97"/>
      <c r="D11" s="299">
        <f t="shared" si="20"/>
        <v>46235</v>
      </c>
      <c r="E11" s="299" t="s">
        <v>450</v>
      </c>
      <c r="F11" s="227">
        <f t="shared" si="19"/>
        <v>7328189</v>
      </c>
      <c r="G11" s="297"/>
      <c r="H11" s="316"/>
      <c r="I11" s="456">
        <v>442561.87370172853</v>
      </c>
      <c r="J11" s="338">
        <f t="shared" si="1"/>
        <v>6.0391711199278365E-2</v>
      </c>
      <c r="K11" s="456">
        <v>700935.50611930888</v>
      </c>
      <c r="L11" s="338">
        <f t="shared" si="2"/>
        <v>9.5649212393308758E-2</v>
      </c>
      <c r="M11" s="457">
        <f t="shared" si="3"/>
        <v>1143497.3798210374</v>
      </c>
      <c r="N11" s="338">
        <f t="shared" si="4"/>
        <v>0.15604092359258712</v>
      </c>
      <c r="O11" s="456">
        <v>170250.29403352088</v>
      </c>
      <c r="P11" s="338">
        <f t="shared" si="5"/>
        <v>2.323224660738429E-2</v>
      </c>
      <c r="Q11" s="456"/>
      <c r="R11" s="338">
        <f t="shared" si="6"/>
        <v>0</v>
      </c>
      <c r="S11" s="457">
        <f t="shared" si="7"/>
        <v>170250.29403352088</v>
      </c>
      <c r="T11" s="338">
        <f t="shared" si="8"/>
        <v>2.323224660738429E-2</v>
      </c>
      <c r="U11" s="456">
        <v>860675.31811010744</v>
      </c>
      <c r="V11" s="338">
        <f t="shared" si="9"/>
        <v>0.11744720532045604</v>
      </c>
      <c r="W11" s="456">
        <v>59406.392599075458</v>
      </c>
      <c r="X11" s="338">
        <f t="shared" si="10"/>
        <v>8.106558468821622E-3</v>
      </c>
      <c r="Y11" s="456">
        <v>558453.15219842771</v>
      </c>
      <c r="Z11" s="338">
        <f t="shared" si="11"/>
        <v>7.620616119459088E-2</v>
      </c>
      <c r="AA11" s="456">
        <v>1138552.5796951051</v>
      </c>
      <c r="AB11" s="338">
        <f t="shared" si="12"/>
        <v>0.15536615931918582</v>
      </c>
      <c r="AC11" s="457">
        <f t="shared" si="13"/>
        <v>1697005.7318935329</v>
      </c>
      <c r="AD11" s="338">
        <f t="shared" si="14"/>
        <v>0.23157232051377671</v>
      </c>
      <c r="AE11" s="456">
        <v>1063670.9237937981</v>
      </c>
      <c r="AF11" s="338">
        <f t="shared" si="15"/>
        <v>0.14514785628397386</v>
      </c>
      <c r="AG11" s="456">
        <v>648640.65947340068</v>
      </c>
      <c r="AH11" s="338">
        <f t="shared" si="16"/>
        <v>8.8513090952403201E-2</v>
      </c>
      <c r="AI11" s="456">
        <v>1100289.923135719</v>
      </c>
      <c r="AJ11" s="338">
        <f t="shared" si="17"/>
        <v>0.15014486159346041</v>
      </c>
      <c r="AK11" s="456">
        <v>584752.37713980768</v>
      </c>
      <c r="AL11" s="100">
        <f t="shared" si="21"/>
        <v>7.9794936667136676E-2</v>
      </c>
    </row>
    <row r="12" spans="1:38" ht="14.25">
      <c r="B12" s="97"/>
      <c r="C12" s="97"/>
      <c r="D12" s="299">
        <f t="shared" si="20"/>
        <v>46236</v>
      </c>
      <c r="E12" s="299" t="s">
        <v>451</v>
      </c>
      <c r="F12" s="227">
        <f t="shared" si="19"/>
        <v>8762334.9999999981</v>
      </c>
      <c r="G12" s="86"/>
      <c r="H12" s="316">
        <f>SUM(F8:F38)</f>
        <v>248139749</v>
      </c>
      <c r="I12" s="456">
        <v>549759.30938560737</v>
      </c>
      <c r="J12" s="338">
        <f t="shared" si="1"/>
        <v>6.2741188209034182E-2</v>
      </c>
      <c r="K12" s="456">
        <v>761938.17986743385</v>
      </c>
      <c r="L12" s="338">
        <f t="shared" si="2"/>
        <v>8.695606591935072E-2</v>
      </c>
      <c r="M12" s="457">
        <f t="shared" si="3"/>
        <v>1311697.4892530413</v>
      </c>
      <c r="N12" s="338">
        <f t="shared" si="4"/>
        <v>0.14969725412838492</v>
      </c>
      <c r="O12" s="456">
        <v>209121.52685138528</v>
      </c>
      <c r="P12" s="338">
        <f t="shared" si="5"/>
        <v>2.3865958885546528E-2</v>
      </c>
      <c r="Q12" s="456"/>
      <c r="R12" s="338">
        <f t="shared" si="6"/>
        <v>0</v>
      </c>
      <c r="S12" s="457">
        <f t="shared" si="7"/>
        <v>209121.52685138528</v>
      </c>
      <c r="T12" s="338">
        <f t="shared" si="8"/>
        <v>2.3865958885546528E-2</v>
      </c>
      <c r="U12" s="456">
        <v>1090851.5468825542</v>
      </c>
      <c r="V12" s="338">
        <f t="shared" si="9"/>
        <v>0.12449324830453919</v>
      </c>
      <c r="W12" s="456">
        <v>90558.670308332483</v>
      </c>
      <c r="X12" s="338">
        <f t="shared" si="10"/>
        <v>1.0334992933770793E-2</v>
      </c>
      <c r="Y12" s="456">
        <v>673626.51244151569</v>
      </c>
      <c r="Z12" s="338">
        <f t="shared" si="11"/>
        <v>7.6877511809525179E-2</v>
      </c>
      <c r="AA12" s="456">
        <v>1229421.5215187834</v>
      </c>
      <c r="AB12" s="338">
        <f t="shared" si="12"/>
        <v>0.14030752322512022</v>
      </c>
      <c r="AC12" s="457">
        <f t="shared" si="13"/>
        <v>1903048.0339602991</v>
      </c>
      <c r="AD12" s="338">
        <f t="shared" si="14"/>
        <v>0.2171850350346454</v>
      </c>
      <c r="AE12" s="456">
        <v>1447996.9775705107</v>
      </c>
      <c r="AF12" s="338">
        <f t="shared" si="15"/>
        <v>0.16525241018181924</v>
      </c>
      <c r="AG12" s="456">
        <v>847478.66301284195</v>
      </c>
      <c r="AH12" s="338">
        <f t="shared" si="16"/>
        <v>9.6718359091822234E-2</v>
      </c>
      <c r="AI12" s="456">
        <v>1126041.8777847243</v>
      </c>
      <c r="AJ12" s="338">
        <f t="shared" si="17"/>
        <v>0.12850933886740515</v>
      </c>
      <c r="AK12" s="456">
        <v>735540.21437630942</v>
      </c>
      <c r="AL12" s="100">
        <f t="shared" si="21"/>
        <v>8.3943402572066644E-2</v>
      </c>
    </row>
    <row r="13" spans="1:38" ht="14.25">
      <c r="B13" s="97"/>
      <c r="C13" s="97"/>
      <c r="D13" s="299">
        <f t="shared" si="20"/>
        <v>46237</v>
      </c>
      <c r="E13" s="299" t="s">
        <v>445</v>
      </c>
      <c r="F13" s="227">
        <f t="shared" si="19"/>
        <v>9003801.9999999981</v>
      </c>
      <c r="G13" s="297"/>
      <c r="H13" s="316"/>
      <c r="I13" s="456">
        <v>541341.37538015237</v>
      </c>
      <c r="J13" s="338">
        <f t="shared" si="1"/>
        <v>6.0123642810020979E-2</v>
      </c>
      <c r="K13" s="456">
        <v>756089.45314326044</v>
      </c>
      <c r="L13" s="338">
        <f t="shared" si="2"/>
        <v>8.3974464692055717E-2</v>
      </c>
      <c r="M13" s="457">
        <f t="shared" si="3"/>
        <v>1297430.8285234128</v>
      </c>
      <c r="N13" s="338">
        <f t="shared" si="4"/>
        <v>0.14409810750207669</v>
      </c>
      <c r="O13" s="456">
        <v>196703.24319839501</v>
      </c>
      <c r="P13" s="338">
        <f t="shared" si="5"/>
        <v>2.1846686899422606E-2</v>
      </c>
      <c r="Q13" s="456"/>
      <c r="R13" s="338">
        <f t="shared" si="6"/>
        <v>0</v>
      </c>
      <c r="S13" s="457">
        <f t="shared" si="7"/>
        <v>196703.24319839501</v>
      </c>
      <c r="T13" s="338">
        <f t="shared" si="8"/>
        <v>2.1846686899422606E-2</v>
      </c>
      <c r="U13" s="456">
        <v>1108468.4275197089</v>
      </c>
      <c r="V13" s="338">
        <f t="shared" si="9"/>
        <v>0.12311115099151548</v>
      </c>
      <c r="W13" s="456">
        <v>107704.82931148927</v>
      </c>
      <c r="X13" s="338">
        <f t="shared" si="10"/>
        <v>1.1962149913057761E-2</v>
      </c>
      <c r="Y13" s="456">
        <v>661628.09923867893</v>
      </c>
      <c r="Z13" s="338">
        <f t="shared" si="11"/>
        <v>7.3483190683078001E-2</v>
      </c>
      <c r="AA13" s="456">
        <v>1373313.3514609488</v>
      </c>
      <c r="AB13" s="338">
        <f t="shared" si="12"/>
        <v>0.15252593864913391</v>
      </c>
      <c r="AC13" s="457">
        <f t="shared" si="13"/>
        <v>2034941.4506996279</v>
      </c>
      <c r="AD13" s="338">
        <f t="shared" si="14"/>
        <v>0.2260091293322119</v>
      </c>
      <c r="AE13" s="456">
        <v>1435934.9498288645</v>
      </c>
      <c r="AF13" s="338">
        <f t="shared" si="15"/>
        <v>0.1594809559149418</v>
      </c>
      <c r="AG13" s="456">
        <v>849208.57257214142</v>
      </c>
      <c r="AH13" s="338">
        <f t="shared" si="16"/>
        <v>9.4316664512629392E-2</v>
      </c>
      <c r="AI13" s="456">
        <v>1147262.2184313778</v>
      </c>
      <c r="AJ13" s="338">
        <f t="shared" si="17"/>
        <v>0.12741975205933873</v>
      </c>
      <c r="AK13" s="456">
        <v>826147.47991498082</v>
      </c>
      <c r="AL13" s="100">
        <f t="shared" si="21"/>
        <v>9.1755402874805658E-2</v>
      </c>
    </row>
    <row r="14" spans="1:38" ht="14.25">
      <c r="B14" s="97"/>
      <c r="C14" s="97"/>
      <c r="D14" s="355">
        <f t="shared" si="20"/>
        <v>46238</v>
      </c>
      <c r="E14" s="355" t="s">
        <v>446</v>
      </c>
      <c r="F14" s="227">
        <f t="shared" si="19"/>
        <v>8602664.9999999981</v>
      </c>
      <c r="G14" s="297">
        <f>SUM(F14:F20)</f>
        <v>55933813</v>
      </c>
      <c r="H14" s="316"/>
      <c r="I14" s="233">
        <v>545710.36829903291</v>
      </c>
      <c r="J14" s="100">
        <f>I14/F14</f>
        <v>6.343503650311072E-2</v>
      </c>
      <c r="K14" s="233">
        <v>761590.6497593188</v>
      </c>
      <c r="L14" s="100">
        <f>K14/F14</f>
        <v>8.8529618410029792E-2</v>
      </c>
      <c r="M14" s="226">
        <f>SUM(I14+K14)</f>
        <v>1307301.0180583517</v>
      </c>
      <c r="N14" s="100">
        <f>M14/F14</f>
        <v>0.15196465491314051</v>
      </c>
      <c r="O14" s="233">
        <v>194223.35846307292</v>
      </c>
      <c r="P14" s="100">
        <f>O14/F14</f>
        <v>2.2577115168738171E-2</v>
      </c>
      <c r="Q14" s="233"/>
      <c r="R14" s="100">
        <f t="shared" ref="R14" si="22">Q14/$F14</f>
        <v>0</v>
      </c>
      <c r="S14" s="226">
        <f t="shared" ref="S14" si="23">SUM(O14+Q14)</f>
        <v>194223.35846307292</v>
      </c>
      <c r="T14" s="100">
        <f>S14/F14</f>
        <v>2.2577115168738171E-2</v>
      </c>
      <c r="U14" s="233">
        <v>1042176.6328655463</v>
      </c>
      <c r="V14" s="100">
        <f>U14/F14</f>
        <v>0.12114578829531854</v>
      </c>
      <c r="W14" s="233">
        <v>89021.024036744508</v>
      </c>
      <c r="X14" s="100">
        <f>W14/F14</f>
        <v>1.0348075164701232E-2</v>
      </c>
      <c r="Y14" s="233">
        <v>635571.74594870314</v>
      </c>
      <c r="Z14" s="100">
        <f t="shared" ref="Z14:Z16" si="24">Y14/F14</f>
        <v>7.3880796933125173E-2</v>
      </c>
      <c r="AA14" s="233">
        <v>1291946.1863754438</v>
      </c>
      <c r="AB14" s="100">
        <f t="shared" ref="AB14:AB40" si="25">AA14/$F14</f>
        <v>0.15017976247772569</v>
      </c>
      <c r="AC14" s="226">
        <f t="shared" ref="AC14:AC16" si="26">SUM(Y14+AA14)</f>
        <v>1927517.9323241469</v>
      </c>
      <c r="AD14" s="100">
        <f t="shared" ref="AD14:AD16" si="27">AC14/F14</f>
        <v>0.22406055941085085</v>
      </c>
      <c r="AE14" s="233">
        <v>1378620.4617523977</v>
      </c>
      <c r="AF14" s="100">
        <f t="shared" ref="AF14:AF16" si="28">AE14/F14</f>
        <v>0.16025504442546559</v>
      </c>
      <c r="AG14" s="233">
        <v>727150.52805696253</v>
      </c>
      <c r="AH14" s="100">
        <f t="shared" ref="AH14:AH16" si="29">AG14/F14</f>
        <v>8.4526193691950427E-2</v>
      </c>
      <c r="AI14" s="233">
        <v>1192584.8044813259</v>
      </c>
      <c r="AJ14" s="100">
        <f t="shared" ref="AJ14:AJ16" si="30">AI14/F14</f>
        <v>0.13862969259890118</v>
      </c>
      <c r="AK14" s="233">
        <v>744069.23996145069</v>
      </c>
      <c r="AL14" s="100">
        <f>AK14/F14</f>
        <v>8.6492876330933596E-2</v>
      </c>
    </row>
    <row r="15" spans="1:38" ht="14.25">
      <c r="B15" s="97"/>
      <c r="C15" s="97"/>
      <c r="D15" s="355">
        <f t="shared" si="20"/>
        <v>46239</v>
      </c>
      <c r="E15" s="355" t="s">
        <v>447</v>
      </c>
      <c r="F15" s="227">
        <f t="shared" si="19"/>
        <v>8256702.9999999981</v>
      </c>
      <c r="G15" s="86"/>
      <c r="H15" s="316"/>
      <c r="I15" s="233">
        <v>539647.32661284308</v>
      </c>
      <c r="J15" s="100">
        <f t="shared" ref="J15" si="31">I15/F15</f>
        <v>6.5358694216425511E-2</v>
      </c>
      <c r="K15" s="233">
        <v>742661.32009492803</v>
      </c>
      <c r="L15" s="100">
        <f t="shared" ref="L15" si="32">K15/F15</f>
        <v>8.9946473803760196E-2</v>
      </c>
      <c r="M15" s="226">
        <f t="shared" ref="M15" si="33">SUM(I15+K15)</f>
        <v>1282308.6467077711</v>
      </c>
      <c r="N15" s="100">
        <f t="shared" ref="N15" si="34">M15/F15</f>
        <v>0.15530516802018571</v>
      </c>
      <c r="O15" s="233">
        <v>194162.27292080858</v>
      </c>
      <c r="P15" s="100">
        <f t="shared" ref="P15" si="35">O15/F15</f>
        <v>2.3515714798123248E-2</v>
      </c>
      <c r="Q15" s="233"/>
      <c r="R15" s="100">
        <f t="shared" ref="R15" si="36">Q15/$F15</f>
        <v>0</v>
      </c>
      <c r="S15" s="226">
        <f t="shared" ref="S15" si="37">SUM(O15+Q15)</f>
        <v>194162.27292080858</v>
      </c>
      <c r="T15" s="100">
        <f t="shared" ref="T15" si="38">S15/F15</f>
        <v>2.3515714798123248E-2</v>
      </c>
      <c r="U15" s="233">
        <v>950293.12553100707</v>
      </c>
      <c r="V15" s="100">
        <f t="shared" ref="V15" si="39">U15/F15</f>
        <v>0.11509353376656606</v>
      </c>
      <c r="W15" s="233">
        <v>83443.375125266728</v>
      </c>
      <c r="X15" s="100">
        <f t="shared" ref="X15" si="40">W15/F15</f>
        <v>1.0106137416504717E-2</v>
      </c>
      <c r="Y15" s="233">
        <v>612187.82608543069</v>
      </c>
      <c r="Z15" s="100">
        <f t="shared" si="24"/>
        <v>7.4144343824094294E-2</v>
      </c>
      <c r="AA15" s="233">
        <v>1254469.3739935244</v>
      </c>
      <c r="AB15" s="100">
        <f t="shared" si="25"/>
        <v>0.1519334501911386</v>
      </c>
      <c r="AC15" s="226">
        <f t="shared" si="26"/>
        <v>1866657.2000789549</v>
      </c>
      <c r="AD15" s="100">
        <f t="shared" si="27"/>
        <v>0.22607779401523287</v>
      </c>
      <c r="AE15" s="233">
        <v>1285350.8860341609</v>
      </c>
      <c r="AF15" s="100">
        <f t="shared" si="28"/>
        <v>0.15567362493651052</v>
      </c>
      <c r="AG15" s="233">
        <v>707772.27371299767</v>
      </c>
      <c r="AH15" s="100">
        <f t="shared" si="29"/>
        <v>8.5720931673695641E-2</v>
      </c>
      <c r="AI15" s="233">
        <v>1153388.7714975856</v>
      </c>
      <c r="AJ15" s="100">
        <f t="shared" si="30"/>
        <v>0.13969120258989404</v>
      </c>
      <c r="AK15" s="233">
        <v>733326.44839144626</v>
      </c>
      <c r="AL15" s="100">
        <f t="shared" ref="AL15" si="41">AK15/F15</f>
        <v>8.8815892783287276E-2</v>
      </c>
    </row>
    <row r="16" spans="1:38" ht="14.25">
      <c r="B16" s="97"/>
      <c r="C16" s="97"/>
      <c r="D16" s="355">
        <f t="shared" si="20"/>
        <v>46240</v>
      </c>
      <c r="E16" s="355" t="s">
        <v>448</v>
      </c>
      <c r="F16" s="227">
        <f t="shared" si="19"/>
        <v>7670457</v>
      </c>
      <c r="G16" s="297"/>
      <c r="H16" s="316"/>
      <c r="I16" s="233">
        <v>516189.6481646793</v>
      </c>
      <c r="J16" s="100">
        <f t="shared" ref="J16:J41" si="42">I16/F16</f>
        <v>6.7295814077919902E-2</v>
      </c>
      <c r="K16" s="233">
        <v>687548.99250209238</v>
      </c>
      <c r="L16" s="100">
        <f t="shared" ref="L16:L41" si="43">K16/F16</f>
        <v>8.963598811675659E-2</v>
      </c>
      <c r="M16" s="226">
        <f t="shared" ref="M16:M41" si="44">SUM(I16+K16)</f>
        <v>1203738.6406667717</v>
      </c>
      <c r="N16" s="100">
        <f t="shared" ref="N16:N41" si="45">M16/F16</f>
        <v>0.15693180219467651</v>
      </c>
      <c r="O16" s="233">
        <v>180588.10167573666</v>
      </c>
      <c r="P16" s="100">
        <f t="shared" ref="P16:P41" si="46">O16/F16</f>
        <v>2.3543330166082236E-2</v>
      </c>
      <c r="Q16" s="233"/>
      <c r="R16" s="100">
        <f t="shared" ref="R16:R49" si="47">Q16/$F16</f>
        <v>0</v>
      </c>
      <c r="S16" s="226">
        <f t="shared" ref="S16:S49" si="48">SUM(O16+Q16)</f>
        <v>180588.10167573666</v>
      </c>
      <c r="T16" s="100">
        <f t="shared" ref="T16:T41" si="49">S16/F16</f>
        <v>2.3543330166082236E-2</v>
      </c>
      <c r="U16" s="233">
        <v>816108.9285928699</v>
      </c>
      <c r="V16" s="100">
        <f t="shared" ref="V16:V41" si="50">U16/F16</f>
        <v>0.10639638923637404</v>
      </c>
      <c r="W16" s="233">
        <v>80663.842454268277</v>
      </c>
      <c r="X16" s="100">
        <f t="shared" ref="X16:X41" si="51">W16/F16</f>
        <v>1.0516171651085232E-2</v>
      </c>
      <c r="Y16" s="233">
        <v>665517.29940751067</v>
      </c>
      <c r="Z16" s="100">
        <f t="shared" si="24"/>
        <v>8.6763709047258941E-2</v>
      </c>
      <c r="AA16" s="233">
        <v>1003844.2786868516</v>
      </c>
      <c r="AB16" s="100">
        <f t="shared" si="25"/>
        <v>0.13087150852769941</v>
      </c>
      <c r="AC16" s="226">
        <f t="shared" si="26"/>
        <v>1669361.5780943623</v>
      </c>
      <c r="AD16" s="100">
        <f t="shared" si="27"/>
        <v>0.21763521757495835</v>
      </c>
      <c r="AE16" s="233">
        <v>1225682.113112757</v>
      </c>
      <c r="AF16" s="100">
        <f t="shared" si="28"/>
        <v>0.15979257990922274</v>
      </c>
      <c r="AG16" s="233">
        <v>678802.89682138746</v>
      </c>
      <c r="AH16" s="100">
        <f t="shared" si="29"/>
        <v>8.8495756748442428E-2</v>
      </c>
      <c r="AI16" s="233">
        <v>1098123.7726116753</v>
      </c>
      <c r="AJ16" s="100">
        <f t="shared" si="30"/>
        <v>0.1431627571358102</v>
      </c>
      <c r="AK16" s="233">
        <v>717387.12597017165</v>
      </c>
      <c r="AL16" s="100">
        <f t="shared" ref="AL16:AL41" si="52">AK16/F16</f>
        <v>9.3525995383348298E-2</v>
      </c>
    </row>
    <row r="17" spans="2:38" ht="14.25">
      <c r="B17" s="97"/>
      <c r="C17" s="97"/>
      <c r="D17" s="355">
        <f t="shared" si="20"/>
        <v>46241</v>
      </c>
      <c r="E17" s="355" t="s">
        <v>449</v>
      </c>
      <c r="F17" s="227">
        <f t="shared" si="19"/>
        <v>6794244</v>
      </c>
      <c r="G17" s="297"/>
      <c r="H17" s="316"/>
      <c r="I17" s="233">
        <v>453906.03461421304</v>
      </c>
      <c r="J17" s="100">
        <f t="shared" si="42"/>
        <v>6.6807437974587464E-2</v>
      </c>
      <c r="K17" s="233">
        <v>650654.82504124625</v>
      </c>
      <c r="L17" s="100">
        <f t="shared" si="43"/>
        <v>9.5765595854556629E-2</v>
      </c>
      <c r="M17" s="226">
        <f t="shared" si="44"/>
        <v>1104560.8596554594</v>
      </c>
      <c r="N17" s="100">
        <f t="shared" si="45"/>
        <v>0.16257303382914412</v>
      </c>
      <c r="O17" s="233">
        <v>153605.82815790051</v>
      </c>
      <c r="P17" s="100">
        <f t="shared" si="46"/>
        <v>2.2608229577551309E-2</v>
      </c>
      <c r="Q17" s="233"/>
      <c r="R17" s="100">
        <f t="shared" si="47"/>
        <v>0</v>
      </c>
      <c r="S17" s="226">
        <f t="shared" si="48"/>
        <v>153605.82815790051</v>
      </c>
      <c r="T17" s="100">
        <f t="shared" si="49"/>
        <v>2.2608229577551309E-2</v>
      </c>
      <c r="U17" s="233">
        <v>727488.14641330577</v>
      </c>
      <c r="V17" s="100">
        <f t="shared" si="50"/>
        <v>0.10707418609241967</v>
      </c>
      <c r="W17" s="233">
        <v>59124.666526200075</v>
      </c>
      <c r="X17" s="100">
        <f t="shared" si="51"/>
        <v>8.7021700318975995E-3</v>
      </c>
      <c r="Y17" s="233">
        <v>577789.28891963279</v>
      </c>
      <c r="Z17" s="100">
        <f>Y17/F17</f>
        <v>8.5040997779831401E-2</v>
      </c>
      <c r="AA17" s="233">
        <v>1007153.2314657354</v>
      </c>
      <c r="AB17" s="100">
        <f t="shared" si="25"/>
        <v>0.14823624695635532</v>
      </c>
      <c r="AC17" s="226">
        <f>SUM(Y17+AA17)</f>
        <v>1584942.5203853683</v>
      </c>
      <c r="AD17" s="100">
        <f>AC17/F17</f>
        <v>0.23327724473618672</v>
      </c>
      <c r="AE17" s="233">
        <v>962068.6507382011</v>
      </c>
      <c r="AF17" s="100">
        <f>AE17/F17</f>
        <v>0.14160054462839444</v>
      </c>
      <c r="AG17" s="233">
        <v>565287.88277340017</v>
      </c>
      <c r="AH17" s="100">
        <f>AG17/F17</f>
        <v>8.3200998193971268E-2</v>
      </c>
      <c r="AI17" s="233">
        <v>1058744.7958752231</v>
      </c>
      <c r="AJ17" s="100">
        <f>AI17/F17</f>
        <v>0.15582966933116077</v>
      </c>
      <c r="AK17" s="233">
        <v>578420.64947494084</v>
      </c>
      <c r="AL17" s="100">
        <f t="shared" si="52"/>
        <v>8.513392357927399E-2</v>
      </c>
    </row>
    <row r="18" spans="2:38" ht="14.25">
      <c r="B18" s="97"/>
      <c r="C18" s="97"/>
      <c r="D18" s="355">
        <f t="shared" si="20"/>
        <v>46242</v>
      </c>
      <c r="E18" s="355" t="s">
        <v>450</v>
      </c>
      <c r="F18" s="227">
        <f t="shared" si="19"/>
        <v>7244290</v>
      </c>
      <c r="G18" s="297"/>
      <c r="H18" s="316"/>
      <c r="I18" s="233">
        <v>420799.90393474052</v>
      </c>
      <c r="J18" s="100">
        <f t="shared" si="42"/>
        <v>5.808711467027694E-2</v>
      </c>
      <c r="K18" s="233">
        <v>712217.2241268981</v>
      </c>
      <c r="L18" s="100">
        <f t="shared" si="43"/>
        <v>9.8314289478595981E-2</v>
      </c>
      <c r="M18" s="226">
        <f t="shared" si="44"/>
        <v>1133017.1280616387</v>
      </c>
      <c r="N18" s="100">
        <f t="shared" si="45"/>
        <v>0.15640140414887294</v>
      </c>
      <c r="O18" s="233">
        <v>144300.97533240216</v>
      </c>
      <c r="P18" s="100">
        <f t="shared" si="46"/>
        <v>1.9919270947518965E-2</v>
      </c>
      <c r="Q18" s="233"/>
      <c r="R18" s="100">
        <f t="shared" si="47"/>
        <v>0</v>
      </c>
      <c r="S18" s="226">
        <f t="shared" si="48"/>
        <v>144300.97533240216</v>
      </c>
      <c r="T18" s="100">
        <f t="shared" si="49"/>
        <v>1.9919270947518965E-2</v>
      </c>
      <c r="U18" s="233">
        <v>805649.38439046394</v>
      </c>
      <c r="V18" s="100">
        <f t="shared" si="50"/>
        <v>0.11121164177448224</v>
      </c>
      <c r="W18" s="233">
        <v>55255.722852396262</v>
      </c>
      <c r="X18" s="100">
        <f t="shared" si="51"/>
        <v>7.6274863171402942E-3</v>
      </c>
      <c r="Y18" s="233">
        <v>605343.31688375189</v>
      </c>
      <c r="Z18" s="100">
        <f t="shared" ref="Z18:Z40" si="53">Y18/F18</f>
        <v>8.3561441753954066E-2</v>
      </c>
      <c r="AA18" s="233">
        <v>1176136.4076813832</v>
      </c>
      <c r="AB18" s="100">
        <f t="shared" si="25"/>
        <v>0.16235357884366627</v>
      </c>
      <c r="AC18" s="226">
        <f t="shared" ref="AC18:AC40" si="54">SUM(Y18+AA18)</f>
        <v>1781479.7245651351</v>
      </c>
      <c r="AD18" s="100">
        <f t="shared" ref="AD18:AD40" si="55">AC18/F18</f>
        <v>0.24591502059762035</v>
      </c>
      <c r="AE18" s="233">
        <v>1048789.5288575522</v>
      </c>
      <c r="AF18" s="100">
        <f t="shared" ref="AF18:AF40" si="56">AE18/F18</f>
        <v>0.14477464718523861</v>
      </c>
      <c r="AG18" s="233">
        <v>590495.694705865</v>
      </c>
      <c r="AH18" s="100">
        <f t="shared" ref="AH18:AH40" si="57">AG18/F18</f>
        <v>8.1511879660514E-2</v>
      </c>
      <c r="AI18" s="233">
        <v>1103880.7103214585</v>
      </c>
      <c r="AJ18" s="100">
        <f t="shared" ref="AJ18:AJ40" si="58">AI18/F18</f>
        <v>0.1523794202498048</v>
      </c>
      <c r="AK18" s="233">
        <v>581421.13091308763</v>
      </c>
      <c r="AL18" s="100">
        <f t="shared" si="52"/>
        <v>8.0259229118807729E-2</v>
      </c>
    </row>
    <row r="19" spans="2:38" ht="14.25">
      <c r="B19" s="97"/>
      <c r="C19" s="97"/>
      <c r="D19" s="355">
        <f t="shared" si="20"/>
        <v>46243</v>
      </c>
      <c r="E19" s="355" t="s">
        <v>451</v>
      </c>
      <c r="F19" s="227">
        <f t="shared" si="19"/>
        <v>8720178</v>
      </c>
      <c r="G19" s="86"/>
      <c r="H19" s="316"/>
      <c r="I19" s="233">
        <v>526532.72721754736</v>
      </c>
      <c r="J19" s="100">
        <f t="shared" si="42"/>
        <v>6.0380960941112366E-2</v>
      </c>
      <c r="K19" s="233">
        <v>778285.1398201721</v>
      </c>
      <c r="L19" s="100">
        <f t="shared" si="43"/>
        <v>8.9251061138909335E-2</v>
      </c>
      <c r="M19" s="226">
        <f t="shared" si="44"/>
        <v>1304817.8670377196</v>
      </c>
      <c r="N19" s="100">
        <f t="shared" si="45"/>
        <v>0.14963202208002171</v>
      </c>
      <c r="O19" s="233">
        <v>184266.70590754595</v>
      </c>
      <c r="P19" s="100">
        <f t="shared" si="46"/>
        <v>2.1131071625779423E-2</v>
      </c>
      <c r="Q19" s="233"/>
      <c r="R19" s="100">
        <f t="shared" si="47"/>
        <v>0</v>
      </c>
      <c r="S19" s="226">
        <f t="shared" si="48"/>
        <v>184266.70590754595</v>
      </c>
      <c r="T19" s="100">
        <f t="shared" si="49"/>
        <v>2.1131071625779423E-2</v>
      </c>
      <c r="U19" s="233">
        <v>1035565.5220102324</v>
      </c>
      <c r="V19" s="100">
        <f t="shared" si="50"/>
        <v>0.1187550898628712</v>
      </c>
      <c r="W19" s="233">
        <v>79809.967265985382</v>
      </c>
      <c r="X19" s="100">
        <f t="shared" si="51"/>
        <v>9.1523323567460867E-3</v>
      </c>
      <c r="Y19" s="233">
        <v>744424.81460632733</v>
      </c>
      <c r="Z19" s="100">
        <f t="shared" si="53"/>
        <v>8.5368075583586403E-2</v>
      </c>
      <c r="AA19" s="233">
        <v>1306272.4675703112</v>
      </c>
      <c r="AB19" s="100">
        <f t="shared" si="25"/>
        <v>0.14979883066266667</v>
      </c>
      <c r="AC19" s="226">
        <f t="shared" si="54"/>
        <v>2050697.2821766385</v>
      </c>
      <c r="AD19" s="100">
        <f t="shared" si="55"/>
        <v>0.23516690624625305</v>
      </c>
      <c r="AE19" s="233">
        <v>1422385.0234778288</v>
      </c>
      <c r="AF19" s="100">
        <f t="shared" si="56"/>
        <v>0.16311421893885983</v>
      </c>
      <c r="AG19" s="233">
        <v>759621.13979889033</v>
      </c>
      <c r="AH19" s="100">
        <f t="shared" si="57"/>
        <v>8.7110737854077094E-2</v>
      </c>
      <c r="AI19" s="233">
        <v>1155854.4846003794</v>
      </c>
      <c r="AJ19" s="100">
        <f t="shared" si="58"/>
        <v>0.13254941408310467</v>
      </c>
      <c r="AK19" s="233">
        <v>727160.00772477989</v>
      </c>
      <c r="AL19" s="100">
        <f t="shared" si="52"/>
        <v>8.3388206952286964E-2</v>
      </c>
    </row>
    <row r="20" spans="2:38" ht="14.25">
      <c r="B20" s="97"/>
      <c r="C20" s="97"/>
      <c r="D20" s="355">
        <f t="shared" si="20"/>
        <v>46244</v>
      </c>
      <c r="E20" s="355" t="s">
        <v>445</v>
      </c>
      <c r="F20" s="227">
        <f t="shared" si="19"/>
        <v>8645276</v>
      </c>
      <c r="G20" s="297"/>
      <c r="H20" s="316"/>
      <c r="I20" s="233">
        <v>511268.50151495205</v>
      </c>
      <c r="J20" s="100">
        <f t="shared" si="42"/>
        <v>5.9138482278061691E-2</v>
      </c>
      <c r="K20" s="233">
        <v>765064.9483811378</v>
      </c>
      <c r="L20" s="100">
        <f t="shared" si="43"/>
        <v>8.8495144444334428E-2</v>
      </c>
      <c r="M20" s="226">
        <f t="shared" si="44"/>
        <v>1276333.4498960897</v>
      </c>
      <c r="N20" s="100">
        <f t="shared" si="45"/>
        <v>0.14763362672239611</v>
      </c>
      <c r="O20" s="233">
        <v>195267.34247807911</v>
      </c>
      <c r="P20" s="100">
        <f t="shared" si="46"/>
        <v>2.2586594398846156E-2</v>
      </c>
      <c r="Q20" s="233"/>
      <c r="R20" s="100">
        <f t="shared" si="47"/>
        <v>0</v>
      </c>
      <c r="S20" s="226">
        <f t="shared" si="48"/>
        <v>195267.34247807911</v>
      </c>
      <c r="T20" s="100">
        <f t="shared" si="49"/>
        <v>2.2586594398846156E-2</v>
      </c>
      <c r="U20" s="233">
        <v>1004339.0058978533</v>
      </c>
      <c r="V20" s="100">
        <f t="shared" si="50"/>
        <v>0.11617200028059871</v>
      </c>
      <c r="W20" s="233">
        <v>98833.289319224001</v>
      </c>
      <c r="X20" s="100">
        <f t="shared" si="51"/>
        <v>1.143205715112207E-2</v>
      </c>
      <c r="Y20" s="233">
        <v>775848.31227398617</v>
      </c>
      <c r="Z20" s="100">
        <f t="shared" si="53"/>
        <v>8.9742457299684386E-2</v>
      </c>
      <c r="AA20" s="233">
        <v>1231303.999117058</v>
      </c>
      <c r="AB20" s="100">
        <f t="shared" si="25"/>
        <v>0.14242506533244953</v>
      </c>
      <c r="AC20" s="226">
        <f t="shared" si="54"/>
        <v>2007152.3113910442</v>
      </c>
      <c r="AD20" s="100">
        <f t="shared" si="55"/>
        <v>0.23216752263213392</v>
      </c>
      <c r="AE20" s="233">
        <v>1428251.77027201</v>
      </c>
      <c r="AF20" s="100">
        <f t="shared" si="56"/>
        <v>0.16520603509616236</v>
      </c>
      <c r="AG20" s="233">
        <v>791906.56430491339</v>
      </c>
      <c r="AH20" s="100">
        <f t="shared" si="57"/>
        <v>9.1599917030400574E-2</v>
      </c>
      <c r="AI20" s="233">
        <v>1027110.4209871214</v>
      </c>
      <c r="AJ20" s="100">
        <f t="shared" si="58"/>
        <v>0.11880597230060919</v>
      </c>
      <c r="AK20" s="233">
        <v>816081.84545366431</v>
      </c>
      <c r="AL20" s="100">
        <f t="shared" si="52"/>
        <v>9.4396274387730864E-2</v>
      </c>
    </row>
    <row r="21" spans="2:38" ht="14.25">
      <c r="B21" s="97"/>
      <c r="C21" s="97"/>
      <c r="D21" s="299">
        <f t="shared" si="20"/>
        <v>46245</v>
      </c>
      <c r="E21" s="299" t="s">
        <v>446</v>
      </c>
      <c r="F21" s="227">
        <f t="shared" si="19"/>
        <v>8196584.9999999991</v>
      </c>
      <c r="G21" s="297">
        <f>SUM(F21:F27)</f>
        <v>54050197</v>
      </c>
      <c r="H21" s="316"/>
      <c r="I21" s="233">
        <v>557185.20641930855</v>
      </c>
      <c r="J21" s="100">
        <f t="shared" si="42"/>
        <v>6.7977725652733259E-2</v>
      </c>
      <c r="K21" s="233">
        <v>742104.81081139226</v>
      </c>
      <c r="L21" s="100">
        <f t="shared" si="43"/>
        <v>9.053829257079532E-2</v>
      </c>
      <c r="M21" s="226">
        <f t="shared" si="44"/>
        <v>1299290.0172307007</v>
      </c>
      <c r="N21" s="100">
        <f t="shared" si="45"/>
        <v>0.15851601822352857</v>
      </c>
      <c r="O21" s="233">
        <v>169721.32556733867</v>
      </c>
      <c r="P21" s="100">
        <f t="shared" si="46"/>
        <v>2.0706346065750395E-2</v>
      </c>
      <c r="Q21" s="233"/>
      <c r="R21" s="100">
        <f t="shared" si="47"/>
        <v>0</v>
      </c>
      <c r="S21" s="226">
        <f t="shared" si="48"/>
        <v>169721.32556733867</v>
      </c>
      <c r="T21" s="100">
        <f t="shared" si="49"/>
        <v>2.0706346065750395E-2</v>
      </c>
      <c r="U21" s="233">
        <v>922937.10214208532</v>
      </c>
      <c r="V21" s="100">
        <f t="shared" si="50"/>
        <v>0.11260019900264384</v>
      </c>
      <c r="W21" s="233">
        <v>77241.521521278817</v>
      </c>
      <c r="X21" s="100">
        <f t="shared" si="51"/>
        <v>9.4236223404355387E-3</v>
      </c>
      <c r="Y21" s="233">
        <v>729282.77016326226</v>
      </c>
      <c r="Z21" s="100">
        <f t="shared" si="53"/>
        <v>8.8973977597165452E-2</v>
      </c>
      <c r="AA21" s="233">
        <v>1231969.0766038878</v>
      </c>
      <c r="AB21" s="100">
        <f t="shared" si="25"/>
        <v>0.15030272688002236</v>
      </c>
      <c r="AC21" s="226">
        <f t="shared" si="54"/>
        <v>1961251.8467671501</v>
      </c>
      <c r="AD21" s="100">
        <f t="shared" si="55"/>
        <v>0.2392767044771878</v>
      </c>
      <c r="AE21" s="233">
        <v>1324889.3211907241</v>
      </c>
      <c r="AF21" s="100">
        <f t="shared" si="56"/>
        <v>0.16163918524491899</v>
      </c>
      <c r="AG21" s="233">
        <v>856819.68502538558</v>
      </c>
      <c r="AH21" s="100">
        <f t="shared" si="57"/>
        <v>0.10453373996919274</v>
      </c>
      <c r="AI21" s="233">
        <v>892612.17486687971</v>
      </c>
      <c r="AJ21" s="100">
        <f t="shared" si="58"/>
        <v>0.10890049634901362</v>
      </c>
      <c r="AK21" s="233">
        <v>691822.00568845647</v>
      </c>
      <c r="AL21" s="100">
        <f t="shared" si="52"/>
        <v>8.4403688327328585E-2</v>
      </c>
    </row>
    <row r="22" spans="2:38" ht="14.25">
      <c r="B22" s="97"/>
      <c r="C22" s="97"/>
      <c r="D22" s="299">
        <f t="shared" si="20"/>
        <v>46246</v>
      </c>
      <c r="E22" s="299" t="s">
        <v>447</v>
      </c>
      <c r="F22" s="227">
        <f t="shared" si="19"/>
        <v>7757224.9999999991</v>
      </c>
      <c r="G22" s="297"/>
      <c r="H22" s="316"/>
      <c r="I22" s="233">
        <v>525334.61148734402</v>
      </c>
      <c r="J22" s="100">
        <f t="shared" si="42"/>
        <v>6.7721976800639933E-2</v>
      </c>
      <c r="K22" s="233">
        <v>728093.82226509927</v>
      </c>
      <c r="L22" s="100">
        <f t="shared" si="43"/>
        <v>9.3860088145580334E-2</v>
      </c>
      <c r="M22" s="226">
        <f t="shared" si="44"/>
        <v>1253428.4337524432</v>
      </c>
      <c r="N22" s="100">
        <f t="shared" si="45"/>
        <v>0.16158206494622024</v>
      </c>
      <c r="O22" s="233">
        <v>169063.72538134531</v>
      </c>
      <c r="P22" s="100">
        <f t="shared" si="46"/>
        <v>2.1794356278352803E-2</v>
      </c>
      <c r="Q22" s="233"/>
      <c r="R22" s="100">
        <f t="shared" si="47"/>
        <v>0</v>
      </c>
      <c r="S22" s="226">
        <f t="shared" si="48"/>
        <v>169063.72538134531</v>
      </c>
      <c r="T22" s="100">
        <f t="shared" si="49"/>
        <v>2.1794356278352803E-2</v>
      </c>
      <c r="U22" s="233">
        <v>911226.31124357763</v>
      </c>
      <c r="V22" s="100">
        <f t="shared" si="50"/>
        <v>0.11746807798453412</v>
      </c>
      <c r="W22" s="233">
        <v>71585.419175926931</v>
      </c>
      <c r="X22" s="100">
        <f t="shared" si="51"/>
        <v>9.2282251934070417E-3</v>
      </c>
      <c r="Y22" s="233">
        <v>695821.01396516198</v>
      </c>
      <c r="Z22" s="100">
        <f t="shared" si="53"/>
        <v>8.9699733340874097E-2</v>
      </c>
      <c r="AA22" s="233">
        <v>1158049.3965381293</v>
      </c>
      <c r="AB22" s="100">
        <f t="shared" si="25"/>
        <v>0.14928655499075114</v>
      </c>
      <c r="AC22" s="226">
        <f t="shared" si="54"/>
        <v>1853870.4105032913</v>
      </c>
      <c r="AD22" s="100">
        <f t="shared" si="55"/>
        <v>0.23898628833162522</v>
      </c>
      <c r="AE22" s="233">
        <v>1232264.7946152694</v>
      </c>
      <c r="AF22" s="100">
        <f t="shared" si="56"/>
        <v>0.15885381623135458</v>
      </c>
      <c r="AG22" s="233">
        <v>670660.37522295036</v>
      </c>
      <c r="AH22" s="100">
        <f t="shared" si="57"/>
        <v>8.6456223098202056E-2</v>
      </c>
      <c r="AI22" s="233">
        <v>922022.87242667668</v>
      </c>
      <c r="AJ22" s="100">
        <f t="shared" si="58"/>
        <v>0.1188598851298856</v>
      </c>
      <c r="AK22" s="233">
        <v>673102.65767851868</v>
      </c>
      <c r="AL22" s="100">
        <f t="shared" si="52"/>
        <v>8.6771062806418373E-2</v>
      </c>
    </row>
    <row r="23" spans="2:38" ht="14.25">
      <c r="B23" s="97"/>
      <c r="C23" s="97"/>
      <c r="D23" s="299">
        <f t="shared" si="20"/>
        <v>46247</v>
      </c>
      <c r="E23" s="299" t="s">
        <v>448</v>
      </c>
      <c r="F23" s="227">
        <f t="shared" si="19"/>
        <v>7394587</v>
      </c>
      <c r="G23" s="86"/>
      <c r="H23" s="316"/>
      <c r="I23" s="233">
        <v>515539.28404717165</v>
      </c>
      <c r="J23" s="100">
        <f t="shared" si="42"/>
        <v>6.9718468935069888E-2</v>
      </c>
      <c r="K23" s="233">
        <v>676173.37644772325</v>
      </c>
      <c r="L23" s="100">
        <f t="shared" si="43"/>
        <v>9.1441668946179583E-2</v>
      </c>
      <c r="M23" s="226">
        <f t="shared" si="44"/>
        <v>1191712.660494895</v>
      </c>
      <c r="N23" s="100">
        <f t="shared" si="45"/>
        <v>0.16116013788124947</v>
      </c>
      <c r="O23" s="233">
        <v>164786.80814199598</v>
      </c>
      <c r="P23" s="100">
        <f t="shared" si="46"/>
        <v>2.2284788608477522E-2</v>
      </c>
      <c r="Q23" s="233"/>
      <c r="R23" s="100">
        <f t="shared" si="47"/>
        <v>0</v>
      </c>
      <c r="S23" s="226">
        <f t="shared" si="48"/>
        <v>164786.80814199598</v>
      </c>
      <c r="T23" s="100">
        <f t="shared" si="49"/>
        <v>2.2284788608477522E-2</v>
      </c>
      <c r="U23" s="233">
        <v>866438.88895211648</v>
      </c>
      <c r="V23" s="100">
        <f t="shared" si="50"/>
        <v>0.11717204611320639</v>
      </c>
      <c r="W23" s="233">
        <v>73722.284168142185</v>
      </c>
      <c r="X23" s="100">
        <f t="shared" si="51"/>
        <v>9.9697635808655965E-3</v>
      </c>
      <c r="Y23" s="233">
        <v>666400.4649100902</v>
      </c>
      <c r="Z23" s="100">
        <f t="shared" si="53"/>
        <v>9.0120038470044406E-2</v>
      </c>
      <c r="AA23" s="233">
        <v>943755.81161458418</v>
      </c>
      <c r="AB23" s="100">
        <f t="shared" si="25"/>
        <v>0.12762792724118119</v>
      </c>
      <c r="AC23" s="226">
        <f t="shared" si="54"/>
        <v>1610156.2765246744</v>
      </c>
      <c r="AD23" s="100">
        <f t="shared" si="55"/>
        <v>0.21774796571122557</v>
      </c>
      <c r="AE23" s="233">
        <v>1210510.6066866615</v>
      </c>
      <c r="AF23" s="100">
        <f t="shared" si="56"/>
        <v>0.16370226040841246</v>
      </c>
      <c r="AG23" s="233">
        <v>640668.32201642182</v>
      </c>
      <c r="AH23" s="100">
        <f t="shared" si="57"/>
        <v>8.6640176390706036E-2</v>
      </c>
      <c r="AI23" s="233">
        <v>967633.60689631163</v>
      </c>
      <c r="AJ23" s="100">
        <f t="shared" si="58"/>
        <v>0.13085701836983074</v>
      </c>
      <c r="AK23" s="233">
        <v>668957.54611878027</v>
      </c>
      <c r="AL23" s="100">
        <f t="shared" si="52"/>
        <v>9.0465842936026081E-2</v>
      </c>
    </row>
    <row r="24" spans="2:38" ht="14.25">
      <c r="B24" s="97"/>
      <c r="C24" s="97"/>
      <c r="D24" s="299">
        <f t="shared" si="20"/>
        <v>46248</v>
      </c>
      <c r="E24" s="299" t="s">
        <v>449</v>
      </c>
      <c r="F24" s="227">
        <f t="shared" si="19"/>
        <v>6557541.9999999981</v>
      </c>
      <c r="G24" s="297"/>
      <c r="H24" s="316"/>
      <c r="I24" s="233">
        <v>468721.6584029395</v>
      </c>
      <c r="J24" s="100">
        <f t="shared" si="42"/>
        <v>7.1478254870947014E-2</v>
      </c>
      <c r="K24" s="233">
        <v>636186.53413476073</v>
      </c>
      <c r="L24" s="100">
        <f t="shared" si="43"/>
        <v>9.7016006017919654E-2</v>
      </c>
      <c r="M24" s="226">
        <f t="shared" si="44"/>
        <v>1104908.1925377003</v>
      </c>
      <c r="N24" s="100">
        <f t="shared" si="45"/>
        <v>0.16849426088886668</v>
      </c>
      <c r="O24" s="233">
        <v>140095.19560217261</v>
      </c>
      <c r="P24" s="100">
        <f t="shared" si="46"/>
        <v>2.136397991841648E-2</v>
      </c>
      <c r="Q24" s="233"/>
      <c r="R24" s="100">
        <f t="shared" si="47"/>
        <v>0</v>
      </c>
      <c r="S24" s="226">
        <f t="shared" si="48"/>
        <v>140095.19560217261</v>
      </c>
      <c r="T24" s="100">
        <f t="shared" si="49"/>
        <v>2.136397991841648E-2</v>
      </c>
      <c r="U24" s="233">
        <v>718329.74665903731</v>
      </c>
      <c r="V24" s="100">
        <f t="shared" si="50"/>
        <v>0.10954253082314036</v>
      </c>
      <c r="W24" s="233">
        <v>55745.477372133661</v>
      </c>
      <c r="X24" s="100">
        <f t="shared" si="51"/>
        <v>8.5009714573133777E-3</v>
      </c>
      <c r="Y24" s="233">
        <v>594916.15721399791</v>
      </c>
      <c r="Z24" s="100">
        <f t="shared" si="53"/>
        <v>9.0722431852361465E-2</v>
      </c>
      <c r="AA24" s="233">
        <v>963259.44859425258</v>
      </c>
      <c r="AB24" s="100">
        <f t="shared" si="25"/>
        <v>0.1468933708078809</v>
      </c>
      <c r="AC24" s="226">
        <f t="shared" si="54"/>
        <v>1558175.6058082506</v>
      </c>
      <c r="AD24" s="100">
        <f t="shared" si="55"/>
        <v>0.23761580266024238</v>
      </c>
      <c r="AE24" s="233">
        <v>996204.05749167071</v>
      </c>
      <c r="AF24" s="100">
        <f t="shared" si="56"/>
        <v>0.15191729728786654</v>
      </c>
      <c r="AG24" s="233">
        <v>549036.55130994634</v>
      </c>
      <c r="AH24" s="100">
        <f t="shared" si="57"/>
        <v>8.3725967948043115E-2</v>
      </c>
      <c r="AI24" s="233">
        <v>891540.88786599529</v>
      </c>
      <c r="AJ24" s="100">
        <f t="shared" si="58"/>
        <v>0.13595656541216139</v>
      </c>
      <c r="AK24" s="233">
        <v>543506.28535309283</v>
      </c>
      <c r="AL24" s="100">
        <f t="shared" si="52"/>
        <v>8.288262360394992E-2</v>
      </c>
    </row>
    <row r="25" spans="2:38" ht="14.25">
      <c r="B25" s="97"/>
      <c r="C25" s="97"/>
      <c r="D25" s="299">
        <f t="shared" si="20"/>
        <v>46249</v>
      </c>
      <c r="E25" s="299" t="s">
        <v>450</v>
      </c>
      <c r="F25" s="227">
        <f t="shared" si="19"/>
        <v>7004503.0000000009</v>
      </c>
      <c r="G25" s="297"/>
      <c r="H25" s="316"/>
      <c r="I25" s="233">
        <v>441980.58236706938</v>
      </c>
      <c r="J25" s="100">
        <f t="shared" si="42"/>
        <v>6.3099492193388923E-2</v>
      </c>
      <c r="K25" s="233">
        <v>703452.40454097779</v>
      </c>
      <c r="L25" s="100">
        <f t="shared" si="43"/>
        <v>0.10042859636736221</v>
      </c>
      <c r="M25" s="226">
        <f t="shared" si="44"/>
        <v>1145432.9869080472</v>
      </c>
      <c r="N25" s="100">
        <f t="shared" si="45"/>
        <v>0.16352808856075116</v>
      </c>
      <c r="O25" s="233">
        <v>135119.46347130224</v>
      </c>
      <c r="P25" s="100">
        <f t="shared" si="46"/>
        <v>1.9290371275635435E-2</v>
      </c>
      <c r="Q25" s="233"/>
      <c r="R25" s="100">
        <f t="shared" si="47"/>
        <v>0</v>
      </c>
      <c r="S25" s="226">
        <f t="shared" si="48"/>
        <v>135119.46347130224</v>
      </c>
      <c r="T25" s="100">
        <f t="shared" si="49"/>
        <v>1.9290371275635435E-2</v>
      </c>
      <c r="U25" s="233">
        <v>790959.07407403842</v>
      </c>
      <c r="V25" s="100">
        <f t="shared" si="50"/>
        <v>0.1129215126432294</v>
      </c>
      <c r="W25" s="233">
        <v>58693.802781590588</v>
      </c>
      <c r="X25" s="100">
        <f t="shared" si="51"/>
        <v>8.3794385956563345E-3</v>
      </c>
      <c r="Y25" s="233">
        <v>614878.72480112314</v>
      </c>
      <c r="Z25" s="100">
        <f t="shared" si="53"/>
        <v>8.7783348054975924E-2</v>
      </c>
      <c r="AA25" s="233">
        <v>1150443.4807281184</v>
      </c>
      <c r="AB25" s="100">
        <f t="shared" si="25"/>
        <v>0.16424341323404648</v>
      </c>
      <c r="AC25" s="226">
        <f t="shared" si="54"/>
        <v>1765322.2055292416</v>
      </c>
      <c r="AD25" s="100">
        <f t="shared" si="55"/>
        <v>0.25202676128902241</v>
      </c>
      <c r="AE25" s="233">
        <v>1052066.482686939</v>
      </c>
      <c r="AF25" s="100">
        <f t="shared" si="56"/>
        <v>0.15019859120439222</v>
      </c>
      <c r="AG25" s="233">
        <v>586660.11842243199</v>
      </c>
      <c r="AH25" s="100">
        <f t="shared" si="57"/>
        <v>8.3754710137526084E-2</v>
      </c>
      <c r="AI25" s="233">
        <v>929427.1144296017</v>
      </c>
      <c r="AJ25" s="100">
        <f t="shared" si="58"/>
        <v>0.13268994451563537</v>
      </c>
      <c r="AK25" s="233">
        <v>540821.75169680791</v>
      </c>
      <c r="AL25" s="100">
        <f t="shared" si="52"/>
        <v>7.7210581778151544E-2</v>
      </c>
    </row>
    <row r="26" spans="2:38" ht="14.25">
      <c r="B26" s="97"/>
      <c r="C26" s="97"/>
      <c r="D26" s="299">
        <f t="shared" si="20"/>
        <v>46250</v>
      </c>
      <c r="E26" s="299" t="s">
        <v>451</v>
      </c>
      <c r="F26" s="227">
        <f t="shared" si="19"/>
        <v>8582365.0000000019</v>
      </c>
      <c r="G26" s="297"/>
      <c r="H26" s="316"/>
      <c r="I26" s="233">
        <v>550139.18799292459</v>
      </c>
      <c r="J26" s="100">
        <f t="shared" si="42"/>
        <v>6.4101117581566905E-2</v>
      </c>
      <c r="K26" s="233">
        <v>769755.44039754069</v>
      </c>
      <c r="L26" s="100">
        <f t="shared" si="43"/>
        <v>8.9690363949510479E-2</v>
      </c>
      <c r="M26" s="226">
        <f t="shared" si="44"/>
        <v>1319894.6283904654</v>
      </c>
      <c r="N26" s="100">
        <f t="shared" si="45"/>
        <v>0.15379148153107741</v>
      </c>
      <c r="O26" s="233">
        <v>171720.63850093773</v>
      </c>
      <c r="P26" s="100">
        <f t="shared" si="46"/>
        <v>2.0008545255408933E-2</v>
      </c>
      <c r="Q26" s="233"/>
      <c r="R26" s="100">
        <f t="shared" si="47"/>
        <v>0</v>
      </c>
      <c r="S26" s="226">
        <f t="shared" si="48"/>
        <v>171720.63850093773</v>
      </c>
      <c r="T26" s="100">
        <f t="shared" si="49"/>
        <v>2.0008545255408933E-2</v>
      </c>
      <c r="U26" s="233">
        <v>1033310.2602237635</v>
      </c>
      <c r="V26" s="100">
        <f t="shared" si="50"/>
        <v>0.12039924429032828</v>
      </c>
      <c r="W26" s="233">
        <v>77951.360244976502</v>
      </c>
      <c r="X26" s="100">
        <f t="shared" si="51"/>
        <v>9.0827365469746957E-3</v>
      </c>
      <c r="Y26" s="233">
        <v>712557.35590041301</v>
      </c>
      <c r="Z26" s="100">
        <f t="shared" si="53"/>
        <v>8.3025757573863712E-2</v>
      </c>
      <c r="AA26" s="233">
        <v>1267305.3991041486</v>
      </c>
      <c r="AB26" s="100">
        <f t="shared" si="25"/>
        <v>0.14766388974416123</v>
      </c>
      <c r="AC26" s="226">
        <f t="shared" si="54"/>
        <v>1979862.7550045615</v>
      </c>
      <c r="AD26" s="100">
        <f t="shared" si="55"/>
        <v>0.23068964731802494</v>
      </c>
      <c r="AE26" s="233">
        <v>1427193.4180609856</v>
      </c>
      <c r="AF26" s="100">
        <f t="shared" si="56"/>
        <v>0.16629372184252073</v>
      </c>
      <c r="AG26" s="233">
        <v>894739.49376995408</v>
      </c>
      <c r="AH26" s="100">
        <f t="shared" si="57"/>
        <v>0.10425325580652348</v>
      </c>
      <c r="AI26" s="233">
        <v>986025.155975134</v>
      </c>
      <c r="AJ26" s="100">
        <f t="shared" si="58"/>
        <v>0.11488967854141997</v>
      </c>
      <c r="AK26" s="233">
        <v>691667.2898292226</v>
      </c>
      <c r="AL26" s="100">
        <f t="shared" si="52"/>
        <v>8.0591688867721473E-2</v>
      </c>
    </row>
    <row r="27" spans="2:38" ht="14.25">
      <c r="B27" s="97"/>
      <c r="C27" s="97"/>
      <c r="D27" s="299">
        <f t="shared" si="20"/>
        <v>46251</v>
      </c>
      <c r="E27" s="299" t="s">
        <v>445</v>
      </c>
      <c r="F27" s="227">
        <f t="shared" si="19"/>
        <v>8557390</v>
      </c>
      <c r="G27" s="86"/>
      <c r="H27" s="316"/>
      <c r="I27" s="233">
        <v>537063.76080893981</v>
      </c>
      <c r="J27" s="100">
        <f t="shared" si="42"/>
        <v>6.2760229557019112E-2</v>
      </c>
      <c r="K27" s="233">
        <v>758902.42583630304</v>
      </c>
      <c r="L27" s="100">
        <f t="shared" si="43"/>
        <v>8.8683865739004886E-2</v>
      </c>
      <c r="M27" s="226">
        <f t="shared" si="44"/>
        <v>1295966.1866452429</v>
      </c>
      <c r="N27" s="100">
        <f t="shared" si="45"/>
        <v>0.15144409529602401</v>
      </c>
      <c r="O27" s="233">
        <v>164541.09807623015</v>
      </c>
      <c r="P27" s="100">
        <f t="shared" si="46"/>
        <v>1.9227953625606656E-2</v>
      </c>
      <c r="Q27" s="233"/>
      <c r="R27" s="100">
        <f t="shared" si="47"/>
        <v>0</v>
      </c>
      <c r="S27" s="226">
        <f t="shared" si="48"/>
        <v>164541.09807623015</v>
      </c>
      <c r="T27" s="100">
        <f t="shared" si="49"/>
        <v>1.9227953625606656E-2</v>
      </c>
      <c r="U27" s="233">
        <v>1041791.0227992666</v>
      </c>
      <c r="V27" s="100">
        <f t="shared" si="50"/>
        <v>0.12174167857246972</v>
      </c>
      <c r="W27" s="233">
        <v>94021.10812325959</v>
      </c>
      <c r="X27" s="100">
        <f t="shared" si="51"/>
        <v>1.0987124359560519E-2</v>
      </c>
      <c r="Y27" s="233">
        <v>768376.73140133405</v>
      </c>
      <c r="Z27" s="100">
        <f t="shared" si="53"/>
        <v>8.9791014713754322E-2</v>
      </c>
      <c r="AA27" s="233">
        <v>1214032.3509089111</v>
      </c>
      <c r="AB27" s="100">
        <f t="shared" si="25"/>
        <v>0.14186946614667686</v>
      </c>
      <c r="AC27" s="226">
        <f t="shared" si="54"/>
        <v>1982409.0823102451</v>
      </c>
      <c r="AD27" s="100">
        <f t="shared" si="55"/>
        <v>0.23166048086043117</v>
      </c>
      <c r="AE27" s="233">
        <v>1428201.2362340721</v>
      </c>
      <c r="AF27" s="100">
        <f t="shared" si="56"/>
        <v>0.16689682674671508</v>
      </c>
      <c r="AG27" s="233">
        <v>838995.72215750476</v>
      </c>
      <c r="AH27" s="100">
        <f t="shared" si="57"/>
        <v>9.8043413021669551E-2</v>
      </c>
      <c r="AI27" s="233">
        <v>939490.75662817794</v>
      </c>
      <c r="AJ27" s="100">
        <f t="shared" si="58"/>
        <v>0.10978706785926293</v>
      </c>
      <c r="AK27" s="233">
        <v>771973.78702600044</v>
      </c>
      <c r="AL27" s="100">
        <f t="shared" si="52"/>
        <v>9.021135965826034E-2</v>
      </c>
    </row>
    <row r="28" spans="2:38" ht="14.25">
      <c r="B28" s="97"/>
      <c r="C28" s="97"/>
      <c r="D28" s="355">
        <f t="shared" si="20"/>
        <v>46252</v>
      </c>
      <c r="E28" s="355" t="s">
        <v>446</v>
      </c>
      <c r="F28" s="227">
        <f t="shared" si="19"/>
        <v>9261715.0000000019</v>
      </c>
      <c r="G28" s="297">
        <f>SUM(F28:F34)</f>
        <v>56328159</v>
      </c>
      <c r="H28" s="316"/>
      <c r="I28" s="233">
        <v>547672.96125097154</v>
      </c>
      <c r="J28" s="100">
        <f t="shared" si="42"/>
        <v>5.9132996561756808E-2</v>
      </c>
      <c r="K28" s="233">
        <v>760774.90233397356</v>
      </c>
      <c r="L28" s="100">
        <f t="shared" si="43"/>
        <v>8.214190377634957E-2</v>
      </c>
      <c r="M28" s="226">
        <f t="shared" si="44"/>
        <v>1308447.863584945</v>
      </c>
      <c r="N28" s="100">
        <f t="shared" si="45"/>
        <v>0.14127490033810636</v>
      </c>
      <c r="O28" s="233">
        <v>166308.88577784077</v>
      </c>
      <c r="P28" s="100">
        <f t="shared" si="46"/>
        <v>1.7956597215293361E-2</v>
      </c>
      <c r="Q28" s="233"/>
      <c r="R28" s="100">
        <f t="shared" si="47"/>
        <v>0</v>
      </c>
      <c r="S28" s="226">
        <f t="shared" si="48"/>
        <v>166308.88577784077</v>
      </c>
      <c r="T28" s="100">
        <f t="shared" si="49"/>
        <v>1.7956597215293361E-2</v>
      </c>
      <c r="U28" s="233">
        <v>1290892.5461009499</v>
      </c>
      <c r="V28" s="100">
        <f t="shared" si="50"/>
        <v>0.13937942876680504</v>
      </c>
      <c r="W28" s="233">
        <v>70904.460050641719</v>
      </c>
      <c r="X28" s="100">
        <f t="shared" si="51"/>
        <v>7.6556512536438128E-3</v>
      </c>
      <c r="Y28" s="233">
        <v>927161.08870236517</v>
      </c>
      <c r="Z28" s="100">
        <f t="shared" si="53"/>
        <v>0.10010684724182994</v>
      </c>
      <c r="AA28" s="233">
        <v>1200618.2338726264</v>
      </c>
      <c r="AB28" s="100">
        <f t="shared" si="25"/>
        <v>0.12963238815625683</v>
      </c>
      <c r="AC28" s="226">
        <f t="shared" si="54"/>
        <v>2127779.3225749917</v>
      </c>
      <c r="AD28" s="100">
        <f t="shared" si="55"/>
        <v>0.22973923539808677</v>
      </c>
      <c r="AE28" s="233">
        <v>1818149.6010659523</v>
      </c>
      <c r="AF28" s="100">
        <f t="shared" si="56"/>
        <v>0.19630809208294059</v>
      </c>
      <c r="AG28" s="233">
        <v>838342.55615905544</v>
      </c>
      <c r="AH28" s="100">
        <f t="shared" si="57"/>
        <v>9.0516989149315788E-2</v>
      </c>
      <c r="AI28" s="233">
        <v>957191.73106714489</v>
      </c>
      <c r="AJ28" s="100">
        <f t="shared" si="58"/>
        <v>0.10334929665479284</v>
      </c>
      <c r="AK28" s="233">
        <v>683698.03361847962</v>
      </c>
      <c r="AL28" s="100">
        <f t="shared" si="52"/>
        <v>7.3819809141015408E-2</v>
      </c>
    </row>
    <row r="29" spans="2:38" ht="14.25">
      <c r="B29" s="97"/>
      <c r="C29" s="97"/>
      <c r="D29" s="355">
        <f t="shared" si="20"/>
        <v>46253</v>
      </c>
      <c r="E29" s="355" t="s">
        <v>447</v>
      </c>
      <c r="F29" s="227">
        <f t="shared" si="19"/>
        <v>8223442</v>
      </c>
      <c r="G29" s="297"/>
      <c r="H29" s="316"/>
      <c r="I29" s="233">
        <v>536921.38531845761</v>
      </c>
      <c r="J29" s="100">
        <f t="shared" si="42"/>
        <v>6.5291563474085129E-2</v>
      </c>
      <c r="K29" s="233">
        <v>734174.79775325512</v>
      </c>
      <c r="L29" s="100">
        <f t="shared" si="43"/>
        <v>8.9278284902265387E-2</v>
      </c>
      <c r="M29" s="226">
        <f t="shared" si="44"/>
        <v>1271096.1830717127</v>
      </c>
      <c r="N29" s="100">
        <f t="shared" si="45"/>
        <v>0.15456984837635052</v>
      </c>
      <c r="O29" s="233">
        <v>169345.93485707237</v>
      </c>
      <c r="P29" s="100">
        <f t="shared" si="46"/>
        <v>2.0593072202256958E-2</v>
      </c>
      <c r="Q29" s="233"/>
      <c r="R29" s="100">
        <f t="shared" si="47"/>
        <v>0</v>
      </c>
      <c r="S29" s="226">
        <f t="shared" si="48"/>
        <v>169345.93485707237</v>
      </c>
      <c r="T29" s="100">
        <f t="shared" si="49"/>
        <v>2.0593072202256958E-2</v>
      </c>
      <c r="U29" s="233">
        <v>1078929.215481411</v>
      </c>
      <c r="V29" s="100">
        <f t="shared" si="50"/>
        <v>0.1312016568586987</v>
      </c>
      <c r="W29" s="233">
        <v>13179.992736545579</v>
      </c>
      <c r="X29" s="100">
        <f t="shared" si="51"/>
        <v>1.6027343217773749E-3</v>
      </c>
      <c r="Y29" s="233">
        <v>787323.05323924019</v>
      </c>
      <c r="Z29" s="100">
        <f t="shared" si="53"/>
        <v>9.5741303123344237E-2</v>
      </c>
      <c r="AA29" s="233">
        <v>1117738.6389882588</v>
      </c>
      <c r="AB29" s="100">
        <f t="shared" si="25"/>
        <v>0.13592102175564183</v>
      </c>
      <c r="AC29" s="226">
        <f t="shared" si="54"/>
        <v>1905061.6922274991</v>
      </c>
      <c r="AD29" s="100">
        <f t="shared" si="55"/>
        <v>0.23166232487898608</v>
      </c>
      <c r="AE29" s="233">
        <v>1478032.6301820669</v>
      </c>
      <c r="AF29" s="100">
        <f t="shared" si="56"/>
        <v>0.17973406150150592</v>
      </c>
      <c r="AG29" s="233">
        <v>700840.20795134909</v>
      </c>
      <c r="AH29" s="100">
        <f t="shared" si="57"/>
        <v>8.5224679392321256E-2</v>
      </c>
      <c r="AI29" s="233">
        <v>968948.83349760785</v>
      </c>
      <c r="AJ29" s="100">
        <f t="shared" si="58"/>
        <v>0.11782764850747507</v>
      </c>
      <c r="AK29" s="233">
        <v>638007.30999473529</v>
      </c>
      <c r="AL29" s="100">
        <f t="shared" si="52"/>
        <v>7.7583973960628078E-2</v>
      </c>
    </row>
    <row r="30" spans="2:38" ht="14.25">
      <c r="B30" s="97"/>
      <c r="C30" s="97"/>
      <c r="D30" s="355">
        <f t="shared" si="20"/>
        <v>46254</v>
      </c>
      <c r="E30" s="355" t="s">
        <v>448</v>
      </c>
      <c r="F30" s="227">
        <f t="shared" si="19"/>
        <v>7777327.0000000009</v>
      </c>
      <c r="G30" s="86"/>
      <c r="H30" s="316"/>
      <c r="I30" s="233">
        <v>514709.43519779021</v>
      </c>
      <c r="J30" s="100">
        <f t="shared" si="42"/>
        <v>6.6180763030510376E-2</v>
      </c>
      <c r="K30" s="233">
        <v>677474.97306788492</v>
      </c>
      <c r="L30" s="100">
        <f t="shared" si="43"/>
        <v>8.7108973695960684E-2</v>
      </c>
      <c r="M30" s="226">
        <f t="shared" si="44"/>
        <v>1192184.4082656752</v>
      </c>
      <c r="N30" s="100">
        <f t="shared" si="45"/>
        <v>0.15328973672647106</v>
      </c>
      <c r="O30" s="233">
        <v>166139.85300091823</v>
      </c>
      <c r="P30" s="100">
        <f t="shared" si="46"/>
        <v>2.1362076327884658E-2</v>
      </c>
      <c r="Q30" s="233"/>
      <c r="R30" s="100">
        <f t="shared" si="47"/>
        <v>0</v>
      </c>
      <c r="S30" s="226">
        <f t="shared" si="48"/>
        <v>166139.85300091823</v>
      </c>
      <c r="T30" s="100">
        <f t="shared" si="49"/>
        <v>2.1362076327884658E-2</v>
      </c>
      <c r="U30" s="233">
        <v>985399.38013269915</v>
      </c>
      <c r="V30" s="100">
        <f t="shared" si="50"/>
        <v>0.12670154927685295</v>
      </c>
      <c r="W30" s="233">
        <v>13787.825533467647</v>
      </c>
      <c r="X30" s="100">
        <f t="shared" si="51"/>
        <v>1.7728231734974813E-3</v>
      </c>
      <c r="Y30" s="233">
        <v>776059.00055938913</v>
      </c>
      <c r="Z30" s="100">
        <f t="shared" si="53"/>
        <v>9.9784797599405173E-2</v>
      </c>
      <c r="AA30" s="233">
        <v>924565.22383378982</v>
      </c>
      <c r="AB30" s="100">
        <f t="shared" si="25"/>
        <v>0.11887956155550483</v>
      </c>
      <c r="AC30" s="226">
        <f t="shared" si="54"/>
        <v>1700624.2243931789</v>
      </c>
      <c r="AD30" s="100">
        <f t="shared" si="55"/>
        <v>0.21866435915491</v>
      </c>
      <c r="AE30" s="233">
        <v>1486508.6485361233</v>
      </c>
      <c r="AF30" s="100">
        <f t="shared" si="56"/>
        <v>0.19113361808448109</v>
      </c>
      <c r="AG30" s="233">
        <v>664555.13791375142</v>
      </c>
      <c r="AH30" s="100">
        <f t="shared" si="57"/>
        <v>8.5447755753840796E-2</v>
      </c>
      <c r="AI30" s="233">
        <v>934901.45773835189</v>
      </c>
      <c r="AJ30" s="100">
        <f t="shared" si="58"/>
        <v>0.12020858294094511</v>
      </c>
      <c r="AK30" s="233">
        <v>633226.06448583468</v>
      </c>
      <c r="AL30" s="100">
        <f t="shared" si="52"/>
        <v>8.1419498561116771E-2</v>
      </c>
    </row>
    <row r="31" spans="2:38" ht="14.25">
      <c r="B31" s="97"/>
      <c r="C31" s="97"/>
      <c r="D31" s="355">
        <f t="shared" si="20"/>
        <v>46255</v>
      </c>
      <c r="E31" s="355" t="s">
        <v>449</v>
      </c>
      <c r="F31" s="227">
        <f t="shared" si="19"/>
        <v>6482925.0000000009</v>
      </c>
      <c r="G31" s="297"/>
      <c r="H31" s="316"/>
      <c r="I31" s="233">
        <v>445853.00724219216</v>
      </c>
      <c r="J31" s="100">
        <f t="shared" si="42"/>
        <v>6.8773432862819187E-2</v>
      </c>
      <c r="K31" s="233">
        <v>633907.29496579152</v>
      </c>
      <c r="L31" s="100">
        <f t="shared" si="43"/>
        <v>9.7781062555218734E-2</v>
      </c>
      <c r="M31" s="226">
        <f t="shared" si="44"/>
        <v>1079760.3022079836</v>
      </c>
      <c r="N31" s="100">
        <f t="shared" si="45"/>
        <v>0.16655449541803791</v>
      </c>
      <c r="O31" s="233">
        <v>135854.27297741955</v>
      </c>
      <c r="P31" s="100">
        <f t="shared" si="46"/>
        <v>2.0955706409902866E-2</v>
      </c>
      <c r="Q31" s="233"/>
      <c r="R31" s="100">
        <f t="shared" si="47"/>
        <v>0</v>
      </c>
      <c r="S31" s="226">
        <f t="shared" si="48"/>
        <v>135854.27297741955</v>
      </c>
      <c r="T31" s="100">
        <f t="shared" si="49"/>
        <v>2.0955706409902866E-2</v>
      </c>
      <c r="U31" s="233">
        <v>794932.9866001542</v>
      </c>
      <c r="V31" s="100">
        <f t="shared" si="50"/>
        <v>0.12261949453374119</v>
      </c>
      <c r="W31" s="233">
        <v>8620.7833126667374</v>
      </c>
      <c r="X31" s="100">
        <f t="shared" si="51"/>
        <v>1.3297675528664509E-3</v>
      </c>
      <c r="Y31" s="233">
        <v>651243.63420782401</v>
      </c>
      <c r="Z31" s="100">
        <f t="shared" si="53"/>
        <v>0.10045521646599705</v>
      </c>
      <c r="AA31" s="233">
        <v>975139.83923482907</v>
      </c>
      <c r="AB31" s="100">
        <f t="shared" si="25"/>
        <v>0.15041664668877536</v>
      </c>
      <c r="AC31" s="226">
        <f t="shared" si="54"/>
        <v>1626383.4734426532</v>
      </c>
      <c r="AD31" s="100">
        <f t="shared" si="55"/>
        <v>0.25087186315477239</v>
      </c>
      <c r="AE31" s="233">
        <v>1018248.5955613209</v>
      </c>
      <c r="AF31" s="100">
        <f t="shared" si="56"/>
        <v>0.15706623099315831</v>
      </c>
      <c r="AG31" s="233">
        <v>463632.88920552388</v>
      </c>
      <c r="AH31" s="100">
        <f t="shared" si="57"/>
        <v>7.1516003841710932E-2</v>
      </c>
      <c r="AI31" s="233">
        <v>847372.21299289784</v>
      </c>
      <c r="AJ31" s="100">
        <f t="shared" si="58"/>
        <v>0.13070831653812096</v>
      </c>
      <c r="AK31" s="233">
        <v>508119.48369938019</v>
      </c>
      <c r="AL31" s="100">
        <f t="shared" si="52"/>
        <v>7.8378121557688876E-2</v>
      </c>
    </row>
    <row r="32" spans="2:38" ht="14.25">
      <c r="B32" s="97"/>
      <c r="C32" s="97"/>
      <c r="D32" s="355">
        <f t="shared" si="20"/>
        <v>46256</v>
      </c>
      <c r="E32" s="355" t="s">
        <v>450</v>
      </c>
      <c r="F32" s="227">
        <f t="shared" si="19"/>
        <v>7062658.0000000009</v>
      </c>
      <c r="G32" s="297"/>
      <c r="H32" s="316"/>
      <c r="I32" s="233">
        <v>409598.80639282544</v>
      </c>
      <c r="J32" s="100">
        <f t="shared" si="42"/>
        <v>5.7994993725142205E-2</v>
      </c>
      <c r="K32" s="233">
        <v>681760.06240234489</v>
      </c>
      <c r="L32" s="100">
        <f t="shared" si="43"/>
        <v>9.6530238672514632E-2</v>
      </c>
      <c r="M32" s="226">
        <f t="shared" si="44"/>
        <v>1091358.8687951704</v>
      </c>
      <c r="N32" s="100">
        <f t="shared" si="45"/>
        <v>0.15452523239765684</v>
      </c>
      <c r="O32" s="233">
        <v>127871.91540331917</v>
      </c>
      <c r="P32" s="100">
        <f t="shared" si="46"/>
        <v>1.8105352886026643E-2</v>
      </c>
      <c r="Q32" s="233"/>
      <c r="R32" s="100">
        <f t="shared" si="47"/>
        <v>0</v>
      </c>
      <c r="S32" s="226">
        <f t="shared" si="48"/>
        <v>127871.91540331917</v>
      </c>
      <c r="T32" s="100">
        <f t="shared" si="49"/>
        <v>1.8105352886026643E-2</v>
      </c>
      <c r="U32" s="233">
        <v>916893.36434709397</v>
      </c>
      <c r="V32" s="100">
        <f t="shared" si="50"/>
        <v>0.12982270475890151</v>
      </c>
      <c r="W32" s="233">
        <v>0</v>
      </c>
      <c r="X32" s="100">
        <f t="shared" si="51"/>
        <v>0</v>
      </c>
      <c r="Y32" s="233">
        <v>701403.04990242724</v>
      </c>
      <c r="Z32" s="100">
        <f t="shared" si="53"/>
        <v>9.931148441598435E-2</v>
      </c>
      <c r="AA32" s="233">
        <v>1140284.5982136596</v>
      </c>
      <c r="AB32" s="100">
        <f t="shared" si="25"/>
        <v>0.16145261432928784</v>
      </c>
      <c r="AC32" s="226">
        <f t="shared" si="54"/>
        <v>1841687.6481160868</v>
      </c>
      <c r="AD32" s="100">
        <f t="shared" si="55"/>
        <v>0.26076409874527218</v>
      </c>
      <c r="AE32" s="233">
        <v>1173064.9691446838</v>
      </c>
      <c r="AF32" s="100">
        <f t="shared" si="56"/>
        <v>0.16609397894456784</v>
      </c>
      <c r="AG32" s="233">
        <v>526504.97635460249</v>
      </c>
      <c r="AH32" s="100">
        <f t="shared" si="57"/>
        <v>7.4547709425346997E-2</v>
      </c>
      <c r="AI32" s="233">
        <v>864580.81336678716</v>
      </c>
      <c r="AJ32" s="100">
        <f t="shared" si="58"/>
        <v>0.12241578359971374</v>
      </c>
      <c r="AK32" s="233">
        <v>520695.44447225612</v>
      </c>
      <c r="AL32" s="100">
        <f t="shared" si="52"/>
        <v>7.3725139242514087E-2</v>
      </c>
    </row>
    <row r="33" spans="2:38" ht="14.25">
      <c r="B33" s="97"/>
      <c r="C33" s="97"/>
      <c r="D33" s="355">
        <f t="shared" si="20"/>
        <v>46257</v>
      </c>
      <c r="E33" s="355" t="s">
        <v>451</v>
      </c>
      <c r="F33" s="227">
        <f t="shared" si="19"/>
        <v>8897810</v>
      </c>
      <c r="G33" s="297"/>
      <c r="H33" s="316"/>
      <c r="I33" s="233">
        <v>509849.55880566064</v>
      </c>
      <c r="J33" s="100">
        <f t="shared" si="42"/>
        <v>5.7300567083997146E-2</v>
      </c>
      <c r="K33" s="233">
        <v>727987.97470949101</v>
      </c>
      <c r="L33" s="100">
        <f t="shared" si="43"/>
        <v>8.1816534035846017E-2</v>
      </c>
      <c r="M33" s="226">
        <f t="shared" si="44"/>
        <v>1237837.5335151516</v>
      </c>
      <c r="N33" s="100">
        <f t="shared" si="45"/>
        <v>0.13911710111984316</v>
      </c>
      <c r="O33" s="233">
        <v>165773.85742426105</v>
      </c>
      <c r="P33" s="100">
        <f t="shared" si="46"/>
        <v>1.863086056279703E-2</v>
      </c>
      <c r="Q33" s="233"/>
      <c r="R33" s="100">
        <f t="shared" si="47"/>
        <v>0</v>
      </c>
      <c r="S33" s="226">
        <f t="shared" si="48"/>
        <v>165773.85742426105</v>
      </c>
      <c r="T33" s="100">
        <f t="shared" si="49"/>
        <v>1.863086056279703E-2</v>
      </c>
      <c r="U33" s="233">
        <v>1243720.296094402</v>
      </c>
      <c r="V33" s="100">
        <f t="shared" si="50"/>
        <v>0.13977824836610378</v>
      </c>
      <c r="W33" s="233">
        <v>0</v>
      </c>
      <c r="X33" s="100">
        <f t="shared" si="51"/>
        <v>0</v>
      </c>
      <c r="Y33" s="233">
        <v>899504.52797177085</v>
      </c>
      <c r="Z33" s="100">
        <f t="shared" si="53"/>
        <v>0.10109280013528844</v>
      </c>
      <c r="AA33" s="233">
        <v>1270582.1949894684</v>
      </c>
      <c r="AB33" s="100">
        <f t="shared" si="25"/>
        <v>0.14279718211441561</v>
      </c>
      <c r="AC33" s="226">
        <f t="shared" si="54"/>
        <v>2170086.7229612395</v>
      </c>
      <c r="AD33" s="100">
        <f t="shared" si="55"/>
        <v>0.2438899822497041</v>
      </c>
      <c r="AE33" s="233">
        <v>1727884.1285792971</v>
      </c>
      <c r="AF33" s="100">
        <f t="shared" si="56"/>
        <v>0.19419206845047232</v>
      </c>
      <c r="AG33" s="233">
        <v>758869.38783299143</v>
      </c>
      <c r="AH33" s="100">
        <f t="shared" si="57"/>
        <v>8.528720975532085E-2</v>
      </c>
      <c r="AI33" s="233">
        <v>921097.71702422632</v>
      </c>
      <c r="AJ33" s="100">
        <f t="shared" si="58"/>
        <v>0.10351959830837322</v>
      </c>
      <c r="AK33" s="233">
        <v>672540.35656843043</v>
      </c>
      <c r="AL33" s="100">
        <f t="shared" si="52"/>
        <v>7.558493118738549E-2</v>
      </c>
    </row>
    <row r="34" spans="2:38" ht="14.25">
      <c r="B34" s="97"/>
      <c r="C34" s="97"/>
      <c r="D34" s="355">
        <f t="shared" si="20"/>
        <v>46258</v>
      </c>
      <c r="E34" s="355" t="s">
        <v>445</v>
      </c>
      <c r="F34" s="227">
        <f t="shared" si="19"/>
        <v>8622282</v>
      </c>
      <c r="G34" s="86"/>
      <c r="H34" s="316"/>
      <c r="I34" s="233">
        <v>499030.27286981081</v>
      </c>
      <c r="J34" s="100">
        <f t="shared" si="42"/>
        <v>5.7876821109517272E-2</v>
      </c>
      <c r="K34" s="233">
        <v>712538.10821328906</v>
      </c>
      <c r="L34" s="100">
        <f t="shared" si="43"/>
        <v>8.2639156108938336E-2</v>
      </c>
      <c r="M34" s="226">
        <f t="shared" si="44"/>
        <v>1211568.3810830999</v>
      </c>
      <c r="N34" s="100">
        <f t="shared" si="45"/>
        <v>0.1405159772184556</v>
      </c>
      <c r="O34" s="233">
        <v>159675.91289078677</v>
      </c>
      <c r="P34" s="100">
        <f t="shared" si="46"/>
        <v>1.8518985216533949E-2</v>
      </c>
      <c r="Q34" s="233"/>
      <c r="R34" s="100">
        <f t="shared" si="47"/>
        <v>0</v>
      </c>
      <c r="S34" s="226">
        <f t="shared" si="48"/>
        <v>159675.91289078677</v>
      </c>
      <c r="T34" s="100">
        <f t="shared" si="49"/>
        <v>1.8518985216533949E-2</v>
      </c>
      <c r="U34" s="233">
        <v>1162767.6148072975</v>
      </c>
      <c r="V34" s="100">
        <f t="shared" si="50"/>
        <v>0.13485613377146533</v>
      </c>
      <c r="W34" s="233">
        <v>0</v>
      </c>
      <c r="X34" s="100">
        <f t="shared" si="51"/>
        <v>0</v>
      </c>
      <c r="Y34" s="233">
        <v>902913.88976965018</v>
      </c>
      <c r="Z34" s="100">
        <f t="shared" si="53"/>
        <v>0.10471866841859849</v>
      </c>
      <c r="AA34" s="233">
        <v>1292088.3374252752</v>
      </c>
      <c r="AB34" s="100">
        <f t="shared" si="25"/>
        <v>0.14985456720451446</v>
      </c>
      <c r="AC34" s="226">
        <f t="shared" si="54"/>
        <v>2195002.2271949253</v>
      </c>
      <c r="AD34" s="100">
        <f t="shared" si="55"/>
        <v>0.2545732356231129</v>
      </c>
      <c r="AE34" s="233">
        <v>1531079.8928086848</v>
      </c>
      <c r="AF34" s="100">
        <f t="shared" si="56"/>
        <v>0.17757246780013514</v>
      </c>
      <c r="AG34" s="233">
        <v>744298.27832892851</v>
      </c>
      <c r="AH34" s="100">
        <f t="shared" si="57"/>
        <v>8.6322655455821157E-2</v>
      </c>
      <c r="AI34" s="233">
        <v>837639.91668703663</v>
      </c>
      <c r="AJ34" s="100">
        <f t="shared" si="58"/>
        <v>9.7148285881514501E-2</v>
      </c>
      <c r="AK34" s="233">
        <v>780249.77619924117</v>
      </c>
      <c r="AL34" s="100">
        <f t="shared" si="52"/>
        <v>9.0492259032961472E-2</v>
      </c>
    </row>
    <row r="35" spans="2:38" s="452" customFormat="1" ht="14.25">
      <c r="B35" s="425"/>
      <c r="C35" s="425"/>
      <c r="D35" s="299">
        <f t="shared" si="20"/>
        <v>46259</v>
      </c>
      <c r="E35" s="299" t="s">
        <v>446</v>
      </c>
      <c r="F35" s="453">
        <f t="shared" si="19"/>
        <v>9024964.9999999963</v>
      </c>
      <c r="G35" s="427">
        <f>SUM(F35:F41)</f>
        <v>56983669</v>
      </c>
      <c r="H35" s="428"/>
      <c r="I35" s="456">
        <v>588931.58741202345</v>
      </c>
      <c r="J35" s="338">
        <f t="shared" si="42"/>
        <v>6.5255830622282046E-2</v>
      </c>
      <c r="K35" s="456">
        <v>794450.09796237503</v>
      </c>
      <c r="L35" s="338">
        <f t="shared" si="43"/>
        <v>8.8028053068613055E-2</v>
      </c>
      <c r="M35" s="457">
        <f t="shared" ref="M35:M36" si="59">SUM(I35+K35)</f>
        <v>1383381.6853743985</v>
      </c>
      <c r="N35" s="338">
        <f t="shared" si="45"/>
        <v>0.1532838836908951</v>
      </c>
      <c r="O35" s="456">
        <v>164460.95994101884</v>
      </c>
      <c r="P35" s="338">
        <f t="shared" si="46"/>
        <v>1.8222891716590469E-2</v>
      </c>
      <c r="Q35" s="456"/>
      <c r="R35" s="338">
        <f t="shared" si="47"/>
        <v>0</v>
      </c>
      <c r="S35" s="457">
        <f t="shared" si="48"/>
        <v>164460.95994101884</v>
      </c>
      <c r="T35" s="338">
        <f t="shared" si="49"/>
        <v>1.8222891716590469E-2</v>
      </c>
      <c r="U35" s="456">
        <v>1132680.615555261</v>
      </c>
      <c r="V35" s="338">
        <f t="shared" si="50"/>
        <v>0.12550526407085916</v>
      </c>
      <c r="W35" s="456">
        <v>0</v>
      </c>
      <c r="X35" s="338">
        <f t="shared" si="51"/>
        <v>0</v>
      </c>
      <c r="Y35" s="456">
        <v>870273.44095002732</v>
      </c>
      <c r="Z35" s="338">
        <f t="shared" si="53"/>
        <v>9.6429564098035575E-2</v>
      </c>
      <c r="AA35" s="456">
        <v>1375822.9373038211</v>
      </c>
      <c r="AB35" s="338">
        <f t="shared" si="25"/>
        <v>0.15244634603057428</v>
      </c>
      <c r="AC35" s="457">
        <f t="shared" si="54"/>
        <v>2246096.3782538483</v>
      </c>
      <c r="AD35" s="338">
        <f t="shared" si="55"/>
        <v>0.24887591012860982</v>
      </c>
      <c r="AE35" s="456">
        <v>1564257.6126575707</v>
      </c>
      <c r="AF35" s="338">
        <f t="shared" si="56"/>
        <v>0.1733256154076577</v>
      </c>
      <c r="AG35" s="456">
        <v>936743.13544922159</v>
      </c>
      <c r="AH35" s="338">
        <f t="shared" si="57"/>
        <v>0.10379465576312173</v>
      </c>
      <c r="AI35" s="456">
        <v>856369.4189230809</v>
      </c>
      <c r="AJ35" s="338">
        <f t="shared" si="58"/>
        <v>9.4888946264398949E-2</v>
      </c>
      <c r="AK35" s="456">
        <v>740975.19384559768</v>
      </c>
      <c r="AL35" s="338">
        <f t="shared" si="52"/>
        <v>8.2102832957867203E-2</v>
      </c>
    </row>
    <row r="36" spans="2:38" s="452" customFormat="1" ht="14.25">
      <c r="B36" s="425"/>
      <c r="C36" s="425"/>
      <c r="D36" s="299">
        <f t="shared" si="20"/>
        <v>46260</v>
      </c>
      <c r="E36" s="299" t="s">
        <v>447</v>
      </c>
      <c r="F36" s="453">
        <f t="shared" si="19"/>
        <v>8226920.9999999991</v>
      </c>
      <c r="G36" s="427"/>
      <c r="H36" s="454"/>
      <c r="I36" s="456">
        <v>530550.28280918417</v>
      </c>
      <c r="J36" s="338">
        <f t="shared" si="42"/>
        <v>6.4489531722643767E-2</v>
      </c>
      <c r="K36" s="456">
        <v>754342.79249628482</v>
      </c>
      <c r="L36" s="338">
        <f t="shared" si="43"/>
        <v>9.1691994185465614E-2</v>
      </c>
      <c r="M36" s="457">
        <f t="shared" si="59"/>
        <v>1284893.0753054689</v>
      </c>
      <c r="N36" s="338">
        <f t="shared" si="45"/>
        <v>0.15618152590810935</v>
      </c>
      <c r="O36" s="456">
        <v>163351.46945491043</v>
      </c>
      <c r="P36" s="338">
        <f t="shared" si="46"/>
        <v>1.9855723599984786E-2</v>
      </c>
      <c r="Q36" s="456"/>
      <c r="R36" s="338">
        <f t="shared" si="47"/>
        <v>0</v>
      </c>
      <c r="S36" s="457">
        <f t="shared" si="48"/>
        <v>163351.46945491043</v>
      </c>
      <c r="T36" s="338">
        <f t="shared" si="49"/>
        <v>1.9855723599984786E-2</v>
      </c>
      <c r="U36" s="456">
        <v>1021649.2290499815</v>
      </c>
      <c r="V36" s="338">
        <f t="shared" si="50"/>
        <v>0.12418366835538855</v>
      </c>
      <c r="W36" s="456">
        <v>0</v>
      </c>
      <c r="X36" s="338">
        <f t="shared" si="51"/>
        <v>0</v>
      </c>
      <c r="Y36" s="456">
        <v>842465.70975963853</v>
      </c>
      <c r="Z36" s="338">
        <f t="shared" si="53"/>
        <v>0.10240352493474031</v>
      </c>
      <c r="AA36" s="456">
        <v>1294652.9081654882</v>
      </c>
      <c r="AB36" s="338">
        <f t="shared" si="25"/>
        <v>0.15736785465248643</v>
      </c>
      <c r="AC36" s="457">
        <f t="shared" si="54"/>
        <v>2137118.6179251266</v>
      </c>
      <c r="AD36" s="338">
        <f t="shared" si="55"/>
        <v>0.25977137958722674</v>
      </c>
      <c r="AE36" s="456">
        <v>1415333.9347466982</v>
      </c>
      <c r="AF36" s="338">
        <f t="shared" si="56"/>
        <v>0.17203689384481732</v>
      </c>
      <c r="AG36" s="456">
        <v>786266.38830920623</v>
      </c>
      <c r="AH36" s="338">
        <f t="shared" si="57"/>
        <v>9.5572376142812887E-2</v>
      </c>
      <c r="AI36" s="456">
        <v>698971.18698973837</v>
      </c>
      <c r="AJ36" s="338">
        <f t="shared" si="58"/>
        <v>8.4961456052603204E-2</v>
      </c>
      <c r="AK36" s="456">
        <v>719337.0982188693</v>
      </c>
      <c r="AL36" s="338">
        <f t="shared" si="52"/>
        <v>8.7436976509057199E-2</v>
      </c>
    </row>
    <row r="37" spans="2:38" s="452" customFormat="1" ht="14.25">
      <c r="B37" s="425"/>
      <c r="C37" s="425"/>
      <c r="D37" s="299">
        <f>D36+1</f>
        <v>46261</v>
      </c>
      <c r="E37" s="299" t="s">
        <v>448</v>
      </c>
      <c r="F37" s="453">
        <f t="shared" si="19"/>
        <v>8093460.9999999991</v>
      </c>
      <c r="G37" s="427"/>
      <c r="H37" s="454"/>
      <c r="I37" s="233">
        <v>740191.43073523603</v>
      </c>
      <c r="J37" s="100">
        <f t="shared" si="42"/>
        <v>9.1455488663655285E-2</v>
      </c>
      <c r="K37" s="233">
        <v>973617.08370754763</v>
      </c>
      <c r="L37" s="100">
        <f t="shared" si="43"/>
        <v>0.12029675360238935</v>
      </c>
      <c r="M37" s="226">
        <f t="shared" ref="M37:M38" si="60">SUM(I37+K37)</f>
        <v>1713808.5144427838</v>
      </c>
      <c r="N37" s="100">
        <f t="shared" si="45"/>
        <v>0.21175224226604464</v>
      </c>
      <c r="O37" s="233">
        <v>230369.78207014143</v>
      </c>
      <c r="P37" s="100">
        <f t="shared" si="46"/>
        <v>2.8463692117641819E-2</v>
      </c>
      <c r="Q37" s="233"/>
      <c r="R37" s="100">
        <f t="shared" si="47"/>
        <v>0</v>
      </c>
      <c r="S37" s="226">
        <f t="shared" si="48"/>
        <v>230369.78207014143</v>
      </c>
      <c r="T37" s="100">
        <f t="shared" si="49"/>
        <v>2.8463692117641819E-2</v>
      </c>
      <c r="U37" s="233">
        <v>945207.64534164849</v>
      </c>
      <c r="V37" s="100">
        <f t="shared" si="50"/>
        <v>0.11678658182718724</v>
      </c>
      <c r="W37" s="233">
        <v>0</v>
      </c>
      <c r="X37" s="100">
        <f t="shared" si="51"/>
        <v>0</v>
      </c>
      <c r="Y37" s="233">
        <v>789249.65857281769</v>
      </c>
      <c r="Z37" s="100">
        <f t="shared" si="53"/>
        <v>9.7516953324766467E-2</v>
      </c>
      <c r="AA37" s="233">
        <v>1009800.9748245156</v>
      </c>
      <c r="AB37" s="100">
        <f t="shared" si="25"/>
        <v>0.1247675098236114</v>
      </c>
      <c r="AC37" s="226">
        <f t="shared" si="54"/>
        <v>1799050.6333973333</v>
      </c>
      <c r="AD37" s="100">
        <f t="shared" si="55"/>
        <v>0.22228446314837788</v>
      </c>
      <c r="AE37" s="233">
        <v>1370340.1579745254</v>
      </c>
      <c r="AF37" s="100">
        <f t="shared" si="56"/>
        <v>0.16931448214484823</v>
      </c>
      <c r="AG37" s="233">
        <v>710893.12108822202</v>
      </c>
      <c r="AH37" s="100">
        <f t="shared" si="57"/>
        <v>8.7835491032603005E-2</v>
      </c>
      <c r="AI37" s="233">
        <v>676573.93722256122</v>
      </c>
      <c r="AJ37" s="100">
        <f t="shared" si="58"/>
        <v>8.3595131578759849E-2</v>
      </c>
      <c r="AK37" s="233">
        <v>647217.20846278418</v>
      </c>
      <c r="AL37" s="100">
        <f t="shared" si="52"/>
        <v>7.9967915884537444E-2</v>
      </c>
    </row>
    <row r="38" spans="2:38" s="452" customFormat="1" ht="14.25">
      <c r="B38" s="425"/>
      <c r="C38" s="425"/>
      <c r="D38" s="299">
        <f t="shared" ref="D38:D41" si="61">D37+1</f>
        <v>46262</v>
      </c>
      <c r="E38" s="299" t="s">
        <v>449</v>
      </c>
      <c r="F38" s="453">
        <f t="shared" si="19"/>
        <v>8092638.0000000009</v>
      </c>
      <c r="G38" s="427"/>
      <c r="H38" s="454"/>
      <c r="I38" s="233">
        <v>750447.91438373423</v>
      </c>
      <c r="J38" s="100">
        <f t="shared" si="42"/>
        <v>9.2732173907165275E-2</v>
      </c>
      <c r="K38" s="233">
        <v>1031229.4491040421</v>
      </c>
      <c r="L38" s="100">
        <f t="shared" si="43"/>
        <v>0.1274280956474319</v>
      </c>
      <c r="M38" s="226">
        <f t="shared" si="60"/>
        <v>1781677.3634877764</v>
      </c>
      <c r="N38" s="100">
        <f t="shared" si="45"/>
        <v>0.22016026955459717</v>
      </c>
      <c r="O38" s="233">
        <v>221543.69498203747</v>
      </c>
      <c r="P38" s="100">
        <f t="shared" si="46"/>
        <v>2.7375955156036566E-2</v>
      </c>
      <c r="Q38" s="233"/>
      <c r="R38" s="100">
        <f t="shared" si="47"/>
        <v>0</v>
      </c>
      <c r="S38" s="226">
        <f t="shared" si="48"/>
        <v>221543.69498203747</v>
      </c>
      <c r="T38" s="100">
        <f t="shared" si="49"/>
        <v>2.7375955156036566E-2</v>
      </c>
      <c r="U38" s="233">
        <v>929850.07924853568</v>
      </c>
      <c r="V38" s="100">
        <f t="shared" si="50"/>
        <v>0.11490073808423601</v>
      </c>
      <c r="W38" s="233">
        <v>0</v>
      </c>
      <c r="X38" s="100">
        <f t="shared" si="51"/>
        <v>0</v>
      </c>
      <c r="Y38" s="233">
        <v>786294.0260195412</v>
      </c>
      <c r="Z38" s="100">
        <f t="shared" si="53"/>
        <v>9.7161645685812356E-2</v>
      </c>
      <c r="AA38" s="233">
        <v>1117293.7836695705</v>
      </c>
      <c r="AB38" s="100">
        <f t="shared" si="25"/>
        <v>0.13806298807256304</v>
      </c>
      <c r="AC38" s="226">
        <f t="shared" si="54"/>
        <v>1903587.8096891115</v>
      </c>
      <c r="AD38" s="100">
        <f t="shared" si="55"/>
        <v>0.23522463375837538</v>
      </c>
      <c r="AE38" s="233">
        <v>1235194.2959832286</v>
      </c>
      <c r="AF38" s="100">
        <f t="shared" si="56"/>
        <v>0.15263184835195007</v>
      </c>
      <c r="AG38" s="233">
        <v>648566.6168438762</v>
      </c>
      <c r="AH38" s="100">
        <f t="shared" si="57"/>
        <v>8.0142793591394562E-2</v>
      </c>
      <c r="AI38" s="233">
        <v>787404.69376972097</v>
      </c>
      <c r="AJ38" s="100">
        <f t="shared" si="58"/>
        <v>9.7298889900885338E-2</v>
      </c>
      <c r="AK38" s="233">
        <v>584813.44599571289</v>
      </c>
      <c r="AL38" s="100">
        <f t="shared" si="52"/>
        <v>7.2264871602524761E-2</v>
      </c>
    </row>
    <row r="39" spans="2:38" s="452" customFormat="1" ht="14.25">
      <c r="B39" s="425"/>
      <c r="C39" s="431"/>
      <c r="D39" s="299">
        <f t="shared" si="61"/>
        <v>46263</v>
      </c>
      <c r="E39" s="299" t="s">
        <v>450</v>
      </c>
      <c r="F39" s="453">
        <f t="shared" si="19"/>
        <v>7053318</v>
      </c>
      <c r="G39" s="427"/>
      <c r="H39" s="455"/>
      <c r="I39" s="456">
        <v>588384.1448917822</v>
      </c>
      <c r="J39" s="338">
        <f t="shared" si="42"/>
        <v>8.3419483552532606E-2</v>
      </c>
      <c r="K39" s="456">
        <v>944601.69614312158</v>
      </c>
      <c r="L39" s="338">
        <f t="shared" si="43"/>
        <v>0.13392302688509458</v>
      </c>
      <c r="M39" s="457">
        <f t="shared" si="44"/>
        <v>1532985.8410349037</v>
      </c>
      <c r="N39" s="338">
        <f t="shared" si="45"/>
        <v>0.21734251043762717</v>
      </c>
      <c r="O39" s="456">
        <v>178283.27320094957</v>
      </c>
      <c r="P39" s="338">
        <f t="shared" si="46"/>
        <v>2.5276511451908103E-2</v>
      </c>
      <c r="Q39" s="456"/>
      <c r="R39" s="338">
        <f t="shared" si="47"/>
        <v>0</v>
      </c>
      <c r="S39" s="457">
        <f t="shared" si="48"/>
        <v>178283.27320094957</v>
      </c>
      <c r="T39" s="338">
        <f t="shared" si="49"/>
        <v>2.5276511451908103E-2</v>
      </c>
      <c r="U39" s="456">
        <v>847471.72231459967</v>
      </c>
      <c r="V39" s="338">
        <f t="shared" si="50"/>
        <v>0.12015220670819034</v>
      </c>
      <c r="W39" s="456">
        <v>0</v>
      </c>
      <c r="X39" s="338">
        <f t="shared" si="51"/>
        <v>0</v>
      </c>
      <c r="Y39" s="456">
        <v>645860.77563330065</v>
      </c>
      <c r="Z39" s="338">
        <f t="shared" si="53"/>
        <v>9.156836195862722E-2</v>
      </c>
      <c r="AA39" s="456">
        <v>1071787.2289826716</v>
      </c>
      <c r="AB39" s="338">
        <f t="shared" si="25"/>
        <v>0.15195504144044997</v>
      </c>
      <c r="AC39" s="457">
        <f t="shared" si="54"/>
        <v>1717648.0046159723</v>
      </c>
      <c r="AD39" s="338">
        <f t="shared" si="55"/>
        <v>0.24352340339907719</v>
      </c>
      <c r="AE39" s="456">
        <v>1069430.3403310499</v>
      </c>
      <c r="AF39" s="338">
        <f t="shared" si="56"/>
        <v>0.1516208882586961</v>
      </c>
      <c r="AG39" s="456">
        <v>542198.52662184765</v>
      </c>
      <c r="AH39" s="338">
        <f t="shared" si="57"/>
        <v>7.6871413797286278E-2</v>
      </c>
      <c r="AI39" s="456">
        <v>694358.07181223738</v>
      </c>
      <c r="AJ39" s="338">
        <f t="shared" si="58"/>
        <v>9.8444175041056903E-2</v>
      </c>
      <c r="AK39" s="456">
        <v>470942.22006843955</v>
      </c>
      <c r="AL39" s="338">
        <f t="shared" si="52"/>
        <v>6.6768890906157854E-2</v>
      </c>
    </row>
    <row r="40" spans="2:38" s="452" customFormat="1" ht="14.25">
      <c r="B40" s="425"/>
      <c r="C40" s="431"/>
      <c r="D40" s="299">
        <f t="shared" si="61"/>
        <v>46264</v>
      </c>
      <c r="E40" s="299" t="s">
        <v>451</v>
      </c>
      <c r="F40" s="453">
        <f t="shared" si="19"/>
        <v>7474536.9999999991</v>
      </c>
      <c r="G40" s="427"/>
      <c r="H40" s="455"/>
      <c r="I40" s="456">
        <v>672858.86958346958</v>
      </c>
      <c r="J40" s="338">
        <f t="shared" si="42"/>
        <v>9.0020140322199182E-2</v>
      </c>
      <c r="K40" s="456">
        <v>900938.41377714218</v>
      </c>
      <c r="L40" s="338">
        <f t="shared" si="43"/>
        <v>0.12053434397035459</v>
      </c>
      <c r="M40" s="457">
        <f t="shared" si="44"/>
        <v>1573797.2833606116</v>
      </c>
      <c r="N40" s="338">
        <f t="shared" si="45"/>
        <v>0.21055448429255375</v>
      </c>
      <c r="O40" s="456">
        <v>201104.47835955507</v>
      </c>
      <c r="P40" s="338">
        <f t="shared" si="46"/>
        <v>2.6905275652465845E-2</v>
      </c>
      <c r="Q40" s="456"/>
      <c r="R40" s="338">
        <f t="shared" si="47"/>
        <v>0</v>
      </c>
      <c r="S40" s="457">
        <f t="shared" si="48"/>
        <v>201104.47835955507</v>
      </c>
      <c r="T40" s="338">
        <f t="shared" si="49"/>
        <v>2.6905275652465845E-2</v>
      </c>
      <c r="U40" s="456">
        <v>953456.70010549156</v>
      </c>
      <c r="V40" s="338">
        <f t="shared" si="50"/>
        <v>0.12756063688031669</v>
      </c>
      <c r="W40" s="456">
        <v>0</v>
      </c>
      <c r="X40" s="338">
        <f t="shared" si="51"/>
        <v>0</v>
      </c>
      <c r="Y40" s="456">
        <v>662146.47894034174</v>
      </c>
      <c r="Z40" s="338">
        <f t="shared" si="53"/>
        <v>8.8586955812827176E-2</v>
      </c>
      <c r="AA40" s="456">
        <v>1014097.5914963139</v>
      </c>
      <c r="AB40" s="338">
        <f t="shared" si="25"/>
        <v>0.13567363322923065</v>
      </c>
      <c r="AC40" s="457">
        <f t="shared" si="54"/>
        <v>1676244.0704366555</v>
      </c>
      <c r="AD40" s="338">
        <f t="shared" si="55"/>
        <v>0.22426058904205781</v>
      </c>
      <c r="AE40" s="456">
        <v>1205736.7018303373</v>
      </c>
      <c r="AF40" s="338">
        <f t="shared" si="56"/>
        <v>0.16131256047435946</v>
      </c>
      <c r="AG40" s="456">
        <v>651263.72621538094</v>
      </c>
      <c r="AH40" s="338">
        <f t="shared" si="57"/>
        <v>8.7130978977745521E-2</v>
      </c>
      <c r="AI40" s="456">
        <v>677928.82739377569</v>
      </c>
      <c r="AJ40" s="338">
        <f t="shared" si="58"/>
        <v>9.0698437561253065E-2</v>
      </c>
      <c r="AK40" s="456">
        <v>535005.2122981908</v>
      </c>
      <c r="AL40" s="338">
        <f t="shared" si="52"/>
        <v>7.1577037119247774E-2</v>
      </c>
    </row>
    <row r="41" spans="2:38" s="452" customFormat="1" ht="14.25">
      <c r="B41" s="425"/>
      <c r="C41" s="431"/>
      <c r="D41" s="299">
        <f t="shared" si="61"/>
        <v>46265</v>
      </c>
      <c r="E41" s="299" t="s">
        <v>445</v>
      </c>
      <c r="F41" s="453">
        <f t="shared" si="19"/>
        <v>9017829</v>
      </c>
      <c r="G41" s="427"/>
      <c r="H41" s="455"/>
      <c r="I41" s="456">
        <v>744742.20558592456</v>
      </c>
      <c r="J41" s="338">
        <f t="shared" si="42"/>
        <v>8.2585532015069768E-2</v>
      </c>
      <c r="K41" s="456">
        <v>1292710.3108200491</v>
      </c>
      <c r="L41" s="338">
        <f t="shared" si="43"/>
        <v>0.14335050163626403</v>
      </c>
      <c r="M41" s="457">
        <f t="shared" si="44"/>
        <v>2037452.5164059736</v>
      </c>
      <c r="N41" s="338">
        <f t="shared" si="45"/>
        <v>0.22593603365133377</v>
      </c>
      <c r="O41" s="456">
        <v>223645.44203519798</v>
      </c>
      <c r="P41" s="338">
        <f t="shared" si="46"/>
        <v>2.4800364038306558E-2</v>
      </c>
      <c r="Q41" s="456"/>
      <c r="R41" s="338">
        <f t="shared" si="47"/>
        <v>0</v>
      </c>
      <c r="S41" s="457">
        <f t="shared" si="48"/>
        <v>223645.44203519798</v>
      </c>
      <c r="T41" s="338">
        <f t="shared" si="49"/>
        <v>2.4800364038306558E-2</v>
      </c>
      <c r="U41" s="456">
        <v>1098650.934303984</v>
      </c>
      <c r="V41" s="338">
        <f t="shared" si="50"/>
        <v>0.12183097886464514</v>
      </c>
      <c r="W41" s="456">
        <v>0</v>
      </c>
      <c r="X41" s="338">
        <f t="shared" si="51"/>
        <v>0</v>
      </c>
      <c r="Y41" s="456">
        <v>792688.32694010821</v>
      </c>
      <c r="Z41" s="338">
        <f t="shared" ref="Z41" si="62">Y41/F41</f>
        <v>8.7902346223254865E-2</v>
      </c>
      <c r="AA41" s="456">
        <v>1314205.271888691</v>
      </c>
      <c r="AB41" s="338">
        <f t="shared" ref="AB41:AB49" si="63">AA41/$F41</f>
        <v>0.14573410871826145</v>
      </c>
      <c r="AC41" s="457">
        <f t="shared" ref="AC41" si="64">SUM(Y41+AA41)</f>
        <v>2106893.5988287991</v>
      </c>
      <c r="AD41" s="338">
        <f t="shared" ref="AD41" si="65">AC41/F41</f>
        <v>0.2336364549415163</v>
      </c>
      <c r="AE41" s="456">
        <v>1391614.5098271242</v>
      </c>
      <c r="AF41" s="338">
        <f t="shared" ref="AF41" si="66">AE41/F41</f>
        <v>0.15431813020929142</v>
      </c>
      <c r="AG41" s="456">
        <v>730971.29609973065</v>
      </c>
      <c r="AH41" s="338">
        <f t="shared" ref="AH41" si="67">AG41/F41</f>
        <v>8.1058456098439063E-2</v>
      </c>
      <c r="AI41" s="456">
        <v>721136.14768464351</v>
      </c>
      <c r="AJ41" s="338">
        <f t="shared" ref="AJ41" si="68">AI41/F41</f>
        <v>7.9967822375501194E-2</v>
      </c>
      <c r="AK41" s="456">
        <v>707464.55481454777</v>
      </c>
      <c r="AL41" s="338">
        <f t="shared" si="52"/>
        <v>7.8451759820966638E-2</v>
      </c>
    </row>
    <row r="42" spans="2:38" ht="14.25">
      <c r="B42" s="97"/>
      <c r="C42" s="83"/>
      <c r="D42" s="355"/>
      <c r="E42" s="355"/>
      <c r="F42" s="227">
        <f t="shared" si="19"/>
        <v>0</v>
      </c>
      <c r="G42" s="297"/>
      <c r="H42" s="96"/>
      <c r="I42" s="233"/>
      <c r="J42" s="100" t="e">
        <f>I42/F42</f>
        <v>#DIV/0!</v>
      </c>
      <c r="K42" s="233"/>
      <c r="L42" s="100" t="e">
        <f>K42/F42</f>
        <v>#DIV/0!</v>
      </c>
      <c r="M42" s="226">
        <f>SUM(I42+K42)</f>
        <v>0</v>
      </c>
      <c r="N42" s="100" t="e">
        <f>M42/F42</f>
        <v>#DIV/0!</v>
      </c>
      <c r="O42" s="233"/>
      <c r="P42" s="100" t="e">
        <f>O42/F42</f>
        <v>#DIV/0!</v>
      </c>
      <c r="Q42" s="233"/>
      <c r="R42" s="100" t="e">
        <f t="shared" si="47"/>
        <v>#DIV/0!</v>
      </c>
      <c r="S42" s="226">
        <f t="shared" si="48"/>
        <v>0</v>
      </c>
      <c r="T42" s="100" t="e">
        <f>S42/F42</f>
        <v>#DIV/0!</v>
      </c>
      <c r="U42" s="233"/>
      <c r="V42" s="100" t="e">
        <f>U42/F42</f>
        <v>#DIV/0!</v>
      </c>
      <c r="W42" s="233"/>
      <c r="X42" s="100" t="e">
        <f>W42/F42</f>
        <v>#DIV/0!</v>
      </c>
      <c r="Y42" s="233"/>
      <c r="Z42" s="100" t="e">
        <f>Y42/F42</f>
        <v>#DIV/0!</v>
      </c>
      <c r="AA42" s="233"/>
      <c r="AB42" s="100" t="e">
        <f t="shared" si="63"/>
        <v>#DIV/0!</v>
      </c>
      <c r="AC42" s="226">
        <f>SUM(Y42+AA42)</f>
        <v>0</v>
      </c>
      <c r="AD42" s="100" t="e">
        <f>AC42/F42</f>
        <v>#DIV/0!</v>
      </c>
      <c r="AE42" s="233"/>
      <c r="AF42" s="100" t="e">
        <f>AE42/F42</f>
        <v>#DIV/0!</v>
      </c>
      <c r="AG42" s="233"/>
      <c r="AH42" s="100" t="e">
        <f>AG42/F42</f>
        <v>#DIV/0!</v>
      </c>
      <c r="AI42" s="233"/>
      <c r="AJ42" s="100" t="e">
        <f>AI42/F42</f>
        <v>#DIV/0!</v>
      </c>
      <c r="AK42" s="233"/>
      <c r="AL42" s="100" t="e">
        <f>AK42/F42</f>
        <v>#DIV/0!</v>
      </c>
    </row>
    <row r="43" spans="2:38" ht="14.25">
      <c r="B43" s="97"/>
      <c r="C43" s="83"/>
      <c r="D43" s="355"/>
      <c r="E43" s="355"/>
      <c r="F43" s="227">
        <f t="shared" si="19"/>
        <v>0</v>
      </c>
      <c r="G43" s="297"/>
      <c r="H43" s="96"/>
      <c r="I43" s="233"/>
      <c r="J43" s="100" t="e">
        <f>I43/F43</f>
        <v>#DIV/0!</v>
      </c>
      <c r="K43" s="233"/>
      <c r="L43" s="100" t="e">
        <f>K43/F43</f>
        <v>#DIV/0!</v>
      </c>
      <c r="M43" s="226">
        <f>SUM(I43+K43)</f>
        <v>0</v>
      </c>
      <c r="N43" s="100" t="e">
        <f>M43/F43</f>
        <v>#DIV/0!</v>
      </c>
      <c r="O43" s="233"/>
      <c r="P43" s="100" t="e">
        <f>O43/F43</f>
        <v>#DIV/0!</v>
      </c>
      <c r="Q43" s="233"/>
      <c r="R43" s="100" t="e">
        <f t="shared" si="47"/>
        <v>#DIV/0!</v>
      </c>
      <c r="S43" s="226">
        <f t="shared" si="48"/>
        <v>0</v>
      </c>
      <c r="T43" s="100" t="e">
        <f>S43/F43</f>
        <v>#DIV/0!</v>
      </c>
      <c r="U43" s="233"/>
      <c r="V43" s="100" t="e">
        <f>U43/F43</f>
        <v>#DIV/0!</v>
      </c>
      <c r="W43" s="233"/>
      <c r="X43" s="100" t="e">
        <f>W43/F43</f>
        <v>#DIV/0!</v>
      </c>
      <c r="Y43" s="233"/>
      <c r="Z43" s="100" t="e">
        <f>Y43/F43</f>
        <v>#DIV/0!</v>
      </c>
      <c r="AA43" s="233"/>
      <c r="AB43" s="100" t="e">
        <f t="shared" si="63"/>
        <v>#DIV/0!</v>
      </c>
      <c r="AC43" s="226">
        <f>SUM(Y43+AA43)</f>
        <v>0</v>
      </c>
      <c r="AD43" s="100" t="e">
        <f>AC43/F43</f>
        <v>#DIV/0!</v>
      </c>
      <c r="AE43" s="233"/>
      <c r="AF43" s="100" t="e">
        <f>AE43/F43</f>
        <v>#DIV/0!</v>
      </c>
      <c r="AG43" s="233"/>
      <c r="AH43" s="100" t="e">
        <f>AG43/F43</f>
        <v>#DIV/0!</v>
      </c>
      <c r="AI43" s="233"/>
      <c r="AJ43" s="100" t="e">
        <f>AI43/F43</f>
        <v>#DIV/0!</v>
      </c>
      <c r="AK43" s="233"/>
      <c r="AL43" s="100" t="e">
        <f>AK43/F43</f>
        <v>#DIV/0!</v>
      </c>
    </row>
    <row r="44" spans="2:38" ht="14.25">
      <c r="B44" s="97"/>
      <c r="C44" s="83"/>
      <c r="D44" s="355"/>
      <c r="E44" s="355"/>
      <c r="F44" s="227">
        <f t="shared" si="19"/>
        <v>0</v>
      </c>
      <c r="G44" s="227"/>
      <c r="H44" s="96"/>
      <c r="I44" s="233"/>
      <c r="J44" s="100" t="e">
        <f>I44/F44</f>
        <v>#DIV/0!</v>
      </c>
      <c r="K44" s="233"/>
      <c r="L44" s="100" t="e">
        <f>K44/F44</f>
        <v>#DIV/0!</v>
      </c>
      <c r="M44" s="226">
        <f>SUM(I44+K44)</f>
        <v>0</v>
      </c>
      <c r="N44" s="100" t="e">
        <f>M44/F44</f>
        <v>#DIV/0!</v>
      </c>
      <c r="O44" s="233"/>
      <c r="P44" s="100" t="e">
        <f>O44/F44</f>
        <v>#DIV/0!</v>
      </c>
      <c r="Q44" s="233"/>
      <c r="R44" s="100" t="e">
        <f t="shared" si="47"/>
        <v>#DIV/0!</v>
      </c>
      <c r="S44" s="226">
        <f t="shared" si="48"/>
        <v>0</v>
      </c>
      <c r="T44" s="100" t="e">
        <f>S44/F44</f>
        <v>#DIV/0!</v>
      </c>
      <c r="U44" s="233"/>
      <c r="V44" s="100" t="e">
        <f>U44/F44</f>
        <v>#DIV/0!</v>
      </c>
      <c r="W44" s="233"/>
      <c r="X44" s="100" t="e">
        <f>W44/F44</f>
        <v>#DIV/0!</v>
      </c>
      <c r="Y44" s="233"/>
      <c r="Z44" s="100" t="e">
        <f>Y44/F44</f>
        <v>#DIV/0!</v>
      </c>
      <c r="AA44" s="233"/>
      <c r="AB44" s="100" t="e">
        <f t="shared" si="63"/>
        <v>#DIV/0!</v>
      </c>
      <c r="AC44" s="226">
        <f>SUM(Y44+AA44)</f>
        <v>0</v>
      </c>
      <c r="AD44" s="100" t="e">
        <f>AC44/F44</f>
        <v>#DIV/0!</v>
      </c>
      <c r="AE44" s="233"/>
      <c r="AF44" s="100" t="e">
        <f>AE44/F44</f>
        <v>#DIV/0!</v>
      </c>
      <c r="AG44" s="233"/>
      <c r="AH44" s="100" t="e">
        <f>AG44/F44</f>
        <v>#DIV/0!</v>
      </c>
      <c r="AI44" s="233"/>
      <c r="AJ44" s="100" t="e">
        <f>AI44/F44</f>
        <v>#DIV/0!</v>
      </c>
      <c r="AK44" s="233"/>
      <c r="AL44" s="100" t="e">
        <f>AK44/F44</f>
        <v>#DIV/0!</v>
      </c>
    </row>
    <row r="45" spans="2:38" ht="14.25">
      <c r="B45" s="97"/>
      <c r="C45" s="83"/>
      <c r="D45" s="355"/>
      <c r="E45" s="355"/>
      <c r="F45" s="227">
        <f t="shared" ref="F45:F48" si="69">SUM(M45,S45,U45,W45,AC45,AE45,AG45,AI45,AK45)</f>
        <v>0</v>
      </c>
      <c r="G45" s="227"/>
      <c r="H45" s="96"/>
      <c r="I45" s="233"/>
      <c r="J45" s="100" t="e">
        <f t="shared" ref="J45:J48" si="70">I45/F45</f>
        <v>#DIV/0!</v>
      </c>
      <c r="K45" s="233"/>
      <c r="L45" s="100" t="e">
        <f t="shared" ref="L45:L48" si="71">K45/F45</f>
        <v>#DIV/0!</v>
      </c>
      <c r="M45" s="226">
        <f t="shared" ref="M45:M48" si="72">SUM(I45+K45)</f>
        <v>0</v>
      </c>
      <c r="N45" s="100" t="e">
        <f t="shared" ref="N45:N48" si="73">M45/F45</f>
        <v>#DIV/0!</v>
      </c>
      <c r="O45" s="233"/>
      <c r="P45" s="100" t="e">
        <f t="shared" ref="P45:P48" si="74">O45/F45</f>
        <v>#DIV/0!</v>
      </c>
      <c r="Q45" s="233"/>
      <c r="R45" s="100" t="e">
        <f t="shared" ref="R45:R48" si="75">Q45/$F45</f>
        <v>#DIV/0!</v>
      </c>
      <c r="S45" s="226">
        <f t="shared" ref="S45:S48" si="76">SUM(O45+Q45)</f>
        <v>0</v>
      </c>
      <c r="T45" s="100" t="e">
        <f t="shared" ref="T45:T48" si="77">S45/F45</f>
        <v>#DIV/0!</v>
      </c>
      <c r="U45" s="233"/>
      <c r="V45" s="100" t="e">
        <f t="shared" ref="V45:V48" si="78">U45/F45</f>
        <v>#DIV/0!</v>
      </c>
      <c r="W45" s="233"/>
      <c r="X45" s="100" t="e">
        <f t="shared" ref="X45:X48" si="79">W45/F45</f>
        <v>#DIV/0!</v>
      </c>
      <c r="Y45" s="233"/>
      <c r="Z45" s="100" t="e">
        <f t="shared" ref="Z45:Z48" si="80">Y45/F45</f>
        <v>#DIV/0!</v>
      </c>
      <c r="AA45" s="233"/>
      <c r="AB45" s="100" t="e">
        <f t="shared" ref="AB45:AB48" si="81">AA45/$F45</f>
        <v>#DIV/0!</v>
      </c>
      <c r="AC45" s="226">
        <f t="shared" ref="AC45:AC48" si="82">SUM(Y45+AA45)</f>
        <v>0</v>
      </c>
      <c r="AD45" s="100" t="e">
        <f t="shared" ref="AD45:AD48" si="83">AC45/F45</f>
        <v>#DIV/0!</v>
      </c>
      <c r="AE45" s="233"/>
      <c r="AF45" s="100" t="e">
        <f t="shared" ref="AF45:AF48" si="84">AE45/F45</f>
        <v>#DIV/0!</v>
      </c>
      <c r="AG45" s="233"/>
      <c r="AH45" s="100" t="e">
        <f t="shared" ref="AH45:AH48" si="85">AG45/F45</f>
        <v>#DIV/0!</v>
      </c>
      <c r="AI45" s="233"/>
      <c r="AJ45" s="100" t="e">
        <f t="shared" ref="AJ45:AJ48" si="86">AI45/F45</f>
        <v>#DIV/0!</v>
      </c>
      <c r="AK45" s="233"/>
      <c r="AL45" s="100" t="e">
        <f t="shared" ref="AL45:AL48" si="87">AK45/F45</f>
        <v>#DIV/0!</v>
      </c>
    </row>
    <row r="46" spans="2:38" ht="14.25">
      <c r="B46" s="97"/>
      <c r="C46" s="83"/>
      <c r="D46" s="355"/>
      <c r="E46" s="355"/>
      <c r="F46" s="227">
        <f t="shared" si="69"/>
        <v>0</v>
      </c>
      <c r="G46" s="227"/>
      <c r="H46" s="96"/>
      <c r="I46" s="233"/>
      <c r="J46" s="100" t="e">
        <f t="shared" si="70"/>
        <v>#DIV/0!</v>
      </c>
      <c r="K46" s="233"/>
      <c r="L46" s="100" t="e">
        <f t="shared" si="71"/>
        <v>#DIV/0!</v>
      </c>
      <c r="M46" s="226">
        <f t="shared" si="72"/>
        <v>0</v>
      </c>
      <c r="N46" s="100" t="e">
        <f t="shared" si="73"/>
        <v>#DIV/0!</v>
      </c>
      <c r="O46" s="233"/>
      <c r="P46" s="100" t="e">
        <f t="shared" si="74"/>
        <v>#DIV/0!</v>
      </c>
      <c r="Q46" s="233"/>
      <c r="R46" s="100" t="e">
        <f t="shared" si="75"/>
        <v>#DIV/0!</v>
      </c>
      <c r="S46" s="226">
        <f t="shared" si="76"/>
        <v>0</v>
      </c>
      <c r="T46" s="100" t="e">
        <f t="shared" si="77"/>
        <v>#DIV/0!</v>
      </c>
      <c r="U46" s="233"/>
      <c r="V46" s="100" t="e">
        <f t="shared" si="78"/>
        <v>#DIV/0!</v>
      </c>
      <c r="W46" s="233"/>
      <c r="X46" s="100" t="e">
        <f t="shared" si="79"/>
        <v>#DIV/0!</v>
      </c>
      <c r="Y46" s="233"/>
      <c r="Z46" s="100" t="e">
        <f t="shared" si="80"/>
        <v>#DIV/0!</v>
      </c>
      <c r="AA46" s="233"/>
      <c r="AB46" s="100" t="e">
        <f t="shared" si="81"/>
        <v>#DIV/0!</v>
      </c>
      <c r="AC46" s="226">
        <f t="shared" si="82"/>
        <v>0</v>
      </c>
      <c r="AD46" s="100" t="e">
        <f t="shared" si="83"/>
        <v>#DIV/0!</v>
      </c>
      <c r="AE46" s="233"/>
      <c r="AF46" s="100" t="e">
        <f t="shared" si="84"/>
        <v>#DIV/0!</v>
      </c>
      <c r="AG46" s="233"/>
      <c r="AH46" s="100" t="e">
        <f t="shared" si="85"/>
        <v>#DIV/0!</v>
      </c>
      <c r="AI46" s="233"/>
      <c r="AJ46" s="100" t="e">
        <f t="shared" si="86"/>
        <v>#DIV/0!</v>
      </c>
      <c r="AK46" s="233"/>
      <c r="AL46" s="100" t="e">
        <f t="shared" si="87"/>
        <v>#DIV/0!</v>
      </c>
    </row>
    <row r="47" spans="2:38" ht="14.25">
      <c r="B47" s="97"/>
      <c r="C47" s="83"/>
      <c r="D47" s="355"/>
      <c r="E47" s="355"/>
      <c r="F47" s="227">
        <f t="shared" si="69"/>
        <v>0</v>
      </c>
      <c r="G47" s="227"/>
      <c r="H47" s="96"/>
      <c r="I47" s="233"/>
      <c r="J47" s="100" t="e">
        <f t="shared" si="70"/>
        <v>#DIV/0!</v>
      </c>
      <c r="K47" s="233"/>
      <c r="L47" s="100" t="e">
        <f t="shared" si="71"/>
        <v>#DIV/0!</v>
      </c>
      <c r="M47" s="226">
        <f t="shared" si="72"/>
        <v>0</v>
      </c>
      <c r="N47" s="100" t="e">
        <f t="shared" si="73"/>
        <v>#DIV/0!</v>
      </c>
      <c r="O47" s="233"/>
      <c r="P47" s="100" t="e">
        <f t="shared" si="74"/>
        <v>#DIV/0!</v>
      </c>
      <c r="Q47" s="233"/>
      <c r="R47" s="100" t="e">
        <f t="shared" si="75"/>
        <v>#DIV/0!</v>
      </c>
      <c r="S47" s="226">
        <f t="shared" si="76"/>
        <v>0</v>
      </c>
      <c r="T47" s="100" t="e">
        <f t="shared" si="77"/>
        <v>#DIV/0!</v>
      </c>
      <c r="U47" s="233"/>
      <c r="V47" s="100" t="e">
        <f t="shared" si="78"/>
        <v>#DIV/0!</v>
      </c>
      <c r="W47" s="233"/>
      <c r="X47" s="100" t="e">
        <f t="shared" si="79"/>
        <v>#DIV/0!</v>
      </c>
      <c r="Y47" s="233"/>
      <c r="Z47" s="100" t="e">
        <f t="shared" si="80"/>
        <v>#DIV/0!</v>
      </c>
      <c r="AA47" s="233"/>
      <c r="AB47" s="100" t="e">
        <f t="shared" si="81"/>
        <v>#DIV/0!</v>
      </c>
      <c r="AC47" s="226">
        <f t="shared" si="82"/>
        <v>0</v>
      </c>
      <c r="AD47" s="100" t="e">
        <f t="shared" si="83"/>
        <v>#DIV/0!</v>
      </c>
      <c r="AE47" s="233"/>
      <c r="AF47" s="100" t="e">
        <f t="shared" si="84"/>
        <v>#DIV/0!</v>
      </c>
      <c r="AG47" s="233"/>
      <c r="AH47" s="100" t="e">
        <f t="shared" si="85"/>
        <v>#DIV/0!</v>
      </c>
      <c r="AI47" s="233"/>
      <c r="AJ47" s="100" t="e">
        <f t="shared" si="86"/>
        <v>#DIV/0!</v>
      </c>
      <c r="AK47" s="233"/>
      <c r="AL47" s="100" t="e">
        <f t="shared" si="87"/>
        <v>#DIV/0!</v>
      </c>
    </row>
    <row r="48" spans="2:38" ht="14.25">
      <c r="B48" s="97"/>
      <c r="C48" s="83"/>
      <c r="D48" s="355"/>
      <c r="E48" s="355"/>
      <c r="F48" s="227">
        <f t="shared" si="69"/>
        <v>0</v>
      </c>
      <c r="G48" s="227"/>
      <c r="H48" s="96"/>
      <c r="I48" s="233"/>
      <c r="J48" s="100" t="e">
        <f t="shared" si="70"/>
        <v>#DIV/0!</v>
      </c>
      <c r="K48" s="233"/>
      <c r="L48" s="100" t="e">
        <f t="shared" si="71"/>
        <v>#DIV/0!</v>
      </c>
      <c r="M48" s="226">
        <f t="shared" si="72"/>
        <v>0</v>
      </c>
      <c r="N48" s="100" t="e">
        <f t="shared" si="73"/>
        <v>#DIV/0!</v>
      </c>
      <c r="O48" s="233"/>
      <c r="P48" s="100" t="e">
        <f t="shared" si="74"/>
        <v>#DIV/0!</v>
      </c>
      <c r="Q48" s="233"/>
      <c r="R48" s="100" t="e">
        <f t="shared" si="75"/>
        <v>#DIV/0!</v>
      </c>
      <c r="S48" s="226">
        <f t="shared" si="76"/>
        <v>0</v>
      </c>
      <c r="T48" s="100" t="e">
        <f t="shared" si="77"/>
        <v>#DIV/0!</v>
      </c>
      <c r="U48" s="233"/>
      <c r="V48" s="100" t="e">
        <f t="shared" si="78"/>
        <v>#DIV/0!</v>
      </c>
      <c r="W48" s="233"/>
      <c r="X48" s="100" t="e">
        <f t="shared" si="79"/>
        <v>#DIV/0!</v>
      </c>
      <c r="Y48" s="233"/>
      <c r="Z48" s="100" t="e">
        <f t="shared" si="80"/>
        <v>#DIV/0!</v>
      </c>
      <c r="AA48" s="233"/>
      <c r="AB48" s="100" t="e">
        <f t="shared" si="81"/>
        <v>#DIV/0!</v>
      </c>
      <c r="AC48" s="226">
        <f t="shared" si="82"/>
        <v>0</v>
      </c>
      <c r="AD48" s="100" t="e">
        <f t="shared" si="83"/>
        <v>#DIV/0!</v>
      </c>
      <c r="AE48" s="233"/>
      <c r="AF48" s="100" t="e">
        <f t="shared" si="84"/>
        <v>#DIV/0!</v>
      </c>
      <c r="AG48" s="233"/>
      <c r="AH48" s="100" t="e">
        <f t="shared" si="85"/>
        <v>#DIV/0!</v>
      </c>
      <c r="AI48" s="233"/>
      <c r="AJ48" s="100" t="e">
        <f t="shared" si="86"/>
        <v>#DIV/0!</v>
      </c>
      <c r="AK48" s="233"/>
      <c r="AL48" s="100" t="e">
        <f t="shared" si="87"/>
        <v>#DIV/0!</v>
      </c>
    </row>
    <row r="49" spans="1:46" ht="14.25">
      <c r="B49" s="97"/>
      <c r="C49" s="83"/>
      <c r="D49" s="355"/>
      <c r="E49" s="355"/>
      <c r="F49" s="227">
        <f t="shared" si="19"/>
        <v>0</v>
      </c>
      <c r="G49" s="227"/>
      <c r="H49" s="96"/>
      <c r="I49" s="233"/>
      <c r="J49" s="100" t="e">
        <f>I49/F49</f>
        <v>#DIV/0!</v>
      </c>
      <c r="K49" s="233"/>
      <c r="L49" s="100" t="e">
        <f>K49/F49</f>
        <v>#DIV/0!</v>
      </c>
      <c r="M49" s="226">
        <f>SUM(I49+K49)</f>
        <v>0</v>
      </c>
      <c r="N49" s="100" t="e">
        <f>M49/F49</f>
        <v>#DIV/0!</v>
      </c>
      <c r="O49" s="233"/>
      <c r="P49" s="100" t="e">
        <f>O49/F49</f>
        <v>#DIV/0!</v>
      </c>
      <c r="Q49" s="233"/>
      <c r="R49" s="100" t="e">
        <f t="shared" si="47"/>
        <v>#DIV/0!</v>
      </c>
      <c r="S49" s="226">
        <f t="shared" si="48"/>
        <v>0</v>
      </c>
      <c r="T49" s="100" t="e">
        <f>S49/F49</f>
        <v>#DIV/0!</v>
      </c>
      <c r="U49" s="233"/>
      <c r="V49" s="100" t="e">
        <f>U49/F49</f>
        <v>#DIV/0!</v>
      </c>
      <c r="W49" s="233"/>
      <c r="X49" s="100" t="e">
        <f>W49/F49</f>
        <v>#DIV/0!</v>
      </c>
      <c r="Y49" s="233"/>
      <c r="Z49" s="100" t="e">
        <f>Y49/F49</f>
        <v>#DIV/0!</v>
      </c>
      <c r="AA49" s="233"/>
      <c r="AB49" s="100" t="e">
        <f t="shared" si="63"/>
        <v>#DIV/0!</v>
      </c>
      <c r="AC49" s="226">
        <f>SUM(Y49+AA49)</f>
        <v>0</v>
      </c>
      <c r="AD49" s="100" t="e">
        <f>AC49/F49</f>
        <v>#DIV/0!</v>
      </c>
      <c r="AE49" s="233"/>
      <c r="AF49" s="100" t="e">
        <f>AE49/F49</f>
        <v>#DIV/0!</v>
      </c>
      <c r="AG49" s="233"/>
      <c r="AH49" s="100" t="e">
        <f>AG49/F49</f>
        <v>#DIV/0!</v>
      </c>
      <c r="AI49" s="233"/>
      <c r="AJ49" s="100" t="e">
        <f>AI49/F49</f>
        <v>#DIV/0!</v>
      </c>
      <c r="AK49" s="233"/>
      <c r="AL49" s="100" t="e">
        <f>AK49/F49</f>
        <v>#DIV/0!</v>
      </c>
    </row>
    <row r="50" spans="1:46" ht="14.25">
      <c r="B50" s="97"/>
      <c r="C50" s="83"/>
      <c r="D50" s="355"/>
      <c r="E50" s="355"/>
      <c r="F50" s="96"/>
      <c r="G50" s="96"/>
      <c r="H50" s="96"/>
      <c r="I50" s="270">
        <f>SUM(I7:I49)</f>
        <v>18950250.680551022</v>
      </c>
      <c r="J50" s="266">
        <f>I50/$H$12</f>
        <v>7.6369266741504696E-2</v>
      </c>
      <c r="K50" s="270">
        <f>SUM(K7:K49)</f>
        <v>26746409.386180099</v>
      </c>
      <c r="L50" s="266">
        <f>K50/$H$12</f>
        <v>0.10778768614850215</v>
      </c>
      <c r="M50" s="270">
        <f>SUM(M8:M49)</f>
        <v>44342131.789775267</v>
      </c>
      <c r="N50" s="266" t="e">
        <f>M50/$H$8</f>
        <v>#DIV/0!</v>
      </c>
      <c r="O50" s="270">
        <f>SUM(O7:O49)</f>
        <v>6232125.243781019</v>
      </c>
      <c r="P50" s="266">
        <f>O50/$H$12</f>
        <v>2.5115384652787003E-2</v>
      </c>
      <c r="Q50" s="270">
        <f>SUM(Q7:Q49)</f>
        <v>0</v>
      </c>
      <c r="R50" s="266">
        <f>Q50/$H$12</f>
        <v>0</v>
      </c>
      <c r="S50" s="270">
        <f>SUM(S8:S49)</f>
        <v>6015780.6050803326</v>
      </c>
      <c r="T50" s="266" t="e">
        <f>S50/$H$8</f>
        <v>#DIV/0!</v>
      </c>
      <c r="U50" s="270">
        <f>SUM(U7:U49)</f>
        <v>33810737.661965959</v>
      </c>
      <c r="V50" s="266">
        <f>U50/$H$12</f>
        <v>0.13625683832688151</v>
      </c>
      <c r="W50" s="270">
        <f>SUM(W7:W49)</f>
        <v>1770645.3759915594</v>
      </c>
      <c r="X50" s="266">
        <f>W50/$H$12</f>
        <v>7.1356781133503902E-3</v>
      </c>
      <c r="Y50" s="270">
        <f>SUM(Y7:Y49)</f>
        <v>24814481.126624431</v>
      </c>
      <c r="Z50" s="266">
        <f>Y50/$H$12</f>
        <v>0.1000020400867917</v>
      </c>
      <c r="AA50" s="270">
        <f>SUM(AA7:AA49)</f>
        <v>40450512.810639516</v>
      </c>
      <c r="AB50" s="266">
        <f>AA50/$H$12</f>
        <v>0.1630150468582908</v>
      </c>
      <c r="AC50" s="270">
        <f>SUM(AC8:AC49)</f>
        <v>63361602.655361414</v>
      </c>
      <c r="AD50" s="266" t="e">
        <f>AC50/$H$8</f>
        <v>#DIV/0!</v>
      </c>
      <c r="AE50" s="270">
        <f>SUM(AE7:AE49)</f>
        <v>45816108.618545249</v>
      </c>
      <c r="AF50" s="266">
        <f>AE50/$H$12</f>
        <v>0.18463832901896443</v>
      </c>
      <c r="AG50" s="270">
        <f>SUM(AG7:AG49)</f>
        <v>24848504.011937238</v>
      </c>
      <c r="AH50" s="266">
        <f>AG50/$H$12</f>
        <v>0.10013915187742549</v>
      </c>
      <c r="AI50" s="270">
        <f>SUM(AI7:AI49)</f>
        <v>33627885.955463901</v>
      </c>
      <c r="AJ50" s="266">
        <f>AI50/$H$12</f>
        <v>0.13551994829922998</v>
      </c>
      <c r="AK50" s="270">
        <f>SUM(AK7:AK49)</f>
        <v>23318047.128319986</v>
      </c>
      <c r="AL50" s="266">
        <f>AK50/$H$12</f>
        <v>9.3971430302043163E-2</v>
      </c>
    </row>
    <row r="51" spans="1:46" ht="14.25">
      <c r="B51" s="97"/>
      <c r="C51" s="83"/>
      <c r="D51" s="355"/>
      <c r="E51" s="355"/>
      <c r="F51" s="96"/>
      <c r="G51" s="96"/>
      <c r="H51" s="96"/>
      <c r="I51" s="267"/>
      <c r="J51" s="268"/>
      <c r="K51" s="267"/>
      <c r="L51" s="268"/>
      <c r="M51" s="269">
        <f>M50</f>
        <v>44342131.789775267</v>
      </c>
      <c r="N51" s="268"/>
      <c r="O51" s="267"/>
      <c r="P51" s="268"/>
      <c r="Q51" s="267"/>
      <c r="R51" s="268"/>
      <c r="S51" s="269">
        <f>S50</f>
        <v>6015780.6050803326</v>
      </c>
      <c r="T51" s="268"/>
      <c r="U51" s="269">
        <f>U50</f>
        <v>33810737.661965959</v>
      </c>
      <c r="V51" s="268"/>
      <c r="W51" s="269">
        <f>W50</f>
        <v>1770645.3759915594</v>
      </c>
      <c r="X51" s="268"/>
      <c r="Y51" s="267"/>
      <c r="Z51" s="268"/>
      <c r="AA51" s="267"/>
      <c r="AB51" s="268"/>
      <c r="AC51" s="269">
        <f>AC50</f>
        <v>63361602.655361414</v>
      </c>
      <c r="AD51" s="268"/>
      <c r="AE51" s="269">
        <f>AE50</f>
        <v>45816108.618545249</v>
      </c>
      <c r="AF51" s="268"/>
      <c r="AG51" s="269">
        <f>AG50</f>
        <v>24848504.011937238</v>
      </c>
      <c r="AH51" s="268"/>
      <c r="AI51" s="269">
        <f>AI50</f>
        <v>33627885.955463901</v>
      </c>
      <c r="AJ51" s="268"/>
      <c r="AK51" s="269">
        <f>AK50</f>
        <v>23318047.128319986</v>
      </c>
      <c r="AL51" s="268"/>
    </row>
    <row r="52" spans="1:46" ht="14.25">
      <c r="B52" s="97"/>
      <c r="C52" s="83"/>
      <c r="D52" s="355"/>
      <c r="E52" s="355"/>
      <c r="F52" s="96"/>
      <c r="G52" s="96"/>
      <c r="H52" s="96"/>
    </row>
    <row r="53" spans="1:46" ht="14.25">
      <c r="B53" s="97"/>
      <c r="C53" s="83"/>
      <c r="D53" s="84"/>
      <c r="F53" s="96"/>
      <c r="G53" s="96"/>
      <c r="H53" s="96"/>
    </row>
    <row r="54" spans="1:46" s="84" customFormat="1" ht="14.25">
      <c r="A54" s="77"/>
      <c r="B54" s="97"/>
      <c r="C54" s="83"/>
      <c r="F54" s="101"/>
      <c r="G54" s="101"/>
      <c r="H54" s="101"/>
      <c r="I54" s="96"/>
      <c r="J54" s="89"/>
      <c r="K54" s="96"/>
      <c r="L54" s="89"/>
      <c r="M54" s="89"/>
      <c r="N54" s="89"/>
      <c r="O54" s="96"/>
      <c r="P54" s="89"/>
      <c r="Q54" s="96"/>
      <c r="R54" s="89"/>
      <c r="S54" s="96"/>
      <c r="T54" s="89"/>
      <c r="U54" s="96"/>
      <c r="V54" s="89"/>
      <c r="W54" s="96"/>
      <c r="X54" s="89"/>
      <c r="Y54" s="96"/>
      <c r="Z54" s="89"/>
      <c r="AA54" s="96"/>
      <c r="AB54" s="89"/>
      <c r="AC54" s="96"/>
      <c r="AD54" s="89"/>
      <c r="AE54" s="96"/>
      <c r="AF54" s="89"/>
      <c r="AG54" s="96"/>
      <c r="AH54" s="89"/>
      <c r="AI54" s="96"/>
      <c r="AJ54" s="89"/>
      <c r="AK54" s="96"/>
      <c r="AL54" s="89"/>
      <c r="AM54" s="77"/>
      <c r="AN54" s="77"/>
      <c r="AO54" s="77"/>
      <c r="AP54" s="77"/>
      <c r="AQ54" s="77"/>
      <c r="AR54" s="77"/>
      <c r="AS54" s="77"/>
      <c r="AT54" s="77"/>
    </row>
    <row r="55" spans="1:46" s="84" customFormat="1" ht="14.25">
      <c r="A55" s="77"/>
      <c r="B55" s="97"/>
      <c r="C55" s="83"/>
      <c r="F55" s="101"/>
      <c r="G55" s="101"/>
      <c r="H55" s="101"/>
      <c r="I55" s="96"/>
      <c r="J55" s="89"/>
      <c r="K55" s="96"/>
      <c r="L55" s="89"/>
      <c r="M55" s="89"/>
      <c r="N55" s="89"/>
      <c r="O55" s="96"/>
      <c r="P55" s="89"/>
      <c r="Q55" s="96"/>
      <c r="R55" s="89"/>
      <c r="S55" s="96"/>
      <c r="T55" s="89"/>
      <c r="U55" s="96"/>
      <c r="V55" s="89"/>
      <c r="W55" s="96"/>
      <c r="X55" s="89"/>
      <c r="Y55" s="96"/>
      <c r="Z55" s="89"/>
      <c r="AA55" s="96"/>
      <c r="AB55" s="89"/>
      <c r="AC55" s="96"/>
      <c r="AD55" s="89"/>
      <c r="AE55" s="96"/>
      <c r="AF55" s="89"/>
      <c r="AG55" s="96"/>
      <c r="AH55" s="89"/>
      <c r="AI55" s="96"/>
      <c r="AJ55" s="89"/>
      <c r="AK55" s="96"/>
      <c r="AL55" s="89"/>
      <c r="AM55" s="77"/>
      <c r="AN55" s="77"/>
      <c r="AO55" s="77"/>
      <c r="AP55" s="77"/>
      <c r="AQ55" s="77"/>
      <c r="AR55" s="77"/>
      <c r="AS55" s="77"/>
      <c r="AT55" s="77"/>
    </row>
    <row r="56" spans="1:46" s="84" customFormat="1" ht="14.25">
      <c r="A56" s="77"/>
      <c r="B56" s="97"/>
      <c r="C56" s="83"/>
      <c r="F56" s="101"/>
      <c r="G56" s="101"/>
      <c r="H56" s="101"/>
      <c r="I56" s="96"/>
      <c r="J56" s="89"/>
      <c r="K56" s="96"/>
      <c r="L56" s="89"/>
      <c r="M56" s="89"/>
      <c r="N56" s="89"/>
      <c r="O56" s="96"/>
      <c r="P56" s="89"/>
      <c r="Q56" s="96"/>
      <c r="R56" s="89"/>
      <c r="S56" s="96"/>
      <c r="T56" s="89"/>
      <c r="U56" s="96"/>
      <c r="V56" s="89"/>
      <c r="W56" s="96"/>
      <c r="X56" s="89"/>
      <c r="Y56" s="96"/>
      <c r="Z56" s="89"/>
      <c r="AA56" s="96"/>
      <c r="AB56" s="89"/>
      <c r="AC56" s="96"/>
      <c r="AD56" s="89"/>
      <c r="AE56" s="96"/>
      <c r="AF56" s="89"/>
      <c r="AG56" s="96"/>
      <c r="AH56" s="89"/>
      <c r="AI56" s="96"/>
      <c r="AJ56" s="89"/>
      <c r="AK56" s="96"/>
      <c r="AL56" s="89"/>
      <c r="AM56" s="77"/>
      <c r="AN56" s="77"/>
      <c r="AO56" s="77"/>
      <c r="AP56" s="77"/>
      <c r="AQ56" s="77"/>
      <c r="AR56" s="77"/>
      <c r="AS56" s="77"/>
      <c r="AT56" s="77"/>
    </row>
    <row r="57" spans="1:46" s="84" customFormat="1" ht="14.25">
      <c r="A57" s="77"/>
      <c r="B57" s="97"/>
      <c r="C57" s="83"/>
      <c r="F57" s="101"/>
      <c r="G57" s="101"/>
      <c r="H57" s="101"/>
      <c r="I57" s="96"/>
      <c r="J57" s="89"/>
      <c r="K57" s="96"/>
      <c r="L57" s="89"/>
      <c r="M57" s="89"/>
      <c r="N57" s="89"/>
      <c r="O57" s="96"/>
      <c r="P57" s="89"/>
      <c r="Q57" s="96"/>
      <c r="R57" s="89"/>
      <c r="S57" s="96"/>
      <c r="T57" s="89"/>
      <c r="U57" s="96"/>
      <c r="V57" s="89"/>
      <c r="W57" s="96"/>
      <c r="X57" s="89"/>
      <c r="Y57" s="96"/>
      <c r="Z57" s="89"/>
      <c r="AA57" s="96"/>
      <c r="AB57" s="89"/>
      <c r="AC57" s="96"/>
      <c r="AD57" s="89"/>
      <c r="AE57" s="96"/>
      <c r="AF57" s="89"/>
      <c r="AG57" s="96"/>
      <c r="AH57" s="89"/>
      <c r="AI57" s="96"/>
      <c r="AJ57" s="89"/>
      <c r="AK57" s="96"/>
      <c r="AL57" s="89"/>
      <c r="AM57" s="77"/>
      <c r="AN57" s="77"/>
      <c r="AO57" s="77"/>
      <c r="AP57" s="77"/>
      <c r="AQ57" s="77"/>
      <c r="AR57" s="77"/>
      <c r="AS57" s="77"/>
      <c r="AT57" s="77"/>
    </row>
    <row r="58" spans="1:46" s="84" customFormat="1" ht="14.25">
      <c r="A58" s="77"/>
      <c r="B58" s="97"/>
      <c r="C58" s="83"/>
      <c r="F58" s="101"/>
      <c r="G58" s="101"/>
      <c r="H58" s="101"/>
      <c r="I58" s="96"/>
      <c r="J58" s="89"/>
      <c r="K58" s="96"/>
      <c r="L58" s="89"/>
      <c r="M58" s="89"/>
      <c r="N58" s="89"/>
      <c r="O58" s="96"/>
      <c r="P58" s="89"/>
      <c r="Q58" s="96"/>
      <c r="R58" s="89"/>
      <c r="S58" s="96"/>
      <c r="T58" s="89"/>
      <c r="U58" s="96"/>
      <c r="V58" s="89"/>
      <c r="W58" s="96"/>
      <c r="X58" s="89"/>
      <c r="Y58" s="96"/>
      <c r="Z58" s="89"/>
      <c r="AA58" s="96"/>
      <c r="AB58" s="89"/>
      <c r="AC58" s="96"/>
      <c r="AD58" s="89"/>
      <c r="AE58" s="96"/>
      <c r="AF58" s="89"/>
      <c r="AG58" s="96"/>
      <c r="AH58" s="89"/>
      <c r="AI58" s="96"/>
      <c r="AJ58" s="89"/>
      <c r="AK58" s="96"/>
      <c r="AL58" s="89"/>
      <c r="AM58" s="77"/>
      <c r="AN58" s="77"/>
      <c r="AO58" s="77"/>
      <c r="AP58" s="77"/>
      <c r="AQ58" s="77"/>
      <c r="AR58" s="77"/>
      <c r="AS58" s="77"/>
      <c r="AT58" s="77"/>
    </row>
    <row r="59" spans="1:46" s="84" customFormat="1" ht="14.25">
      <c r="A59" s="77"/>
      <c r="B59" s="97"/>
      <c r="C59" s="83"/>
      <c r="F59" s="101"/>
      <c r="G59" s="101"/>
      <c r="H59" s="101"/>
      <c r="I59" s="96"/>
      <c r="J59" s="89"/>
      <c r="K59" s="96"/>
      <c r="L59" s="89"/>
      <c r="M59" s="89"/>
      <c r="N59" s="89"/>
      <c r="O59" s="96"/>
      <c r="P59" s="89"/>
      <c r="Q59" s="96"/>
      <c r="R59" s="89"/>
      <c r="S59" s="96"/>
      <c r="T59" s="89"/>
      <c r="U59" s="96"/>
      <c r="V59" s="89"/>
      <c r="W59" s="96"/>
      <c r="X59" s="89"/>
      <c r="Y59" s="96"/>
      <c r="Z59" s="89"/>
      <c r="AA59" s="96"/>
      <c r="AB59" s="89"/>
      <c r="AC59" s="96"/>
      <c r="AD59" s="89"/>
      <c r="AE59" s="96"/>
      <c r="AF59" s="89"/>
      <c r="AG59" s="96"/>
      <c r="AH59" s="89"/>
      <c r="AI59" s="96"/>
      <c r="AJ59" s="89"/>
      <c r="AK59" s="96"/>
      <c r="AL59" s="89"/>
      <c r="AM59" s="77"/>
      <c r="AN59" s="77"/>
      <c r="AO59" s="77"/>
      <c r="AP59" s="77"/>
      <c r="AQ59" s="77"/>
      <c r="AR59" s="77"/>
      <c r="AS59" s="77"/>
      <c r="AT59" s="77"/>
    </row>
    <row r="60" spans="1:46" s="84" customFormat="1" ht="14.25">
      <c r="A60" s="77"/>
      <c r="B60" s="97"/>
      <c r="C60" s="83"/>
      <c r="F60" s="101"/>
      <c r="G60" s="101"/>
      <c r="H60" s="101"/>
      <c r="I60" s="96"/>
      <c r="J60" s="89"/>
      <c r="K60" s="96"/>
      <c r="L60" s="89"/>
      <c r="M60" s="89"/>
      <c r="N60" s="89"/>
      <c r="O60" s="96"/>
      <c r="P60" s="89"/>
      <c r="Q60" s="96"/>
      <c r="R60" s="89"/>
      <c r="S60" s="96"/>
      <c r="T60" s="89"/>
      <c r="U60" s="96"/>
      <c r="V60" s="89"/>
      <c r="W60" s="96"/>
      <c r="X60" s="89"/>
      <c r="Y60" s="96"/>
      <c r="Z60" s="89"/>
      <c r="AA60" s="96"/>
      <c r="AB60" s="89"/>
      <c r="AC60" s="96"/>
      <c r="AD60" s="89"/>
      <c r="AE60" s="96"/>
      <c r="AF60" s="89"/>
      <c r="AG60" s="96"/>
      <c r="AH60" s="89"/>
      <c r="AI60" s="96"/>
      <c r="AJ60" s="89"/>
      <c r="AK60" s="96"/>
      <c r="AL60" s="89"/>
      <c r="AM60" s="77"/>
      <c r="AN60" s="77"/>
      <c r="AO60" s="77"/>
      <c r="AP60" s="77"/>
      <c r="AQ60" s="77"/>
      <c r="AR60" s="77"/>
      <c r="AS60" s="77"/>
      <c r="AT60" s="77"/>
    </row>
    <row r="61" spans="1:46" s="84" customFormat="1" ht="14.25">
      <c r="A61" s="77"/>
      <c r="B61" s="97"/>
      <c r="C61" s="83"/>
      <c r="F61" s="101"/>
      <c r="G61" s="101"/>
      <c r="H61" s="101"/>
      <c r="I61" s="96"/>
      <c r="J61" s="89"/>
      <c r="K61" s="96"/>
      <c r="L61" s="89"/>
      <c r="M61" s="89"/>
      <c r="N61" s="89"/>
      <c r="O61" s="96"/>
      <c r="P61" s="89"/>
      <c r="Q61" s="96"/>
      <c r="R61" s="89"/>
      <c r="S61" s="96"/>
      <c r="T61" s="89"/>
      <c r="U61" s="96"/>
      <c r="V61" s="89"/>
      <c r="W61" s="96"/>
      <c r="X61" s="89"/>
      <c r="Y61" s="96"/>
      <c r="Z61" s="89"/>
      <c r="AA61" s="96"/>
      <c r="AB61" s="89"/>
      <c r="AC61" s="96"/>
      <c r="AD61" s="89"/>
      <c r="AE61" s="96"/>
      <c r="AF61" s="89"/>
      <c r="AG61" s="96"/>
      <c r="AH61" s="89"/>
      <c r="AI61" s="96"/>
      <c r="AJ61" s="89"/>
      <c r="AK61" s="96"/>
      <c r="AL61" s="89"/>
      <c r="AM61" s="77"/>
      <c r="AN61" s="77"/>
      <c r="AO61" s="77"/>
      <c r="AP61" s="77"/>
      <c r="AQ61" s="77"/>
      <c r="AR61" s="77"/>
      <c r="AS61" s="77"/>
      <c r="AT61" s="77"/>
    </row>
    <row r="62" spans="1:46" s="84" customFormat="1" ht="14.25">
      <c r="A62" s="77"/>
      <c r="B62" s="97"/>
      <c r="C62" s="83"/>
      <c r="F62" s="101"/>
      <c r="G62" s="101"/>
      <c r="H62" s="101"/>
      <c r="I62" s="96"/>
      <c r="J62" s="89"/>
      <c r="K62" s="96"/>
      <c r="L62" s="89"/>
      <c r="M62" s="89"/>
      <c r="N62" s="89"/>
      <c r="O62" s="96"/>
      <c r="P62" s="89"/>
      <c r="Q62" s="96"/>
      <c r="R62" s="89"/>
      <c r="S62" s="96"/>
      <c r="T62" s="89"/>
      <c r="U62" s="96"/>
      <c r="V62" s="89"/>
      <c r="W62" s="96"/>
      <c r="X62" s="89"/>
      <c r="Y62" s="96"/>
      <c r="Z62" s="89"/>
      <c r="AA62" s="96"/>
      <c r="AB62" s="89"/>
      <c r="AC62" s="96"/>
      <c r="AD62" s="89"/>
      <c r="AE62" s="96"/>
      <c r="AF62" s="89"/>
      <c r="AG62" s="96"/>
      <c r="AH62" s="89"/>
      <c r="AI62" s="96"/>
      <c r="AJ62" s="89"/>
      <c r="AK62" s="96"/>
      <c r="AL62" s="89"/>
      <c r="AM62" s="77"/>
      <c r="AN62" s="77"/>
      <c r="AO62" s="77"/>
      <c r="AP62" s="77"/>
      <c r="AQ62" s="77"/>
      <c r="AR62" s="77"/>
      <c r="AS62" s="77"/>
      <c r="AT62" s="77"/>
    </row>
    <row r="63" spans="1:46" s="84" customFormat="1" ht="14.25">
      <c r="A63" s="77"/>
      <c r="B63" s="97"/>
      <c r="C63" s="83"/>
      <c r="F63" s="101"/>
      <c r="G63" s="101"/>
      <c r="H63" s="101"/>
      <c r="I63" s="96"/>
      <c r="J63" s="89"/>
      <c r="K63" s="96"/>
      <c r="L63" s="89"/>
      <c r="M63" s="89"/>
      <c r="N63" s="89"/>
      <c r="O63" s="96"/>
      <c r="P63" s="89"/>
      <c r="Q63" s="96"/>
      <c r="R63" s="89"/>
      <c r="S63" s="96"/>
      <c r="T63" s="89"/>
      <c r="U63" s="96"/>
      <c r="V63" s="89"/>
      <c r="W63" s="96"/>
      <c r="X63" s="89"/>
      <c r="Y63" s="96"/>
      <c r="Z63" s="89"/>
      <c r="AA63" s="96"/>
      <c r="AB63" s="89"/>
      <c r="AC63" s="96"/>
      <c r="AD63" s="89"/>
      <c r="AE63" s="96"/>
      <c r="AF63" s="89"/>
      <c r="AG63" s="96"/>
      <c r="AH63" s="89"/>
      <c r="AI63" s="96"/>
      <c r="AJ63" s="89"/>
      <c r="AK63" s="96"/>
      <c r="AL63" s="89"/>
      <c r="AM63" s="77"/>
      <c r="AN63" s="77"/>
      <c r="AO63" s="77"/>
      <c r="AP63" s="77"/>
      <c r="AQ63" s="77"/>
      <c r="AR63" s="77"/>
      <c r="AS63" s="77"/>
      <c r="AT63" s="77"/>
    </row>
    <row r="64" spans="1:46" s="84" customFormat="1" ht="14.25">
      <c r="A64" s="77"/>
      <c r="B64" s="97"/>
      <c r="C64" s="83"/>
      <c r="F64" s="101"/>
      <c r="G64" s="101"/>
      <c r="H64" s="101"/>
      <c r="I64" s="96"/>
      <c r="J64" s="89"/>
      <c r="K64" s="96"/>
      <c r="L64" s="89"/>
      <c r="M64" s="89"/>
      <c r="N64" s="89"/>
      <c r="O64" s="96"/>
      <c r="P64" s="89"/>
      <c r="Q64" s="96"/>
      <c r="R64" s="89"/>
      <c r="S64" s="96"/>
      <c r="T64" s="89"/>
      <c r="U64" s="96"/>
      <c r="V64" s="89"/>
      <c r="W64" s="96"/>
      <c r="X64" s="89"/>
      <c r="Y64" s="96"/>
      <c r="Z64" s="89"/>
      <c r="AA64" s="96"/>
      <c r="AB64" s="89"/>
      <c r="AC64" s="96"/>
      <c r="AD64" s="89"/>
      <c r="AE64" s="96"/>
      <c r="AF64" s="89"/>
      <c r="AG64" s="96"/>
      <c r="AH64" s="89"/>
      <c r="AI64" s="96"/>
      <c r="AJ64" s="89"/>
      <c r="AK64" s="96"/>
      <c r="AL64" s="89"/>
      <c r="AM64" s="77"/>
      <c r="AN64" s="77"/>
      <c r="AO64" s="77"/>
      <c r="AP64" s="77"/>
      <c r="AQ64" s="77"/>
      <c r="AR64" s="77"/>
      <c r="AS64" s="77"/>
      <c r="AT64" s="77"/>
    </row>
    <row r="65" spans="1:46" s="84" customFormat="1" ht="14.25">
      <c r="A65" s="77"/>
      <c r="B65" s="97"/>
      <c r="C65" s="83"/>
      <c r="F65" s="101"/>
      <c r="G65" s="101"/>
      <c r="H65" s="101"/>
      <c r="I65" s="96"/>
      <c r="J65" s="89"/>
      <c r="K65" s="96"/>
      <c r="L65" s="89"/>
      <c r="M65" s="89"/>
      <c r="N65" s="89"/>
      <c r="O65" s="96"/>
      <c r="P65" s="89"/>
      <c r="Q65" s="96"/>
      <c r="R65" s="89"/>
      <c r="S65" s="96"/>
      <c r="T65" s="89"/>
      <c r="U65" s="96"/>
      <c r="V65" s="89"/>
      <c r="W65" s="96"/>
      <c r="X65" s="89"/>
      <c r="Y65" s="96"/>
      <c r="Z65" s="89"/>
      <c r="AA65" s="96"/>
      <c r="AB65" s="89"/>
      <c r="AC65" s="96"/>
      <c r="AD65" s="89"/>
      <c r="AE65" s="96"/>
      <c r="AF65" s="89"/>
      <c r="AG65" s="96"/>
      <c r="AH65" s="89"/>
      <c r="AI65" s="96"/>
      <c r="AJ65" s="89"/>
      <c r="AK65" s="96"/>
      <c r="AL65" s="89"/>
      <c r="AM65" s="77"/>
      <c r="AN65" s="77"/>
      <c r="AO65" s="77"/>
      <c r="AP65" s="77"/>
      <c r="AQ65" s="77"/>
      <c r="AR65" s="77"/>
      <c r="AS65" s="77"/>
      <c r="AT65" s="77"/>
    </row>
    <row r="66" spans="1:46" s="84" customFormat="1" ht="14.25">
      <c r="A66" s="77"/>
      <c r="B66" s="97"/>
      <c r="C66" s="83"/>
      <c r="F66" s="101"/>
      <c r="G66" s="101"/>
      <c r="H66" s="101"/>
      <c r="I66" s="96"/>
      <c r="J66" s="89"/>
      <c r="K66" s="96"/>
      <c r="L66" s="89"/>
      <c r="M66" s="89"/>
      <c r="N66" s="89"/>
      <c r="O66" s="96"/>
      <c r="P66" s="89"/>
      <c r="Q66" s="96"/>
      <c r="R66" s="89"/>
      <c r="S66" s="96"/>
      <c r="T66" s="89"/>
      <c r="U66" s="96"/>
      <c r="V66" s="89"/>
      <c r="W66" s="96"/>
      <c r="X66" s="89"/>
      <c r="Y66" s="96"/>
      <c r="Z66" s="89"/>
      <c r="AA66" s="96"/>
      <c r="AB66" s="89"/>
      <c r="AC66" s="96"/>
      <c r="AD66" s="89"/>
      <c r="AE66" s="96"/>
      <c r="AF66" s="89"/>
      <c r="AG66" s="96"/>
      <c r="AH66" s="89"/>
      <c r="AI66" s="96"/>
      <c r="AJ66" s="89"/>
      <c r="AK66" s="96"/>
      <c r="AL66" s="89"/>
      <c r="AM66" s="77"/>
      <c r="AN66" s="77"/>
      <c r="AO66" s="77"/>
      <c r="AP66" s="77"/>
      <c r="AQ66" s="77"/>
      <c r="AR66" s="77"/>
      <c r="AS66" s="77"/>
      <c r="AT66" s="77"/>
    </row>
    <row r="67" spans="1:46" s="84" customFormat="1" ht="14.25">
      <c r="A67" s="77"/>
      <c r="B67" s="97"/>
      <c r="C67" s="83"/>
      <c r="F67" s="101"/>
      <c r="G67" s="101"/>
      <c r="H67" s="101"/>
      <c r="I67" s="96"/>
      <c r="J67" s="89"/>
      <c r="K67" s="96"/>
      <c r="L67" s="89"/>
      <c r="M67" s="89"/>
      <c r="N67" s="89"/>
      <c r="O67" s="96"/>
      <c r="P67" s="89"/>
      <c r="Q67" s="96"/>
      <c r="R67" s="89"/>
      <c r="S67" s="96"/>
      <c r="T67" s="89"/>
      <c r="U67" s="96"/>
      <c r="V67" s="89"/>
      <c r="W67" s="96"/>
      <c r="X67" s="89"/>
      <c r="Y67" s="96"/>
      <c r="Z67" s="89"/>
      <c r="AA67" s="96"/>
      <c r="AB67" s="89"/>
      <c r="AC67" s="96"/>
      <c r="AD67" s="89"/>
      <c r="AE67" s="96"/>
      <c r="AF67" s="89"/>
      <c r="AG67" s="96"/>
      <c r="AH67" s="89"/>
      <c r="AI67" s="96"/>
      <c r="AJ67" s="89"/>
      <c r="AK67" s="96"/>
      <c r="AL67" s="89"/>
      <c r="AM67" s="77"/>
      <c r="AN67" s="77"/>
      <c r="AO67" s="77"/>
      <c r="AP67" s="77"/>
      <c r="AQ67" s="77"/>
      <c r="AR67" s="77"/>
      <c r="AS67" s="77"/>
      <c r="AT67" s="77"/>
    </row>
    <row r="68" spans="1:46" s="84" customFormat="1" ht="14.25">
      <c r="A68" s="77"/>
      <c r="B68" s="97"/>
      <c r="C68" s="83"/>
      <c r="F68" s="101"/>
      <c r="G68" s="101"/>
      <c r="H68" s="101"/>
      <c r="I68" s="96"/>
      <c r="J68" s="89"/>
      <c r="K68" s="96"/>
      <c r="L68" s="89"/>
      <c r="M68" s="89"/>
      <c r="N68" s="89"/>
      <c r="O68" s="96"/>
      <c r="P68" s="89"/>
      <c r="Q68" s="96"/>
      <c r="R68" s="89"/>
      <c r="S68" s="96"/>
      <c r="T68" s="89"/>
      <c r="U68" s="96"/>
      <c r="V68" s="89"/>
      <c r="W68" s="96"/>
      <c r="X68" s="89"/>
      <c r="Y68" s="96"/>
      <c r="Z68" s="89"/>
      <c r="AA68" s="96"/>
      <c r="AB68" s="89"/>
      <c r="AC68" s="96"/>
      <c r="AD68" s="89"/>
      <c r="AE68" s="96"/>
      <c r="AF68" s="89"/>
      <c r="AG68" s="96"/>
      <c r="AH68" s="89"/>
      <c r="AI68" s="96"/>
      <c r="AJ68" s="89"/>
      <c r="AK68" s="96"/>
      <c r="AL68" s="89"/>
      <c r="AM68" s="77"/>
      <c r="AN68" s="77"/>
      <c r="AO68" s="77"/>
      <c r="AP68" s="77"/>
      <c r="AQ68" s="77"/>
      <c r="AR68" s="77"/>
      <c r="AS68" s="77"/>
      <c r="AT68" s="77"/>
    </row>
    <row r="69" spans="1:46" s="84" customFormat="1" ht="14.25">
      <c r="A69" s="77"/>
      <c r="B69" s="97"/>
      <c r="C69" s="83"/>
      <c r="F69" s="101"/>
      <c r="G69" s="101"/>
      <c r="H69" s="101"/>
      <c r="I69" s="96"/>
      <c r="J69" s="89"/>
      <c r="K69" s="96"/>
      <c r="L69" s="89"/>
      <c r="M69" s="89"/>
      <c r="N69" s="89"/>
      <c r="O69" s="96"/>
      <c r="P69" s="89"/>
      <c r="Q69" s="96"/>
      <c r="R69" s="89"/>
      <c r="S69" s="96"/>
      <c r="T69" s="89"/>
      <c r="U69" s="96"/>
      <c r="V69" s="89"/>
      <c r="W69" s="96"/>
      <c r="X69" s="89"/>
      <c r="Y69" s="96"/>
      <c r="Z69" s="89"/>
      <c r="AA69" s="96"/>
      <c r="AB69" s="89"/>
      <c r="AC69" s="96"/>
      <c r="AD69" s="89"/>
      <c r="AE69" s="96"/>
      <c r="AF69" s="89"/>
      <c r="AG69" s="96"/>
      <c r="AH69" s="89"/>
      <c r="AI69" s="96"/>
      <c r="AJ69" s="89"/>
      <c r="AK69" s="96"/>
      <c r="AL69" s="89"/>
      <c r="AM69" s="77"/>
      <c r="AN69" s="77"/>
      <c r="AO69" s="77"/>
      <c r="AP69" s="77"/>
      <c r="AQ69" s="77"/>
      <c r="AR69" s="77"/>
      <c r="AS69" s="77"/>
      <c r="AT69" s="77"/>
    </row>
    <row r="70" spans="1:46" s="84" customFormat="1" ht="14.25">
      <c r="A70" s="77"/>
      <c r="B70" s="97"/>
      <c r="C70" s="83"/>
      <c r="F70" s="101"/>
      <c r="G70" s="101"/>
      <c r="H70" s="101"/>
      <c r="I70" s="96"/>
      <c r="J70" s="89"/>
      <c r="K70" s="96"/>
      <c r="L70" s="89"/>
      <c r="M70" s="89"/>
      <c r="N70" s="89"/>
      <c r="O70" s="96"/>
      <c r="P70" s="89"/>
      <c r="Q70" s="96"/>
      <c r="R70" s="89"/>
      <c r="S70" s="96"/>
      <c r="T70" s="89"/>
      <c r="U70" s="96"/>
      <c r="V70" s="89"/>
      <c r="W70" s="96"/>
      <c r="X70" s="89"/>
      <c r="Y70" s="96"/>
      <c r="Z70" s="89"/>
      <c r="AA70" s="96"/>
      <c r="AB70" s="89"/>
      <c r="AC70" s="96"/>
      <c r="AD70" s="89"/>
      <c r="AE70" s="96"/>
      <c r="AF70" s="89"/>
      <c r="AG70" s="96"/>
      <c r="AH70" s="89"/>
      <c r="AI70" s="96"/>
      <c r="AJ70" s="89"/>
      <c r="AK70" s="96"/>
      <c r="AL70" s="89"/>
      <c r="AM70" s="77"/>
      <c r="AN70" s="77"/>
      <c r="AO70" s="77"/>
      <c r="AP70" s="77"/>
      <c r="AQ70" s="77"/>
      <c r="AR70" s="77"/>
      <c r="AS70" s="77"/>
      <c r="AT70" s="77"/>
    </row>
    <row r="71" spans="1:46" s="84" customFormat="1" ht="14.25">
      <c r="A71" s="77"/>
      <c r="B71" s="97"/>
      <c r="C71" s="83"/>
      <c r="F71" s="101"/>
      <c r="G71" s="101"/>
      <c r="H71" s="101"/>
      <c r="I71" s="96"/>
      <c r="J71" s="89"/>
      <c r="K71" s="96"/>
      <c r="L71" s="89"/>
      <c r="M71" s="89"/>
      <c r="N71" s="89"/>
      <c r="O71" s="96"/>
      <c r="P71" s="89"/>
      <c r="Q71" s="96"/>
      <c r="R71" s="89"/>
      <c r="S71" s="96"/>
      <c r="T71" s="89"/>
      <c r="U71" s="96"/>
      <c r="V71" s="89"/>
      <c r="W71" s="96"/>
      <c r="X71" s="89"/>
      <c r="Y71" s="96"/>
      <c r="Z71" s="89"/>
      <c r="AA71" s="96"/>
      <c r="AB71" s="89"/>
      <c r="AC71" s="96"/>
      <c r="AD71" s="89"/>
      <c r="AE71" s="96"/>
      <c r="AF71" s="89"/>
      <c r="AG71" s="96"/>
      <c r="AH71" s="89"/>
      <c r="AI71" s="96"/>
      <c r="AJ71" s="89"/>
      <c r="AK71" s="96"/>
      <c r="AL71" s="89"/>
      <c r="AM71" s="77"/>
      <c r="AN71" s="77"/>
      <c r="AO71" s="77"/>
      <c r="AP71" s="77"/>
      <c r="AQ71" s="77"/>
      <c r="AR71" s="77"/>
      <c r="AS71" s="77"/>
      <c r="AT71" s="77"/>
    </row>
    <row r="72" spans="1:46" s="84" customFormat="1" ht="14.25">
      <c r="A72" s="77"/>
      <c r="B72" s="97"/>
      <c r="C72" s="83"/>
      <c r="F72" s="101"/>
      <c r="G72" s="101"/>
      <c r="H72" s="101"/>
      <c r="I72" s="96"/>
      <c r="J72" s="89"/>
      <c r="K72" s="96"/>
      <c r="L72" s="89"/>
      <c r="M72" s="89"/>
      <c r="N72" s="89"/>
      <c r="O72" s="96"/>
      <c r="P72" s="89"/>
      <c r="Q72" s="96"/>
      <c r="R72" s="89"/>
      <c r="S72" s="96"/>
      <c r="T72" s="89"/>
      <c r="U72" s="96"/>
      <c r="V72" s="89"/>
      <c r="W72" s="96"/>
      <c r="X72" s="89"/>
      <c r="Y72" s="96"/>
      <c r="Z72" s="89"/>
      <c r="AA72" s="96"/>
      <c r="AB72" s="89"/>
      <c r="AC72" s="96"/>
      <c r="AD72" s="89"/>
      <c r="AE72" s="96"/>
      <c r="AF72" s="89"/>
      <c r="AG72" s="96"/>
      <c r="AH72" s="89"/>
      <c r="AI72" s="96"/>
      <c r="AJ72" s="89"/>
      <c r="AK72" s="96"/>
      <c r="AL72" s="89"/>
      <c r="AM72" s="77"/>
      <c r="AN72" s="77"/>
      <c r="AO72" s="77"/>
      <c r="AP72" s="77"/>
      <c r="AQ72" s="77"/>
      <c r="AR72" s="77"/>
      <c r="AS72" s="77"/>
      <c r="AT72" s="77"/>
    </row>
    <row r="73" spans="1:46" s="84" customFormat="1" ht="14.25">
      <c r="A73" s="77"/>
      <c r="B73" s="97"/>
      <c r="C73" s="83"/>
      <c r="F73" s="101"/>
      <c r="G73" s="101"/>
      <c r="H73" s="101"/>
      <c r="I73" s="96"/>
      <c r="J73" s="89"/>
      <c r="K73" s="96"/>
      <c r="L73" s="89"/>
      <c r="M73" s="89"/>
      <c r="N73" s="89"/>
      <c r="O73" s="96"/>
      <c r="P73" s="89"/>
      <c r="Q73" s="96"/>
      <c r="R73" s="89"/>
      <c r="S73" s="96"/>
      <c r="T73" s="89"/>
      <c r="U73" s="96"/>
      <c r="V73" s="89"/>
      <c r="W73" s="96"/>
      <c r="X73" s="89"/>
      <c r="Y73" s="96"/>
      <c r="Z73" s="89"/>
      <c r="AA73" s="96"/>
      <c r="AB73" s="89"/>
      <c r="AC73" s="96"/>
      <c r="AD73" s="89"/>
      <c r="AE73" s="96"/>
      <c r="AF73" s="89"/>
      <c r="AG73" s="96"/>
      <c r="AH73" s="89"/>
      <c r="AI73" s="96"/>
      <c r="AJ73" s="89"/>
      <c r="AK73" s="96"/>
      <c r="AL73" s="89"/>
      <c r="AM73" s="77"/>
      <c r="AN73" s="77"/>
      <c r="AO73" s="77"/>
      <c r="AP73" s="77"/>
      <c r="AQ73" s="77"/>
      <c r="AR73" s="77"/>
      <c r="AS73" s="77"/>
      <c r="AT73" s="77"/>
    </row>
    <row r="74" spans="1:46" s="84" customFormat="1" ht="14.25">
      <c r="A74" s="77"/>
      <c r="B74" s="97"/>
      <c r="C74" s="83"/>
      <c r="F74" s="101"/>
      <c r="G74" s="101"/>
      <c r="H74" s="101"/>
      <c r="I74" s="96"/>
      <c r="J74" s="89"/>
      <c r="K74" s="96"/>
      <c r="L74" s="89"/>
      <c r="M74" s="89"/>
      <c r="N74" s="89"/>
      <c r="O74" s="96"/>
      <c r="P74" s="89"/>
      <c r="Q74" s="96"/>
      <c r="R74" s="89"/>
      <c r="S74" s="96"/>
      <c r="T74" s="89"/>
      <c r="U74" s="96"/>
      <c r="V74" s="89"/>
      <c r="W74" s="96"/>
      <c r="X74" s="89"/>
      <c r="Y74" s="96"/>
      <c r="Z74" s="89"/>
      <c r="AA74" s="96"/>
      <c r="AB74" s="89"/>
      <c r="AC74" s="96"/>
      <c r="AD74" s="89"/>
      <c r="AE74" s="96"/>
      <c r="AF74" s="89"/>
      <c r="AG74" s="96"/>
      <c r="AH74" s="89"/>
      <c r="AI74" s="96"/>
      <c r="AJ74" s="89"/>
      <c r="AK74" s="96"/>
      <c r="AL74" s="89"/>
      <c r="AM74" s="77"/>
      <c r="AN74" s="77"/>
      <c r="AO74" s="77"/>
      <c r="AP74" s="77"/>
      <c r="AQ74" s="77"/>
      <c r="AR74" s="77"/>
      <c r="AS74" s="77"/>
      <c r="AT74" s="77"/>
    </row>
    <row r="75" spans="1:46" s="84" customFormat="1" ht="14.25">
      <c r="A75" s="77"/>
      <c r="B75" s="97"/>
      <c r="C75" s="83"/>
      <c r="F75" s="101"/>
      <c r="G75" s="101"/>
      <c r="H75" s="101"/>
      <c r="I75" s="96"/>
      <c r="J75" s="89"/>
      <c r="K75" s="96"/>
      <c r="L75" s="89"/>
      <c r="M75" s="89"/>
      <c r="N75" s="89"/>
      <c r="O75" s="96"/>
      <c r="P75" s="89"/>
      <c r="Q75" s="96"/>
      <c r="R75" s="89"/>
      <c r="S75" s="96"/>
      <c r="T75" s="89"/>
      <c r="U75" s="96"/>
      <c r="V75" s="89"/>
      <c r="W75" s="96"/>
      <c r="X75" s="89"/>
      <c r="Y75" s="96"/>
      <c r="Z75" s="89"/>
      <c r="AA75" s="96"/>
      <c r="AB75" s="89"/>
      <c r="AC75" s="96"/>
      <c r="AD75" s="89"/>
      <c r="AE75" s="96"/>
      <c r="AF75" s="89"/>
      <c r="AG75" s="96"/>
      <c r="AH75" s="89"/>
      <c r="AI75" s="96"/>
      <c r="AJ75" s="89"/>
      <c r="AK75" s="96"/>
      <c r="AL75" s="89"/>
      <c r="AM75" s="77"/>
      <c r="AN75" s="77"/>
      <c r="AO75" s="77"/>
      <c r="AP75" s="77"/>
      <c r="AQ75" s="77"/>
      <c r="AR75" s="77"/>
      <c r="AS75" s="77"/>
      <c r="AT75" s="77"/>
    </row>
    <row r="76" spans="1:46" s="84" customFormat="1" ht="14.25">
      <c r="A76" s="77"/>
      <c r="B76" s="97"/>
      <c r="C76" s="83"/>
      <c r="F76" s="101"/>
      <c r="G76" s="101"/>
      <c r="H76" s="101"/>
      <c r="I76" s="96"/>
      <c r="J76" s="89"/>
      <c r="K76" s="96"/>
      <c r="L76" s="89"/>
      <c r="M76" s="89"/>
      <c r="N76" s="89"/>
      <c r="O76" s="96"/>
      <c r="P76" s="89"/>
      <c r="Q76" s="96"/>
      <c r="R76" s="89"/>
      <c r="S76" s="96"/>
      <c r="T76" s="89"/>
      <c r="U76" s="96"/>
      <c r="V76" s="89"/>
      <c r="W76" s="96"/>
      <c r="X76" s="89"/>
      <c r="Y76" s="96"/>
      <c r="Z76" s="89"/>
      <c r="AA76" s="96"/>
      <c r="AB76" s="89"/>
      <c r="AC76" s="96"/>
      <c r="AD76" s="89"/>
      <c r="AE76" s="96"/>
      <c r="AF76" s="89"/>
      <c r="AG76" s="96"/>
      <c r="AH76" s="89"/>
      <c r="AI76" s="96"/>
      <c r="AJ76" s="89"/>
      <c r="AK76" s="96"/>
      <c r="AL76" s="89"/>
      <c r="AM76" s="77"/>
      <c r="AN76" s="77"/>
      <c r="AO76" s="77"/>
      <c r="AP76" s="77"/>
      <c r="AQ76" s="77"/>
      <c r="AR76" s="77"/>
      <c r="AS76" s="77"/>
      <c r="AT76" s="77"/>
    </row>
    <row r="77" spans="1:46" s="84" customFormat="1" ht="14.25">
      <c r="A77" s="77"/>
      <c r="B77" s="97"/>
      <c r="C77" s="83"/>
      <c r="F77" s="101"/>
      <c r="G77" s="101"/>
      <c r="H77" s="101"/>
      <c r="I77" s="96"/>
      <c r="J77" s="89"/>
      <c r="K77" s="96"/>
      <c r="L77" s="89"/>
      <c r="M77" s="89"/>
      <c r="N77" s="89"/>
      <c r="O77" s="96"/>
      <c r="P77" s="89"/>
      <c r="Q77" s="96"/>
      <c r="R77" s="89"/>
      <c r="S77" s="96"/>
      <c r="T77" s="89"/>
      <c r="U77" s="96"/>
      <c r="V77" s="89"/>
      <c r="W77" s="96"/>
      <c r="X77" s="89"/>
      <c r="Y77" s="96"/>
      <c r="Z77" s="89"/>
      <c r="AA77" s="96"/>
      <c r="AB77" s="89"/>
      <c r="AC77" s="96"/>
      <c r="AD77" s="89"/>
      <c r="AE77" s="96"/>
      <c r="AF77" s="89"/>
      <c r="AG77" s="96"/>
      <c r="AH77" s="89"/>
      <c r="AI77" s="96"/>
      <c r="AJ77" s="89"/>
      <c r="AK77" s="96"/>
      <c r="AL77" s="89"/>
      <c r="AM77" s="77"/>
      <c r="AN77" s="77"/>
      <c r="AO77" s="77"/>
      <c r="AP77" s="77"/>
      <c r="AQ77" s="77"/>
      <c r="AR77" s="77"/>
      <c r="AS77" s="77"/>
      <c r="AT77" s="77"/>
    </row>
    <row r="78" spans="1:46" s="84" customFormat="1" ht="14.25">
      <c r="A78" s="77"/>
      <c r="B78" s="97"/>
      <c r="C78" s="83"/>
      <c r="F78" s="101"/>
      <c r="G78" s="101"/>
      <c r="H78" s="101"/>
      <c r="I78" s="96"/>
      <c r="J78" s="89"/>
      <c r="K78" s="96"/>
      <c r="L78" s="89"/>
      <c r="M78" s="89"/>
      <c r="N78" s="89"/>
      <c r="O78" s="96"/>
      <c r="P78" s="89"/>
      <c r="Q78" s="96"/>
      <c r="R78" s="89"/>
      <c r="S78" s="96"/>
      <c r="T78" s="89"/>
      <c r="U78" s="96"/>
      <c r="V78" s="89"/>
      <c r="W78" s="96"/>
      <c r="X78" s="89"/>
      <c r="Y78" s="96"/>
      <c r="Z78" s="89"/>
      <c r="AA78" s="96"/>
      <c r="AB78" s="89"/>
      <c r="AC78" s="96"/>
      <c r="AD78" s="89"/>
      <c r="AE78" s="96"/>
      <c r="AF78" s="89"/>
      <c r="AG78" s="96"/>
      <c r="AH78" s="89"/>
      <c r="AI78" s="96"/>
      <c r="AJ78" s="89"/>
      <c r="AK78" s="96"/>
      <c r="AL78" s="89"/>
      <c r="AM78" s="77"/>
      <c r="AN78" s="77"/>
      <c r="AO78" s="77"/>
      <c r="AP78" s="77"/>
      <c r="AQ78" s="77"/>
      <c r="AR78" s="77"/>
      <c r="AS78" s="77"/>
      <c r="AT78" s="77"/>
    </row>
    <row r="79" spans="1:46" s="84" customFormat="1" ht="14.25">
      <c r="A79" s="77"/>
      <c r="B79" s="97"/>
      <c r="C79" s="83"/>
      <c r="F79" s="101"/>
      <c r="G79" s="101"/>
      <c r="H79" s="101"/>
      <c r="I79" s="96"/>
      <c r="J79" s="89"/>
      <c r="K79" s="96"/>
      <c r="L79" s="89"/>
      <c r="M79" s="89"/>
      <c r="N79" s="89"/>
      <c r="O79" s="96"/>
      <c r="P79" s="89"/>
      <c r="Q79" s="96"/>
      <c r="R79" s="89"/>
      <c r="S79" s="96"/>
      <c r="T79" s="89"/>
      <c r="U79" s="96"/>
      <c r="V79" s="89"/>
      <c r="W79" s="96"/>
      <c r="X79" s="89"/>
      <c r="Y79" s="96"/>
      <c r="Z79" s="89"/>
      <c r="AA79" s="96"/>
      <c r="AB79" s="89"/>
      <c r="AC79" s="96"/>
      <c r="AD79" s="89"/>
      <c r="AE79" s="96"/>
      <c r="AF79" s="89"/>
      <c r="AG79" s="96"/>
      <c r="AH79" s="89"/>
      <c r="AI79" s="96"/>
      <c r="AJ79" s="89"/>
      <c r="AK79" s="96"/>
      <c r="AL79" s="89"/>
      <c r="AM79" s="77"/>
      <c r="AN79" s="77"/>
      <c r="AO79" s="77"/>
      <c r="AP79" s="77"/>
      <c r="AQ79" s="77"/>
      <c r="AR79" s="77"/>
      <c r="AS79" s="77"/>
      <c r="AT79" s="77"/>
    </row>
    <row r="80" spans="1:46" s="84" customFormat="1" ht="14.25">
      <c r="A80" s="77"/>
      <c r="B80" s="97"/>
      <c r="C80" s="83"/>
      <c r="F80" s="101"/>
      <c r="G80" s="101"/>
      <c r="H80" s="101"/>
      <c r="I80" s="96"/>
      <c r="J80" s="89"/>
      <c r="K80" s="96"/>
      <c r="L80" s="89"/>
      <c r="M80" s="89"/>
      <c r="N80" s="89"/>
      <c r="O80" s="96"/>
      <c r="P80" s="89"/>
      <c r="Q80" s="96"/>
      <c r="R80" s="89"/>
      <c r="S80" s="96"/>
      <c r="T80" s="89"/>
      <c r="U80" s="96"/>
      <c r="V80" s="89"/>
      <c r="W80" s="96"/>
      <c r="X80" s="89"/>
      <c r="Y80" s="96"/>
      <c r="Z80" s="89"/>
      <c r="AA80" s="96"/>
      <c r="AB80" s="89"/>
      <c r="AC80" s="96"/>
      <c r="AD80" s="89"/>
      <c r="AE80" s="96"/>
      <c r="AF80" s="89"/>
      <c r="AG80" s="96"/>
      <c r="AH80" s="89"/>
      <c r="AI80" s="96"/>
      <c r="AJ80" s="89"/>
      <c r="AK80" s="96"/>
      <c r="AL80" s="89"/>
      <c r="AM80" s="77"/>
      <c r="AN80" s="77"/>
      <c r="AO80" s="77"/>
      <c r="AP80" s="77"/>
      <c r="AQ80" s="77"/>
      <c r="AR80" s="77"/>
      <c r="AS80" s="77"/>
      <c r="AT80" s="77"/>
    </row>
    <row r="81" spans="1:46" s="84" customFormat="1" ht="14.25">
      <c r="A81" s="77"/>
      <c r="B81" s="97"/>
      <c r="C81" s="83"/>
      <c r="F81" s="101"/>
      <c r="G81" s="101"/>
      <c r="H81" s="101"/>
      <c r="I81" s="96"/>
      <c r="J81" s="89"/>
      <c r="K81" s="96"/>
      <c r="L81" s="89"/>
      <c r="M81" s="89"/>
      <c r="N81" s="89"/>
      <c r="O81" s="96"/>
      <c r="P81" s="89"/>
      <c r="Q81" s="96"/>
      <c r="R81" s="89"/>
      <c r="S81" s="96"/>
      <c r="T81" s="89"/>
      <c r="U81" s="96"/>
      <c r="V81" s="89"/>
      <c r="W81" s="96"/>
      <c r="X81" s="89"/>
      <c r="Y81" s="96"/>
      <c r="Z81" s="89"/>
      <c r="AA81" s="96"/>
      <c r="AB81" s="89"/>
      <c r="AC81" s="96"/>
      <c r="AD81" s="89"/>
      <c r="AE81" s="96"/>
      <c r="AF81" s="89"/>
      <c r="AG81" s="96"/>
      <c r="AH81" s="89"/>
      <c r="AI81" s="96"/>
      <c r="AJ81" s="89"/>
      <c r="AK81" s="96"/>
      <c r="AL81" s="89"/>
      <c r="AM81" s="77"/>
      <c r="AN81" s="77"/>
      <c r="AO81" s="77"/>
      <c r="AP81" s="77"/>
      <c r="AQ81" s="77"/>
      <c r="AR81" s="77"/>
      <c r="AS81" s="77"/>
      <c r="AT81" s="77"/>
    </row>
    <row r="82" spans="1:46" s="84" customFormat="1" ht="14.25">
      <c r="A82" s="77"/>
      <c r="B82" s="97"/>
      <c r="C82" s="83"/>
      <c r="F82" s="101"/>
      <c r="G82" s="101"/>
      <c r="H82" s="101"/>
      <c r="I82" s="96"/>
      <c r="J82" s="89"/>
      <c r="K82" s="96"/>
      <c r="L82" s="89"/>
      <c r="M82" s="89"/>
      <c r="N82" s="89"/>
      <c r="O82" s="96"/>
      <c r="P82" s="89"/>
      <c r="Q82" s="96"/>
      <c r="R82" s="89"/>
      <c r="S82" s="96"/>
      <c r="T82" s="89"/>
      <c r="U82" s="96"/>
      <c r="V82" s="89"/>
      <c r="W82" s="96"/>
      <c r="X82" s="89"/>
      <c r="Y82" s="96"/>
      <c r="Z82" s="89"/>
      <c r="AA82" s="96"/>
      <c r="AB82" s="89"/>
      <c r="AC82" s="96"/>
      <c r="AD82" s="89"/>
      <c r="AE82" s="96"/>
      <c r="AF82" s="89"/>
      <c r="AG82" s="96"/>
      <c r="AH82" s="89"/>
      <c r="AI82" s="96"/>
      <c r="AJ82" s="89"/>
      <c r="AK82" s="96"/>
      <c r="AL82" s="89"/>
      <c r="AM82" s="77"/>
      <c r="AN82" s="77"/>
      <c r="AO82" s="77"/>
      <c r="AP82" s="77"/>
      <c r="AQ82" s="77"/>
      <c r="AR82" s="77"/>
      <c r="AS82" s="77"/>
      <c r="AT82" s="77"/>
    </row>
    <row r="83" spans="1:46" s="84" customFormat="1" ht="14.25">
      <c r="A83" s="77"/>
      <c r="B83" s="97"/>
      <c r="C83" s="83"/>
      <c r="F83" s="101"/>
      <c r="G83" s="101"/>
      <c r="H83" s="101"/>
      <c r="I83" s="96"/>
      <c r="J83" s="89"/>
      <c r="K83" s="96"/>
      <c r="L83" s="89"/>
      <c r="M83" s="89"/>
      <c r="N83" s="89"/>
      <c r="O83" s="96"/>
      <c r="P83" s="89"/>
      <c r="Q83" s="96"/>
      <c r="R83" s="89"/>
      <c r="S83" s="96"/>
      <c r="T83" s="89"/>
      <c r="U83" s="96"/>
      <c r="V83" s="89"/>
      <c r="W83" s="96"/>
      <c r="X83" s="89"/>
      <c r="Y83" s="96"/>
      <c r="Z83" s="89"/>
      <c r="AA83" s="96"/>
      <c r="AB83" s="89"/>
      <c r="AC83" s="96"/>
      <c r="AD83" s="89"/>
      <c r="AE83" s="96"/>
      <c r="AF83" s="89"/>
      <c r="AG83" s="96"/>
      <c r="AH83" s="89"/>
      <c r="AI83" s="96"/>
      <c r="AJ83" s="89"/>
      <c r="AK83" s="96"/>
      <c r="AL83" s="89"/>
      <c r="AM83" s="77"/>
      <c r="AN83" s="77"/>
      <c r="AO83" s="77"/>
      <c r="AP83" s="77"/>
      <c r="AQ83" s="77"/>
      <c r="AR83" s="77"/>
      <c r="AS83" s="77"/>
      <c r="AT83" s="77"/>
    </row>
    <row r="84" spans="1:46" s="84" customFormat="1" ht="14.25">
      <c r="A84" s="77"/>
      <c r="B84" s="97"/>
      <c r="C84" s="83"/>
      <c r="F84" s="101"/>
      <c r="G84" s="101"/>
      <c r="H84" s="101"/>
      <c r="I84" s="96"/>
      <c r="J84" s="89"/>
      <c r="K84" s="96"/>
      <c r="L84" s="89"/>
      <c r="M84" s="89"/>
      <c r="N84" s="89"/>
      <c r="O84" s="96"/>
      <c r="P84" s="89"/>
      <c r="Q84" s="96"/>
      <c r="R84" s="89"/>
      <c r="S84" s="96"/>
      <c r="T84" s="89"/>
      <c r="U84" s="96"/>
      <c r="V84" s="89"/>
      <c r="W84" s="96"/>
      <c r="X84" s="89"/>
      <c r="Y84" s="96"/>
      <c r="Z84" s="89"/>
      <c r="AA84" s="96"/>
      <c r="AB84" s="89"/>
      <c r="AC84" s="96"/>
      <c r="AD84" s="89"/>
      <c r="AE84" s="96"/>
      <c r="AF84" s="89"/>
      <c r="AG84" s="96"/>
      <c r="AH84" s="89"/>
      <c r="AI84" s="96"/>
      <c r="AJ84" s="89"/>
      <c r="AK84" s="96"/>
      <c r="AL84" s="89"/>
      <c r="AM84" s="77"/>
      <c r="AN84" s="77"/>
      <c r="AO84" s="77"/>
      <c r="AP84" s="77"/>
      <c r="AQ84" s="77"/>
      <c r="AR84" s="77"/>
      <c r="AS84" s="77"/>
      <c r="AT84" s="77"/>
    </row>
    <row r="85" spans="1:46" s="84" customFormat="1" ht="14.25">
      <c r="A85" s="77"/>
      <c r="B85" s="97"/>
      <c r="C85" s="83"/>
      <c r="F85" s="101"/>
      <c r="G85" s="101"/>
      <c r="H85" s="101"/>
      <c r="I85" s="96"/>
      <c r="J85" s="89"/>
      <c r="K85" s="96"/>
      <c r="L85" s="89"/>
      <c r="M85" s="89"/>
      <c r="N85" s="89"/>
      <c r="O85" s="96"/>
      <c r="P85" s="89"/>
      <c r="Q85" s="96"/>
      <c r="R85" s="89"/>
      <c r="S85" s="96"/>
      <c r="T85" s="89"/>
      <c r="U85" s="96"/>
      <c r="V85" s="89"/>
      <c r="W85" s="96"/>
      <c r="X85" s="89"/>
      <c r="Y85" s="96"/>
      <c r="Z85" s="89"/>
      <c r="AA85" s="96"/>
      <c r="AB85" s="89"/>
      <c r="AC85" s="96"/>
      <c r="AD85" s="89"/>
      <c r="AE85" s="96"/>
      <c r="AF85" s="89"/>
      <c r="AG85" s="96"/>
      <c r="AH85" s="89"/>
      <c r="AI85" s="96"/>
      <c r="AJ85" s="89"/>
      <c r="AK85" s="96"/>
      <c r="AL85" s="89"/>
      <c r="AM85" s="77"/>
      <c r="AN85" s="77"/>
      <c r="AO85" s="77"/>
      <c r="AP85" s="77"/>
      <c r="AQ85" s="77"/>
      <c r="AR85" s="77"/>
      <c r="AS85" s="77"/>
      <c r="AT85" s="77"/>
    </row>
    <row r="86" spans="1:46" s="84" customFormat="1" ht="14.25">
      <c r="A86" s="77"/>
      <c r="B86" s="97"/>
      <c r="C86" s="83"/>
      <c r="F86" s="101"/>
      <c r="G86" s="101"/>
      <c r="H86" s="101"/>
      <c r="I86" s="96"/>
      <c r="J86" s="89"/>
      <c r="K86" s="96"/>
      <c r="L86" s="89"/>
      <c r="M86" s="89"/>
      <c r="N86" s="89"/>
      <c r="O86" s="96"/>
      <c r="P86" s="89"/>
      <c r="Q86" s="96"/>
      <c r="R86" s="89"/>
      <c r="S86" s="96"/>
      <c r="T86" s="89"/>
      <c r="U86" s="96"/>
      <c r="V86" s="89"/>
      <c r="W86" s="96"/>
      <c r="X86" s="89"/>
      <c r="Y86" s="96"/>
      <c r="Z86" s="89"/>
      <c r="AA86" s="96"/>
      <c r="AB86" s="89"/>
      <c r="AC86" s="96"/>
      <c r="AD86" s="89"/>
      <c r="AE86" s="96"/>
      <c r="AF86" s="89"/>
      <c r="AG86" s="96"/>
      <c r="AH86" s="89"/>
      <c r="AI86" s="96"/>
      <c r="AJ86" s="89"/>
      <c r="AK86" s="96"/>
      <c r="AL86" s="89"/>
      <c r="AM86" s="77"/>
      <c r="AN86" s="77"/>
      <c r="AO86" s="77"/>
      <c r="AP86" s="77"/>
      <c r="AQ86" s="77"/>
      <c r="AR86" s="77"/>
      <c r="AS86" s="77"/>
      <c r="AT86" s="77"/>
    </row>
    <row r="87" spans="1:46" s="84" customFormat="1" ht="14.25">
      <c r="A87" s="77"/>
      <c r="B87" s="97"/>
      <c r="C87" s="83"/>
      <c r="F87" s="101"/>
      <c r="G87" s="101"/>
      <c r="H87" s="101"/>
      <c r="I87" s="96"/>
      <c r="J87" s="89"/>
      <c r="K87" s="96"/>
      <c r="L87" s="89"/>
      <c r="M87" s="89"/>
      <c r="N87" s="89"/>
      <c r="O87" s="96"/>
      <c r="P87" s="89"/>
      <c r="Q87" s="96"/>
      <c r="R87" s="89"/>
      <c r="S87" s="96"/>
      <c r="T87" s="89"/>
      <c r="U87" s="96"/>
      <c r="V87" s="89"/>
      <c r="W87" s="96"/>
      <c r="X87" s="89"/>
      <c r="Y87" s="96"/>
      <c r="Z87" s="89"/>
      <c r="AA87" s="96"/>
      <c r="AB87" s="89"/>
      <c r="AC87" s="96"/>
      <c r="AD87" s="89"/>
      <c r="AE87" s="96"/>
      <c r="AF87" s="89"/>
      <c r="AG87" s="96"/>
      <c r="AH87" s="89"/>
      <c r="AI87" s="96"/>
      <c r="AJ87" s="89"/>
      <c r="AK87" s="96"/>
      <c r="AL87" s="89"/>
      <c r="AM87" s="77"/>
      <c r="AN87" s="77"/>
      <c r="AO87" s="77"/>
      <c r="AP87" s="77"/>
      <c r="AQ87" s="77"/>
      <c r="AR87" s="77"/>
      <c r="AS87" s="77"/>
      <c r="AT87" s="77"/>
    </row>
    <row r="88" spans="1:46" s="84" customFormat="1" ht="14.25">
      <c r="A88" s="77"/>
      <c r="B88" s="97"/>
      <c r="C88" s="83"/>
      <c r="F88" s="101"/>
      <c r="G88" s="101"/>
      <c r="H88" s="101"/>
      <c r="I88" s="96"/>
      <c r="J88" s="89"/>
      <c r="K88" s="96"/>
      <c r="L88" s="89"/>
      <c r="M88" s="89"/>
      <c r="N88" s="89"/>
      <c r="O88" s="96"/>
      <c r="P88" s="89"/>
      <c r="Q88" s="96"/>
      <c r="R88" s="89"/>
      <c r="S88" s="96"/>
      <c r="T88" s="89"/>
      <c r="U88" s="96"/>
      <c r="V88" s="89"/>
      <c r="W88" s="96"/>
      <c r="X88" s="89"/>
      <c r="Y88" s="96"/>
      <c r="Z88" s="89"/>
      <c r="AA88" s="96"/>
      <c r="AB88" s="89"/>
      <c r="AC88" s="96"/>
      <c r="AD88" s="89"/>
      <c r="AE88" s="96"/>
      <c r="AF88" s="89"/>
      <c r="AG88" s="96"/>
      <c r="AH88" s="89"/>
      <c r="AI88" s="96"/>
      <c r="AJ88" s="89"/>
      <c r="AK88" s="96"/>
      <c r="AL88" s="89"/>
      <c r="AM88" s="77"/>
      <c r="AN88" s="77"/>
      <c r="AO88" s="77"/>
      <c r="AP88" s="77"/>
      <c r="AQ88" s="77"/>
      <c r="AR88" s="77"/>
      <c r="AS88" s="77"/>
      <c r="AT88" s="77"/>
    </row>
    <row r="89" spans="1:46" s="84" customFormat="1" ht="14.25">
      <c r="A89" s="77"/>
      <c r="B89" s="97"/>
      <c r="C89" s="83"/>
      <c r="F89" s="101"/>
      <c r="G89" s="101"/>
      <c r="H89" s="101"/>
      <c r="I89" s="96"/>
      <c r="J89" s="89"/>
      <c r="K89" s="96"/>
      <c r="L89" s="89"/>
      <c r="M89" s="89"/>
      <c r="N89" s="89"/>
      <c r="O89" s="96"/>
      <c r="P89" s="89"/>
      <c r="Q89" s="96"/>
      <c r="R89" s="89"/>
      <c r="S89" s="96"/>
      <c r="T89" s="89"/>
      <c r="U89" s="96"/>
      <c r="V89" s="89"/>
      <c r="W89" s="96"/>
      <c r="X89" s="89"/>
      <c r="Y89" s="96"/>
      <c r="Z89" s="89"/>
      <c r="AA89" s="96"/>
      <c r="AB89" s="89"/>
      <c r="AC89" s="96"/>
      <c r="AD89" s="89"/>
      <c r="AE89" s="96"/>
      <c r="AF89" s="89"/>
      <c r="AG89" s="96"/>
      <c r="AH89" s="89"/>
      <c r="AI89" s="96"/>
      <c r="AJ89" s="89"/>
      <c r="AK89" s="96"/>
      <c r="AL89" s="89"/>
      <c r="AM89" s="77"/>
      <c r="AN89" s="77"/>
      <c r="AO89" s="77"/>
      <c r="AP89" s="77"/>
      <c r="AQ89" s="77"/>
      <c r="AR89" s="77"/>
      <c r="AS89" s="77"/>
      <c r="AT89" s="77"/>
    </row>
    <row r="90" spans="1:46" s="84" customFormat="1" ht="14.25">
      <c r="A90" s="77"/>
      <c r="B90" s="97"/>
      <c r="C90" s="83"/>
      <c r="F90" s="101"/>
      <c r="G90" s="101"/>
      <c r="H90" s="101"/>
      <c r="I90" s="96"/>
      <c r="J90" s="89"/>
      <c r="K90" s="96"/>
      <c r="L90" s="89"/>
      <c r="M90" s="89"/>
      <c r="N90" s="89"/>
      <c r="O90" s="96"/>
      <c r="P90" s="89"/>
      <c r="Q90" s="96"/>
      <c r="R90" s="89"/>
      <c r="S90" s="96"/>
      <c r="T90" s="89"/>
      <c r="U90" s="96"/>
      <c r="V90" s="89"/>
      <c r="W90" s="96"/>
      <c r="X90" s="89"/>
      <c r="Y90" s="96"/>
      <c r="Z90" s="89"/>
      <c r="AA90" s="96"/>
      <c r="AB90" s="89"/>
      <c r="AC90" s="96"/>
      <c r="AD90" s="89"/>
      <c r="AE90" s="96"/>
      <c r="AF90" s="89"/>
      <c r="AG90" s="96"/>
      <c r="AH90" s="89"/>
      <c r="AI90" s="96"/>
      <c r="AJ90" s="89"/>
      <c r="AK90" s="96"/>
      <c r="AL90" s="89"/>
      <c r="AM90" s="77"/>
      <c r="AN90" s="77"/>
      <c r="AO90" s="77"/>
      <c r="AP90" s="77"/>
      <c r="AQ90" s="77"/>
      <c r="AR90" s="77"/>
      <c r="AS90" s="77"/>
      <c r="AT90" s="77"/>
    </row>
    <row r="91" spans="1:46" s="84" customFormat="1" ht="14.25">
      <c r="A91" s="77"/>
      <c r="B91" s="97"/>
      <c r="C91" s="83"/>
      <c r="F91" s="101"/>
      <c r="G91" s="101"/>
      <c r="H91" s="101"/>
      <c r="I91" s="96"/>
      <c r="J91" s="89"/>
      <c r="K91" s="96"/>
      <c r="L91" s="89"/>
      <c r="M91" s="89"/>
      <c r="N91" s="89"/>
      <c r="O91" s="96"/>
      <c r="P91" s="89"/>
      <c r="Q91" s="96"/>
      <c r="R91" s="89"/>
      <c r="S91" s="96"/>
      <c r="T91" s="89"/>
      <c r="U91" s="96"/>
      <c r="V91" s="89"/>
      <c r="W91" s="96"/>
      <c r="X91" s="89"/>
      <c r="Y91" s="96"/>
      <c r="Z91" s="89"/>
      <c r="AA91" s="96"/>
      <c r="AB91" s="89"/>
      <c r="AC91" s="96"/>
      <c r="AD91" s="89"/>
      <c r="AE91" s="96"/>
      <c r="AF91" s="89"/>
      <c r="AG91" s="96"/>
      <c r="AH91" s="89"/>
      <c r="AI91" s="96"/>
      <c r="AJ91" s="89"/>
      <c r="AK91" s="96"/>
      <c r="AL91" s="89"/>
      <c r="AM91" s="77"/>
      <c r="AN91" s="77"/>
      <c r="AO91" s="77"/>
      <c r="AP91" s="77"/>
      <c r="AQ91" s="77"/>
      <c r="AR91" s="77"/>
      <c r="AS91" s="77"/>
      <c r="AT91" s="77"/>
    </row>
    <row r="92" spans="1:46" s="84" customFormat="1" ht="14.25">
      <c r="A92" s="77"/>
      <c r="B92" s="97"/>
      <c r="C92" s="83"/>
      <c r="F92" s="101"/>
      <c r="G92" s="101"/>
      <c r="H92" s="101"/>
      <c r="I92" s="96"/>
      <c r="J92" s="89"/>
      <c r="K92" s="96"/>
      <c r="L92" s="89"/>
      <c r="M92" s="89"/>
      <c r="N92" s="89"/>
      <c r="O92" s="96"/>
      <c r="P92" s="89"/>
      <c r="Q92" s="96"/>
      <c r="R92" s="89"/>
      <c r="S92" s="96"/>
      <c r="T92" s="89"/>
      <c r="U92" s="96"/>
      <c r="V92" s="89"/>
      <c r="W92" s="96"/>
      <c r="X92" s="89"/>
      <c r="Y92" s="96"/>
      <c r="Z92" s="89"/>
      <c r="AA92" s="96"/>
      <c r="AB92" s="89"/>
      <c r="AC92" s="96"/>
      <c r="AD92" s="89"/>
      <c r="AE92" s="96"/>
      <c r="AF92" s="89"/>
      <c r="AG92" s="96"/>
      <c r="AH92" s="89"/>
      <c r="AI92" s="96"/>
      <c r="AJ92" s="89"/>
      <c r="AK92" s="96"/>
      <c r="AL92" s="89"/>
      <c r="AM92" s="77"/>
      <c r="AN92" s="77"/>
      <c r="AO92" s="77"/>
      <c r="AP92" s="77"/>
      <c r="AQ92" s="77"/>
      <c r="AR92" s="77"/>
      <c r="AS92" s="77"/>
      <c r="AT92" s="77"/>
    </row>
    <row r="93" spans="1:46" s="84" customFormat="1" ht="14.25">
      <c r="A93" s="77"/>
      <c r="B93" s="97"/>
      <c r="C93" s="83"/>
      <c r="F93" s="101"/>
      <c r="G93" s="101"/>
      <c r="H93" s="101"/>
      <c r="I93" s="96"/>
      <c r="J93" s="89"/>
      <c r="K93" s="96"/>
      <c r="L93" s="89"/>
      <c r="M93" s="89"/>
      <c r="N93" s="89"/>
      <c r="O93" s="96"/>
      <c r="P93" s="89"/>
      <c r="Q93" s="96"/>
      <c r="R93" s="89"/>
      <c r="S93" s="96"/>
      <c r="T93" s="89"/>
      <c r="U93" s="96"/>
      <c r="V93" s="89"/>
      <c r="W93" s="96"/>
      <c r="X93" s="89"/>
      <c r="Y93" s="96"/>
      <c r="Z93" s="89"/>
      <c r="AA93" s="96"/>
      <c r="AB93" s="89"/>
      <c r="AC93" s="96"/>
      <c r="AD93" s="89"/>
      <c r="AE93" s="96"/>
      <c r="AF93" s="89"/>
      <c r="AG93" s="96"/>
      <c r="AH93" s="89"/>
      <c r="AI93" s="96"/>
      <c r="AJ93" s="89"/>
      <c r="AK93" s="96"/>
      <c r="AL93" s="89"/>
      <c r="AM93" s="77"/>
      <c r="AN93" s="77"/>
      <c r="AO93" s="77"/>
      <c r="AP93" s="77"/>
      <c r="AQ93" s="77"/>
      <c r="AR93" s="77"/>
      <c r="AS93" s="77"/>
      <c r="AT93" s="77"/>
    </row>
    <row r="94" spans="1:46" s="84" customFormat="1" ht="14.25">
      <c r="A94" s="77"/>
      <c r="B94" s="97"/>
      <c r="C94" s="83"/>
      <c r="F94" s="101"/>
      <c r="G94" s="101"/>
      <c r="H94" s="101"/>
      <c r="I94" s="96"/>
      <c r="J94" s="89"/>
      <c r="K94" s="96"/>
      <c r="L94" s="89"/>
      <c r="M94" s="89"/>
      <c r="N94" s="89"/>
      <c r="O94" s="96"/>
      <c r="P94" s="89"/>
      <c r="Q94" s="96"/>
      <c r="R94" s="89"/>
      <c r="S94" s="96"/>
      <c r="T94" s="89"/>
      <c r="U94" s="96"/>
      <c r="V94" s="89"/>
      <c r="W94" s="96"/>
      <c r="X94" s="89"/>
      <c r="Y94" s="96"/>
      <c r="Z94" s="89"/>
      <c r="AA94" s="96"/>
      <c r="AB94" s="89"/>
      <c r="AC94" s="96"/>
      <c r="AD94" s="89"/>
      <c r="AE94" s="96"/>
      <c r="AF94" s="89"/>
      <c r="AG94" s="96"/>
      <c r="AH94" s="89"/>
      <c r="AI94" s="96"/>
      <c r="AJ94" s="89"/>
      <c r="AK94" s="96"/>
      <c r="AL94" s="89"/>
      <c r="AM94" s="77"/>
      <c r="AN94" s="77"/>
      <c r="AO94" s="77"/>
      <c r="AP94" s="77"/>
      <c r="AQ94" s="77"/>
      <c r="AR94" s="77"/>
      <c r="AS94" s="77"/>
      <c r="AT94" s="77"/>
    </row>
    <row r="95" spans="1:46" s="84" customFormat="1" ht="14.25">
      <c r="A95" s="77"/>
      <c r="B95" s="97"/>
      <c r="C95" s="83"/>
      <c r="F95" s="101"/>
      <c r="G95" s="101"/>
      <c r="H95" s="101"/>
      <c r="I95" s="96"/>
      <c r="J95" s="89"/>
      <c r="K95" s="96"/>
      <c r="L95" s="89"/>
      <c r="M95" s="89"/>
      <c r="N95" s="89"/>
      <c r="O95" s="96"/>
      <c r="P95" s="89"/>
      <c r="Q95" s="96"/>
      <c r="R95" s="89"/>
      <c r="S95" s="96"/>
      <c r="T95" s="89"/>
      <c r="U95" s="96"/>
      <c r="V95" s="89"/>
      <c r="W95" s="96"/>
      <c r="X95" s="89"/>
      <c r="Y95" s="96"/>
      <c r="Z95" s="89"/>
      <c r="AA95" s="96"/>
      <c r="AB95" s="89"/>
      <c r="AC95" s="96"/>
      <c r="AD95" s="89"/>
      <c r="AE95" s="96"/>
      <c r="AF95" s="89"/>
      <c r="AG95" s="96"/>
      <c r="AH95" s="89"/>
      <c r="AI95" s="96"/>
      <c r="AJ95" s="89"/>
      <c r="AK95" s="96"/>
      <c r="AL95" s="89"/>
      <c r="AM95" s="77"/>
      <c r="AN95" s="77"/>
      <c r="AO95" s="77"/>
      <c r="AP95" s="77"/>
      <c r="AQ95" s="77"/>
      <c r="AR95" s="77"/>
      <c r="AS95" s="77"/>
      <c r="AT95" s="77"/>
    </row>
    <row r="96" spans="1:46" s="84" customFormat="1" ht="14.25">
      <c r="A96" s="77"/>
      <c r="B96" s="97"/>
      <c r="C96" s="83"/>
      <c r="F96" s="101"/>
      <c r="G96" s="101"/>
      <c r="H96" s="101"/>
      <c r="I96" s="96"/>
      <c r="J96" s="89"/>
      <c r="K96" s="96"/>
      <c r="L96" s="89"/>
      <c r="M96" s="89"/>
      <c r="N96" s="89"/>
      <c r="O96" s="96"/>
      <c r="P96" s="89"/>
      <c r="Q96" s="96"/>
      <c r="R96" s="89"/>
      <c r="S96" s="96"/>
      <c r="T96" s="89"/>
      <c r="U96" s="96"/>
      <c r="V96" s="89"/>
      <c r="W96" s="96"/>
      <c r="X96" s="89"/>
      <c r="Y96" s="96"/>
      <c r="Z96" s="89"/>
      <c r="AA96" s="96"/>
      <c r="AB96" s="89"/>
      <c r="AC96" s="96"/>
      <c r="AD96" s="89"/>
      <c r="AE96" s="96"/>
      <c r="AF96" s="89"/>
      <c r="AG96" s="96"/>
      <c r="AH96" s="89"/>
      <c r="AI96" s="96"/>
      <c r="AJ96" s="89"/>
      <c r="AK96" s="96"/>
      <c r="AL96" s="89"/>
      <c r="AM96" s="77"/>
      <c r="AN96" s="77"/>
      <c r="AO96" s="77"/>
      <c r="AP96" s="77"/>
      <c r="AQ96" s="77"/>
      <c r="AR96" s="77"/>
      <c r="AS96" s="77"/>
      <c r="AT96" s="77"/>
    </row>
    <row r="97" spans="1:46" s="84" customFormat="1" ht="14.25">
      <c r="A97" s="77"/>
      <c r="B97" s="97"/>
      <c r="C97" s="83"/>
      <c r="F97" s="101"/>
      <c r="G97" s="101"/>
      <c r="H97" s="101"/>
      <c r="I97" s="96"/>
      <c r="J97" s="89"/>
      <c r="K97" s="96"/>
      <c r="L97" s="89"/>
      <c r="M97" s="89"/>
      <c r="N97" s="89"/>
      <c r="O97" s="96"/>
      <c r="P97" s="89"/>
      <c r="Q97" s="96"/>
      <c r="R97" s="89"/>
      <c r="S97" s="96"/>
      <c r="T97" s="89"/>
      <c r="U97" s="96"/>
      <c r="V97" s="89"/>
      <c r="W97" s="96"/>
      <c r="X97" s="89"/>
      <c r="Y97" s="96"/>
      <c r="Z97" s="89"/>
      <c r="AA97" s="96"/>
      <c r="AB97" s="89"/>
      <c r="AC97" s="96"/>
      <c r="AD97" s="89"/>
      <c r="AE97" s="96"/>
      <c r="AF97" s="89"/>
      <c r="AG97" s="96"/>
      <c r="AH97" s="89"/>
      <c r="AI97" s="96"/>
      <c r="AJ97" s="89"/>
      <c r="AK97" s="96"/>
      <c r="AL97" s="89"/>
      <c r="AM97" s="77"/>
      <c r="AN97" s="77"/>
      <c r="AO97" s="77"/>
      <c r="AP97" s="77"/>
      <c r="AQ97" s="77"/>
      <c r="AR97" s="77"/>
      <c r="AS97" s="77"/>
      <c r="AT97" s="77"/>
    </row>
    <row r="98" spans="1:46" s="84" customFormat="1" ht="14.25">
      <c r="A98" s="77"/>
      <c r="B98" s="97"/>
      <c r="C98" s="83"/>
      <c r="F98" s="101"/>
      <c r="G98" s="101"/>
      <c r="H98" s="101"/>
      <c r="I98" s="96"/>
      <c r="J98" s="89"/>
      <c r="K98" s="96"/>
      <c r="L98" s="89"/>
      <c r="M98" s="89"/>
      <c r="N98" s="89"/>
      <c r="O98" s="96"/>
      <c r="P98" s="89"/>
      <c r="Q98" s="96"/>
      <c r="R98" s="89"/>
      <c r="S98" s="96"/>
      <c r="T98" s="89"/>
      <c r="U98" s="96"/>
      <c r="V98" s="89"/>
      <c r="W98" s="96"/>
      <c r="X98" s="89"/>
      <c r="Y98" s="96"/>
      <c r="Z98" s="89"/>
      <c r="AA98" s="96"/>
      <c r="AB98" s="89"/>
      <c r="AC98" s="96"/>
      <c r="AD98" s="89"/>
      <c r="AE98" s="96"/>
      <c r="AF98" s="89"/>
      <c r="AG98" s="96"/>
      <c r="AH98" s="89"/>
      <c r="AI98" s="96"/>
      <c r="AJ98" s="89"/>
      <c r="AK98" s="96"/>
      <c r="AL98" s="89"/>
      <c r="AM98" s="77"/>
      <c r="AN98" s="77"/>
      <c r="AO98" s="77"/>
      <c r="AP98" s="77"/>
      <c r="AQ98" s="77"/>
      <c r="AR98" s="77"/>
      <c r="AS98" s="77"/>
      <c r="AT98" s="77"/>
    </row>
    <row r="99" spans="1:46" s="84" customFormat="1" ht="14.25">
      <c r="A99" s="77"/>
      <c r="B99" s="97"/>
      <c r="C99" s="83"/>
      <c r="F99" s="101"/>
      <c r="G99" s="101"/>
      <c r="H99" s="101"/>
      <c r="I99" s="96"/>
      <c r="J99" s="89"/>
      <c r="K99" s="96"/>
      <c r="L99" s="89"/>
      <c r="M99" s="89"/>
      <c r="N99" s="89"/>
      <c r="O99" s="96"/>
      <c r="P99" s="89"/>
      <c r="Q99" s="96"/>
      <c r="R99" s="89"/>
      <c r="S99" s="96"/>
      <c r="T99" s="89"/>
      <c r="U99" s="96"/>
      <c r="V99" s="89"/>
      <c r="W99" s="96"/>
      <c r="X99" s="89"/>
      <c r="Y99" s="96"/>
      <c r="Z99" s="89"/>
      <c r="AA99" s="96"/>
      <c r="AB99" s="89"/>
      <c r="AC99" s="96"/>
      <c r="AD99" s="89"/>
      <c r="AE99" s="96"/>
      <c r="AF99" s="89"/>
      <c r="AG99" s="96"/>
      <c r="AH99" s="89"/>
      <c r="AI99" s="96"/>
      <c r="AJ99" s="89"/>
      <c r="AK99" s="96"/>
      <c r="AL99" s="89"/>
      <c r="AM99" s="77"/>
      <c r="AN99" s="77"/>
      <c r="AO99" s="77"/>
      <c r="AP99" s="77"/>
      <c r="AQ99" s="77"/>
      <c r="AR99" s="77"/>
      <c r="AS99" s="77"/>
      <c r="AT99" s="77"/>
    </row>
    <row r="100" spans="1:46" s="84" customFormat="1" ht="14.25">
      <c r="A100" s="77"/>
      <c r="B100" s="97"/>
      <c r="C100" s="83"/>
      <c r="F100" s="101"/>
      <c r="G100" s="101"/>
      <c r="H100" s="101"/>
      <c r="I100" s="96"/>
      <c r="J100" s="89"/>
      <c r="K100" s="96"/>
      <c r="L100" s="89"/>
      <c r="M100" s="89"/>
      <c r="N100" s="89"/>
      <c r="O100" s="96"/>
      <c r="P100" s="89"/>
      <c r="Q100" s="96"/>
      <c r="R100" s="89"/>
      <c r="S100" s="96"/>
      <c r="T100" s="89"/>
      <c r="U100" s="96"/>
      <c r="V100" s="89"/>
      <c r="W100" s="96"/>
      <c r="X100" s="89"/>
      <c r="Y100" s="96"/>
      <c r="Z100" s="89"/>
      <c r="AA100" s="96"/>
      <c r="AB100" s="89"/>
      <c r="AC100" s="96"/>
      <c r="AD100" s="89"/>
      <c r="AE100" s="96"/>
      <c r="AF100" s="89"/>
      <c r="AG100" s="96"/>
      <c r="AH100" s="89"/>
      <c r="AI100" s="96"/>
      <c r="AJ100" s="89"/>
      <c r="AK100" s="96"/>
      <c r="AL100" s="89"/>
      <c r="AM100" s="77"/>
      <c r="AN100" s="77"/>
      <c r="AO100" s="77"/>
      <c r="AP100" s="77"/>
      <c r="AQ100" s="77"/>
      <c r="AR100" s="77"/>
      <c r="AS100" s="77"/>
      <c r="AT100" s="77"/>
    </row>
    <row r="101" spans="1:46" s="84" customFormat="1" ht="14.25">
      <c r="A101" s="77"/>
      <c r="B101" s="97"/>
      <c r="C101" s="83"/>
      <c r="F101" s="101"/>
      <c r="G101" s="101"/>
      <c r="H101" s="101"/>
      <c r="I101" s="96"/>
      <c r="J101" s="89"/>
      <c r="K101" s="96"/>
      <c r="L101" s="89"/>
      <c r="M101" s="89"/>
      <c r="N101" s="89"/>
      <c r="O101" s="96"/>
      <c r="P101" s="89"/>
      <c r="Q101" s="96"/>
      <c r="R101" s="89"/>
      <c r="S101" s="96"/>
      <c r="T101" s="89"/>
      <c r="U101" s="96"/>
      <c r="V101" s="89"/>
      <c r="W101" s="96"/>
      <c r="X101" s="89"/>
      <c r="Y101" s="96"/>
      <c r="Z101" s="89"/>
      <c r="AA101" s="96"/>
      <c r="AB101" s="89"/>
      <c r="AC101" s="96"/>
      <c r="AD101" s="89"/>
      <c r="AE101" s="96"/>
      <c r="AF101" s="89"/>
      <c r="AG101" s="96"/>
      <c r="AH101" s="89"/>
      <c r="AI101" s="96"/>
      <c r="AJ101" s="89"/>
      <c r="AK101" s="96"/>
      <c r="AL101" s="89"/>
      <c r="AM101" s="77"/>
      <c r="AN101" s="77"/>
      <c r="AO101" s="77"/>
      <c r="AP101" s="77"/>
      <c r="AQ101" s="77"/>
      <c r="AR101" s="77"/>
      <c r="AS101" s="77"/>
      <c r="AT101" s="77"/>
    </row>
    <row r="102" spans="1:46" s="84" customFormat="1" ht="14.25">
      <c r="A102" s="77"/>
      <c r="B102" s="97"/>
      <c r="C102" s="83"/>
      <c r="F102" s="101"/>
      <c r="G102" s="101"/>
      <c r="H102" s="101"/>
      <c r="I102" s="96"/>
      <c r="J102" s="89"/>
      <c r="K102" s="96"/>
      <c r="L102" s="89"/>
      <c r="M102" s="89"/>
      <c r="N102" s="89"/>
      <c r="O102" s="96"/>
      <c r="P102" s="89"/>
      <c r="Q102" s="96"/>
      <c r="R102" s="89"/>
      <c r="S102" s="96"/>
      <c r="T102" s="89"/>
      <c r="U102" s="96"/>
      <c r="V102" s="89"/>
      <c r="W102" s="96"/>
      <c r="X102" s="89"/>
      <c r="Y102" s="96"/>
      <c r="Z102" s="89"/>
      <c r="AA102" s="96"/>
      <c r="AB102" s="89"/>
      <c r="AC102" s="96"/>
      <c r="AD102" s="89"/>
      <c r="AE102" s="96"/>
      <c r="AF102" s="89"/>
      <c r="AG102" s="96"/>
      <c r="AH102" s="89"/>
      <c r="AI102" s="96"/>
      <c r="AJ102" s="89"/>
      <c r="AK102" s="96"/>
      <c r="AL102" s="89"/>
      <c r="AM102" s="77"/>
      <c r="AN102" s="77"/>
      <c r="AO102" s="77"/>
      <c r="AP102" s="77"/>
      <c r="AQ102" s="77"/>
      <c r="AR102" s="77"/>
      <c r="AS102" s="77"/>
      <c r="AT102" s="77"/>
    </row>
    <row r="103" spans="1:46" s="84" customFormat="1" ht="14.25">
      <c r="A103" s="77"/>
      <c r="B103" s="97"/>
      <c r="C103" s="83"/>
      <c r="F103" s="101"/>
      <c r="G103" s="101"/>
      <c r="H103" s="101"/>
      <c r="I103" s="96"/>
      <c r="J103" s="89"/>
      <c r="K103" s="96"/>
      <c r="L103" s="89"/>
      <c r="M103" s="89"/>
      <c r="N103" s="89"/>
      <c r="O103" s="96"/>
      <c r="P103" s="89"/>
      <c r="Q103" s="96"/>
      <c r="R103" s="89"/>
      <c r="S103" s="96"/>
      <c r="T103" s="89"/>
      <c r="U103" s="96"/>
      <c r="V103" s="89"/>
      <c r="W103" s="96"/>
      <c r="X103" s="89"/>
      <c r="Y103" s="96"/>
      <c r="Z103" s="89"/>
      <c r="AA103" s="96"/>
      <c r="AB103" s="89"/>
      <c r="AC103" s="96"/>
      <c r="AD103" s="89"/>
      <c r="AE103" s="96"/>
      <c r="AF103" s="89"/>
      <c r="AG103" s="96"/>
      <c r="AH103" s="89"/>
      <c r="AI103" s="96"/>
      <c r="AJ103" s="89"/>
      <c r="AK103" s="96"/>
      <c r="AL103" s="89"/>
      <c r="AM103" s="77"/>
      <c r="AN103" s="77"/>
      <c r="AO103" s="77"/>
      <c r="AP103" s="77"/>
      <c r="AQ103" s="77"/>
      <c r="AR103" s="77"/>
      <c r="AS103" s="77"/>
      <c r="AT103" s="77"/>
    </row>
    <row r="104" spans="1:46" s="84" customFormat="1" ht="14.25">
      <c r="A104" s="77"/>
      <c r="B104" s="97"/>
      <c r="C104" s="83"/>
      <c r="F104" s="101"/>
      <c r="G104" s="101"/>
      <c r="H104" s="101"/>
      <c r="I104" s="96"/>
      <c r="J104" s="89"/>
      <c r="K104" s="96"/>
      <c r="L104" s="89"/>
      <c r="M104" s="89"/>
      <c r="N104" s="89"/>
      <c r="O104" s="96"/>
      <c r="P104" s="89"/>
      <c r="Q104" s="96"/>
      <c r="R104" s="89"/>
      <c r="S104" s="96"/>
      <c r="T104" s="89"/>
      <c r="U104" s="96"/>
      <c r="V104" s="89"/>
      <c r="W104" s="96"/>
      <c r="X104" s="89"/>
      <c r="Y104" s="96"/>
      <c r="Z104" s="89"/>
      <c r="AA104" s="96"/>
      <c r="AB104" s="89"/>
      <c r="AC104" s="96"/>
      <c r="AD104" s="89"/>
      <c r="AE104" s="96"/>
      <c r="AF104" s="89"/>
      <c r="AG104" s="96"/>
      <c r="AH104" s="89"/>
      <c r="AI104" s="96"/>
      <c r="AJ104" s="89"/>
      <c r="AK104" s="96"/>
      <c r="AL104" s="89"/>
      <c r="AM104" s="77"/>
      <c r="AN104" s="77"/>
      <c r="AO104" s="77"/>
      <c r="AP104" s="77"/>
      <c r="AQ104" s="77"/>
      <c r="AR104" s="77"/>
      <c r="AS104" s="77"/>
      <c r="AT104" s="77"/>
    </row>
    <row r="105" spans="1:46" s="84" customFormat="1" ht="14.25">
      <c r="A105" s="77"/>
      <c r="B105" s="97"/>
      <c r="C105" s="83"/>
      <c r="F105" s="101"/>
      <c r="G105" s="101"/>
      <c r="H105" s="101"/>
      <c r="I105" s="96"/>
      <c r="J105" s="89"/>
      <c r="K105" s="96"/>
      <c r="L105" s="89"/>
      <c r="M105" s="89"/>
      <c r="N105" s="89"/>
      <c r="O105" s="96"/>
      <c r="P105" s="89"/>
      <c r="Q105" s="96"/>
      <c r="R105" s="89"/>
      <c r="S105" s="96"/>
      <c r="T105" s="89"/>
      <c r="U105" s="96"/>
      <c r="V105" s="89"/>
      <c r="W105" s="96"/>
      <c r="X105" s="89"/>
      <c r="Y105" s="96"/>
      <c r="Z105" s="89"/>
      <c r="AA105" s="96"/>
      <c r="AB105" s="89"/>
      <c r="AC105" s="96"/>
      <c r="AD105" s="89"/>
      <c r="AE105" s="96"/>
      <c r="AF105" s="89"/>
      <c r="AG105" s="96"/>
      <c r="AH105" s="89"/>
      <c r="AI105" s="96"/>
      <c r="AJ105" s="89"/>
      <c r="AK105" s="96"/>
      <c r="AL105" s="89"/>
      <c r="AM105" s="77"/>
      <c r="AN105" s="77"/>
      <c r="AO105" s="77"/>
      <c r="AP105" s="77"/>
      <c r="AQ105" s="77"/>
      <c r="AR105" s="77"/>
      <c r="AS105" s="77"/>
      <c r="AT105" s="77"/>
    </row>
    <row r="106" spans="1:46" s="84" customFormat="1" ht="14.25">
      <c r="A106" s="77"/>
      <c r="B106" s="97"/>
      <c r="C106" s="83"/>
      <c r="F106" s="101"/>
      <c r="G106" s="101"/>
      <c r="H106" s="101"/>
      <c r="I106" s="96"/>
      <c r="J106" s="89"/>
      <c r="K106" s="96"/>
      <c r="L106" s="89"/>
      <c r="M106" s="89"/>
      <c r="N106" s="89"/>
      <c r="O106" s="96"/>
      <c r="P106" s="89"/>
      <c r="Q106" s="96"/>
      <c r="R106" s="89"/>
      <c r="S106" s="96"/>
      <c r="T106" s="89"/>
      <c r="U106" s="96"/>
      <c r="V106" s="89"/>
      <c r="W106" s="96"/>
      <c r="X106" s="89"/>
      <c r="Y106" s="96"/>
      <c r="Z106" s="89"/>
      <c r="AA106" s="96"/>
      <c r="AB106" s="89"/>
      <c r="AC106" s="96"/>
      <c r="AD106" s="89"/>
      <c r="AE106" s="96"/>
      <c r="AF106" s="89"/>
      <c r="AG106" s="96"/>
      <c r="AH106" s="89"/>
      <c r="AI106" s="96"/>
      <c r="AJ106" s="89"/>
      <c r="AK106" s="96"/>
      <c r="AL106" s="89"/>
      <c r="AM106" s="77"/>
      <c r="AN106" s="77"/>
      <c r="AO106" s="77"/>
      <c r="AP106" s="77"/>
      <c r="AQ106" s="77"/>
      <c r="AR106" s="77"/>
      <c r="AS106" s="77"/>
      <c r="AT106" s="77"/>
    </row>
  </sheetData>
  <mergeCells count="32">
    <mergeCell ref="AI4:AJ4"/>
    <mergeCell ref="AK4:AL4"/>
    <mergeCell ref="B2:AL2"/>
    <mergeCell ref="C3:C6"/>
    <mergeCell ref="D3:E6"/>
    <mergeCell ref="F3:H4"/>
    <mergeCell ref="I3:AL3"/>
    <mergeCell ref="I4:N4"/>
    <mergeCell ref="O4:T4"/>
    <mergeCell ref="U4:V4"/>
    <mergeCell ref="M5:N5"/>
    <mergeCell ref="W4:X4"/>
    <mergeCell ref="Y4:AD4"/>
    <mergeCell ref="AE4:AF4"/>
    <mergeCell ref="AG4:AH4"/>
    <mergeCell ref="F5:F6"/>
    <mergeCell ref="G5:G6"/>
    <mergeCell ref="H5:H6"/>
    <mergeCell ref="I5:J5"/>
    <mergeCell ref="K5:L5"/>
    <mergeCell ref="AK5:AL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</mergeCells>
  <phoneticPr fontId="1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2:AL106"/>
  <sheetViews>
    <sheetView zoomScale="70" zoomScaleNormal="70" workbookViewId="0">
      <pane xSplit="5" ySplit="6" topLeftCell="G11" activePane="bottomRight" state="frozen"/>
      <selection pane="topRight" activeCell="F1" sqref="F1"/>
      <selection pane="bottomLeft" activeCell="A7" sqref="A7"/>
      <selection pane="bottomRight" activeCell="AK11" sqref="AK11:AK41"/>
    </sheetView>
  </sheetViews>
  <sheetFormatPr defaultColWidth="8.85546875" defaultRowHeight="16.5"/>
  <cols>
    <col min="1" max="1" width="0" style="77" hidden="1" customWidth="1"/>
    <col min="2" max="2" width="13.140625" style="77" hidden="1" customWidth="1"/>
    <col min="3" max="3" width="0" style="102" hidden="1" customWidth="1"/>
    <col min="4" max="4" width="17" style="102" customWidth="1"/>
    <col min="5" max="5" width="8.5703125" style="84" customWidth="1"/>
    <col min="6" max="8" width="17.42578125" style="103" customWidth="1"/>
    <col min="9" max="9" width="10.5703125" style="87" customWidth="1"/>
    <col min="10" max="10" width="10.5703125" style="89" customWidth="1"/>
    <col min="11" max="11" width="10.5703125" style="87" customWidth="1"/>
    <col min="12" max="12" width="10.5703125" style="89" customWidth="1"/>
    <col min="13" max="13" width="10.5703125" style="87" customWidth="1"/>
    <col min="14" max="14" width="10.5703125" style="89" customWidth="1"/>
    <col min="15" max="15" width="10.5703125" style="87" customWidth="1"/>
    <col min="16" max="16" width="10.5703125" style="89" customWidth="1"/>
    <col min="17" max="17" width="10.5703125" style="87" customWidth="1"/>
    <col min="18" max="18" width="10.5703125" style="89" customWidth="1"/>
    <col min="19" max="19" width="10.5703125" style="87" customWidth="1"/>
    <col min="20" max="20" width="10.5703125" style="89" customWidth="1"/>
    <col min="21" max="21" width="10.5703125" style="87" customWidth="1"/>
    <col min="22" max="22" width="10.5703125" style="89" customWidth="1"/>
    <col min="23" max="23" width="10.5703125" style="87" customWidth="1"/>
    <col min="24" max="24" width="10.5703125" style="89" customWidth="1"/>
    <col min="25" max="25" width="10.5703125" style="87" customWidth="1"/>
    <col min="26" max="26" width="10.5703125" style="89" customWidth="1"/>
    <col min="27" max="27" width="10.5703125" style="87" customWidth="1"/>
    <col min="28" max="28" width="10.5703125" style="89" customWidth="1"/>
    <col min="29" max="29" width="10.5703125" style="87" customWidth="1"/>
    <col min="30" max="30" width="10.5703125" style="89" customWidth="1"/>
    <col min="31" max="31" width="10.5703125" style="87" customWidth="1"/>
    <col min="32" max="32" width="10.5703125" style="89" customWidth="1"/>
    <col min="33" max="33" width="10.42578125" style="87" customWidth="1"/>
    <col min="34" max="34" width="10.42578125" style="89" customWidth="1"/>
    <col min="35" max="35" width="10.42578125" style="87" customWidth="1"/>
    <col min="36" max="36" width="10.42578125" style="89" customWidth="1"/>
    <col min="37" max="37" width="10.42578125" style="87" customWidth="1"/>
    <col min="38" max="38" width="10.42578125" style="89" customWidth="1"/>
    <col min="39" max="16384" width="8.85546875" style="77"/>
  </cols>
  <sheetData>
    <row r="2" spans="1:38" ht="38.1" customHeight="1">
      <c r="A2" s="75"/>
      <c r="B2" s="622" t="s">
        <v>301</v>
      </c>
      <c r="C2" s="622"/>
      <c r="D2" s="622"/>
      <c r="E2" s="622"/>
      <c r="F2" s="622"/>
      <c r="G2" s="622"/>
      <c r="H2" s="622"/>
      <c r="I2" s="622"/>
      <c r="J2" s="622"/>
      <c r="K2" s="622"/>
      <c r="L2" s="622"/>
      <c r="M2" s="622"/>
      <c r="N2" s="622"/>
      <c r="O2" s="622"/>
      <c r="P2" s="622"/>
      <c r="Q2" s="622"/>
      <c r="R2" s="622"/>
      <c r="S2" s="622"/>
      <c r="T2" s="622"/>
      <c r="U2" s="622"/>
      <c r="V2" s="622"/>
      <c r="W2" s="622"/>
      <c r="X2" s="622"/>
      <c r="Y2" s="622"/>
      <c r="Z2" s="622"/>
      <c r="AA2" s="622"/>
      <c r="AB2" s="622"/>
      <c r="AC2" s="622"/>
      <c r="AD2" s="622"/>
      <c r="AE2" s="622"/>
      <c r="AF2" s="622"/>
      <c r="AG2" s="622"/>
      <c r="AH2" s="622"/>
      <c r="AI2" s="622"/>
      <c r="AJ2" s="622"/>
      <c r="AK2" s="622"/>
      <c r="AL2" s="622"/>
    </row>
    <row r="3" spans="1:38" ht="25.35" customHeight="1">
      <c r="B3" s="97"/>
      <c r="C3" s="623" t="s">
        <v>139</v>
      </c>
      <c r="D3" s="624" t="s">
        <v>105</v>
      </c>
      <c r="E3" s="624"/>
      <c r="F3" s="631" t="s">
        <v>148</v>
      </c>
      <c r="G3" s="632"/>
      <c r="H3" s="632"/>
      <c r="I3" s="630" t="s">
        <v>299</v>
      </c>
      <c r="J3" s="630"/>
      <c r="K3" s="630"/>
      <c r="L3" s="630"/>
      <c r="M3" s="630"/>
      <c r="N3" s="630"/>
      <c r="O3" s="630"/>
      <c r="P3" s="630"/>
      <c r="Q3" s="630"/>
      <c r="R3" s="630"/>
      <c r="S3" s="630"/>
      <c r="T3" s="630"/>
      <c r="U3" s="630"/>
      <c r="V3" s="630"/>
      <c r="W3" s="630"/>
      <c r="X3" s="630"/>
      <c r="Y3" s="630"/>
      <c r="Z3" s="630"/>
      <c r="AA3" s="630"/>
      <c r="AB3" s="630"/>
      <c r="AC3" s="630"/>
      <c r="AD3" s="630"/>
      <c r="AE3" s="630"/>
      <c r="AF3" s="630"/>
      <c r="AG3" s="630"/>
      <c r="AH3" s="630"/>
      <c r="AI3" s="630"/>
      <c r="AJ3" s="630"/>
      <c r="AK3" s="630"/>
      <c r="AL3" s="630"/>
    </row>
    <row r="4" spans="1:38" ht="25.35" customHeight="1">
      <c r="B4" s="97"/>
      <c r="C4" s="623"/>
      <c r="D4" s="624"/>
      <c r="E4" s="624"/>
      <c r="F4" s="632"/>
      <c r="G4" s="632"/>
      <c r="H4" s="632"/>
      <c r="I4" s="627" t="s">
        <v>140</v>
      </c>
      <c r="J4" s="627"/>
      <c r="K4" s="627"/>
      <c r="L4" s="627"/>
      <c r="M4" s="627"/>
      <c r="N4" s="627"/>
      <c r="O4" s="627" t="s">
        <v>141</v>
      </c>
      <c r="P4" s="627"/>
      <c r="Q4" s="627"/>
      <c r="R4" s="627"/>
      <c r="S4" s="627"/>
      <c r="T4" s="627"/>
      <c r="U4" s="627" t="s">
        <v>142</v>
      </c>
      <c r="V4" s="627"/>
      <c r="W4" s="627" t="s">
        <v>143</v>
      </c>
      <c r="X4" s="627"/>
      <c r="Y4" s="627" t="s">
        <v>134</v>
      </c>
      <c r="Z4" s="627"/>
      <c r="AA4" s="627"/>
      <c r="AB4" s="627"/>
      <c r="AC4" s="627"/>
      <c r="AD4" s="627"/>
      <c r="AE4" s="627" t="s">
        <v>132</v>
      </c>
      <c r="AF4" s="627"/>
      <c r="AG4" s="627" t="s">
        <v>144</v>
      </c>
      <c r="AH4" s="627"/>
      <c r="AI4" s="627" t="s">
        <v>145</v>
      </c>
      <c r="AJ4" s="627"/>
      <c r="AK4" s="627" t="s">
        <v>138</v>
      </c>
      <c r="AL4" s="627"/>
    </row>
    <row r="5" spans="1:38" ht="25.35" customHeight="1">
      <c r="B5" s="97"/>
      <c r="C5" s="623"/>
      <c r="D5" s="624"/>
      <c r="E5" s="624"/>
      <c r="F5" s="629" t="s">
        <v>115</v>
      </c>
      <c r="G5" s="629" t="s">
        <v>117</v>
      </c>
      <c r="H5" s="629" t="s">
        <v>118</v>
      </c>
      <c r="I5" s="627" t="s">
        <v>129</v>
      </c>
      <c r="J5" s="627"/>
      <c r="K5" s="627" t="s">
        <v>130</v>
      </c>
      <c r="L5" s="627"/>
      <c r="M5" s="628" t="s">
        <v>146</v>
      </c>
      <c r="N5" s="627"/>
      <c r="O5" s="627" t="s">
        <v>129</v>
      </c>
      <c r="P5" s="627"/>
      <c r="Q5" s="627" t="s">
        <v>130</v>
      </c>
      <c r="R5" s="627"/>
      <c r="S5" s="628" t="s">
        <v>146</v>
      </c>
      <c r="T5" s="627"/>
      <c r="U5" s="627" t="s">
        <v>129</v>
      </c>
      <c r="V5" s="627"/>
      <c r="W5" s="627" t="s">
        <v>129</v>
      </c>
      <c r="X5" s="627"/>
      <c r="Y5" s="627" t="s">
        <v>129</v>
      </c>
      <c r="Z5" s="627"/>
      <c r="AA5" s="627" t="s">
        <v>130</v>
      </c>
      <c r="AB5" s="627"/>
      <c r="AC5" s="628" t="s">
        <v>146</v>
      </c>
      <c r="AD5" s="627"/>
      <c r="AE5" s="627" t="s">
        <v>129</v>
      </c>
      <c r="AF5" s="627"/>
      <c r="AG5" s="627" t="s">
        <v>129</v>
      </c>
      <c r="AH5" s="627"/>
      <c r="AI5" s="627" t="s">
        <v>129</v>
      </c>
      <c r="AJ5" s="627"/>
      <c r="AK5" s="627" t="s">
        <v>129</v>
      </c>
      <c r="AL5" s="627"/>
    </row>
    <row r="6" spans="1:38" s="80" customFormat="1" ht="23.45" customHeight="1">
      <c r="B6" s="97"/>
      <c r="C6" s="623"/>
      <c r="D6" s="624"/>
      <c r="E6" s="624"/>
      <c r="F6" s="629"/>
      <c r="G6" s="629"/>
      <c r="H6" s="629"/>
      <c r="I6" s="104" t="s">
        <v>149</v>
      </c>
      <c r="J6" s="99" t="s">
        <v>113</v>
      </c>
      <c r="K6" s="104" t="s">
        <v>149</v>
      </c>
      <c r="L6" s="99" t="s">
        <v>113</v>
      </c>
      <c r="M6" s="104" t="s">
        <v>149</v>
      </c>
      <c r="N6" s="99" t="s">
        <v>113</v>
      </c>
      <c r="O6" s="104" t="s">
        <v>149</v>
      </c>
      <c r="P6" s="99" t="s">
        <v>113</v>
      </c>
      <c r="Q6" s="104" t="s">
        <v>149</v>
      </c>
      <c r="R6" s="99" t="s">
        <v>113</v>
      </c>
      <c r="S6" s="104" t="s">
        <v>149</v>
      </c>
      <c r="T6" s="99" t="s">
        <v>113</v>
      </c>
      <c r="U6" s="104" t="s">
        <v>149</v>
      </c>
      <c r="V6" s="99" t="s">
        <v>113</v>
      </c>
      <c r="W6" s="104" t="s">
        <v>149</v>
      </c>
      <c r="X6" s="99" t="s">
        <v>113</v>
      </c>
      <c r="Y6" s="104" t="s">
        <v>149</v>
      </c>
      <c r="Z6" s="99" t="s">
        <v>113</v>
      </c>
      <c r="AA6" s="104" t="s">
        <v>149</v>
      </c>
      <c r="AB6" s="99" t="s">
        <v>113</v>
      </c>
      <c r="AC6" s="104" t="s">
        <v>149</v>
      </c>
      <c r="AD6" s="99" t="s">
        <v>113</v>
      </c>
      <c r="AE6" s="104" t="s">
        <v>149</v>
      </c>
      <c r="AF6" s="99" t="s">
        <v>113</v>
      </c>
      <c r="AG6" s="104" t="s">
        <v>149</v>
      </c>
      <c r="AH6" s="99" t="s">
        <v>113</v>
      </c>
      <c r="AI6" s="104" t="s">
        <v>149</v>
      </c>
      <c r="AJ6" s="99" t="s">
        <v>113</v>
      </c>
      <c r="AK6" s="104" t="s">
        <v>149</v>
      </c>
      <c r="AL6" s="99" t="s">
        <v>113</v>
      </c>
    </row>
    <row r="7" spans="1:38" ht="14.25">
      <c r="B7" s="97"/>
      <c r="C7" s="83"/>
      <c r="D7" s="299">
        <v>46231</v>
      </c>
      <c r="E7" s="299" t="s">
        <v>446</v>
      </c>
      <c r="F7" s="87">
        <f t="shared" ref="F7" si="0">SUM(M7,S7,U7,W7,AC7,AE7,AG7,AI7,AK7)</f>
        <v>256784</v>
      </c>
      <c r="G7" s="301"/>
      <c r="H7" s="87"/>
      <c r="I7" s="234">
        <v>30028</v>
      </c>
      <c r="J7" s="100">
        <f t="shared" ref="J7:J13" si="1">I7/F7</f>
        <v>0.11693875007788647</v>
      </c>
      <c r="K7" s="234">
        <v>39717</v>
      </c>
      <c r="L7" s="100">
        <f t="shared" ref="L7:L13" si="2">K7/F7</f>
        <v>0.15467085176646519</v>
      </c>
      <c r="M7" s="105">
        <f t="shared" ref="M7:M13" si="3">SUM(I7+K7)</f>
        <v>69745</v>
      </c>
      <c r="N7" s="100">
        <f t="shared" ref="N7:N13" si="4">M7/F7</f>
        <v>0.27160960184435168</v>
      </c>
      <c r="O7" s="234">
        <v>7391</v>
      </c>
      <c r="P7" s="100">
        <f t="shared" ref="P7:P13" si="5">O7/F7</f>
        <v>2.8782945977942551E-2</v>
      </c>
      <c r="Q7" s="234"/>
      <c r="R7" s="100">
        <f t="shared" ref="R7:R13" si="6">Q7/F7</f>
        <v>0</v>
      </c>
      <c r="S7" s="105">
        <f t="shared" ref="S7:S13" si="7">SUM(O7+Q7)</f>
        <v>7391</v>
      </c>
      <c r="T7" s="100">
        <f t="shared" ref="T7:T13" si="8">S7/F7</f>
        <v>2.8782945977942551E-2</v>
      </c>
      <c r="U7" s="234">
        <v>31644</v>
      </c>
      <c r="V7" s="100">
        <f t="shared" ref="V7:V13" si="9">U7/F7</f>
        <v>0.12323197707022245</v>
      </c>
      <c r="W7" s="234">
        <v>3097</v>
      </c>
      <c r="X7" s="100">
        <f t="shared" ref="X7:X13" si="10">W7/F7</f>
        <v>1.206072029409932E-2</v>
      </c>
      <c r="Y7" s="234">
        <v>25524</v>
      </c>
      <c r="Z7" s="100">
        <f t="shared" ref="Z7:Z13" si="11">Y7/F7</f>
        <v>9.9398716430930276E-2</v>
      </c>
      <c r="AA7" s="234">
        <v>23079</v>
      </c>
      <c r="AB7" s="100">
        <f t="shared" ref="AB7:AB13" si="12">AA7/F7</f>
        <v>8.9877095146115027E-2</v>
      </c>
      <c r="AC7" s="105">
        <f t="shared" ref="AC7:AC13" si="13">SUM(Y7+AA7)</f>
        <v>48603</v>
      </c>
      <c r="AD7" s="100">
        <f t="shared" ref="AD7:AD13" si="14">AC7/F7</f>
        <v>0.18927581157704529</v>
      </c>
      <c r="AE7" s="234">
        <v>23354</v>
      </c>
      <c r="AF7" s="100">
        <f t="shared" ref="AF7:AF13" si="15">AE7/F7</f>
        <v>9.0948034145429624E-2</v>
      </c>
      <c r="AG7" s="234">
        <v>15946</v>
      </c>
      <c r="AH7" s="100">
        <f t="shared" ref="AH7:AH13" si="16">AG7/F7</f>
        <v>6.2098884665711257E-2</v>
      </c>
      <c r="AI7" s="234">
        <v>29081</v>
      </c>
      <c r="AJ7" s="100">
        <f t="shared" ref="AJ7:AJ13" si="17">AI7/F7</f>
        <v>0.11325082559661039</v>
      </c>
      <c r="AK7" s="234">
        <v>27923</v>
      </c>
      <c r="AL7" s="100">
        <f t="shared" ref="AL7:AL13" si="18">AK7/F7</f>
        <v>0.10874119882858745</v>
      </c>
    </row>
    <row r="8" spans="1:38" ht="14.25">
      <c r="B8" s="97"/>
      <c r="C8" s="83"/>
      <c r="D8" s="299">
        <f t="shared" ref="D8" si="19">D7+1</f>
        <v>46232</v>
      </c>
      <c r="E8" s="299" t="s">
        <v>447</v>
      </c>
      <c r="F8" s="87">
        <f>SUM(M8,S8,U8,W8,AC8,AE8,AG8,AI8,AK8)</f>
        <v>245995</v>
      </c>
      <c r="G8" s="301">
        <f>SUM(F7:F13)</f>
        <v>1682008</v>
      </c>
      <c r="H8" s="314"/>
      <c r="I8" s="234">
        <v>29390</v>
      </c>
      <c r="J8" s="100">
        <f t="shared" si="1"/>
        <v>0.11947397304823269</v>
      </c>
      <c r="K8" s="234">
        <v>38551</v>
      </c>
      <c r="L8" s="100">
        <f t="shared" si="2"/>
        <v>0.15671456736925549</v>
      </c>
      <c r="M8" s="105">
        <f t="shared" si="3"/>
        <v>67941</v>
      </c>
      <c r="N8" s="100">
        <f t="shared" si="4"/>
        <v>0.27618854041748814</v>
      </c>
      <c r="O8" s="234">
        <v>7398</v>
      </c>
      <c r="P8" s="100">
        <f t="shared" si="5"/>
        <v>3.007378198743877E-2</v>
      </c>
      <c r="Q8" s="234"/>
      <c r="R8" s="100">
        <f t="shared" si="6"/>
        <v>0</v>
      </c>
      <c r="S8" s="105">
        <f t="shared" si="7"/>
        <v>7398</v>
      </c>
      <c r="T8" s="100">
        <f t="shared" si="8"/>
        <v>3.007378198743877E-2</v>
      </c>
      <c r="U8" s="234">
        <v>29389</v>
      </c>
      <c r="V8" s="100">
        <f t="shared" si="9"/>
        <v>0.11946990792495782</v>
      </c>
      <c r="W8" s="234">
        <v>3201</v>
      </c>
      <c r="X8" s="100">
        <f t="shared" si="10"/>
        <v>1.3012459602837456E-2</v>
      </c>
      <c r="Y8" s="234">
        <v>25111</v>
      </c>
      <c r="Z8" s="100">
        <f t="shared" si="11"/>
        <v>0.10207931055509259</v>
      </c>
      <c r="AA8" s="234">
        <v>22664</v>
      </c>
      <c r="AB8" s="100">
        <f t="shared" si="12"/>
        <v>9.213195390150207E-2</v>
      </c>
      <c r="AC8" s="105">
        <f t="shared" si="13"/>
        <v>47775</v>
      </c>
      <c r="AD8" s="100">
        <f t="shared" si="14"/>
        <v>0.19421126445659465</v>
      </c>
      <c r="AE8" s="234">
        <v>22289</v>
      </c>
      <c r="AF8" s="100">
        <f t="shared" si="15"/>
        <v>9.0607532673428318E-2</v>
      </c>
      <c r="AG8" s="234">
        <v>15045</v>
      </c>
      <c r="AH8" s="100">
        <f t="shared" si="16"/>
        <v>6.11597796703185E-2</v>
      </c>
      <c r="AI8" s="234">
        <v>28332</v>
      </c>
      <c r="AJ8" s="100">
        <f t="shared" si="17"/>
        <v>0.11517307262342731</v>
      </c>
      <c r="AK8" s="234">
        <v>24625</v>
      </c>
      <c r="AL8" s="100">
        <f t="shared" si="18"/>
        <v>0.10010366064350902</v>
      </c>
    </row>
    <row r="9" spans="1:38" ht="14.25">
      <c r="B9" s="97"/>
      <c r="C9" s="83"/>
      <c r="D9" s="299">
        <f>D8+1</f>
        <v>46233</v>
      </c>
      <c r="E9" s="299" t="s">
        <v>448</v>
      </c>
      <c r="F9" s="87">
        <f t="shared" ref="F9:F44" si="20">SUM(M9,S9,U9,W9,AC9,AE9,AG9,AI9,AK9)</f>
        <v>234341</v>
      </c>
      <c r="G9" s="301"/>
      <c r="I9" s="234">
        <v>27837</v>
      </c>
      <c r="J9" s="100">
        <f t="shared" si="1"/>
        <v>0.1187884322419039</v>
      </c>
      <c r="K9" s="234">
        <v>36010</v>
      </c>
      <c r="L9" s="100">
        <f t="shared" si="2"/>
        <v>0.15366495832995505</v>
      </c>
      <c r="M9" s="105">
        <f t="shared" si="3"/>
        <v>63847</v>
      </c>
      <c r="N9" s="100">
        <f t="shared" si="4"/>
        <v>0.27245339057185897</v>
      </c>
      <c r="O9" s="234">
        <v>7109</v>
      </c>
      <c r="P9" s="100">
        <f t="shared" si="5"/>
        <v>3.0336134095186075E-2</v>
      </c>
      <c r="Q9" s="234"/>
      <c r="R9" s="100">
        <f t="shared" si="6"/>
        <v>0</v>
      </c>
      <c r="S9" s="105">
        <f t="shared" si="7"/>
        <v>7109</v>
      </c>
      <c r="T9" s="100">
        <f t="shared" si="8"/>
        <v>3.0336134095186075E-2</v>
      </c>
      <c r="U9" s="234">
        <v>27396</v>
      </c>
      <c r="V9" s="100">
        <f t="shared" si="9"/>
        <v>0.11690655924486112</v>
      </c>
      <c r="W9" s="234">
        <v>3112</v>
      </c>
      <c r="X9" s="100">
        <f t="shared" si="10"/>
        <v>1.3279793121988896E-2</v>
      </c>
      <c r="Y9" s="234">
        <v>24399</v>
      </c>
      <c r="Z9" s="100">
        <f t="shared" si="11"/>
        <v>0.10411750397924392</v>
      </c>
      <c r="AA9" s="234">
        <v>18642</v>
      </c>
      <c r="AB9" s="100">
        <f t="shared" si="12"/>
        <v>7.9550740160705985E-2</v>
      </c>
      <c r="AC9" s="105">
        <f t="shared" si="13"/>
        <v>43041</v>
      </c>
      <c r="AD9" s="100">
        <f t="shared" si="14"/>
        <v>0.18366824413994989</v>
      </c>
      <c r="AE9" s="234">
        <v>22080</v>
      </c>
      <c r="AF9" s="100">
        <f t="shared" si="15"/>
        <v>9.4221668423365948E-2</v>
      </c>
      <c r="AG9" s="234">
        <v>14381</v>
      </c>
      <c r="AH9" s="100">
        <f t="shared" si="16"/>
        <v>6.1367835760707687E-2</v>
      </c>
      <c r="AI9" s="234">
        <v>29469</v>
      </c>
      <c r="AJ9" s="100">
        <f t="shared" si="17"/>
        <v>0.12575264251667442</v>
      </c>
      <c r="AK9" s="234">
        <v>23906</v>
      </c>
      <c r="AL9" s="100">
        <f t="shared" si="18"/>
        <v>0.10201373212540699</v>
      </c>
    </row>
    <row r="10" spans="1:38" ht="14.25">
      <c r="B10" s="97"/>
      <c r="C10" s="83"/>
      <c r="D10" s="299">
        <f t="shared" ref="D10:D36" si="21">D9+1</f>
        <v>46234</v>
      </c>
      <c r="E10" s="299" t="s">
        <v>449</v>
      </c>
      <c r="F10" s="87">
        <f t="shared" si="20"/>
        <v>211184</v>
      </c>
      <c r="G10" s="301"/>
      <c r="H10" s="341"/>
      <c r="I10" s="234">
        <v>24286</v>
      </c>
      <c r="J10" s="100">
        <f t="shared" si="1"/>
        <v>0.11499924236684597</v>
      </c>
      <c r="K10" s="234">
        <v>33754</v>
      </c>
      <c r="L10" s="100">
        <f t="shared" si="2"/>
        <v>0.15983218425638307</v>
      </c>
      <c r="M10" s="105">
        <f t="shared" si="3"/>
        <v>58040</v>
      </c>
      <c r="N10" s="100">
        <f t="shared" si="4"/>
        <v>0.27483142662322901</v>
      </c>
      <c r="O10" s="234">
        <v>6143</v>
      </c>
      <c r="P10" s="100">
        <f t="shared" si="5"/>
        <v>2.908837790741723E-2</v>
      </c>
      <c r="Q10" s="234"/>
      <c r="R10" s="100">
        <f t="shared" si="6"/>
        <v>0</v>
      </c>
      <c r="S10" s="105">
        <f t="shared" si="7"/>
        <v>6143</v>
      </c>
      <c r="T10" s="100">
        <f t="shared" si="8"/>
        <v>2.908837790741723E-2</v>
      </c>
      <c r="U10" s="234">
        <v>23700</v>
      </c>
      <c r="V10" s="100">
        <f t="shared" si="9"/>
        <v>0.11222441094022274</v>
      </c>
      <c r="W10" s="234">
        <v>2220</v>
      </c>
      <c r="X10" s="100">
        <f t="shared" si="10"/>
        <v>1.0512160012122131E-2</v>
      </c>
      <c r="Y10" s="234">
        <v>22188</v>
      </c>
      <c r="Z10" s="100">
        <f t="shared" si="11"/>
        <v>0.10506477763466929</v>
      </c>
      <c r="AA10" s="234">
        <v>18084</v>
      </c>
      <c r="AB10" s="100">
        <f t="shared" si="12"/>
        <v>8.5631487233881351E-2</v>
      </c>
      <c r="AC10" s="105">
        <f t="shared" si="13"/>
        <v>40272</v>
      </c>
      <c r="AD10" s="100">
        <f t="shared" si="14"/>
        <v>0.19069626486855065</v>
      </c>
      <c r="AE10" s="234">
        <v>17553</v>
      </c>
      <c r="AF10" s="100">
        <f t="shared" si="15"/>
        <v>8.3117092203954843E-2</v>
      </c>
      <c r="AG10" s="234">
        <v>13238</v>
      </c>
      <c r="AH10" s="100">
        <f t="shared" si="16"/>
        <v>6.2684673081294037E-2</v>
      </c>
      <c r="AI10" s="234">
        <v>29849</v>
      </c>
      <c r="AJ10" s="100">
        <f t="shared" si="17"/>
        <v>0.14134120009091597</v>
      </c>
      <c r="AK10" s="234">
        <v>20169</v>
      </c>
      <c r="AL10" s="100">
        <f t="shared" si="18"/>
        <v>9.5504394272293361E-2</v>
      </c>
    </row>
    <row r="11" spans="1:38" ht="14.25">
      <c r="B11" s="97"/>
      <c r="C11" s="83"/>
      <c r="D11" s="299">
        <f t="shared" si="21"/>
        <v>46235</v>
      </c>
      <c r="E11" s="299" t="s">
        <v>450</v>
      </c>
      <c r="F11" s="87">
        <f t="shared" si="20"/>
        <v>217421</v>
      </c>
      <c r="G11" s="301"/>
      <c r="H11" s="341"/>
      <c r="I11" s="234">
        <v>22696</v>
      </c>
      <c r="J11" s="100">
        <f t="shared" si="1"/>
        <v>0.10438734068926185</v>
      </c>
      <c r="K11" s="234">
        <v>37331</v>
      </c>
      <c r="L11" s="100">
        <f t="shared" si="2"/>
        <v>0.17169914589667051</v>
      </c>
      <c r="M11" s="105">
        <f t="shared" si="3"/>
        <v>60027</v>
      </c>
      <c r="N11" s="100">
        <f t="shared" si="4"/>
        <v>0.27608648658593238</v>
      </c>
      <c r="O11" s="234">
        <v>5815</v>
      </c>
      <c r="P11" s="100">
        <f t="shared" si="5"/>
        <v>2.6745346585656398E-2</v>
      </c>
      <c r="Q11" s="234"/>
      <c r="R11" s="100">
        <f t="shared" si="6"/>
        <v>0</v>
      </c>
      <c r="S11" s="105">
        <f t="shared" si="7"/>
        <v>5815</v>
      </c>
      <c r="T11" s="100">
        <f t="shared" si="8"/>
        <v>2.6745346585656398E-2</v>
      </c>
      <c r="U11" s="234">
        <v>25978</v>
      </c>
      <c r="V11" s="100">
        <f t="shared" si="9"/>
        <v>0.11948247869341048</v>
      </c>
      <c r="W11" s="234">
        <v>1960</v>
      </c>
      <c r="X11" s="100">
        <f t="shared" si="10"/>
        <v>9.0147685826116146E-3</v>
      </c>
      <c r="Y11" s="234">
        <v>22192</v>
      </c>
      <c r="Z11" s="100">
        <f t="shared" si="11"/>
        <v>0.10206925733944743</v>
      </c>
      <c r="AA11" s="234">
        <v>21440</v>
      </c>
      <c r="AB11" s="100">
        <f t="shared" si="12"/>
        <v>9.8610529801629099E-2</v>
      </c>
      <c r="AC11" s="105">
        <f t="shared" si="13"/>
        <v>43632</v>
      </c>
      <c r="AD11" s="100">
        <f t="shared" si="14"/>
        <v>0.20067978714107654</v>
      </c>
      <c r="AE11" s="234">
        <v>18444</v>
      </c>
      <c r="AF11" s="100">
        <f t="shared" si="15"/>
        <v>8.4830812111065634E-2</v>
      </c>
      <c r="AG11" s="234">
        <v>12888</v>
      </c>
      <c r="AH11" s="100">
        <f t="shared" si="16"/>
        <v>5.9276702802397191E-2</v>
      </c>
      <c r="AI11" s="234">
        <v>28926</v>
      </c>
      <c r="AJ11" s="100">
        <f t="shared" si="17"/>
        <v>0.13304142654113449</v>
      </c>
      <c r="AK11" s="234">
        <v>19751</v>
      </c>
      <c r="AL11" s="100">
        <f t="shared" si="18"/>
        <v>9.0842190956715307E-2</v>
      </c>
    </row>
    <row r="12" spans="1:38" ht="14.25">
      <c r="B12" s="97"/>
      <c r="C12" s="83"/>
      <c r="D12" s="299">
        <f t="shared" si="21"/>
        <v>46236</v>
      </c>
      <c r="E12" s="299" t="s">
        <v>451</v>
      </c>
      <c r="F12" s="87">
        <f t="shared" si="20"/>
        <v>257215</v>
      </c>
      <c r="G12" s="301"/>
      <c r="H12" s="341">
        <f>SUM(F8:F38)</f>
        <v>7294039</v>
      </c>
      <c r="I12" s="234">
        <v>27996</v>
      </c>
      <c r="J12" s="100">
        <f t="shared" si="1"/>
        <v>0.10884279688198589</v>
      </c>
      <c r="K12" s="234">
        <v>40549</v>
      </c>
      <c r="L12" s="100">
        <f t="shared" si="2"/>
        <v>0.15764632700270201</v>
      </c>
      <c r="M12" s="105">
        <f t="shared" si="3"/>
        <v>68545</v>
      </c>
      <c r="N12" s="100">
        <f t="shared" si="4"/>
        <v>0.26648912388468793</v>
      </c>
      <c r="O12" s="234">
        <v>7146</v>
      </c>
      <c r="P12" s="100">
        <f t="shared" si="5"/>
        <v>2.7782205547887955E-2</v>
      </c>
      <c r="Q12" s="234"/>
      <c r="R12" s="100">
        <f t="shared" si="6"/>
        <v>0</v>
      </c>
      <c r="S12" s="105">
        <f t="shared" si="7"/>
        <v>7146</v>
      </c>
      <c r="T12" s="100">
        <f t="shared" si="8"/>
        <v>2.7782205547887955E-2</v>
      </c>
      <c r="U12" s="234">
        <v>33083</v>
      </c>
      <c r="V12" s="100">
        <f t="shared" si="9"/>
        <v>0.12862002604824757</v>
      </c>
      <c r="W12" s="234">
        <v>2962</v>
      </c>
      <c r="X12" s="100">
        <f t="shared" si="10"/>
        <v>1.1515658107031083E-2</v>
      </c>
      <c r="Y12" s="234">
        <v>26131</v>
      </c>
      <c r="Z12" s="100">
        <f t="shared" si="11"/>
        <v>0.10159205334059056</v>
      </c>
      <c r="AA12" s="234">
        <v>23111</v>
      </c>
      <c r="AB12" s="100">
        <f t="shared" si="12"/>
        <v>8.9850902941119304E-2</v>
      </c>
      <c r="AC12" s="105">
        <f t="shared" si="13"/>
        <v>49242</v>
      </c>
      <c r="AD12" s="100">
        <f t="shared" si="14"/>
        <v>0.19144295628170985</v>
      </c>
      <c r="AE12" s="234">
        <v>24984</v>
      </c>
      <c r="AF12" s="100">
        <f t="shared" si="15"/>
        <v>9.7132748867678795E-2</v>
      </c>
      <c r="AG12" s="234">
        <v>16867</v>
      </c>
      <c r="AH12" s="100">
        <f t="shared" si="16"/>
        <v>6.5575491320490634E-2</v>
      </c>
      <c r="AI12" s="234">
        <v>29539</v>
      </c>
      <c r="AJ12" s="100">
        <f t="shared" si="17"/>
        <v>0.11484166942052369</v>
      </c>
      <c r="AK12" s="234">
        <v>24847</v>
      </c>
      <c r="AL12" s="100">
        <f t="shared" si="18"/>
        <v>9.6600120521742508E-2</v>
      </c>
    </row>
    <row r="13" spans="1:38" ht="14.25">
      <c r="B13" s="97"/>
      <c r="C13" s="83"/>
      <c r="D13" s="299">
        <f t="shared" si="21"/>
        <v>46237</v>
      </c>
      <c r="E13" s="299" t="s">
        <v>445</v>
      </c>
      <c r="F13" s="87">
        <f t="shared" si="20"/>
        <v>259068</v>
      </c>
      <c r="G13" s="301"/>
      <c r="H13" s="341"/>
      <c r="I13" s="234">
        <v>27701</v>
      </c>
      <c r="J13" s="100">
        <f t="shared" si="1"/>
        <v>0.10692559482452484</v>
      </c>
      <c r="K13" s="234">
        <v>40251</v>
      </c>
      <c r="L13" s="100">
        <f t="shared" si="2"/>
        <v>0.15536847468618278</v>
      </c>
      <c r="M13" s="105">
        <f t="shared" si="3"/>
        <v>67952</v>
      </c>
      <c r="N13" s="100">
        <f t="shared" si="4"/>
        <v>0.26229406951070761</v>
      </c>
      <c r="O13" s="234">
        <v>6720</v>
      </c>
      <c r="P13" s="100">
        <f t="shared" si="5"/>
        <v>2.5939135670943535E-2</v>
      </c>
      <c r="Q13" s="234"/>
      <c r="R13" s="100">
        <f t="shared" si="6"/>
        <v>0</v>
      </c>
      <c r="S13" s="105">
        <f t="shared" si="7"/>
        <v>6720</v>
      </c>
      <c r="T13" s="100">
        <f t="shared" si="8"/>
        <v>2.5939135670943535E-2</v>
      </c>
      <c r="U13" s="234">
        <v>33715</v>
      </c>
      <c r="V13" s="100">
        <f t="shared" si="9"/>
        <v>0.13013957725384842</v>
      </c>
      <c r="W13" s="234">
        <v>3580</v>
      </c>
      <c r="X13" s="100">
        <f t="shared" si="10"/>
        <v>1.381876572946099E-2</v>
      </c>
      <c r="Y13" s="234">
        <v>22253</v>
      </c>
      <c r="Z13" s="100">
        <f t="shared" si="11"/>
        <v>8.5896366977009891E-2</v>
      </c>
      <c r="AA13" s="234">
        <v>25488</v>
      </c>
      <c r="AB13" s="100">
        <f t="shared" si="12"/>
        <v>9.8383436009078701E-2</v>
      </c>
      <c r="AC13" s="105">
        <f t="shared" si="13"/>
        <v>47741</v>
      </c>
      <c r="AD13" s="100">
        <f t="shared" si="14"/>
        <v>0.18427980298608859</v>
      </c>
      <c r="AE13" s="234">
        <v>24663</v>
      </c>
      <c r="AF13" s="100">
        <f t="shared" si="15"/>
        <v>9.5198943906619107E-2</v>
      </c>
      <c r="AG13" s="234">
        <v>16950</v>
      </c>
      <c r="AH13" s="100">
        <f t="shared" si="16"/>
        <v>6.5426837741442395E-2</v>
      </c>
      <c r="AI13" s="234">
        <v>29944</v>
      </c>
      <c r="AJ13" s="100">
        <f t="shared" si="17"/>
        <v>0.11558355335278768</v>
      </c>
      <c r="AK13" s="234">
        <v>27803</v>
      </c>
      <c r="AL13" s="100">
        <f t="shared" si="18"/>
        <v>0.10731931384810166</v>
      </c>
    </row>
    <row r="14" spans="1:38" ht="14.25">
      <c r="B14" s="97"/>
      <c r="C14" s="83"/>
      <c r="D14" s="355">
        <f t="shared" si="21"/>
        <v>46238</v>
      </c>
      <c r="E14" s="355" t="s">
        <v>446</v>
      </c>
      <c r="F14" s="87">
        <f t="shared" si="20"/>
        <v>252047</v>
      </c>
      <c r="G14" s="301">
        <f>SUM(F14:F20)</f>
        <v>1651043</v>
      </c>
      <c r="H14" s="341"/>
      <c r="I14" s="234">
        <v>27868</v>
      </c>
      <c r="J14" s="100">
        <f>I14/F14</f>
        <v>0.11056668002396379</v>
      </c>
      <c r="K14" s="234">
        <v>40331</v>
      </c>
      <c r="L14" s="100">
        <f>K14/F14</f>
        <v>0.16001380694870401</v>
      </c>
      <c r="M14" s="105">
        <f>SUM(I14+K14)</f>
        <v>68199</v>
      </c>
      <c r="N14" s="100">
        <f>M14/F14</f>
        <v>0.27058048697266779</v>
      </c>
      <c r="O14" s="234">
        <v>6646</v>
      </c>
      <c r="P14" s="100">
        <f>O14/F14</f>
        <v>2.6368098013465742E-2</v>
      </c>
      <c r="Q14" s="234"/>
      <c r="R14" s="100">
        <f t="shared" ref="R14" si="22">Q14/F14</f>
        <v>0</v>
      </c>
      <c r="S14" s="105">
        <f t="shared" ref="S14" si="23">SUM(O14+Q14)</f>
        <v>6646</v>
      </c>
      <c r="T14" s="100">
        <f>S14/F14</f>
        <v>2.6368098013465742E-2</v>
      </c>
      <c r="U14" s="234">
        <v>31618</v>
      </c>
      <c r="V14" s="100">
        <f>U14/F14</f>
        <v>0.12544485750673484</v>
      </c>
      <c r="W14" s="234">
        <v>2898</v>
      </c>
      <c r="X14" s="100">
        <f>W14/F14</f>
        <v>1.1497855558685483E-2</v>
      </c>
      <c r="Y14" s="234">
        <v>23567</v>
      </c>
      <c r="Z14" s="100">
        <f>Y14/F14</f>
        <v>9.3502402329724218E-2</v>
      </c>
      <c r="AA14" s="234">
        <v>24059</v>
      </c>
      <c r="AB14" s="100">
        <f t="shared" ref="AB14" si="24">AA14/F14</f>
        <v>9.5454419215463784E-2</v>
      </c>
      <c r="AC14" s="105">
        <f>SUM(Y14+AA14)</f>
        <v>47626</v>
      </c>
      <c r="AD14" s="100">
        <f>AC14/F14</f>
        <v>0.188956821545188</v>
      </c>
      <c r="AE14" s="234">
        <v>23732</v>
      </c>
      <c r="AF14" s="100">
        <f>AE14/F14</f>
        <v>9.415704213896614E-2</v>
      </c>
      <c r="AG14" s="234">
        <v>14538</v>
      </c>
      <c r="AH14" s="100">
        <f>AG14/F14</f>
        <v>5.7679718465206885E-2</v>
      </c>
      <c r="AI14" s="234">
        <v>31623</v>
      </c>
      <c r="AJ14" s="100">
        <f>AI14/F14</f>
        <v>0.12546469507671187</v>
      </c>
      <c r="AK14" s="234">
        <v>25167</v>
      </c>
      <c r="AL14" s="100">
        <f>AK14/F14</f>
        <v>9.985042472237321E-2</v>
      </c>
    </row>
    <row r="15" spans="1:38" ht="14.25">
      <c r="B15" s="97"/>
      <c r="C15" s="83"/>
      <c r="D15" s="355">
        <f t="shared" si="21"/>
        <v>46239</v>
      </c>
      <c r="E15" s="355" t="s">
        <v>447</v>
      </c>
      <c r="F15" s="87">
        <f t="shared" si="20"/>
        <v>243421</v>
      </c>
      <c r="G15" s="301"/>
      <c r="H15" s="341"/>
      <c r="I15" s="234">
        <v>27618</v>
      </c>
      <c r="J15" s="100">
        <f t="shared" ref="J15:J48" si="25">I15/F15</f>
        <v>0.11345775426113605</v>
      </c>
      <c r="K15" s="234">
        <v>39341</v>
      </c>
      <c r="L15" s="100">
        <f t="shared" ref="L15:L48" si="26">K15/F15</f>
        <v>0.16161711602532239</v>
      </c>
      <c r="M15" s="105">
        <f t="shared" ref="M15:M48" si="27">SUM(I15+K15)</f>
        <v>66959</v>
      </c>
      <c r="N15" s="100">
        <f t="shared" ref="N15:N48" si="28">M15/F15</f>
        <v>0.27507487028645844</v>
      </c>
      <c r="O15" s="234">
        <v>6641</v>
      </c>
      <c r="P15" s="100">
        <f t="shared" ref="P15:P48" si="29">O15/F15</f>
        <v>2.7281951844746345E-2</v>
      </c>
      <c r="Q15" s="234"/>
      <c r="R15" s="100">
        <f t="shared" ref="R15:R48" si="30">Q15/F15</f>
        <v>0</v>
      </c>
      <c r="S15" s="105">
        <f t="shared" ref="S15:S48" si="31">SUM(O15+Q15)</f>
        <v>6641</v>
      </c>
      <c r="T15" s="100">
        <f t="shared" ref="T15:T48" si="32">S15/F15</f>
        <v>2.7281951844746345E-2</v>
      </c>
      <c r="U15" s="234">
        <v>28898</v>
      </c>
      <c r="V15" s="100">
        <f t="shared" ref="V15:V48" si="33">U15/F15</f>
        <v>0.11871613377646136</v>
      </c>
      <c r="W15" s="234">
        <v>2720</v>
      </c>
      <c r="X15" s="100">
        <f t="shared" ref="X15:X48" si="34">W15/F15</f>
        <v>1.1174056470066264E-2</v>
      </c>
      <c r="Y15" s="234">
        <v>23353</v>
      </c>
      <c r="Z15" s="100">
        <f t="shared" ref="Z15:Z48" si="35">Y15/F15</f>
        <v>9.5936669391712304E-2</v>
      </c>
      <c r="AA15" s="234">
        <v>23358</v>
      </c>
      <c r="AB15" s="100">
        <f t="shared" ref="AB15:AB48" si="36">AA15/F15</f>
        <v>9.5957209936694043E-2</v>
      </c>
      <c r="AC15" s="105">
        <f t="shared" ref="AC15:AC48" si="37">SUM(Y15+AA15)</f>
        <v>46711</v>
      </c>
      <c r="AD15" s="100">
        <f t="shared" ref="AD15:AD48" si="38">AC15/F15</f>
        <v>0.19189387932840635</v>
      </c>
      <c r="AE15" s="234">
        <v>22105</v>
      </c>
      <c r="AF15" s="100">
        <f t="shared" ref="AF15:AF48" si="39">AE15/F15</f>
        <v>9.0809749364270137E-2</v>
      </c>
      <c r="AG15" s="234">
        <v>14118</v>
      </c>
      <c r="AH15" s="100">
        <f t="shared" ref="AH15:AH48" si="40">AG15/F15</f>
        <v>5.7998282810439526E-2</v>
      </c>
      <c r="AI15" s="234">
        <v>30400</v>
      </c>
      <c r="AJ15" s="100">
        <f t="shared" ref="AJ15:AJ48" si="41">AI15/F15</f>
        <v>0.12488651348897589</v>
      </c>
      <c r="AK15" s="234">
        <v>24869</v>
      </c>
      <c r="AL15" s="100">
        <f t="shared" ref="AL15:AL48" si="42">AK15/F15</f>
        <v>0.1021645626301757</v>
      </c>
    </row>
    <row r="16" spans="1:38" ht="14.25">
      <c r="B16" s="97"/>
      <c r="C16" s="83"/>
      <c r="D16" s="355">
        <f t="shared" si="21"/>
        <v>46240</v>
      </c>
      <c r="E16" s="355" t="s">
        <v>448</v>
      </c>
      <c r="F16" s="87">
        <f t="shared" si="20"/>
        <v>227805</v>
      </c>
      <c r="G16" s="301"/>
      <c r="H16" s="341"/>
      <c r="I16" s="234">
        <v>26550</v>
      </c>
      <c r="J16" s="100">
        <f t="shared" si="25"/>
        <v>0.1165470468163561</v>
      </c>
      <c r="K16" s="234">
        <v>36408</v>
      </c>
      <c r="L16" s="100">
        <f t="shared" si="26"/>
        <v>0.15982089945347994</v>
      </c>
      <c r="M16" s="105">
        <f t="shared" si="27"/>
        <v>62958</v>
      </c>
      <c r="N16" s="100">
        <f t="shared" si="28"/>
        <v>0.27636794626983602</v>
      </c>
      <c r="O16" s="234">
        <v>6183</v>
      </c>
      <c r="P16" s="100">
        <f t="shared" si="29"/>
        <v>2.7141634292486994E-2</v>
      </c>
      <c r="Q16" s="234"/>
      <c r="R16" s="100">
        <f t="shared" si="30"/>
        <v>0</v>
      </c>
      <c r="S16" s="105">
        <f t="shared" si="31"/>
        <v>6183</v>
      </c>
      <c r="T16" s="100">
        <f t="shared" si="32"/>
        <v>2.7141634292486994E-2</v>
      </c>
      <c r="U16" s="234">
        <v>25083</v>
      </c>
      <c r="V16" s="100">
        <f t="shared" si="33"/>
        <v>0.11010732863633371</v>
      </c>
      <c r="W16" s="234">
        <v>2689</v>
      </c>
      <c r="X16" s="100">
        <f t="shared" si="34"/>
        <v>1.1803955137068984E-2</v>
      </c>
      <c r="Y16" s="234">
        <v>24270</v>
      </c>
      <c r="Z16" s="100">
        <f t="shared" si="35"/>
        <v>0.10653848686376506</v>
      </c>
      <c r="AA16" s="234">
        <v>18715</v>
      </c>
      <c r="AB16" s="100">
        <f t="shared" si="36"/>
        <v>8.2153596277518059E-2</v>
      </c>
      <c r="AC16" s="105">
        <f t="shared" si="37"/>
        <v>42985</v>
      </c>
      <c r="AD16" s="100">
        <f t="shared" si="38"/>
        <v>0.18869208314128311</v>
      </c>
      <c r="AE16" s="234">
        <v>20791</v>
      </c>
      <c r="AF16" s="100">
        <f t="shared" si="39"/>
        <v>9.1266653497508829E-2</v>
      </c>
      <c r="AG16" s="234">
        <v>13547</v>
      </c>
      <c r="AH16" s="100">
        <f t="shared" si="40"/>
        <v>5.9467527051645049E-2</v>
      </c>
      <c r="AI16" s="234">
        <v>29261</v>
      </c>
      <c r="AJ16" s="100">
        <f t="shared" si="41"/>
        <v>0.12844757577752902</v>
      </c>
      <c r="AK16" s="234">
        <v>24308</v>
      </c>
      <c r="AL16" s="100">
        <f t="shared" si="42"/>
        <v>0.10670529619630825</v>
      </c>
    </row>
    <row r="17" spans="2:38" ht="14.25">
      <c r="B17" s="97"/>
      <c r="C17" s="83"/>
      <c r="D17" s="355">
        <f t="shared" si="21"/>
        <v>46241</v>
      </c>
      <c r="E17" s="355" t="s">
        <v>449</v>
      </c>
      <c r="F17" s="87">
        <f t="shared" si="20"/>
        <v>203589</v>
      </c>
      <c r="G17" s="301"/>
      <c r="H17" s="341"/>
      <c r="I17" s="234">
        <v>23417</v>
      </c>
      <c r="J17" s="100">
        <f t="shared" si="25"/>
        <v>0.11502094906895756</v>
      </c>
      <c r="K17" s="234">
        <v>34508</v>
      </c>
      <c r="L17" s="100">
        <f t="shared" si="26"/>
        <v>0.16949835207206676</v>
      </c>
      <c r="M17" s="105">
        <f t="shared" si="27"/>
        <v>57925</v>
      </c>
      <c r="N17" s="100">
        <f t="shared" si="28"/>
        <v>0.28451930114102431</v>
      </c>
      <c r="O17" s="234">
        <v>5264</v>
      </c>
      <c r="P17" s="100">
        <f t="shared" si="29"/>
        <v>2.5856013831788555E-2</v>
      </c>
      <c r="Q17" s="234"/>
      <c r="R17" s="100">
        <f t="shared" si="30"/>
        <v>0</v>
      </c>
      <c r="S17" s="105">
        <f t="shared" si="31"/>
        <v>5264</v>
      </c>
      <c r="T17" s="100">
        <f t="shared" si="32"/>
        <v>2.5856013831788555E-2</v>
      </c>
      <c r="U17" s="234">
        <v>22140</v>
      </c>
      <c r="V17" s="100">
        <f t="shared" si="33"/>
        <v>0.10874850802351797</v>
      </c>
      <c r="W17" s="234">
        <v>1917</v>
      </c>
      <c r="X17" s="100">
        <f t="shared" si="34"/>
        <v>9.416029353255825E-3</v>
      </c>
      <c r="Y17" s="234">
        <v>21892</v>
      </c>
      <c r="Z17" s="100">
        <f t="shared" si="35"/>
        <v>0.10753036755423918</v>
      </c>
      <c r="AA17" s="234">
        <v>18830</v>
      </c>
      <c r="AB17" s="100">
        <f t="shared" si="36"/>
        <v>9.2490262244030869E-2</v>
      </c>
      <c r="AC17" s="105">
        <f t="shared" si="37"/>
        <v>40722</v>
      </c>
      <c r="AD17" s="100">
        <f t="shared" si="38"/>
        <v>0.20002062979827004</v>
      </c>
      <c r="AE17" s="234">
        <v>16434</v>
      </c>
      <c r="AF17" s="100">
        <f t="shared" si="39"/>
        <v>8.0721453516643824E-2</v>
      </c>
      <c r="AG17" s="234">
        <v>11252</v>
      </c>
      <c r="AH17" s="100">
        <f t="shared" si="40"/>
        <v>5.526821193679423E-2</v>
      </c>
      <c r="AI17" s="234">
        <v>28302</v>
      </c>
      <c r="AJ17" s="100">
        <f t="shared" si="41"/>
        <v>0.13901536919971119</v>
      </c>
      <c r="AK17" s="234">
        <v>19633</v>
      </c>
      <c r="AL17" s="100">
        <f t="shared" si="42"/>
        <v>9.6434483198994045E-2</v>
      </c>
    </row>
    <row r="18" spans="2:38" ht="14.25">
      <c r="B18" s="97"/>
      <c r="C18" s="83"/>
      <c r="D18" s="355">
        <f t="shared" si="21"/>
        <v>46242</v>
      </c>
      <c r="E18" s="355" t="s">
        <v>450</v>
      </c>
      <c r="F18" s="87">
        <f t="shared" si="20"/>
        <v>215322</v>
      </c>
      <c r="G18" s="301"/>
      <c r="H18" s="341"/>
      <c r="I18" s="234">
        <v>21959</v>
      </c>
      <c r="J18" s="100">
        <f t="shared" si="25"/>
        <v>0.10198214766721468</v>
      </c>
      <c r="K18" s="234">
        <v>37949</v>
      </c>
      <c r="L18" s="100">
        <f t="shared" si="26"/>
        <v>0.17624302207856141</v>
      </c>
      <c r="M18" s="105">
        <f t="shared" si="27"/>
        <v>59908</v>
      </c>
      <c r="N18" s="100">
        <f t="shared" si="28"/>
        <v>0.2782251697457761</v>
      </c>
      <c r="O18" s="234">
        <v>4950</v>
      </c>
      <c r="P18" s="100">
        <f t="shared" si="29"/>
        <v>2.2988826037283697E-2</v>
      </c>
      <c r="Q18" s="234"/>
      <c r="R18" s="100">
        <f t="shared" si="30"/>
        <v>0</v>
      </c>
      <c r="S18" s="105">
        <f t="shared" si="31"/>
        <v>4950</v>
      </c>
      <c r="T18" s="100">
        <f t="shared" si="32"/>
        <v>2.2988826037283697E-2</v>
      </c>
      <c r="U18" s="234">
        <v>24295</v>
      </c>
      <c r="V18" s="100">
        <f t="shared" si="33"/>
        <v>0.11283101587390049</v>
      </c>
      <c r="W18" s="234">
        <v>1771</v>
      </c>
      <c r="X18" s="100">
        <f t="shared" si="34"/>
        <v>8.2248910933392771E-3</v>
      </c>
      <c r="Y18" s="234">
        <v>23398</v>
      </c>
      <c r="Z18" s="100">
        <f t="shared" si="35"/>
        <v>0.10866516194350787</v>
      </c>
      <c r="AA18" s="234">
        <v>22034</v>
      </c>
      <c r="AB18" s="100">
        <f t="shared" si="36"/>
        <v>0.10233046321323414</v>
      </c>
      <c r="AC18" s="105">
        <f t="shared" si="37"/>
        <v>45432</v>
      </c>
      <c r="AD18" s="100">
        <f t="shared" si="38"/>
        <v>0.210995625156742</v>
      </c>
      <c r="AE18" s="234">
        <v>17998</v>
      </c>
      <c r="AF18" s="100">
        <f t="shared" si="39"/>
        <v>8.3586442630107463E-2</v>
      </c>
      <c r="AG18" s="234">
        <v>11760</v>
      </c>
      <c r="AH18" s="100">
        <f t="shared" si="40"/>
        <v>5.4615877615849753E-2</v>
      </c>
      <c r="AI18" s="234">
        <v>29557</v>
      </c>
      <c r="AJ18" s="100">
        <f t="shared" si="41"/>
        <v>0.13726883458262509</v>
      </c>
      <c r="AK18" s="234">
        <v>19651</v>
      </c>
      <c r="AL18" s="100">
        <f t="shared" si="42"/>
        <v>9.1263317264376143E-2</v>
      </c>
    </row>
    <row r="19" spans="2:38" ht="14.25">
      <c r="B19" s="97"/>
      <c r="C19" s="83"/>
      <c r="D19" s="355">
        <f t="shared" si="21"/>
        <v>46243</v>
      </c>
      <c r="E19" s="355" t="s">
        <v>451</v>
      </c>
      <c r="F19" s="87">
        <f t="shared" si="20"/>
        <v>255929</v>
      </c>
      <c r="G19" s="301"/>
      <c r="H19" s="341"/>
      <c r="I19" s="234">
        <v>27289</v>
      </c>
      <c r="J19" s="100">
        <f t="shared" si="25"/>
        <v>0.10662722864544463</v>
      </c>
      <c r="K19" s="234">
        <v>41319</v>
      </c>
      <c r="L19" s="100">
        <f t="shared" si="26"/>
        <v>0.16144712009971515</v>
      </c>
      <c r="M19" s="105">
        <f t="shared" si="27"/>
        <v>68608</v>
      </c>
      <c r="N19" s="100">
        <f t="shared" si="28"/>
        <v>0.26807434874515979</v>
      </c>
      <c r="O19" s="234">
        <v>6315</v>
      </c>
      <c r="P19" s="100">
        <f t="shared" si="29"/>
        <v>2.4674812154933595E-2</v>
      </c>
      <c r="Q19" s="234"/>
      <c r="R19" s="100">
        <f t="shared" si="30"/>
        <v>0</v>
      </c>
      <c r="S19" s="105">
        <f t="shared" si="31"/>
        <v>6315</v>
      </c>
      <c r="T19" s="100">
        <f t="shared" si="32"/>
        <v>2.4674812154933595E-2</v>
      </c>
      <c r="U19" s="234">
        <v>31418</v>
      </c>
      <c r="V19" s="100">
        <f t="shared" si="33"/>
        <v>0.12276060938775989</v>
      </c>
      <c r="W19" s="234">
        <v>2575</v>
      </c>
      <c r="X19" s="100">
        <f t="shared" si="34"/>
        <v>1.0061384212027555E-2</v>
      </c>
      <c r="Y19" s="234">
        <v>27726</v>
      </c>
      <c r="Z19" s="100">
        <f t="shared" si="35"/>
        <v>0.10833473346123339</v>
      </c>
      <c r="AA19" s="234">
        <v>24453</v>
      </c>
      <c r="AB19" s="100">
        <f t="shared" si="36"/>
        <v>9.5546030344353314E-2</v>
      </c>
      <c r="AC19" s="105">
        <f t="shared" si="37"/>
        <v>52179</v>
      </c>
      <c r="AD19" s="100">
        <f t="shared" si="38"/>
        <v>0.2038807638055867</v>
      </c>
      <c r="AE19" s="234">
        <v>24148</v>
      </c>
      <c r="AF19" s="100">
        <f t="shared" si="39"/>
        <v>9.4354293573608305E-2</v>
      </c>
      <c r="AG19" s="234">
        <v>15154</v>
      </c>
      <c r="AH19" s="100">
        <f t="shared" si="40"/>
        <v>5.9211734504491478E-2</v>
      </c>
      <c r="AI19" s="234">
        <v>30935</v>
      </c>
      <c r="AJ19" s="100">
        <f t="shared" si="41"/>
        <v>0.12087336722294073</v>
      </c>
      <c r="AK19" s="234">
        <v>24597</v>
      </c>
      <c r="AL19" s="100">
        <f t="shared" si="42"/>
        <v>9.6108686393491946E-2</v>
      </c>
    </row>
    <row r="20" spans="2:38" ht="14.25">
      <c r="B20" s="97"/>
      <c r="C20" s="83"/>
      <c r="D20" s="355">
        <f t="shared" si="21"/>
        <v>46244</v>
      </c>
      <c r="E20" s="355" t="s">
        <v>445</v>
      </c>
      <c r="F20" s="87">
        <f t="shared" si="20"/>
        <v>252930</v>
      </c>
      <c r="G20" s="301"/>
      <c r="H20" s="341"/>
      <c r="I20" s="234">
        <v>26584</v>
      </c>
      <c r="J20" s="100">
        <f t="shared" si="25"/>
        <v>0.10510417902186375</v>
      </c>
      <c r="K20" s="234">
        <v>40636</v>
      </c>
      <c r="L20" s="100">
        <f t="shared" si="26"/>
        <v>0.16066105246510892</v>
      </c>
      <c r="M20" s="105">
        <f t="shared" si="27"/>
        <v>67220</v>
      </c>
      <c r="N20" s="100">
        <f t="shared" si="28"/>
        <v>0.26576523148697268</v>
      </c>
      <c r="O20" s="234">
        <v>6676</v>
      </c>
      <c r="P20" s="100">
        <f t="shared" si="29"/>
        <v>2.6394654647530939E-2</v>
      </c>
      <c r="Q20" s="234"/>
      <c r="R20" s="100">
        <f t="shared" si="30"/>
        <v>0</v>
      </c>
      <c r="S20" s="105">
        <f t="shared" si="31"/>
        <v>6676</v>
      </c>
      <c r="T20" s="100">
        <f t="shared" si="32"/>
        <v>2.6394654647530939E-2</v>
      </c>
      <c r="U20" s="234">
        <v>30734</v>
      </c>
      <c r="V20" s="100">
        <f t="shared" si="33"/>
        <v>0.12151188075752184</v>
      </c>
      <c r="W20" s="234">
        <v>3227</v>
      </c>
      <c r="X20" s="100">
        <f t="shared" si="34"/>
        <v>1.2758470723124976E-2</v>
      </c>
      <c r="Y20" s="234">
        <v>26708</v>
      </c>
      <c r="Z20" s="100">
        <f t="shared" si="35"/>
        <v>0.10559443324239909</v>
      </c>
      <c r="AA20" s="234">
        <v>23048</v>
      </c>
      <c r="AB20" s="100">
        <f t="shared" si="36"/>
        <v>9.1124026410469294E-2</v>
      </c>
      <c r="AC20" s="105">
        <f t="shared" si="37"/>
        <v>49756</v>
      </c>
      <c r="AD20" s="100">
        <f t="shared" si="38"/>
        <v>0.19671845965286838</v>
      </c>
      <c r="AE20" s="234">
        <v>24191</v>
      </c>
      <c r="AF20" s="100">
        <f t="shared" si="39"/>
        <v>9.5643063298145731E-2</v>
      </c>
      <c r="AG20" s="234">
        <v>15839</v>
      </c>
      <c r="AH20" s="100">
        <f t="shared" si="40"/>
        <v>6.2622069347250231E-2</v>
      </c>
      <c r="AI20" s="234">
        <v>27828</v>
      </c>
      <c r="AJ20" s="100">
        <f t="shared" si="41"/>
        <v>0.11002253587949234</v>
      </c>
      <c r="AK20" s="234">
        <v>27459</v>
      </c>
      <c r="AL20" s="100">
        <f t="shared" si="42"/>
        <v>0.10856363420709288</v>
      </c>
    </row>
    <row r="21" spans="2:38" ht="14.25">
      <c r="B21" s="97"/>
      <c r="C21" s="83"/>
      <c r="D21" s="299">
        <f t="shared" si="21"/>
        <v>46245</v>
      </c>
      <c r="E21" s="299" t="s">
        <v>446</v>
      </c>
      <c r="F21" s="87">
        <f t="shared" si="20"/>
        <v>242065</v>
      </c>
      <c r="G21" s="301">
        <f>SUM(F21:F27)</f>
        <v>1606324</v>
      </c>
      <c r="H21" s="341"/>
      <c r="I21" s="234">
        <v>29088</v>
      </c>
      <c r="J21" s="100">
        <f t="shared" si="25"/>
        <v>0.12016607109660628</v>
      </c>
      <c r="K21" s="234">
        <v>39489</v>
      </c>
      <c r="L21" s="100">
        <f t="shared" si="26"/>
        <v>0.16313386900212754</v>
      </c>
      <c r="M21" s="105">
        <f t="shared" si="27"/>
        <v>68577</v>
      </c>
      <c r="N21" s="100">
        <f t="shared" si="28"/>
        <v>0.28329994009873383</v>
      </c>
      <c r="O21" s="234">
        <v>5820</v>
      </c>
      <c r="P21" s="100">
        <f t="shared" si="29"/>
        <v>2.4043128911655959E-2</v>
      </c>
      <c r="Q21" s="234"/>
      <c r="R21" s="100">
        <f t="shared" si="30"/>
        <v>0</v>
      </c>
      <c r="S21" s="105">
        <f t="shared" si="31"/>
        <v>5820</v>
      </c>
      <c r="T21" s="100">
        <f t="shared" si="32"/>
        <v>2.4043128911655959E-2</v>
      </c>
      <c r="U21" s="234">
        <v>28102</v>
      </c>
      <c r="V21" s="100">
        <f t="shared" si="33"/>
        <v>0.1160927849957656</v>
      </c>
      <c r="W21" s="234">
        <v>2481</v>
      </c>
      <c r="X21" s="100">
        <f t="shared" si="34"/>
        <v>1.0249313200999732E-2</v>
      </c>
      <c r="Y21" s="234">
        <v>26446</v>
      </c>
      <c r="Z21" s="100">
        <f t="shared" si="35"/>
        <v>0.10925164728482019</v>
      </c>
      <c r="AA21" s="234">
        <v>23062</v>
      </c>
      <c r="AB21" s="100">
        <f t="shared" si="36"/>
        <v>9.5271931092888271E-2</v>
      </c>
      <c r="AC21" s="105">
        <f t="shared" si="37"/>
        <v>49508</v>
      </c>
      <c r="AD21" s="100">
        <f t="shared" si="38"/>
        <v>0.20452357837770846</v>
      </c>
      <c r="AE21" s="234">
        <v>22552</v>
      </c>
      <c r="AF21" s="100">
        <f t="shared" si="39"/>
        <v>9.3165058971763776E-2</v>
      </c>
      <c r="AG21" s="234">
        <v>17519</v>
      </c>
      <c r="AH21" s="100">
        <f t="shared" si="40"/>
        <v>7.2373122921529337E-2</v>
      </c>
      <c r="AI21" s="234">
        <v>24167</v>
      </c>
      <c r="AJ21" s="100">
        <f t="shared" si="41"/>
        <v>9.9836820688657998E-2</v>
      </c>
      <c r="AK21" s="234">
        <v>23339</v>
      </c>
      <c r="AL21" s="100">
        <f t="shared" si="42"/>
        <v>9.6416251833185307E-2</v>
      </c>
    </row>
    <row r="22" spans="2:38" ht="14.25">
      <c r="B22" s="97"/>
      <c r="C22" s="83"/>
      <c r="D22" s="299">
        <f t="shared" si="21"/>
        <v>46246</v>
      </c>
      <c r="E22" s="299" t="s">
        <v>447</v>
      </c>
      <c r="F22" s="87">
        <f t="shared" si="20"/>
        <v>232004</v>
      </c>
      <c r="G22" s="301"/>
      <c r="H22" s="341"/>
      <c r="I22" s="234">
        <v>27414</v>
      </c>
      <c r="J22" s="100">
        <f t="shared" si="25"/>
        <v>0.118161755831796</v>
      </c>
      <c r="K22" s="234">
        <v>38675</v>
      </c>
      <c r="L22" s="100">
        <f t="shared" si="26"/>
        <v>0.16669971207392975</v>
      </c>
      <c r="M22" s="105">
        <f t="shared" si="27"/>
        <v>66089</v>
      </c>
      <c r="N22" s="100">
        <f t="shared" si="28"/>
        <v>0.28486146790572575</v>
      </c>
      <c r="O22" s="234">
        <v>5797</v>
      </c>
      <c r="P22" s="100">
        <f t="shared" si="29"/>
        <v>2.4986638161411012E-2</v>
      </c>
      <c r="Q22" s="234"/>
      <c r="R22" s="100">
        <f t="shared" si="30"/>
        <v>0</v>
      </c>
      <c r="S22" s="105">
        <f t="shared" si="31"/>
        <v>5797</v>
      </c>
      <c r="T22" s="100">
        <f t="shared" si="32"/>
        <v>2.4986638161411012E-2</v>
      </c>
      <c r="U22" s="234">
        <v>27769</v>
      </c>
      <c r="V22" s="100">
        <f t="shared" si="33"/>
        <v>0.11969190186376097</v>
      </c>
      <c r="W22" s="234">
        <v>2313</v>
      </c>
      <c r="X22" s="100">
        <f t="shared" si="34"/>
        <v>9.9696556955914551E-3</v>
      </c>
      <c r="Y22" s="234">
        <v>26150</v>
      </c>
      <c r="Z22" s="100">
        <f t="shared" si="35"/>
        <v>0.1127135739038982</v>
      </c>
      <c r="AA22" s="234">
        <v>21696</v>
      </c>
      <c r="AB22" s="100">
        <f t="shared" si="36"/>
        <v>9.3515629040878609E-2</v>
      </c>
      <c r="AC22" s="105">
        <f t="shared" si="37"/>
        <v>47846</v>
      </c>
      <c r="AD22" s="100">
        <f t="shared" si="38"/>
        <v>0.20622920294477681</v>
      </c>
      <c r="AE22" s="234">
        <v>20975</v>
      </c>
      <c r="AF22" s="100">
        <f t="shared" si="39"/>
        <v>9.0407924001310327E-2</v>
      </c>
      <c r="AG22" s="234">
        <v>13437</v>
      </c>
      <c r="AH22" s="100">
        <f t="shared" si="40"/>
        <v>5.791710487750211E-2</v>
      </c>
      <c r="AI22" s="234">
        <v>24998</v>
      </c>
      <c r="AJ22" s="100">
        <f t="shared" si="41"/>
        <v>0.10774814227340908</v>
      </c>
      <c r="AK22" s="234">
        <v>22780</v>
      </c>
      <c r="AL22" s="100">
        <f t="shared" si="42"/>
        <v>9.8187962276512469E-2</v>
      </c>
    </row>
    <row r="23" spans="2:38" ht="14.25">
      <c r="B23" s="97"/>
      <c r="C23" s="83"/>
      <c r="D23" s="299">
        <f t="shared" si="21"/>
        <v>46247</v>
      </c>
      <c r="E23" s="299" t="s">
        <v>448</v>
      </c>
      <c r="F23" s="87">
        <f t="shared" si="20"/>
        <v>222698</v>
      </c>
      <c r="G23" s="301"/>
      <c r="H23" s="341"/>
      <c r="I23" s="234">
        <v>26949</v>
      </c>
      <c r="J23" s="100">
        <f t="shared" si="25"/>
        <v>0.12101141456142399</v>
      </c>
      <c r="K23" s="234">
        <v>35937</v>
      </c>
      <c r="L23" s="100">
        <f t="shared" si="26"/>
        <v>0.1613710046789823</v>
      </c>
      <c r="M23" s="105">
        <f t="shared" si="27"/>
        <v>62886</v>
      </c>
      <c r="N23" s="100">
        <f t="shared" si="28"/>
        <v>0.2823824192404063</v>
      </c>
      <c r="O23" s="234">
        <v>5653</v>
      </c>
      <c r="P23" s="100">
        <f t="shared" si="29"/>
        <v>2.5384152529434482E-2</v>
      </c>
      <c r="Q23" s="234"/>
      <c r="R23" s="100">
        <f t="shared" si="30"/>
        <v>0</v>
      </c>
      <c r="S23" s="105">
        <f t="shared" si="31"/>
        <v>5653</v>
      </c>
      <c r="T23" s="100">
        <f t="shared" si="32"/>
        <v>2.5384152529434482E-2</v>
      </c>
      <c r="U23" s="234">
        <v>26507</v>
      </c>
      <c r="V23" s="100">
        <f t="shared" si="33"/>
        <v>0.1190266639125632</v>
      </c>
      <c r="W23" s="234">
        <v>2402</v>
      </c>
      <c r="X23" s="100">
        <f t="shared" si="34"/>
        <v>1.0785907372315872E-2</v>
      </c>
      <c r="Y23" s="234">
        <v>25221</v>
      </c>
      <c r="Z23" s="100">
        <f t="shared" si="35"/>
        <v>0.11325202740931666</v>
      </c>
      <c r="AA23" s="234">
        <v>17722</v>
      </c>
      <c r="AB23" s="100">
        <f t="shared" si="36"/>
        <v>7.9578622169934166E-2</v>
      </c>
      <c r="AC23" s="105">
        <f t="shared" si="37"/>
        <v>42943</v>
      </c>
      <c r="AD23" s="100">
        <f t="shared" si="38"/>
        <v>0.19283064957925083</v>
      </c>
      <c r="AE23" s="234">
        <v>20630</v>
      </c>
      <c r="AF23" s="100">
        <f t="shared" si="39"/>
        <v>9.263666490044814E-2</v>
      </c>
      <c r="AG23" s="234">
        <v>12822</v>
      </c>
      <c r="AH23" s="100">
        <f t="shared" si="40"/>
        <v>5.7575730361296464E-2</v>
      </c>
      <c r="AI23" s="234">
        <v>26209</v>
      </c>
      <c r="AJ23" s="100">
        <f t="shared" si="41"/>
        <v>0.11768852885971136</v>
      </c>
      <c r="AK23" s="234">
        <v>22646</v>
      </c>
      <c r="AL23" s="100">
        <f t="shared" si="42"/>
        <v>0.10168928324457337</v>
      </c>
    </row>
    <row r="24" spans="2:38" ht="14.25">
      <c r="B24" s="97"/>
      <c r="C24" s="83"/>
      <c r="D24" s="299">
        <f t="shared" si="21"/>
        <v>46248</v>
      </c>
      <c r="E24" s="299" t="s">
        <v>449</v>
      </c>
      <c r="F24" s="87">
        <f t="shared" si="20"/>
        <v>199003</v>
      </c>
      <c r="G24" s="301"/>
      <c r="H24" s="341"/>
      <c r="I24" s="234">
        <v>24617</v>
      </c>
      <c r="J24" s="100">
        <f t="shared" si="25"/>
        <v>0.12370165273890343</v>
      </c>
      <c r="K24" s="234">
        <v>33863</v>
      </c>
      <c r="L24" s="100">
        <f t="shared" si="26"/>
        <v>0.1701632638703939</v>
      </c>
      <c r="M24" s="105">
        <f t="shared" si="27"/>
        <v>58480</v>
      </c>
      <c r="N24" s="100">
        <f t="shared" si="28"/>
        <v>0.29386491660929737</v>
      </c>
      <c r="O24" s="234">
        <v>4806</v>
      </c>
      <c r="P24" s="100">
        <f t="shared" si="29"/>
        <v>2.4150389692617701E-2</v>
      </c>
      <c r="Q24" s="234"/>
      <c r="R24" s="100">
        <f t="shared" si="30"/>
        <v>0</v>
      </c>
      <c r="S24" s="105">
        <f t="shared" si="31"/>
        <v>4806</v>
      </c>
      <c r="T24" s="100">
        <f t="shared" si="32"/>
        <v>2.4150389692617701E-2</v>
      </c>
      <c r="U24" s="234">
        <v>21815</v>
      </c>
      <c r="V24" s="100">
        <f t="shared" si="33"/>
        <v>0.10962146299302021</v>
      </c>
      <c r="W24" s="234">
        <v>1779</v>
      </c>
      <c r="X24" s="100">
        <f t="shared" si="34"/>
        <v>8.939563725169972E-3</v>
      </c>
      <c r="Y24" s="234">
        <v>23187</v>
      </c>
      <c r="Z24" s="100">
        <f t="shared" si="35"/>
        <v>0.11651583141962683</v>
      </c>
      <c r="AA24" s="234">
        <v>18105</v>
      </c>
      <c r="AB24" s="100">
        <f t="shared" si="36"/>
        <v>9.0978527961890016E-2</v>
      </c>
      <c r="AC24" s="105">
        <f t="shared" si="37"/>
        <v>41292</v>
      </c>
      <c r="AD24" s="100">
        <f t="shared" si="38"/>
        <v>0.20749435938151686</v>
      </c>
      <c r="AE24" s="234">
        <v>17073</v>
      </c>
      <c r="AF24" s="100">
        <f t="shared" si="39"/>
        <v>8.5792676492314188E-2</v>
      </c>
      <c r="AG24" s="234">
        <v>11033</v>
      </c>
      <c r="AH24" s="100">
        <f t="shared" si="40"/>
        <v>5.5441375255649412E-2</v>
      </c>
      <c r="AI24" s="234">
        <v>24279</v>
      </c>
      <c r="AJ24" s="100">
        <f t="shared" si="41"/>
        <v>0.12200318588161987</v>
      </c>
      <c r="AK24" s="234">
        <v>18446</v>
      </c>
      <c r="AL24" s="100">
        <f t="shared" si="42"/>
        <v>9.2692069968794435E-2</v>
      </c>
    </row>
    <row r="25" spans="2:38" ht="14.25">
      <c r="B25" s="97"/>
      <c r="C25" s="83"/>
      <c r="D25" s="299">
        <f t="shared" si="21"/>
        <v>46249</v>
      </c>
      <c r="E25" s="299" t="s">
        <v>450</v>
      </c>
      <c r="F25" s="87">
        <f t="shared" si="20"/>
        <v>209965</v>
      </c>
      <c r="G25" s="301"/>
      <c r="H25" s="341"/>
      <c r="I25" s="234">
        <v>23420</v>
      </c>
      <c r="J25" s="100">
        <f t="shared" si="25"/>
        <v>0.11154239992379682</v>
      </c>
      <c r="K25" s="234">
        <v>37583</v>
      </c>
      <c r="L25" s="100">
        <f t="shared" si="26"/>
        <v>0.17899649941656942</v>
      </c>
      <c r="M25" s="105">
        <f t="shared" si="27"/>
        <v>61003</v>
      </c>
      <c r="N25" s="100">
        <f t="shared" si="28"/>
        <v>0.29053889934036625</v>
      </c>
      <c r="O25" s="234">
        <v>4639</v>
      </c>
      <c r="P25" s="100">
        <f t="shared" si="29"/>
        <v>2.2094158550234562E-2</v>
      </c>
      <c r="Q25" s="234"/>
      <c r="R25" s="100">
        <f t="shared" si="30"/>
        <v>0</v>
      </c>
      <c r="S25" s="105">
        <f t="shared" si="31"/>
        <v>4639</v>
      </c>
      <c r="T25" s="100">
        <f t="shared" si="32"/>
        <v>2.2094158550234562E-2</v>
      </c>
      <c r="U25" s="234">
        <v>23858</v>
      </c>
      <c r="V25" s="100">
        <f t="shared" si="33"/>
        <v>0.1136284618865049</v>
      </c>
      <c r="W25" s="234">
        <v>1830</v>
      </c>
      <c r="X25" s="100">
        <f t="shared" si="34"/>
        <v>8.715738337341938E-3</v>
      </c>
      <c r="Y25" s="234">
        <v>23599</v>
      </c>
      <c r="Z25" s="100">
        <f t="shared" si="35"/>
        <v>0.11239492296335103</v>
      </c>
      <c r="AA25" s="234">
        <v>21623</v>
      </c>
      <c r="AB25" s="100">
        <f t="shared" si="36"/>
        <v>0.10298383063843974</v>
      </c>
      <c r="AC25" s="105">
        <f t="shared" si="37"/>
        <v>45222</v>
      </c>
      <c r="AD25" s="100">
        <f t="shared" si="38"/>
        <v>0.21537875360179076</v>
      </c>
      <c r="AE25" s="234">
        <v>18096</v>
      </c>
      <c r="AF25" s="100">
        <f t="shared" si="39"/>
        <v>8.618579287024028E-2</v>
      </c>
      <c r="AG25" s="234">
        <v>11791</v>
      </c>
      <c r="AH25" s="100">
        <f t="shared" si="40"/>
        <v>5.6156978544043057E-2</v>
      </c>
      <c r="AI25" s="234">
        <v>25286</v>
      </c>
      <c r="AJ25" s="100">
        <f t="shared" si="41"/>
        <v>0.1204295954087586</v>
      </c>
      <c r="AK25" s="234">
        <v>18240</v>
      </c>
      <c r="AL25" s="100">
        <f t="shared" si="42"/>
        <v>8.6871621460719639E-2</v>
      </c>
    </row>
    <row r="26" spans="2:38" ht="14.25">
      <c r="B26" s="97"/>
      <c r="C26" s="83"/>
      <c r="D26" s="299">
        <f t="shared" si="21"/>
        <v>46250</v>
      </c>
      <c r="E26" s="299" t="s">
        <v>451</v>
      </c>
      <c r="F26" s="87">
        <f t="shared" si="20"/>
        <v>250522</v>
      </c>
      <c r="G26" s="301"/>
      <c r="H26" s="341"/>
      <c r="I26" s="234">
        <v>28958</v>
      </c>
      <c r="J26" s="100">
        <f t="shared" si="25"/>
        <v>0.11559064672962853</v>
      </c>
      <c r="K26" s="234">
        <v>41023</v>
      </c>
      <c r="L26" s="100">
        <f t="shared" si="26"/>
        <v>0.16375008981247155</v>
      </c>
      <c r="M26" s="105">
        <f t="shared" si="27"/>
        <v>69981</v>
      </c>
      <c r="N26" s="100">
        <f t="shared" si="28"/>
        <v>0.27934073654210012</v>
      </c>
      <c r="O26" s="234">
        <v>5890</v>
      </c>
      <c r="P26" s="100">
        <f t="shared" si="29"/>
        <v>2.3510909221545414E-2</v>
      </c>
      <c r="Q26" s="234"/>
      <c r="R26" s="100">
        <f t="shared" si="30"/>
        <v>0</v>
      </c>
      <c r="S26" s="105">
        <f t="shared" si="31"/>
        <v>5890</v>
      </c>
      <c r="T26" s="100">
        <f t="shared" si="32"/>
        <v>2.3510909221545414E-2</v>
      </c>
      <c r="U26" s="234">
        <v>31508</v>
      </c>
      <c r="V26" s="100">
        <f t="shared" si="33"/>
        <v>0.12576939350635871</v>
      </c>
      <c r="W26" s="234">
        <v>2470</v>
      </c>
      <c r="X26" s="100">
        <f t="shared" si="34"/>
        <v>9.8594135445190436E-3</v>
      </c>
      <c r="Y26" s="234">
        <v>24216</v>
      </c>
      <c r="Z26" s="100">
        <f t="shared" si="35"/>
        <v>9.6662169390313024E-2</v>
      </c>
      <c r="AA26" s="234">
        <v>23804</v>
      </c>
      <c r="AB26" s="100">
        <f t="shared" si="36"/>
        <v>9.5017603244425639E-2</v>
      </c>
      <c r="AC26" s="105">
        <f t="shared" si="37"/>
        <v>48020</v>
      </c>
      <c r="AD26" s="100">
        <f t="shared" si="38"/>
        <v>0.19167977263473868</v>
      </c>
      <c r="AE26" s="234">
        <v>24267</v>
      </c>
      <c r="AF26" s="100">
        <f t="shared" si="39"/>
        <v>9.686574432584763E-2</v>
      </c>
      <c r="AG26" s="234">
        <v>18290</v>
      </c>
      <c r="AH26" s="100">
        <f t="shared" si="40"/>
        <v>7.3007560214272599E-2</v>
      </c>
      <c r="AI26" s="234">
        <v>26781</v>
      </c>
      <c r="AJ26" s="100">
        <f t="shared" si="41"/>
        <v>0.1069007911480828</v>
      </c>
      <c r="AK26" s="234">
        <v>23315</v>
      </c>
      <c r="AL26" s="100">
        <f t="shared" si="42"/>
        <v>9.3065678862535028E-2</v>
      </c>
    </row>
    <row r="27" spans="2:38" ht="14.25">
      <c r="B27" s="97"/>
      <c r="C27" s="83"/>
      <c r="D27" s="299">
        <f t="shared" si="21"/>
        <v>46251</v>
      </c>
      <c r="E27" s="299" t="s">
        <v>445</v>
      </c>
      <c r="F27" s="87">
        <f t="shared" si="20"/>
        <v>250067</v>
      </c>
      <c r="G27" s="301"/>
      <c r="H27" s="341"/>
      <c r="I27" s="234">
        <v>28303</v>
      </c>
      <c r="J27" s="100">
        <f t="shared" si="25"/>
        <v>0.11318166731316007</v>
      </c>
      <c r="K27" s="234">
        <v>40375</v>
      </c>
      <c r="L27" s="100">
        <f t="shared" si="26"/>
        <v>0.16145672959646815</v>
      </c>
      <c r="M27" s="105">
        <f t="shared" si="27"/>
        <v>68678</v>
      </c>
      <c r="N27" s="100">
        <f t="shared" si="28"/>
        <v>0.27463839690962821</v>
      </c>
      <c r="O27" s="234">
        <v>5644</v>
      </c>
      <c r="P27" s="100">
        <f t="shared" si="29"/>
        <v>2.2569951253064179E-2</v>
      </c>
      <c r="Q27" s="234"/>
      <c r="R27" s="100">
        <f t="shared" si="30"/>
        <v>0</v>
      </c>
      <c r="S27" s="105">
        <f t="shared" si="31"/>
        <v>5644</v>
      </c>
      <c r="T27" s="100">
        <f t="shared" si="32"/>
        <v>2.2569951253064179E-2</v>
      </c>
      <c r="U27" s="234">
        <v>31765</v>
      </c>
      <c r="V27" s="100">
        <f t="shared" si="33"/>
        <v>0.12702595704351233</v>
      </c>
      <c r="W27" s="234">
        <v>3026</v>
      </c>
      <c r="X27" s="100">
        <f t="shared" si="34"/>
        <v>1.2100756997124771E-2</v>
      </c>
      <c r="Y27" s="234">
        <v>25579</v>
      </c>
      <c r="Z27" s="100">
        <f t="shared" si="35"/>
        <v>0.10228858665877545</v>
      </c>
      <c r="AA27" s="234">
        <v>22805</v>
      </c>
      <c r="AB27" s="100">
        <f t="shared" si="36"/>
        <v>9.1195559590029868E-2</v>
      </c>
      <c r="AC27" s="105">
        <f t="shared" si="37"/>
        <v>48384</v>
      </c>
      <c r="AD27" s="100">
        <f t="shared" si="38"/>
        <v>0.19348414624880533</v>
      </c>
      <c r="AE27" s="234">
        <v>24261</v>
      </c>
      <c r="AF27" s="100">
        <f t="shared" si="39"/>
        <v>9.7017999176220768E-2</v>
      </c>
      <c r="AG27" s="234">
        <v>16919</v>
      </c>
      <c r="AH27" s="100">
        <f t="shared" si="40"/>
        <v>6.7657867691458692E-2</v>
      </c>
      <c r="AI27" s="234">
        <v>25488</v>
      </c>
      <c r="AJ27" s="100">
        <f t="shared" si="41"/>
        <v>0.10192468418463851</v>
      </c>
      <c r="AK27" s="234">
        <v>25902</v>
      </c>
      <c r="AL27" s="100">
        <f t="shared" si="42"/>
        <v>0.10358024049554719</v>
      </c>
    </row>
    <row r="28" spans="2:38" ht="14.25">
      <c r="B28" s="97"/>
      <c r="C28" s="83"/>
      <c r="D28" s="355">
        <f t="shared" si="21"/>
        <v>46252</v>
      </c>
      <c r="E28" s="355" t="s">
        <v>446</v>
      </c>
      <c r="F28" s="87">
        <f t="shared" si="20"/>
        <v>265246</v>
      </c>
      <c r="G28" s="301">
        <f>SUM(F28:F34)</f>
        <v>1650500</v>
      </c>
      <c r="H28" s="341"/>
      <c r="I28" s="234">
        <v>28758</v>
      </c>
      <c r="J28" s="100">
        <f t="shared" si="25"/>
        <v>0.10842010812604148</v>
      </c>
      <c r="K28" s="234">
        <v>40302</v>
      </c>
      <c r="L28" s="100">
        <f t="shared" si="26"/>
        <v>0.15194197084970179</v>
      </c>
      <c r="M28" s="105">
        <f t="shared" si="27"/>
        <v>69060</v>
      </c>
      <c r="N28" s="100">
        <f t="shared" si="28"/>
        <v>0.26036207897574326</v>
      </c>
      <c r="O28" s="234">
        <v>5705</v>
      </c>
      <c r="P28" s="100">
        <f t="shared" si="29"/>
        <v>2.1508335658219163E-2</v>
      </c>
      <c r="Q28" s="234"/>
      <c r="R28" s="100">
        <f t="shared" si="30"/>
        <v>0</v>
      </c>
      <c r="S28" s="105">
        <f t="shared" si="31"/>
        <v>5705</v>
      </c>
      <c r="T28" s="100">
        <f t="shared" si="32"/>
        <v>2.1508335658219163E-2</v>
      </c>
      <c r="U28" s="234">
        <v>38922</v>
      </c>
      <c r="V28" s="100">
        <f t="shared" si="33"/>
        <v>0.14673925337234114</v>
      </c>
      <c r="W28" s="234">
        <v>2271</v>
      </c>
      <c r="X28" s="100">
        <f t="shared" si="34"/>
        <v>8.5618633268739214E-3</v>
      </c>
      <c r="Y28" s="234">
        <v>29026</v>
      </c>
      <c r="Z28" s="100">
        <f t="shared" si="35"/>
        <v>0.10943049094048543</v>
      </c>
      <c r="AA28" s="234">
        <v>22545</v>
      </c>
      <c r="AB28" s="100">
        <f t="shared" si="36"/>
        <v>8.4996569222533042E-2</v>
      </c>
      <c r="AC28" s="105">
        <f t="shared" si="37"/>
        <v>51571</v>
      </c>
      <c r="AD28" s="100">
        <f t="shared" si="38"/>
        <v>0.19442706016301847</v>
      </c>
      <c r="AE28" s="234">
        <v>29689</v>
      </c>
      <c r="AF28" s="100">
        <f t="shared" si="39"/>
        <v>0.11193005738069566</v>
      </c>
      <c r="AG28" s="234">
        <v>18929</v>
      </c>
      <c r="AH28" s="100">
        <f t="shared" si="40"/>
        <v>7.1363941397796768E-2</v>
      </c>
      <c r="AI28" s="234">
        <v>25985</v>
      </c>
      <c r="AJ28" s="100">
        <f t="shared" si="41"/>
        <v>9.796566206464942E-2</v>
      </c>
      <c r="AK28" s="234">
        <v>23114</v>
      </c>
      <c r="AL28" s="100">
        <f t="shared" si="42"/>
        <v>8.7141747660662183E-2</v>
      </c>
    </row>
    <row r="29" spans="2:38" ht="14.25">
      <c r="B29" s="97"/>
      <c r="C29" s="83"/>
      <c r="D29" s="355">
        <f t="shared" si="21"/>
        <v>46253</v>
      </c>
      <c r="E29" s="355" t="s">
        <v>447</v>
      </c>
      <c r="F29" s="87">
        <f t="shared" si="20"/>
        <v>242085</v>
      </c>
      <c r="G29" s="301"/>
      <c r="H29" s="341"/>
      <c r="I29" s="234">
        <v>28274</v>
      </c>
      <c r="J29" s="100">
        <f t="shared" si="25"/>
        <v>0.11679368816737923</v>
      </c>
      <c r="K29" s="234">
        <v>38933</v>
      </c>
      <c r="L29" s="100">
        <f t="shared" si="26"/>
        <v>0.16082367763388891</v>
      </c>
      <c r="M29" s="105">
        <f t="shared" si="27"/>
        <v>67207</v>
      </c>
      <c r="N29" s="100">
        <f t="shared" si="28"/>
        <v>0.27761736580126817</v>
      </c>
      <c r="O29" s="234">
        <v>5811</v>
      </c>
      <c r="P29" s="100">
        <f t="shared" si="29"/>
        <v>2.4003965549290539E-2</v>
      </c>
      <c r="Q29" s="234"/>
      <c r="R29" s="100">
        <f t="shared" si="30"/>
        <v>0</v>
      </c>
      <c r="S29" s="105">
        <f t="shared" si="31"/>
        <v>5811</v>
      </c>
      <c r="T29" s="100">
        <f t="shared" si="32"/>
        <v>2.4003965549290539E-2</v>
      </c>
      <c r="U29" s="234">
        <v>32531</v>
      </c>
      <c r="V29" s="100">
        <f t="shared" si="33"/>
        <v>0.13437842080261064</v>
      </c>
      <c r="W29" s="234">
        <v>674</v>
      </c>
      <c r="X29" s="100">
        <f t="shared" si="34"/>
        <v>2.7841460643988681E-3</v>
      </c>
      <c r="Y29" s="234">
        <v>26881</v>
      </c>
      <c r="Z29" s="100">
        <f t="shared" si="35"/>
        <v>0.1110395109155875</v>
      </c>
      <c r="AA29" s="234">
        <v>21000</v>
      </c>
      <c r="AB29" s="100">
        <f t="shared" si="36"/>
        <v>8.6746390730528533E-2</v>
      </c>
      <c r="AC29" s="105">
        <f t="shared" si="37"/>
        <v>47881</v>
      </c>
      <c r="AD29" s="100">
        <f t="shared" si="38"/>
        <v>0.19778590164611604</v>
      </c>
      <c r="AE29" s="234">
        <v>24525</v>
      </c>
      <c r="AF29" s="100">
        <f t="shared" si="39"/>
        <v>0.1013073920317244</v>
      </c>
      <c r="AG29" s="234">
        <v>15494</v>
      </c>
      <c r="AH29" s="100">
        <f t="shared" si="40"/>
        <v>6.4002313237086148E-2</v>
      </c>
      <c r="AI29" s="234">
        <v>26294</v>
      </c>
      <c r="AJ29" s="100">
        <f t="shared" si="41"/>
        <v>0.10861474275564367</v>
      </c>
      <c r="AK29" s="234">
        <v>21668</v>
      </c>
      <c r="AL29" s="100">
        <f t="shared" si="42"/>
        <v>8.9505752111861542E-2</v>
      </c>
    </row>
    <row r="30" spans="2:38" ht="14.25">
      <c r="B30" s="97"/>
      <c r="C30" s="83"/>
      <c r="D30" s="355">
        <f t="shared" si="21"/>
        <v>46254</v>
      </c>
      <c r="E30" s="355" t="s">
        <v>448</v>
      </c>
      <c r="F30" s="87">
        <f t="shared" si="20"/>
        <v>229428</v>
      </c>
      <c r="G30" s="301"/>
      <c r="H30" s="341"/>
      <c r="I30" s="234">
        <v>27145</v>
      </c>
      <c r="J30" s="100">
        <f t="shared" si="25"/>
        <v>0.11831598584305315</v>
      </c>
      <c r="K30" s="234">
        <v>35918</v>
      </c>
      <c r="L30" s="100">
        <f t="shared" si="26"/>
        <v>0.15655456177973046</v>
      </c>
      <c r="M30" s="105">
        <f t="shared" si="27"/>
        <v>63063</v>
      </c>
      <c r="N30" s="100">
        <f t="shared" si="28"/>
        <v>0.27487054762278362</v>
      </c>
      <c r="O30" s="234">
        <v>5699</v>
      </c>
      <c r="P30" s="100">
        <f t="shared" si="29"/>
        <v>2.4840036961486827E-2</v>
      </c>
      <c r="Q30" s="234"/>
      <c r="R30" s="100">
        <f t="shared" si="30"/>
        <v>0</v>
      </c>
      <c r="S30" s="105">
        <f t="shared" si="31"/>
        <v>5699</v>
      </c>
      <c r="T30" s="100">
        <f t="shared" si="32"/>
        <v>2.4840036961486827E-2</v>
      </c>
      <c r="U30" s="234">
        <v>29937</v>
      </c>
      <c r="V30" s="100">
        <f t="shared" si="33"/>
        <v>0.13048538103457294</v>
      </c>
      <c r="W30" s="234">
        <v>705</v>
      </c>
      <c r="X30" s="100">
        <f t="shared" si="34"/>
        <v>3.0728594591767351E-3</v>
      </c>
      <c r="Y30" s="234">
        <v>26516</v>
      </c>
      <c r="Z30" s="100">
        <f t="shared" si="35"/>
        <v>0.11557438499224157</v>
      </c>
      <c r="AA30" s="234">
        <v>17393</v>
      </c>
      <c r="AB30" s="100">
        <f t="shared" si="36"/>
        <v>7.5810275990724763E-2</v>
      </c>
      <c r="AC30" s="105">
        <f t="shared" si="37"/>
        <v>43909</v>
      </c>
      <c r="AD30" s="100">
        <f t="shared" si="38"/>
        <v>0.19138466098296633</v>
      </c>
      <c r="AE30" s="234">
        <v>24693</v>
      </c>
      <c r="AF30" s="100">
        <f t="shared" si="39"/>
        <v>0.10762853705737747</v>
      </c>
      <c r="AG30" s="234">
        <v>14604</v>
      </c>
      <c r="AH30" s="100">
        <f t="shared" si="40"/>
        <v>6.365395679690361E-2</v>
      </c>
      <c r="AI30" s="234">
        <v>25371</v>
      </c>
      <c r="AJ30" s="100">
        <f t="shared" si="41"/>
        <v>0.11058371253726659</v>
      </c>
      <c r="AK30" s="234">
        <v>21447</v>
      </c>
      <c r="AL30" s="100">
        <f t="shared" si="42"/>
        <v>9.3480307547465877E-2</v>
      </c>
    </row>
    <row r="31" spans="2:38" ht="14.25">
      <c r="B31" s="97"/>
      <c r="C31" s="83"/>
      <c r="D31" s="355">
        <f t="shared" si="21"/>
        <v>46255</v>
      </c>
      <c r="E31" s="355" t="s">
        <v>449</v>
      </c>
      <c r="F31" s="87">
        <f t="shared" si="20"/>
        <v>195574</v>
      </c>
      <c r="G31" s="301"/>
      <c r="H31" s="341"/>
      <c r="I31" s="234">
        <v>23557</v>
      </c>
      <c r="J31" s="100">
        <f t="shared" si="25"/>
        <v>0.120450571139313</v>
      </c>
      <c r="K31" s="234">
        <v>33765</v>
      </c>
      <c r="L31" s="100">
        <f t="shared" si="26"/>
        <v>0.17264564819454528</v>
      </c>
      <c r="M31" s="105">
        <f t="shared" si="27"/>
        <v>57322</v>
      </c>
      <c r="N31" s="100">
        <f t="shared" si="28"/>
        <v>0.29309621933385827</v>
      </c>
      <c r="O31" s="234">
        <v>4665</v>
      </c>
      <c r="P31" s="100">
        <f t="shared" si="29"/>
        <v>2.3852863877611544E-2</v>
      </c>
      <c r="Q31" s="234"/>
      <c r="R31" s="100">
        <f t="shared" si="30"/>
        <v>0</v>
      </c>
      <c r="S31" s="105">
        <f t="shared" si="31"/>
        <v>4665</v>
      </c>
      <c r="T31" s="100">
        <f t="shared" si="32"/>
        <v>2.3852863877611544E-2</v>
      </c>
      <c r="U31" s="234">
        <v>23953</v>
      </c>
      <c r="V31" s="100">
        <f t="shared" si="33"/>
        <v>0.12247538016300735</v>
      </c>
      <c r="W31" s="234">
        <v>441</v>
      </c>
      <c r="X31" s="100">
        <f t="shared" si="34"/>
        <v>2.2549009582050784E-3</v>
      </c>
      <c r="Y31" s="234">
        <v>23288</v>
      </c>
      <c r="Z31" s="100">
        <f t="shared" si="35"/>
        <v>0.11907513268634889</v>
      </c>
      <c r="AA31" s="234">
        <v>18338</v>
      </c>
      <c r="AB31" s="100">
        <f t="shared" si="36"/>
        <v>9.3765019890169443E-2</v>
      </c>
      <c r="AC31" s="105">
        <f t="shared" si="37"/>
        <v>41626</v>
      </c>
      <c r="AD31" s="100">
        <f t="shared" si="38"/>
        <v>0.21284015257651834</v>
      </c>
      <c r="AE31" s="234">
        <v>17167</v>
      </c>
      <c r="AF31" s="100">
        <f t="shared" si="39"/>
        <v>8.7777516438790434E-2</v>
      </c>
      <c r="AG31" s="234">
        <v>10103</v>
      </c>
      <c r="AH31" s="100">
        <f t="shared" si="40"/>
        <v>5.1658195874707269E-2</v>
      </c>
      <c r="AI31" s="234">
        <v>23045</v>
      </c>
      <c r="AJ31" s="100">
        <f t="shared" si="41"/>
        <v>0.117832636239991</v>
      </c>
      <c r="AK31" s="234">
        <v>17252</v>
      </c>
      <c r="AL31" s="100">
        <f t="shared" si="42"/>
        <v>8.821213453731068E-2</v>
      </c>
    </row>
    <row r="32" spans="2:38" s="452" customFormat="1" ht="14.25">
      <c r="B32" s="425"/>
      <c r="C32" s="431"/>
      <c r="D32" s="355">
        <f t="shared" si="21"/>
        <v>46256</v>
      </c>
      <c r="E32" s="355" t="s">
        <v>450</v>
      </c>
      <c r="F32" s="336">
        <f t="shared" si="20"/>
        <v>209261</v>
      </c>
      <c r="G32" s="337"/>
      <c r="H32" s="458"/>
      <c r="I32" s="234">
        <v>21890</v>
      </c>
      <c r="J32" s="100">
        <f t="shared" si="25"/>
        <v>0.10460620947046989</v>
      </c>
      <c r="K32" s="234">
        <v>36396</v>
      </c>
      <c r="L32" s="100">
        <f t="shared" si="26"/>
        <v>0.17392634078973149</v>
      </c>
      <c r="M32" s="105">
        <f t="shared" si="27"/>
        <v>58286</v>
      </c>
      <c r="N32" s="100">
        <f t="shared" si="28"/>
        <v>0.27853255026020135</v>
      </c>
      <c r="O32" s="234">
        <v>4396</v>
      </c>
      <c r="P32" s="100">
        <f t="shared" si="29"/>
        <v>2.1007258877669514E-2</v>
      </c>
      <c r="Q32" s="234"/>
      <c r="R32" s="100">
        <f t="shared" si="30"/>
        <v>0</v>
      </c>
      <c r="S32" s="105">
        <f t="shared" si="31"/>
        <v>4396</v>
      </c>
      <c r="T32" s="100">
        <f t="shared" si="32"/>
        <v>2.1007258877669514E-2</v>
      </c>
      <c r="U32" s="234">
        <v>27489</v>
      </c>
      <c r="V32" s="100">
        <f t="shared" si="33"/>
        <v>0.13136227008377099</v>
      </c>
      <c r="W32" s="234">
        <v>0</v>
      </c>
      <c r="X32" s="100">
        <f t="shared" si="34"/>
        <v>0</v>
      </c>
      <c r="Y32" s="234">
        <v>25185</v>
      </c>
      <c r="Z32" s="100">
        <f t="shared" si="35"/>
        <v>0.12035209618610253</v>
      </c>
      <c r="AA32" s="234">
        <v>21459</v>
      </c>
      <c r="AB32" s="100">
        <f t="shared" si="36"/>
        <v>0.1025465805859668</v>
      </c>
      <c r="AC32" s="105">
        <f t="shared" si="37"/>
        <v>46644</v>
      </c>
      <c r="AD32" s="100">
        <f t="shared" si="38"/>
        <v>0.22289867677206934</v>
      </c>
      <c r="AE32" s="234">
        <v>19771</v>
      </c>
      <c r="AF32" s="100">
        <f t="shared" si="39"/>
        <v>9.448009901510554E-2</v>
      </c>
      <c r="AG32" s="234">
        <v>11560</v>
      </c>
      <c r="AH32" s="100">
        <f t="shared" si="40"/>
        <v>5.5242018340732384E-2</v>
      </c>
      <c r="AI32" s="234">
        <v>23529</v>
      </c>
      <c r="AJ32" s="100">
        <f t="shared" si="41"/>
        <v>0.11243853369715331</v>
      </c>
      <c r="AK32" s="234">
        <v>17586</v>
      </c>
      <c r="AL32" s="100">
        <f t="shared" si="42"/>
        <v>8.4038592953297561E-2</v>
      </c>
    </row>
    <row r="33" spans="2:38" s="452" customFormat="1" ht="14.25">
      <c r="B33" s="425"/>
      <c r="C33" s="431"/>
      <c r="D33" s="355">
        <f t="shared" si="21"/>
        <v>46257</v>
      </c>
      <c r="E33" s="355" t="s">
        <v>451</v>
      </c>
      <c r="F33" s="336">
        <f t="shared" si="20"/>
        <v>257066</v>
      </c>
      <c r="G33" s="337"/>
      <c r="H33" s="458"/>
      <c r="I33" s="234">
        <v>27043</v>
      </c>
      <c r="J33" s="100">
        <f t="shared" si="25"/>
        <v>0.10519866493429703</v>
      </c>
      <c r="K33" s="234">
        <v>38878</v>
      </c>
      <c r="L33" s="100">
        <f t="shared" si="26"/>
        <v>0.15123742540826091</v>
      </c>
      <c r="M33" s="105">
        <f t="shared" si="27"/>
        <v>65921</v>
      </c>
      <c r="N33" s="100">
        <f t="shared" si="28"/>
        <v>0.25643609034255793</v>
      </c>
      <c r="O33" s="234">
        <v>5691</v>
      </c>
      <c r="P33" s="100">
        <f t="shared" si="29"/>
        <v>2.213828355363992E-2</v>
      </c>
      <c r="Q33" s="234"/>
      <c r="R33" s="100">
        <f t="shared" si="30"/>
        <v>0</v>
      </c>
      <c r="S33" s="105">
        <f t="shared" si="31"/>
        <v>5691</v>
      </c>
      <c r="T33" s="100">
        <f t="shared" si="32"/>
        <v>2.213828355363992E-2</v>
      </c>
      <c r="U33" s="234">
        <v>37510</v>
      </c>
      <c r="V33" s="100">
        <f t="shared" si="33"/>
        <v>0.14591583484397003</v>
      </c>
      <c r="W33" s="234">
        <v>0</v>
      </c>
      <c r="X33" s="100">
        <f t="shared" si="34"/>
        <v>0</v>
      </c>
      <c r="Y33" s="234">
        <v>30866</v>
      </c>
      <c r="Z33" s="100">
        <f t="shared" si="35"/>
        <v>0.12007033213260408</v>
      </c>
      <c r="AA33" s="234">
        <v>23899</v>
      </c>
      <c r="AB33" s="100">
        <f t="shared" si="36"/>
        <v>9.2968342760225003E-2</v>
      </c>
      <c r="AC33" s="105">
        <f t="shared" si="37"/>
        <v>54765</v>
      </c>
      <c r="AD33" s="100">
        <f t="shared" si="38"/>
        <v>0.21303867489282907</v>
      </c>
      <c r="AE33" s="234">
        <v>28722</v>
      </c>
      <c r="AF33" s="100">
        <f t="shared" si="39"/>
        <v>0.11173006154061603</v>
      </c>
      <c r="AG33" s="234">
        <v>16760</v>
      </c>
      <c r="AH33" s="100">
        <f t="shared" si="40"/>
        <v>6.5197264515727479E-2</v>
      </c>
      <c r="AI33" s="234">
        <v>25044</v>
      </c>
      <c r="AJ33" s="100">
        <f t="shared" si="41"/>
        <v>9.7422451821711151E-2</v>
      </c>
      <c r="AK33" s="234">
        <v>22653</v>
      </c>
      <c r="AL33" s="100">
        <f t="shared" si="42"/>
        <v>8.8121338488948361E-2</v>
      </c>
    </row>
    <row r="34" spans="2:38" s="452" customFormat="1" ht="14.25">
      <c r="B34" s="425"/>
      <c r="C34" s="431"/>
      <c r="D34" s="355">
        <f t="shared" si="21"/>
        <v>46258</v>
      </c>
      <c r="E34" s="355" t="s">
        <v>445</v>
      </c>
      <c r="F34" s="336">
        <f t="shared" si="20"/>
        <v>251840</v>
      </c>
      <c r="G34" s="337"/>
      <c r="H34" s="458"/>
      <c r="I34" s="234">
        <v>26275</v>
      </c>
      <c r="J34" s="100">
        <f t="shared" si="25"/>
        <v>0.10433211562897078</v>
      </c>
      <c r="K34" s="234">
        <v>41622</v>
      </c>
      <c r="L34" s="100">
        <f t="shared" si="26"/>
        <v>0.16527160101651842</v>
      </c>
      <c r="M34" s="105">
        <f t="shared" si="27"/>
        <v>67897</v>
      </c>
      <c r="N34" s="100">
        <f t="shared" si="28"/>
        <v>0.26960371664548921</v>
      </c>
      <c r="O34" s="234">
        <v>5429</v>
      </c>
      <c r="P34" s="100">
        <f t="shared" si="29"/>
        <v>2.1557337992376111E-2</v>
      </c>
      <c r="Q34" s="234"/>
      <c r="R34" s="100">
        <f t="shared" si="30"/>
        <v>0</v>
      </c>
      <c r="S34" s="105">
        <f t="shared" si="31"/>
        <v>5429</v>
      </c>
      <c r="T34" s="100">
        <f t="shared" si="32"/>
        <v>2.1557337992376111E-2</v>
      </c>
      <c r="U34" s="234">
        <v>34902</v>
      </c>
      <c r="V34" s="100">
        <f t="shared" si="33"/>
        <v>0.13858799237611183</v>
      </c>
      <c r="W34" s="234">
        <v>0</v>
      </c>
      <c r="X34" s="100">
        <f t="shared" si="34"/>
        <v>0</v>
      </c>
      <c r="Y34" s="234">
        <v>29351</v>
      </c>
      <c r="Z34" s="100">
        <f t="shared" si="35"/>
        <v>0.11654621982210928</v>
      </c>
      <c r="AA34" s="234">
        <v>24072</v>
      </c>
      <c r="AB34" s="100">
        <f t="shared" si="36"/>
        <v>9.5584498094027956E-2</v>
      </c>
      <c r="AC34" s="105">
        <f t="shared" si="37"/>
        <v>53423</v>
      </c>
      <c r="AD34" s="100">
        <f t="shared" si="38"/>
        <v>0.21213071791613722</v>
      </c>
      <c r="AE34" s="234">
        <v>25652</v>
      </c>
      <c r="AF34" s="100">
        <f t="shared" si="39"/>
        <v>0.10185832274459974</v>
      </c>
      <c r="AG34" s="234">
        <v>15793</v>
      </c>
      <c r="AH34" s="100">
        <f t="shared" si="40"/>
        <v>6.2710451080050827E-2</v>
      </c>
      <c r="AI34" s="234">
        <v>22877</v>
      </c>
      <c r="AJ34" s="100">
        <f t="shared" si="41"/>
        <v>9.0839421855146124E-2</v>
      </c>
      <c r="AK34" s="234">
        <v>25867</v>
      </c>
      <c r="AL34" s="100">
        <f t="shared" si="42"/>
        <v>0.10271203939008895</v>
      </c>
    </row>
    <row r="35" spans="2:38" s="452" customFormat="1" ht="14.25">
      <c r="B35" s="425"/>
      <c r="C35" s="431"/>
      <c r="D35" s="299">
        <f t="shared" si="21"/>
        <v>46259</v>
      </c>
      <c r="E35" s="299" t="s">
        <v>446</v>
      </c>
      <c r="F35" s="336">
        <f t="shared" si="20"/>
        <v>251515</v>
      </c>
      <c r="G35" s="337">
        <f>SUM(F35:F41)</f>
        <v>1763767</v>
      </c>
      <c r="H35" s="458"/>
      <c r="I35" s="234">
        <v>29405</v>
      </c>
      <c r="J35" s="100">
        <f t="shared" si="25"/>
        <v>0.11691151621175676</v>
      </c>
      <c r="K35" s="234">
        <v>40187</v>
      </c>
      <c r="L35" s="100">
        <f t="shared" si="26"/>
        <v>0.15977973480706917</v>
      </c>
      <c r="M35" s="105">
        <f t="shared" ref="M35:M36" si="43">SUM(I35+K35)</f>
        <v>69592</v>
      </c>
      <c r="N35" s="100">
        <f t="shared" si="28"/>
        <v>0.27669125101882591</v>
      </c>
      <c r="O35" s="234">
        <v>5416</v>
      </c>
      <c r="P35" s="100">
        <f t="shared" si="29"/>
        <v>2.1533506947895752E-2</v>
      </c>
      <c r="Q35" s="234"/>
      <c r="R35" s="100">
        <f t="shared" si="30"/>
        <v>0</v>
      </c>
      <c r="S35" s="105">
        <f t="shared" si="31"/>
        <v>5416</v>
      </c>
      <c r="T35" s="100">
        <f t="shared" si="32"/>
        <v>2.1533506947895752E-2</v>
      </c>
      <c r="U35" s="234">
        <v>32842</v>
      </c>
      <c r="V35" s="100">
        <f t="shared" si="33"/>
        <v>0.13057670516668987</v>
      </c>
      <c r="W35" s="234">
        <v>0</v>
      </c>
      <c r="X35" s="100">
        <f t="shared" si="34"/>
        <v>0</v>
      </c>
      <c r="Y35" s="234">
        <v>29225</v>
      </c>
      <c r="Z35" s="100">
        <f t="shared" si="35"/>
        <v>0.116195853130032</v>
      </c>
      <c r="AA35" s="234">
        <v>24819</v>
      </c>
      <c r="AB35" s="100">
        <f t="shared" si="36"/>
        <v>9.867801125181401E-2</v>
      </c>
      <c r="AC35" s="105">
        <f t="shared" si="37"/>
        <v>54044</v>
      </c>
      <c r="AD35" s="100">
        <f t="shared" si="38"/>
        <v>0.21487386438184602</v>
      </c>
      <c r="AE35" s="234">
        <v>25461</v>
      </c>
      <c r="AF35" s="100">
        <f t="shared" si="39"/>
        <v>0.10123054290996561</v>
      </c>
      <c r="AG35" s="234">
        <v>17545</v>
      </c>
      <c r="AH35" s="100">
        <f t="shared" si="40"/>
        <v>6.9757270938115026E-2</v>
      </c>
      <c r="AI35" s="234">
        <v>22647</v>
      </c>
      <c r="AJ35" s="100">
        <f t="shared" si="41"/>
        <v>9.0042343399002051E-2</v>
      </c>
      <c r="AK35" s="234">
        <v>23968</v>
      </c>
      <c r="AL35" s="100">
        <f t="shared" si="42"/>
        <v>9.5294515237659777E-2</v>
      </c>
    </row>
    <row r="36" spans="2:38" s="452" customFormat="1" ht="14.25">
      <c r="B36" s="425"/>
      <c r="C36" s="431"/>
      <c r="D36" s="299">
        <f t="shared" si="21"/>
        <v>46260</v>
      </c>
      <c r="E36" s="299" t="s">
        <v>447</v>
      </c>
      <c r="F36" s="336">
        <f t="shared" si="20"/>
        <v>235274</v>
      </c>
      <c r="G36" s="337"/>
      <c r="H36" s="458"/>
      <c r="I36" s="234">
        <v>27015</v>
      </c>
      <c r="J36" s="100">
        <f t="shared" si="25"/>
        <v>0.11482356741501398</v>
      </c>
      <c r="K36" s="234">
        <v>38532</v>
      </c>
      <c r="L36" s="100">
        <f t="shared" si="26"/>
        <v>0.16377500276273621</v>
      </c>
      <c r="M36" s="105">
        <f t="shared" si="43"/>
        <v>65547</v>
      </c>
      <c r="N36" s="100">
        <f t="shared" si="28"/>
        <v>0.27859857017775019</v>
      </c>
      <c r="O36" s="234">
        <v>5435</v>
      </c>
      <c r="P36" s="100">
        <f t="shared" si="29"/>
        <v>2.3100725111997077E-2</v>
      </c>
      <c r="Q36" s="234"/>
      <c r="R36" s="100">
        <f t="shared" si="30"/>
        <v>0</v>
      </c>
      <c r="S36" s="105">
        <f t="shared" si="31"/>
        <v>5435</v>
      </c>
      <c r="T36" s="100">
        <f t="shared" si="32"/>
        <v>2.3100725111997077E-2</v>
      </c>
      <c r="U36" s="234">
        <v>29858</v>
      </c>
      <c r="V36" s="100">
        <f t="shared" si="33"/>
        <v>0.12690735057847446</v>
      </c>
      <c r="W36" s="234">
        <v>0</v>
      </c>
      <c r="X36" s="100">
        <f t="shared" si="34"/>
        <v>0</v>
      </c>
      <c r="Y36" s="234">
        <v>29798</v>
      </c>
      <c r="Z36" s="100">
        <f t="shared" si="35"/>
        <v>0.12665232877411017</v>
      </c>
      <c r="AA36" s="234">
        <v>23612</v>
      </c>
      <c r="AB36" s="100">
        <f t="shared" si="36"/>
        <v>0.10035958074415363</v>
      </c>
      <c r="AC36" s="105">
        <f t="shared" si="37"/>
        <v>53410</v>
      </c>
      <c r="AD36" s="100">
        <f t="shared" si="38"/>
        <v>0.2270119095182638</v>
      </c>
      <c r="AE36" s="234">
        <v>23274</v>
      </c>
      <c r="AF36" s="100">
        <f t="shared" si="39"/>
        <v>9.8922957912901552E-2</v>
      </c>
      <c r="AG36" s="234">
        <v>15402</v>
      </c>
      <c r="AH36" s="100">
        <f t="shared" si="40"/>
        <v>6.5464097180308919E-2</v>
      </c>
      <c r="AI36" s="234">
        <v>18702</v>
      </c>
      <c r="AJ36" s="100">
        <f t="shared" si="41"/>
        <v>7.9490296420343942E-2</v>
      </c>
      <c r="AK36" s="234">
        <v>23646</v>
      </c>
      <c r="AL36" s="100">
        <f t="shared" si="42"/>
        <v>0.10050409309996004</v>
      </c>
    </row>
    <row r="37" spans="2:38" s="452" customFormat="1" ht="14.25">
      <c r="B37" s="425"/>
      <c r="C37" s="431"/>
      <c r="D37" s="299">
        <f>D36+1</f>
        <v>46261</v>
      </c>
      <c r="E37" s="299" t="s">
        <v>448</v>
      </c>
      <c r="F37" s="336">
        <f t="shared" si="20"/>
        <v>251686</v>
      </c>
      <c r="G37" s="337"/>
      <c r="H37" s="458"/>
      <c r="I37" s="234">
        <v>38655</v>
      </c>
      <c r="J37" s="100">
        <f t="shared" si="25"/>
        <v>0.1535842279665933</v>
      </c>
      <c r="K37" s="234">
        <v>51241</v>
      </c>
      <c r="L37" s="100">
        <f t="shared" si="26"/>
        <v>0.20359098241459597</v>
      </c>
      <c r="M37" s="105">
        <f t="shared" ref="M37:M38" si="44">SUM(I37+K37)</f>
        <v>89896</v>
      </c>
      <c r="N37" s="100">
        <f t="shared" si="28"/>
        <v>0.35717521038118927</v>
      </c>
      <c r="O37" s="234">
        <v>7938</v>
      </c>
      <c r="P37" s="100">
        <f t="shared" si="29"/>
        <v>3.153929896776142E-2</v>
      </c>
      <c r="Q37" s="234"/>
      <c r="R37" s="100">
        <f t="shared" si="30"/>
        <v>0</v>
      </c>
      <c r="S37" s="105">
        <f t="shared" si="31"/>
        <v>7938</v>
      </c>
      <c r="T37" s="100">
        <f t="shared" si="32"/>
        <v>3.153929896776142E-2</v>
      </c>
      <c r="U37" s="234">
        <v>28624</v>
      </c>
      <c r="V37" s="100">
        <f t="shared" si="33"/>
        <v>0.11372901154613288</v>
      </c>
      <c r="W37" s="234">
        <v>0</v>
      </c>
      <c r="X37" s="100">
        <f t="shared" si="34"/>
        <v>0</v>
      </c>
      <c r="Y37" s="234">
        <v>27880</v>
      </c>
      <c r="Z37" s="100">
        <f t="shared" si="35"/>
        <v>0.11077294724378789</v>
      </c>
      <c r="AA37" s="234">
        <v>19011</v>
      </c>
      <c r="AB37" s="100">
        <f t="shared" si="36"/>
        <v>7.5534594693387788E-2</v>
      </c>
      <c r="AC37" s="105">
        <f t="shared" si="37"/>
        <v>46891</v>
      </c>
      <c r="AD37" s="100">
        <f t="shared" si="38"/>
        <v>0.18630754193717569</v>
      </c>
      <c r="AE37" s="234">
        <v>23315</v>
      </c>
      <c r="AF37" s="100">
        <f t="shared" si="39"/>
        <v>9.2635267754265241E-2</v>
      </c>
      <c r="AG37" s="234">
        <v>14414</v>
      </c>
      <c r="AH37" s="100">
        <f t="shared" si="40"/>
        <v>5.7269772653226643E-2</v>
      </c>
      <c r="AI37" s="234">
        <v>18741</v>
      </c>
      <c r="AJ37" s="100">
        <f t="shared" si="41"/>
        <v>7.4461829422375503E-2</v>
      </c>
      <c r="AK37" s="234">
        <v>21867</v>
      </c>
      <c r="AL37" s="100">
        <f t="shared" si="42"/>
        <v>8.6882067337873375E-2</v>
      </c>
    </row>
    <row r="38" spans="2:38" s="452" customFormat="1" ht="14.25">
      <c r="B38" s="425"/>
      <c r="C38" s="431"/>
      <c r="D38" s="299">
        <f t="shared" ref="D38:D41" si="45">D37+1</f>
        <v>46262</v>
      </c>
      <c r="E38" s="299" t="s">
        <v>449</v>
      </c>
      <c r="F38" s="336">
        <f t="shared" si="20"/>
        <v>222473</v>
      </c>
      <c r="G38" s="337"/>
      <c r="H38" s="458"/>
      <c r="I38" s="234">
        <v>34066</v>
      </c>
      <c r="J38" s="100">
        <f t="shared" si="25"/>
        <v>0.15312419934104363</v>
      </c>
      <c r="K38" s="234">
        <v>47432</v>
      </c>
      <c r="L38" s="100">
        <f t="shared" si="26"/>
        <v>0.21320339996314158</v>
      </c>
      <c r="M38" s="105">
        <f t="shared" si="44"/>
        <v>81498</v>
      </c>
      <c r="N38" s="100">
        <f t="shared" si="28"/>
        <v>0.36632759930418524</v>
      </c>
      <c r="O38" s="234">
        <v>6665</v>
      </c>
      <c r="P38" s="100">
        <f t="shared" si="29"/>
        <v>2.9958691616510769E-2</v>
      </c>
      <c r="Q38" s="234"/>
      <c r="R38" s="100">
        <f t="shared" si="30"/>
        <v>0</v>
      </c>
      <c r="S38" s="105">
        <f t="shared" si="31"/>
        <v>6665</v>
      </c>
      <c r="T38" s="100">
        <f t="shared" si="32"/>
        <v>2.9958691616510769E-2</v>
      </c>
      <c r="U38" s="234">
        <v>24373</v>
      </c>
      <c r="V38" s="100">
        <f t="shared" si="33"/>
        <v>0.10955486733221559</v>
      </c>
      <c r="W38" s="234">
        <v>0</v>
      </c>
      <c r="X38" s="100">
        <f t="shared" si="34"/>
        <v>0</v>
      </c>
      <c r="Y38" s="234">
        <v>24963</v>
      </c>
      <c r="Z38" s="100">
        <f t="shared" si="35"/>
        <v>0.11220687454207927</v>
      </c>
      <c r="AA38" s="234">
        <v>18349</v>
      </c>
      <c r="AB38" s="100">
        <f t="shared" si="36"/>
        <v>8.2477424226760104E-2</v>
      </c>
      <c r="AC38" s="105">
        <f t="shared" si="37"/>
        <v>43312</v>
      </c>
      <c r="AD38" s="100">
        <f t="shared" si="38"/>
        <v>0.19468429876883936</v>
      </c>
      <c r="AE38" s="234">
        <v>18332</v>
      </c>
      <c r="AF38" s="100">
        <f t="shared" si="39"/>
        <v>8.2401010459696236E-2</v>
      </c>
      <c r="AG38" s="234">
        <v>12006</v>
      </c>
      <c r="AH38" s="100">
        <f t="shared" si="40"/>
        <v>5.396609925698849E-2</v>
      </c>
      <c r="AI38" s="234">
        <v>18994</v>
      </c>
      <c r="AJ38" s="100">
        <f t="shared" si="41"/>
        <v>8.5376652447712753E-2</v>
      </c>
      <c r="AK38" s="234">
        <v>17293</v>
      </c>
      <c r="AL38" s="100">
        <f t="shared" si="42"/>
        <v>7.7730780813851569E-2</v>
      </c>
    </row>
    <row r="39" spans="2:38" s="339" customFormat="1" ht="14.25">
      <c r="B39" s="334"/>
      <c r="C39" s="335"/>
      <c r="D39" s="299">
        <f t="shared" si="45"/>
        <v>46263</v>
      </c>
      <c r="E39" s="299" t="s">
        <v>450</v>
      </c>
      <c r="F39" s="336">
        <f t="shared" si="20"/>
        <v>233660</v>
      </c>
      <c r="G39" s="337"/>
      <c r="H39" s="341"/>
      <c r="I39" s="234">
        <v>32700</v>
      </c>
      <c r="J39" s="100">
        <f t="shared" si="25"/>
        <v>0.13994693143884276</v>
      </c>
      <c r="K39" s="234">
        <v>53213</v>
      </c>
      <c r="L39" s="100">
        <f t="shared" si="26"/>
        <v>0.22773688265000427</v>
      </c>
      <c r="M39" s="105">
        <f t="shared" si="27"/>
        <v>85913</v>
      </c>
      <c r="N39" s="100">
        <f t="shared" si="28"/>
        <v>0.36768381408884704</v>
      </c>
      <c r="O39" s="234">
        <v>6526</v>
      </c>
      <c r="P39" s="100">
        <f t="shared" si="29"/>
        <v>2.7929470170332961E-2</v>
      </c>
      <c r="Q39" s="234"/>
      <c r="R39" s="100">
        <f t="shared" si="30"/>
        <v>0</v>
      </c>
      <c r="S39" s="105">
        <f t="shared" si="31"/>
        <v>6526</v>
      </c>
      <c r="T39" s="100">
        <f t="shared" si="32"/>
        <v>2.7929470170332961E-2</v>
      </c>
      <c r="U39" s="234">
        <v>26901</v>
      </c>
      <c r="V39" s="100">
        <f t="shared" si="33"/>
        <v>0.11512881965248652</v>
      </c>
      <c r="W39" s="234">
        <v>0</v>
      </c>
      <c r="X39" s="100">
        <f t="shared" si="34"/>
        <v>0</v>
      </c>
      <c r="Y39" s="234">
        <v>24526</v>
      </c>
      <c r="Z39" s="100">
        <f t="shared" si="35"/>
        <v>0.10496447830180604</v>
      </c>
      <c r="AA39" s="234">
        <v>21424</v>
      </c>
      <c r="AB39" s="100">
        <f t="shared" si="36"/>
        <v>9.1688778567148854E-2</v>
      </c>
      <c r="AC39" s="105">
        <f t="shared" si="37"/>
        <v>45950</v>
      </c>
      <c r="AD39" s="100">
        <f t="shared" si="38"/>
        <v>0.19665325686895488</v>
      </c>
      <c r="AE39" s="234">
        <v>19443</v>
      </c>
      <c r="AF39" s="100">
        <f t="shared" si="39"/>
        <v>8.3210647950012845E-2</v>
      </c>
      <c r="AG39" s="234">
        <v>11769</v>
      </c>
      <c r="AH39" s="100">
        <f t="shared" si="40"/>
        <v>5.0368056149961482E-2</v>
      </c>
      <c r="AI39" s="234">
        <v>20334</v>
      </c>
      <c r="AJ39" s="100">
        <f t="shared" si="41"/>
        <v>8.702388085252076E-2</v>
      </c>
      <c r="AK39" s="234">
        <v>16824</v>
      </c>
      <c r="AL39" s="100">
        <f t="shared" si="42"/>
        <v>7.2002054266883511E-2</v>
      </c>
    </row>
    <row r="40" spans="2:38" ht="14.25">
      <c r="B40" s="97"/>
      <c r="C40" s="83"/>
      <c r="D40" s="299">
        <f t="shared" si="45"/>
        <v>46264</v>
      </c>
      <c r="E40" s="299" t="s">
        <v>451</v>
      </c>
      <c r="F40" s="87">
        <f t="shared" si="20"/>
        <v>276946</v>
      </c>
      <c r="G40" s="301"/>
      <c r="H40" s="87"/>
      <c r="I40" s="234">
        <v>42457</v>
      </c>
      <c r="J40" s="100">
        <f t="shared" si="25"/>
        <v>0.153304254258953</v>
      </c>
      <c r="K40" s="234">
        <v>57913</v>
      </c>
      <c r="L40" s="100">
        <f t="shared" si="26"/>
        <v>0.2091129678709929</v>
      </c>
      <c r="M40" s="105">
        <f t="shared" si="27"/>
        <v>100370</v>
      </c>
      <c r="N40" s="100">
        <f t="shared" si="28"/>
        <v>0.36241722212994593</v>
      </c>
      <c r="O40" s="234">
        <v>8380</v>
      </c>
      <c r="P40" s="100">
        <f t="shared" si="29"/>
        <v>3.0258606370917075E-2</v>
      </c>
      <c r="Q40" s="234"/>
      <c r="R40" s="100">
        <f t="shared" si="30"/>
        <v>0</v>
      </c>
      <c r="S40" s="105">
        <f t="shared" si="31"/>
        <v>8380</v>
      </c>
      <c r="T40" s="100">
        <f t="shared" si="32"/>
        <v>3.0258606370917075E-2</v>
      </c>
      <c r="U40" s="234">
        <v>34671</v>
      </c>
      <c r="V40" s="100">
        <f t="shared" si="33"/>
        <v>0.12519047034439926</v>
      </c>
      <c r="W40" s="234">
        <v>0</v>
      </c>
      <c r="X40" s="100">
        <f t="shared" si="34"/>
        <v>0</v>
      </c>
      <c r="Y40" s="234">
        <v>25274</v>
      </c>
      <c r="Z40" s="100">
        <f t="shared" si="35"/>
        <v>9.1259667949708606E-2</v>
      </c>
      <c r="AA40" s="234">
        <v>23050</v>
      </c>
      <c r="AB40" s="100">
        <f t="shared" si="36"/>
        <v>8.322922158110245E-2</v>
      </c>
      <c r="AC40" s="105">
        <f t="shared" si="37"/>
        <v>48324</v>
      </c>
      <c r="AD40" s="100">
        <f t="shared" si="38"/>
        <v>0.17448888953081107</v>
      </c>
      <c r="AE40" s="234">
        <v>24774</v>
      </c>
      <c r="AF40" s="100">
        <f t="shared" si="39"/>
        <v>8.9454261841658667E-2</v>
      </c>
      <c r="AG40" s="234">
        <v>16049</v>
      </c>
      <c r="AH40" s="100">
        <f t="shared" si="40"/>
        <v>5.7949925256187126E-2</v>
      </c>
      <c r="AI40" s="234">
        <v>22565</v>
      </c>
      <c r="AJ40" s="100">
        <f t="shared" si="41"/>
        <v>8.1477977656294012E-2</v>
      </c>
      <c r="AK40" s="234">
        <v>21813</v>
      </c>
      <c r="AL40" s="100">
        <f t="shared" si="42"/>
        <v>7.8762646869786887E-2</v>
      </c>
    </row>
    <row r="41" spans="2:38" ht="14.25">
      <c r="B41" s="97"/>
      <c r="C41" s="83"/>
      <c r="D41" s="299">
        <f t="shared" si="45"/>
        <v>46265</v>
      </c>
      <c r="E41" s="299" t="s">
        <v>445</v>
      </c>
      <c r="F41" s="87">
        <f t="shared" si="20"/>
        <v>292213</v>
      </c>
      <c r="G41" s="301"/>
      <c r="H41" s="87"/>
      <c r="I41" s="234">
        <v>40937</v>
      </c>
      <c r="J41" s="100">
        <f t="shared" si="25"/>
        <v>0.14009301434227772</v>
      </c>
      <c r="K41" s="234">
        <v>68825</v>
      </c>
      <c r="L41" s="100">
        <f t="shared" si="26"/>
        <v>0.23553024677204643</v>
      </c>
      <c r="M41" s="105">
        <f t="shared" si="27"/>
        <v>109762</v>
      </c>
      <c r="N41" s="100">
        <f t="shared" si="28"/>
        <v>0.37562326111432415</v>
      </c>
      <c r="O41" s="234">
        <v>8107</v>
      </c>
      <c r="P41" s="100">
        <f t="shared" si="29"/>
        <v>2.7743461105426522E-2</v>
      </c>
      <c r="Q41" s="234"/>
      <c r="R41" s="100">
        <f t="shared" si="30"/>
        <v>0</v>
      </c>
      <c r="S41" s="105">
        <f t="shared" si="31"/>
        <v>8107</v>
      </c>
      <c r="T41" s="100">
        <f t="shared" si="32"/>
        <v>2.7743461105426522E-2</v>
      </c>
      <c r="U41" s="234">
        <v>34813</v>
      </c>
      <c r="V41" s="100">
        <f t="shared" si="33"/>
        <v>0.11913569895932077</v>
      </c>
      <c r="W41" s="234">
        <v>0</v>
      </c>
      <c r="X41" s="100">
        <f t="shared" si="34"/>
        <v>0</v>
      </c>
      <c r="Y41" s="234">
        <v>26806</v>
      </c>
      <c r="Z41" s="100">
        <f t="shared" si="35"/>
        <v>9.1734453977064673E-2</v>
      </c>
      <c r="AA41" s="234">
        <v>25989</v>
      </c>
      <c r="AB41" s="100">
        <f t="shared" si="36"/>
        <v>8.8938548250762292E-2</v>
      </c>
      <c r="AC41" s="105">
        <f t="shared" si="37"/>
        <v>52795</v>
      </c>
      <c r="AD41" s="100">
        <f t="shared" si="38"/>
        <v>0.18067300222782695</v>
      </c>
      <c r="AE41" s="234">
        <v>24842</v>
      </c>
      <c r="AF41" s="100">
        <f t="shared" si="39"/>
        <v>8.5013329317997488E-2</v>
      </c>
      <c r="AG41" s="234">
        <v>16111</v>
      </c>
      <c r="AH41" s="100">
        <f t="shared" si="40"/>
        <v>5.5134439603987499E-2</v>
      </c>
      <c r="AI41" s="234">
        <v>20928</v>
      </c>
      <c r="AJ41" s="100">
        <f t="shared" si="41"/>
        <v>7.1618990257106968E-2</v>
      </c>
      <c r="AK41" s="234">
        <v>24855</v>
      </c>
      <c r="AL41" s="100">
        <f t="shared" si="42"/>
        <v>8.505781741400964E-2</v>
      </c>
    </row>
    <row r="42" spans="2:38" ht="14.25">
      <c r="B42" s="97"/>
      <c r="C42" s="83"/>
      <c r="D42" s="355"/>
      <c r="E42" s="355"/>
      <c r="F42" s="87">
        <f t="shared" si="20"/>
        <v>0</v>
      </c>
      <c r="G42" s="301"/>
      <c r="H42" s="87"/>
      <c r="I42" s="234"/>
      <c r="J42" s="100" t="e">
        <f t="shared" si="25"/>
        <v>#DIV/0!</v>
      </c>
      <c r="K42" s="234"/>
      <c r="L42" s="100" t="e">
        <f t="shared" si="26"/>
        <v>#DIV/0!</v>
      </c>
      <c r="M42" s="105">
        <f t="shared" si="27"/>
        <v>0</v>
      </c>
      <c r="N42" s="100" t="e">
        <f t="shared" si="28"/>
        <v>#DIV/0!</v>
      </c>
      <c r="O42" s="234"/>
      <c r="P42" s="100" t="e">
        <f t="shared" si="29"/>
        <v>#DIV/0!</v>
      </c>
      <c r="Q42" s="234"/>
      <c r="R42" s="100" t="e">
        <f t="shared" si="30"/>
        <v>#DIV/0!</v>
      </c>
      <c r="S42" s="105">
        <f t="shared" si="31"/>
        <v>0</v>
      </c>
      <c r="T42" s="100" t="e">
        <f t="shared" si="32"/>
        <v>#DIV/0!</v>
      </c>
      <c r="U42" s="234"/>
      <c r="V42" s="100" t="e">
        <f t="shared" si="33"/>
        <v>#DIV/0!</v>
      </c>
      <c r="W42" s="234"/>
      <c r="X42" s="100" t="e">
        <f t="shared" si="34"/>
        <v>#DIV/0!</v>
      </c>
      <c r="Y42" s="234"/>
      <c r="Z42" s="100" t="e">
        <f t="shared" si="35"/>
        <v>#DIV/0!</v>
      </c>
      <c r="AA42" s="234"/>
      <c r="AB42" s="100" t="e">
        <f t="shared" si="36"/>
        <v>#DIV/0!</v>
      </c>
      <c r="AC42" s="105">
        <f t="shared" si="37"/>
        <v>0</v>
      </c>
      <c r="AD42" s="100" t="e">
        <f t="shared" si="38"/>
        <v>#DIV/0!</v>
      </c>
      <c r="AE42" s="234"/>
      <c r="AF42" s="100" t="e">
        <f t="shared" si="39"/>
        <v>#DIV/0!</v>
      </c>
      <c r="AG42" s="234"/>
      <c r="AH42" s="100" t="e">
        <f t="shared" si="40"/>
        <v>#DIV/0!</v>
      </c>
      <c r="AI42" s="234"/>
      <c r="AJ42" s="100" t="e">
        <f t="shared" si="41"/>
        <v>#DIV/0!</v>
      </c>
      <c r="AK42" s="234"/>
      <c r="AL42" s="100" t="e">
        <f t="shared" si="42"/>
        <v>#DIV/0!</v>
      </c>
    </row>
    <row r="43" spans="2:38" ht="14.25">
      <c r="B43" s="97"/>
      <c r="C43" s="83"/>
      <c r="D43" s="355"/>
      <c r="E43" s="355"/>
      <c r="F43" s="87">
        <f t="shared" ref="F43" si="46">SUM(M43,S43,U43,W43,AC43,AE43,AG43,AI43,AK43)</f>
        <v>0</v>
      </c>
      <c r="G43" s="301"/>
      <c r="H43" s="87"/>
      <c r="I43" s="234"/>
      <c r="J43" s="100" t="e">
        <f t="shared" si="25"/>
        <v>#DIV/0!</v>
      </c>
      <c r="K43" s="234"/>
      <c r="L43" s="100" t="e">
        <f t="shared" si="26"/>
        <v>#DIV/0!</v>
      </c>
      <c r="M43" s="105">
        <f t="shared" si="27"/>
        <v>0</v>
      </c>
      <c r="N43" s="100" t="e">
        <f t="shared" si="28"/>
        <v>#DIV/0!</v>
      </c>
      <c r="O43" s="234"/>
      <c r="P43" s="100" t="e">
        <f t="shared" si="29"/>
        <v>#DIV/0!</v>
      </c>
      <c r="Q43" s="234"/>
      <c r="R43" s="100" t="e">
        <f t="shared" si="30"/>
        <v>#DIV/0!</v>
      </c>
      <c r="S43" s="105">
        <f t="shared" si="31"/>
        <v>0</v>
      </c>
      <c r="T43" s="100" t="e">
        <f t="shared" si="32"/>
        <v>#DIV/0!</v>
      </c>
      <c r="U43" s="234"/>
      <c r="V43" s="100" t="e">
        <f t="shared" si="33"/>
        <v>#DIV/0!</v>
      </c>
      <c r="W43" s="234"/>
      <c r="X43" s="100" t="e">
        <f t="shared" si="34"/>
        <v>#DIV/0!</v>
      </c>
      <c r="Y43" s="234"/>
      <c r="Z43" s="100" t="e">
        <f t="shared" si="35"/>
        <v>#DIV/0!</v>
      </c>
      <c r="AA43" s="234"/>
      <c r="AB43" s="100" t="e">
        <f t="shared" si="36"/>
        <v>#DIV/0!</v>
      </c>
      <c r="AC43" s="105">
        <f t="shared" si="37"/>
        <v>0</v>
      </c>
      <c r="AD43" s="100" t="e">
        <f t="shared" si="38"/>
        <v>#DIV/0!</v>
      </c>
      <c r="AE43" s="234"/>
      <c r="AF43" s="100" t="e">
        <f t="shared" si="39"/>
        <v>#DIV/0!</v>
      </c>
      <c r="AG43" s="234"/>
      <c r="AH43" s="100" t="e">
        <f t="shared" si="40"/>
        <v>#DIV/0!</v>
      </c>
      <c r="AI43" s="234"/>
      <c r="AJ43" s="100" t="e">
        <f t="shared" si="41"/>
        <v>#DIV/0!</v>
      </c>
      <c r="AK43" s="234"/>
      <c r="AL43" s="100" t="e">
        <f t="shared" si="42"/>
        <v>#DIV/0!</v>
      </c>
    </row>
    <row r="44" spans="2:38" ht="14.25">
      <c r="B44" s="97"/>
      <c r="C44" s="83"/>
      <c r="D44" s="355"/>
      <c r="E44" s="355"/>
      <c r="F44" s="87">
        <f t="shared" si="20"/>
        <v>0</v>
      </c>
      <c r="G44" s="301"/>
      <c r="H44" s="87"/>
      <c r="I44" s="234"/>
      <c r="J44" s="100" t="e">
        <f t="shared" si="25"/>
        <v>#DIV/0!</v>
      </c>
      <c r="K44" s="234"/>
      <c r="L44" s="100" t="e">
        <f t="shared" si="26"/>
        <v>#DIV/0!</v>
      </c>
      <c r="M44" s="105">
        <f t="shared" si="27"/>
        <v>0</v>
      </c>
      <c r="N44" s="100" t="e">
        <f t="shared" si="28"/>
        <v>#DIV/0!</v>
      </c>
      <c r="O44" s="234"/>
      <c r="P44" s="100" t="e">
        <f t="shared" si="29"/>
        <v>#DIV/0!</v>
      </c>
      <c r="Q44" s="234"/>
      <c r="R44" s="100" t="e">
        <f t="shared" si="30"/>
        <v>#DIV/0!</v>
      </c>
      <c r="S44" s="105">
        <f t="shared" si="31"/>
        <v>0</v>
      </c>
      <c r="T44" s="100" t="e">
        <f t="shared" si="32"/>
        <v>#DIV/0!</v>
      </c>
      <c r="U44" s="234"/>
      <c r="V44" s="100" t="e">
        <f t="shared" si="33"/>
        <v>#DIV/0!</v>
      </c>
      <c r="W44" s="234"/>
      <c r="X44" s="100" t="e">
        <f t="shared" si="34"/>
        <v>#DIV/0!</v>
      </c>
      <c r="Y44" s="234"/>
      <c r="Z44" s="100" t="e">
        <f t="shared" si="35"/>
        <v>#DIV/0!</v>
      </c>
      <c r="AA44" s="234"/>
      <c r="AB44" s="100" t="e">
        <f t="shared" si="36"/>
        <v>#DIV/0!</v>
      </c>
      <c r="AC44" s="105">
        <f t="shared" si="37"/>
        <v>0</v>
      </c>
      <c r="AD44" s="100" t="e">
        <f t="shared" si="38"/>
        <v>#DIV/0!</v>
      </c>
      <c r="AE44" s="234"/>
      <c r="AF44" s="100" t="e">
        <f t="shared" si="39"/>
        <v>#DIV/0!</v>
      </c>
      <c r="AG44" s="234"/>
      <c r="AH44" s="100" t="e">
        <f t="shared" si="40"/>
        <v>#DIV/0!</v>
      </c>
      <c r="AI44" s="234"/>
      <c r="AJ44" s="100" t="e">
        <f t="shared" si="41"/>
        <v>#DIV/0!</v>
      </c>
      <c r="AK44" s="234"/>
      <c r="AL44" s="100" t="e">
        <f t="shared" si="42"/>
        <v>#DIV/0!</v>
      </c>
    </row>
    <row r="45" spans="2:38" ht="14.25">
      <c r="B45" s="97"/>
      <c r="C45" s="83"/>
      <c r="D45" s="355"/>
      <c r="E45" s="355"/>
      <c r="F45" s="87">
        <f t="shared" ref="F45:F48" si="47">SUM(M45,S45,U45,W45,AC45,AE45,AG45,AI45,AK45)</f>
        <v>0</v>
      </c>
      <c r="G45" s="301"/>
      <c r="H45" s="87"/>
      <c r="I45" s="234"/>
      <c r="J45" s="100" t="e">
        <f t="shared" si="25"/>
        <v>#DIV/0!</v>
      </c>
      <c r="K45" s="234"/>
      <c r="L45" s="100" t="e">
        <f t="shared" si="26"/>
        <v>#DIV/0!</v>
      </c>
      <c r="M45" s="105">
        <f t="shared" si="27"/>
        <v>0</v>
      </c>
      <c r="N45" s="100" t="e">
        <f t="shared" si="28"/>
        <v>#DIV/0!</v>
      </c>
      <c r="O45" s="234"/>
      <c r="P45" s="100" t="e">
        <f t="shared" si="29"/>
        <v>#DIV/0!</v>
      </c>
      <c r="Q45" s="234"/>
      <c r="R45" s="100" t="e">
        <f t="shared" si="30"/>
        <v>#DIV/0!</v>
      </c>
      <c r="S45" s="105">
        <f t="shared" si="31"/>
        <v>0</v>
      </c>
      <c r="T45" s="100" t="e">
        <f t="shared" si="32"/>
        <v>#DIV/0!</v>
      </c>
      <c r="U45" s="234"/>
      <c r="V45" s="100" t="e">
        <f t="shared" si="33"/>
        <v>#DIV/0!</v>
      </c>
      <c r="W45" s="234"/>
      <c r="X45" s="100" t="e">
        <f t="shared" si="34"/>
        <v>#DIV/0!</v>
      </c>
      <c r="Y45" s="234"/>
      <c r="Z45" s="100" t="e">
        <f t="shared" si="35"/>
        <v>#DIV/0!</v>
      </c>
      <c r="AA45" s="234"/>
      <c r="AB45" s="100" t="e">
        <f t="shared" si="36"/>
        <v>#DIV/0!</v>
      </c>
      <c r="AC45" s="105">
        <f t="shared" si="37"/>
        <v>0</v>
      </c>
      <c r="AD45" s="100" t="e">
        <f t="shared" si="38"/>
        <v>#DIV/0!</v>
      </c>
      <c r="AE45" s="234"/>
      <c r="AF45" s="100" t="e">
        <f t="shared" si="39"/>
        <v>#DIV/0!</v>
      </c>
      <c r="AG45" s="234"/>
      <c r="AH45" s="100" t="e">
        <f t="shared" si="40"/>
        <v>#DIV/0!</v>
      </c>
      <c r="AI45" s="234"/>
      <c r="AJ45" s="100" t="e">
        <f t="shared" si="41"/>
        <v>#DIV/0!</v>
      </c>
      <c r="AK45" s="234"/>
      <c r="AL45" s="100" t="e">
        <f t="shared" si="42"/>
        <v>#DIV/0!</v>
      </c>
    </row>
    <row r="46" spans="2:38" ht="14.25">
      <c r="B46" s="97"/>
      <c r="C46" s="83"/>
      <c r="D46" s="355"/>
      <c r="E46" s="355"/>
      <c r="F46" s="87">
        <f t="shared" si="47"/>
        <v>0</v>
      </c>
      <c r="G46" s="301"/>
      <c r="H46" s="87"/>
      <c r="I46" s="234"/>
      <c r="J46" s="100" t="e">
        <f t="shared" si="25"/>
        <v>#DIV/0!</v>
      </c>
      <c r="K46" s="234"/>
      <c r="L46" s="100" t="e">
        <f t="shared" si="26"/>
        <v>#DIV/0!</v>
      </c>
      <c r="M46" s="105">
        <f t="shared" si="27"/>
        <v>0</v>
      </c>
      <c r="N46" s="100" t="e">
        <f t="shared" si="28"/>
        <v>#DIV/0!</v>
      </c>
      <c r="O46" s="234"/>
      <c r="P46" s="100" t="e">
        <f t="shared" si="29"/>
        <v>#DIV/0!</v>
      </c>
      <c r="Q46" s="234"/>
      <c r="R46" s="100" t="e">
        <f t="shared" si="30"/>
        <v>#DIV/0!</v>
      </c>
      <c r="S46" s="105">
        <f t="shared" si="31"/>
        <v>0</v>
      </c>
      <c r="T46" s="100" t="e">
        <f t="shared" si="32"/>
        <v>#DIV/0!</v>
      </c>
      <c r="U46" s="234"/>
      <c r="V46" s="100" t="e">
        <f t="shared" si="33"/>
        <v>#DIV/0!</v>
      </c>
      <c r="W46" s="234"/>
      <c r="X46" s="100" t="e">
        <f t="shared" si="34"/>
        <v>#DIV/0!</v>
      </c>
      <c r="Y46" s="234"/>
      <c r="Z46" s="100" t="e">
        <f t="shared" si="35"/>
        <v>#DIV/0!</v>
      </c>
      <c r="AA46" s="234"/>
      <c r="AB46" s="100" t="e">
        <f t="shared" si="36"/>
        <v>#DIV/0!</v>
      </c>
      <c r="AC46" s="105">
        <f t="shared" si="37"/>
        <v>0</v>
      </c>
      <c r="AD46" s="100" t="e">
        <f t="shared" si="38"/>
        <v>#DIV/0!</v>
      </c>
      <c r="AE46" s="234"/>
      <c r="AF46" s="100" t="e">
        <f t="shared" si="39"/>
        <v>#DIV/0!</v>
      </c>
      <c r="AG46" s="234"/>
      <c r="AH46" s="100" t="e">
        <f t="shared" si="40"/>
        <v>#DIV/0!</v>
      </c>
      <c r="AI46" s="234"/>
      <c r="AJ46" s="100" t="e">
        <f t="shared" si="41"/>
        <v>#DIV/0!</v>
      </c>
      <c r="AK46" s="234"/>
      <c r="AL46" s="100" t="e">
        <f t="shared" si="42"/>
        <v>#DIV/0!</v>
      </c>
    </row>
    <row r="47" spans="2:38" ht="14.25">
      <c r="B47" s="97"/>
      <c r="C47" s="83"/>
      <c r="D47" s="355"/>
      <c r="E47" s="355"/>
      <c r="F47" s="87">
        <f t="shared" si="47"/>
        <v>0</v>
      </c>
      <c r="G47" s="301"/>
      <c r="H47" s="87"/>
      <c r="I47" s="234"/>
      <c r="J47" s="100" t="e">
        <f t="shared" si="25"/>
        <v>#DIV/0!</v>
      </c>
      <c r="K47" s="234"/>
      <c r="L47" s="100" t="e">
        <f t="shared" si="26"/>
        <v>#DIV/0!</v>
      </c>
      <c r="M47" s="105">
        <f t="shared" si="27"/>
        <v>0</v>
      </c>
      <c r="N47" s="100" t="e">
        <f t="shared" si="28"/>
        <v>#DIV/0!</v>
      </c>
      <c r="O47" s="234"/>
      <c r="P47" s="100" t="e">
        <f t="shared" si="29"/>
        <v>#DIV/0!</v>
      </c>
      <c r="Q47" s="234"/>
      <c r="R47" s="100" t="e">
        <f t="shared" si="30"/>
        <v>#DIV/0!</v>
      </c>
      <c r="S47" s="105">
        <f t="shared" si="31"/>
        <v>0</v>
      </c>
      <c r="T47" s="100" t="e">
        <f t="shared" si="32"/>
        <v>#DIV/0!</v>
      </c>
      <c r="U47" s="234"/>
      <c r="V47" s="100" t="e">
        <f t="shared" si="33"/>
        <v>#DIV/0!</v>
      </c>
      <c r="W47" s="234"/>
      <c r="X47" s="100" t="e">
        <f t="shared" si="34"/>
        <v>#DIV/0!</v>
      </c>
      <c r="Y47" s="234"/>
      <c r="Z47" s="100" t="e">
        <f t="shared" si="35"/>
        <v>#DIV/0!</v>
      </c>
      <c r="AA47" s="234"/>
      <c r="AB47" s="100" t="e">
        <f t="shared" si="36"/>
        <v>#DIV/0!</v>
      </c>
      <c r="AC47" s="105">
        <f t="shared" si="37"/>
        <v>0</v>
      </c>
      <c r="AD47" s="100" t="e">
        <f t="shared" si="38"/>
        <v>#DIV/0!</v>
      </c>
      <c r="AE47" s="234"/>
      <c r="AF47" s="100" t="e">
        <f t="shared" si="39"/>
        <v>#DIV/0!</v>
      </c>
      <c r="AG47" s="234"/>
      <c r="AH47" s="100" t="e">
        <f t="shared" si="40"/>
        <v>#DIV/0!</v>
      </c>
      <c r="AI47" s="234"/>
      <c r="AJ47" s="100" t="e">
        <f t="shared" si="41"/>
        <v>#DIV/0!</v>
      </c>
      <c r="AK47" s="234"/>
      <c r="AL47" s="100" t="e">
        <f t="shared" si="42"/>
        <v>#DIV/0!</v>
      </c>
    </row>
    <row r="48" spans="2:38" ht="14.25">
      <c r="B48" s="97"/>
      <c r="C48" s="83"/>
      <c r="D48" s="355"/>
      <c r="E48" s="355"/>
      <c r="F48" s="87">
        <f t="shared" si="47"/>
        <v>0</v>
      </c>
      <c r="G48" s="301"/>
      <c r="H48" s="87"/>
      <c r="I48" s="234"/>
      <c r="J48" s="100" t="e">
        <f t="shared" si="25"/>
        <v>#DIV/0!</v>
      </c>
      <c r="K48" s="234"/>
      <c r="L48" s="100" t="e">
        <f t="shared" si="26"/>
        <v>#DIV/0!</v>
      </c>
      <c r="M48" s="105">
        <f t="shared" si="27"/>
        <v>0</v>
      </c>
      <c r="N48" s="100" t="e">
        <f t="shared" si="28"/>
        <v>#DIV/0!</v>
      </c>
      <c r="O48" s="234"/>
      <c r="P48" s="100" t="e">
        <f t="shared" si="29"/>
        <v>#DIV/0!</v>
      </c>
      <c r="Q48" s="234"/>
      <c r="R48" s="100" t="e">
        <f t="shared" si="30"/>
        <v>#DIV/0!</v>
      </c>
      <c r="S48" s="105">
        <f t="shared" si="31"/>
        <v>0</v>
      </c>
      <c r="T48" s="100" t="e">
        <f t="shared" si="32"/>
        <v>#DIV/0!</v>
      </c>
      <c r="U48" s="234"/>
      <c r="V48" s="100" t="e">
        <f t="shared" si="33"/>
        <v>#DIV/0!</v>
      </c>
      <c r="W48" s="234"/>
      <c r="X48" s="100" t="e">
        <f t="shared" si="34"/>
        <v>#DIV/0!</v>
      </c>
      <c r="Y48" s="234"/>
      <c r="Z48" s="100" t="e">
        <f t="shared" si="35"/>
        <v>#DIV/0!</v>
      </c>
      <c r="AA48" s="234"/>
      <c r="AB48" s="100" t="e">
        <f t="shared" si="36"/>
        <v>#DIV/0!</v>
      </c>
      <c r="AC48" s="105">
        <f t="shared" si="37"/>
        <v>0</v>
      </c>
      <c r="AD48" s="100" t="e">
        <f t="shared" si="38"/>
        <v>#DIV/0!</v>
      </c>
      <c r="AE48" s="234"/>
      <c r="AF48" s="100" t="e">
        <f t="shared" si="39"/>
        <v>#DIV/0!</v>
      </c>
      <c r="AG48" s="234"/>
      <c r="AH48" s="100" t="e">
        <f t="shared" si="40"/>
        <v>#DIV/0!</v>
      </c>
      <c r="AI48" s="234"/>
      <c r="AJ48" s="100" t="e">
        <f t="shared" si="41"/>
        <v>#DIV/0!</v>
      </c>
      <c r="AK48" s="234"/>
      <c r="AL48" s="100" t="e">
        <f t="shared" si="42"/>
        <v>#DIV/0!</v>
      </c>
    </row>
    <row r="49" spans="2:38" ht="14.25">
      <c r="B49" s="97"/>
      <c r="C49" s="83"/>
      <c r="D49" s="355"/>
      <c r="E49" s="355"/>
      <c r="F49" s="87"/>
      <c r="G49" s="301"/>
      <c r="H49" s="87"/>
      <c r="I49" s="234"/>
      <c r="J49" s="100" t="e">
        <f>I49/F49</f>
        <v>#DIV/0!</v>
      </c>
      <c r="K49" s="234"/>
      <c r="L49" s="100" t="e">
        <f>K49/F49</f>
        <v>#DIV/0!</v>
      </c>
      <c r="M49" s="105">
        <f>SUM(I49+K49)</f>
        <v>0</v>
      </c>
      <c r="N49" s="100" t="e">
        <f>M49/F49</f>
        <v>#DIV/0!</v>
      </c>
      <c r="O49" s="234"/>
      <c r="P49" s="100" t="e">
        <f>O49/F49</f>
        <v>#DIV/0!</v>
      </c>
      <c r="Q49" s="234"/>
      <c r="R49" s="100" t="e">
        <f t="shared" ref="R49" si="48">Q49/F49</f>
        <v>#DIV/0!</v>
      </c>
      <c r="S49" s="105">
        <f t="shared" ref="S49" si="49">SUM(O49+Q49)</f>
        <v>0</v>
      </c>
      <c r="T49" s="100" t="e">
        <f>S49/F49</f>
        <v>#DIV/0!</v>
      </c>
      <c r="U49" s="234"/>
      <c r="V49" s="100" t="e">
        <f>U49/F49</f>
        <v>#DIV/0!</v>
      </c>
      <c r="W49" s="234"/>
      <c r="X49" s="100" t="e">
        <f>W49/F49</f>
        <v>#DIV/0!</v>
      </c>
      <c r="Y49" s="234"/>
      <c r="Z49" s="100" t="e">
        <f>Y49/F49</f>
        <v>#DIV/0!</v>
      </c>
      <c r="AA49" s="234"/>
      <c r="AB49" s="100" t="e">
        <f t="shared" ref="AB49" si="50">AA49/F49</f>
        <v>#DIV/0!</v>
      </c>
      <c r="AC49" s="105">
        <f>SUM(Y49+AA49)</f>
        <v>0</v>
      </c>
      <c r="AD49" s="100" t="e">
        <f>AC49/F49</f>
        <v>#DIV/0!</v>
      </c>
      <c r="AE49" s="234"/>
      <c r="AF49" s="100" t="e">
        <f>AE49/F49</f>
        <v>#DIV/0!</v>
      </c>
      <c r="AG49" s="234"/>
      <c r="AH49" s="100" t="e">
        <f>AG49/F49</f>
        <v>#DIV/0!</v>
      </c>
      <c r="AI49" s="234"/>
      <c r="AJ49" s="100" t="e">
        <f>AI49/F49</f>
        <v>#DIV/0!</v>
      </c>
      <c r="AK49" s="234"/>
      <c r="AL49" s="100" t="e">
        <f>AK49/F49</f>
        <v>#DIV/0!</v>
      </c>
    </row>
    <row r="50" spans="2:38" ht="14.25">
      <c r="B50" s="97"/>
      <c r="C50" s="83"/>
      <c r="D50" s="355"/>
      <c r="E50" s="355"/>
      <c r="F50" s="87"/>
      <c r="G50" s="87"/>
      <c r="H50" s="87"/>
      <c r="I50" s="264">
        <f>SUM(I7:I44)</f>
        <v>988145</v>
      </c>
      <c r="J50" s="263">
        <f>I50/$H$12</f>
        <v>0.13547295263981998</v>
      </c>
      <c r="K50" s="264">
        <f>SUM(K7:K44)</f>
        <v>1426757</v>
      </c>
      <c r="L50" s="263">
        <f>K50/$H$12</f>
        <v>0.1956058913312638</v>
      </c>
      <c r="M50" s="264">
        <f>SUM(M7:M44)</f>
        <v>2414902</v>
      </c>
      <c r="N50" s="263">
        <f>M50/$H$12</f>
        <v>0.33107884397108378</v>
      </c>
      <c r="O50" s="264">
        <f>SUM(O7:O44)</f>
        <v>214509</v>
      </c>
      <c r="P50" s="263">
        <f>O50/$H$12</f>
        <v>2.9408809028852189E-2</v>
      </c>
      <c r="Q50" s="264">
        <f>SUM(Q7:Q44)</f>
        <v>0</v>
      </c>
      <c r="R50" s="263">
        <f>Q50/$H$12</f>
        <v>0</v>
      </c>
      <c r="S50" s="264">
        <f>SUM(S7:S44)</f>
        <v>214509</v>
      </c>
      <c r="T50" s="263">
        <f>S50/$H$12</f>
        <v>2.9408809028852189E-2</v>
      </c>
      <c r="U50" s="264">
        <f>SUM(U7:U44)</f>
        <v>1027741</v>
      </c>
      <c r="V50" s="263">
        <f>U50/$H$12</f>
        <v>0.14090149504273283</v>
      </c>
      <c r="W50" s="264">
        <f>SUM(W7:W44)</f>
        <v>58321</v>
      </c>
      <c r="X50" s="263">
        <f>W50/$H$12</f>
        <v>7.9957071795201534E-3</v>
      </c>
      <c r="Y50" s="264">
        <f>SUM(Y7:Y44)</f>
        <v>892695</v>
      </c>
      <c r="Z50" s="263">
        <f>Y50/$H$12</f>
        <v>0.12238692444611278</v>
      </c>
      <c r="AA50" s="264">
        <f>SUM(AA7:AA44)</f>
        <v>760782</v>
      </c>
      <c r="AB50" s="263">
        <f>AA50/$H$12</f>
        <v>0.10430188267433174</v>
      </c>
      <c r="AC50" s="264">
        <f>SUM(AC7:AC44)</f>
        <v>1653477</v>
      </c>
      <c r="AD50" s="263">
        <f>AC50/$H$12</f>
        <v>0.22668880712044451</v>
      </c>
      <c r="AE50" s="264">
        <f>SUM(AE7:AE44)</f>
        <v>780280</v>
      </c>
      <c r="AF50" s="263">
        <f>AE50/$H$12</f>
        <v>0.10697502440006147</v>
      </c>
      <c r="AG50" s="264">
        <f>SUM(AG7:AG44)</f>
        <v>509873</v>
      </c>
      <c r="AH50" s="263">
        <f>AG50/$H$12</f>
        <v>6.9902697257308327E-2</v>
      </c>
      <c r="AI50" s="264">
        <f>SUM(AI7:AI44)</f>
        <v>905310</v>
      </c>
      <c r="AJ50" s="263">
        <f>AI50/$H$12</f>
        <v>0.12411641890041991</v>
      </c>
      <c r="AK50" s="264">
        <f>SUM(AK7:AK44)</f>
        <v>789229</v>
      </c>
      <c r="AL50" s="263">
        <f>AK50/$H$12</f>
        <v>0.10820191666098851</v>
      </c>
    </row>
    <row r="51" spans="2:38" ht="14.25">
      <c r="B51" s="97"/>
      <c r="C51" s="83"/>
      <c r="D51" s="355"/>
      <c r="E51" s="355"/>
      <c r="F51" s="87"/>
      <c r="G51" s="87"/>
      <c r="H51" s="87"/>
      <c r="M51" s="265">
        <f>M50</f>
        <v>2414902</v>
      </c>
      <c r="S51" s="265">
        <f>S50</f>
        <v>214509</v>
      </c>
      <c r="U51" s="265">
        <f>U50</f>
        <v>1027741</v>
      </c>
      <c r="W51" s="265">
        <f>W50</f>
        <v>58321</v>
      </c>
      <c r="Y51" s="265"/>
      <c r="AA51" s="265"/>
      <c r="AC51" s="265">
        <f>AC50</f>
        <v>1653477</v>
      </c>
      <c r="AE51" s="265">
        <f>AE50</f>
        <v>780280</v>
      </c>
      <c r="AG51" s="265">
        <f>AG50</f>
        <v>509873</v>
      </c>
      <c r="AI51" s="265">
        <f>AI50</f>
        <v>905310</v>
      </c>
      <c r="AK51" s="265">
        <f>AK50</f>
        <v>789229</v>
      </c>
    </row>
    <row r="52" spans="2:38" ht="14.25">
      <c r="B52" s="97"/>
      <c r="C52" s="83"/>
      <c r="D52" s="355"/>
      <c r="E52" s="355"/>
      <c r="F52" s="87"/>
      <c r="G52" s="87"/>
      <c r="H52" s="87"/>
    </row>
    <row r="53" spans="2:38" ht="14.25">
      <c r="B53" s="97"/>
      <c r="C53" s="83"/>
      <c r="D53" s="84"/>
      <c r="F53" s="87"/>
      <c r="G53" s="87"/>
      <c r="H53" s="87"/>
    </row>
    <row r="54" spans="2:38" ht="14.25">
      <c r="B54" s="97"/>
      <c r="C54" s="83"/>
      <c r="D54" s="84"/>
    </row>
    <row r="55" spans="2:38" ht="14.25">
      <c r="B55" s="97"/>
      <c r="C55" s="83"/>
      <c r="D55" s="84"/>
    </row>
    <row r="56" spans="2:38" ht="14.25">
      <c r="B56" s="97"/>
      <c r="C56" s="83"/>
      <c r="D56" s="84"/>
    </row>
    <row r="57" spans="2:38" ht="14.25">
      <c r="B57" s="97"/>
      <c r="C57" s="83"/>
      <c r="D57" s="84"/>
    </row>
    <row r="58" spans="2:38" ht="14.25">
      <c r="B58" s="97"/>
      <c r="C58" s="83"/>
      <c r="D58" s="84"/>
    </row>
    <row r="59" spans="2:38" ht="14.25">
      <c r="B59" s="97"/>
      <c r="C59" s="83"/>
      <c r="D59" s="84"/>
    </row>
    <row r="60" spans="2:38" ht="14.25">
      <c r="B60" s="97"/>
      <c r="C60" s="83"/>
      <c r="D60" s="84"/>
    </row>
    <row r="61" spans="2:38" ht="14.25">
      <c r="B61" s="97"/>
      <c r="C61" s="83"/>
      <c r="D61" s="84"/>
    </row>
    <row r="62" spans="2:38" ht="14.25">
      <c r="B62" s="97"/>
      <c r="C62" s="83"/>
      <c r="D62" s="84"/>
    </row>
    <row r="63" spans="2:38" ht="14.25">
      <c r="B63" s="97"/>
      <c r="C63" s="83"/>
      <c r="D63" s="84"/>
    </row>
    <row r="64" spans="2:38" ht="14.25">
      <c r="B64" s="97"/>
      <c r="C64" s="83"/>
      <c r="D64" s="84"/>
    </row>
    <row r="65" spans="2:4" ht="14.25">
      <c r="B65" s="97"/>
      <c r="C65" s="83"/>
      <c r="D65" s="84"/>
    </row>
    <row r="66" spans="2:4" ht="14.25">
      <c r="B66" s="97"/>
      <c r="C66" s="83"/>
      <c r="D66" s="84"/>
    </row>
    <row r="67" spans="2:4" ht="14.25">
      <c r="B67" s="97"/>
      <c r="C67" s="83"/>
      <c r="D67" s="84"/>
    </row>
    <row r="68" spans="2:4" ht="14.25">
      <c r="B68" s="97"/>
      <c r="C68" s="83"/>
      <c r="D68" s="84"/>
    </row>
    <row r="69" spans="2:4" ht="14.25">
      <c r="B69" s="97"/>
      <c r="C69" s="83"/>
      <c r="D69" s="84"/>
    </row>
    <row r="70" spans="2:4" ht="14.25">
      <c r="B70" s="97"/>
      <c r="C70" s="83"/>
      <c r="D70" s="84"/>
    </row>
    <row r="71" spans="2:4" ht="14.25">
      <c r="B71" s="97"/>
      <c r="C71" s="83"/>
      <c r="D71" s="84"/>
    </row>
    <row r="72" spans="2:4" ht="14.25">
      <c r="B72" s="97"/>
      <c r="C72" s="83"/>
      <c r="D72" s="84"/>
    </row>
    <row r="73" spans="2:4" ht="14.25">
      <c r="B73" s="97"/>
      <c r="C73" s="83"/>
      <c r="D73" s="84"/>
    </row>
    <row r="74" spans="2:4" ht="14.25">
      <c r="B74" s="97"/>
      <c r="C74" s="83"/>
      <c r="D74" s="84"/>
    </row>
    <row r="75" spans="2:4" ht="14.25">
      <c r="B75" s="97"/>
      <c r="C75" s="83"/>
      <c r="D75" s="84"/>
    </row>
    <row r="76" spans="2:4" ht="14.25">
      <c r="B76" s="97"/>
      <c r="C76" s="83"/>
      <c r="D76" s="84"/>
    </row>
    <row r="77" spans="2:4" ht="14.25">
      <c r="B77" s="97"/>
      <c r="C77" s="83"/>
      <c r="D77" s="84"/>
    </row>
    <row r="78" spans="2:4" ht="14.25">
      <c r="B78" s="97"/>
      <c r="C78" s="83"/>
      <c r="D78" s="84"/>
    </row>
    <row r="79" spans="2:4" ht="14.25">
      <c r="B79" s="97"/>
      <c r="C79" s="83"/>
      <c r="D79" s="84"/>
    </row>
    <row r="80" spans="2:4" ht="14.25">
      <c r="B80" s="97"/>
      <c r="C80" s="83"/>
      <c r="D80" s="84"/>
    </row>
    <row r="81" spans="2:4" ht="14.25">
      <c r="B81" s="97"/>
      <c r="C81" s="83"/>
      <c r="D81" s="84"/>
    </row>
    <row r="82" spans="2:4" ht="14.25">
      <c r="B82" s="97"/>
      <c r="C82" s="83"/>
      <c r="D82" s="84"/>
    </row>
    <row r="83" spans="2:4" ht="14.25">
      <c r="B83" s="97"/>
      <c r="C83" s="83"/>
      <c r="D83" s="84"/>
    </row>
    <row r="84" spans="2:4" ht="14.25">
      <c r="B84" s="97"/>
      <c r="C84" s="83"/>
      <c r="D84" s="84"/>
    </row>
    <row r="85" spans="2:4" ht="14.25">
      <c r="B85" s="97"/>
      <c r="C85" s="83"/>
      <c r="D85" s="84"/>
    </row>
    <row r="86" spans="2:4" ht="14.25">
      <c r="B86" s="97"/>
      <c r="C86" s="83"/>
      <c r="D86" s="84"/>
    </row>
    <row r="87" spans="2:4" ht="14.25">
      <c r="B87" s="97"/>
      <c r="C87" s="83"/>
      <c r="D87" s="84"/>
    </row>
    <row r="88" spans="2:4" ht="14.25">
      <c r="B88" s="97"/>
      <c r="C88" s="83"/>
      <c r="D88" s="84"/>
    </row>
    <row r="89" spans="2:4" ht="14.25">
      <c r="B89" s="97"/>
      <c r="C89" s="83"/>
      <c r="D89" s="84"/>
    </row>
    <row r="90" spans="2:4" ht="14.25">
      <c r="B90" s="97"/>
      <c r="C90" s="83"/>
      <c r="D90" s="84"/>
    </row>
    <row r="91" spans="2:4" ht="14.25">
      <c r="B91" s="97"/>
      <c r="C91" s="83"/>
      <c r="D91" s="84"/>
    </row>
    <row r="92" spans="2:4" ht="14.25">
      <c r="B92" s="97"/>
      <c r="C92" s="83"/>
      <c r="D92" s="84"/>
    </row>
    <row r="93" spans="2:4" ht="14.25">
      <c r="B93" s="97"/>
      <c r="C93" s="83"/>
      <c r="D93" s="84"/>
    </row>
    <row r="94" spans="2:4" ht="14.25">
      <c r="B94" s="97"/>
      <c r="C94" s="83"/>
      <c r="D94" s="84"/>
    </row>
    <row r="95" spans="2:4" ht="14.25">
      <c r="B95" s="97"/>
      <c r="C95" s="83"/>
      <c r="D95" s="84"/>
    </row>
    <row r="96" spans="2:4" ht="14.25">
      <c r="B96" s="97"/>
      <c r="C96" s="83"/>
      <c r="D96" s="84"/>
    </row>
    <row r="97" spans="2:4" ht="14.25">
      <c r="B97" s="97"/>
      <c r="C97" s="83"/>
      <c r="D97" s="84"/>
    </row>
    <row r="98" spans="2:4" ht="14.25">
      <c r="B98" s="97"/>
      <c r="C98" s="83"/>
      <c r="D98" s="84"/>
    </row>
    <row r="99" spans="2:4" ht="14.25">
      <c r="B99" s="97"/>
      <c r="C99" s="83"/>
      <c r="D99" s="84"/>
    </row>
    <row r="100" spans="2:4" ht="14.25">
      <c r="B100" s="97"/>
      <c r="C100" s="83"/>
      <c r="D100" s="84"/>
    </row>
    <row r="101" spans="2:4" ht="14.25">
      <c r="B101" s="97"/>
      <c r="C101" s="83"/>
      <c r="D101" s="84"/>
    </row>
    <row r="102" spans="2:4" ht="14.25">
      <c r="B102" s="97"/>
      <c r="C102" s="83"/>
      <c r="D102" s="84"/>
    </row>
    <row r="103" spans="2:4" ht="14.25">
      <c r="B103" s="97"/>
      <c r="C103" s="83"/>
      <c r="D103" s="84"/>
    </row>
    <row r="104" spans="2:4" ht="14.25">
      <c r="B104" s="97"/>
      <c r="C104" s="83"/>
      <c r="D104" s="84"/>
    </row>
    <row r="105" spans="2:4" ht="14.25">
      <c r="B105" s="97"/>
      <c r="C105" s="83"/>
      <c r="D105" s="84"/>
    </row>
    <row r="106" spans="2:4" ht="14.25">
      <c r="B106" s="97"/>
      <c r="C106" s="83"/>
      <c r="D106" s="84"/>
    </row>
  </sheetData>
  <mergeCells count="32">
    <mergeCell ref="C3:C6"/>
    <mergeCell ref="G5:G6"/>
    <mergeCell ref="H5:H6"/>
    <mergeCell ref="I3:AL3"/>
    <mergeCell ref="D3:E6"/>
    <mergeCell ref="O4:T4"/>
    <mergeCell ref="O5:P5"/>
    <mergeCell ref="I5:J5"/>
    <mergeCell ref="AI4:AJ4"/>
    <mergeCell ref="AI5:AJ5"/>
    <mergeCell ref="F3:H4"/>
    <mergeCell ref="AA5:AB5"/>
    <mergeCell ref="K5:L5"/>
    <mergeCell ref="S5:T5"/>
    <mergeCell ref="F5:F6"/>
    <mergeCell ref="M5:N5"/>
    <mergeCell ref="B2:AL2"/>
    <mergeCell ref="AK5:AL5"/>
    <mergeCell ref="U4:V4"/>
    <mergeCell ref="U5:V5"/>
    <mergeCell ref="W5:X5"/>
    <mergeCell ref="W4:X4"/>
    <mergeCell ref="Y5:Z5"/>
    <mergeCell ref="AC5:AD5"/>
    <mergeCell ref="AE4:AF4"/>
    <mergeCell ref="AE5:AF5"/>
    <mergeCell ref="AG5:AH5"/>
    <mergeCell ref="AG4:AH4"/>
    <mergeCell ref="Y4:AD4"/>
    <mergeCell ref="I4:N4"/>
    <mergeCell ref="AK4:AL4"/>
    <mergeCell ref="Q5:R5"/>
  </mergeCells>
  <phoneticPr fontId="1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A262"/>
  <sheetViews>
    <sheetView topLeftCell="A105" zoomScale="40" zoomScaleNormal="40" workbookViewId="0">
      <pane xSplit="15" topLeftCell="P1" activePane="topRight" state="frozen"/>
      <selection activeCell="T87" activeCellId="6" sqref="AW87:AX101 AR87:AS101 AM87:AN101 AH87:AI101 AC87:AD101 X87:Y101 S87:T101"/>
      <selection pane="topRight" activeCell="D147" sqref="D147:G176"/>
    </sheetView>
  </sheetViews>
  <sheetFormatPr defaultColWidth="8.85546875" defaultRowHeight="12.75"/>
  <cols>
    <col min="1" max="1" width="5.5703125" style="107" customWidth="1"/>
    <col min="2" max="2" width="12.42578125" style="107" customWidth="1"/>
    <col min="3" max="3" width="8.85546875" style="106"/>
    <col min="4" max="4" width="26.42578125" style="106" customWidth="1"/>
    <col min="5" max="7" width="8.42578125" style="106" customWidth="1"/>
    <col min="8" max="8" width="11.140625" style="106" bestFit="1" customWidth="1"/>
    <col min="9" max="12" width="11.140625" style="106" customWidth="1"/>
    <col min="13" max="13" width="13.5703125" style="106" customWidth="1"/>
    <col min="14" max="14" width="9.85546875" style="106" customWidth="1"/>
    <col min="15" max="15" width="7.140625" style="106" customWidth="1"/>
    <col min="16" max="18" width="12.85546875" style="106" customWidth="1"/>
    <col min="19" max="19" width="5.42578125" style="106" customWidth="1"/>
    <col min="20" max="20" width="12.85546875" style="106" customWidth="1"/>
    <col min="21" max="23" width="12.85546875" style="107" customWidth="1"/>
    <col min="24" max="24" width="5.42578125" style="106" customWidth="1"/>
    <col min="25" max="28" width="12.85546875" style="107" customWidth="1"/>
    <col min="29" max="29" width="5.42578125" style="106" customWidth="1"/>
    <col min="30" max="30" width="12.85546875" style="107" customWidth="1"/>
    <col min="31" max="33" width="12.5703125" style="107" customWidth="1"/>
    <col min="34" max="34" width="5.42578125" style="106" customWidth="1"/>
    <col min="35" max="35" width="13" style="107" customWidth="1"/>
    <col min="36" max="38" width="12.5703125" style="107" customWidth="1"/>
    <col min="39" max="39" width="5.42578125" style="106" customWidth="1"/>
    <col min="40" max="40" width="13" style="107" customWidth="1"/>
    <col min="41" max="43" width="13.140625" style="107" customWidth="1"/>
    <col min="44" max="44" width="5.42578125" style="107" customWidth="1"/>
    <col min="45" max="48" width="13.140625" style="107" customWidth="1"/>
    <col min="49" max="49" width="5.42578125" style="107" customWidth="1"/>
    <col min="50" max="50" width="13.140625" style="107" customWidth="1"/>
    <col min="51" max="51" width="8.85546875" style="107"/>
    <col min="52" max="52" width="5.42578125" style="107" customWidth="1"/>
    <col min="53" max="53" width="13.140625" style="107" customWidth="1"/>
    <col min="54" max="16384" width="8.85546875" style="107"/>
  </cols>
  <sheetData>
    <row r="1" spans="1:53" ht="24">
      <c r="A1" s="75"/>
      <c r="B1" s="220" t="s">
        <v>314</v>
      </c>
      <c r="C1" s="219">
        <f>AVERAGE(L7,L42,L77,L112,L147,L182)</f>
        <v>815.88841001195294</v>
      </c>
    </row>
    <row r="2" spans="1:53" ht="15.75">
      <c r="A2" s="81"/>
      <c r="B2" s="664" t="s">
        <v>162</v>
      </c>
      <c r="C2" s="665"/>
      <c r="D2" s="665"/>
      <c r="E2" s="665"/>
      <c r="F2" s="665"/>
      <c r="G2" s="665"/>
      <c r="H2" s="666"/>
      <c r="I2" s="207"/>
      <c r="J2" s="207"/>
      <c r="K2" s="207"/>
      <c r="L2" s="207"/>
      <c r="M2" s="206"/>
      <c r="N2" s="653" t="s">
        <v>156</v>
      </c>
      <c r="O2" s="653" t="s">
        <v>105</v>
      </c>
      <c r="P2" s="659">
        <v>46231</v>
      </c>
      <c r="Q2" s="660"/>
      <c r="R2" s="660"/>
      <c r="S2" s="660"/>
      <c r="T2" s="660"/>
      <c r="U2" s="656">
        <f>P2+1</f>
        <v>46232</v>
      </c>
      <c r="V2" s="657"/>
      <c r="W2" s="657"/>
      <c r="X2" s="657"/>
      <c r="Y2" s="658"/>
      <c r="Z2" s="656">
        <f>U2+1</f>
        <v>46233</v>
      </c>
      <c r="AA2" s="657"/>
      <c r="AB2" s="657"/>
      <c r="AC2" s="657"/>
      <c r="AD2" s="658"/>
      <c r="AE2" s="656">
        <f>Z2+1</f>
        <v>46234</v>
      </c>
      <c r="AF2" s="657"/>
      <c r="AG2" s="657"/>
      <c r="AH2" s="657"/>
      <c r="AI2" s="658"/>
      <c r="AJ2" s="656">
        <f>AE2+1</f>
        <v>46235</v>
      </c>
      <c r="AK2" s="657"/>
      <c r="AL2" s="657"/>
      <c r="AM2" s="657"/>
      <c r="AN2" s="658"/>
      <c r="AO2" s="656">
        <f>AJ2+1</f>
        <v>46236</v>
      </c>
      <c r="AP2" s="657"/>
      <c r="AQ2" s="657"/>
      <c r="AR2" s="657"/>
      <c r="AS2" s="658"/>
      <c r="AT2" s="656">
        <f>AO2+1</f>
        <v>46237</v>
      </c>
      <c r="AU2" s="657"/>
      <c r="AV2" s="657"/>
      <c r="AW2" s="657"/>
      <c r="AX2" s="658"/>
    </row>
    <row r="3" spans="1:53" ht="15.75">
      <c r="A3" s="81"/>
      <c r="B3" s="667"/>
      <c r="C3" s="667"/>
      <c r="D3" s="667"/>
      <c r="E3" s="667"/>
      <c r="F3" s="667"/>
      <c r="G3" s="667"/>
      <c r="H3" s="667"/>
      <c r="I3" s="204"/>
      <c r="J3" s="204"/>
      <c r="K3" s="204"/>
      <c r="L3" s="204"/>
      <c r="M3" s="205"/>
      <c r="N3" s="655"/>
      <c r="O3" s="655"/>
      <c r="P3" s="659"/>
      <c r="Q3" s="660"/>
      <c r="R3" s="660"/>
      <c r="S3" s="660"/>
      <c r="T3" s="660"/>
      <c r="U3" s="659"/>
      <c r="V3" s="660"/>
      <c r="W3" s="660"/>
      <c r="X3" s="660"/>
      <c r="Y3" s="660"/>
      <c r="Z3" s="659"/>
      <c r="AA3" s="660"/>
      <c r="AB3" s="660"/>
      <c r="AC3" s="660"/>
      <c r="AD3" s="660"/>
      <c r="AE3" s="659"/>
      <c r="AF3" s="660"/>
      <c r="AG3" s="660"/>
      <c r="AH3" s="660"/>
      <c r="AI3" s="660"/>
      <c r="AJ3" s="659" t="s">
        <v>160</v>
      </c>
      <c r="AK3" s="660"/>
      <c r="AL3" s="660"/>
      <c r="AM3" s="660"/>
      <c r="AN3" s="660"/>
      <c r="AO3" s="659" t="s">
        <v>115</v>
      </c>
      <c r="AP3" s="660"/>
      <c r="AQ3" s="660"/>
      <c r="AR3" s="660"/>
      <c r="AS3" s="660"/>
      <c r="AT3" s="659" t="s">
        <v>161</v>
      </c>
      <c r="AU3" s="660"/>
      <c r="AV3" s="660"/>
      <c r="AW3" s="660"/>
      <c r="AX3" s="660"/>
    </row>
    <row r="4" spans="1:53" ht="14.25">
      <c r="A4" s="81"/>
      <c r="B4" s="652" t="s">
        <v>154</v>
      </c>
      <c r="C4" s="652" t="s">
        <v>379</v>
      </c>
      <c r="D4" s="652"/>
      <c r="E4" s="652" t="s">
        <v>370</v>
      </c>
      <c r="F4" s="652"/>
      <c r="G4" s="652"/>
      <c r="H4" s="668" t="s">
        <v>366</v>
      </c>
      <c r="I4" s="636" t="s">
        <v>371</v>
      </c>
      <c r="J4" s="636"/>
      <c r="K4" s="636"/>
      <c r="L4" s="637" t="s">
        <v>366</v>
      </c>
      <c r="M4" s="643" t="s">
        <v>367</v>
      </c>
      <c r="N4" s="652"/>
      <c r="O4" s="652" t="s">
        <v>372</v>
      </c>
      <c r="P4" s="649"/>
      <c r="Q4" s="650"/>
      <c r="R4" s="650"/>
      <c r="S4" s="651"/>
      <c r="T4" s="652"/>
      <c r="U4" s="649"/>
      <c r="V4" s="650"/>
      <c r="W4" s="650"/>
      <c r="X4" s="651"/>
      <c r="Y4" s="652"/>
      <c r="Z4" s="649"/>
      <c r="AA4" s="650"/>
      <c r="AB4" s="650"/>
      <c r="AC4" s="651"/>
      <c r="AD4" s="652"/>
      <c r="AE4" s="649"/>
      <c r="AF4" s="650"/>
      <c r="AG4" s="650"/>
      <c r="AH4" s="651"/>
      <c r="AI4" s="652"/>
      <c r="AJ4" s="649" t="s">
        <v>368</v>
      </c>
      <c r="AK4" s="650"/>
      <c r="AL4" s="650"/>
      <c r="AM4" s="651"/>
      <c r="AN4" s="652" t="s">
        <v>366</v>
      </c>
      <c r="AO4" s="649" t="s">
        <v>368</v>
      </c>
      <c r="AP4" s="650"/>
      <c r="AQ4" s="650"/>
      <c r="AR4" s="651"/>
      <c r="AS4" s="652" t="s">
        <v>366</v>
      </c>
      <c r="AT4" s="649" t="s">
        <v>368</v>
      </c>
      <c r="AU4" s="650"/>
      <c r="AV4" s="650"/>
      <c r="AW4" s="651"/>
      <c r="AX4" s="652" t="s">
        <v>366</v>
      </c>
      <c r="BA4" s="652" t="s">
        <v>366</v>
      </c>
    </row>
    <row r="5" spans="1:53" ht="14.25">
      <c r="A5" s="81"/>
      <c r="B5" s="652"/>
      <c r="C5" s="652"/>
      <c r="D5" s="652"/>
      <c r="E5" s="652" t="s">
        <v>373</v>
      </c>
      <c r="F5" s="652"/>
      <c r="G5" s="652"/>
      <c r="H5" s="669"/>
      <c r="I5" s="636" t="s">
        <v>373</v>
      </c>
      <c r="J5" s="636"/>
      <c r="K5" s="636"/>
      <c r="L5" s="638"/>
      <c r="M5" s="644"/>
      <c r="N5" s="652"/>
      <c r="O5" s="652"/>
      <c r="P5" s="649"/>
      <c r="Q5" s="650"/>
      <c r="R5" s="650"/>
      <c r="S5" s="651"/>
      <c r="T5" s="652"/>
      <c r="U5" s="649"/>
      <c r="V5" s="650"/>
      <c r="W5" s="650"/>
      <c r="X5" s="651"/>
      <c r="Y5" s="652"/>
      <c r="Z5" s="649"/>
      <c r="AA5" s="650"/>
      <c r="AB5" s="650"/>
      <c r="AC5" s="651"/>
      <c r="AD5" s="652"/>
      <c r="AE5" s="649"/>
      <c r="AF5" s="650"/>
      <c r="AG5" s="650"/>
      <c r="AH5" s="651"/>
      <c r="AI5" s="652"/>
      <c r="AJ5" s="649" t="s">
        <v>374</v>
      </c>
      <c r="AK5" s="650"/>
      <c r="AL5" s="650"/>
      <c r="AM5" s="651"/>
      <c r="AN5" s="652"/>
      <c r="AO5" s="649" t="s">
        <v>374</v>
      </c>
      <c r="AP5" s="650"/>
      <c r="AQ5" s="650"/>
      <c r="AR5" s="651"/>
      <c r="AS5" s="652"/>
      <c r="AT5" s="649" t="s">
        <v>374</v>
      </c>
      <c r="AU5" s="650"/>
      <c r="AV5" s="650"/>
      <c r="AW5" s="651"/>
      <c r="AX5" s="652"/>
      <c r="BA5" s="652"/>
    </row>
    <row r="6" spans="1:53" ht="14.25">
      <c r="A6" s="79"/>
      <c r="B6" s="652"/>
      <c r="C6" s="652"/>
      <c r="D6" s="652"/>
      <c r="E6" s="529" t="s">
        <v>375</v>
      </c>
      <c r="F6" s="529" t="s">
        <v>376</v>
      </c>
      <c r="G6" s="529" t="s">
        <v>377</v>
      </c>
      <c r="H6" s="670"/>
      <c r="I6" s="528" t="s">
        <v>375</v>
      </c>
      <c r="J6" s="528" t="s">
        <v>376</v>
      </c>
      <c r="K6" s="528" t="s">
        <v>377</v>
      </c>
      <c r="L6" s="639"/>
      <c r="M6" s="645"/>
      <c r="N6" s="652"/>
      <c r="O6" s="652"/>
      <c r="P6" s="529"/>
      <c r="Q6" s="529"/>
      <c r="R6" s="529"/>
      <c r="S6" s="529"/>
      <c r="T6" s="652"/>
      <c r="U6" s="529"/>
      <c r="V6" s="529"/>
      <c r="W6" s="529"/>
      <c r="X6" s="529"/>
      <c r="Y6" s="652"/>
      <c r="Z6" s="529"/>
      <c r="AA6" s="529"/>
      <c r="AB6" s="529"/>
      <c r="AC6" s="529"/>
      <c r="AD6" s="652"/>
      <c r="AE6" s="529"/>
      <c r="AF6" s="529"/>
      <c r="AG6" s="529"/>
      <c r="AH6" s="529"/>
      <c r="AI6" s="652"/>
      <c r="AJ6" s="529" t="s">
        <v>375</v>
      </c>
      <c r="AK6" s="529" t="s">
        <v>376</v>
      </c>
      <c r="AL6" s="529" t="s">
        <v>377</v>
      </c>
      <c r="AM6" s="529" t="s">
        <v>367</v>
      </c>
      <c r="AN6" s="652"/>
      <c r="AO6" s="529" t="s">
        <v>375</v>
      </c>
      <c r="AP6" s="529" t="s">
        <v>376</v>
      </c>
      <c r="AQ6" s="529" t="s">
        <v>377</v>
      </c>
      <c r="AR6" s="529" t="s">
        <v>367</v>
      </c>
      <c r="AS6" s="652"/>
      <c r="AT6" s="529" t="s">
        <v>375</v>
      </c>
      <c r="AU6" s="529" t="s">
        <v>376</v>
      </c>
      <c r="AV6" s="529" t="s">
        <v>377</v>
      </c>
      <c r="AW6" s="529" t="s">
        <v>367</v>
      </c>
      <c r="AX6" s="652"/>
      <c r="AZ6" s="373" t="s">
        <v>367</v>
      </c>
      <c r="BA6" s="652"/>
    </row>
    <row r="7" spans="1:53" ht="14.25">
      <c r="A7" s="81"/>
      <c r="B7" s="679" t="s">
        <v>483</v>
      </c>
      <c r="C7" s="530">
        <v>1</v>
      </c>
      <c r="D7" s="201" t="s">
        <v>335</v>
      </c>
      <c r="E7" s="201">
        <v>3</v>
      </c>
      <c r="F7" s="201">
        <v>3200</v>
      </c>
      <c r="G7" s="534">
        <v>1066.6666666666667</v>
      </c>
      <c r="H7" s="661">
        <f>AVERAGE(G7:G36)</f>
        <v>788.83333333333314</v>
      </c>
      <c r="I7" s="534">
        <f>IFERROR(AVERAGE(P7,U7,Z7,AE7,AJ7,AO7,AT7),"-")</f>
        <v>3</v>
      </c>
      <c r="J7" s="534">
        <f>IFERROR(AVERAGE(Q7,V7,AA7,AF7,AK7,AP7,AU7),"-")</f>
        <v>3181.13494447632</v>
      </c>
      <c r="K7" s="199">
        <f>IFERROR(AVERAGE(R7,W7,AB7,AG7,AL7,AQ7,AV7),"-")</f>
        <v>1060.3783148254399</v>
      </c>
      <c r="L7" s="633">
        <f>IFERROR(AVERAGE(K7:K36),"-")</f>
        <v>811.12681295974255</v>
      </c>
      <c r="M7" s="556">
        <f>RANK(K7, K$7:$K$36)</f>
        <v>2</v>
      </c>
      <c r="N7" s="652"/>
      <c r="O7" s="652"/>
      <c r="P7" s="530"/>
      <c r="Q7" s="531"/>
      <c r="R7" s="531"/>
      <c r="S7" s="555"/>
      <c r="T7" s="661"/>
      <c r="U7" s="530"/>
      <c r="V7" s="531"/>
      <c r="W7" s="531"/>
      <c r="X7" s="555"/>
      <c r="Y7" s="661"/>
      <c r="Z7" s="530"/>
      <c r="AA7" s="531"/>
      <c r="AB7" s="531"/>
      <c r="AC7" s="555"/>
      <c r="AD7" s="661"/>
      <c r="AE7" s="530"/>
      <c r="AF7" s="531"/>
      <c r="AG7" s="531"/>
      <c r="AH7" s="555"/>
      <c r="AI7" s="661"/>
      <c r="AJ7" s="530">
        <v>3</v>
      </c>
      <c r="AK7" s="531">
        <v>3200.9302325581389</v>
      </c>
      <c r="AL7" s="531">
        <v>1066.9767441860463</v>
      </c>
      <c r="AM7" s="555">
        <f t="shared" ref="AM7:AM14" si="0">RANK(AL7, AL$7:AL$36)</f>
        <v>2</v>
      </c>
      <c r="AN7" s="661">
        <f t="shared" ref="AN7" si="1">AVERAGE(AL7:AL36)</f>
        <v>837.06649693079487</v>
      </c>
      <c r="AO7" s="530">
        <v>3</v>
      </c>
      <c r="AP7" s="531">
        <v>3151.1538461538426</v>
      </c>
      <c r="AQ7" s="531">
        <v>1050.3846153846141</v>
      </c>
      <c r="AR7" s="555">
        <f t="shared" ref="AR7:AR14" si="2">RANK(AQ7, AQ$7:AQ$36)</f>
        <v>5</v>
      </c>
      <c r="AS7" s="661">
        <f t="shared" ref="AS7" si="3">AVERAGE(AQ7:AQ36)</f>
        <v>797.74841586806156</v>
      </c>
      <c r="AT7" s="530">
        <v>3</v>
      </c>
      <c r="AU7" s="531">
        <v>3191.3207547169782</v>
      </c>
      <c r="AV7" s="531">
        <v>1063.7735849056594</v>
      </c>
      <c r="AW7" s="555">
        <f t="shared" ref="AW7:AW14" si="4">RANK(AV7, AV$7:AV$36)</f>
        <v>3</v>
      </c>
      <c r="AX7" s="661">
        <f t="shared" ref="AX7" si="5">AVERAGE(AV7:AV36)</f>
        <v>798.56552608037146</v>
      </c>
      <c r="AZ7" s="372" t="e">
        <f>RANK(AY7, AY$7:AY$36)</f>
        <v>#N/A</v>
      </c>
      <c r="BA7" s="685" t="e">
        <f>AVERAGE(AY7:AY36)</f>
        <v>#DIV/0!</v>
      </c>
    </row>
    <row r="8" spans="1:53" ht="15" customHeight="1">
      <c r="A8" s="81"/>
      <c r="B8" s="680"/>
      <c r="C8" s="530">
        <v>2</v>
      </c>
      <c r="D8" s="528" t="s">
        <v>336</v>
      </c>
      <c r="E8" s="201">
        <v>3</v>
      </c>
      <c r="F8" s="201">
        <v>3200</v>
      </c>
      <c r="G8" s="534">
        <v>1066.6666666666667</v>
      </c>
      <c r="H8" s="662"/>
      <c r="I8" s="534">
        <f t="shared" ref="I8:I36" si="6">IFERROR(AVERAGE(P8,U8,Z8,AE8,AJ8,AO8,AT8),"-")</f>
        <v>3</v>
      </c>
      <c r="J8" s="534">
        <f t="shared" ref="J8:J36" si="7">IFERROR(AVERAGE(Q8,V8,AA8,AF8,AK8,AP8,AU8),"-")</f>
        <v>3088.9999999999941</v>
      </c>
      <c r="K8" s="199">
        <f t="shared" ref="K8:K36" si="8">IFERROR(AVERAGE(R8,W8,AB8,AG8,AL8,AQ8,AV8),"-")</f>
        <v>1029.6666666666645</v>
      </c>
      <c r="L8" s="634"/>
      <c r="M8" s="556">
        <f>RANK(K8, K$7:$K$36)</f>
        <v>7</v>
      </c>
      <c r="N8" s="652"/>
      <c r="O8" s="652"/>
      <c r="P8" s="530"/>
      <c r="Q8" s="531"/>
      <c r="R8" s="531"/>
      <c r="S8" s="555"/>
      <c r="T8" s="662"/>
      <c r="U8" s="530"/>
      <c r="V8" s="531"/>
      <c r="W8" s="531"/>
      <c r="X8" s="555"/>
      <c r="Y8" s="662"/>
      <c r="Z8" s="530"/>
      <c r="AA8" s="531"/>
      <c r="AB8" s="531"/>
      <c r="AC8" s="555"/>
      <c r="AD8" s="662"/>
      <c r="AE8" s="530"/>
      <c r="AF8" s="531"/>
      <c r="AG8" s="531"/>
      <c r="AH8" s="555"/>
      <c r="AI8" s="662"/>
      <c r="AJ8" s="530">
        <v>3</v>
      </c>
      <c r="AK8" s="531">
        <v>3059.9999999999918</v>
      </c>
      <c r="AL8" s="531">
        <v>1019.9999999999973</v>
      </c>
      <c r="AM8" s="555">
        <f t="shared" si="0"/>
        <v>7</v>
      </c>
      <c r="AN8" s="662"/>
      <c r="AO8" s="530">
        <v>3</v>
      </c>
      <c r="AP8" s="531">
        <v>3014.9999999999964</v>
      </c>
      <c r="AQ8" s="531">
        <v>1004.9999999999987</v>
      </c>
      <c r="AR8" s="555">
        <f t="shared" si="2"/>
        <v>8</v>
      </c>
      <c r="AS8" s="662"/>
      <c r="AT8" s="530">
        <v>3</v>
      </c>
      <c r="AU8" s="531">
        <v>3191.9999999999941</v>
      </c>
      <c r="AV8" s="531">
        <v>1063.999999999998</v>
      </c>
      <c r="AW8" s="555">
        <f t="shared" si="4"/>
        <v>2</v>
      </c>
      <c r="AX8" s="662"/>
      <c r="AZ8" s="372" t="e">
        <f t="shared" ref="AZ8:AZ36" si="9">RANK(AY8, AY$7:AY$36)</f>
        <v>#N/A</v>
      </c>
      <c r="BA8" s="685"/>
    </row>
    <row r="9" spans="1:53" ht="14.25">
      <c r="A9" s="81"/>
      <c r="B9" s="680"/>
      <c r="C9" s="530">
        <v>3</v>
      </c>
      <c r="D9" s="201" t="s">
        <v>328</v>
      </c>
      <c r="E9" s="201">
        <v>4</v>
      </c>
      <c r="F9" s="201">
        <v>3200</v>
      </c>
      <c r="G9" s="534">
        <v>800</v>
      </c>
      <c r="H9" s="662"/>
      <c r="I9" s="534">
        <f t="shared" si="6"/>
        <v>4</v>
      </c>
      <c r="J9" s="534">
        <f t="shared" si="7"/>
        <v>3052.3888888888819</v>
      </c>
      <c r="K9" s="199">
        <f t="shared" si="8"/>
        <v>763.09722222222047</v>
      </c>
      <c r="L9" s="634"/>
      <c r="M9" s="556">
        <f>RANK(K9, K$7:$K$36)</f>
        <v>16</v>
      </c>
      <c r="N9" s="652"/>
      <c r="O9" s="652"/>
      <c r="P9" s="530"/>
      <c r="Q9" s="531"/>
      <c r="R9" s="531"/>
      <c r="S9" s="555"/>
      <c r="T9" s="662"/>
      <c r="U9" s="530"/>
      <c r="V9" s="531"/>
      <c r="W9" s="531"/>
      <c r="X9" s="555"/>
      <c r="Y9" s="662"/>
      <c r="Z9" s="530"/>
      <c r="AA9" s="531"/>
      <c r="AB9" s="531"/>
      <c r="AC9" s="555"/>
      <c r="AD9" s="662"/>
      <c r="AE9" s="530"/>
      <c r="AF9" s="531"/>
      <c r="AG9" s="531"/>
      <c r="AH9" s="555"/>
      <c r="AI9" s="662"/>
      <c r="AJ9" s="530">
        <v>4</v>
      </c>
      <c r="AK9" s="531">
        <v>2932.50000000001</v>
      </c>
      <c r="AL9" s="531">
        <v>733.1250000000025</v>
      </c>
      <c r="AM9" s="555">
        <f t="shared" si="0"/>
        <v>18</v>
      </c>
      <c r="AN9" s="662"/>
      <c r="AO9" s="530">
        <v>4</v>
      </c>
      <c r="AP9" s="531">
        <v>3017.9999999999868</v>
      </c>
      <c r="AQ9" s="531">
        <v>754.4999999999967</v>
      </c>
      <c r="AR9" s="555">
        <f t="shared" si="2"/>
        <v>16</v>
      </c>
      <c r="AS9" s="662"/>
      <c r="AT9" s="530">
        <v>4</v>
      </c>
      <c r="AU9" s="531">
        <v>3206.6666666666497</v>
      </c>
      <c r="AV9" s="531">
        <v>801.66666666666242</v>
      </c>
      <c r="AW9" s="555">
        <f t="shared" si="4"/>
        <v>11</v>
      </c>
      <c r="AX9" s="662"/>
      <c r="AZ9" s="372" t="e">
        <f t="shared" si="9"/>
        <v>#N/A</v>
      </c>
      <c r="BA9" s="685"/>
    </row>
    <row r="10" spans="1:53" ht="14.25">
      <c r="A10" s="81"/>
      <c r="B10" s="680"/>
      <c r="C10" s="530">
        <v>4</v>
      </c>
      <c r="D10" s="201" t="s">
        <v>337</v>
      </c>
      <c r="E10" s="201">
        <v>3</v>
      </c>
      <c r="F10" s="201">
        <v>3200</v>
      </c>
      <c r="G10" s="534">
        <v>1066.6666666666667</v>
      </c>
      <c r="H10" s="662"/>
      <c r="I10" s="534">
        <f t="shared" si="6"/>
        <v>3</v>
      </c>
      <c r="J10" s="534">
        <f t="shared" si="7"/>
        <v>3167.5143843498286</v>
      </c>
      <c r="K10" s="199">
        <f t="shared" si="8"/>
        <v>1055.8381281166096</v>
      </c>
      <c r="L10" s="634"/>
      <c r="M10" s="556">
        <f>RANK(K10, K$7:$K$36)</f>
        <v>3</v>
      </c>
      <c r="N10" s="652"/>
      <c r="O10" s="652"/>
      <c r="P10" s="530"/>
      <c r="Q10" s="531"/>
      <c r="R10" s="531"/>
      <c r="S10" s="555"/>
      <c r="T10" s="662"/>
      <c r="U10" s="530"/>
      <c r="V10" s="531"/>
      <c r="W10" s="531"/>
      <c r="X10" s="555"/>
      <c r="Y10" s="662"/>
      <c r="Z10" s="530"/>
      <c r="AA10" s="531"/>
      <c r="AB10" s="531"/>
      <c r="AC10" s="555"/>
      <c r="AD10" s="662"/>
      <c r="AE10" s="530"/>
      <c r="AF10" s="531"/>
      <c r="AG10" s="531"/>
      <c r="AH10" s="555"/>
      <c r="AI10" s="662"/>
      <c r="AJ10" s="530">
        <v>3</v>
      </c>
      <c r="AK10" s="531">
        <v>3155.4545454545455</v>
      </c>
      <c r="AL10" s="531">
        <v>1051.8181818181818</v>
      </c>
      <c r="AM10" s="555">
        <f t="shared" si="0"/>
        <v>3</v>
      </c>
      <c r="AN10" s="662"/>
      <c r="AO10" s="530">
        <v>3</v>
      </c>
      <c r="AP10" s="531">
        <v>3171.6455696202547</v>
      </c>
      <c r="AQ10" s="531">
        <v>1057.2151898734182</v>
      </c>
      <c r="AR10" s="555">
        <f t="shared" si="2"/>
        <v>3</v>
      </c>
      <c r="AS10" s="662"/>
      <c r="AT10" s="530">
        <v>3</v>
      </c>
      <c r="AU10" s="531">
        <v>3175.4430379746855</v>
      </c>
      <c r="AV10" s="531">
        <v>1058.4810126582286</v>
      </c>
      <c r="AW10" s="555">
        <f t="shared" si="4"/>
        <v>4</v>
      </c>
      <c r="AX10" s="662"/>
      <c r="AZ10" s="372" t="e">
        <f t="shared" si="9"/>
        <v>#N/A</v>
      </c>
      <c r="BA10" s="685"/>
    </row>
    <row r="11" spans="1:53" ht="14.25">
      <c r="A11" s="81"/>
      <c r="B11" s="680"/>
      <c r="C11" s="530">
        <v>5</v>
      </c>
      <c r="D11" s="201" t="s">
        <v>563</v>
      </c>
      <c r="E11" s="201">
        <v>4</v>
      </c>
      <c r="F11" s="201">
        <v>3200</v>
      </c>
      <c r="G11" s="534">
        <v>800</v>
      </c>
      <c r="H11" s="662"/>
      <c r="I11" s="534">
        <f t="shared" si="6"/>
        <v>4</v>
      </c>
      <c r="J11" s="534">
        <f t="shared" si="7"/>
        <v>3128.9592760181004</v>
      </c>
      <c r="K11" s="199">
        <f t="shared" si="8"/>
        <v>782.23981900452509</v>
      </c>
      <c r="L11" s="634"/>
      <c r="M11" s="556">
        <f>RANK(K11, K$7:$K$36)</f>
        <v>14</v>
      </c>
      <c r="N11" s="652"/>
      <c r="O11" s="652"/>
      <c r="P11" s="530"/>
      <c r="Q11" s="531"/>
      <c r="R11" s="531"/>
      <c r="S11" s="555"/>
      <c r="T11" s="662"/>
      <c r="U11" s="530"/>
      <c r="V11" s="531"/>
      <c r="W11" s="531"/>
      <c r="X11" s="555"/>
      <c r="Y11" s="662"/>
      <c r="Z11" s="530"/>
      <c r="AA11" s="531"/>
      <c r="AB11" s="531"/>
      <c r="AC11" s="555"/>
      <c r="AD11" s="662"/>
      <c r="AE11" s="530"/>
      <c r="AF11" s="531"/>
      <c r="AG11" s="531"/>
      <c r="AH11" s="555"/>
      <c r="AI11" s="662"/>
      <c r="AJ11" s="530">
        <v>4</v>
      </c>
      <c r="AK11" s="531">
        <v>3129.2307692307804</v>
      </c>
      <c r="AL11" s="531">
        <v>782.30769230769511</v>
      </c>
      <c r="AM11" s="555">
        <f t="shared" si="0"/>
        <v>14</v>
      </c>
      <c r="AN11" s="662"/>
      <c r="AO11" s="530">
        <v>4</v>
      </c>
      <c r="AP11" s="531">
        <v>3119.9999999999964</v>
      </c>
      <c r="AQ11" s="531">
        <v>779.99999999999909</v>
      </c>
      <c r="AR11" s="555">
        <f t="shared" si="2"/>
        <v>15</v>
      </c>
      <c r="AS11" s="662"/>
      <c r="AT11" s="530">
        <v>4</v>
      </c>
      <c r="AU11" s="531">
        <v>3137.6470588235252</v>
      </c>
      <c r="AV11" s="531">
        <v>784.4117647058813</v>
      </c>
      <c r="AW11" s="555">
        <f t="shared" si="4"/>
        <v>14</v>
      </c>
      <c r="AX11" s="662"/>
      <c r="AZ11" s="372" t="e">
        <f t="shared" si="9"/>
        <v>#N/A</v>
      </c>
      <c r="BA11" s="685"/>
    </row>
    <row r="12" spans="1:53" ht="14.25">
      <c r="A12" s="81"/>
      <c r="B12" s="680"/>
      <c r="C12" s="530">
        <v>6</v>
      </c>
      <c r="D12" s="201" t="s">
        <v>564</v>
      </c>
      <c r="E12" s="201">
        <v>4</v>
      </c>
      <c r="F12" s="201">
        <v>3200</v>
      </c>
      <c r="G12" s="534">
        <v>800</v>
      </c>
      <c r="H12" s="662"/>
      <c r="I12" s="534">
        <f t="shared" si="6"/>
        <v>4</v>
      </c>
      <c r="J12" s="534">
        <f t="shared" si="7"/>
        <v>2933.3333333333189</v>
      </c>
      <c r="K12" s="199">
        <f t="shared" si="8"/>
        <v>733.33333333332973</v>
      </c>
      <c r="L12" s="634"/>
      <c r="M12" s="556">
        <f>RANK(K12, K$7:$K$36)</f>
        <v>18</v>
      </c>
      <c r="N12" s="652"/>
      <c r="O12" s="652"/>
      <c r="P12" s="530"/>
      <c r="Q12" s="531"/>
      <c r="R12" s="531"/>
      <c r="S12" s="555"/>
      <c r="T12" s="662"/>
      <c r="U12" s="530"/>
      <c r="V12" s="531"/>
      <c r="W12" s="531"/>
      <c r="X12" s="555"/>
      <c r="Y12" s="662"/>
      <c r="Z12" s="530"/>
      <c r="AA12" s="531"/>
      <c r="AB12" s="531"/>
      <c r="AC12" s="555"/>
      <c r="AD12" s="662"/>
      <c r="AE12" s="530"/>
      <c r="AF12" s="531"/>
      <c r="AG12" s="531"/>
      <c r="AH12" s="555"/>
      <c r="AI12" s="662"/>
      <c r="AJ12" s="530">
        <v>4</v>
      </c>
      <c r="AK12" s="531">
        <v>2760.00000000001</v>
      </c>
      <c r="AL12" s="531">
        <v>690.0000000000025</v>
      </c>
      <c r="AM12" s="555">
        <f t="shared" si="0"/>
        <v>20</v>
      </c>
      <c r="AN12" s="662"/>
      <c r="AO12" s="530">
        <v>4</v>
      </c>
      <c r="AP12" s="531">
        <v>2939.9999999999768</v>
      </c>
      <c r="AQ12" s="531">
        <v>734.9999999999942</v>
      </c>
      <c r="AR12" s="555">
        <f t="shared" si="2"/>
        <v>17</v>
      </c>
      <c r="AS12" s="662"/>
      <c r="AT12" s="530">
        <v>4</v>
      </c>
      <c r="AU12" s="531">
        <v>3099.9999999999695</v>
      </c>
      <c r="AV12" s="531">
        <v>774.99999999999238</v>
      </c>
      <c r="AW12" s="555">
        <f t="shared" si="4"/>
        <v>15</v>
      </c>
      <c r="AX12" s="662"/>
      <c r="AZ12" s="372" t="e">
        <f t="shared" si="9"/>
        <v>#N/A</v>
      </c>
      <c r="BA12" s="685"/>
    </row>
    <row r="13" spans="1:53" ht="14.25">
      <c r="A13" s="81"/>
      <c r="B13" s="680"/>
      <c r="C13" s="530">
        <v>7</v>
      </c>
      <c r="D13" s="201" t="s">
        <v>338</v>
      </c>
      <c r="E13" s="201">
        <v>4</v>
      </c>
      <c r="F13" s="201">
        <v>2800</v>
      </c>
      <c r="G13" s="534">
        <v>700</v>
      </c>
      <c r="H13" s="662"/>
      <c r="I13" s="534">
        <f t="shared" si="6"/>
        <v>4</v>
      </c>
      <c r="J13" s="534">
        <f t="shared" si="7"/>
        <v>3042.3809523809455</v>
      </c>
      <c r="K13" s="199">
        <f t="shared" si="8"/>
        <v>760.59523809523637</v>
      </c>
      <c r="L13" s="634"/>
      <c r="M13" s="556">
        <f>RANK(K13, K$7:$K$36)</f>
        <v>17</v>
      </c>
      <c r="N13" s="652"/>
      <c r="O13" s="652"/>
      <c r="P13" s="530"/>
      <c r="Q13" s="531"/>
      <c r="R13" s="531"/>
      <c r="S13" s="555"/>
      <c r="T13" s="662"/>
      <c r="U13" s="530"/>
      <c r="V13" s="531"/>
      <c r="W13" s="531"/>
      <c r="X13" s="555"/>
      <c r="Y13" s="662"/>
      <c r="Z13" s="530"/>
      <c r="AA13" s="531"/>
      <c r="AB13" s="531"/>
      <c r="AC13" s="555"/>
      <c r="AD13" s="662"/>
      <c r="AE13" s="530"/>
      <c r="AF13" s="531"/>
      <c r="AG13" s="531"/>
      <c r="AH13" s="555"/>
      <c r="AI13" s="662"/>
      <c r="AJ13" s="530">
        <v>4</v>
      </c>
      <c r="AK13" s="531">
        <v>3049.9999999999905</v>
      </c>
      <c r="AL13" s="531">
        <v>762.49999999999761</v>
      </c>
      <c r="AM13" s="555">
        <f t="shared" si="0"/>
        <v>16</v>
      </c>
      <c r="AN13" s="662"/>
      <c r="AO13" s="530">
        <v>4</v>
      </c>
      <c r="AP13" s="531">
        <v>2879.9999999999964</v>
      </c>
      <c r="AQ13" s="531">
        <v>719.99999999999909</v>
      </c>
      <c r="AR13" s="555">
        <f t="shared" si="2"/>
        <v>18</v>
      </c>
      <c r="AS13" s="662"/>
      <c r="AT13" s="530">
        <v>4</v>
      </c>
      <c r="AU13" s="531">
        <v>3197.1428571428501</v>
      </c>
      <c r="AV13" s="531">
        <v>799.28571428571252</v>
      </c>
      <c r="AW13" s="555">
        <f t="shared" si="4"/>
        <v>13</v>
      </c>
      <c r="AX13" s="662"/>
      <c r="AZ13" s="372" t="e">
        <f t="shared" si="9"/>
        <v>#N/A</v>
      </c>
      <c r="BA13" s="685"/>
    </row>
    <row r="14" spans="1:53" ht="14.25">
      <c r="A14" s="81"/>
      <c r="B14" s="680"/>
      <c r="C14" s="530">
        <v>8</v>
      </c>
      <c r="D14" s="201" t="s">
        <v>339</v>
      </c>
      <c r="E14" s="201">
        <v>3</v>
      </c>
      <c r="F14" s="201">
        <v>3200</v>
      </c>
      <c r="G14" s="534">
        <v>1066.6666666666667</v>
      </c>
      <c r="H14" s="662"/>
      <c r="I14" s="534">
        <f t="shared" si="6"/>
        <v>3</v>
      </c>
      <c r="J14" s="534">
        <f t="shared" si="7"/>
        <v>3135.7999999999979</v>
      </c>
      <c r="K14" s="199">
        <f t="shared" si="8"/>
        <v>1045.2666666666662</v>
      </c>
      <c r="L14" s="634"/>
      <c r="M14" s="556">
        <f>RANK(K14, K$7:$K$36)</f>
        <v>4</v>
      </c>
      <c r="N14" s="652"/>
      <c r="O14" s="652"/>
      <c r="P14" s="530"/>
      <c r="Q14" s="531"/>
      <c r="R14" s="531"/>
      <c r="S14" s="555"/>
      <c r="T14" s="662"/>
      <c r="U14" s="530"/>
      <c r="V14" s="531"/>
      <c r="W14" s="531"/>
      <c r="X14" s="555"/>
      <c r="Y14" s="662"/>
      <c r="Z14" s="530"/>
      <c r="AA14" s="531"/>
      <c r="AB14" s="531"/>
      <c r="AC14" s="555"/>
      <c r="AD14" s="662"/>
      <c r="AE14" s="530"/>
      <c r="AF14" s="531"/>
      <c r="AG14" s="531"/>
      <c r="AH14" s="555"/>
      <c r="AI14" s="662"/>
      <c r="AJ14" s="530">
        <v>3</v>
      </c>
      <c r="AK14" s="531">
        <v>3116.9999999999923</v>
      </c>
      <c r="AL14" s="531">
        <v>1038.9999999999975</v>
      </c>
      <c r="AM14" s="555">
        <f t="shared" si="0"/>
        <v>4</v>
      </c>
      <c r="AN14" s="662"/>
      <c r="AO14" s="530">
        <v>3</v>
      </c>
      <c r="AP14" s="531">
        <v>3163.2000000000007</v>
      </c>
      <c r="AQ14" s="531">
        <v>1054.4000000000003</v>
      </c>
      <c r="AR14" s="555">
        <f t="shared" si="2"/>
        <v>4</v>
      </c>
      <c r="AS14" s="662"/>
      <c r="AT14" s="530">
        <v>3</v>
      </c>
      <c r="AU14" s="531">
        <v>3127.2000000000007</v>
      </c>
      <c r="AV14" s="531">
        <v>1042.4000000000003</v>
      </c>
      <c r="AW14" s="555">
        <f t="shared" si="4"/>
        <v>6</v>
      </c>
      <c r="AX14" s="662"/>
      <c r="AZ14" s="372" t="e">
        <f t="shared" si="9"/>
        <v>#N/A</v>
      </c>
      <c r="BA14" s="685"/>
    </row>
    <row r="15" spans="1:53" ht="14.25">
      <c r="A15" s="81"/>
      <c r="B15" s="680"/>
      <c r="C15" s="530">
        <v>9</v>
      </c>
      <c r="D15" s="201" t="s">
        <v>340</v>
      </c>
      <c r="E15" s="201">
        <v>3</v>
      </c>
      <c r="F15" s="201">
        <v>2800</v>
      </c>
      <c r="G15" s="534">
        <v>933.33333333333337</v>
      </c>
      <c r="H15" s="662"/>
      <c r="I15" s="534">
        <f t="shared" si="6"/>
        <v>3</v>
      </c>
      <c r="J15" s="534">
        <f t="shared" si="7"/>
        <v>3107.508417508418</v>
      </c>
      <c r="K15" s="199">
        <f t="shared" si="8"/>
        <v>1035.8361391694727</v>
      </c>
      <c r="L15" s="634"/>
      <c r="M15" s="556">
        <f>RANK(K15, K$7:$K$36)</f>
        <v>5</v>
      </c>
      <c r="N15" s="652"/>
      <c r="O15" s="652"/>
      <c r="P15" s="530"/>
      <c r="Q15" s="531"/>
      <c r="R15" s="531"/>
      <c r="S15" s="530"/>
      <c r="T15" s="662"/>
      <c r="U15" s="530"/>
      <c r="V15" s="531"/>
      <c r="W15" s="531"/>
      <c r="X15" s="555"/>
      <c r="Y15" s="662"/>
      <c r="Z15" s="530"/>
      <c r="AA15" s="531"/>
      <c r="AB15" s="531"/>
      <c r="AC15" s="555"/>
      <c r="AD15" s="662"/>
      <c r="AE15" s="530"/>
      <c r="AF15" s="531"/>
      <c r="AG15" s="531"/>
      <c r="AH15" s="555"/>
      <c r="AI15" s="662"/>
      <c r="AJ15" s="530">
        <v>3</v>
      </c>
      <c r="AK15" s="531">
        <v>3073.6363636363635</v>
      </c>
      <c r="AL15" s="531">
        <v>1024.5454545454545</v>
      </c>
      <c r="AM15" s="555">
        <f>RANK(AL15, AL$7:AL$36)</f>
        <v>6</v>
      </c>
      <c r="AN15" s="662"/>
      <c r="AO15" s="530">
        <v>3</v>
      </c>
      <c r="AP15" s="531">
        <v>3104.4444444444462</v>
      </c>
      <c r="AQ15" s="531">
        <v>1034.8148148148155</v>
      </c>
      <c r="AR15" s="555">
        <f>RANK(AQ15, AQ$7:AQ$36)</f>
        <v>6</v>
      </c>
      <c r="AS15" s="662"/>
      <c r="AT15" s="530">
        <v>3</v>
      </c>
      <c r="AU15" s="531">
        <v>3144.4444444444462</v>
      </c>
      <c r="AV15" s="531">
        <v>1048.1481481481487</v>
      </c>
      <c r="AW15" s="555">
        <f>RANK(AV15, AV$7:AV$36)</f>
        <v>5</v>
      </c>
      <c r="AX15" s="662"/>
      <c r="AZ15" s="372" t="e">
        <f t="shared" si="9"/>
        <v>#N/A</v>
      </c>
      <c r="BA15" s="685"/>
    </row>
    <row r="16" spans="1:53" ht="14.25">
      <c r="A16" s="81"/>
      <c r="B16" s="680"/>
      <c r="C16" s="530">
        <v>10</v>
      </c>
      <c r="D16" s="201" t="s">
        <v>341</v>
      </c>
      <c r="E16" s="201">
        <v>4</v>
      </c>
      <c r="F16" s="201">
        <v>2800</v>
      </c>
      <c r="G16" s="534">
        <v>700</v>
      </c>
      <c r="H16" s="662"/>
      <c r="I16" s="534">
        <f t="shared" si="6"/>
        <v>4</v>
      </c>
      <c r="J16" s="534">
        <f t="shared" si="7"/>
        <v>3180.8837209302369</v>
      </c>
      <c r="K16" s="199">
        <f t="shared" si="8"/>
        <v>795.22093023255923</v>
      </c>
      <c r="L16" s="634"/>
      <c r="M16" s="556">
        <f>RANK(K16, K$7:$K$36)</f>
        <v>13</v>
      </c>
      <c r="N16" s="652"/>
      <c r="O16" s="652"/>
      <c r="P16" s="530"/>
      <c r="Q16" s="531"/>
      <c r="R16" s="531"/>
      <c r="S16" s="555"/>
      <c r="T16" s="662"/>
      <c r="U16" s="530"/>
      <c r="V16" s="531"/>
      <c r="W16" s="531"/>
      <c r="X16" s="555"/>
      <c r="Y16" s="662"/>
      <c r="Z16" s="530"/>
      <c r="AA16" s="531"/>
      <c r="AB16" s="531"/>
      <c r="AC16" s="555"/>
      <c r="AD16" s="662"/>
      <c r="AE16" s="530"/>
      <c r="AF16" s="531"/>
      <c r="AG16" s="531"/>
      <c r="AH16" s="555"/>
      <c r="AI16" s="662"/>
      <c r="AJ16" s="530">
        <v>4</v>
      </c>
      <c r="AK16" s="531">
        <v>3164.6511627907093</v>
      </c>
      <c r="AL16" s="531">
        <v>791.16279069767734</v>
      </c>
      <c r="AM16" s="555">
        <f t="shared" ref="AM16:AM36" si="10">RANK(AL16, AL$7:AL$36)</f>
        <v>13</v>
      </c>
      <c r="AN16" s="662"/>
      <c r="AO16" s="530">
        <v>4</v>
      </c>
      <c r="AP16" s="531">
        <v>3180.0000000000009</v>
      </c>
      <c r="AQ16" s="531">
        <v>795.00000000000023</v>
      </c>
      <c r="AR16" s="555">
        <f t="shared" ref="AR16:AR36" si="11">RANK(AQ16, AQ$7:AQ$36)</f>
        <v>12</v>
      </c>
      <c r="AS16" s="662"/>
      <c r="AT16" s="530">
        <v>4</v>
      </c>
      <c r="AU16" s="531">
        <v>3198.0000000000009</v>
      </c>
      <c r="AV16" s="531">
        <v>799.50000000000023</v>
      </c>
      <c r="AW16" s="555">
        <f t="shared" ref="AW16:AW36" si="12">RANK(AV16, AV$7:AV$36)</f>
        <v>12</v>
      </c>
      <c r="AX16" s="662"/>
      <c r="AZ16" s="372" t="e">
        <f t="shared" si="9"/>
        <v>#N/A</v>
      </c>
      <c r="BA16" s="685"/>
    </row>
    <row r="17" spans="2:53">
      <c r="B17" s="680"/>
      <c r="C17" s="530">
        <v>11</v>
      </c>
      <c r="D17" s="201" t="s">
        <v>565</v>
      </c>
      <c r="E17" s="201">
        <v>4</v>
      </c>
      <c r="F17" s="201">
        <v>2800</v>
      </c>
      <c r="G17" s="534">
        <v>700</v>
      </c>
      <c r="H17" s="662"/>
      <c r="I17" s="534">
        <f t="shared" si="6"/>
        <v>4</v>
      </c>
      <c r="J17" s="534">
        <f t="shared" si="7"/>
        <v>4048.2697947214074</v>
      </c>
      <c r="K17" s="199">
        <f t="shared" si="8"/>
        <v>1012.0674486803518</v>
      </c>
      <c r="L17" s="634"/>
      <c r="M17" s="556">
        <f>RANK(K17, K$7:$K$36)</f>
        <v>9</v>
      </c>
      <c r="N17" s="652"/>
      <c r="O17" s="652"/>
      <c r="P17" s="530"/>
      <c r="Q17" s="531"/>
      <c r="R17" s="531"/>
      <c r="S17" s="555"/>
      <c r="T17" s="662"/>
      <c r="U17" s="530"/>
      <c r="V17" s="531"/>
      <c r="W17" s="531"/>
      <c r="X17" s="555"/>
      <c r="Y17" s="662"/>
      <c r="Z17" s="530"/>
      <c r="AA17" s="531"/>
      <c r="AB17" s="531"/>
      <c r="AC17" s="555"/>
      <c r="AD17" s="662"/>
      <c r="AE17" s="530"/>
      <c r="AF17" s="531"/>
      <c r="AG17" s="531"/>
      <c r="AH17" s="555"/>
      <c r="AI17" s="662"/>
      <c r="AJ17" s="530">
        <v>4</v>
      </c>
      <c r="AK17" s="531">
        <v>6605.454545454546</v>
      </c>
      <c r="AL17" s="531">
        <v>1651.3636363636365</v>
      </c>
      <c r="AM17" s="555">
        <f t="shared" si="10"/>
        <v>1</v>
      </c>
      <c r="AN17" s="662"/>
      <c r="AO17" s="530">
        <v>4</v>
      </c>
      <c r="AP17" s="531">
        <v>2775.483870967741</v>
      </c>
      <c r="AQ17" s="531">
        <v>693.87096774193526</v>
      </c>
      <c r="AR17" s="555">
        <f t="shared" si="11"/>
        <v>20</v>
      </c>
      <c r="AS17" s="662"/>
      <c r="AT17" s="530">
        <v>4</v>
      </c>
      <c r="AU17" s="531">
        <v>2763.8709677419347</v>
      </c>
      <c r="AV17" s="531">
        <v>690.96774193548367</v>
      </c>
      <c r="AW17" s="555">
        <f t="shared" si="12"/>
        <v>19</v>
      </c>
      <c r="AX17" s="662"/>
      <c r="AZ17" s="372" t="e">
        <f t="shared" si="9"/>
        <v>#N/A</v>
      </c>
      <c r="BA17" s="685"/>
    </row>
    <row r="18" spans="2:53">
      <c r="B18" s="680"/>
      <c r="C18" s="530">
        <v>12</v>
      </c>
      <c r="D18" s="528" t="s">
        <v>569</v>
      </c>
      <c r="E18" s="201">
        <v>3</v>
      </c>
      <c r="F18" s="201">
        <v>2800</v>
      </c>
      <c r="G18" s="534">
        <v>933.33333333333337</v>
      </c>
      <c r="H18" s="662"/>
      <c r="I18" s="534">
        <f t="shared" si="6"/>
        <v>3</v>
      </c>
      <c r="J18" s="534">
        <f t="shared" si="7"/>
        <v>2764.0000000000023</v>
      </c>
      <c r="K18" s="199">
        <f t="shared" si="8"/>
        <v>921.33333333333405</v>
      </c>
      <c r="L18" s="634"/>
      <c r="M18" s="556">
        <f>RANK(K18, K$7:$K$36)</f>
        <v>11</v>
      </c>
      <c r="N18" s="652"/>
      <c r="O18" s="652"/>
      <c r="P18" s="530"/>
      <c r="Q18" s="531"/>
      <c r="R18" s="531"/>
      <c r="S18" s="555"/>
      <c r="T18" s="662"/>
      <c r="U18" s="530"/>
      <c r="V18" s="531"/>
      <c r="W18" s="531"/>
      <c r="X18" s="555"/>
      <c r="Y18" s="662"/>
      <c r="Z18" s="530"/>
      <c r="AA18" s="531"/>
      <c r="AB18" s="531"/>
      <c r="AC18" s="555"/>
      <c r="AD18" s="662"/>
      <c r="AE18" s="530"/>
      <c r="AF18" s="531"/>
      <c r="AG18" s="531"/>
      <c r="AH18" s="555"/>
      <c r="AI18" s="662"/>
      <c r="AJ18" s="530">
        <v>3</v>
      </c>
      <c r="AK18" s="531">
        <v>2730.0000000000018</v>
      </c>
      <c r="AL18" s="531">
        <v>910.00000000000057</v>
      </c>
      <c r="AM18" s="555">
        <f t="shared" si="10"/>
        <v>12</v>
      </c>
      <c r="AN18" s="662"/>
      <c r="AO18" s="530">
        <v>3</v>
      </c>
      <c r="AP18" s="531">
        <v>2802.0000000000027</v>
      </c>
      <c r="AQ18" s="531">
        <v>934.00000000000091</v>
      </c>
      <c r="AR18" s="555">
        <f t="shared" si="11"/>
        <v>10</v>
      </c>
      <c r="AS18" s="662"/>
      <c r="AT18" s="530">
        <v>3</v>
      </c>
      <c r="AU18" s="531">
        <v>2760.0000000000027</v>
      </c>
      <c r="AV18" s="531">
        <v>920.00000000000091</v>
      </c>
      <c r="AW18" s="555">
        <f t="shared" si="12"/>
        <v>10</v>
      </c>
      <c r="AX18" s="662"/>
      <c r="AZ18" s="372" t="e">
        <f t="shared" si="9"/>
        <v>#N/A</v>
      </c>
      <c r="BA18" s="685"/>
    </row>
    <row r="19" spans="2:53">
      <c r="B19" s="680"/>
      <c r="C19" s="530">
        <v>13</v>
      </c>
      <c r="D19" s="201" t="s">
        <v>570</v>
      </c>
      <c r="E19" s="201">
        <v>4</v>
      </c>
      <c r="F19" s="201">
        <v>2800</v>
      </c>
      <c r="G19" s="534">
        <v>700</v>
      </c>
      <c r="H19" s="662"/>
      <c r="I19" s="534">
        <f t="shared" si="6"/>
        <v>4</v>
      </c>
      <c r="J19" s="534">
        <f t="shared" si="7"/>
        <v>2703.6666666666765</v>
      </c>
      <c r="K19" s="199">
        <f t="shared" si="8"/>
        <v>675.91666666666913</v>
      </c>
      <c r="L19" s="634"/>
      <c r="M19" s="556">
        <f>RANK(K19, K$7:$K$36)</f>
        <v>21</v>
      </c>
      <c r="N19" s="652"/>
      <c r="O19" s="652"/>
      <c r="P19" s="530"/>
      <c r="Q19" s="531"/>
      <c r="R19" s="531"/>
      <c r="S19" s="555"/>
      <c r="T19" s="662"/>
      <c r="U19" s="530"/>
      <c r="V19" s="531"/>
      <c r="W19" s="531"/>
      <c r="X19" s="555"/>
      <c r="Y19" s="662"/>
      <c r="Z19" s="530"/>
      <c r="AA19" s="531"/>
      <c r="AB19" s="531"/>
      <c r="AC19" s="555"/>
      <c r="AD19" s="662"/>
      <c r="AE19" s="530"/>
      <c r="AF19" s="531"/>
      <c r="AG19" s="531"/>
      <c r="AH19" s="555"/>
      <c r="AI19" s="662"/>
      <c r="AJ19" s="530">
        <v>4</v>
      </c>
      <c r="AK19" s="531">
        <v>2586.0000000000091</v>
      </c>
      <c r="AL19" s="531">
        <v>646.50000000000227</v>
      </c>
      <c r="AM19" s="555">
        <f t="shared" si="10"/>
        <v>22</v>
      </c>
      <c r="AN19" s="662"/>
      <c r="AO19" s="530">
        <v>4</v>
      </c>
      <c r="AP19" s="531">
        <v>2790.00000000001</v>
      </c>
      <c r="AQ19" s="531">
        <v>697.5000000000025</v>
      </c>
      <c r="AR19" s="555">
        <f t="shared" si="11"/>
        <v>19</v>
      </c>
      <c r="AS19" s="662"/>
      <c r="AT19" s="530">
        <v>4</v>
      </c>
      <c r="AU19" s="531">
        <v>2735.0000000000095</v>
      </c>
      <c r="AV19" s="531">
        <v>683.75000000000239</v>
      </c>
      <c r="AW19" s="555">
        <f t="shared" si="12"/>
        <v>20</v>
      </c>
      <c r="AX19" s="662"/>
      <c r="AZ19" s="372" t="e">
        <f t="shared" si="9"/>
        <v>#N/A</v>
      </c>
      <c r="BA19" s="685"/>
    </row>
    <row r="20" spans="2:53">
      <c r="B20" s="680"/>
      <c r="C20" s="530">
        <v>14</v>
      </c>
      <c r="D20" s="201" t="s">
        <v>590</v>
      </c>
      <c r="E20" s="201">
        <v>4</v>
      </c>
      <c r="F20" s="201">
        <v>3200</v>
      </c>
      <c r="G20" s="534">
        <v>800</v>
      </c>
      <c r="H20" s="662"/>
      <c r="I20" s="534">
        <f t="shared" si="6"/>
        <v>4</v>
      </c>
      <c r="J20" s="534">
        <f t="shared" si="7"/>
        <v>2807.6666666666883</v>
      </c>
      <c r="K20" s="199">
        <f t="shared" si="8"/>
        <v>701.91666666667209</v>
      </c>
      <c r="L20" s="634"/>
      <c r="M20" s="556">
        <f>RANK(K20, K$7:$K$36)</f>
        <v>20</v>
      </c>
      <c r="N20" s="652"/>
      <c r="O20" s="652"/>
      <c r="P20" s="530"/>
      <c r="Q20" s="531"/>
      <c r="R20" s="531"/>
      <c r="S20" s="555"/>
      <c r="T20" s="662"/>
      <c r="U20" s="530"/>
      <c r="V20" s="531"/>
      <c r="W20" s="531"/>
      <c r="X20" s="555"/>
      <c r="Y20" s="662"/>
      <c r="Z20" s="530"/>
      <c r="AA20" s="531"/>
      <c r="AB20" s="531"/>
      <c r="AC20" s="555"/>
      <c r="AD20" s="662"/>
      <c r="AE20" s="530"/>
      <c r="AF20" s="531"/>
      <c r="AG20" s="531"/>
      <c r="AH20" s="555"/>
      <c r="AI20" s="662"/>
      <c r="AJ20" s="530">
        <v>4</v>
      </c>
      <c r="AK20" s="531">
        <v>2840.0000000000859</v>
      </c>
      <c r="AL20" s="531">
        <v>710.00000000002149</v>
      </c>
      <c r="AM20" s="555">
        <f t="shared" si="10"/>
        <v>19</v>
      </c>
      <c r="AN20" s="662"/>
      <c r="AO20" s="530">
        <v>4</v>
      </c>
      <c r="AP20" s="531">
        <v>2567.9999999999682</v>
      </c>
      <c r="AQ20" s="531">
        <v>641.99999999999204</v>
      </c>
      <c r="AR20" s="555">
        <f t="shared" si="11"/>
        <v>21</v>
      </c>
      <c r="AS20" s="662"/>
      <c r="AT20" s="530">
        <v>4</v>
      </c>
      <c r="AU20" s="531">
        <v>3015.0000000000105</v>
      </c>
      <c r="AV20" s="531">
        <v>753.75000000000261</v>
      </c>
      <c r="AW20" s="555">
        <f t="shared" si="12"/>
        <v>17</v>
      </c>
      <c r="AX20" s="662"/>
      <c r="AZ20" s="372" t="e">
        <f t="shared" si="9"/>
        <v>#N/A</v>
      </c>
      <c r="BA20" s="685"/>
    </row>
    <row r="21" spans="2:53">
      <c r="B21" s="680"/>
      <c r="C21" s="530">
        <v>15</v>
      </c>
      <c r="D21" s="528" t="s">
        <v>602</v>
      </c>
      <c r="E21" s="201">
        <v>3</v>
      </c>
      <c r="F21" s="201">
        <v>3200</v>
      </c>
      <c r="G21" s="534">
        <v>1066.6666666666667</v>
      </c>
      <c r="H21" s="662"/>
      <c r="I21" s="534">
        <f t="shared" si="6"/>
        <v>3</v>
      </c>
      <c r="J21" s="534">
        <f t="shared" si="7"/>
        <v>3086.768193443384</v>
      </c>
      <c r="K21" s="199">
        <f t="shared" si="8"/>
        <v>1028.9227311477946</v>
      </c>
      <c r="L21" s="634"/>
      <c r="M21" s="556">
        <f>RANK(K21, K$7:$K$36)</f>
        <v>8</v>
      </c>
      <c r="N21" s="652"/>
      <c r="O21" s="652"/>
      <c r="P21" s="530"/>
      <c r="Q21" s="531"/>
      <c r="R21" s="531"/>
      <c r="S21" s="555"/>
      <c r="T21" s="662"/>
      <c r="U21" s="530"/>
      <c r="V21" s="531"/>
      <c r="W21" s="531"/>
      <c r="X21" s="555"/>
      <c r="Y21" s="662"/>
      <c r="Z21" s="530"/>
      <c r="AA21" s="531"/>
      <c r="AB21" s="531"/>
      <c r="AC21" s="555"/>
      <c r="AD21" s="662"/>
      <c r="AE21" s="530"/>
      <c r="AF21" s="531"/>
      <c r="AG21" s="531"/>
      <c r="AH21" s="555"/>
      <c r="AI21" s="662"/>
      <c r="AJ21" s="530">
        <v>3</v>
      </c>
      <c r="AK21" s="531">
        <v>3116.4705882352901</v>
      </c>
      <c r="AL21" s="531">
        <v>1038.8235294117633</v>
      </c>
      <c r="AM21" s="555">
        <f t="shared" si="10"/>
        <v>5</v>
      </c>
      <c r="AN21" s="662"/>
      <c r="AO21" s="530">
        <v>3</v>
      </c>
      <c r="AP21" s="531">
        <v>3075.6521739130435</v>
      </c>
      <c r="AQ21" s="531">
        <v>1025.2173913043478</v>
      </c>
      <c r="AR21" s="555">
        <f t="shared" si="11"/>
        <v>7</v>
      </c>
      <c r="AS21" s="662"/>
      <c r="AT21" s="530">
        <v>3</v>
      </c>
      <c r="AU21" s="531">
        <v>3068.181818181818</v>
      </c>
      <c r="AV21" s="531">
        <v>1022.7272727272726</v>
      </c>
      <c r="AW21" s="555">
        <f t="shared" si="12"/>
        <v>8</v>
      </c>
      <c r="AX21" s="662"/>
      <c r="AZ21" s="372" t="e">
        <f t="shared" si="9"/>
        <v>#N/A</v>
      </c>
      <c r="BA21" s="685"/>
    </row>
    <row r="22" spans="2:53">
      <c r="B22" s="680"/>
      <c r="C22" s="530">
        <v>16</v>
      </c>
      <c r="D22" s="201" t="s">
        <v>607</v>
      </c>
      <c r="E22" s="201">
        <v>3</v>
      </c>
      <c r="F22" s="201">
        <v>3200</v>
      </c>
      <c r="G22" s="534">
        <v>1066.6666666666667</v>
      </c>
      <c r="H22" s="662"/>
      <c r="I22" s="534">
        <f t="shared" si="6"/>
        <v>3</v>
      </c>
      <c r="J22" s="534">
        <f t="shared" si="7"/>
        <v>3099.5384615384596</v>
      </c>
      <c r="K22" s="199">
        <f t="shared" si="8"/>
        <v>1033.1794871794866</v>
      </c>
      <c r="L22" s="634"/>
      <c r="M22" s="556">
        <f>RANK(K22, K$7:$K$36)</f>
        <v>6</v>
      </c>
      <c r="N22" s="652"/>
      <c r="O22" s="652"/>
      <c r="P22" s="530"/>
      <c r="Q22" s="531"/>
      <c r="R22" s="531"/>
      <c r="S22" s="555"/>
      <c r="T22" s="662"/>
      <c r="U22" s="530"/>
      <c r="V22" s="531"/>
      <c r="W22" s="531"/>
      <c r="X22" s="555"/>
      <c r="Y22" s="662"/>
      <c r="Z22" s="530"/>
      <c r="AA22" s="531"/>
      <c r="AB22" s="531"/>
      <c r="AC22" s="555"/>
      <c r="AD22" s="662"/>
      <c r="AE22" s="530"/>
      <c r="AF22" s="531"/>
      <c r="AG22" s="531"/>
      <c r="AH22" s="555"/>
      <c r="AI22" s="662"/>
      <c r="AJ22" s="530">
        <v>3</v>
      </c>
      <c r="AK22" s="531">
        <v>2994.0000000000105</v>
      </c>
      <c r="AL22" s="531">
        <v>998.00000000000352</v>
      </c>
      <c r="AM22" s="555">
        <f t="shared" si="10"/>
        <v>9</v>
      </c>
      <c r="AN22" s="662"/>
      <c r="AO22" s="530">
        <v>3</v>
      </c>
      <c r="AP22" s="531">
        <v>3198.4615384615304</v>
      </c>
      <c r="AQ22" s="531">
        <v>1066.1538461538435</v>
      </c>
      <c r="AR22" s="555">
        <f t="shared" si="11"/>
        <v>2</v>
      </c>
      <c r="AS22" s="662"/>
      <c r="AT22" s="530">
        <v>3</v>
      </c>
      <c r="AU22" s="531">
        <v>3106.153846153838</v>
      </c>
      <c r="AV22" s="531">
        <v>1035.3846153846127</v>
      </c>
      <c r="AW22" s="555">
        <f t="shared" si="12"/>
        <v>7</v>
      </c>
      <c r="AX22" s="662"/>
      <c r="AZ22" s="372" t="e">
        <f t="shared" si="9"/>
        <v>#N/A</v>
      </c>
      <c r="BA22" s="685"/>
    </row>
    <row r="23" spans="2:53">
      <c r="B23" s="680"/>
      <c r="C23" s="530">
        <v>17</v>
      </c>
      <c r="D23" s="201" t="s">
        <v>613</v>
      </c>
      <c r="E23" s="201">
        <v>3</v>
      </c>
      <c r="F23" s="201">
        <v>3200</v>
      </c>
      <c r="G23" s="534">
        <v>1066.6666666666667</v>
      </c>
      <c r="H23" s="662"/>
      <c r="I23" s="534">
        <f t="shared" si="6"/>
        <v>3</v>
      </c>
      <c r="J23" s="534">
        <f t="shared" si="7"/>
        <v>2933.3333333333298</v>
      </c>
      <c r="K23" s="199">
        <f t="shared" si="8"/>
        <v>977.77777777777658</v>
      </c>
      <c r="L23" s="634"/>
      <c r="M23" s="556">
        <f>RANK(K23, K$7:$K$36)</f>
        <v>10</v>
      </c>
      <c r="N23" s="652"/>
      <c r="O23" s="652"/>
      <c r="P23" s="530"/>
      <c r="Q23" s="531"/>
      <c r="R23" s="531"/>
      <c r="S23" s="555"/>
      <c r="T23" s="662"/>
      <c r="U23" s="530"/>
      <c r="V23" s="531"/>
      <c r="W23" s="531"/>
      <c r="X23" s="555"/>
      <c r="Y23" s="662"/>
      <c r="Z23" s="530"/>
      <c r="AA23" s="531"/>
      <c r="AB23" s="531"/>
      <c r="AC23" s="555"/>
      <c r="AD23" s="662"/>
      <c r="AE23" s="530"/>
      <c r="AF23" s="531"/>
      <c r="AG23" s="531"/>
      <c r="AH23" s="555"/>
      <c r="AI23" s="662"/>
      <c r="AJ23" s="530">
        <v>3</v>
      </c>
      <c r="AK23" s="531">
        <v>2939.9999999999977</v>
      </c>
      <c r="AL23" s="531">
        <v>979.9999999999992</v>
      </c>
      <c r="AM23" s="555">
        <f t="shared" si="10"/>
        <v>10</v>
      </c>
      <c r="AN23" s="662"/>
      <c r="AO23" s="530">
        <v>3</v>
      </c>
      <c r="AP23" s="531">
        <v>2982.5000000000009</v>
      </c>
      <c r="AQ23" s="531">
        <v>994.16666666666697</v>
      </c>
      <c r="AR23" s="555">
        <f t="shared" si="11"/>
        <v>9</v>
      </c>
      <c r="AS23" s="662"/>
      <c r="AT23" s="530">
        <v>3</v>
      </c>
      <c r="AU23" s="531">
        <v>2877.4999999999914</v>
      </c>
      <c r="AV23" s="531">
        <v>959.16666666666379</v>
      </c>
      <c r="AW23" s="555">
        <f t="shared" si="12"/>
        <v>9</v>
      </c>
      <c r="AX23" s="662"/>
      <c r="AZ23" s="372" t="e">
        <f t="shared" si="9"/>
        <v>#N/A</v>
      </c>
      <c r="BA23" s="685"/>
    </row>
    <row r="24" spans="2:53">
      <c r="B24" s="680"/>
      <c r="C24" s="530">
        <v>18</v>
      </c>
      <c r="D24" s="528" t="s">
        <v>708</v>
      </c>
      <c r="E24" s="201">
        <v>4</v>
      </c>
      <c r="F24" s="201">
        <v>3200</v>
      </c>
      <c r="G24" s="534">
        <v>800</v>
      </c>
      <c r="H24" s="662"/>
      <c r="I24" s="534">
        <f t="shared" si="6"/>
        <v>4</v>
      </c>
      <c r="J24" s="534">
        <f t="shared" si="7"/>
        <v>3110.3848003848016</v>
      </c>
      <c r="K24" s="199">
        <f t="shared" si="8"/>
        <v>777.59620009620039</v>
      </c>
      <c r="L24" s="634"/>
      <c r="M24" s="556">
        <f>RANK(K24, K$7:$K$36)</f>
        <v>15</v>
      </c>
      <c r="N24" s="652"/>
      <c r="O24" s="652"/>
      <c r="P24" s="530"/>
      <c r="Q24" s="531"/>
      <c r="R24" s="531"/>
      <c r="S24" s="555"/>
      <c r="T24" s="662"/>
      <c r="U24" s="530"/>
      <c r="V24" s="531"/>
      <c r="W24" s="531"/>
      <c r="X24" s="555"/>
      <c r="Y24" s="662"/>
      <c r="Z24" s="530"/>
      <c r="AA24" s="531"/>
      <c r="AB24" s="531"/>
      <c r="AC24" s="555"/>
      <c r="AD24" s="662"/>
      <c r="AE24" s="530"/>
      <c r="AF24" s="531"/>
      <c r="AG24" s="531"/>
      <c r="AH24" s="555"/>
      <c r="AI24" s="662"/>
      <c r="AJ24" s="530">
        <v>4</v>
      </c>
      <c r="AK24" s="531">
        <v>3079.090909090909</v>
      </c>
      <c r="AL24" s="531">
        <v>769.77272727272725</v>
      </c>
      <c r="AM24" s="555">
        <f t="shared" si="10"/>
        <v>15</v>
      </c>
      <c r="AN24" s="662"/>
      <c r="AO24" s="530">
        <v>4</v>
      </c>
      <c r="AP24" s="531">
        <v>3154.2857142857165</v>
      </c>
      <c r="AQ24" s="531">
        <v>788.57142857142912</v>
      </c>
      <c r="AR24" s="555">
        <f t="shared" si="11"/>
        <v>14</v>
      </c>
      <c r="AS24" s="662"/>
      <c r="AT24" s="530">
        <v>4</v>
      </c>
      <c r="AU24" s="531">
        <v>3097.7777777777792</v>
      </c>
      <c r="AV24" s="531">
        <v>774.4444444444448</v>
      </c>
      <c r="AW24" s="555">
        <f t="shared" si="12"/>
        <v>16</v>
      </c>
      <c r="AX24" s="662"/>
      <c r="AZ24" s="372" t="e">
        <f t="shared" si="9"/>
        <v>#N/A</v>
      </c>
      <c r="BA24" s="685"/>
    </row>
    <row r="25" spans="2:53">
      <c r="B25" s="680"/>
      <c r="C25" s="530">
        <v>19</v>
      </c>
      <c r="D25" s="528" t="s">
        <v>566</v>
      </c>
      <c r="E25" s="201">
        <v>4</v>
      </c>
      <c r="F25" s="201">
        <v>2800</v>
      </c>
      <c r="G25" s="534">
        <v>700</v>
      </c>
      <c r="H25" s="662"/>
      <c r="I25" s="534">
        <f t="shared" si="6"/>
        <v>4</v>
      </c>
      <c r="J25" s="534">
        <f t="shared" si="7"/>
        <v>2861.4000000000051</v>
      </c>
      <c r="K25" s="199">
        <f t="shared" si="8"/>
        <v>715.35000000000127</v>
      </c>
      <c r="L25" s="634"/>
      <c r="M25" s="556">
        <f>RANK(K25, K$7:$K$36)</f>
        <v>19</v>
      </c>
      <c r="N25" s="652"/>
      <c r="O25" s="652"/>
      <c r="P25" s="530"/>
      <c r="Q25" s="531"/>
      <c r="R25" s="531"/>
      <c r="S25" s="555"/>
      <c r="T25" s="662"/>
      <c r="U25" s="530"/>
      <c r="V25" s="531"/>
      <c r="W25" s="531"/>
      <c r="X25" s="555"/>
      <c r="Y25" s="662"/>
      <c r="Z25" s="530"/>
      <c r="AA25" s="531"/>
      <c r="AB25" s="531"/>
      <c r="AC25" s="555"/>
      <c r="AD25" s="662"/>
      <c r="AE25" s="530"/>
      <c r="AF25" s="531"/>
      <c r="AG25" s="531"/>
      <c r="AH25" s="555"/>
      <c r="AI25" s="662"/>
      <c r="AJ25" s="530">
        <v>4</v>
      </c>
      <c r="AK25" s="531">
        <v>2952.0000000000105</v>
      </c>
      <c r="AL25" s="531">
        <v>738.00000000000261</v>
      </c>
      <c r="AM25" s="555">
        <f t="shared" si="10"/>
        <v>17</v>
      </c>
      <c r="AN25" s="662"/>
      <c r="AO25" s="530">
        <v>4</v>
      </c>
      <c r="AP25" s="531">
        <v>3165.0000000000109</v>
      </c>
      <c r="AQ25" s="531">
        <v>791.25000000000273</v>
      </c>
      <c r="AR25" s="555">
        <f t="shared" si="11"/>
        <v>13</v>
      </c>
      <c r="AS25" s="662"/>
      <c r="AT25" s="530">
        <v>4</v>
      </c>
      <c r="AU25" s="531">
        <v>2467.199999999993</v>
      </c>
      <c r="AV25" s="531">
        <v>616.79999999999825</v>
      </c>
      <c r="AW25" s="555">
        <f t="shared" si="12"/>
        <v>21</v>
      </c>
      <c r="AX25" s="662"/>
      <c r="AZ25" s="372" t="e">
        <f t="shared" si="9"/>
        <v>#N/A</v>
      </c>
      <c r="BA25" s="685"/>
    </row>
    <row r="26" spans="2:53">
      <c r="B26" s="680"/>
      <c r="C26" s="530">
        <v>20</v>
      </c>
      <c r="D26" s="528" t="s">
        <v>567</v>
      </c>
      <c r="E26" s="201">
        <v>3</v>
      </c>
      <c r="F26" s="201">
        <v>2800</v>
      </c>
      <c r="G26" s="534">
        <v>933.33333333333337</v>
      </c>
      <c r="H26" s="662"/>
      <c r="I26" s="534">
        <f t="shared" si="6"/>
        <v>3</v>
      </c>
      <c r="J26" s="534">
        <f t="shared" si="7"/>
        <v>3184.9999999999859</v>
      </c>
      <c r="K26" s="199">
        <f t="shared" si="8"/>
        <v>1061.6666666666622</v>
      </c>
      <c r="L26" s="634"/>
      <c r="M26" s="556">
        <f>RANK(K26, K$7:$K$36)</f>
        <v>1</v>
      </c>
      <c r="N26" s="652"/>
      <c r="O26" s="652"/>
      <c r="P26" s="530"/>
      <c r="Q26" s="531"/>
      <c r="R26" s="531"/>
      <c r="S26" s="555"/>
      <c r="T26" s="662"/>
      <c r="U26" s="530"/>
      <c r="V26" s="531"/>
      <c r="W26" s="531"/>
      <c r="X26" s="555"/>
      <c r="Y26" s="662"/>
      <c r="Z26" s="530"/>
      <c r="AA26" s="531"/>
      <c r="AB26" s="531"/>
      <c r="AC26" s="555"/>
      <c r="AD26" s="662"/>
      <c r="AE26" s="530"/>
      <c r="AF26" s="531"/>
      <c r="AG26" s="531"/>
      <c r="AH26" s="555"/>
      <c r="AI26" s="662"/>
      <c r="AJ26" s="530">
        <v>3</v>
      </c>
      <c r="AK26" s="531">
        <v>3023.9999999999868</v>
      </c>
      <c r="AL26" s="531">
        <v>1007.9999999999956</v>
      </c>
      <c r="AM26" s="555">
        <f t="shared" si="10"/>
        <v>8</v>
      </c>
      <c r="AN26" s="662"/>
      <c r="AO26" s="530">
        <v>3</v>
      </c>
      <c r="AP26" s="531">
        <v>3290.9999999999854</v>
      </c>
      <c r="AQ26" s="531">
        <v>1096.9999999999952</v>
      </c>
      <c r="AR26" s="555">
        <f t="shared" si="11"/>
        <v>1</v>
      </c>
      <c r="AS26" s="662"/>
      <c r="AT26" s="530">
        <v>3</v>
      </c>
      <c r="AU26" s="531">
        <v>3239.9999999999854</v>
      </c>
      <c r="AV26" s="531">
        <v>1079.9999999999952</v>
      </c>
      <c r="AW26" s="555">
        <f t="shared" si="12"/>
        <v>1</v>
      </c>
      <c r="AX26" s="662"/>
      <c r="AZ26" s="372" t="e">
        <f t="shared" si="9"/>
        <v>#N/A</v>
      </c>
      <c r="BA26" s="685"/>
    </row>
    <row r="27" spans="2:53">
      <c r="B27" s="680"/>
      <c r="C27" s="530">
        <v>21</v>
      </c>
      <c r="D27" s="528" t="s">
        <v>568</v>
      </c>
      <c r="E27" s="201">
        <v>4</v>
      </c>
      <c r="F27" s="201">
        <v>2200</v>
      </c>
      <c r="G27" s="534">
        <v>550</v>
      </c>
      <c r="H27" s="662"/>
      <c r="I27" s="534">
        <f t="shared" si="6"/>
        <v>3</v>
      </c>
      <c r="J27" s="534">
        <f t="shared" si="7"/>
        <v>2507.5047619047614</v>
      </c>
      <c r="K27" s="199">
        <f t="shared" si="8"/>
        <v>835.83492063492042</v>
      </c>
      <c r="L27" s="634"/>
      <c r="M27" s="556">
        <f>RANK(K27, K$7:$K$36)</f>
        <v>12</v>
      </c>
      <c r="N27" s="652"/>
      <c r="O27" s="652"/>
      <c r="P27" s="530"/>
      <c r="Q27" s="531"/>
      <c r="R27" s="531"/>
      <c r="S27" s="555"/>
      <c r="T27" s="662"/>
      <c r="U27" s="530"/>
      <c r="V27" s="531"/>
      <c r="W27" s="531"/>
      <c r="X27" s="555"/>
      <c r="Y27" s="662"/>
      <c r="Z27" s="530"/>
      <c r="AA27" s="531"/>
      <c r="AB27" s="531"/>
      <c r="AC27" s="555"/>
      <c r="AD27" s="662"/>
      <c r="AE27" s="530"/>
      <c r="AF27" s="531"/>
      <c r="AG27" s="531"/>
      <c r="AH27" s="555"/>
      <c r="AI27" s="662"/>
      <c r="AJ27" s="530">
        <v>3</v>
      </c>
      <c r="AK27" s="531">
        <v>2848.7999999999915</v>
      </c>
      <c r="AL27" s="531">
        <v>949.59999999999718</v>
      </c>
      <c r="AM27" s="555">
        <f t="shared" si="10"/>
        <v>11</v>
      </c>
      <c r="AN27" s="662"/>
      <c r="AO27" s="530">
        <v>3</v>
      </c>
      <c r="AP27" s="531">
        <v>2548.0000000000091</v>
      </c>
      <c r="AQ27" s="531">
        <v>849.33333333333633</v>
      </c>
      <c r="AR27" s="555">
        <f t="shared" si="11"/>
        <v>11</v>
      </c>
      <c r="AS27" s="662"/>
      <c r="AT27" s="530">
        <v>3</v>
      </c>
      <c r="AU27" s="531">
        <v>2125.7142857142835</v>
      </c>
      <c r="AV27" s="531">
        <v>708.57142857142787</v>
      </c>
      <c r="AW27" s="555">
        <f t="shared" si="12"/>
        <v>18</v>
      </c>
      <c r="AX27" s="662"/>
      <c r="AZ27" s="372" t="e">
        <f t="shared" si="9"/>
        <v>#N/A</v>
      </c>
      <c r="BA27" s="685"/>
    </row>
    <row r="28" spans="2:53">
      <c r="B28" s="680"/>
      <c r="C28" s="530">
        <v>22</v>
      </c>
      <c r="D28" s="528" t="s">
        <v>630</v>
      </c>
      <c r="E28" s="201">
        <v>4</v>
      </c>
      <c r="F28" s="201">
        <v>2200</v>
      </c>
      <c r="G28" s="534">
        <v>550</v>
      </c>
      <c r="H28" s="662"/>
      <c r="I28" s="534">
        <f t="shared" si="6"/>
        <v>4</v>
      </c>
      <c r="J28" s="534">
        <f t="shared" si="7"/>
        <v>2411.047619047622</v>
      </c>
      <c r="K28" s="199">
        <f t="shared" si="8"/>
        <v>602.7619047619055</v>
      </c>
      <c r="L28" s="634"/>
      <c r="M28" s="556">
        <f>RANK(K28, K$7:$K$36)</f>
        <v>22</v>
      </c>
      <c r="N28" s="652"/>
      <c r="O28" s="652"/>
      <c r="P28" s="530"/>
      <c r="Q28" s="531"/>
      <c r="R28" s="531"/>
      <c r="S28" s="555"/>
      <c r="T28" s="662"/>
      <c r="U28" s="530"/>
      <c r="V28" s="531"/>
      <c r="W28" s="531"/>
      <c r="X28" s="555"/>
      <c r="Y28" s="662"/>
      <c r="Z28" s="530"/>
      <c r="AA28" s="531"/>
      <c r="AB28" s="531"/>
      <c r="AC28" s="555"/>
      <c r="AD28" s="662"/>
      <c r="AE28" s="530"/>
      <c r="AF28" s="531"/>
      <c r="AG28" s="531"/>
      <c r="AH28" s="555"/>
      <c r="AI28" s="662"/>
      <c r="AJ28" s="530">
        <v>4</v>
      </c>
      <c r="AK28" s="531">
        <v>2687.9999999999923</v>
      </c>
      <c r="AL28" s="531">
        <v>671.99999999999807</v>
      </c>
      <c r="AM28" s="555">
        <f t="shared" si="10"/>
        <v>21</v>
      </c>
      <c r="AN28" s="662"/>
      <c r="AO28" s="530">
        <v>4</v>
      </c>
      <c r="AP28" s="531">
        <v>2117.1428571428646</v>
      </c>
      <c r="AQ28" s="531">
        <v>529.28571428571615</v>
      </c>
      <c r="AR28" s="555">
        <f t="shared" si="11"/>
        <v>22</v>
      </c>
      <c r="AS28" s="662"/>
      <c r="AT28" s="530">
        <v>4</v>
      </c>
      <c r="AU28" s="531">
        <v>2428.0000000000086</v>
      </c>
      <c r="AV28" s="531">
        <v>607.00000000000216</v>
      </c>
      <c r="AW28" s="555">
        <f t="shared" si="12"/>
        <v>22</v>
      </c>
      <c r="AX28" s="662"/>
      <c r="AZ28" s="372" t="e">
        <f t="shared" si="9"/>
        <v>#N/A</v>
      </c>
      <c r="BA28" s="685"/>
    </row>
    <row r="29" spans="2:53">
      <c r="B29" s="680"/>
      <c r="C29" s="530">
        <v>23</v>
      </c>
      <c r="D29" s="201" t="s">
        <v>633</v>
      </c>
      <c r="E29" s="201">
        <v>5</v>
      </c>
      <c r="F29" s="201">
        <v>2200</v>
      </c>
      <c r="G29" s="534">
        <v>333.33333333333331</v>
      </c>
      <c r="H29" s="662"/>
      <c r="I29" s="534">
        <f t="shared" si="6"/>
        <v>5</v>
      </c>
      <c r="J29" s="534">
        <f t="shared" si="7"/>
        <v>1901.3333333333401</v>
      </c>
      <c r="K29" s="199">
        <f t="shared" si="8"/>
        <v>380.26666666666802</v>
      </c>
      <c r="L29" s="634"/>
      <c r="M29" s="556">
        <f>RANK(K29, K$7:$K$36)</f>
        <v>23</v>
      </c>
      <c r="N29" s="652"/>
      <c r="O29" s="652"/>
      <c r="P29" s="530"/>
      <c r="Q29" s="531"/>
      <c r="R29" s="531"/>
      <c r="S29" s="555"/>
      <c r="T29" s="662"/>
      <c r="U29" s="530"/>
      <c r="V29" s="531"/>
      <c r="W29" s="531"/>
      <c r="X29" s="555"/>
      <c r="Y29" s="662"/>
      <c r="Z29" s="530"/>
      <c r="AA29" s="531"/>
      <c r="AB29" s="531"/>
      <c r="AC29" s="555"/>
      <c r="AD29" s="662"/>
      <c r="AE29" s="530"/>
      <c r="AF29" s="531"/>
      <c r="AG29" s="531"/>
      <c r="AH29" s="555"/>
      <c r="AI29" s="662"/>
      <c r="AJ29" s="530">
        <v>5</v>
      </c>
      <c r="AK29" s="531">
        <v>1940.000000000007</v>
      </c>
      <c r="AL29" s="531">
        <v>388.00000000000142</v>
      </c>
      <c r="AM29" s="555">
        <f t="shared" si="10"/>
        <v>24</v>
      </c>
      <c r="AN29" s="662"/>
      <c r="AO29" s="530">
        <v>5</v>
      </c>
      <c r="AP29" s="531">
        <v>1844.0000000000064</v>
      </c>
      <c r="AQ29" s="531">
        <v>368.80000000000126</v>
      </c>
      <c r="AR29" s="555">
        <f t="shared" si="11"/>
        <v>23</v>
      </c>
      <c r="AS29" s="662"/>
      <c r="AT29" s="530">
        <v>5</v>
      </c>
      <c r="AU29" s="531">
        <v>1920.0000000000068</v>
      </c>
      <c r="AV29" s="531">
        <v>384.00000000000136</v>
      </c>
      <c r="AW29" s="555">
        <f t="shared" si="12"/>
        <v>23</v>
      </c>
      <c r="AX29" s="662"/>
      <c r="AZ29" s="372" t="e">
        <f t="shared" si="9"/>
        <v>#N/A</v>
      </c>
      <c r="BA29" s="685"/>
    </row>
    <row r="30" spans="2:53">
      <c r="B30" s="680"/>
      <c r="C30" s="530">
        <v>24</v>
      </c>
      <c r="D30" s="528" t="s">
        <v>634</v>
      </c>
      <c r="E30" s="201">
        <v>5</v>
      </c>
      <c r="F30" s="201">
        <v>2200</v>
      </c>
      <c r="G30" s="534">
        <v>333.33333333333331</v>
      </c>
      <c r="H30" s="662"/>
      <c r="I30" s="534">
        <f t="shared" si="6"/>
        <v>5</v>
      </c>
      <c r="J30" s="534">
        <f t="shared" si="7"/>
        <v>1882.1666666666733</v>
      </c>
      <c r="K30" s="199">
        <f t="shared" si="8"/>
        <v>376.4333333333347</v>
      </c>
      <c r="L30" s="634"/>
      <c r="M30" s="556">
        <f>RANK(K30, K$7:$K$36)</f>
        <v>24</v>
      </c>
      <c r="N30" s="652"/>
      <c r="O30" s="652"/>
      <c r="P30" s="530"/>
      <c r="Q30" s="531"/>
      <c r="R30" s="531"/>
      <c r="S30" s="555"/>
      <c r="T30" s="662"/>
      <c r="U30" s="530"/>
      <c r="V30" s="531"/>
      <c r="W30" s="531"/>
      <c r="X30" s="555"/>
      <c r="Y30" s="662"/>
      <c r="Z30" s="530"/>
      <c r="AA30" s="531"/>
      <c r="AB30" s="531"/>
      <c r="AC30" s="555"/>
      <c r="AD30" s="662"/>
      <c r="AE30" s="530"/>
      <c r="AF30" s="531"/>
      <c r="AG30" s="531"/>
      <c r="AH30" s="555"/>
      <c r="AI30" s="662"/>
      <c r="AJ30" s="530">
        <v>5</v>
      </c>
      <c r="AK30" s="531">
        <v>1942.5000000000068</v>
      </c>
      <c r="AL30" s="531">
        <v>388.50000000000136</v>
      </c>
      <c r="AM30" s="555">
        <f t="shared" si="10"/>
        <v>23</v>
      </c>
      <c r="AN30" s="662"/>
      <c r="AO30" s="530">
        <v>5</v>
      </c>
      <c r="AP30" s="531">
        <v>1824.0000000000066</v>
      </c>
      <c r="AQ30" s="531">
        <v>364.80000000000132</v>
      </c>
      <c r="AR30" s="555">
        <f t="shared" si="11"/>
        <v>24</v>
      </c>
      <c r="AS30" s="662"/>
      <c r="AT30" s="530">
        <v>5</v>
      </c>
      <c r="AU30" s="531">
        <v>1880.0000000000068</v>
      </c>
      <c r="AV30" s="531">
        <v>376.00000000000136</v>
      </c>
      <c r="AW30" s="555">
        <f t="shared" si="12"/>
        <v>24</v>
      </c>
      <c r="AX30" s="662"/>
      <c r="AZ30" s="372" t="e">
        <f t="shared" si="9"/>
        <v>#N/A</v>
      </c>
      <c r="BA30" s="685"/>
    </row>
    <row r="31" spans="2:53">
      <c r="B31" s="680"/>
      <c r="C31" s="530">
        <v>25</v>
      </c>
      <c r="D31" s="201" t="s">
        <v>594</v>
      </c>
      <c r="E31" s="201">
        <v>8</v>
      </c>
      <c r="F31" s="201">
        <v>1500</v>
      </c>
      <c r="G31" s="534">
        <v>187.5</v>
      </c>
      <c r="H31" s="662"/>
      <c r="I31" s="534">
        <f t="shared" si="6"/>
        <v>12</v>
      </c>
      <c r="J31" s="534">
        <f t="shared" si="7"/>
        <v>1388.0887445887456</v>
      </c>
      <c r="K31" s="199">
        <f t="shared" si="8"/>
        <v>115.67406204906212</v>
      </c>
      <c r="L31" s="634"/>
      <c r="M31" s="556">
        <f>RANK(K31, K$7:$K$36)</f>
        <v>25</v>
      </c>
      <c r="N31" s="652"/>
      <c r="O31" s="652"/>
      <c r="P31" s="530"/>
      <c r="Q31" s="531"/>
      <c r="R31" s="531"/>
      <c r="S31" s="555"/>
      <c r="T31" s="662"/>
      <c r="U31" s="530"/>
      <c r="V31" s="531"/>
      <c r="W31" s="531"/>
      <c r="X31" s="555"/>
      <c r="Y31" s="662"/>
      <c r="Z31" s="530"/>
      <c r="AA31" s="531"/>
      <c r="AB31" s="531"/>
      <c r="AC31" s="555"/>
      <c r="AD31" s="662"/>
      <c r="AE31" s="530"/>
      <c r="AF31" s="531"/>
      <c r="AG31" s="531"/>
      <c r="AH31" s="555"/>
      <c r="AI31" s="662"/>
      <c r="AJ31" s="530">
        <v>12</v>
      </c>
      <c r="AK31" s="531">
        <v>1400.0000000000005</v>
      </c>
      <c r="AL31" s="531">
        <v>116.6666666666667</v>
      </c>
      <c r="AM31" s="555">
        <f t="shared" si="10"/>
        <v>25</v>
      </c>
      <c r="AN31" s="662"/>
      <c r="AO31" s="530">
        <v>12</v>
      </c>
      <c r="AP31" s="531">
        <v>1385.357142857144</v>
      </c>
      <c r="AQ31" s="531">
        <v>115.44642857142867</v>
      </c>
      <c r="AR31" s="555">
        <f t="shared" si="11"/>
        <v>25</v>
      </c>
      <c r="AS31" s="662"/>
      <c r="AT31" s="530">
        <v>12</v>
      </c>
      <c r="AU31" s="531">
        <v>1378.9090909090919</v>
      </c>
      <c r="AV31" s="531">
        <v>114.90909090909099</v>
      </c>
      <c r="AW31" s="555">
        <f t="shared" si="12"/>
        <v>25</v>
      </c>
      <c r="AX31" s="662"/>
      <c r="AZ31" s="372" t="e">
        <f t="shared" si="9"/>
        <v>#N/A</v>
      </c>
      <c r="BA31" s="685"/>
    </row>
    <row r="32" spans="2:53">
      <c r="B32" s="680"/>
      <c r="C32" s="530">
        <v>26</v>
      </c>
      <c r="D32" s="201"/>
      <c r="E32" s="201"/>
      <c r="F32" s="201"/>
      <c r="G32" s="534"/>
      <c r="H32" s="662"/>
      <c r="I32" s="534" t="str">
        <f t="shared" si="6"/>
        <v>-</v>
      </c>
      <c r="J32" s="534" t="str">
        <f t="shared" si="7"/>
        <v>-</v>
      </c>
      <c r="K32" s="199" t="str">
        <f t="shared" si="8"/>
        <v>-</v>
      </c>
      <c r="L32" s="634"/>
      <c r="M32" s="556" t="e">
        <f>RANK(K32, K$7:$K$36)</f>
        <v>#VALUE!</v>
      </c>
      <c r="N32" s="652"/>
      <c r="O32" s="652"/>
      <c r="P32" s="530"/>
      <c r="Q32" s="531"/>
      <c r="R32" s="531"/>
      <c r="S32" s="555"/>
      <c r="T32" s="662"/>
      <c r="U32" s="530"/>
      <c r="V32" s="531"/>
      <c r="W32" s="531"/>
      <c r="X32" s="555"/>
      <c r="Y32" s="662"/>
      <c r="Z32" s="530"/>
      <c r="AA32" s="531"/>
      <c r="AB32" s="531"/>
      <c r="AC32" s="555"/>
      <c r="AD32" s="662"/>
      <c r="AE32" s="530"/>
      <c r="AF32" s="531"/>
      <c r="AG32" s="531"/>
      <c r="AH32" s="555"/>
      <c r="AI32" s="662"/>
      <c r="AJ32" s="530"/>
      <c r="AK32" s="531"/>
      <c r="AL32" s="531"/>
      <c r="AM32" s="555" t="e">
        <f t="shared" si="10"/>
        <v>#N/A</v>
      </c>
      <c r="AN32" s="662"/>
      <c r="AO32" s="530"/>
      <c r="AP32" s="531"/>
      <c r="AQ32" s="531"/>
      <c r="AR32" s="555" t="e">
        <f t="shared" si="11"/>
        <v>#N/A</v>
      </c>
      <c r="AS32" s="662"/>
      <c r="AT32" s="530"/>
      <c r="AU32" s="531"/>
      <c r="AV32" s="531"/>
      <c r="AW32" s="555" t="e">
        <f t="shared" si="12"/>
        <v>#N/A</v>
      </c>
      <c r="AX32" s="662"/>
      <c r="AZ32" s="372" t="e">
        <f t="shared" si="9"/>
        <v>#N/A</v>
      </c>
      <c r="BA32" s="685"/>
    </row>
    <row r="33" spans="2:53">
      <c r="B33" s="680"/>
      <c r="C33" s="530">
        <v>27</v>
      </c>
      <c r="D33" s="201"/>
      <c r="E33" s="201"/>
      <c r="F33" s="201"/>
      <c r="G33" s="534"/>
      <c r="H33" s="662"/>
      <c r="I33" s="534" t="str">
        <f t="shared" si="6"/>
        <v>-</v>
      </c>
      <c r="J33" s="534" t="str">
        <f t="shared" si="7"/>
        <v>-</v>
      </c>
      <c r="K33" s="199" t="str">
        <f t="shared" si="8"/>
        <v>-</v>
      </c>
      <c r="L33" s="634"/>
      <c r="M33" s="556" t="e">
        <f>RANK(K33, K$7:$K$36)</f>
        <v>#VALUE!</v>
      </c>
      <c r="N33" s="652"/>
      <c r="O33" s="652"/>
      <c r="P33" s="530"/>
      <c r="Q33" s="531"/>
      <c r="R33" s="531"/>
      <c r="S33" s="555"/>
      <c r="T33" s="662"/>
      <c r="U33" s="530"/>
      <c r="V33" s="531"/>
      <c r="W33" s="531"/>
      <c r="X33" s="555"/>
      <c r="Y33" s="662"/>
      <c r="Z33" s="530"/>
      <c r="AA33" s="531"/>
      <c r="AB33" s="531"/>
      <c r="AC33" s="555"/>
      <c r="AD33" s="662"/>
      <c r="AE33" s="530"/>
      <c r="AF33" s="531"/>
      <c r="AG33" s="531"/>
      <c r="AH33" s="555"/>
      <c r="AI33" s="662"/>
      <c r="AJ33" s="530"/>
      <c r="AK33" s="531"/>
      <c r="AL33" s="531"/>
      <c r="AM33" s="555" t="e">
        <f t="shared" si="10"/>
        <v>#N/A</v>
      </c>
      <c r="AN33" s="662"/>
      <c r="AO33" s="530"/>
      <c r="AP33" s="531"/>
      <c r="AQ33" s="531"/>
      <c r="AR33" s="555" t="e">
        <f t="shared" si="11"/>
        <v>#N/A</v>
      </c>
      <c r="AS33" s="662"/>
      <c r="AT33" s="530"/>
      <c r="AU33" s="531"/>
      <c r="AV33" s="531"/>
      <c r="AW33" s="555" t="e">
        <f t="shared" si="12"/>
        <v>#N/A</v>
      </c>
      <c r="AX33" s="662"/>
      <c r="AZ33" s="372" t="e">
        <f t="shared" si="9"/>
        <v>#N/A</v>
      </c>
      <c r="BA33" s="685"/>
    </row>
    <row r="34" spans="2:53">
      <c r="B34" s="680"/>
      <c r="C34" s="530">
        <v>28</v>
      </c>
      <c r="D34" s="201"/>
      <c r="E34" s="201"/>
      <c r="F34" s="201"/>
      <c r="G34" s="201"/>
      <c r="H34" s="662"/>
      <c r="I34" s="534" t="str">
        <f t="shared" si="6"/>
        <v>-</v>
      </c>
      <c r="J34" s="534" t="str">
        <f t="shared" si="7"/>
        <v>-</v>
      </c>
      <c r="K34" s="199" t="str">
        <f t="shared" si="8"/>
        <v>-</v>
      </c>
      <c r="L34" s="634"/>
      <c r="M34" s="556" t="e">
        <f>RANK(K34, K$7:$K$36)</f>
        <v>#VALUE!</v>
      </c>
      <c r="N34" s="652"/>
      <c r="O34" s="652"/>
      <c r="P34" s="530"/>
      <c r="Q34" s="531"/>
      <c r="R34" s="531"/>
      <c r="S34" s="555"/>
      <c r="T34" s="662"/>
      <c r="U34" s="530"/>
      <c r="V34" s="531"/>
      <c r="W34" s="531"/>
      <c r="X34" s="555"/>
      <c r="Y34" s="662"/>
      <c r="Z34" s="530"/>
      <c r="AA34" s="531"/>
      <c r="AB34" s="531"/>
      <c r="AC34" s="555"/>
      <c r="AD34" s="662"/>
      <c r="AE34" s="530"/>
      <c r="AF34" s="531"/>
      <c r="AG34" s="531"/>
      <c r="AH34" s="555"/>
      <c r="AI34" s="662"/>
      <c r="AJ34" s="530"/>
      <c r="AK34" s="531"/>
      <c r="AL34" s="531"/>
      <c r="AM34" s="555" t="e">
        <f t="shared" si="10"/>
        <v>#N/A</v>
      </c>
      <c r="AN34" s="662"/>
      <c r="AO34" s="530"/>
      <c r="AP34" s="531"/>
      <c r="AQ34" s="531"/>
      <c r="AR34" s="555" t="e">
        <f t="shared" si="11"/>
        <v>#N/A</v>
      </c>
      <c r="AS34" s="662"/>
      <c r="AT34" s="530"/>
      <c r="AU34" s="531"/>
      <c r="AV34" s="531"/>
      <c r="AW34" s="555" t="e">
        <f t="shared" si="12"/>
        <v>#N/A</v>
      </c>
      <c r="AX34" s="662"/>
      <c r="AZ34" s="372" t="e">
        <f t="shared" si="9"/>
        <v>#N/A</v>
      </c>
      <c r="BA34" s="685"/>
    </row>
    <row r="35" spans="2:53">
      <c r="B35" s="680"/>
      <c r="C35" s="530">
        <v>29</v>
      </c>
      <c r="D35" s="201"/>
      <c r="E35" s="201"/>
      <c r="F35" s="201"/>
      <c r="G35" s="201"/>
      <c r="H35" s="662"/>
      <c r="I35" s="534" t="str">
        <f t="shared" si="6"/>
        <v>-</v>
      </c>
      <c r="J35" s="534" t="str">
        <f t="shared" si="7"/>
        <v>-</v>
      </c>
      <c r="K35" s="199" t="str">
        <f t="shared" si="8"/>
        <v>-</v>
      </c>
      <c r="L35" s="634"/>
      <c r="M35" s="556" t="e">
        <f>RANK(K35, K$7:$K$36)</f>
        <v>#VALUE!</v>
      </c>
      <c r="N35" s="652"/>
      <c r="O35" s="652"/>
      <c r="P35" s="530"/>
      <c r="Q35" s="531"/>
      <c r="R35" s="531"/>
      <c r="S35" s="555"/>
      <c r="T35" s="662"/>
      <c r="U35" s="530"/>
      <c r="V35" s="531"/>
      <c r="W35" s="531"/>
      <c r="X35" s="555"/>
      <c r="Y35" s="662"/>
      <c r="Z35" s="530"/>
      <c r="AA35" s="531"/>
      <c r="AB35" s="531"/>
      <c r="AC35" s="555"/>
      <c r="AD35" s="662"/>
      <c r="AE35" s="530"/>
      <c r="AF35" s="531"/>
      <c r="AG35" s="531"/>
      <c r="AH35" s="555"/>
      <c r="AI35" s="662"/>
      <c r="AJ35" s="530"/>
      <c r="AK35" s="531"/>
      <c r="AL35" s="531"/>
      <c r="AM35" s="555" t="e">
        <f t="shared" si="10"/>
        <v>#N/A</v>
      </c>
      <c r="AN35" s="662"/>
      <c r="AO35" s="530"/>
      <c r="AP35" s="531"/>
      <c r="AQ35" s="531"/>
      <c r="AR35" s="555" t="e">
        <f t="shared" si="11"/>
        <v>#N/A</v>
      </c>
      <c r="AS35" s="662"/>
      <c r="AT35" s="530"/>
      <c r="AU35" s="531"/>
      <c r="AV35" s="531"/>
      <c r="AW35" s="555" t="e">
        <f t="shared" si="12"/>
        <v>#N/A</v>
      </c>
      <c r="AX35" s="662"/>
      <c r="AZ35" s="372" t="e">
        <f t="shared" si="9"/>
        <v>#N/A</v>
      </c>
      <c r="BA35" s="685"/>
    </row>
    <row r="36" spans="2:53">
      <c r="B36" s="680"/>
      <c r="C36" s="530">
        <v>30</v>
      </c>
      <c r="D36" s="201"/>
      <c r="E36" s="201"/>
      <c r="F36" s="201"/>
      <c r="G36" s="201"/>
      <c r="H36" s="663"/>
      <c r="I36" s="534" t="str">
        <f t="shared" si="6"/>
        <v>-</v>
      </c>
      <c r="J36" s="534" t="str">
        <f t="shared" si="7"/>
        <v>-</v>
      </c>
      <c r="K36" s="199" t="str">
        <f t="shared" si="8"/>
        <v>-</v>
      </c>
      <c r="L36" s="635"/>
      <c r="M36" s="556" t="e">
        <f>RANK(K36, K$7:$K$36)</f>
        <v>#VALUE!</v>
      </c>
      <c r="N36" s="652"/>
      <c r="O36" s="652"/>
      <c r="P36" s="530"/>
      <c r="Q36" s="531"/>
      <c r="R36" s="531"/>
      <c r="S36" s="555"/>
      <c r="T36" s="663"/>
      <c r="U36" s="530"/>
      <c r="V36" s="531"/>
      <c r="W36" s="531"/>
      <c r="X36" s="555"/>
      <c r="Y36" s="663"/>
      <c r="Z36" s="530"/>
      <c r="AA36" s="531"/>
      <c r="AB36" s="531"/>
      <c r="AC36" s="555"/>
      <c r="AD36" s="663"/>
      <c r="AE36" s="530"/>
      <c r="AF36" s="531"/>
      <c r="AG36" s="531"/>
      <c r="AH36" s="555"/>
      <c r="AI36" s="663"/>
      <c r="AJ36" s="530"/>
      <c r="AK36" s="531"/>
      <c r="AL36" s="531"/>
      <c r="AM36" s="555" t="e">
        <f t="shared" si="10"/>
        <v>#N/A</v>
      </c>
      <c r="AN36" s="663"/>
      <c r="AO36" s="530"/>
      <c r="AP36" s="531"/>
      <c r="AQ36" s="531"/>
      <c r="AR36" s="555" t="e">
        <f t="shared" si="11"/>
        <v>#N/A</v>
      </c>
      <c r="AS36" s="663"/>
      <c r="AT36" s="530"/>
      <c r="AU36" s="531"/>
      <c r="AV36" s="531"/>
      <c r="AW36" s="555" t="e">
        <f t="shared" si="12"/>
        <v>#N/A</v>
      </c>
      <c r="AX36" s="663"/>
      <c r="AZ36" s="372" t="e">
        <f t="shared" si="9"/>
        <v>#N/A</v>
      </c>
      <c r="BA36" s="685"/>
    </row>
    <row r="37" spans="2:53" ht="15.75">
      <c r="B37" s="677" t="s">
        <v>162</v>
      </c>
      <c r="C37" s="678"/>
      <c r="D37" s="678"/>
      <c r="E37" s="678"/>
      <c r="F37" s="678"/>
      <c r="G37" s="678"/>
      <c r="H37" s="678"/>
      <c r="I37" s="202"/>
      <c r="J37" s="202"/>
      <c r="K37" s="202"/>
      <c r="L37" s="202"/>
      <c r="M37" s="203"/>
      <c r="N37" s="653" t="s">
        <v>156</v>
      </c>
      <c r="O37" s="653" t="s">
        <v>155</v>
      </c>
      <c r="P37" s="659">
        <f>P2+7</f>
        <v>46238</v>
      </c>
      <c r="Q37" s="660"/>
      <c r="R37" s="660"/>
      <c r="S37" s="660"/>
      <c r="T37" s="660"/>
      <c r="U37" s="659">
        <f>P37+1</f>
        <v>46239</v>
      </c>
      <c r="V37" s="660"/>
      <c r="W37" s="660"/>
      <c r="X37" s="660"/>
      <c r="Y37" s="660"/>
      <c r="Z37" s="659">
        <f>U37+1</f>
        <v>46240</v>
      </c>
      <c r="AA37" s="660"/>
      <c r="AB37" s="660"/>
      <c r="AC37" s="660"/>
      <c r="AD37" s="660"/>
      <c r="AE37" s="659">
        <f>Z37+1</f>
        <v>46241</v>
      </c>
      <c r="AF37" s="660"/>
      <c r="AG37" s="660"/>
      <c r="AH37" s="660"/>
      <c r="AI37" s="660"/>
      <c r="AJ37" s="659">
        <f>AE37+1</f>
        <v>46242</v>
      </c>
      <c r="AK37" s="660"/>
      <c r="AL37" s="660"/>
      <c r="AM37" s="660"/>
      <c r="AN37" s="660"/>
      <c r="AO37" s="659">
        <f>AJ37+1</f>
        <v>46243</v>
      </c>
      <c r="AP37" s="660"/>
      <c r="AQ37" s="660"/>
      <c r="AR37" s="660"/>
      <c r="AS37" s="660"/>
      <c r="AT37" s="659">
        <f>AO37+1</f>
        <v>46244</v>
      </c>
      <c r="AU37" s="660"/>
      <c r="AV37" s="660"/>
      <c r="AW37" s="660"/>
      <c r="AX37" s="660"/>
    </row>
    <row r="38" spans="2:53" ht="15.75">
      <c r="B38" s="667"/>
      <c r="C38" s="667"/>
      <c r="D38" s="667"/>
      <c r="E38" s="667"/>
      <c r="F38" s="667"/>
      <c r="G38" s="667"/>
      <c r="H38" s="667"/>
      <c r="I38" s="204"/>
      <c r="J38" s="204"/>
      <c r="K38" s="204"/>
      <c r="L38" s="204"/>
      <c r="M38" s="205"/>
      <c r="N38" s="655"/>
      <c r="O38" s="655"/>
      <c r="P38" s="659" t="s">
        <v>317</v>
      </c>
      <c r="Q38" s="660"/>
      <c r="R38" s="660"/>
      <c r="S38" s="660"/>
      <c r="T38" s="660"/>
      <c r="U38" s="659" t="s">
        <v>318</v>
      </c>
      <c r="V38" s="660"/>
      <c r="W38" s="660"/>
      <c r="X38" s="660"/>
      <c r="Y38" s="660"/>
      <c r="Z38" s="659" t="s">
        <v>319</v>
      </c>
      <c r="AA38" s="660"/>
      <c r="AB38" s="660"/>
      <c r="AC38" s="660"/>
      <c r="AD38" s="660"/>
      <c r="AE38" s="659" t="s">
        <v>320</v>
      </c>
      <c r="AF38" s="660"/>
      <c r="AG38" s="660"/>
      <c r="AH38" s="660"/>
      <c r="AI38" s="660"/>
      <c r="AJ38" s="659" t="s">
        <v>321</v>
      </c>
      <c r="AK38" s="660"/>
      <c r="AL38" s="660"/>
      <c r="AM38" s="660"/>
      <c r="AN38" s="660"/>
      <c r="AO38" s="659" t="s">
        <v>322</v>
      </c>
      <c r="AP38" s="660"/>
      <c r="AQ38" s="660"/>
      <c r="AR38" s="660"/>
      <c r="AS38" s="660"/>
      <c r="AT38" s="659" t="s">
        <v>323</v>
      </c>
      <c r="AU38" s="660"/>
      <c r="AV38" s="660"/>
      <c r="AW38" s="660"/>
      <c r="AX38" s="660"/>
    </row>
    <row r="39" spans="2:53">
      <c r="B39" s="653" t="s">
        <v>429</v>
      </c>
      <c r="C39" s="668" t="s">
        <v>430</v>
      </c>
      <c r="D39" s="671"/>
      <c r="E39" s="649" t="s">
        <v>431</v>
      </c>
      <c r="F39" s="650"/>
      <c r="G39" s="651"/>
      <c r="H39" s="653" t="s">
        <v>366</v>
      </c>
      <c r="I39" s="640" t="s">
        <v>371</v>
      </c>
      <c r="J39" s="641"/>
      <c r="K39" s="642"/>
      <c r="L39" s="643" t="s">
        <v>366</v>
      </c>
      <c r="M39" s="643" t="s">
        <v>367</v>
      </c>
      <c r="N39" s="653"/>
      <c r="O39" s="653" t="s">
        <v>432</v>
      </c>
      <c r="P39" s="649" t="s">
        <v>433</v>
      </c>
      <c r="Q39" s="650"/>
      <c r="R39" s="650"/>
      <c r="S39" s="651"/>
      <c r="T39" s="653" t="s">
        <v>366</v>
      </c>
      <c r="U39" s="649" t="s">
        <v>368</v>
      </c>
      <c r="V39" s="650"/>
      <c r="W39" s="650"/>
      <c r="X39" s="651"/>
      <c r="Y39" s="653" t="s">
        <v>366</v>
      </c>
      <c r="Z39" s="649" t="s">
        <v>368</v>
      </c>
      <c r="AA39" s="650"/>
      <c r="AB39" s="650"/>
      <c r="AC39" s="651"/>
      <c r="AD39" s="653" t="s">
        <v>434</v>
      </c>
      <c r="AE39" s="649" t="s">
        <v>368</v>
      </c>
      <c r="AF39" s="650"/>
      <c r="AG39" s="650"/>
      <c r="AH39" s="651"/>
      <c r="AI39" s="653" t="s">
        <v>366</v>
      </c>
      <c r="AJ39" s="649" t="s">
        <v>368</v>
      </c>
      <c r="AK39" s="650"/>
      <c r="AL39" s="650"/>
      <c r="AM39" s="651"/>
      <c r="AN39" s="653" t="s">
        <v>434</v>
      </c>
      <c r="AO39" s="649" t="s">
        <v>433</v>
      </c>
      <c r="AP39" s="650"/>
      <c r="AQ39" s="650"/>
      <c r="AR39" s="651"/>
      <c r="AS39" s="653" t="s">
        <v>434</v>
      </c>
      <c r="AT39" s="649" t="s">
        <v>433</v>
      </c>
      <c r="AU39" s="650"/>
      <c r="AV39" s="650"/>
      <c r="AW39" s="651"/>
      <c r="AX39" s="653" t="s">
        <v>434</v>
      </c>
      <c r="BA39" s="653" t="s">
        <v>366</v>
      </c>
    </row>
    <row r="40" spans="2:53">
      <c r="B40" s="654"/>
      <c r="C40" s="669"/>
      <c r="D40" s="672"/>
      <c r="E40" s="649" t="s">
        <v>373</v>
      </c>
      <c r="F40" s="650"/>
      <c r="G40" s="651"/>
      <c r="H40" s="654"/>
      <c r="I40" s="640" t="s">
        <v>373</v>
      </c>
      <c r="J40" s="641"/>
      <c r="K40" s="642"/>
      <c r="L40" s="644"/>
      <c r="M40" s="644"/>
      <c r="N40" s="654"/>
      <c r="O40" s="654"/>
      <c r="P40" s="649" t="s">
        <v>374</v>
      </c>
      <c r="Q40" s="650"/>
      <c r="R40" s="650"/>
      <c r="S40" s="651"/>
      <c r="T40" s="654"/>
      <c r="U40" s="649" t="s">
        <v>435</v>
      </c>
      <c r="V40" s="650"/>
      <c r="W40" s="650"/>
      <c r="X40" s="651"/>
      <c r="Y40" s="654"/>
      <c r="Z40" s="649" t="s">
        <v>435</v>
      </c>
      <c r="AA40" s="650"/>
      <c r="AB40" s="650"/>
      <c r="AC40" s="651"/>
      <c r="AD40" s="654"/>
      <c r="AE40" s="649" t="s">
        <v>374</v>
      </c>
      <c r="AF40" s="650"/>
      <c r="AG40" s="650"/>
      <c r="AH40" s="651"/>
      <c r="AI40" s="654"/>
      <c r="AJ40" s="649" t="s">
        <v>374</v>
      </c>
      <c r="AK40" s="650"/>
      <c r="AL40" s="650"/>
      <c r="AM40" s="651"/>
      <c r="AN40" s="654"/>
      <c r="AO40" s="649" t="s">
        <v>374</v>
      </c>
      <c r="AP40" s="650"/>
      <c r="AQ40" s="650"/>
      <c r="AR40" s="651"/>
      <c r="AS40" s="654"/>
      <c r="AT40" s="649" t="s">
        <v>374</v>
      </c>
      <c r="AU40" s="650"/>
      <c r="AV40" s="650"/>
      <c r="AW40" s="651"/>
      <c r="AX40" s="654"/>
      <c r="BA40" s="654"/>
    </row>
    <row r="41" spans="2:53">
      <c r="B41" s="655"/>
      <c r="C41" s="670"/>
      <c r="D41" s="673"/>
      <c r="E41" s="291" t="s">
        <v>375</v>
      </c>
      <c r="F41" s="291" t="s">
        <v>376</v>
      </c>
      <c r="G41" s="291" t="s">
        <v>436</v>
      </c>
      <c r="H41" s="655"/>
      <c r="I41" s="290" t="s">
        <v>375</v>
      </c>
      <c r="J41" s="290" t="s">
        <v>376</v>
      </c>
      <c r="K41" s="290" t="s">
        <v>377</v>
      </c>
      <c r="L41" s="645"/>
      <c r="M41" s="645"/>
      <c r="N41" s="654"/>
      <c r="O41" s="654"/>
      <c r="P41" s="291" t="s">
        <v>375</v>
      </c>
      <c r="Q41" s="291" t="s">
        <v>437</v>
      </c>
      <c r="R41" s="291" t="s">
        <v>377</v>
      </c>
      <c r="S41" s="291" t="s">
        <v>367</v>
      </c>
      <c r="T41" s="655"/>
      <c r="U41" s="291" t="s">
        <v>375</v>
      </c>
      <c r="V41" s="291" t="s">
        <v>376</v>
      </c>
      <c r="W41" s="291" t="s">
        <v>377</v>
      </c>
      <c r="X41" s="291" t="s">
        <v>438</v>
      </c>
      <c r="Y41" s="655"/>
      <c r="Z41" s="291" t="s">
        <v>439</v>
      </c>
      <c r="AA41" s="291" t="s">
        <v>376</v>
      </c>
      <c r="AB41" s="291" t="s">
        <v>377</v>
      </c>
      <c r="AC41" s="291" t="s">
        <v>438</v>
      </c>
      <c r="AD41" s="655"/>
      <c r="AE41" s="291" t="s">
        <v>375</v>
      </c>
      <c r="AF41" s="291" t="s">
        <v>376</v>
      </c>
      <c r="AG41" s="291" t="s">
        <v>377</v>
      </c>
      <c r="AH41" s="291" t="s">
        <v>438</v>
      </c>
      <c r="AI41" s="655"/>
      <c r="AJ41" s="291" t="s">
        <v>439</v>
      </c>
      <c r="AK41" s="291" t="s">
        <v>376</v>
      </c>
      <c r="AL41" s="291" t="s">
        <v>377</v>
      </c>
      <c r="AM41" s="291" t="s">
        <v>367</v>
      </c>
      <c r="AN41" s="655"/>
      <c r="AO41" s="291" t="s">
        <v>439</v>
      </c>
      <c r="AP41" s="291" t="s">
        <v>376</v>
      </c>
      <c r="AQ41" s="291" t="s">
        <v>377</v>
      </c>
      <c r="AR41" s="291" t="s">
        <v>438</v>
      </c>
      <c r="AS41" s="655"/>
      <c r="AT41" s="291" t="s">
        <v>439</v>
      </c>
      <c r="AU41" s="291" t="s">
        <v>376</v>
      </c>
      <c r="AV41" s="291" t="s">
        <v>377</v>
      </c>
      <c r="AW41" s="291" t="s">
        <v>438</v>
      </c>
      <c r="AX41" s="655"/>
      <c r="AZ41" s="373" t="s">
        <v>367</v>
      </c>
      <c r="BA41" s="655"/>
    </row>
    <row r="42" spans="2:53">
      <c r="B42" s="674" t="s">
        <v>150</v>
      </c>
      <c r="C42" s="292">
        <v>1</v>
      </c>
      <c r="D42" s="201" t="s">
        <v>335</v>
      </c>
      <c r="E42" s="201">
        <v>3</v>
      </c>
      <c r="F42" s="201">
        <v>3200</v>
      </c>
      <c r="G42" s="534">
        <v>1066.6666666666667</v>
      </c>
      <c r="H42" s="661">
        <f>AVERAGE(G42:G71)</f>
        <v>788.83333333333314</v>
      </c>
      <c r="I42" s="363">
        <f>IFERROR(AVERAGE(P42,U42,Z42,AE42,AJ42,AO42,AT42),"-")</f>
        <v>3</v>
      </c>
      <c r="J42" s="363">
        <f>IFERROR(AVERAGE(Q42,V42,AA42,AF42,AK42,AP42,AU42),"-")</f>
        <v>3213.9942917302587</v>
      </c>
      <c r="K42" s="199">
        <f>IFERROR(AVERAGE(R42,W42,AB42,AG42,AL42,AQ42,AV42),"-")</f>
        <v>1071.3314305767531</v>
      </c>
      <c r="L42" s="633">
        <f>IFERROR(AVERAGE(K42:K71),"-")</f>
        <v>815.79932381944275</v>
      </c>
      <c r="M42" s="198">
        <f>RANK(K42, K$42:$K$71)</f>
        <v>6</v>
      </c>
      <c r="N42" s="654"/>
      <c r="O42" s="654"/>
      <c r="P42" s="552">
        <v>3</v>
      </c>
      <c r="Q42" s="553">
        <v>3181.1538461538426</v>
      </c>
      <c r="R42" s="553">
        <v>1060.3846153846141</v>
      </c>
      <c r="S42" s="552">
        <f t="shared" ref="S42:S71" si="13">RANK(R42, R$42:R$71)</f>
        <v>4</v>
      </c>
      <c r="T42" s="661">
        <f t="shared" ref="T42" si="14">AVERAGE(R42:R71)</f>
        <v>790.88989376904692</v>
      </c>
      <c r="U42" s="552">
        <v>3</v>
      </c>
      <c r="V42" s="553">
        <v>3308.399999999996</v>
      </c>
      <c r="W42" s="553">
        <v>1102.7999999999986</v>
      </c>
      <c r="X42" s="552">
        <f t="shared" ref="X42:X71" si="15">RANK(W42, W$42:W$71)</f>
        <v>4</v>
      </c>
      <c r="Y42" s="661">
        <f t="shared" ref="Y42" si="16">AVERAGE(W42:W71)</f>
        <v>834.25137369252434</v>
      </c>
      <c r="Z42" s="552">
        <v>3</v>
      </c>
      <c r="AA42" s="553">
        <v>3248.7500000000009</v>
      </c>
      <c r="AB42" s="553">
        <v>1082.916666666667</v>
      </c>
      <c r="AC42" s="552">
        <f t="shared" ref="AC42:AC71" si="17">RANK(AB42, AB$42:AB$71)</f>
        <v>6</v>
      </c>
      <c r="AD42" s="661">
        <f t="shared" ref="AD42" si="18">AVERAGE(AB42:AB71)</f>
        <v>831.51486825458608</v>
      </c>
      <c r="AE42" s="552">
        <v>3</v>
      </c>
      <c r="AF42" s="553">
        <v>3239.9999999999995</v>
      </c>
      <c r="AG42" s="553">
        <v>1079.9999999999998</v>
      </c>
      <c r="AH42" s="552">
        <f t="shared" ref="AH42:AH71" si="19">RANK(AG42, AG$42:AG$71)</f>
        <v>5</v>
      </c>
      <c r="AI42" s="661">
        <f t="shared" ref="AI42" si="20">AVERAGE(AG42:AG71)</f>
        <v>823.29097372638205</v>
      </c>
      <c r="AJ42" s="552">
        <v>3</v>
      </c>
      <c r="AK42" s="553">
        <v>3154.8837209302319</v>
      </c>
      <c r="AL42" s="553">
        <v>1051.627906976744</v>
      </c>
      <c r="AM42" s="552">
        <f t="shared" ref="AM42:AM71" si="21">RANK(AL42, AL$42:AL$71)</f>
        <v>4</v>
      </c>
      <c r="AN42" s="661">
        <f t="shared" ref="AN42" si="22">AVERAGE(AL42:AL71)</f>
        <v>793.25191320881163</v>
      </c>
      <c r="AO42" s="552">
        <v>3</v>
      </c>
      <c r="AP42" s="553">
        <v>3148.3018867924497</v>
      </c>
      <c r="AQ42" s="553">
        <v>1049.4339622641498</v>
      </c>
      <c r="AR42" s="552">
        <f t="shared" ref="AR42:AR71" si="23">RANK(AQ42, AQ$42:AQ$71)</f>
        <v>4</v>
      </c>
      <c r="AS42" s="661">
        <f t="shared" ref="AS42" si="24">AVERAGE(AQ42:AQ71)</f>
        <v>798.18218319465711</v>
      </c>
      <c r="AT42" s="552">
        <v>3</v>
      </c>
      <c r="AU42" s="553">
        <v>3216.4705882352905</v>
      </c>
      <c r="AV42" s="553">
        <v>1072.1568627450968</v>
      </c>
      <c r="AW42" s="552">
        <f t="shared" ref="AW42:AW71" si="25">RANK(AV42, AV$42:AV$71)</f>
        <v>6</v>
      </c>
      <c r="AX42" s="661">
        <f t="shared" ref="AX42" si="26">AVERAGE(AV42:AV71)</f>
        <v>842.52679953828863</v>
      </c>
      <c r="AZ42" s="372" t="e">
        <f t="shared" ref="AZ42:AZ71" si="27">RANK(AY42, AY$42:AY$71)</f>
        <v>#N/A</v>
      </c>
      <c r="BA42" s="661" t="e">
        <f t="shared" ref="BA42" si="28">AVERAGE(AY42:AY71)</f>
        <v>#DIV/0!</v>
      </c>
    </row>
    <row r="43" spans="2:53">
      <c r="B43" s="675"/>
      <c r="C43" s="292">
        <v>2</v>
      </c>
      <c r="D43" s="528" t="s">
        <v>336</v>
      </c>
      <c r="E43" s="201">
        <v>3</v>
      </c>
      <c r="F43" s="201">
        <v>3200</v>
      </c>
      <c r="G43" s="534">
        <v>1066.6666666666667</v>
      </c>
      <c r="H43" s="662"/>
      <c r="I43" s="363">
        <f t="shared" ref="I43:I71" si="29">IFERROR(AVERAGE(P43,U43,Z43,AE43,AJ43,AO43,AT43),"-")</f>
        <v>3</v>
      </c>
      <c r="J43" s="363">
        <f t="shared" ref="J43:J71" si="30">IFERROR(AVERAGE(Q43,V43,AA43,AF43,AK43,AP43,AU43),"-")</f>
        <v>3222.965855572992</v>
      </c>
      <c r="K43" s="199">
        <f t="shared" ref="K43:K71" si="31">IFERROR(AVERAGE(R43,W43,AB43,AG43,AL43,AQ43,AV43),"-")</f>
        <v>1074.3219518576641</v>
      </c>
      <c r="L43" s="634"/>
      <c r="M43" s="198">
        <f>RANK(K43, K$42:$K$71)</f>
        <v>5</v>
      </c>
      <c r="N43" s="654"/>
      <c r="O43" s="654"/>
      <c r="P43" s="552">
        <v>3</v>
      </c>
      <c r="Q43" s="553">
        <v>3063.7499999999959</v>
      </c>
      <c r="R43" s="553">
        <v>1021.2499999999986</v>
      </c>
      <c r="S43" s="552">
        <f t="shared" si="13"/>
        <v>7</v>
      </c>
      <c r="T43" s="662"/>
      <c r="U43" s="552">
        <v>3</v>
      </c>
      <c r="V43" s="553">
        <v>3267.9999999999941</v>
      </c>
      <c r="W43" s="553">
        <v>1089.3333333333314</v>
      </c>
      <c r="X43" s="552">
        <f t="shared" si="15"/>
        <v>5</v>
      </c>
      <c r="Y43" s="662"/>
      <c r="Z43" s="552">
        <v>3</v>
      </c>
      <c r="AA43" s="553">
        <v>3419.9999999999927</v>
      </c>
      <c r="AB43" s="553">
        <v>1139.9999999999975</v>
      </c>
      <c r="AC43" s="552">
        <f t="shared" si="17"/>
        <v>1</v>
      </c>
      <c r="AD43" s="662"/>
      <c r="AE43" s="552">
        <v>3</v>
      </c>
      <c r="AF43" s="553">
        <v>3227.1428571428501</v>
      </c>
      <c r="AG43" s="553">
        <v>1075.7142857142833</v>
      </c>
      <c r="AH43" s="552">
        <f t="shared" si="19"/>
        <v>6</v>
      </c>
      <c r="AI43" s="662"/>
      <c r="AJ43" s="552">
        <v>3</v>
      </c>
      <c r="AK43" s="553">
        <v>3046.1538461538385</v>
      </c>
      <c r="AL43" s="553">
        <v>1015.3846153846129</v>
      </c>
      <c r="AM43" s="552">
        <f t="shared" si="21"/>
        <v>7</v>
      </c>
      <c r="AN43" s="662"/>
      <c r="AO43" s="552">
        <v>3</v>
      </c>
      <c r="AP43" s="553">
        <v>3119.9999999999959</v>
      </c>
      <c r="AQ43" s="553">
        <v>1039.9999999999986</v>
      </c>
      <c r="AR43" s="552">
        <f t="shared" si="23"/>
        <v>6</v>
      </c>
      <c r="AS43" s="662"/>
      <c r="AT43" s="552">
        <v>3</v>
      </c>
      <c r="AU43" s="553">
        <v>3415.714285714278</v>
      </c>
      <c r="AV43" s="553">
        <v>1138.5714285714259</v>
      </c>
      <c r="AW43" s="552">
        <f t="shared" si="25"/>
        <v>1</v>
      </c>
      <c r="AX43" s="662"/>
      <c r="AZ43" s="372" t="e">
        <f t="shared" si="27"/>
        <v>#N/A</v>
      </c>
      <c r="BA43" s="662"/>
    </row>
    <row r="44" spans="2:53">
      <c r="B44" s="675"/>
      <c r="C44" s="292">
        <v>3</v>
      </c>
      <c r="D44" s="201" t="s">
        <v>328</v>
      </c>
      <c r="E44" s="201">
        <v>4</v>
      </c>
      <c r="F44" s="201">
        <v>3200</v>
      </c>
      <c r="G44" s="534">
        <v>800</v>
      </c>
      <c r="H44" s="662"/>
      <c r="I44" s="363">
        <f t="shared" si="29"/>
        <v>4</v>
      </c>
      <c r="J44" s="363">
        <f t="shared" si="30"/>
        <v>3187.0238095237969</v>
      </c>
      <c r="K44" s="199">
        <f t="shared" si="31"/>
        <v>796.75595238094922</v>
      </c>
      <c r="L44" s="634"/>
      <c r="M44" s="198">
        <f>RANK(K44, K$42:$K$71)</f>
        <v>15</v>
      </c>
      <c r="N44" s="654"/>
      <c r="O44" s="654"/>
      <c r="P44" s="552">
        <v>4</v>
      </c>
      <c r="Q44" s="553">
        <v>3209.9999999999859</v>
      </c>
      <c r="R44" s="553">
        <v>802.49999999999648</v>
      </c>
      <c r="S44" s="552">
        <f t="shared" si="13"/>
        <v>11</v>
      </c>
      <c r="T44" s="662"/>
      <c r="U44" s="552">
        <v>4</v>
      </c>
      <c r="V44" s="553">
        <v>3566.6666666666479</v>
      </c>
      <c r="W44" s="553">
        <v>891.66666666666197</v>
      </c>
      <c r="X44" s="552">
        <f t="shared" si="15"/>
        <v>13</v>
      </c>
      <c r="Y44" s="662"/>
      <c r="Z44" s="552">
        <v>4</v>
      </c>
      <c r="AA44" s="553">
        <v>3233.3333333333162</v>
      </c>
      <c r="AB44" s="553">
        <v>808.33333333332905</v>
      </c>
      <c r="AC44" s="552">
        <f t="shared" si="17"/>
        <v>14</v>
      </c>
      <c r="AD44" s="662"/>
      <c r="AE44" s="552">
        <v>4</v>
      </c>
      <c r="AF44" s="553">
        <v>3300.0000000000118</v>
      </c>
      <c r="AG44" s="553">
        <v>825.00000000000296</v>
      </c>
      <c r="AH44" s="552">
        <f t="shared" si="19"/>
        <v>12</v>
      </c>
      <c r="AI44" s="662"/>
      <c r="AJ44" s="552">
        <v>4</v>
      </c>
      <c r="AK44" s="553">
        <v>2812.4999999999541</v>
      </c>
      <c r="AL44" s="553">
        <v>703.12499999998852</v>
      </c>
      <c r="AM44" s="552">
        <f t="shared" si="21"/>
        <v>18</v>
      </c>
      <c r="AN44" s="662"/>
      <c r="AO44" s="552">
        <v>4</v>
      </c>
      <c r="AP44" s="553">
        <v>3106.6666666666779</v>
      </c>
      <c r="AQ44" s="553">
        <v>776.66666666666947</v>
      </c>
      <c r="AR44" s="552">
        <f t="shared" si="23"/>
        <v>14</v>
      </c>
      <c r="AS44" s="662"/>
      <c r="AT44" s="552">
        <v>4</v>
      </c>
      <c r="AU44" s="553">
        <v>3079.9999999999836</v>
      </c>
      <c r="AV44" s="553">
        <v>769.99999999999591</v>
      </c>
      <c r="AW44" s="552">
        <f t="shared" si="25"/>
        <v>17</v>
      </c>
      <c r="AX44" s="662"/>
      <c r="AZ44" s="372" t="e">
        <f t="shared" si="27"/>
        <v>#N/A</v>
      </c>
      <c r="BA44" s="662"/>
    </row>
    <row r="45" spans="2:53">
      <c r="B45" s="675"/>
      <c r="C45" s="292">
        <v>4</v>
      </c>
      <c r="D45" s="201" t="s">
        <v>337</v>
      </c>
      <c r="E45" s="201">
        <v>3</v>
      </c>
      <c r="F45" s="201">
        <v>3200</v>
      </c>
      <c r="G45" s="534">
        <v>1066.6666666666667</v>
      </c>
      <c r="H45" s="662"/>
      <c r="I45" s="363">
        <f t="shared" si="29"/>
        <v>3</v>
      </c>
      <c r="J45" s="363">
        <f t="shared" si="30"/>
        <v>3177.3325404753987</v>
      </c>
      <c r="K45" s="199">
        <f t="shared" si="31"/>
        <v>1059.1108468251327</v>
      </c>
      <c r="L45" s="634"/>
      <c r="M45" s="198">
        <f>RANK(K45, K$42:$K$71)</f>
        <v>7</v>
      </c>
      <c r="N45" s="654"/>
      <c r="O45" s="654"/>
      <c r="P45" s="552">
        <v>3</v>
      </c>
      <c r="Q45" s="553">
        <v>3187.6923076923058</v>
      </c>
      <c r="R45" s="553">
        <v>1062.5641025641019</v>
      </c>
      <c r="S45" s="552">
        <f t="shared" si="13"/>
        <v>2</v>
      </c>
      <c r="T45" s="662"/>
      <c r="U45" s="552">
        <v>3</v>
      </c>
      <c r="V45" s="553">
        <v>3229.0909090909076</v>
      </c>
      <c r="W45" s="553">
        <v>1076.3636363636358</v>
      </c>
      <c r="X45" s="552">
        <f t="shared" si="15"/>
        <v>6</v>
      </c>
      <c r="Y45" s="662"/>
      <c r="Z45" s="552">
        <v>3</v>
      </c>
      <c r="AA45" s="553">
        <v>3210.0000000000014</v>
      </c>
      <c r="AB45" s="553">
        <v>1070.0000000000005</v>
      </c>
      <c r="AC45" s="552">
        <f t="shared" si="17"/>
        <v>7</v>
      </c>
      <c r="AD45" s="662"/>
      <c r="AE45" s="552">
        <v>3</v>
      </c>
      <c r="AF45" s="553">
        <v>3106.2857142857183</v>
      </c>
      <c r="AG45" s="553">
        <v>1035.4285714285727</v>
      </c>
      <c r="AH45" s="552">
        <f t="shared" si="19"/>
        <v>7</v>
      </c>
      <c r="AI45" s="662"/>
      <c r="AJ45" s="552">
        <v>3</v>
      </c>
      <c r="AK45" s="553">
        <v>3048.8571428571463</v>
      </c>
      <c r="AL45" s="553">
        <v>1016.2857142857155</v>
      </c>
      <c r="AM45" s="552">
        <f t="shared" si="21"/>
        <v>6</v>
      </c>
      <c r="AN45" s="662"/>
      <c r="AO45" s="552">
        <v>3</v>
      </c>
      <c r="AP45" s="553">
        <v>3175.555555555557</v>
      </c>
      <c r="AQ45" s="553">
        <v>1058.5185185185189</v>
      </c>
      <c r="AR45" s="552">
        <f t="shared" si="23"/>
        <v>1</v>
      </c>
      <c r="AS45" s="662"/>
      <c r="AT45" s="552">
        <v>3</v>
      </c>
      <c r="AU45" s="553">
        <v>3283.846153846152</v>
      </c>
      <c r="AV45" s="553">
        <v>1094.6153846153841</v>
      </c>
      <c r="AW45" s="552">
        <f t="shared" si="25"/>
        <v>4</v>
      </c>
      <c r="AX45" s="662"/>
      <c r="AZ45" s="372" t="e">
        <f t="shared" si="27"/>
        <v>#N/A</v>
      </c>
      <c r="BA45" s="662"/>
    </row>
    <row r="46" spans="2:53">
      <c r="B46" s="675"/>
      <c r="C46" s="292">
        <v>5</v>
      </c>
      <c r="D46" s="201" t="s">
        <v>563</v>
      </c>
      <c r="E46" s="201">
        <v>4</v>
      </c>
      <c r="F46" s="201">
        <v>3200</v>
      </c>
      <c r="G46" s="534">
        <v>800</v>
      </c>
      <c r="H46" s="662"/>
      <c r="I46" s="363">
        <f t="shared" si="29"/>
        <v>4</v>
      </c>
      <c r="J46" s="363">
        <f t="shared" si="30"/>
        <v>3211.5275263951698</v>
      </c>
      <c r="K46" s="199">
        <f t="shared" si="31"/>
        <v>802.88188159879246</v>
      </c>
      <c r="L46" s="634"/>
      <c r="M46" s="198">
        <f>RANK(K46, K$42:$K$71)</f>
        <v>13</v>
      </c>
      <c r="N46" s="654"/>
      <c r="O46" s="654"/>
      <c r="P46" s="552">
        <v>4</v>
      </c>
      <c r="Q46" s="553">
        <v>3136.6666666666501</v>
      </c>
      <c r="R46" s="553">
        <v>784.16666666666254</v>
      </c>
      <c r="S46" s="552">
        <f t="shared" si="13"/>
        <v>14</v>
      </c>
      <c r="T46" s="662"/>
      <c r="U46" s="552">
        <v>4</v>
      </c>
      <c r="V46" s="553">
        <v>3321.176470588247</v>
      </c>
      <c r="W46" s="553">
        <v>830.29411764706174</v>
      </c>
      <c r="X46" s="552">
        <f t="shared" si="15"/>
        <v>15</v>
      </c>
      <c r="Y46" s="662"/>
      <c r="Z46" s="552">
        <v>4</v>
      </c>
      <c r="AA46" s="553">
        <v>3272.0000000000032</v>
      </c>
      <c r="AB46" s="553">
        <v>818.0000000000008</v>
      </c>
      <c r="AC46" s="552">
        <f t="shared" si="17"/>
        <v>12</v>
      </c>
      <c r="AD46" s="662"/>
      <c r="AE46" s="552">
        <v>4</v>
      </c>
      <c r="AF46" s="553">
        <v>3224.0000000000114</v>
      </c>
      <c r="AG46" s="553">
        <v>806.00000000000284</v>
      </c>
      <c r="AH46" s="552">
        <f t="shared" si="19"/>
        <v>15</v>
      </c>
      <c r="AI46" s="662"/>
      <c r="AJ46" s="552">
        <v>4</v>
      </c>
      <c r="AK46" s="553">
        <v>3096.9230769230685</v>
      </c>
      <c r="AL46" s="553">
        <v>774.23076923076712</v>
      </c>
      <c r="AM46" s="552">
        <f t="shared" si="21"/>
        <v>14</v>
      </c>
      <c r="AN46" s="662"/>
      <c r="AO46" s="552">
        <v>4</v>
      </c>
      <c r="AP46" s="553">
        <v>3201.1764705882315</v>
      </c>
      <c r="AQ46" s="553">
        <v>800.29411764705787</v>
      </c>
      <c r="AR46" s="552">
        <f t="shared" si="23"/>
        <v>12</v>
      </c>
      <c r="AS46" s="662"/>
      <c r="AT46" s="552">
        <v>4</v>
      </c>
      <c r="AU46" s="553">
        <v>3228.7499999999791</v>
      </c>
      <c r="AV46" s="553">
        <v>807.18749999999477</v>
      </c>
      <c r="AW46" s="552">
        <f t="shared" si="25"/>
        <v>16</v>
      </c>
      <c r="AX46" s="662"/>
      <c r="AZ46" s="372" t="e">
        <f t="shared" si="27"/>
        <v>#N/A</v>
      </c>
      <c r="BA46" s="662"/>
    </row>
    <row r="47" spans="2:53">
      <c r="B47" s="675"/>
      <c r="C47" s="292">
        <v>6</v>
      </c>
      <c r="D47" s="201" t="s">
        <v>564</v>
      </c>
      <c r="E47" s="201">
        <v>4</v>
      </c>
      <c r="F47" s="201">
        <v>3200</v>
      </c>
      <c r="G47" s="534">
        <v>800</v>
      </c>
      <c r="H47" s="662"/>
      <c r="I47" s="363">
        <f t="shared" si="29"/>
        <v>4</v>
      </c>
      <c r="J47" s="363">
        <f t="shared" si="30"/>
        <v>3182.3673469387818</v>
      </c>
      <c r="K47" s="199">
        <f t="shared" si="31"/>
        <v>795.59183673469545</v>
      </c>
      <c r="L47" s="634"/>
      <c r="M47" s="198">
        <f>RANK(K47, K$42:$K$71)</f>
        <v>16</v>
      </c>
      <c r="N47" s="654"/>
      <c r="O47" s="654"/>
      <c r="P47" s="552">
        <v>4</v>
      </c>
      <c r="Q47" s="553">
        <v>3068.5714285714043</v>
      </c>
      <c r="R47" s="553">
        <v>767.14285714285108</v>
      </c>
      <c r="S47" s="552">
        <f t="shared" si="13"/>
        <v>15</v>
      </c>
      <c r="T47" s="662"/>
      <c r="U47" s="552">
        <v>4</v>
      </c>
      <c r="V47" s="553">
        <v>3580.0000000000127</v>
      </c>
      <c r="W47" s="553">
        <v>895.00000000000318</v>
      </c>
      <c r="X47" s="552">
        <f t="shared" si="15"/>
        <v>12</v>
      </c>
      <c r="Y47" s="662"/>
      <c r="Z47" s="552">
        <v>4</v>
      </c>
      <c r="AA47" s="553">
        <v>3200.0000000000114</v>
      </c>
      <c r="AB47" s="553">
        <v>800.00000000000284</v>
      </c>
      <c r="AC47" s="552">
        <f t="shared" si="17"/>
        <v>16</v>
      </c>
      <c r="AD47" s="662"/>
      <c r="AE47" s="552">
        <v>4</v>
      </c>
      <c r="AF47" s="553">
        <v>3180.0000000000109</v>
      </c>
      <c r="AG47" s="553">
        <v>795.00000000000273</v>
      </c>
      <c r="AH47" s="552">
        <f t="shared" si="19"/>
        <v>17</v>
      </c>
      <c r="AI47" s="662"/>
      <c r="AJ47" s="552">
        <v>4</v>
      </c>
      <c r="AK47" s="553">
        <v>2796.00000000001</v>
      </c>
      <c r="AL47" s="553">
        <v>699.0000000000025</v>
      </c>
      <c r="AM47" s="552">
        <f t="shared" si="21"/>
        <v>19</v>
      </c>
      <c r="AN47" s="662"/>
      <c r="AO47" s="552">
        <v>4</v>
      </c>
      <c r="AP47" s="553">
        <v>3020.0000000000109</v>
      </c>
      <c r="AQ47" s="553">
        <v>755.00000000000273</v>
      </c>
      <c r="AR47" s="552">
        <f t="shared" si="23"/>
        <v>17</v>
      </c>
      <c r="AS47" s="662"/>
      <c r="AT47" s="552">
        <v>4</v>
      </c>
      <c r="AU47" s="553">
        <v>3432.0000000000123</v>
      </c>
      <c r="AV47" s="553">
        <v>858.00000000000307</v>
      </c>
      <c r="AW47" s="552">
        <f t="shared" si="25"/>
        <v>12</v>
      </c>
      <c r="AX47" s="662"/>
      <c r="AZ47" s="372" t="e">
        <f t="shared" si="27"/>
        <v>#N/A</v>
      </c>
      <c r="BA47" s="662"/>
    </row>
    <row r="48" spans="2:53">
      <c r="B48" s="675"/>
      <c r="C48" s="292">
        <v>7</v>
      </c>
      <c r="D48" s="201" t="s">
        <v>338</v>
      </c>
      <c r="E48" s="201">
        <v>4</v>
      </c>
      <c r="F48" s="201">
        <v>2800</v>
      </c>
      <c r="G48" s="534">
        <v>700</v>
      </c>
      <c r="H48" s="662"/>
      <c r="I48" s="363">
        <f t="shared" si="29"/>
        <v>4</v>
      </c>
      <c r="J48" s="363">
        <f t="shared" si="30"/>
        <v>3230.6802721088361</v>
      </c>
      <c r="K48" s="199">
        <f t="shared" si="31"/>
        <v>807.67006802720903</v>
      </c>
      <c r="L48" s="634"/>
      <c r="M48" s="198">
        <f>RANK(K48, K$42:$K$71)</f>
        <v>12</v>
      </c>
      <c r="N48" s="654"/>
      <c r="O48" s="654"/>
      <c r="P48" s="552">
        <v>4</v>
      </c>
      <c r="Q48" s="553">
        <v>2873.3333333333312</v>
      </c>
      <c r="R48" s="553">
        <v>718.3333333333328</v>
      </c>
      <c r="S48" s="552">
        <f t="shared" si="13"/>
        <v>17</v>
      </c>
      <c r="T48" s="662"/>
      <c r="U48" s="552">
        <v>4</v>
      </c>
      <c r="V48" s="553">
        <v>3694.2857142857065</v>
      </c>
      <c r="W48" s="553">
        <v>923.57142857142662</v>
      </c>
      <c r="X48" s="552">
        <f t="shared" si="15"/>
        <v>11</v>
      </c>
      <c r="Y48" s="662"/>
      <c r="Z48" s="552">
        <v>4</v>
      </c>
      <c r="AA48" s="553">
        <v>3291.4285714285643</v>
      </c>
      <c r="AB48" s="553">
        <v>822.85714285714107</v>
      </c>
      <c r="AC48" s="552">
        <f t="shared" si="17"/>
        <v>11</v>
      </c>
      <c r="AD48" s="662"/>
      <c r="AE48" s="552">
        <v>4</v>
      </c>
      <c r="AF48" s="553">
        <v>3219.99999999999</v>
      </c>
      <c r="AG48" s="553">
        <v>804.9999999999975</v>
      </c>
      <c r="AH48" s="552">
        <f t="shared" si="19"/>
        <v>16</v>
      </c>
      <c r="AI48" s="662"/>
      <c r="AJ48" s="552">
        <v>4</v>
      </c>
      <c r="AK48" s="553">
        <v>2819.9999999999909</v>
      </c>
      <c r="AL48" s="553">
        <v>704.99999999999773</v>
      </c>
      <c r="AM48" s="552">
        <f t="shared" si="21"/>
        <v>17</v>
      </c>
      <c r="AN48" s="662"/>
      <c r="AO48" s="552">
        <v>4</v>
      </c>
      <c r="AP48" s="553">
        <v>3085.714285714279</v>
      </c>
      <c r="AQ48" s="553">
        <v>771.42857142856974</v>
      </c>
      <c r="AR48" s="552">
        <f t="shared" si="23"/>
        <v>15</v>
      </c>
      <c r="AS48" s="662"/>
      <c r="AT48" s="552">
        <v>4</v>
      </c>
      <c r="AU48" s="553">
        <v>3629.9999999999891</v>
      </c>
      <c r="AV48" s="553">
        <v>907.49999999999727</v>
      </c>
      <c r="AW48" s="552">
        <f t="shared" si="25"/>
        <v>11</v>
      </c>
      <c r="AX48" s="662"/>
      <c r="AZ48" s="372" t="e">
        <f t="shared" si="27"/>
        <v>#N/A</v>
      </c>
      <c r="BA48" s="662"/>
    </row>
    <row r="49" spans="2:53">
      <c r="B49" s="675"/>
      <c r="C49" s="292">
        <v>8</v>
      </c>
      <c r="D49" s="201" t="s">
        <v>339</v>
      </c>
      <c r="E49" s="201">
        <v>3</v>
      </c>
      <c r="F49" s="201">
        <v>3200</v>
      </c>
      <c r="G49" s="534">
        <v>1066.6666666666667</v>
      </c>
      <c r="H49" s="662"/>
      <c r="I49" s="363">
        <f t="shared" si="29"/>
        <v>3</v>
      </c>
      <c r="J49" s="363">
        <f t="shared" si="30"/>
        <v>3236.3203535594826</v>
      </c>
      <c r="K49" s="199">
        <f t="shared" si="31"/>
        <v>1078.7734511864942</v>
      </c>
      <c r="L49" s="634"/>
      <c r="M49" s="198">
        <f>RANK(K49, K$42:$K$71)</f>
        <v>3</v>
      </c>
      <c r="N49" s="654"/>
      <c r="O49" s="654"/>
      <c r="P49" s="552">
        <v>3</v>
      </c>
      <c r="Q49" s="553">
        <v>3085.3846153846171</v>
      </c>
      <c r="R49" s="553">
        <v>1028.461538461539</v>
      </c>
      <c r="S49" s="552">
        <f t="shared" si="13"/>
        <v>6</v>
      </c>
      <c r="T49" s="662"/>
      <c r="U49" s="552">
        <v>3</v>
      </c>
      <c r="V49" s="553">
        <v>3342.5000000000009</v>
      </c>
      <c r="W49" s="553">
        <v>1114.166666666667</v>
      </c>
      <c r="X49" s="552">
        <f t="shared" si="15"/>
        <v>1</v>
      </c>
      <c r="Y49" s="662"/>
      <c r="Z49" s="552">
        <v>3</v>
      </c>
      <c r="AA49" s="553">
        <v>3310.4347826086955</v>
      </c>
      <c r="AB49" s="553">
        <v>1103.4782608695652</v>
      </c>
      <c r="AC49" s="552">
        <f t="shared" si="17"/>
        <v>2</v>
      </c>
      <c r="AD49" s="662"/>
      <c r="AE49" s="552">
        <v>3</v>
      </c>
      <c r="AF49" s="553">
        <v>3359.9999999999914</v>
      </c>
      <c r="AG49" s="553">
        <v>1119.999999999997</v>
      </c>
      <c r="AH49" s="552">
        <f t="shared" si="19"/>
        <v>2</v>
      </c>
      <c r="AI49" s="662"/>
      <c r="AJ49" s="552">
        <v>3</v>
      </c>
      <c r="AK49" s="553">
        <v>3173.9999999999923</v>
      </c>
      <c r="AL49" s="553">
        <v>1057.9999999999975</v>
      </c>
      <c r="AM49" s="552">
        <f t="shared" si="21"/>
        <v>3</v>
      </c>
      <c r="AN49" s="662"/>
      <c r="AO49" s="552">
        <v>3</v>
      </c>
      <c r="AP49" s="553">
        <v>3096.9230769230785</v>
      </c>
      <c r="AQ49" s="553">
        <v>1032.3076923076928</v>
      </c>
      <c r="AR49" s="552">
        <f t="shared" si="23"/>
        <v>7</v>
      </c>
      <c r="AS49" s="662"/>
      <c r="AT49" s="552">
        <v>3</v>
      </c>
      <c r="AU49" s="553">
        <v>3285.0000000000009</v>
      </c>
      <c r="AV49" s="553">
        <v>1095.0000000000002</v>
      </c>
      <c r="AW49" s="552">
        <f t="shared" si="25"/>
        <v>3</v>
      </c>
      <c r="AX49" s="662"/>
      <c r="AZ49" s="372" t="e">
        <f t="shared" si="27"/>
        <v>#N/A</v>
      </c>
      <c r="BA49" s="662"/>
    </row>
    <row r="50" spans="2:53">
      <c r="B50" s="675"/>
      <c r="C50" s="292">
        <v>9</v>
      </c>
      <c r="D50" s="201" t="s">
        <v>340</v>
      </c>
      <c r="E50" s="201">
        <v>3</v>
      </c>
      <c r="F50" s="201">
        <v>2800</v>
      </c>
      <c r="G50" s="534">
        <v>933.33333333333337</v>
      </c>
      <c r="H50" s="662"/>
      <c r="I50" s="363">
        <f t="shared" si="29"/>
        <v>3</v>
      </c>
      <c r="J50" s="363">
        <f t="shared" si="30"/>
        <v>3245.9755355755342</v>
      </c>
      <c r="K50" s="199">
        <f t="shared" si="31"/>
        <v>1081.9918451918447</v>
      </c>
      <c r="L50" s="634"/>
      <c r="M50" s="198">
        <f>RANK(K50, K$42:$K$71)</f>
        <v>2</v>
      </c>
      <c r="N50" s="654"/>
      <c r="O50" s="654"/>
      <c r="P50" s="552">
        <v>3</v>
      </c>
      <c r="Q50" s="553">
        <v>3186.6666666666683</v>
      </c>
      <c r="R50" s="553">
        <v>1062.2222222222229</v>
      </c>
      <c r="S50" s="552">
        <f t="shared" si="13"/>
        <v>3</v>
      </c>
      <c r="T50" s="662"/>
      <c r="U50" s="552">
        <v>3</v>
      </c>
      <c r="V50" s="553">
        <v>3309.2307692307709</v>
      </c>
      <c r="W50" s="553">
        <v>1103.0769230769235</v>
      </c>
      <c r="X50" s="552">
        <f t="shared" si="15"/>
        <v>3</v>
      </c>
      <c r="Y50" s="662"/>
      <c r="Z50" s="552">
        <v>3</v>
      </c>
      <c r="AA50" s="553">
        <v>3256.7999999999906</v>
      </c>
      <c r="AB50" s="553">
        <v>1085.599999999997</v>
      </c>
      <c r="AC50" s="552">
        <f t="shared" si="17"/>
        <v>5</v>
      </c>
      <c r="AD50" s="662"/>
      <c r="AE50" s="552">
        <v>3</v>
      </c>
      <c r="AF50" s="553">
        <v>3340.909090909091</v>
      </c>
      <c r="AG50" s="553">
        <v>1113.6363636363637</v>
      </c>
      <c r="AH50" s="552">
        <f t="shared" si="19"/>
        <v>3</v>
      </c>
      <c r="AI50" s="662"/>
      <c r="AJ50" s="552">
        <v>3</v>
      </c>
      <c r="AK50" s="553">
        <v>3275.9999999999909</v>
      </c>
      <c r="AL50" s="553">
        <v>1091.999999999997</v>
      </c>
      <c r="AM50" s="552">
        <f t="shared" si="21"/>
        <v>2</v>
      </c>
      <c r="AN50" s="662"/>
      <c r="AO50" s="552">
        <v>3</v>
      </c>
      <c r="AP50" s="553">
        <v>3142.2222222222235</v>
      </c>
      <c r="AQ50" s="553">
        <v>1047.4074074074078</v>
      </c>
      <c r="AR50" s="552">
        <f t="shared" si="23"/>
        <v>5</v>
      </c>
      <c r="AS50" s="662"/>
      <c r="AT50" s="552">
        <v>3</v>
      </c>
      <c r="AU50" s="553">
        <v>3210.0000000000018</v>
      </c>
      <c r="AV50" s="553">
        <v>1070.0000000000007</v>
      </c>
      <c r="AW50" s="552">
        <f t="shared" si="25"/>
        <v>7</v>
      </c>
      <c r="AX50" s="662"/>
      <c r="AZ50" s="372" t="e">
        <f t="shared" si="27"/>
        <v>#N/A</v>
      </c>
      <c r="BA50" s="662"/>
    </row>
    <row r="51" spans="2:53">
      <c r="B51" s="675"/>
      <c r="C51" s="292">
        <v>10</v>
      </c>
      <c r="D51" s="201" t="s">
        <v>341</v>
      </c>
      <c r="E51" s="201">
        <v>4</v>
      </c>
      <c r="F51" s="201">
        <v>2800</v>
      </c>
      <c r="G51" s="534">
        <v>700</v>
      </c>
      <c r="H51" s="662"/>
      <c r="I51" s="363">
        <f t="shared" si="29"/>
        <v>4</v>
      </c>
      <c r="J51" s="363">
        <f t="shared" si="30"/>
        <v>3238.5380787791828</v>
      </c>
      <c r="K51" s="199">
        <f t="shared" si="31"/>
        <v>809.6345196947957</v>
      </c>
      <c r="L51" s="634"/>
      <c r="M51" s="198">
        <f>RANK(K51, K$42:$K$71)</f>
        <v>11</v>
      </c>
      <c r="N51" s="654"/>
      <c r="O51" s="654"/>
      <c r="P51" s="552">
        <v>4</v>
      </c>
      <c r="Q51" s="553">
        <v>3189.6000000000013</v>
      </c>
      <c r="R51" s="553">
        <v>797.40000000000032</v>
      </c>
      <c r="S51" s="552">
        <f t="shared" si="13"/>
        <v>12</v>
      </c>
      <c r="T51" s="662"/>
      <c r="U51" s="552">
        <v>4</v>
      </c>
      <c r="V51" s="553">
        <v>3189.5999999999958</v>
      </c>
      <c r="W51" s="553">
        <v>797.39999999999895</v>
      </c>
      <c r="X51" s="552">
        <f t="shared" si="15"/>
        <v>17</v>
      </c>
      <c r="Y51" s="662"/>
      <c r="Z51" s="552">
        <v>4</v>
      </c>
      <c r="AA51" s="553">
        <v>3246.249999999995</v>
      </c>
      <c r="AB51" s="553">
        <v>811.56249999999875</v>
      </c>
      <c r="AC51" s="552">
        <f t="shared" si="17"/>
        <v>13</v>
      </c>
      <c r="AD51" s="662"/>
      <c r="AE51" s="552">
        <v>4</v>
      </c>
      <c r="AF51" s="553">
        <v>3235.9090909090969</v>
      </c>
      <c r="AG51" s="553">
        <v>808.97727272727423</v>
      </c>
      <c r="AH51" s="552">
        <f t="shared" si="19"/>
        <v>14</v>
      </c>
      <c r="AI51" s="662"/>
      <c r="AJ51" s="552">
        <v>4</v>
      </c>
      <c r="AK51" s="553">
        <v>3384.8780487804866</v>
      </c>
      <c r="AL51" s="553">
        <v>846.21951219512164</v>
      </c>
      <c r="AM51" s="552">
        <f t="shared" si="21"/>
        <v>11</v>
      </c>
      <c r="AN51" s="662"/>
      <c r="AO51" s="552">
        <v>4</v>
      </c>
      <c r="AP51" s="553">
        <v>3183.5294117647072</v>
      </c>
      <c r="AQ51" s="553">
        <v>795.8823529411768</v>
      </c>
      <c r="AR51" s="552">
        <f t="shared" si="23"/>
        <v>13</v>
      </c>
      <c r="AS51" s="662"/>
      <c r="AT51" s="552">
        <v>4</v>
      </c>
      <c r="AU51" s="553">
        <v>3239.9999999999959</v>
      </c>
      <c r="AV51" s="553">
        <v>809.99999999999898</v>
      </c>
      <c r="AW51" s="552">
        <f t="shared" si="25"/>
        <v>15</v>
      </c>
      <c r="AX51" s="662"/>
      <c r="AZ51" s="372" t="e">
        <f t="shared" si="27"/>
        <v>#N/A</v>
      </c>
      <c r="BA51" s="662"/>
    </row>
    <row r="52" spans="2:53">
      <c r="B52" s="675"/>
      <c r="C52" s="292">
        <v>11</v>
      </c>
      <c r="D52" s="201" t="s">
        <v>565</v>
      </c>
      <c r="E52" s="201">
        <v>4</v>
      </c>
      <c r="F52" s="201">
        <v>2800</v>
      </c>
      <c r="G52" s="534">
        <v>700</v>
      </c>
      <c r="H52" s="662"/>
      <c r="I52" s="363">
        <f t="shared" si="29"/>
        <v>4</v>
      </c>
      <c r="J52" s="363">
        <f t="shared" si="30"/>
        <v>2821.1170628027385</v>
      </c>
      <c r="K52" s="199">
        <f t="shared" si="31"/>
        <v>705.27926570068462</v>
      </c>
      <c r="L52" s="634"/>
      <c r="M52" s="198">
        <f>RANK(K52, K$42:$K$71)</f>
        <v>20</v>
      </c>
      <c r="N52" s="654"/>
      <c r="O52" s="654"/>
      <c r="P52" s="552">
        <v>4</v>
      </c>
      <c r="Q52" s="553">
        <v>2774.754098360655</v>
      </c>
      <c r="R52" s="553">
        <v>693.68852459016375</v>
      </c>
      <c r="S52" s="552">
        <f t="shared" si="13"/>
        <v>19</v>
      </c>
      <c r="T52" s="662"/>
      <c r="U52" s="552">
        <v>4</v>
      </c>
      <c r="V52" s="553">
        <v>2801.9999999999986</v>
      </c>
      <c r="W52" s="553">
        <v>700.49999999999966</v>
      </c>
      <c r="X52" s="552">
        <f t="shared" si="15"/>
        <v>20</v>
      </c>
      <c r="Y52" s="662"/>
      <c r="Z52" s="552">
        <v>4</v>
      </c>
      <c r="AA52" s="553">
        <v>2831.1864406779646</v>
      </c>
      <c r="AB52" s="553">
        <v>707.79661016949115</v>
      </c>
      <c r="AC52" s="552">
        <f t="shared" si="17"/>
        <v>21</v>
      </c>
      <c r="AD52" s="662"/>
      <c r="AE52" s="552">
        <v>4</v>
      </c>
      <c r="AF52" s="553">
        <v>2867.5471698113183</v>
      </c>
      <c r="AG52" s="553">
        <v>716.88679245282958</v>
      </c>
      <c r="AH52" s="552">
        <f t="shared" si="19"/>
        <v>20</v>
      </c>
      <c r="AI52" s="662"/>
      <c r="AJ52" s="552">
        <v>4</v>
      </c>
      <c r="AK52" s="553">
        <v>2885.7692307692278</v>
      </c>
      <c r="AL52" s="553">
        <v>721.44230769230694</v>
      </c>
      <c r="AM52" s="552">
        <f t="shared" si="21"/>
        <v>16</v>
      </c>
      <c r="AN52" s="662"/>
      <c r="AO52" s="552">
        <v>4</v>
      </c>
      <c r="AP52" s="553">
        <v>2766.5624999999995</v>
      </c>
      <c r="AQ52" s="553">
        <v>691.64062499999989</v>
      </c>
      <c r="AR52" s="552">
        <f t="shared" si="23"/>
        <v>20</v>
      </c>
      <c r="AS52" s="662"/>
      <c r="AT52" s="552">
        <v>4</v>
      </c>
      <c r="AU52" s="553">
        <v>2820.0000000000027</v>
      </c>
      <c r="AV52" s="553">
        <v>705.00000000000068</v>
      </c>
      <c r="AW52" s="552">
        <f t="shared" si="25"/>
        <v>20</v>
      </c>
      <c r="AX52" s="662"/>
      <c r="AZ52" s="372" t="e">
        <f t="shared" si="27"/>
        <v>#N/A</v>
      </c>
      <c r="BA52" s="662"/>
    </row>
    <row r="53" spans="2:53">
      <c r="B53" s="675"/>
      <c r="C53" s="292">
        <v>12</v>
      </c>
      <c r="D53" s="528" t="s">
        <v>569</v>
      </c>
      <c r="E53" s="201">
        <v>3</v>
      </c>
      <c r="F53" s="201">
        <v>2800</v>
      </c>
      <c r="G53" s="534">
        <v>933.33333333333337</v>
      </c>
      <c r="H53" s="662"/>
      <c r="I53" s="363">
        <f t="shared" si="29"/>
        <v>3</v>
      </c>
      <c r="J53" s="363">
        <f t="shared" si="30"/>
        <v>2798.9977844735913</v>
      </c>
      <c r="K53" s="199">
        <f t="shared" si="31"/>
        <v>932.9992614911971</v>
      </c>
      <c r="L53" s="634"/>
      <c r="M53" s="198">
        <f>RANK(K53, K$42:$K$71)</f>
        <v>10</v>
      </c>
      <c r="N53" s="654"/>
      <c r="O53" s="654"/>
      <c r="P53" s="552">
        <v>3</v>
      </c>
      <c r="Q53" s="553">
        <v>2802.580645161293</v>
      </c>
      <c r="R53" s="553">
        <v>934.19354838709762</v>
      </c>
      <c r="S53" s="552">
        <f t="shared" si="13"/>
        <v>10</v>
      </c>
      <c r="T53" s="662"/>
      <c r="U53" s="552">
        <v>3</v>
      </c>
      <c r="V53" s="553">
        <v>2820.0000000000027</v>
      </c>
      <c r="W53" s="553">
        <v>940.00000000000091</v>
      </c>
      <c r="X53" s="552">
        <f t="shared" si="15"/>
        <v>10</v>
      </c>
      <c r="Y53" s="662"/>
      <c r="Z53" s="552">
        <v>3</v>
      </c>
      <c r="AA53" s="553">
        <v>2817.9999999999986</v>
      </c>
      <c r="AB53" s="553">
        <v>939.33333333333292</v>
      </c>
      <c r="AC53" s="552">
        <f t="shared" si="17"/>
        <v>10</v>
      </c>
      <c r="AD53" s="662"/>
      <c r="AE53" s="552">
        <v>3</v>
      </c>
      <c r="AF53" s="553">
        <v>2863.8461538461552</v>
      </c>
      <c r="AG53" s="553">
        <v>954.6153846153851</v>
      </c>
      <c r="AH53" s="552">
        <f t="shared" si="19"/>
        <v>9</v>
      </c>
      <c r="AI53" s="662"/>
      <c r="AJ53" s="552">
        <v>3</v>
      </c>
      <c r="AK53" s="553">
        <v>2732.3076923076937</v>
      </c>
      <c r="AL53" s="553">
        <v>910.76923076923129</v>
      </c>
      <c r="AM53" s="552">
        <f t="shared" si="21"/>
        <v>10</v>
      </c>
      <c r="AN53" s="662"/>
      <c r="AO53" s="552">
        <v>3</v>
      </c>
      <c r="AP53" s="553">
        <v>2726.2499999999964</v>
      </c>
      <c r="AQ53" s="553">
        <v>908.74999999999875</v>
      </c>
      <c r="AR53" s="552">
        <f t="shared" si="23"/>
        <v>9</v>
      </c>
      <c r="AS53" s="662"/>
      <c r="AT53" s="552">
        <v>3</v>
      </c>
      <c r="AU53" s="553">
        <v>2829.9999999999986</v>
      </c>
      <c r="AV53" s="553">
        <v>943.33333333333292</v>
      </c>
      <c r="AW53" s="552">
        <f t="shared" si="25"/>
        <v>10</v>
      </c>
      <c r="AX53" s="662"/>
      <c r="AZ53" s="372" t="e">
        <f t="shared" si="27"/>
        <v>#N/A</v>
      </c>
      <c r="BA53" s="662"/>
    </row>
    <row r="54" spans="2:53">
      <c r="B54" s="675"/>
      <c r="C54" s="292">
        <v>13</v>
      </c>
      <c r="D54" s="201" t="s">
        <v>570</v>
      </c>
      <c r="E54" s="201">
        <v>4</v>
      </c>
      <c r="F54" s="201">
        <v>2800</v>
      </c>
      <c r="G54" s="534">
        <v>700</v>
      </c>
      <c r="H54" s="662"/>
      <c r="I54" s="363">
        <f t="shared" si="29"/>
        <v>4</v>
      </c>
      <c r="J54" s="363">
        <f t="shared" si="30"/>
        <v>2794.8021978022011</v>
      </c>
      <c r="K54" s="199">
        <f t="shared" si="31"/>
        <v>698.70054945055028</v>
      </c>
      <c r="L54" s="634"/>
      <c r="M54" s="198">
        <f>RANK(K54, K$42:$K$71)</f>
        <v>21</v>
      </c>
      <c r="N54" s="654"/>
      <c r="O54" s="654"/>
      <c r="P54" s="552">
        <v>4</v>
      </c>
      <c r="Q54" s="553">
        <v>2778.4615384615481</v>
      </c>
      <c r="R54" s="553">
        <v>694.61538461538703</v>
      </c>
      <c r="S54" s="552">
        <f t="shared" si="13"/>
        <v>18</v>
      </c>
      <c r="T54" s="662"/>
      <c r="U54" s="552">
        <v>4</v>
      </c>
      <c r="V54" s="553">
        <v>2890.00000000001</v>
      </c>
      <c r="W54" s="553">
        <v>722.5000000000025</v>
      </c>
      <c r="X54" s="552">
        <f t="shared" si="15"/>
        <v>18</v>
      </c>
      <c r="Y54" s="662"/>
      <c r="Z54" s="552">
        <v>4</v>
      </c>
      <c r="AA54" s="553">
        <v>2875.00000000001</v>
      </c>
      <c r="AB54" s="553">
        <v>718.7500000000025</v>
      </c>
      <c r="AC54" s="552">
        <f t="shared" si="17"/>
        <v>20</v>
      </c>
      <c r="AD54" s="662"/>
      <c r="AE54" s="552">
        <v>4</v>
      </c>
      <c r="AF54" s="553">
        <v>2831.9999999999873</v>
      </c>
      <c r="AG54" s="553">
        <v>707.99999999999682</v>
      </c>
      <c r="AH54" s="552">
        <f t="shared" si="19"/>
        <v>21</v>
      </c>
      <c r="AI54" s="662"/>
      <c r="AJ54" s="552">
        <v>4</v>
      </c>
      <c r="AK54" s="553">
        <v>2651.9999999999882</v>
      </c>
      <c r="AL54" s="553">
        <v>662.99999999999704</v>
      </c>
      <c r="AM54" s="552">
        <f t="shared" si="21"/>
        <v>20</v>
      </c>
      <c r="AN54" s="662"/>
      <c r="AO54" s="552">
        <v>4</v>
      </c>
      <c r="AP54" s="553">
        <v>2686.1538461538557</v>
      </c>
      <c r="AQ54" s="553">
        <v>671.53846153846393</v>
      </c>
      <c r="AR54" s="552">
        <f t="shared" si="23"/>
        <v>21</v>
      </c>
      <c r="AS54" s="662"/>
      <c r="AT54" s="552">
        <v>4</v>
      </c>
      <c r="AU54" s="553">
        <v>2850.00000000001</v>
      </c>
      <c r="AV54" s="553">
        <v>712.5000000000025</v>
      </c>
      <c r="AW54" s="552">
        <f t="shared" si="25"/>
        <v>19</v>
      </c>
      <c r="AX54" s="662"/>
      <c r="AZ54" s="372" t="e">
        <f t="shared" si="27"/>
        <v>#N/A</v>
      </c>
      <c r="BA54" s="662"/>
    </row>
    <row r="55" spans="2:53">
      <c r="B55" s="675"/>
      <c r="C55" s="292">
        <v>14</v>
      </c>
      <c r="D55" s="201" t="s">
        <v>590</v>
      </c>
      <c r="E55" s="201">
        <v>4</v>
      </c>
      <c r="F55" s="201">
        <v>3200</v>
      </c>
      <c r="G55" s="534">
        <v>800</v>
      </c>
      <c r="H55" s="662"/>
      <c r="I55" s="363">
        <f t="shared" si="29"/>
        <v>4</v>
      </c>
      <c r="J55" s="363">
        <f t="shared" si="30"/>
        <v>3038.8333333333371</v>
      </c>
      <c r="K55" s="199">
        <f t="shared" si="31"/>
        <v>759.70833333333428</v>
      </c>
      <c r="L55" s="634"/>
      <c r="M55" s="198">
        <f>RANK(K55, K$42:$K$71)</f>
        <v>18</v>
      </c>
      <c r="N55" s="654"/>
      <c r="O55" s="654"/>
      <c r="P55" s="552">
        <v>4</v>
      </c>
      <c r="Q55" s="553">
        <v>2687.9999999999663</v>
      </c>
      <c r="R55" s="553">
        <v>671.99999999999159</v>
      </c>
      <c r="S55" s="552">
        <f t="shared" si="13"/>
        <v>21</v>
      </c>
      <c r="T55" s="662"/>
      <c r="U55" s="552">
        <v>4</v>
      </c>
      <c r="V55" s="553">
        <v>3360.0000000000118</v>
      </c>
      <c r="W55" s="553">
        <v>840.00000000000296</v>
      </c>
      <c r="X55" s="552">
        <f t="shared" si="15"/>
        <v>14</v>
      </c>
      <c r="Y55" s="662"/>
      <c r="Z55" s="552">
        <v>4</v>
      </c>
      <c r="AA55" s="553">
        <v>3150.0000000000109</v>
      </c>
      <c r="AB55" s="553">
        <v>787.50000000000273</v>
      </c>
      <c r="AC55" s="552">
        <f t="shared" si="17"/>
        <v>18</v>
      </c>
      <c r="AD55" s="662"/>
      <c r="AE55" s="552">
        <v>4</v>
      </c>
      <c r="AF55" s="553">
        <v>3440.0000000000123</v>
      </c>
      <c r="AG55" s="553">
        <v>860.00000000000307</v>
      </c>
      <c r="AH55" s="552">
        <f t="shared" si="19"/>
        <v>11</v>
      </c>
      <c r="AI55" s="662"/>
      <c r="AJ55" s="552">
        <v>4</v>
      </c>
      <c r="AK55" s="553">
        <v>2580.0000000000095</v>
      </c>
      <c r="AL55" s="553">
        <v>645.00000000000239</v>
      </c>
      <c r="AM55" s="552">
        <f t="shared" si="21"/>
        <v>21</v>
      </c>
      <c r="AN55" s="662"/>
      <c r="AO55" s="552">
        <v>4</v>
      </c>
      <c r="AP55" s="553">
        <v>3015.0000000000105</v>
      </c>
      <c r="AQ55" s="553">
        <v>753.75000000000261</v>
      </c>
      <c r="AR55" s="552">
        <f t="shared" si="23"/>
        <v>18</v>
      </c>
      <c r="AS55" s="662"/>
      <c r="AT55" s="552" t="s">
        <v>585</v>
      </c>
      <c r="AU55" s="553" t="s">
        <v>585</v>
      </c>
      <c r="AV55" s="553" t="s">
        <v>585</v>
      </c>
      <c r="AW55" s="552" t="e">
        <f t="shared" si="25"/>
        <v>#VALUE!</v>
      </c>
      <c r="AX55" s="662"/>
      <c r="AZ55" s="372" t="e">
        <f t="shared" si="27"/>
        <v>#N/A</v>
      </c>
      <c r="BA55" s="662"/>
    </row>
    <row r="56" spans="2:53">
      <c r="B56" s="675"/>
      <c r="C56" s="292">
        <v>15</v>
      </c>
      <c r="D56" s="528" t="s">
        <v>602</v>
      </c>
      <c r="E56" s="201">
        <v>3</v>
      </c>
      <c r="F56" s="201">
        <v>3200</v>
      </c>
      <c r="G56" s="534">
        <v>1066.6666666666667</v>
      </c>
      <c r="H56" s="662"/>
      <c r="I56" s="363">
        <f t="shared" si="29"/>
        <v>3</v>
      </c>
      <c r="J56" s="363">
        <f t="shared" si="30"/>
        <v>3232.4999999999932</v>
      </c>
      <c r="K56" s="199">
        <f t="shared" si="31"/>
        <v>1077.499999999998</v>
      </c>
      <c r="L56" s="634"/>
      <c r="M56" s="198">
        <f>RANK(K56, K$42:$K$71)</f>
        <v>4</v>
      </c>
      <c r="N56" s="654"/>
      <c r="O56" s="654"/>
      <c r="P56" s="552">
        <v>3</v>
      </c>
      <c r="Q56" s="553">
        <v>3188.5714285714398</v>
      </c>
      <c r="R56" s="553">
        <v>1062.8571428571465</v>
      </c>
      <c r="S56" s="552">
        <f t="shared" si="13"/>
        <v>1</v>
      </c>
      <c r="T56" s="662"/>
      <c r="U56" s="552">
        <v>3</v>
      </c>
      <c r="V56" s="553">
        <v>3188.5714285714275</v>
      </c>
      <c r="W56" s="553">
        <v>1062.8571428571424</v>
      </c>
      <c r="X56" s="552">
        <f t="shared" si="15"/>
        <v>7</v>
      </c>
      <c r="Y56" s="662"/>
      <c r="Z56" s="552">
        <v>3</v>
      </c>
      <c r="AA56" s="553">
        <v>3287.9999999999991</v>
      </c>
      <c r="AB56" s="553">
        <v>1095.9999999999998</v>
      </c>
      <c r="AC56" s="552">
        <f t="shared" si="17"/>
        <v>3</v>
      </c>
      <c r="AD56" s="662"/>
      <c r="AE56" s="552">
        <v>3</v>
      </c>
      <c r="AF56" s="553">
        <v>3389.9999999999782</v>
      </c>
      <c r="AG56" s="553">
        <v>1129.9999999999927</v>
      </c>
      <c r="AH56" s="552">
        <f t="shared" si="19"/>
        <v>1</v>
      </c>
      <c r="AI56" s="662"/>
      <c r="AJ56" s="552">
        <v>3</v>
      </c>
      <c r="AK56" s="553">
        <v>3142.49999999998</v>
      </c>
      <c r="AL56" s="553">
        <v>1047.4999999999934</v>
      </c>
      <c r="AM56" s="552">
        <f t="shared" si="21"/>
        <v>5</v>
      </c>
      <c r="AN56" s="662"/>
      <c r="AO56" s="552">
        <v>3</v>
      </c>
      <c r="AP56" s="553">
        <v>3162.8571428571299</v>
      </c>
      <c r="AQ56" s="553">
        <v>1054.2857142857099</v>
      </c>
      <c r="AR56" s="552">
        <f t="shared" si="23"/>
        <v>3</v>
      </c>
      <c r="AS56" s="662"/>
      <c r="AT56" s="552">
        <v>3</v>
      </c>
      <c r="AU56" s="553">
        <v>3266.9999999999991</v>
      </c>
      <c r="AV56" s="553">
        <v>1088.9999999999998</v>
      </c>
      <c r="AW56" s="552">
        <f t="shared" si="25"/>
        <v>5</v>
      </c>
      <c r="AX56" s="662"/>
      <c r="AZ56" s="372" t="e">
        <f t="shared" si="27"/>
        <v>#N/A</v>
      </c>
      <c r="BA56" s="662"/>
    </row>
    <row r="57" spans="2:53">
      <c r="B57" s="675"/>
      <c r="C57" s="292">
        <v>16</v>
      </c>
      <c r="D57" s="201" t="s">
        <v>607</v>
      </c>
      <c r="E57" s="201">
        <v>3</v>
      </c>
      <c r="F57" s="201">
        <v>3200</v>
      </c>
      <c r="G57" s="534">
        <v>1066.6666666666667</v>
      </c>
      <c r="H57" s="662"/>
      <c r="I57" s="363">
        <f t="shared" si="29"/>
        <v>3</v>
      </c>
      <c r="J57" s="363">
        <f t="shared" si="30"/>
        <v>3267.2077922078083</v>
      </c>
      <c r="K57" s="199">
        <f t="shared" si="31"/>
        <v>1089.0692640692691</v>
      </c>
      <c r="L57" s="634"/>
      <c r="M57" s="198">
        <f>RANK(K57, K$42:$K$71)</f>
        <v>1</v>
      </c>
      <c r="N57" s="654"/>
      <c r="O57" s="654"/>
      <c r="P57" s="552">
        <v>3</v>
      </c>
      <c r="Q57" s="553">
        <v>3060.00000000003</v>
      </c>
      <c r="R57" s="553">
        <v>1020.00000000001</v>
      </c>
      <c r="S57" s="552">
        <f t="shared" si="13"/>
        <v>8</v>
      </c>
      <c r="T57" s="662"/>
      <c r="U57" s="552">
        <v>3</v>
      </c>
      <c r="V57" s="553">
        <v>3315.0000000000118</v>
      </c>
      <c r="W57" s="553">
        <v>1105.0000000000039</v>
      </c>
      <c r="X57" s="552">
        <f t="shared" si="15"/>
        <v>2</v>
      </c>
      <c r="Y57" s="662"/>
      <c r="Z57" s="552">
        <v>3</v>
      </c>
      <c r="AA57" s="553">
        <v>3260.0000000000118</v>
      </c>
      <c r="AB57" s="553">
        <v>1086.6666666666706</v>
      </c>
      <c r="AC57" s="552">
        <f t="shared" si="17"/>
        <v>4</v>
      </c>
      <c r="AD57" s="662"/>
      <c r="AE57" s="552">
        <v>3</v>
      </c>
      <c r="AF57" s="553">
        <v>3320.0000000000414</v>
      </c>
      <c r="AG57" s="553">
        <v>1106.6666666666804</v>
      </c>
      <c r="AH57" s="552">
        <f t="shared" si="19"/>
        <v>4</v>
      </c>
      <c r="AI57" s="662"/>
      <c r="AJ57" s="552">
        <v>3</v>
      </c>
      <c r="AK57" s="553">
        <v>3375.0000000000118</v>
      </c>
      <c r="AL57" s="553">
        <v>1125.0000000000039</v>
      </c>
      <c r="AM57" s="552">
        <f t="shared" si="21"/>
        <v>1</v>
      </c>
      <c r="AN57" s="662"/>
      <c r="AO57" s="552">
        <v>3</v>
      </c>
      <c r="AP57" s="553">
        <v>3174.99999999999</v>
      </c>
      <c r="AQ57" s="553">
        <v>1058.3333333333301</v>
      </c>
      <c r="AR57" s="552">
        <f t="shared" si="23"/>
        <v>2</v>
      </c>
      <c r="AS57" s="662"/>
      <c r="AT57" s="552">
        <v>3</v>
      </c>
      <c r="AU57" s="553">
        <v>3365.4545454545578</v>
      </c>
      <c r="AV57" s="553">
        <v>1121.8181818181858</v>
      </c>
      <c r="AW57" s="552">
        <f t="shared" si="25"/>
        <v>2</v>
      </c>
      <c r="AX57" s="662"/>
      <c r="AZ57" s="372" t="e">
        <f t="shared" si="27"/>
        <v>#N/A</v>
      </c>
      <c r="BA57" s="662"/>
    </row>
    <row r="58" spans="2:53">
      <c r="B58" s="675"/>
      <c r="C58" s="292">
        <v>17</v>
      </c>
      <c r="D58" s="201" t="s">
        <v>613</v>
      </c>
      <c r="E58" s="201">
        <v>3</v>
      </c>
      <c r="F58" s="201">
        <v>3200</v>
      </c>
      <c r="G58" s="534">
        <v>1066.6666666666667</v>
      </c>
      <c r="H58" s="662"/>
      <c r="I58" s="363">
        <f t="shared" si="29"/>
        <v>3</v>
      </c>
      <c r="J58" s="363">
        <f t="shared" si="30"/>
        <v>2999.216855121495</v>
      </c>
      <c r="K58" s="199">
        <f t="shared" si="31"/>
        <v>999.73895170716503</v>
      </c>
      <c r="L58" s="634"/>
      <c r="M58" s="198">
        <f>RANK(K58, K$42:$K$71)</f>
        <v>9</v>
      </c>
      <c r="N58" s="654"/>
      <c r="O58" s="654"/>
      <c r="P58" s="552">
        <v>3</v>
      </c>
      <c r="Q58" s="553">
        <v>2903.4782608695555</v>
      </c>
      <c r="R58" s="553">
        <v>967.82608695651845</v>
      </c>
      <c r="S58" s="552">
        <f t="shared" si="13"/>
        <v>9</v>
      </c>
      <c r="T58" s="662"/>
      <c r="U58" s="552">
        <v>3</v>
      </c>
      <c r="V58" s="553">
        <v>3137.1428571428564</v>
      </c>
      <c r="W58" s="553">
        <v>1045.7142857142856</v>
      </c>
      <c r="X58" s="552">
        <f t="shared" si="15"/>
        <v>8</v>
      </c>
      <c r="Y58" s="662"/>
      <c r="Z58" s="552">
        <v>3</v>
      </c>
      <c r="AA58" s="553">
        <v>3097.142857142856</v>
      </c>
      <c r="AB58" s="553">
        <v>1032.3809523809521</v>
      </c>
      <c r="AC58" s="552">
        <f t="shared" si="17"/>
        <v>8</v>
      </c>
      <c r="AD58" s="662"/>
      <c r="AE58" s="552">
        <v>3</v>
      </c>
      <c r="AF58" s="553">
        <v>3035.2941176470699</v>
      </c>
      <c r="AG58" s="553">
        <v>1011.7647058823567</v>
      </c>
      <c r="AH58" s="552">
        <f t="shared" si="19"/>
        <v>8</v>
      </c>
      <c r="AI58" s="662"/>
      <c r="AJ58" s="552">
        <v>3</v>
      </c>
      <c r="AK58" s="553">
        <v>2798.8235294117612</v>
      </c>
      <c r="AL58" s="553">
        <v>932.94117647058704</v>
      </c>
      <c r="AM58" s="552">
        <f t="shared" si="21"/>
        <v>9</v>
      </c>
      <c r="AN58" s="662"/>
      <c r="AO58" s="552">
        <v>3</v>
      </c>
      <c r="AP58" s="553">
        <v>2923.6363636363531</v>
      </c>
      <c r="AQ58" s="553">
        <v>974.54545454545098</v>
      </c>
      <c r="AR58" s="552">
        <f t="shared" si="23"/>
        <v>8</v>
      </c>
      <c r="AS58" s="662"/>
      <c r="AT58" s="552">
        <v>3</v>
      </c>
      <c r="AU58" s="553">
        <v>3099.0000000000109</v>
      </c>
      <c r="AV58" s="553">
        <v>1033.0000000000036</v>
      </c>
      <c r="AW58" s="552">
        <f t="shared" si="25"/>
        <v>9</v>
      </c>
      <c r="AX58" s="662"/>
      <c r="AZ58" s="372" t="e">
        <f t="shared" si="27"/>
        <v>#N/A</v>
      </c>
      <c r="BA58" s="662"/>
    </row>
    <row r="59" spans="2:53">
      <c r="B59" s="675"/>
      <c r="C59" s="292">
        <v>18</v>
      </c>
      <c r="D59" s="528" t="s">
        <v>708</v>
      </c>
      <c r="E59" s="201">
        <v>4</v>
      </c>
      <c r="F59" s="201">
        <v>3200</v>
      </c>
      <c r="G59" s="534">
        <v>800</v>
      </c>
      <c r="H59" s="662"/>
      <c r="I59" s="363">
        <f t="shared" si="29"/>
        <v>4</v>
      </c>
      <c r="J59" s="363">
        <f t="shared" si="30"/>
        <v>3196.5171948121924</v>
      </c>
      <c r="K59" s="199">
        <f t="shared" si="31"/>
        <v>799.12929870304811</v>
      </c>
      <c r="L59" s="634"/>
      <c r="M59" s="198">
        <f>RANK(K59, K$42:$K$71)</f>
        <v>14</v>
      </c>
      <c r="N59" s="654"/>
      <c r="O59" s="654"/>
      <c r="P59" s="552">
        <v>4</v>
      </c>
      <c r="Q59" s="553">
        <v>3156.0000000000009</v>
      </c>
      <c r="R59" s="553">
        <v>789.00000000000023</v>
      </c>
      <c r="S59" s="552">
        <f t="shared" si="13"/>
        <v>13</v>
      </c>
      <c r="T59" s="662"/>
      <c r="U59" s="552">
        <v>4</v>
      </c>
      <c r="V59" s="553">
        <v>3287.5000000000009</v>
      </c>
      <c r="W59" s="553">
        <v>821.87500000000023</v>
      </c>
      <c r="X59" s="552">
        <f t="shared" si="15"/>
        <v>16</v>
      </c>
      <c r="Y59" s="662"/>
      <c r="Z59" s="552">
        <v>4</v>
      </c>
      <c r="AA59" s="553">
        <v>3208.695652173913</v>
      </c>
      <c r="AB59" s="553">
        <v>802.17391304347825</v>
      </c>
      <c r="AC59" s="552">
        <f t="shared" si="17"/>
        <v>15</v>
      </c>
      <c r="AD59" s="662"/>
      <c r="AE59" s="552">
        <v>4</v>
      </c>
      <c r="AF59" s="553">
        <v>3290.5263157894851</v>
      </c>
      <c r="AG59" s="553">
        <v>822.63157894737128</v>
      </c>
      <c r="AH59" s="552">
        <f t="shared" si="19"/>
        <v>13</v>
      </c>
      <c r="AI59" s="662"/>
      <c r="AJ59" s="552">
        <v>4</v>
      </c>
      <c r="AK59" s="553">
        <v>3102.3529411764816</v>
      </c>
      <c r="AL59" s="553">
        <v>775.58823529412041</v>
      </c>
      <c r="AM59" s="552">
        <f t="shared" si="21"/>
        <v>13</v>
      </c>
      <c r="AN59" s="662"/>
      <c r="AO59" s="552">
        <v>4</v>
      </c>
      <c r="AP59" s="553">
        <v>3084.5454545454545</v>
      </c>
      <c r="AQ59" s="553">
        <v>771.13636363636363</v>
      </c>
      <c r="AR59" s="552">
        <f t="shared" si="23"/>
        <v>16</v>
      </c>
      <c r="AS59" s="662"/>
      <c r="AT59" s="552">
        <v>4</v>
      </c>
      <c r="AU59" s="553">
        <v>3246.0000000000118</v>
      </c>
      <c r="AV59" s="553">
        <v>811.50000000000296</v>
      </c>
      <c r="AW59" s="552">
        <f t="shared" si="25"/>
        <v>14</v>
      </c>
      <c r="AX59" s="662"/>
      <c r="AZ59" s="372" t="e">
        <f t="shared" si="27"/>
        <v>#N/A</v>
      </c>
      <c r="BA59" s="662"/>
    </row>
    <row r="60" spans="2:53">
      <c r="B60" s="675"/>
      <c r="C60" s="292">
        <v>19</v>
      </c>
      <c r="D60" s="528" t="s">
        <v>566</v>
      </c>
      <c r="E60" s="201">
        <v>4</v>
      </c>
      <c r="F60" s="201">
        <v>2800</v>
      </c>
      <c r="G60" s="534">
        <v>700</v>
      </c>
      <c r="H60" s="662"/>
      <c r="I60" s="363">
        <f t="shared" si="29"/>
        <v>4</v>
      </c>
      <c r="J60" s="363">
        <f t="shared" si="30"/>
        <v>2916.6857142857161</v>
      </c>
      <c r="K60" s="199">
        <f t="shared" si="31"/>
        <v>729.17142857142903</v>
      </c>
      <c r="L60" s="634"/>
      <c r="M60" s="198">
        <f>RANK(K60, K$42:$K$71)</f>
        <v>19</v>
      </c>
      <c r="N60" s="654"/>
      <c r="O60" s="654"/>
      <c r="P60" s="552">
        <v>4</v>
      </c>
      <c r="Q60" s="553">
        <v>2747.9999999999923</v>
      </c>
      <c r="R60" s="553">
        <v>686.99999999999807</v>
      </c>
      <c r="S60" s="552">
        <f t="shared" si="13"/>
        <v>20</v>
      </c>
      <c r="T60" s="662"/>
      <c r="U60" s="552">
        <v>4</v>
      </c>
      <c r="V60" s="553">
        <v>2500.7999999999929</v>
      </c>
      <c r="W60" s="553">
        <v>625.19999999999823</v>
      </c>
      <c r="X60" s="552">
        <f t="shared" si="15"/>
        <v>21</v>
      </c>
      <c r="Y60" s="662"/>
      <c r="Z60" s="552">
        <v>4</v>
      </c>
      <c r="AA60" s="553">
        <v>2967.0000000000105</v>
      </c>
      <c r="AB60" s="553">
        <v>741.75000000000261</v>
      </c>
      <c r="AC60" s="552">
        <f t="shared" si="17"/>
        <v>19</v>
      </c>
      <c r="AD60" s="662"/>
      <c r="AE60" s="552">
        <v>4</v>
      </c>
      <c r="AF60" s="553">
        <v>2871.0000000000105</v>
      </c>
      <c r="AG60" s="553">
        <v>717.75000000000261</v>
      </c>
      <c r="AH60" s="552">
        <f t="shared" si="19"/>
        <v>19</v>
      </c>
      <c r="AI60" s="662"/>
      <c r="AJ60" s="552">
        <v>4</v>
      </c>
      <c r="AK60" s="553">
        <v>3030.0000000000105</v>
      </c>
      <c r="AL60" s="553">
        <v>757.50000000000261</v>
      </c>
      <c r="AM60" s="552">
        <f t="shared" si="21"/>
        <v>15</v>
      </c>
      <c r="AN60" s="662"/>
      <c r="AO60" s="552">
        <v>4</v>
      </c>
      <c r="AP60" s="553">
        <v>3221.9999999999854</v>
      </c>
      <c r="AQ60" s="553">
        <v>805.49999999999636</v>
      </c>
      <c r="AR60" s="552">
        <f t="shared" si="23"/>
        <v>11</v>
      </c>
      <c r="AS60" s="662"/>
      <c r="AT60" s="552">
        <v>4</v>
      </c>
      <c r="AU60" s="553">
        <v>3078.0000000000109</v>
      </c>
      <c r="AV60" s="553">
        <v>769.50000000000273</v>
      </c>
      <c r="AW60" s="552">
        <f t="shared" si="25"/>
        <v>18</v>
      </c>
      <c r="AX60" s="662"/>
      <c r="AZ60" s="372" t="e">
        <f t="shared" si="27"/>
        <v>#N/A</v>
      </c>
      <c r="BA60" s="662"/>
    </row>
    <row r="61" spans="2:53">
      <c r="B61" s="675"/>
      <c r="C61" s="292">
        <v>20</v>
      </c>
      <c r="D61" s="528" t="s">
        <v>567</v>
      </c>
      <c r="E61" s="201">
        <v>3</v>
      </c>
      <c r="F61" s="201">
        <v>2800</v>
      </c>
      <c r="G61" s="534">
        <v>933.33333333333337</v>
      </c>
      <c r="H61" s="662"/>
      <c r="I61" s="363">
        <f t="shared" si="29"/>
        <v>3</v>
      </c>
      <c r="J61" s="363">
        <f t="shared" si="30"/>
        <v>3010.2857142857015</v>
      </c>
      <c r="K61" s="199">
        <f t="shared" si="31"/>
        <v>1003.4285714285671</v>
      </c>
      <c r="L61" s="634"/>
      <c r="M61" s="198">
        <f>RANK(K61, K$42:$K$71)</f>
        <v>8</v>
      </c>
      <c r="N61" s="654"/>
      <c r="O61" s="654"/>
      <c r="P61" s="552">
        <v>3</v>
      </c>
      <c r="Q61" s="553">
        <v>3167.9999999999859</v>
      </c>
      <c r="R61" s="553">
        <v>1055.9999999999952</v>
      </c>
      <c r="S61" s="552">
        <f t="shared" si="13"/>
        <v>5</v>
      </c>
      <c r="T61" s="662"/>
      <c r="U61" s="552">
        <v>3</v>
      </c>
      <c r="V61" s="553">
        <v>3110.9999999999859</v>
      </c>
      <c r="W61" s="553">
        <v>1036.9999999999952</v>
      </c>
      <c r="X61" s="552">
        <f t="shared" si="15"/>
        <v>9</v>
      </c>
      <c r="Y61" s="662"/>
      <c r="Z61" s="552">
        <v>3</v>
      </c>
      <c r="AA61" s="553">
        <v>3008.9999999999868</v>
      </c>
      <c r="AB61" s="553">
        <v>1002.9999999999956</v>
      </c>
      <c r="AC61" s="552">
        <f t="shared" si="17"/>
        <v>9</v>
      </c>
      <c r="AD61" s="662"/>
      <c r="AE61" s="552">
        <v>3</v>
      </c>
      <c r="AF61" s="553">
        <v>2834.9999999999873</v>
      </c>
      <c r="AG61" s="553">
        <v>944.99999999999579</v>
      </c>
      <c r="AH61" s="552">
        <f t="shared" si="19"/>
        <v>10</v>
      </c>
      <c r="AI61" s="662"/>
      <c r="AJ61" s="552">
        <v>3</v>
      </c>
      <c r="AK61" s="553">
        <v>3035.9999999999864</v>
      </c>
      <c r="AL61" s="553">
        <v>1011.9999999999955</v>
      </c>
      <c r="AM61" s="552">
        <f t="shared" si="21"/>
        <v>8</v>
      </c>
      <c r="AN61" s="662"/>
      <c r="AO61" s="552">
        <v>3</v>
      </c>
      <c r="AP61" s="553">
        <v>2723.9999999999923</v>
      </c>
      <c r="AQ61" s="553">
        <v>907.99999999999739</v>
      </c>
      <c r="AR61" s="552">
        <f t="shared" si="23"/>
        <v>10</v>
      </c>
      <c r="AS61" s="662"/>
      <c r="AT61" s="552">
        <v>3</v>
      </c>
      <c r="AU61" s="553">
        <v>3188.9999999999859</v>
      </c>
      <c r="AV61" s="553">
        <v>1062.9999999999952</v>
      </c>
      <c r="AW61" s="552">
        <f t="shared" si="25"/>
        <v>8</v>
      </c>
      <c r="AX61" s="662"/>
      <c r="AZ61" s="372" t="e">
        <f t="shared" si="27"/>
        <v>#N/A</v>
      </c>
      <c r="BA61" s="662"/>
    </row>
    <row r="62" spans="2:53">
      <c r="B62" s="675"/>
      <c r="C62" s="292">
        <v>21</v>
      </c>
      <c r="D62" s="528" t="s">
        <v>568</v>
      </c>
      <c r="E62" s="201">
        <v>4</v>
      </c>
      <c r="F62" s="201">
        <v>2200</v>
      </c>
      <c r="G62" s="534">
        <v>550</v>
      </c>
      <c r="H62" s="662"/>
      <c r="I62" s="363">
        <f t="shared" si="29"/>
        <v>3</v>
      </c>
      <c r="J62" s="363">
        <f t="shared" si="30"/>
        <v>2302.979591836739</v>
      </c>
      <c r="K62" s="199">
        <f t="shared" si="31"/>
        <v>767.65986394557956</v>
      </c>
      <c r="L62" s="634"/>
      <c r="M62" s="198">
        <f>RANK(K62, K$42:$K$71)</f>
        <v>17</v>
      </c>
      <c r="N62" s="654"/>
      <c r="O62" s="654"/>
      <c r="P62" s="552">
        <v>3</v>
      </c>
      <c r="Q62" s="553">
        <v>2221.7142857142835</v>
      </c>
      <c r="R62" s="553">
        <v>740.57142857142787</v>
      </c>
      <c r="S62" s="552">
        <f t="shared" si="13"/>
        <v>16</v>
      </c>
      <c r="T62" s="662"/>
      <c r="U62" s="552">
        <v>3</v>
      </c>
      <c r="V62" s="553">
        <v>2146.2857142857124</v>
      </c>
      <c r="W62" s="553">
        <v>715.42857142857076</v>
      </c>
      <c r="X62" s="552">
        <f t="shared" si="15"/>
        <v>19</v>
      </c>
      <c r="Y62" s="662"/>
      <c r="Z62" s="552">
        <v>3</v>
      </c>
      <c r="AA62" s="553">
        <v>2384.0000000000086</v>
      </c>
      <c r="AB62" s="553">
        <v>794.66666666666958</v>
      </c>
      <c r="AC62" s="552">
        <f t="shared" si="17"/>
        <v>17</v>
      </c>
      <c r="AD62" s="662"/>
      <c r="AE62" s="552">
        <v>3</v>
      </c>
      <c r="AF62" s="553">
        <v>2224.0000000000077</v>
      </c>
      <c r="AG62" s="553">
        <v>741.33333333333587</v>
      </c>
      <c r="AH62" s="552">
        <f t="shared" si="19"/>
        <v>18</v>
      </c>
      <c r="AI62" s="662"/>
      <c r="AJ62" s="552">
        <v>3</v>
      </c>
      <c r="AK62" s="553">
        <v>2370.0000000000086</v>
      </c>
      <c r="AL62" s="553">
        <v>790.00000000000284</v>
      </c>
      <c r="AM62" s="552">
        <f t="shared" si="21"/>
        <v>12</v>
      </c>
      <c r="AN62" s="662"/>
      <c r="AO62" s="552">
        <v>3</v>
      </c>
      <c r="AP62" s="553">
        <v>2226.8571428571408</v>
      </c>
      <c r="AQ62" s="553">
        <v>742.28571428571365</v>
      </c>
      <c r="AR62" s="552">
        <f t="shared" si="23"/>
        <v>19</v>
      </c>
      <c r="AS62" s="662"/>
      <c r="AT62" s="552">
        <v>3</v>
      </c>
      <c r="AU62" s="553">
        <v>2548.0000000000091</v>
      </c>
      <c r="AV62" s="553">
        <v>849.33333333333633</v>
      </c>
      <c r="AW62" s="552">
        <f t="shared" si="25"/>
        <v>13</v>
      </c>
      <c r="AX62" s="662"/>
      <c r="AZ62" s="372" t="e">
        <f t="shared" si="27"/>
        <v>#N/A</v>
      </c>
      <c r="BA62" s="662"/>
    </row>
    <row r="63" spans="2:53">
      <c r="B63" s="675"/>
      <c r="C63" s="292">
        <v>22</v>
      </c>
      <c r="D63" s="528" t="s">
        <v>630</v>
      </c>
      <c r="E63" s="201">
        <v>4</v>
      </c>
      <c r="F63" s="201">
        <v>2200</v>
      </c>
      <c r="G63" s="534">
        <v>550</v>
      </c>
      <c r="H63" s="662"/>
      <c r="I63" s="363">
        <f t="shared" si="29"/>
        <v>4</v>
      </c>
      <c r="J63" s="363">
        <f t="shared" si="30"/>
        <v>2285.7823129251733</v>
      </c>
      <c r="K63" s="199">
        <f t="shared" si="31"/>
        <v>571.44557823129333</v>
      </c>
      <c r="L63" s="634"/>
      <c r="M63" s="198">
        <f>RANK(K63, K$42:$K$71)</f>
        <v>22</v>
      </c>
      <c r="N63" s="654"/>
      <c r="O63" s="654"/>
      <c r="P63" s="552">
        <v>4</v>
      </c>
      <c r="Q63" s="553">
        <v>2033.1428571428551</v>
      </c>
      <c r="R63" s="553">
        <v>508.28571428571377</v>
      </c>
      <c r="S63" s="552">
        <f t="shared" si="13"/>
        <v>22</v>
      </c>
      <c r="T63" s="662"/>
      <c r="U63" s="552">
        <v>4</v>
      </c>
      <c r="V63" s="553">
        <v>2250.0000000000082</v>
      </c>
      <c r="W63" s="553">
        <v>562.50000000000205</v>
      </c>
      <c r="X63" s="552">
        <f t="shared" si="15"/>
        <v>22</v>
      </c>
      <c r="Y63" s="662"/>
      <c r="Z63" s="552">
        <v>4</v>
      </c>
      <c r="AA63" s="553">
        <v>2512.7999999999929</v>
      </c>
      <c r="AB63" s="553">
        <v>628.19999999999823</v>
      </c>
      <c r="AC63" s="552">
        <f t="shared" si="17"/>
        <v>22</v>
      </c>
      <c r="AD63" s="662"/>
      <c r="AE63" s="552">
        <v>4</v>
      </c>
      <c r="AF63" s="553">
        <v>2019.9999999999964</v>
      </c>
      <c r="AG63" s="553">
        <v>504.99999999999909</v>
      </c>
      <c r="AH63" s="552">
        <f t="shared" si="19"/>
        <v>22</v>
      </c>
      <c r="AI63" s="662"/>
      <c r="AJ63" s="552">
        <v>4</v>
      </c>
      <c r="AK63" s="553">
        <v>2443.2000000000089</v>
      </c>
      <c r="AL63" s="553">
        <v>610.80000000000223</v>
      </c>
      <c r="AM63" s="552">
        <f t="shared" si="21"/>
        <v>22</v>
      </c>
      <c r="AN63" s="662"/>
      <c r="AO63" s="552">
        <v>4</v>
      </c>
      <c r="AP63" s="553">
        <v>2288.0000000000082</v>
      </c>
      <c r="AQ63" s="553">
        <v>572.00000000000205</v>
      </c>
      <c r="AR63" s="552">
        <f t="shared" si="23"/>
        <v>22</v>
      </c>
      <c r="AS63" s="662"/>
      <c r="AT63" s="552">
        <v>4</v>
      </c>
      <c r="AU63" s="553">
        <v>2453.3333333333421</v>
      </c>
      <c r="AV63" s="553">
        <v>613.33333333333553</v>
      </c>
      <c r="AW63" s="552">
        <f t="shared" si="25"/>
        <v>21</v>
      </c>
      <c r="AX63" s="662"/>
      <c r="AZ63" s="372" t="e">
        <f t="shared" si="27"/>
        <v>#N/A</v>
      </c>
      <c r="BA63" s="662"/>
    </row>
    <row r="64" spans="2:53">
      <c r="B64" s="675"/>
      <c r="C64" s="292">
        <v>23</v>
      </c>
      <c r="D64" s="201" t="s">
        <v>633</v>
      </c>
      <c r="E64" s="201">
        <v>5</v>
      </c>
      <c r="F64" s="201">
        <v>2200</v>
      </c>
      <c r="G64" s="534">
        <v>333.33333333333331</v>
      </c>
      <c r="H64" s="662"/>
      <c r="I64" s="363">
        <f t="shared" si="29"/>
        <v>5</v>
      </c>
      <c r="J64" s="363">
        <f t="shared" si="30"/>
        <v>1920.965748537184</v>
      </c>
      <c r="K64" s="199">
        <f t="shared" si="31"/>
        <v>384.19314970743682</v>
      </c>
      <c r="L64" s="634"/>
      <c r="M64" s="198">
        <f>RANK(K64, K$42:$K$71)</f>
        <v>23</v>
      </c>
      <c r="N64" s="654"/>
      <c r="O64" s="654"/>
      <c r="P64" s="552">
        <v>5</v>
      </c>
      <c r="Q64" s="553">
        <v>1838.5714285714353</v>
      </c>
      <c r="R64" s="553">
        <v>367.71428571428703</v>
      </c>
      <c r="S64" s="552">
        <f t="shared" si="13"/>
        <v>23</v>
      </c>
      <c r="T64" s="662"/>
      <c r="U64" s="552">
        <v>5</v>
      </c>
      <c r="V64" s="553">
        <v>1878.4615384615452</v>
      </c>
      <c r="W64" s="553">
        <v>375.69230769230904</v>
      </c>
      <c r="X64" s="552">
        <f t="shared" si="15"/>
        <v>23</v>
      </c>
      <c r="Y64" s="662"/>
      <c r="Z64" s="552">
        <v>5</v>
      </c>
      <c r="AA64" s="553">
        <v>1930.0000000000066</v>
      </c>
      <c r="AB64" s="553">
        <v>386.00000000000131</v>
      </c>
      <c r="AC64" s="552">
        <f t="shared" si="17"/>
        <v>24</v>
      </c>
      <c r="AD64" s="662"/>
      <c r="AE64" s="552">
        <v>5</v>
      </c>
      <c r="AF64" s="553">
        <v>1962.000000000007</v>
      </c>
      <c r="AG64" s="553">
        <v>392.4000000000014</v>
      </c>
      <c r="AH64" s="552">
        <f t="shared" si="19"/>
        <v>23</v>
      </c>
      <c r="AI64" s="662"/>
      <c r="AJ64" s="552">
        <v>5</v>
      </c>
      <c r="AK64" s="553">
        <v>1865.4545454545521</v>
      </c>
      <c r="AL64" s="553">
        <v>373.09090909091043</v>
      </c>
      <c r="AM64" s="552">
        <f t="shared" si="21"/>
        <v>24</v>
      </c>
      <c r="AN64" s="662"/>
      <c r="AO64" s="552">
        <v>5</v>
      </c>
      <c r="AP64" s="553">
        <v>1965.0000000000068</v>
      </c>
      <c r="AQ64" s="553">
        <v>393.00000000000136</v>
      </c>
      <c r="AR64" s="552">
        <f t="shared" si="23"/>
        <v>24</v>
      </c>
      <c r="AS64" s="662"/>
      <c r="AT64" s="552">
        <v>5</v>
      </c>
      <c r="AU64" s="553">
        <v>2007.2727272727345</v>
      </c>
      <c r="AV64" s="553">
        <v>401.45454545454692</v>
      </c>
      <c r="AW64" s="552">
        <f t="shared" si="25"/>
        <v>22</v>
      </c>
      <c r="AX64" s="662"/>
      <c r="AZ64" s="372" t="e">
        <f t="shared" si="27"/>
        <v>#N/A</v>
      </c>
      <c r="BA64" s="662"/>
    </row>
    <row r="65" spans="2:53">
      <c r="B65" s="675"/>
      <c r="C65" s="292">
        <v>24</v>
      </c>
      <c r="D65" s="528" t="s">
        <v>634</v>
      </c>
      <c r="E65" s="201">
        <v>5</v>
      </c>
      <c r="F65" s="201">
        <v>2200</v>
      </c>
      <c r="G65" s="534">
        <v>333.33333333333331</v>
      </c>
      <c r="H65" s="662"/>
      <c r="I65" s="363">
        <f t="shared" si="29"/>
        <v>5</v>
      </c>
      <c r="J65" s="363">
        <f t="shared" si="30"/>
        <v>1889.8639455782381</v>
      </c>
      <c r="K65" s="199">
        <f t="shared" si="31"/>
        <v>377.97278911564763</v>
      </c>
      <c r="L65" s="634"/>
      <c r="M65" s="198">
        <f>RANK(K65, K$42:$K$71)</f>
        <v>24</v>
      </c>
      <c r="N65" s="654"/>
      <c r="O65" s="654"/>
      <c r="P65" s="552">
        <v>5</v>
      </c>
      <c r="Q65" s="553">
        <v>1793.3333333333399</v>
      </c>
      <c r="R65" s="553">
        <v>358.66666666666799</v>
      </c>
      <c r="S65" s="552">
        <f t="shared" si="13"/>
        <v>24</v>
      </c>
      <c r="T65" s="662"/>
      <c r="U65" s="552">
        <v>5</v>
      </c>
      <c r="V65" s="553">
        <v>1820.0000000000066</v>
      </c>
      <c r="W65" s="553">
        <v>364.00000000000131</v>
      </c>
      <c r="X65" s="552">
        <f t="shared" si="15"/>
        <v>24</v>
      </c>
      <c r="Y65" s="662"/>
      <c r="Z65" s="552">
        <v>5</v>
      </c>
      <c r="AA65" s="553">
        <v>1980.0000000000068</v>
      </c>
      <c r="AB65" s="553">
        <v>396.00000000000136</v>
      </c>
      <c r="AC65" s="552">
        <f t="shared" si="17"/>
        <v>23</v>
      </c>
      <c r="AD65" s="662"/>
      <c r="AE65" s="552">
        <v>5</v>
      </c>
      <c r="AF65" s="553">
        <v>1910.0000000000068</v>
      </c>
      <c r="AG65" s="553">
        <v>382.00000000000136</v>
      </c>
      <c r="AH65" s="552">
        <f t="shared" si="19"/>
        <v>24</v>
      </c>
      <c r="AI65" s="662"/>
      <c r="AJ65" s="552">
        <v>5</v>
      </c>
      <c r="AK65" s="553">
        <v>1920.0000000000068</v>
      </c>
      <c r="AL65" s="553">
        <v>384.00000000000136</v>
      </c>
      <c r="AM65" s="552">
        <f t="shared" si="21"/>
        <v>23</v>
      </c>
      <c r="AN65" s="662"/>
      <c r="AO65" s="552">
        <v>5</v>
      </c>
      <c r="AP65" s="553">
        <v>1997.1428571428644</v>
      </c>
      <c r="AQ65" s="553">
        <v>399.42857142857287</v>
      </c>
      <c r="AR65" s="552">
        <f t="shared" si="23"/>
        <v>23</v>
      </c>
      <c r="AS65" s="662"/>
      <c r="AT65" s="552">
        <v>5</v>
      </c>
      <c r="AU65" s="553">
        <v>1808.571428571435</v>
      </c>
      <c r="AV65" s="553">
        <v>361.71428571428703</v>
      </c>
      <c r="AW65" s="552">
        <f t="shared" si="25"/>
        <v>23</v>
      </c>
      <c r="AX65" s="662"/>
      <c r="AZ65" s="372" t="e">
        <f t="shared" si="27"/>
        <v>#N/A</v>
      </c>
      <c r="BA65" s="662"/>
    </row>
    <row r="66" spans="2:53">
      <c r="B66" s="675"/>
      <c r="C66" s="292">
        <v>25</v>
      </c>
      <c r="D66" s="201" t="s">
        <v>594</v>
      </c>
      <c r="E66" s="201">
        <v>8</v>
      </c>
      <c r="F66" s="201">
        <v>1500</v>
      </c>
      <c r="G66" s="534">
        <v>187.5</v>
      </c>
      <c r="H66" s="662"/>
      <c r="I66" s="363">
        <f t="shared" si="29"/>
        <v>12</v>
      </c>
      <c r="J66" s="363">
        <f t="shared" si="30"/>
        <v>1451.0760714784496</v>
      </c>
      <c r="K66" s="199">
        <f t="shared" si="31"/>
        <v>120.92300595653748</v>
      </c>
      <c r="L66" s="634"/>
      <c r="M66" s="198">
        <f>RANK(K66, K$42:$K$71)</f>
        <v>25</v>
      </c>
      <c r="N66" s="654"/>
      <c r="O66" s="654"/>
      <c r="P66" s="552">
        <v>12</v>
      </c>
      <c r="Q66" s="553">
        <v>1384.8387096774206</v>
      </c>
      <c r="R66" s="553">
        <v>115.40322580645172</v>
      </c>
      <c r="S66" s="552">
        <f t="shared" si="13"/>
        <v>25</v>
      </c>
      <c r="T66" s="662"/>
      <c r="U66" s="552">
        <v>12</v>
      </c>
      <c r="V66" s="553">
        <v>1372.131147540985</v>
      </c>
      <c r="W66" s="553">
        <v>114.34426229508209</v>
      </c>
      <c r="X66" s="552">
        <f t="shared" si="15"/>
        <v>25</v>
      </c>
      <c r="Y66" s="662"/>
      <c r="Z66" s="552">
        <v>12</v>
      </c>
      <c r="AA66" s="553">
        <v>1498.8679245283029</v>
      </c>
      <c r="AB66" s="553">
        <v>124.90566037735857</v>
      </c>
      <c r="AC66" s="552">
        <f t="shared" si="17"/>
        <v>25</v>
      </c>
      <c r="AD66" s="662"/>
      <c r="AE66" s="552">
        <v>12</v>
      </c>
      <c r="AF66" s="553">
        <v>1481.6326530612248</v>
      </c>
      <c r="AG66" s="553">
        <v>123.46938775510206</v>
      </c>
      <c r="AH66" s="552">
        <f t="shared" si="19"/>
        <v>25</v>
      </c>
      <c r="AI66" s="662"/>
      <c r="AJ66" s="552">
        <v>12</v>
      </c>
      <c r="AK66" s="553">
        <v>1461.5094339622649</v>
      </c>
      <c r="AL66" s="553">
        <v>121.79245283018874</v>
      </c>
      <c r="AM66" s="552">
        <f t="shared" si="21"/>
        <v>25</v>
      </c>
      <c r="AN66" s="662"/>
      <c r="AO66" s="552">
        <v>12</v>
      </c>
      <c r="AP66" s="553">
        <v>1481.0526315789484</v>
      </c>
      <c r="AQ66" s="553">
        <v>123.42105263157903</v>
      </c>
      <c r="AR66" s="552">
        <f t="shared" si="23"/>
        <v>25</v>
      </c>
      <c r="AS66" s="662"/>
      <c r="AT66" s="552">
        <v>12</v>
      </c>
      <c r="AU66" s="553">
        <v>1477.5000000000011</v>
      </c>
      <c r="AV66" s="553">
        <v>123.1250000000001</v>
      </c>
      <c r="AW66" s="552">
        <f t="shared" si="25"/>
        <v>24</v>
      </c>
      <c r="AX66" s="662"/>
      <c r="AZ66" s="372" t="e">
        <f t="shared" si="27"/>
        <v>#N/A</v>
      </c>
      <c r="BA66" s="662"/>
    </row>
    <row r="67" spans="2:53">
      <c r="B67" s="675"/>
      <c r="C67" s="292">
        <v>26</v>
      </c>
      <c r="D67" s="201"/>
      <c r="E67" s="201"/>
      <c r="F67" s="201"/>
      <c r="G67" s="534"/>
      <c r="H67" s="662"/>
      <c r="I67" s="363" t="str">
        <f t="shared" si="29"/>
        <v>-</v>
      </c>
      <c r="J67" s="363" t="str">
        <f t="shared" si="30"/>
        <v>-</v>
      </c>
      <c r="K67" s="199" t="str">
        <f t="shared" si="31"/>
        <v>-</v>
      </c>
      <c r="L67" s="634"/>
      <c r="M67" s="198" t="e">
        <f>RANK(K67, K$42:$K$71)</f>
        <v>#VALUE!</v>
      </c>
      <c r="N67" s="654"/>
      <c r="O67" s="654"/>
      <c r="P67" s="552"/>
      <c r="Q67" s="553"/>
      <c r="R67" s="553"/>
      <c r="S67" s="552" t="e">
        <f t="shared" si="13"/>
        <v>#N/A</v>
      </c>
      <c r="T67" s="662"/>
      <c r="U67" s="552"/>
      <c r="V67" s="553"/>
      <c r="W67" s="553"/>
      <c r="X67" s="552" t="e">
        <f t="shared" si="15"/>
        <v>#N/A</v>
      </c>
      <c r="Y67" s="662"/>
      <c r="Z67" s="552"/>
      <c r="AA67" s="553"/>
      <c r="AB67" s="553"/>
      <c r="AC67" s="552" t="e">
        <f t="shared" si="17"/>
        <v>#N/A</v>
      </c>
      <c r="AD67" s="662"/>
      <c r="AE67" s="552"/>
      <c r="AF67" s="553"/>
      <c r="AG67" s="553"/>
      <c r="AH67" s="552" t="e">
        <f t="shared" si="19"/>
        <v>#N/A</v>
      </c>
      <c r="AI67" s="662"/>
      <c r="AJ67" s="552"/>
      <c r="AK67" s="553"/>
      <c r="AL67" s="553"/>
      <c r="AM67" s="552" t="e">
        <f t="shared" si="21"/>
        <v>#N/A</v>
      </c>
      <c r="AN67" s="662"/>
      <c r="AO67" s="552"/>
      <c r="AP67" s="553"/>
      <c r="AQ67" s="553"/>
      <c r="AR67" s="552" t="e">
        <f t="shared" si="23"/>
        <v>#N/A</v>
      </c>
      <c r="AS67" s="662"/>
      <c r="AT67" s="552"/>
      <c r="AU67" s="553"/>
      <c r="AV67" s="553"/>
      <c r="AW67" s="552" t="e">
        <f t="shared" si="25"/>
        <v>#N/A</v>
      </c>
      <c r="AX67" s="662"/>
      <c r="AZ67" s="372" t="e">
        <f t="shared" si="27"/>
        <v>#N/A</v>
      </c>
      <c r="BA67" s="662"/>
    </row>
    <row r="68" spans="2:53">
      <c r="B68" s="675"/>
      <c r="C68" s="292">
        <v>27</v>
      </c>
      <c r="D68" s="201"/>
      <c r="E68" s="201"/>
      <c r="F68" s="201"/>
      <c r="G68" s="534"/>
      <c r="H68" s="662"/>
      <c r="I68" s="363" t="str">
        <f t="shared" si="29"/>
        <v>-</v>
      </c>
      <c r="J68" s="363" t="str">
        <f t="shared" si="30"/>
        <v>-</v>
      </c>
      <c r="K68" s="199" t="str">
        <f t="shared" si="31"/>
        <v>-</v>
      </c>
      <c r="L68" s="634"/>
      <c r="M68" s="198" t="e">
        <f>RANK(K68, K$42:$K$71)</f>
        <v>#VALUE!</v>
      </c>
      <c r="N68" s="654"/>
      <c r="O68" s="654"/>
      <c r="P68" s="552"/>
      <c r="Q68" s="553"/>
      <c r="R68" s="553"/>
      <c r="S68" s="552" t="e">
        <f t="shared" si="13"/>
        <v>#N/A</v>
      </c>
      <c r="T68" s="662"/>
      <c r="U68" s="552"/>
      <c r="V68" s="553"/>
      <c r="W68" s="553"/>
      <c r="X68" s="552" t="e">
        <f t="shared" si="15"/>
        <v>#N/A</v>
      </c>
      <c r="Y68" s="662"/>
      <c r="Z68" s="552"/>
      <c r="AA68" s="553"/>
      <c r="AB68" s="553"/>
      <c r="AC68" s="552" t="e">
        <f t="shared" si="17"/>
        <v>#N/A</v>
      </c>
      <c r="AD68" s="662"/>
      <c r="AE68" s="552"/>
      <c r="AF68" s="553"/>
      <c r="AG68" s="553"/>
      <c r="AH68" s="552" t="e">
        <f t="shared" si="19"/>
        <v>#N/A</v>
      </c>
      <c r="AI68" s="662"/>
      <c r="AJ68" s="552"/>
      <c r="AK68" s="553"/>
      <c r="AL68" s="553"/>
      <c r="AM68" s="552" t="e">
        <f t="shared" si="21"/>
        <v>#N/A</v>
      </c>
      <c r="AN68" s="662"/>
      <c r="AO68" s="552"/>
      <c r="AP68" s="553"/>
      <c r="AQ68" s="553"/>
      <c r="AR68" s="552" t="e">
        <f t="shared" si="23"/>
        <v>#N/A</v>
      </c>
      <c r="AS68" s="662"/>
      <c r="AT68" s="552"/>
      <c r="AU68" s="553"/>
      <c r="AV68" s="553"/>
      <c r="AW68" s="552" t="e">
        <f t="shared" si="25"/>
        <v>#N/A</v>
      </c>
      <c r="AX68" s="662"/>
      <c r="AZ68" s="372" t="e">
        <f t="shared" si="27"/>
        <v>#N/A</v>
      </c>
      <c r="BA68" s="662"/>
    </row>
    <row r="69" spans="2:53">
      <c r="B69" s="675"/>
      <c r="C69" s="292">
        <v>28</v>
      </c>
      <c r="D69" s="201"/>
      <c r="E69" s="201"/>
      <c r="F69" s="201"/>
      <c r="G69" s="201"/>
      <c r="H69" s="662"/>
      <c r="I69" s="363" t="str">
        <f t="shared" si="29"/>
        <v>-</v>
      </c>
      <c r="J69" s="363" t="str">
        <f t="shared" si="30"/>
        <v>-</v>
      </c>
      <c r="K69" s="199" t="str">
        <f t="shared" si="31"/>
        <v>-</v>
      </c>
      <c r="L69" s="634"/>
      <c r="M69" s="198" t="e">
        <f>RANK(K69, K$42:$K$71)</f>
        <v>#VALUE!</v>
      </c>
      <c r="N69" s="654"/>
      <c r="O69" s="654"/>
      <c r="P69" s="552"/>
      <c r="Q69" s="553"/>
      <c r="R69" s="553"/>
      <c r="S69" s="552" t="e">
        <f t="shared" si="13"/>
        <v>#N/A</v>
      </c>
      <c r="T69" s="662"/>
      <c r="U69" s="552"/>
      <c r="V69" s="553"/>
      <c r="W69" s="553"/>
      <c r="X69" s="552" t="e">
        <f t="shared" si="15"/>
        <v>#N/A</v>
      </c>
      <c r="Y69" s="662"/>
      <c r="Z69" s="552"/>
      <c r="AA69" s="553"/>
      <c r="AB69" s="553"/>
      <c r="AC69" s="552" t="e">
        <f t="shared" si="17"/>
        <v>#N/A</v>
      </c>
      <c r="AD69" s="662"/>
      <c r="AE69" s="552"/>
      <c r="AF69" s="553"/>
      <c r="AG69" s="553"/>
      <c r="AH69" s="552" t="e">
        <f t="shared" si="19"/>
        <v>#N/A</v>
      </c>
      <c r="AI69" s="662"/>
      <c r="AJ69" s="552"/>
      <c r="AK69" s="553"/>
      <c r="AL69" s="553"/>
      <c r="AM69" s="552" t="e">
        <f t="shared" si="21"/>
        <v>#N/A</v>
      </c>
      <c r="AN69" s="662"/>
      <c r="AO69" s="552"/>
      <c r="AP69" s="553"/>
      <c r="AQ69" s="553"/>
      <c r="AR69" s="552" t="e">
        <f t="shared" si="23"/>
        <v>#N/A</v>
      </c>
      <c r="AS69" s="662"/>
      <c r="AT69" s="552"/>
      <c r="AU69" s="553"/>
      <c r="AV69" s="553"/>
      <c r="AW69" s="552" t="e">
        <f t="shared" si="25"/>
        <v>#N/A</v>
      </c>
      <c r="AX69" s="662"/>
      <c r="AZ69" s="372" t="e">
        <f t="shared" si="27"/>
        <v>#N/A</v>
      </c>
      <c r="BA69" s="662"/>
    </row>
    <row r="70" spans="2:53">
      <c r="B70" s="675"/>
      <c r="C70" s="292">
        <v>29</v>
      </c>
      <c r="D70" s="201"/>
      <c r="E70" s="201"/>
      <c r="F70" s="201"/>
      <c r="G70" s="201"/>
      <c r="H70" s="662"/>
      <c r="I70" s="363" t="str">
        <f t="shared" si="29"/>
        <v>-</v>
      </c>
      <c r="J70" s="363" t="str">
        <f t="shared" si="30"/>
        <v>-</v>
      </c>
      <c r="K70" s="199" t="str">
        <f t="shared" si="31"/>
        <v>-</v>
      </c>
      <c r="L70" s="634"/>
      <c r="M70" s="198" t="e">
        <f>RANK(K70, K$42:$K$71)</f>
        <v>#VALUE!</v>
      </c>
      <c r="N70" s="654"/>
      <c r="O70" s="654"/>
      <c r="P70" s="552"/>
      <c r="Q70" s="553"/>
      <c r="R70" s="553"/>
      <c r="S70" s="552" t="e">
        <f t="shared" si="13"/>
        <v>#N/A</v>
      </c>
      <c r="T70" s="662"/>
      <c r="U70" s="552"/>
      <c r="V70" s="553"/>
      <c r="W70" s="553"/>
      <c r="X70" s="552" t="e">
        <f t="shared" si="15"/>
        <v>#N/A</v>
      </c>
      <c r="Y70" s="662"/>
      <c r="Z70" s="552"/>
      <c r="AA70" s="553"/>
      <c r="AB70" s="553"/>
      <c r="AC70" s="552" t="e">
        <f t="shared" si="17"/>
        <v>#N/A</v>
      </c>
      <c r="AD70" s="662"/>
      <c r="AE70" s="552"/>
      <c r="AF70" s="553"/>
      <c r="AG70" s="553"/>
      <c r="AH70" s="552" t="e">
        <f t="shared" si="19"/>
        <v>#N/A</v>
      </c>
      <c r="AI70" s="662"/>
      <c r="AJ70" s="552"/>
      <c r="AK70" s="553"/>
      <c r="AL70" s="553"/>
      <c r="AM70" s="552" t="e">
        <f t="shared" si="21"/>
        <v>#N/A</v>
      </c>
      <c r="AN70" s="662"/>
      <c r="AO70" s="552"/>
      <c r="AP70" s="553"/>
      <c r="AQ70" s="553"/>
      <c r="AR70" s="552" t="e">
        <f t="shared" si="23"/>
        <v>#N/A</v>
      </c>
      <c r="AS70" s="662"/>
      <c r="AT70" s="552"/>
      <c r="AU70" s="553"/>
      <c r="AV70" s="553"/>
      <c r="AW70" s="552" t="e">
        <f t="shared" si="25"/>
        <v>#N/A</v>
      </c>
      <c r="AX70" s="662"/>
      <c r="AZ70" s="372" t="e">
        <f t="shared" si="27"/>
        <v>#N/A</v>
      </c>
      <c r="BA70" s="662"/>
    </row>
    <row r="71" spans="2:53">
      <c r="B71" s="676"/>
      <c r="C71" s="292">
        <v>30</v>
      </c>
      <c r="D71" s="201"/>
      <c r="E71" s="201"/>
      <c r="F71" s="201"/>
      <c r="G71" s="201"/>
      <c r="H71" s="663"/>
      <c r="I71" s="363" t="str">
        <f t="shared" si="29"/>
        <v>-</v>
      </c>
      <c r="J71" s="363" t="str">
        <f t="shared" si="30"/>
        <v>-</v>
      </c>
      <c r="K71" s="199" t="str">
        <f t="shared" si="31"/>
        <v>-</v>
      </c>
      <c r="L71" s="635"/>
      <c r="M71" s="198" t="e">
        <f>RANK(K71, K$42:$K$71)</f>
        <v>#VALUE!</v>
      </c>
      <c r="N71" s="655"/>
      <c r="O71" s="655"/>
      <c r="P71" s="552"/>
      <c r="Q71" s="553"/>
      <c r="R71" s="553"/>
      <c r="S71" s="552" t="e">
        <f t="shared" si="13"/>
        <v>#N/A</v>
      </c>
      <c r="T71" s="663"/>
      <c r="U71" s="552"/>
      <c r="V71" s="553"/>
      <c r="W71" s="553"/>
      <c r="X71" s="552" t="e">
        <f t="shared" si="15"/>
        <v>#N/A</v>
      </c>
      <c r="Y71" s="663"/>
      <c r="Z71" s="552"/>
      <c r="AA71" s="553"/>
      <c r="AB71" s="553"/>
      <c r="AC71" s="552" t="e">
        <f t="shared" si="17"/>
        <v>#N/A</v>
      </c>
      <c r="AD71" s="663"/>
      <c r="AE71" s="552"/>
      <c r="AF71" s="553"/>
      <c r="AG71" s="553"/>
      <c r="AH71" s="552" t="e">
        <f t="shared" si="19"/>
        <v>#N/A</v>
      </c>
      <c r="AI71" s="663"/>
      <c r="AJ71" s="552"/>
      <c r="AK71" s="553"/>
      <c r="AL71" s="553"/>
      <c r="AM71" s="552" t="e">
        <f t="shared" si="21"/>
        <v>#N/A</v>
      </c>
      <c r="AN71" s="663"/>
      <c r="AO71" s="552"/>
      <c r="AP71" s="553"/>
      <c r="AQ71" s="553"/>
      <c r="AR71" s="552" t="e">
        <f t="shared" si="23"/>
        <v>#N/A</v>
      </c>
      <c r="AS71" s="663"/>
      <c r="AT71" s="552"/>
      <c r="AU71" s="553"/>
      <c r="AV71" s="553"/>
      <c r="AW71" s="552" t="e">
        <f t="shared" si="25"/>
        <v>#N/A</v>
      </c>
      <c r="AX71" s="663"/>
      <c r="AZ71" s="372" t="e">
        <f t="shared" si="27"/>
        <v>#N/A</v>
      </c>
      <c r="BA71" s="663"/>
    </row>
    <row r="72" spans="2:53" ht="15.75">
      <c r="B72" s="677" t="s">
        <v>162</v>
      </c>
      <c r="C72" s="678"/>
      <c r="D72" s="678"/>
      <c r="E72" s="678"/>
      <c r="F72" s="678"/>
      <c r="G72" s="678"/>
      <c r="H72" s="678"/>
      <c r="I72" s="207"/>
      <c r="J72" s="202"/>
      <c r="K72" s="207"/>
      <c r="L72" s="207"/>
      <c r="M72" s="203"/>
      <c r="N72" s="653" t="s">
        <v>156</v>
      </c>
      <c r="O72" s="653" t="s">
        <v>155</v>
      </c>
      <c r="P72" s="659">
        <f>P37+7</f>
        <v>46245</v>
      </c>
      <c r="Q72" s="660"/>
      <c r="R72" s="660"/>
      <c r="S72" s="660"/>
      <c r="T72" s="660"/>
      <c r="U72" s="656">
        <f>P72+1</f>
        <v>46246</v>
      </c>
      <c r="V72" s="657"/>
      <c r="W72" s="657"/>
      <c r="X72" s="657"/>
      <c r="Y72" s="658"/>
      <c r="Z72" s="656">
        <f>U72+1</f>
        <v>46247</v>
      </c>
      <c r="AA72" s="657"/>
      <c r="AB72" s="657"/>
      <c r="AC72" s="657"/>
      <c r="AD72" s="658"/>
      <c r="AE72" s="656">
        <f>Z72+1</f>
        <v>46248</v>
      </c>
      <c r="AF72" s="657"/>
      <c r="AG72" s="657"/>
      <c r="AH72" s="657"/>
      <c r="AI72" s="658"/>
      <c r="AJ72" s="656">
        <f>AE72+1</f>
        <v>46249</v>
      </c>
      <c r="AK72" s="657"/>
      <c r="AL72" s="657"/>
      <c r="AM72" s="657"/>
      <c r="AN72" s="658"/>
      <c r="AO72" s="656">
        <f>AJ72+1</f>
        <v>46250</v>
      </c>
      <c r="AP72" s="657"/>
      <c r="AQ72" s="657"/>
      <c r="AR72" s="657"/>
      <c r="AS72" s="658"/>
      <c r="AT72" s="656">
        <f>AO72+1</f>
        <v>46251</v>
      </c>
      <c r="AU72" s="657"/>
      <c r="AV72" s="657"/>
      <c r="AW72" s="657"/>
      <c r="AX72" s="658"/>
    </row>
    <row r="73" spans="2:53" ht="15.75">
      <c r="B73" s="667"/>
      <c r="C73" s="667"/>
      <c r="D73" s="667"/>
      <c r="E73" s="667"/>
      <c r="F73" s="667"/>
      <c r="G73" s="667"/>
      <c r="H73" s="667"/>
      <c r="I73" s="204"/>
      <c r="J73" s="204"/>
      <c r="K73" s="204"/>
      <c r="L73" s="204"/>
      <c r="M73" s="205"/>
      <c r="N73" s="655"/>
      <c r="O73" s="655"/>
      <c r="P73" s="659" t="s">
        <v>317</v>
      </c>
      <c r="Q73" s="660"/>
      <c r="R73" s="660"/>
      <c r="S73" s="660"/>
      <c r="T73" s="660"/>
      <c r="U73" s="659" t="s">
        <v>318</v>
      </c>
      <c r="V73" s="660"/>
      <c r="W73" s="660"/>
      <c r="X73" s="660"/>
      <c r="Y73" s="660"/>
      <c r="Z73" s="659" t="s">
        <v>319</v>
      </c>
      <c r="AA73" s="660"/>
      <c r="AB73" s="660"/>
      <c r="AC73" s="660"/>
      <c r="AD73" s="660"/>
      <c r="AE73" s="659" t="s">
        <v>320</v>
      </c>
      <c r="AF73" s="660"/>
      <c r="AG73" s="660"/>
      <c r="AH73" s="660"/>
      <c r="AI73" s="660"/>
      <c r="AJ73" s="659" t="s">
        <v>321</v>
      </c>
      <c r="AK73" s="660"/>
      <c r="AL73" s="660"/>
      <c r="AM73" s="660"/>
      <c r="AN73" s="660"/>
      <c r="AO73" s="659" t="s">
        <v>322</v>
      </c>
      <c r="AP73" s="660"/>
      <c r="AQ73" s="660"/>
      <c r="AR73" s="660"/>
      <c r="AS73" s="660"/>
      <c r="AT73" s="659" t="s">
        <v>323</v>
      </c>
      <c r="AU73" s="660"/>
      <c r="AV73" s="660"/>
      <c r="AW73" s="660"/>
      <c r="AX73" s="660"/>
    </row>
    <row r="74" spans="2:53">
      <c r="B74" s="653" t="s">
        <v>453</v>
      </c>
      <c r="C74" s="668" t="s">
        <v>454</v>
      </c>
      <c r="D74" s="671"/>
      <c r="E74" s="649" t="s">
        <v>455</v>
      </c>
      <c r="F74" s="650"/>
      <c r="G74" s="651"/>
      <c r="H74" s="653" t="s">
        <v>456</v>
      </c>
      <c r="I74" s="640" t="s">
        <v>457</v>
      </c>
      <c r="J74" s="641"/>
      <c r="K74" s="642"/>
      <c r="L74" s="643" t="s">
        <v>456</v>
      </c>
      <c r="M74" s="643" t="s">
        <v>458</v>
      </c>
      <c r="N74" s="653"/>
      <c r="O74" s="653" t="s">
        <v>459</v>
      </c>
      <c r="P74" s="649" t="s">
        <v>460</v>
      </c>
      <c r="Q74" s="650"/>
      <c r="R74" s="650"/>
      <c r="S74" s="651"/>
      <c r="T74" s="653" t="s">
        <v>456</v>
      </c>
      <c r="U74" s="649" t="s">
        <v>460</v>
      </c>
      <c r="V74" s="650"/>
      <c r="W74" s="650"/>
      <c r="X74" s="651"/>
      <c r="Y74" s="653" t="s">
        <v>456</v>
      </c>
      <c r="Z74" s="649" t="s">
        <v>460</v>
      </c>
      <c r="AA74" s="650"/>
      <c r="AB74" s="650"/>
      <c r="AC74" s="651"/>
      <c r="AD74" s="653" t="s">
        <v>456</v>
      </c>
      <c r="AE74" s="649" t="s">
        <v>460</v>
      </c>
      <c r="AF74" s="650"/>
      <c r="AG74" s="650"/>
      <c r="AH74" s="651"/>
      <c r="AI74" s="653" t="s">
        <v>456</v>
      </c>
      <c r="AJ74" s="649" t="s">
        <v>460</v>
      </c>
      <c r="AK74" s="650"/>
      <c r="AL74" s="650"/>
      <c r="AM74" s="651"/>
      <c r="AN74" s="653" t="s">
        <v>456</v>
      </c>
      <c r="AO74" s="649" t="s">
        <v>460</v>
      </c>
      <c r="AP74" s="650"/>
      <c r="AQ74" s="650"/>
      <c r="AR74" s="651"/>
      <c r="AS74" s="653" t="s">
        <v>456</v>
      </c>
      <c r="AT74" s="649" t="s">
        <v>460</v>
      </c>
      <c r="AU74" s="650"/>
      <c r="AV74" s="650"/>
      <c r="AW74" s="651"/>
      <c r="AX74" s="653" t="s">
        <v>456</v>
      </c>
      <c r="BA74" s="653" t="s">
        <v>366</v>
      </c>
    </row>
    <row r="75" spans="2:53">
      <c r="B75" s="654"/>
      <c r="C75" s="669"/>
      <c r="D75" s="672"/>
      <c r="E75" s="649" t="s">
        <v>461</v>
      </c>
      <c r="F75" s="650"/>
      <c r="G75" s="651"/>
      <c r="H75" s="654"/>
      <c r="I75" s="640" t="s">
        <v>461</v>
      </c>
      <c r="J75" s="641"/>
      <c r="K75" s="642"/>
      <c r="L75" s="644"/>
      <c r="M75" s="644"/>
      <c r="N75" s="654"/>
      <c r="O75" s="654"/>
      <c r="P75" s="649" t="s">
        <v>462</v>
      </c>
      <c r="Q75" s="650"/>
      <c r="R75" s="650"/>
      <c r="S75" s="651"/>
      <c r="T75" s="654"/>
      <c r="U75" s="649" t="s">
        <v>462</v>
      </c>
      <c r="V75" s="650"/>
      <c r="W75" s="650"/>
      <c r="X75" s="651"/>
      <c r="Y75" s="654"/>
      <c r="Z75" s="649" t="s">
        <v>462</v>
      </c>
      <c r="AA75" s="650"/>
      <c r="AB75" s="650"/>
      <c r="AC75" s="651"/>
      <c r="AD75" s="654"/>
      <c r="AE75" s="649" t="s">
        <v>462</v>
      </c>
      <c r="AF75" s="650"/>
      <c r="AG75" s="650"/>
      <c r="AH75" s="651"/>
      <c r="AI75" s="654"/>
      <c r="AJ75" s="649" t="s">
        <v>462</v>
      </c>
      <c r="AK75" s="650"/>
      <c r="AL75" s="650"/>
      <c r="AM75" s="651"/>
      <c r="AN75" s="654"/>
      <c r="AO75" s="649" t="s">
        <v>462</v>
      </c>
      <c r="AP75" s="650"/>
      <c r="AQ75" s="650"/>
      <c r="AR75" s="651"/>
      <c r="AS75" s="654"/>
      <c r="AT75" s="649" t="s">
        <v>462</v>
      </c>
      <c r="AU75" s="650"/>
      <c r="AV75" s="650"/>
      <c r="AW75" s="651"/>
      <c r="AX75" s="654"/>
      <c r="BA75" s="654"/>
    </row>
    <row r="76" spans="2:53">
      <c r="B76" s="655"/>
      <c r="C76" s="670"/>
      <c r="D76" s="673"/>
      <c r="E76" s="294" t="s">
        <v>463</v>
      </c>
      <c r="F76" s="294" t="s">
        <v>464</v>
      </c>
      <c r="G76" s="294" t="s">
        <v>465</v>
      </c>
      <c r="H76" s="655"/>
      <c r="I76" s="293" t="s">
        <v>463</v>
      </c>
      <c r="J76" s="293" t="s">
        <v>464</v>
      </c>
      <c r="K76" s="293" t="s">
        <v>465</v>
      </c>
      <c r="L76" s="645"/>
      <c r="M76" s="645"/>
      <c r="N76" s="654"/>
      <c r="O76" s="654"/>
      <c r="P76" s="294" t="s">
        <v>463</v>
      </c>
      <c r="Q76" s="294" t="s">
        <v>464</v>
      </c>
      <c r="R76" s="294" t="s">
        <v>465</v>
      </c>
      <c r="S76" s="294" t="s">
        <v>458</v>
      </c>
      <c r="T76" s="655"/>
      <c r="U76" s="294" t="s">
        <v>463</v>
      </c>
      <c r="V76" s="294" t="s">
        <v>464</v>
      </c>
      <c r="W76" s="294" t="s">
        <v>465</v>
      </c>
      <c r="X76" s="294" t="s">
        <v>458</v>
      </c>
      <c r="Y76" s="655"/>
      <c r="Z76" s="294" t="s">
        <v>463</v>
      </c>
      <c r="AA76" s="294" t="s">
        <v>464</v>
      </c>
      <c r="AB76" s="294" t="s">
        <v>465</v>
      </c>
      <c r="AC76" s="294" t="s">
        <v>458</v>
      </c>
      <c r="AD76" s="655"/>
      <c r="AE76" s="294" t="s">
        <v>463</v>
      </c>
      <c r="AF76" s="294" t="s">
        <v>464</v>
      </c>
      <c r="AG76" s="294" t="s">
        <v>465</v>
      </c>
      <c r="AH76" s="294" t="s">
        <v>458</v>
      </c>
      <c r="AI76" s="655"/>
      <c r="AJ76" s="294" t="s">
        <v>463</v>
      </c>
      <c r="AK76" s="294" t="s">
        <v>464</v>
      </c>
      <c r="AL76" s="294" t="s">
        <v>465</v>
      </c>
      <c r="AM76" s="294" t="s">
        <v>458</v>
      </c>
      <c r="AN76" s="655"/>
      <c r="AO76" s="294" t="s">
        <v>463</v>
      </c>
      <c r="AP76" s="294" t="s">
        <v>464</v>
      </c>
      <c r="AQ76" s="294" t="s">
        <v>465</v>
      </c>
      <c r="AR76" s="294" t="s">
        <v>458</v>
      </c>
      <c r="AS76" s="655"/>
      <c r="AT76" s="294" t="s">
        <v>463</v>
      </c>
      <c r="AU76" s="294" t="s">
        <v>464</v>
      </c>
      <c r="AV76" s="294" t="s">
        <v>465</v>
      </c>
      <c r="AW76" s="294" t="s">
        <v>458</v>
      </c>
      <c r="AX76" s="655"/>
      <c r="AZ76" s="373" t="s">
        <v>367</v>
      </c>
      <c r="BA76" s="655"/>
    </row>
    <row r="77" spans="2:53">
      <c r="B77" s="674" t="s">
        <v>150</v>
      </c>
      <c r="C77" s="295">
        <v>1</v>
      </c>
      <c r="D77" s="201" t="s">
        <v>335</v>
      </c>
      <c r="E77" s="201">
        <v>3</v>
      </c>
      <c r="F77" s="201">
        <v>3200</v>
      </c>
      <c r="G77" s="534">
        <v>1066.6666666666667</v>
      </c>
      <c r="H77" s="661">
        <f>AVERAGE(G77:G106)</f>
        <v>788.36805555555532</v>
      </c>
      <c r="I77" s="363">
        <f>IFERROR(AVERAGE(P77,U77,Z77,AE77,AJ77,AO77,AT77),"-")</f>
        <v>3</v>
      </c>
      <c r="J77" s="363">
        <f>IFERROR(AVERAGE(Q77,V77,AA77,AF77,AK77,AP77,AU77),"-")</f>
        <v>3212.8038486820983</v>
      </c>
      <c r="K77" s="199">
        <f>IFERROR(AVERAGE(R77,W77,AB77,AG77,AL77,AQ77,AV77),"-")</f>
        <v>1070.9346162273662</v>
      </c>
      <c r="L77" s="646">
        <f>IFERROR(AVERAGE(K77:K106),"-")</f>
        <v>809.46173228216003</v>
      </c>
      <c r="M77" s="198">
        <f>RANK(K77, K$77:$K$106)</f>
        <v>6</v>
      </c>
      <c r="N77" s="654"/>
      <c r="O77" s="654"/>
      <c r="P77" s="555">
        <v>3</v>
      </c>
      <c r="Q77" s="559">
        <v>3208.2352941176482</v>
      </c>
      <c r="R77" s="559">
        <v>1069.4117647058827</v>
      </c>
      <c r="S77" s="555">
        <f t="shared" ref="S77:S106" si="32">RANK(R77, R$77:R$106)</f>
        <v>1</v>
      </c>
      <c r="T77" s="661">
        <f t="shared" ref="T77" si="33">AVERAGE(R77:R106)</f>
        <v>803.4026886199091</v>
      </c>
      <c r="U77" s="555">
        <v>3</v>
      </c>
      <c r="V77" s="559">
        <v>3182.3529411764721</v>
      </c>
      <c r="W77" s="559">
        <v>1060.7843137254906</v>
      </c>
      <c r="X77" s="555">
        <f t="shared" ref="X77:X106" si="34">RANK(W77, W$77:W$106)</f>
        <v>4</v>
      </c>
      <c r="Y77" s="661">
        <f t="shared" ref="Y77" si="35">AVERAGE(W77:W106)</f>
        <v>799.29468079731021</v>
      </c>
      <c r="Z77" s="555">
        <v>3</v>
      </c>
      <c r="AA77" s="559">
        <v>3156.0000000000009</v>
      </c>
      <c r="AB77" s="559">
        <v>1052.0000000000002</v>
      </c>
      <c r="AC77" s="555">
        <f t="shared" ref="AC77:AC106" si="36">RANK(AB77, AB$77:AB$106)</f>
        <v>3</v>
      </c>
      <c r="AD77" s="661">
        <f t="shared" ref="AD77" si="37">AVERAGE(AB77:AB106)</f>
        <v>785.21048132964188</v>
      </c>
      <c r="AE77" s="555">
        <v>3</v>
      </c>
      <c r="AF77" s="559">
        <v>3301.3953488372085</v>
      </c>
      <c r="AG77" s="559">
        <v>1100.4651162790694</v>
      </c>
      <c r="AH77" s="555">
        <f t="shared" ref="AH77:AH106" si="38">RANK(AG77, AG$77:AG$106)</f>
        <v>3</v>
      </c>
      <c r="AI77" s="661">
        <f t="shared" ref="AI77" si="39">AVERAGE(AG77:AG106)</f>
        <v>817.893835942397</v>
      </c>
      <c r="AJ77" s="555">
        <v>3</v>
      </c>
      <c r="AK77" s="559">
        <v>3143.181818181818</v>
      </c>
      <c r="AL77" s="559">
        <v>1047.7272727272727</v>
      </c>
      <c r="AM77" s="555">
        <f t="shared" ref="AM77:AM106" si="40">RANK(AL77, AL$77:AL$106)</f>
        <v>7</v>
      </c>
      <c r="AN77" s="661">
        <f t="shared" ref="AN77" si="41">AVERAGE(AL77:AL106)</f>
        <v>821.01874184952794</v>
      </c>
      <c r="AO77" s="555">
        <v>3</v>
      </c>
      <c r="AP77" s="559">
        <v>3198.4615384615399</v>
      </c>
      <c r="AQ77" s="559">
        <v>1066.1538461538466</v>
      </c>
      <c r="AR77" s="555">
        <f t="shared" ref="AR77:AR106" si="42">RANK(AQ77, AQ$77:AQ$106)</f>
        <v>3</v>
      </c>
      <c r="AS77" s="661">
        <f t="shared" ref="AS77" si="43">AVERAGE(AQ77:AQ106)</f>
        <v>802.06951024788486</v>
      </c>
      <c r="AT77" s="555">
        <v>3</v>
      </c>
      <c r="AU77" s="559">
        <v>3300.0000000000009</v>
      </c>
      <c r="AV77" s="559">
        <v>1100.0000000000002</v>
      </c>
      <c r="AW77" s="555">
        <f t="shared" ref="AW77:AW106" si="44">RANK(AV77, AV$77:AV$106)</f>
        <v>4</v>
      </c>
      <c r="AX77" s="661">
        <f t="shared" ref="AX77" si="45">AVERAGE(AV77:AV106)</f>
        <v>837.34218718844897</v>
      </c>
      <c r="AZ77" s="372" t="e">
        <f t="shared" ref="AZ77:AZ106" si="46">RANK(AY77, AY$77:AY$106)</f>
        <v>#N/A</v>
      </c>
      <c r="BA77" s="661" t="e">
        <f t="shared" ref="BA77" si="47">AVERAGE(AY77:AY106)</f>
        <v>#DIV/0!</v>
      </c>
    </row>
    <row r="78" spans="2:53">
      <c r="B78" s="675"/>
      <c r="C78" s="295">
        <v>2</v>
      </c>
      <c r="D78" s="528" t="s">
        <v>336</v>
      </c>
      <c r="E78" s="201">
        <v>3</v>
      </c>
      <c r="F78" s="201">
        <v>3200</v>
      </c>
      <c r="G78" s="534">
        <v>1066.6666666666667</v>
      </c>
      <c r="H78" s="662"/>
      <c r="I78" s="363">
        <f t="shared" ref="I78:I106" si="48">IFERROR(AVERAGE(P78,U78,Z78,AE78,AJ78,AO78,AT78),"-")</f>
        <v>3</v>
      </c>
      <c r="J78" s="363">
        <f t="shared" ref="J78:J106" si="49">IFERROR(AVERAGE(Q78,V78,AA78,AF78,AK78,AP78,AU78),"-")</f>
        <v>3219.2481203007483</v>
      </c>
      <c r="K78" s="199">
        <f t="shared" ref="K78:K106" si="50">IFERROR(AVERAGE(R78,W78,AB78,AG78,AL78,AQ78,AV78),"-")</f>
        <v>1073.0827067669161</v>
      </c>
      <c r="L78" s="647"/>
      <c r="M78" s="198">
        <f>RANK(K78, K$77:$K$106)</f>
        <v>3</v>
      </c>
      <c r="N78" s="654"/>
      <c r="O78" s="654"/>
      <c r="P78" s="555">
        <v>3</v>
      </c>
      <c r="Q78" s="559">
        <v>3123.9999999999945</v>
      </c>
      <c r="R78" s="559">
        <v>1041.3333333333314</v>
      </c>
      <c r="S78" s="555">
        <f t="shared" si="32"/>
        <v>7</v>
      </c>
      <c r="T78" s="662"/>
      <c r="U78" s="555">
        <v>3</v>
      </c>
      <c r="V78" s="559">
        <v>3139.9999999999945</v>
      </c>
      <c r="W78" s="559">
        <v>1046.6666666666649</v>
      </c>
      <c r="X78" s="555">
        <f t="shared" si="34"/>
        <v>6</v>
      </c>
      <c r="Y78" s="662"/>
      <c r="Z78" s="555">
        <v>3</v>
      </c>
      <c r="AA78" s="559">
        <v>3094.7368421052479</v>
      </c>
      <c r="AB78" s="559">
        <v>1031.578947368416</v>
      </c>
      <c r="AC78" s="555">
        <f t="shared" si="36"/>
        <v>5</v>
      </c>
      <c r="AD78" s="662"/>
      <c r="AE78" s="555">
        <v>3</v>
      </c>
      <c r="AF78" s="559">
        <v>3444.9999999999891</v>
      </c>
      <c r="AG78" s="559">
        <v>1148.3333333333296</v>
      </c>
      <c r="AH78" s="555">
        <f t="shared" si="38"/>
        <v>2</v>
      </c>
      <c r="AI78" s="662"/>
      <c r="AJ78" s="555">
        <v>3</v>
      </c>
      <c r="AK78" s="559">
        <v>3415.0000000000123</v>
      </c>
      <c r="AL78" s="559">
        <v>1138.3333333333374</v>
      </c>
      <c r="AM78" s="555">
        <f t="shared" si="40"/>
        <v>2</v>
      </c>
      <c r="AN78" s="662"/>
      <c r="AO78" s="555">
        <v>3</v>
      </c>
      <c r="AP78" s="559">
        <v>3167.9999999999941</v>
      </c>
      <c r="AQ78" s="559">
        <v>1055.999999999998</v>
      </c>
      <c r="AR78" s="555">
        <f t="shared" si="42"/>
        <v>5</v>
      </c>
      <c r="AS78" s="662"/>
      <c r="AT78" s="555">
        <v>3</v>
      </c>
      <c r="AU78" s="559">
        <v>3148.0000000000032</v>
      </c>
      <c r="AV78" s="559">
        <v>1049.3333333333344</v>
      </c>
      <c r="AW78" s="555">
        <f t="shared" si="44"/>
        <v>9</v>
      </c>
      <c r="AX78" s="662"/>
      <c r="AZ78" s="372" t="e">
        <f t="shared" si="46"/>
        <v>#N/A</v>
      </c>
      <c r="BA78" s="662"/>
    </row>
    <row r="79" spans="2:53">
      <c r="B79" s="675"/>
      <c r="C79" s="295">
        <v>3</v>
      </c>
      <c r="D79" s="201" t="s">
        <v>328</v>
      </c>
      <c r="E79" s="201">
        <v>4</v>
      </c>
      <c r="F79" s="201">
        <v>3200</v>
      </c>
      <c r="G79" s="534">
        <v>800</v>
      </c>
      <c r="H79" s="662"/>
      <c r="I79" s="363">
        <f t="shared" si="48"/>
        <v>4</v>
      </c>
      <c r="J79" s="363">
        <f t="shared" si="49"/>
        <v>3245.5442176870615</v>
      </c>
      <c r="K79" s="199">
        <f t="shared" si="50"/>
        <v>811.38605442176538</v>
      </c>
      <c r="L79" s="647"/>
      <c r="M79" s="198">
        <f>RANK(K79, K$77:$K$106)</f>
        <v>11</v>
      </c>
      <c r="N79" s="654"/>
      <c r="O79" s="654"/>
      <c r="P79" s="555">
        <v>4</v>
      </c>
      <c r="Q79" s="559">
        <v>3120.0000000000387</v>
      </c>
      <c r="R79" s="559">
        <v>780.00000000000966</v>
      </c>
      <c r="S79" s="555">
        <f t="shared" si="32"/>
        <v>14</v>
      </c>
      <c r="T79" s="662"/>
      <c r="U79" s="555">
        <v>4</v>
      </c>
      <c r="V79" s="559">
        <v>3059.9999999999836</v>
      </c>
      <c r="W79" s="559">
        <v>764.99999999999591</v>
      </c>
      <c r="X79" s="555">
        <f t="shared" si="34"/>
        <v>15</v>
      </c>
      <c r="Y79" s="662"/>
      <c r="Z79" s="555">
        <v>4</v>
      </c>
      <c r="AA79" s="559">
        <v>2926.6666666666511</v>
      </c>
      <c r="AB79" s="559">
        <v>731.66666666666276</v>
      </c>
      <c r="AC79" s="555">
        <f t="shared" si="36"/>
        <v>16</v>
      </c>
      <c r="AD79" s="662"/>
      <c r="AE79" s="555">
        <v>4</v>
      </c>
      <c r="AF79" s="559">
        <v>3248.571428571403</v>
      </c>
      <c r="AG79" s="559">
        <v>812.14285714285074</v>
      </c>
      <c r="AH79" s="555">
        <f t="shared" si="38"/>
        <v>14</v>
      </c>
      <c r="AI79" s="662"/>
      <c r="AJ79" s="555">
        <v>4</v>
      </c>
      <c r="AK79" s="559">
        <v>3409.9999999999668</v>
      </c>
      <c r="AL79" s="559">
        <v>852.4999999999917</v>
      </c>
      <c r="AM79" s="555">
        <f t="shared" si="40"/>
        <v>11</v>
      </c>
      <c r="AN79" s="662"/>
      <c r="AO79" s="555">
        <v>4</v>
      </c>
      <c r="AP79" s="559">
        <v>3284.9999999999459</v>
      </c>
      <c r="AQ79" s="559">
        <v>821.24999999998647</v>
      </c>
      <c r="AR79" s="555">
        <f t="shared" si="42"/>
        <v>11</v>
      </c>
      <c r="AS79" s="662"/>
      <c r="AT79" s="555">
        <v>4</v>
      </c>
      <c r="AU79" s="559">
        <v>3668.5714285714416</v>
      </c>
      <c r="AV79" s="559">
        <v>917.14285714286041</v>
      </c>
      <c r="AW79" s="555">
        <f t="shared" si="44"/>
        <v>11</v>
      </c>
      <c r="AX79" s="662"/>
      <c r="AZ79" s="372" t="e">
        <f t="shared" si="46"/>
        <v>#N/A</v>
      </c>
      <c r="BA79" s="662"/>
    </row>
    <row r="80" spans="2:53">
      <c r="B80" s="675"/>
      <c r="C80" s="295">
        <v>4</v>
      </c>
      <c r="D80" s="201" t="s">
        <v>337</v>
      </c>
      <c r="E80" s="201">
        <v>3</v>
      </c>
      <c r="F80" s="201">
        <v>3200</v>
      </c>
      <c r="G80" s="534">
        <v>1066.6666666666667</v>
      </c>
      <c r="H80" s="662"/>
      <c r="I80" s="363">
        <f t="shared" si="48"/>
        <v>3</v>
      </c>
      <c r="J80" s="363">
        <f t="shared" si="49"/>
        <v>3212.9472395018606</v>
      </c>
      <c r="K80" s="199">
        <f t="shared" si="50"/>
        <v>1070.9824131672869</v>
      </c>
      <c r="L80" s="647"/>
      <c r="M80" s="198">
        <f>RANK(K80, K$77:$K$106)</f>
        <v>5</v>
      </c>
      <c r="N80" s="654"/>
      <c r="O80" s="654"/>
      <c r="P80" s="555">
        <v>3</v>
      </c>
      <c r="Q80" s="559">
        <v>3206.9230769230785</v>
      </c>
      <c r="R80" s="559">
        <v>1068.9743589743596</v>
      </c>
      <c r="S80" s="555">
        <f t="shared" si="32"/>
        <v>2</v>
      </c>
      <c r="T80" s="662"/>
      <c r="U80" s="555">
        <v>3</v>
      </c>
      <c r="V80" s="559">
        <v>3185.3846153846139</v>
      </c>
      <c r="W80" s="559">
        <v>1061.7948717948714</v>
      </c>
      <c r="X80" s="555">
        <f t="shared" si="34"/>
        <v>3</v>
      </c>
      <c r="Y80" s="662"/>
      <c r="Z80" s="555">
        <v>3</v>
      </c>
      <c r="AA80" s="559">
        <v>3180.7792207792218</v>
      </c>
      <c r="AB80" s="559">
        <v>1060.2597402597405</v>
      </c>
      <c r="AC80" s="555">
        <f t="shared" si="36"/>
        <v>1</v>
      </c>
      <c r="AD80" s="662"/>
      <c r="AE80" s="555">
        <v>3</v>
      </c>
      <c r="AF80" s="559">
        <v>3208.2352941176432</v>
      </c>
      <c r="AG80" s="559">
        <v>1069.4117647058811</v>
      </c>
      <c r="AH80" s="555">
        <f t="shared" si="38"/>
        <v>6</v>
      </c>
      <c r="AI80" s="662"/>
      <c r="AJ80" s="555">
        <v>3</v>
      </c>
      <c r="AK80" s="559">
        <v>3242.7272727272684</v>
      </c>
      <c r="AL80" s="559">
        <v>1080.9090909090894</v>
      </c>
      <c r="AM80" s="555">
        <f t="shared" si="40"/>
        <v>5</v>
      </c>
      <c r="AN80" s="662"/>
      <c r="AO80" s="555">
        <v>3</v>
      </c>
      <c r="AP80" s="559">
        <v>3188.8888888888905</v>
      </c>
      <c r="AQ80" s="559">
        <v>1062.9629629629635</v>
      </c>
      <c r="AR80" s="555">
        <f t="shared" si="42"/>
        <v>4</v>
      </c>
      <c r="AS80" s="662"/>
      <c r="AT80" s="555">
        <v>3</v>
      </c>
      <c r="AU80" s="559">
        <v>3277.6923076923094</v>
      </c>
      <c r="AV80" s="559">
        <v>1092.5641025641032</v>
      </c>
      <c r="AW80" s="555">
        <f t="shared" si="44"/>
        <v>5</v>
      </c>
      <c r="AX80" s="662"/>
      <c r="AZ80" s="372" t="e">
        <f t="shared" si="46"/>
        <v>#N/A</v>
      </c>
      <c r="BA80" s="662"/>
    </row>
    <row r="81" spans="2:53">
      <c r="B81" s="675"/>
      <c r="C81" s="295">
        <v>5</v>
      </c>
      <c r="D81" s="201" t="s">
        <v>563</v>
      </c>
      <c r="E81" s="201">
        <v>4</v>
      </c>
      <c r="F81" s="201">
        <v>3200</v>
      </c>
      <c r="G81" s="534">
        <v>800</v>
      </c>
      <c r="H81" s="662"/>
      <c r="I81" s="363">
        <f t="shared" si="48"/>
        <v>4</v>
      </c>
      <c r="J81" s="363">
        <f t="shared" si="49"/>
        <v>3206.4234001292812</v>
      </c>
      <c r="K81" s="199">
        <f t="shared" si="50"/>
        <v>801.60585003232029</v>
      </c>
      <c r="L81" s="647"/>
      <c r="M81" s="198">
        <f>RANK(K81, K$77:$K$106)</f>
        <v>12</v>
      </c>
      <c r="N81" s="654"/>
      <c r="O81" s="654"/>
      <c r="P81" s="555">
        <v>4</v>
      </c>
      <c r="Q81" s="559">
        <v>3070.5882352941285</v>
      </c>
      <c r="R81" s="559">
        <v>767.64705882353212</v>
      </c>
      <c r="S81" s="555">
        <f t="shared" si="32"/>
        <v>16</v>
      </c>
      <c r="T81" s="662"/>
      <c r="U81" s="555">
        <v>4</v>
      </c>
      <c r="V81" s="559">
        <v>3123.5294117647018</v>
      </c>
      <c r="W81" s="559">
        <v>780.88235294117544</v>
      </c>
      <c r="X81" s="555">
        <f t="shared" si="34"/>
        <v>13</v>
      </c>
      <c r="Y81" s="662"/>
      <c r="Z81" s="555">
        <v>4</v>
      </c>
      <c r="AA81" s="559">
        <v>3146.2500000000109</v>
      </c>
      <c r="AB81" s="559">
        <v>786.56250000000273</v>
      </c>
      <c r="AC81" s="555">
        <f t="shared" si="36"/>
        <v>13</v>
      </c>
      <c r="AD81" s="662"/>
      <c r="AE81" s="555">
        <v>4</v>
      </c>
      <c r="AF81" s="559">
        <v>3493.8461538461447</v>
      </c>
      <c r="AG81" s="559">
        <v>873.46153846153618</v>
      </c>
      <c r="AH81" s="555">
        <f t="shared" si="38"/>
        <v>12</v>
      </c>
      <c r="AI81" s="662"/>
      <c r="AJ81" s="555">
        <v>4</v>
      </c>
      <c r="AK81" s="559">
        <v>3114.9999999999905</v>
      </c>
      <c r="AL81" s="559">
        <v>778.74999999999761</v>
      </c>
      <c r="AM81" s="555">
        <f t="shared" si="40"/>
        <v>15</v>
      </c>
      <c r="AN81" s="662"/>
      <c r="AO81" s="555">
        <v>4</v>
      </c>
      <c r="AP81" s="559">
        <v>3183.7499999999795</v>
      </c>
      <c r="AQ81" s="559">
        <v>795.93749999999488</v>
      </c>
      <c r="AR81" s="555">
        <f t="shared" si="42"/>
        <v>13</v>
      </c>
      <c r="AS81" s="662"/>
      <c r="AT81" s="555">
        <v>4</v>
      </c>
      <c r="AU81" s="559">
        <v>3312.0000000000118</v>
      </c>
      <c r="AV81" s="559">
        <v>828.00000000000296</v>
      </c>
      <c r="AW81" s="555">
        <f t="shared" si="44"/>
        <v>13</v>
      </c>
      <c r="AX81" s="662"/>
      <c r="AZ81" s="372" t="e">
        <f t="shared" si="46"/>
        <v>#N/A</v>
      </c>
      <c r="BA81" s="662"/>
    </row>
    <row r="82" spans="2:53">
      <c r="B82" s="675"/>
      <c r="C82" s="295">
        <v>6</v>
      </c>
      <c r="D82" s="201" t="s">
        <v>564</v>
      </c>
      <c r="E82" s="201">
        <v>4</v>
      </c>
      <c r="F82" s="201">
        <v>3200</v>
      </c>
      <c r="G82" s="534">
        <v>800</v>
      </c>
      <c r="H82" s="662"/>
      <c r="I82" s="363">
        <f t="shared" si="48"/>
        <v>4</v>
      </c>
      <c r="J82" s="363">
        <f t="shared" si="49"/>
        <v>3006.8571428571513</v>
      </c>
      <c r="K82" s="199">
        <f t="shared" si="50"/>
        <v>751.71428571428783</v>
      </c>
      <c r="L82" s="647"/>
      <c r="M82" s="198">
        <f>RANK(K82, K$77:$K$106)</f>
        <v>16</v>
      </c>
      <c r="N82" s="654"/>
      <c r="O82" s="654"/>
      <c r="P82" s="555">
        <v>4</v>
      </c>
      <c r="Q82" s="559">
        <v>3300.0000000000118</v>
      </c>
      <c r="R82" s="559">
        <v>825.00000000000296</v>
      </c>
      <c r="S82" s="555">
        <f t="shared" si="32"/>
        <v>11</v>
      </c>
      <c r="T82" s="662"/>
      <c r="U82" s="555">
        <v>4</v>
      </c>
      <c r="V82" s="559">
        <v>2819.9999999999723</v>
      </c>
      <c r="W82" s="559">
        <v>704.99999999999307</v>
      </c>
      <c r="X82" s="555">
        <f t="shared" si="34"/>
        <v>17</v>
      </c>
      <c r="Y82" s="662"/>
      <c r="Z82" s="555">
        <v>4</v>
      </c>
      <c r="AA82" s="559">
        <v>3168.0000000000618</v>
      </c>
      <c r="AB82" s="559">
        <v>792.00000000001546</v>
      </c>
      <c r="AC82" s="555">
        <f t="shared" si="36"/>
        <v>11</v>
      </c>
      <c r="AD82" s="662"/>
      <c r="AE82" s="555">
        <v>4</v>
      </c>
      <c r="AF82" s="559">
        <v>2628.0000000000091</v>
      </c>
      <c r="AG82" s="559">
        <v>657.00000000000227</v>
      </c>
      <c r="AH82" s="555">
        <f t="shared" si="38"/>
        <v>20</v>
      </c>
      <c r="AI82" s="662"/>
      <c r="AJ82" s="555">
        <v>4</v>
      </c>
      <c r="AK82" s="559">
        <v>2819.9999999999818</v>
      </c>
      <c r="AL82" s="559">
        <v>704.99999999999545</v>
      </c>
      <c r="AM82" s="555">
        <f t="shared" si="40"/>
        <v>19</v>
      </c>
      <c r="AN82" s="662"/>
      <c r="AO82" s="555">
        <v>4</v>
      </c>
      <c r="AP82" s="559">
        <v>3252.0000000000118</v>
      </c>
      <c r="AQ82" s="559">
        <v>813.00000000000296</v>
      </c>
      <c r="AR82" s="555">
        <f t="shared" si="42"/>
        <v>12</v>
      </c>
      <c r="AS82" s="662"/>
      <c r="AT82" s="555">
        <v>4</v>
      </c>
      <c r="AU82" s="559">
        <v>3060.0000000000109</v>
      </c>
      <c r="AV82" s="559">
        <v>765.00000000000273</v>
      </c>
      <c r="AW82" s="555">
        <f t="shared" si="44"/>
        <v>17</v>
      </c>
      <c r="AX82" s="662"/>
      <c r="AZ82" s="372" t="e">
        <f t="shared" si="46"/>
        <v>#N/A</v>
      </c>
      <c r="BA82" s="662"/>
    </row>
    <row r="83" spans="2:53">
      <c r="B83" s="675"/>
      <c r="C83" s="295">
        <v>7</v>
      </c>
      <c r="D83" s="201" t="s">
        <v>338</v>
      </c>
      <c r="E83" s="201">
        <v>4</v>
      </c>
      <c r="F83" s="201">
        <v>2800</v>
      </c>
      <c r="G83" s="534">
        <v>700</v>
      </c>
      <c r="H83" s="662"/>
      <c r="I83" s="363">
        <f t="shared" si="48"/>
        <v>4</v>
      </c>
      <c r="J83" s="363">
        <f t="shared" si="49"/>
        <v>3123.5102040816369</v>
      </c>
      <c r="K83" s="199">
        <f t="shared" si="50"/>
        <v>780.87755102040921</v>
      </c>
      <c r="L83" s="647"/>
      <c r="M83" s="198">
        <f>RANK(K83, K$77:$K$106)</f>
        <v>14</v>
      </c>
      <c r="N83" s="654"/>
      <c r="O83" s="654"/>
      <c r="P83" s="555">
        <v>4</v>
      </c>
      <c r="Q83" s="559">
        <v>3034.2857142857079</v>
      </c>
      <c r="R83" s="559">
        <v>758.57142857142696</v>
      </c>
      <c r="S83" s="555">
        <f t="shared" si="32"/>
        <v>17</v>
      </c>
      <c r="T83" s="662"/>
      <c r="U83" s="555">
        <v>4</v>
      </c>
      <c r="V83" s="559">
        <v>2965.7142857142794</v>
      </c>
      <c r="W83" s="559">
        <v>741.42857142856985</v>
      </c>
      <c r="X83" s="555">
        <f t="shared" si="34"/>
        <v>16</v>
      </c>
      <c r="Y83" s="662"/>
      <c r="Z83" s="555">
        <v>4</v>
      </c>
      <c r="AA83" s="559">
        <v>2931.428571428582</v>
      </c>
      <c r="AB83" s="559">
        <v>732.8571428571455</v>
      </c>
      <c r="AC83" s="555">
        <f t="shared" si="36"/>
        <v>15</v>
      </c>
      <c r="AD83" s="662"/>
      <c r="AE83" s="555">
        <v>4</v>
      </c>
      <c r="AF83" s="559">
        <v>3528.0000000000127</v>
      </c>
      <c r="AG83" s="559">
        <v>882.00000000000318</v>
      </c>
      <c r="AH83" s="555">
        <f t="shared" si="38"/>
        <v>11</v>
      </c>
      <c r="AI83" s="662"/>
      <c r="AJ83" s="555">
        <v>4</v>
      </c>
      <c r="AK83" s="559">
        <v>3288.0000000000118</v>
      </c>
      <c r="AL83" s="559">
        <v>822.00000000000296</v>
      </c>
      <c r="AM83" s="555">
        <f t="shared" si="40"/>
        <v>12</v>
      </c>
      <c r="AN83" s="662"/>
      <c r="AO83" s="555">
        <v>4</v>
      </c>
      <c r="AP83" s="559">
        <v>2897.1428571428505</v>
      </c>
      <c r="AQ83" s="559">
        <v>724.28571428571263</v>
      </c>
      <c r="AR83" s="555">
        <f t="shared" si="42"/>
        <v>16</v>
      </c>
      <c r="AS83" s="662"/>
      <c r="AT83" s="555">
        <v>4</v>
      </c>
      <c r="AU83" s="559">
        <v>3220.0000000000114</v>
      </c>
      <c r="AV83" s="559">
        <v>805.00000000000284</v>
      </c>
      <c r="AW83" s="555">
        <f t="shared" si="44"/>
        <v>15</v>
      </c>
      <c r="AX83" s="662"/>
      <c r="AZ83" s="372" t="e">
        <f t="shared" si="46"/>
        <v>#N/A</v>
      </c>
      <c r="BA83" s="662"/>
    </row>
    <row r="84" spans="2:53">
      <c r="B84" s="675"/>
      <c r="C84" s="295">
        <v>8</v>
      </c>
      <c r="D84" s="201" t="s">
        <v>339</v>
      </c>
      <c r="E84" s="201">
        <v>3</v>
      </c>
      <c r="F84" s="201">
        <v>3200</v>
      </c>
      <c r="G84" s="534">
        <v>1066.6666666666667</v>
      </c>
      <c r="H84" s="662"/>
      <c r="I84" s="363">
        <f t="shared" si="48"/>
        <v>3</v>
      </c>
      <c r="J84" s="363">
        <f t="shared" si="49"/>
        <v>3239.5904761904744</v>
      </c>
      <c r="K84" s="199">
        <f t="shared" si="50"/>
        <v>1079.8634920634913</v>
      </c>
      <c r="L84" s="647"/>
      <c r="M84" s="198">
        <f>RANK(K84, K$77:$K$106)</f>
        <v>1</v>
      </c>
      <c r="N84" s="654"/>
      <c r="O84" s="654"/>
      <c r="P84" s="555">
        <v>3</v>
      </c>
      <c r="Q84" s="559">
        <v>3175.0000000000009</v>
      </c>
      <c r="R84" s="559">
        <v>1058.3333333333337</v>
      </c>
      <c r="S84" s="555">
        <f t="shared" si="32"/>
        <v>5</v>
      </c>
      <c r="T84" s="662"/>
      <c r="U84" s="555">
        <v>3</v>
      </c>
      <c r="V84" s="559">
        <v>3167.5000000000009</v>
      </c>
      <c r="W84" s="559">
        <v>1055.8333333333337</v>
      </c>
      <c r="X84" s="555">
        <f t="shared" si="34"/>
        <v>5</v>
      </c>
      <c r="Y84" s="662"/>
      <c r="Z84" s="555">
        <v>3</v>
      </c>
      <c r="AA84" s="559">
        <v>3157.5000000000009</v>
      </c>
      <c r="AB84" s="559">
        <v>1052.5000000000002</v>
      </c>
      <c r="AC84" s="555">
        <f t="shared" si="36"/>
        <v>2</v>
      </c>
      <c r="AD84" s="662"/>
      <c r="AE84" s="555">
        <v>3</v>
      </c>
      <c r="AF84" s="559">
        <v>3633.3333333333303</v>
      </c>
      <c r="AG84" s="559">
        <v>1211.1111111111102</v>
      </c>
      <c r="AH84" s="555">
        <f t="shared" si="38"/>
        <v>1</v>
      </c>
      <c r="AI84" s="662"/>
      <c r="AJ84" s="555">
        <v>3</v>
      </c>
      <c r="AK84" s="559">
        <v>3212.9999999999923</v>
      </c>
      <c r="AL84" s="559">
        <v>1070.9999999999975</v>
      </c>
      <c r="AM84" s="555">
        <f t="shared" si="40"/>
        <v>6</v>
      </c>
      <c r="AN84" s="662"/>
      <c r="AO84" s="555">
        <v>3</v>
      </c>
      <c r="AP84" s="559">
        <v>3100.7999999999961</v>
      </c>
      <c r="AQ84" s="559">
        <v>1033.5999999999988</v>
      </c>
      <c r="AR84" s="555">
        <f t="shared" si="42"/>
        <v>7</v>
      </c>
      <c r="AS84" s="662"/>
      <c r="AT84" s="555">
        <v>3</v>
      </c>
      <c r="AU84" s="559">
        <v>3229.999999999995</v>
      </c>
      <c r="AV84" s="559">
        <v>1076.6666666666649</v>
      </c>
      <c r="AW84" s="555">
        <f t="shared" si="44"/>
        <v>6</v>
      </c>
      <c r="AX84" s="662"/>
      <c r="AZ84" s="372" t="e">
        <f t="shared" si="46"/>
        <v>#N/A</v>
      </c>
      <c r="BA84" s="662"/>
    </row>
    <row r="85" spans="2:53">
      <c r="B85" s="675"/>
      <c r="C85" s="295">
        <v>9</v>
      </c>
      <c r="D85" s="201" t="s">
        <v>340</v>
      </c>
      <c r="E85" s="201">
        <v>3</v>
      </c>
      <c r="F85" s="201">
        <v>2800</v>
      </c>
      <c r="G85" s="534">
        <v>933.33333333333337</v>
      </c>
      <c r="H85" s="662"/>
      <c r="I85" s="363">
        <f t="shared" si="48"/>
        <v>3</v>
      </c>
      <c r="J85" s="363">
        <f t="shared" si="49"/>
        <v>3216.4040213754483</v>
      </c>
      <c r="K85" s="199">
        <f t="shared" si="50"/>
        <v>1072.1346737918161</v>
      </c>
      <c r="L85" s="647"/>
      <c r="M85" s="198">
        <f>RANK(K85, K$77:$K$106)</f>
        <v>4</v>
      </c>
      <c r="N85" s="654"/>
      <c r="O85" s="654"/>
      <c r="P85" s="555">
        <v>3</v>
      </c>
      <c r="Q85" s="559">
        <v>3200.7692307692323</v>
      </c>
      <c r="R85" s="559">
        <v>1066.9230769230774</v>
      </c>
      <c r="S85" s="555">
        <f t="shared" si="32"/>
        <v>3</v>
      </c>
      <c r="T85" s="662"/>
      <c r="U85" s="555">
        <v>3</v>
      </c>
      <c r="V85" s="559">
        <v>3200.0000000000018</v>
      </c>
      <c r="W85" s="559">
        <v>1066.6666666666672</v>
      </c>
      <c r="X85" s="555">
        <f t="shared" si="34"/>
        <v>2</v>
      </c>
      <c r="Y85" s="662"/>
      <c r="Z85" s="555">
        <v>3</v>
      </c>
      <c r="AA85" s="559">
        <v>3092.3076923076842</v>
      </c>
      <c r="AB85" s="559">
        <v>1030.769230769228</v>
      </c>
      <c r="AC85" s="555">
        <f t="shared" si="36"/>
        <v>6</v>
      </c>
      <c r="AD85" s="662"/>
      <c r="AE85" s="555">
        <v>3</v>
      </c>
      <c r="AF85" s="559">
        <v>3289.090909090909</v>
      </c>
      <c r="AG85" s="559">
        <v>1096.3636363636363</v>
      </c>
      <c r="AH85" s="555">
        <f t="shared" si="38"/>
        <v>5</v>
      </c>
      <c r="AI85" s="662"/>
      <c r="AJ85" s="555">
        <v>3</v>
      </c>
      <c r="AK85" s="559">
        <v>3268.5714285714275</v>
      </c>
      <c r="AL85" s="559">
        <v>1089.5238095238092</v>
      </c>
      <c r="AM85" s="555">
        <f t="shared" si="40"/>
        <v>4</v>
      </c>
      <c r="AN85" s="662"/>
      <c r="AO85" s="555">
        <v>3</v>
      </c>
      <c r="AP85" s="559">
        <v>3108.8888888888814</v>
      </c>
      <c r="AQ85" s="559">
        <v>1036.2962962962938</v>
      </c>
      <c r="AR85" s="555">
        <f t="shared" si="42"/>
        <v>6</v>
      </c>
      <c r="AS85" s="662"/>
      <c r="AT85" s="555">
        <v>3</v>
      </c>
      <c r="AU85" s="559">
        <v>3355.2000000000007</v>
      </c>
      <c r="AV85" s="559">
        <v>1118.4000000000003</v>
      </c>
      <c r="AW85" s="555">
        <f t="shared" si="44"/>
        <v>2</v>
      </c>
      <c r="AX85" s="662"/>
      <c r="AZ85" s="372" t="e">
        <f t="shared" si="46"/>
        <v>#N/A</v>
      </c>
      <c r="BA85" s="662"/>
    </row>
    <row r="86" spans="2:53">
      <c r="B86" s="675"/>
      <c r="C86" s="295">
        <v>10</v>
      </c>
      <c r="D86" s="201" t="s">
        <v>341</v>
      </c>
      <c r="E86" s="201">
        <v>4</v>
      </c>
      <c r="F86" s="201">
        <v>2800</v>
      </c>
      <c r="G86" s="534">
        <v>700</v>
      </c>
      <c r="H86" s="662"/>
      <c r="I86" s="363">
        <f t="shared" si="48"/>
        <v>4</v>
      </c>
      <c r="J86" s="363">
        <f t="shared" si="49"/>
        <v>3196.9636147431115</v>
      </c>
      <c r="K86" s="199">
        <f t="shared" si="50"/>
        <v>799.24090368577788</v>
      </c>
      <c r="L86" s="647"/>
      <c r="M86" s="198">
        <f>RANK(K86, K$77:$K$106)</f>
        <v>13</v>
      </c>
      <c r="N86" s="654"/>
      <c r="O86" s="654"/>
      <c r="P86" s="555">
        <v>4</v>
      </c>
      <c r="Q86" s="559">
        <v>3199.2000000000007</v>
      </c>
      <c r="R86" s="559">
        <v>799.80000000000018</v>
      </c>
      <c r="S86" s="555">
        <f t="shared" si="32"/>
        <v>12</v>
      </c>
      <c r="T86" s="662"/>
      <c r="U86" s="555">
        <v>4</v>
      </c>
      <c r="V86" s="559">
        <v>3164.400000000001</v>
      </c>
      <c r="W86" s="559">
        <v>791.10000000000025</v>
      </c>
      <c r="X86" s="555">
        <f t="shared" si="34"/>
        <v>11</v>
      </c>
      <c r="Y86" s="662"/>
      <c r="Z86" s="555">
        <v>4</v>
      </c>
      <c r="AA86" s="559">
        <v>3153.061224489792</v>
      </c>
      <c r="AB86" s="559">
        <v>788.26530612244801</v>
      </c>
      <c r="AC86" s="555">
        <f t="shared" si="36"/>
        <v>12</v>
      </c>
      <c r="AD86" s="662"/>
      <c r="AE86" s="555">
        <v>4</v>
      </c>
      <c r="AF86" s="559">
        <v>3273.4883720930229</v>
      </c>
      <c r="AG86" s="559">
        <v>818.37209302325573</v>
      </c>
      <c r="AH86" s="555">
        <f t="shared" si="38"/>
        <v>13</v>
      </c>
      <c r="AI86" s="662"/>
      <c r="AJ86" s="555">
        <v>4</v>
      </c>
      <c r="AK86" s="559">
        <v>3227.4418604651219</v>
      </c>
      <c r="AL86" s="559">
        <v>806.86046511628047</v>
      </c>
      <c r="AM86" s="555">
        <f t="shared" si="40"/>
        <v>13</v>
      </c>
      <c r="AN86" s="662"/>
      <c r="AO86" s="555">
        <v>4</v>
      </c>
      <c r="AP86" s="559">
        <v>3151.1538461538426</v>
      </c>
      <c r="AQ86" s="559">
        <v>787.78846153846064</v>
      </c>
      <c r="AR86" s="555">
        <f t="shared" si="42"/>
        <v>14</v>
      </c>
      <c r="AS86" s="662"/>
      <c r="AT86" s="555">
        <v>4</v>
      </c>
      <c r="AU86" s="559">
        <v>3209.9999999999959</v>
      </c>
      <c r="AV86" s="559">
        <v>802.49999999999898</v>
      </c>
      <c r="AW86" s="555">
        <f t="shared" si="44"/>
        <v>16</v>
      </c>
      <c r="AX86" s="662"/>
      <c r="AZ86" s="372" t="e">
        <f t="shared" si="46"/>
        <v>#N/A</v>
      </c>
      <c r="BA86" s="662"/>
    </row>
    <row r="87" spans="2:53">
      <c r="B87" s="675"/>
      <c r="C87" s="295">
        <v>11</v>
      </c>
      <c r="D87" s="201" t="s">
        <v>565</v>
      </c>
      <c r="E87" s="201">
        <v>4</v>
      </c>
      <c r="F87" s="201">
        <v>2800</v>
      </c>
      <c r="G87" s="534">
        <v>700</v>
      </c>
      <c r="H87" s="662"/>
      <c r="I87" s="363">
        <f t="shared" si="48"/>
        <v>4</v>
      </c>
      <c r="J87" s="363">
        <f t="shared" si="49"/>
        <v>2826.202165481579</v>
      </c>
      <c r="K87" s="199">
        <f t="shared" si="50"/>
        <v>706.55054137039474</v>
      </c>
      <c r="L87" s="647"/>
      <c r="M87" s="198">
        <f>RANK(K87, K$77:$K$106)</f>
        <v>18</v>
      </c>
      <c r="N87" s="654"/>
      <c r="O87" s="654"/>
      <c r="P87" s="555">
        <v>4</v>
      </c>
      <c r="Q87" s="559">
        <v>2797.3770491803307</v>
      </c>
      <c r="R87" s="559">
        <v>699.34426229508267</v>
      </c>
      <c r="S87" s="555">
        <f t="shared" si="32"/>
        <v>18</v>
      </c>
      <c r="T87" s="662"/>
      <c r="U87" s="555">
        <v>4</v>
      </c>
      <c r="V87" s="559">
        <v>2782.6229508196743</v>
      </c>
      <c r="W87" s="559">
        <v>695.65573770491858</v>
      </c>
      <c r="X87" s="555">
        <f t="shared" si="34"/>
        <v>19</v>
      </c>
      <c r="Y87" s="662"/>
      <c r="Z87" s="555">
        <v>4</v>
      </c>
      <c r="AA87" s="559">
        <v>2776.0000000000027</v>
      </c>
      <c r="AB87" s="559">
        <v>694.00000000000068</v>
      </c>
      <c r="AC87" s="555">
        <f t="shared" si="36"/>
        <v>17</v>
      </c>
      <c r="AD87" s="662"/>
      <c r="AE87" s="555">
        <v>4</v>
      </c>
      <c r="AF87" s="559">
        <v>2910.5882352941162</v>
      </c>
      <c r="AG87" s="559">
        <v>727.64705882352905</v>
      </c>
      <c r="AH87" s="555">
        <f t="shared" si="38"/>
        <v>17</v>
      </c>
      <c r="AI87" s="662"/>
      <c r="AJ87" s="555">
        <v>4</v>
      </c>
      <c r="AK87" s="559">
        <v>2888.0769230769247</v>
      </c>
      <c r="AL87" s="559">
        <v>722.01923076923117</v>
      </c>
      <c r="AM87" s="555">
        <f t="shared" si="40"/>
        <v>17</v>
      </c>
      <c r="AN87" s="662"/>
      <c r="AO87" s="555">
        <v>4</v>
      </c>
      <c r="AP87" s="559">
        <v>2778.7499999999995</v>
      </c>
      <c r="AQ87" s="559">
        <v>694.68749999999989</v>
      </c>
      <c r="AR87" s="555">
        <f t="shared" si="42"/>
        <v>20</v>
      </c>
      <c r="AS87" s="662"/>
      <c r="AT87" s="555">
        <v>4</v>
      </c>
      <c r="AU87" s="559">
        <v>2850.0000000000027</v>
      </c>
      <c r="AV87" s="559">
        <v>712.50000000000068</v>
      </c>
      <c r="AW87" s="555">
        <f t="shared" si="44"/>
        <v>18</v>
      </c>
      <c r="AX87" s="662"/>
      <c r="AZ87" s="372" t="e">
        <f t="shared" si="46"/>
        <v>#N/A</v>
      </c>
      <c r="BA87" s="662"/>
    </row>
    <row r="88" spans="2:53">
      <c r="B88" s="675"/>
      <c r="C88" s="295">
        <v>12</v>
      </c>
      <c r="D88" s="528" t="s">
        <v>569</v>
      </c>
      <c r="E88" s="201">
        <v>3</v>
      </c>
      <c r="F88" s="201">
        <v>2800</v>
      </c>
      <c r="G88" s="534">
        <v>933.33333333333337</v>
      </c>
      <c r="H88" s="662"/>
      <c r="I88" s="363">
        <f t="shared" si="48"/>
        <v>3</v>
      </c>
      <c r="J88" s="363">
        <f t="shared" si="49"/>
        <v>2808.0728110599089</v>
      </c>
      <c r="K88" s="199">
        <f t="shared" si="50"/>
        <v>936.024270353303</v>
      </c>
      <c r="L88" s="647"/>
      <c r="M88" s="198">
        <f>RANK(K88, K$77:$K$106)</f>
        <v>10</v>
      </c>
      <c r="N88" s="654"/>
      <c r="O88" s="654"/>
      <c r="P88" s="555">
        <v>3</v>
      </c>
      <c r="Q88" s="559">
        <v>2798.0000000000027</v>
      </c>
      <c r="R88" s="559">
        <v>932.66666666666754</v>
      </c>
      <c r="S88" s="555">
        <f t="shared" si="32"/>
        <v>10</v>
      </c>
      <c r="T88" s="662"/>
      <c r="U88" s="555">
        <v>3</v>
      </c>
      <c r="V88" s="559">
        <v>2742.580645161293</v>
      </c>
      <c r="W88" s="559">
        <v>914.19354838709762</v>
      </c>
      <c r="X88" s="555">
        <f t="shared" si="34"/>
        <v>10</v>
      </c>
      <c r="Y88" s="662"/>
      <c r="Z88" s="555">
        <v>3</v>
      </c>
      <c r="AA88" s="559">
        <v>2746.0000000000027</v>
      </c>
      <c r="AB88" s="559">
        <v>915.33333333333428</v>
      </c>
      <c r="AC88" s="555">
        <f t="shared" si="36"/>
        <v>10</v>
      </c>
      <c r="AD88" s="662"/>
      <c r="AE88" s="555">
        <v>3</v>
      </c>
      <c r="AF88" s="559">
        <v>2896.8000000000011</v>
      </c>
      <c r="AG88" s="559">
        <v>965.60000000000036</v>
      </c>
      <c r="AH88" s="555">
        <f t="shared" si="38"/>
        <v>8</v>
      </c>
      <c r="AI88" s="662"/>
      <c r="AJ88" s="555">
        <v>3</v>
      </c>
      <c r="AK88" s="559">
        <v>2884.9999999999959</v>
      </c>
      <c r="AL88" s="559">
        <v>961.66666666666526</v>
      </c>
      <c r="AM88" s="555">
        <f t="shared" si="40"/>
        <v>10</v>
      </c>
      <c r="AN88" s="662"/>
      <c r="AO88" s="555">
        <v>3</v>
      </c>
      <c r="AP88" s="559">
        <v>2756.1290322580671</v>
      </c>
      <c r="AQ88" s="559">
        <v>918.70967741935567</v>
      </c>
      <c r="AR88" s="555">
        <f t="shared" si="42"/>
        <v>10</v>
      </c>
      <c r="AS88" s="662"/>
      <c r="AT88" s="555">
        <v>3</v>
      </c>
      <c r="AU88" s="559">
        <v>2831.9999999999986</v>
      </c>
      <c r="AV88" s="559">
        <v>943.99999999999955</v>
      </c>
      <c r="AW88" s="555">
        <f t="shared" si="44"/>
        <v>10</v>
      </c>
      <c r="AX88" s="662"/>
      <c r="AZ88" s="372" t="e">
        <f t="shared" si="46"/>
        <v>#N/A</v>
      </c>
      <c r="BA88" s="662"/>
    </row>
    <row r="89" spans="2:53">
      <c r="B89" s="675"/>
      <c r="C89" s="295">
        <v>13</v>
      </c>
      <c r="D89" s="201" t="s">
        <v>735</v>
      </c>
      <c r="E89" s="201">
        <v>4</v>
      </c>
      <c r="F89" s="201">
        <v>2800</v>
      </c>
      <c r="G89" s="534">
        <v>700</v>
      </c>
      <c r="H89" s="662"/>
      <c r="I89" s="363">
        <f t="shared" si="48"/>
        <v>4</v>
      </c>
      <c r="J89" s="363">
        <f t="shared" si="49"/>
        <v>2817.2238008401137</v>
      </c>
      <c r="K89" s="199">
        <f t="shared" si="50"/>
        <v>704.30595021002841</v>
      </c>
      <c r="L89" s="647"/>
      <c r="M89" s="198">
        <f>RANK(K89, K$77:$K$106)</f>
        <v>19</v>
      </c>
      <c r="N89" s="654"/>
      <c r="O89" s="654"/>
      <c r="P89" s="555">
        <v>4</v>
      </c>
      <c r="Q89" s="559">
        <v>2789.2682926829311</v>
      </c>
      <c r="R89" s="559">
        <v>697.31707317073278</v>
      </c>
      <c r="S89" s="555">
        <f t="shared" si="32"/>
        <v>19</v>
      </c>
      <c r="T89" s="662"/>
      <c r="U89" s="555">
        <v>4</v>
      </c>
      <c r="V89" s="559">
        <v>2818.7499999999959</v>
      </c>
      <c r="W89" s="559">
        <v>704.68749999999898</v>
      </c>
      <c r="X89" s="555">
        <f t="shared" si="34"/>
        <v>18</v>
      </c>
      <c r="Y89" s="662"/>
      <c r="Z89" s="555">
        <v>4</v>
      </c>
      <c r="AA89" s="559">
        <v>2761.2500000000055</v>
      </c>
      <c r="AB89" s="559">
        <v>690.31250000000136</v>
      </c>
      <c r="AC89" s="555">
        <f t="shared" si="36"/>
        <v>18</v>
      </c>
      <c r="AD89" s="662"/>
      <c r="AE89" s="555">
        <v>4</v>
      </c>
      <c r="AF89" s="559">
        <v>2863.3846153846148</v>
      </c>
      <c r="AG89" s="559">
        <v>715.8461538461537</v>
      </c>
      <c r="AH89" s="555">
        <f t="shared" si="38"/>
        <v>18</v>
      </c>
      <c r="AI89" s="662"/>
      <c r="AJ89" s="555">
        <v>4</v>
      </c>
      <c r="AK89" s="559">
        <v>2874.8275862068986</v>
      </c>
      <c r="AL89" s="559">
        <v>718.70689655172464</v>
      </c>
      <c r="AM89" s="555">
        <f t="shared" si="40"/>
        <v>18</v>
      </c>
      <c r="AN89" s="662"/>
      <c r="AO89" s="555">
        <v>4</v>
      </c>
      <c r="AP89" s="559">
        <v>2788.8607594936725</v>
      </c>
      <c r="AQ89" s="559">
        <v>697.21518987341813</v>
      </c>
      <c r="AR89" s="555">
        <f t="shared" si="42"/>
        <v>18</v>
      </c>
      <c r="AS89" s="662"/>
      <c r="AT89" s="555">
        <v>4</v>
      </c>
      <c r="AU89" s="559">
        <v>2824.2253521126768</v>
      </c>
      <c r="AV89" s="559">
        <v>706.05633802816919</v>
      </c>
      <c r="AW89" s="555">
        <f t="shared" si="44"/>
        <v>19</v>
      </c>
      <c r="AX89" s="662"/>
      <c r="AZ89" s="372" t="e">
        <f t="shared" si="46"/>
        <v>#N/A</v>
      </c>
      <c r="BA89" s="662"/>
    </row>
    <row r="90" spans="2:53">
      <c r="B90" s="675"/>
      <c r="C90" s="295">
        <v>14</v>
      </c>
      <c r="D90" s="201" t="s">
        <v>602</v>
      </c>
      <c r="E90" s="201">
        <v>3</v>
      </c>
      <c r="F90" s="201">
        <v>3200</v>
      </c>
      <c r="G90" s="534">
        <v>1066.6666666666667</v>
      </c>
      <c r="H90" s="662"/>
      <c r="I90" s="363">
        <f t="shared" si="48"/>
        <v>3</v>
      </c>
      <c r="J90" s="363">
        <f t="shared" si="49"/>
        <v>3234.8571428571408</v>
      </c>
      <c r="K90" s="199">
        <f t="shared" si="50"/>
        <v>1078.2857142857135</v>
      </c>
      <c r="L90" s="647"/>
      <c r="M90" s="198">
        <f>RANK(K90, K$77:$K$106)</f>
        <v>2</v>
      </c>
      <c r="N90" s="654"/>
      <c r="O90" s="654"/>
      <c r="P90" s="555">
        <v>3</v>
      </c>
      <c r="Q90" s="559">
        <v>3162.0000000000114</v>
      </c>
      <c r="R90" s="559">
        <v>1054.0000000000039</v>
      </c>
      <c r="S90" s="555">
        <f t="shared" si="32"/>
        <v>6</v>
      </c>
      <c r="T90" s="662"/>
      <c r="U90" s="555">
        <v>3</v>
      </c>
      <c r="V90" s="559">
        <v>3200.9999999999854</v>
      </c>
      <c r="W90" s="559">
        <v>1066.9999999999952</v>
      </c>
      <c r="X90" s="555">
        <f t="shared" si="34"/>
        <v>1</v>
      </c>
      <c r="Y90" s="662"/>
      <c r="Z90" s="555">
        <v>3</v>
      </c>
      <c r="AA90" s="559">
        <v>3059.9999999999864</v>
      </c>
      <c r="AB90" s="559">
        <v>1019.9999999999955</v>
      </c>
      <c r="AC90" s="555">
        <f t="shared" si="36"/>
        <v>7</v>
      </c>
      <c r="AD90" s="662"/>
      <c r="AE90" s="555">
        <v>3</v>
      </c>
      <c r="AF90" s="559">
        <v>3295.9999999999941</v>
      </c>
      <c r="AG90" s="559">
        <v>1098.6666666666647</v>
      </c>
      <c r="AH90" s="555">
        <f t="shared" si="38"/>
        <v>4</v>
      </c>
      <c r="AI90" s="662"/>
      <c r="AJ90" s="555">
        <v>3</v>
      </c>
      <c r="AK90" s="559">
        <v>3450.0000000000123</v>
      </c>
      <c r="AL90" s="559">
        <v>1150.0000000000041</v>
      </c>
      <c r="AM90" s="555">
        <f t="shared" si="40"/>
        <v>1</v>
      </c>
      <c r="AN90" s="662"/>
      <c r="AO90" s="555">
        <v>3</v>
      </c>
      <c r="AP90" s="559">
        <v>3074.9999999999986</v>
      </c>
      <c r="AQ90" s="559">
        <v>1024.9999999999995</v>
      </c>
      <c r="AR90" s="555">
        <f t="shared" si="42"/>
        <v>8</v>
      </c>
      <c r="AS90" s="662"/>
      <c r="AT90" s="555">
        <v>3</v>
      </c>
      <c r="AU90" s="559">
        <v>3399.9999999999973</v>
      </c>
      <c r="AV90" s="559">
        <v>1133.3333333333323</v>
      </c>
      <c r="AW90" s="555">
        <f t="shared" si="44"/>
        <v>1</v>
      </c>
      <c r="AX90" s="662"/>
      <c r="AZ90" s="372" t="e">
        <f t="shared" si="46"/>
        <v>#N/A</v>
      </c>
      <c r="BA90" s="662"/>
    </row>
    <row r="91" spans="2:53">
      <c r="B91" s="675"/>
      <c r="C91" s="295">
        <v>15</v>
      </c>
      <c r="D91" s="528" t="s">
        <v>607</v>
      </c>
      <c r="E91" s="201">
        <v>3</v>
      </c>
      <c r="F91" s="201">
        <v>3200</v>
      </c>
      <c r="G91" s="534">
        <v>1066.6666666666667</v>
      </c>
      <c r="H91" s="662"/>
      <c r="I91" s="363">
        <f t="shared" si="48"/>
        <v>3</v>
      </c>
      <c r="J91" s="363">
        <f t="shared" si="49"/>
        <v>3120.3828076685168</v>
      </c>
      <c r="K91" s="199">
        <f t="shared" si="50"/>
        <v>1040.1276025561724</v>
      </c>
      <c r="L91" s="647"/>
      <c r="M91" s="198">
        <f>RANK(K91, K$77:$K$106)</f>
        <v>7</v>
      </c>
      <c r="N91" s="654"/>
      <c r="O91" s="654"/>
      <c r="P91" s="555">
        <v>3</v>
      </c>
      <c r="Q91" s="559">
        <v>2940.00000000001</v>
      </c>
      <c r="R91" s="559">
        <v>980.0000000000033</v>
      </c>
      <c r="S91" s="555">
        <f t="shared" si="32"/>
        <v>8</v>
      </c>
      <c r="T91" s="662"/>
      <c r="U91" s="555">
        <v>3</v>
      </c>
      <c r="V91" s="559">
        <v>2985.0000000000105</v>
      </c>
      <c r="W91" s="559">
        <v>995.00000000000352</v>
      </c>
      <c r="X91" s="555">
        <f t="shared" si="34"/>
        <v>8</v>
      </c>
      <c r="Y91" s="662"/>
      <c r="Z91" s="555">
        <v>3</v>
      </c>
      <c r="AA91" s="559">
        <v>3152.7272727272607</v>
      </c>
      <c r="AB91" s="559">
        <v>1050.9090909090869</v>
      </c>
      <c r="AC91" s="555">
        <f t="shared" si="36"/>
        <v>4</v>
      </c>
      <c r="AD91" s="662"/>
      <c r="AE91" s="555">
        <v>3</v>
      </c>
      <c r="AF91" s="559">
        <v>2866.6666666666515</v>
      </c>
      <c r="AG91" s="559">
        <v>955.55555555555054</v>
      </c>
      <c r="AH91" s="555">
        <f t="shared" si="38"/>
        <v>9</v>
      </c>
      <c r="AI91" s="662"/>
      <c r="AJ91" s="555">
        <v>3</v>
      </c>
      <c r="AK91" s="559">
        <v>3394.2857142856878</v>
      </c>
      <c r="AL91" s="559">
        <v>1131.4285714285627</v>
      </c>
      <c r="AM91" s="555">
        <f t="shared" si="40"/>
        <v>3</v>
      </c>
      <c r="AN91" s="662"/>
      <c r="AO91" s="555">
        <v>3</v>
      </c>
      <c r="AP91" s="559">
        <v>3276.0000000000118</v>
      </c>
      <c r="AQ91" s="559">
        <v>1092.0000000000039</v>
      </c>
      <c r="AR91" s="555">
        <f t="shared" si="42"/>
        <v>1</v>
      </c>
      <c r="AS91" s="662"/>
      <c r="AT91" s="555">
        <v>3</v>
      </c>
      <c r="AU91" s="559">
        <v>3227.9999999999859</v>
      </c>
      <c r="AV91" s="559">
        <v>1075.9999999999952</v>
      </c>
      <c r="AW91" s="555">
        <f t="shared" si="44"/>
        <v>7</v>
      </c>
      <c r="AX91" s="662"/>
      <c r="AZ91" s="372" t="e">
        <f t="shared" si="46"/>
        <v>#N/A</v>
      </c>
      <c r="BA91" s="662"/>
    </row>
    <row r="92" spans="2:53">
      <c r="B92" s="675"/>
      <c r="C92" s="295">
        <v>16</v>
      </c>
      <c r="D92" s="201" t="s">
        <v>613</v>
      </c>
      <c r="E92" s="201">
        <v>3</v>
      </c>
      <c r="F92" s="201">
        <v>3200</v>
      </c>
      <c r="G92" s="534">
        <v>1066.6666666666667</v>
      </c>
      <c r="H92" s="662"/>
      <c r="I92" s="363">
        <f t="shared" si="48"/>
        <v>3</v>
      </c>
      <c r="J92" s="363">
        <f t="shared" si="49"/>
        <v>3018.3637454982045</v>
      </c>
      <c r="K92" s="199">
        <f t="shared" si="50"/>
        <v>1006.1212484994015</v>
      </c>
      <c r="L92" s="647"/>
      <c r="M92" s="198">
        <f>RANK(K92, K$77:$K$106)</f>
        <v>9</v>
      </c>
      <c r="N92" s="654"/>
      <c r="O92" s="654"/>
      <c r="P92" s="555">
        <v>3</v>
      </c>
      <c r="Q92" s="559">
        <v>2933.9999999999991</v>
      </c>
      <c r="R92" s="559">
        <v>977.99999999999966</v>
      </c>
      <c r="S92" s="555">
        <f t="shared" si="32"/>
        <v>9</v>
      </c>
      <c r="T92" s="662"/>
      <c r="U92" s="555">
        <v>3</v>
      </c>
      <c r="V92" s="559">
        <v>2946.0000000000105</v>
      </c>
      <c r="W92" s="559">
        <v>982.00000000000352</v>
      </c>
      <c r="X92" s="555">
        <f t="shared" si="34"/>
        <v>9</v>
      </c>
      <c r="Y92" s="662"/>
      <c r="Z92" s="555">
        <v>3</v>
      </c>
      <c r="AA92" s="559">
        <v>2898.0000000000105</v>
      </c>
      <c r="AB92" s="559">
        <v>966.00000000000352</v>
      </c>
      <c r="AC92" s="555">
        <f t="shared" si="36"/>
        <v>9</v>
      </c>
      <c r="AD92" s="662"/>
      <c r="AE92" s="555">
        <v>3</v>
      </c>
      <c r="AF92" s="559">
        <v>3072.0000000000109</v>
      </c>
      <c r="AG92" s="559">
        <v>1024.0000000000036</v>
      </c>
      <c r="AH92" s="555">
        <f t="shared" si="38"/>
        <v>7</v>
      </c>
      <c r="AI92" s="662"/>
      <c r="AJ92" s="555">
        <v>3</v>
      </c>
      <c r="AK92" s="559">
        <v>3081.4285714285825</v>
      </c>
      <c r="AL92" s="559">
        <v>1027.1428571428607</v>
      </c>
      <c r="AM92" s="555">
        <f t="shared" si="40"/>
        <v>8</v>
      </c>
      <c r="AN92" s="662"/>
      <c r="AO92" s="555">
        <v>3</v>
      </c>
      <c r="AP92" s="559">
        <v>2882.9999999999991</v>
      </c>
      <c r="AQ92" s="559">
        <v>960.99999999999966</v>
      </c>
      <c r="AR92" s="555">
        <f t="shared" si="42"/>
        <v>9</v>
      </c>
      <c r="AS92" s="662"/>
      <c r="AT92" s="555">
        <v>3</v>
      </c>
      <c r="AU92" s="559">
        <v>3314.1176470588193</v>
      </c>
      <c r="AV92" s="559">
        <v>1104.7058823529399</v>
      </c>
      <c r="AW92" s="555">
        <f t="shared" si="44"/>
        <v>3</v>
      </c>
      <c r="AX92" s="662"/>
      <c r="AZ92" s="372" t="e">
        <f t="shared" si="46"/>
        <v>#N/A</v>
      </c>
      <c r="BA92" s="662"/>
    </row>
    <row r="93" spans="2:53">
      <c r="B93" s="675"/>
      <c r="C93" s="295">
        <v>17</v>
      </c>
      <c r="D93" s="201" t="s">
        <v>708</v>
      </c>
      <c r="E93" s="201">
        <v>4</v>
      </c>
      <c r="F93" s="201">
        <v>3200</v>
      </c>
      <c r="G93" s="534">
        <v>800</v>
      </c>
      <c r="H93" s="662"/>
      <c r="I93" s="363">
        <f t="shared" si="48"/>
        <v>4</v>
      </c>
      <c r="J93" s="363">
        <f t="shared" si="49"/>
        <v>3106.385290958488</v>
      </c>
      <c r="K93" s="199">
        <f t="shared" si="50"/>
        <v>776.596322739622</v>
      </c>
      <c r="L93" s="647"/>
      <c r="M93" s="198">
        <f>RANK(K93, K$77:$K$106)</f>
        <v>15</v>
      </c>
      <c r="N93" s="654"/>
      <c r="O93" s="654"/>
      <c r="P93" s="555">
        <v>4</v>
      </c>
      <c r="Q93" s="559">
        <v>3170.5263157894715</v>
      </c>
      <c r="R93" s="559">
        <v>792.63157894736787</v>
      </c>
      <c r="S93" s="555">
        <f t="shared" si="32"/>
        <v>13</v>
      </c>
      <c r="T93" s="662"/>
      <c r="U93" s="555">
        <v>4</v>
      </c>
      <c r="V93" s="559">
        <v>3145.2631578947212</v>
      </c>
      <c r="W93" s="559">
        <v>786.3157894736803</v>
      </c>
      <c r="X93" s="555">
        <f t="shared" si="34"/>
        <v>12</v>
      </c>
      <c r="Y93" s="662"/>
      <c r="Z93" s="555">
        <v>4</v>
      </c>
      <c r="AA93" s="559">
        <v>2697.1428571428464</v>
      </c>
      <c r="AB93" s="559">
        <v>674.28571428571161</v>
      </c>
      <c r="AC93" s="555">
        <f t="shared" si="36"/>
        <v>20</v>
      </c>
      <c r="AD93" s="662"/>
      <c r="AE93" s="555">
        <v>4</v>
      </c>
      <c r="AF93" s="559">
        <v>3040.0000000000109</v>
      </c>
      <c r="AG93" s="559">
        <v>760.00000000000273</v>
      </c>
      <c r="AH93" s="555">
        <f t="shared" si="38"/>
        <v>15</v>
      </c>
      <c r="AI93" s="662"/>
      <c r="AJ93" s="555">
        <v>4</v>
      </c>
      <c r="AK93" s="559">
        <v>3199.99999999999</v>
      </c>
      <c r="AL93" s="559">
        <v>799.9999999999975</v>
      </c>
      <c r="AM93" s="555">
        <f t="shared" si="40"/>
        <v>14</v>
      </c>
      <c r="AN93" s="662"/>
      <c r="AO93" s="555">
        <v>4</v>
      </c>
      <c r="AP93" s="559">
        <v>3091.7647058823641</v>
      </c>
      <c r="AQ93" s="559">
        <v>772.94117647059102</v>
      </c>
      <c r="AR93" s="555">
        <f t="shared" si="42"/>
        <v>15</v>
      </c>
      <c r="AS93" s="662"/>
      <c r="AT93" s="555">
        <v>4</v>
      </c>
      <c r="AU93" s="559">
        <v>3400.0000000000123</v>
      </c>
      <c r="AV93" s="559">
        <v>850.00000000000307</v>
      </c>
      <c r="AW93" s="555">
        <f t="shared" si="44"/>
        <v>12</v>
      </c>
      <c r="AX93" s="662"/>
      <c r="AZ93" s="372" t="e">
        <f t="shared" si="46"/>
        <v>#N/A</v>
      </c>
      <c r="BA93" s="662"/>
    </row>
    <row r="94" spans="2:53">
      <c r="B94" s="675"/>
      <c r="C94" s="295">
        <v>18</v>
      </c>
      <c r="D94" s="528" t="s">
        <v>566</v>
      </c>
      <c r="E94" s="201">
        <v>4</v>
      </c>
      <c r="F94" s="201">
        <v>2800</v>
      </c>
      <c r="G94" s="534">
        <v>700</v>
      </c>
      <c r="H94" s="662"/>
      <c r="I94" s="363">
        <f t="shared" si="48"/>
        <v>4</v>
      </c>
      <c r="J94" s="363">
        <f t="shared" si="49"/>
        <v>2799.7957247721229</v>
      </c>
      <c r="K94" s="199">
        <f t="shared" si="50"/>
        <v>699.94893119303072</v>
      </c>
      <c r="L94" s="647"/>
      <c r="M94" s="198">
        <f>RANK(K94, K$77:$K$106)</f>
        <v>20</v>
      </c>
      <c r="N94" s="654"/>
      <c r="O94" s="654"/>
      <c r="P94" s="555">
        <v>4</v>
      </c>
      <c r="Q94" s="559">
        <v>3099.0000000000109</v>
      </c>
      <c r="R94" s="559">
        <v>774.75000000000273</v>
      </c>
      <c r="S94" s="555">
        <f t="shared" si="32"/>
        <v>15</v>
      </c>
      <c r="T94" s="662"/>
      <c r="U94" s="555">
        <v>4</v>
      </c>
      <c r="V94" s="559">
        <v>3069.0000000000109</v>
      </c>
      <c r="W94" s="559">
        <v>767.25000000000273</v>
      </c>
      <c r="X94" s="555">
        <f t="shared" si="34"/>
        <v>14</v>
      </c>
      <c r="Y94" s="662"/>
      <c r="Z94" s="555">
        <v>4</v>
      </c>
      <c r="AA94" s="559">
        <v>2711.4285714285602</v>
      </c>
      <c r="AB94" s="559">
        <v>677.85714285714005</v>
      </c>
      <c r="AC94" s="555">
        <f t="shared" si="36"/>
        <v>19</v>
      </c>
      <c r="AD94" s="662"/>
      <c r="AE94" s="555">
        <v>4</v>
      </c>
      <c r="AF94" s="559">
        <v>2679.9999999999891</v>
      </c>
      <c r="AG94" s="559">
        <v>669.99999999999727</v>
      </c>
      <c r="AH94" s="555">
        <f t="shared" si="38"/>
        <v>19</v>
      </c>
      <c r="AI94" s="662"/>
      <c r="AJ94" s="555">
        <v>4</v>
      </c>
      <c r="AK94" s="559">
        <v>2735.4545454545355</v>
      </c>
      <c r="AL94" s="559">
        <v>683.86363636363387</v>
      </c>
      <c r="AM94" s="555">
        <f t="shared" si="40"/>
        <v>20</v>
      </c>
      <c r="AN94" s="662"/>
      <c r="AO94" s="555">
        <v>4</v>
      </c>
      <c r="AP94" s="559">
        <v>2786.0869565217295</v>
      </c>
      <c r="AQ94" s="559">
        <v>696.52173913043237</v>
      </c>
      <c r="AR94" s="555">
        <f t="shared" si="42"/>
        <v>19</v>
      </c>
      <c r="AS94" s="662"/>
      <c r="AT94" s="555">
        <v>4</v>
      </c>
      <c r="AU94" s="559">
        <v>2517.6000000000254</v>
      </c>
      <c r="AV94" s="559">
        <v>629.40000000000634</v>
      </c>
      <c r="AW94" s="555">
        <f t="shared" si="44"/>
        <v>20</v>
      </c>
      <c r="AX94" s="662"/>
      <c r="AZ94" s="372" t="e">
        <f t="shared" si="46"/>
        <v>#N/A</v>
      </c>
      <c r="BA94" s="662"/>
    </row>
    <row r="95" spans="2:53">
      <c r="B95" s="675"/>
      <c r="C95" s="295">
        <v>19</v>
      </c>
      <c r="D95" s="528" t="s">
        <v>567</v>
      </c>
      <c r="E95" s="201">
        <v>3</v>
      </c>
      <c r="F95" s="201">
        <v>2800</v>
      </c>
      <c r="G95" s="534">
        <v>933.33333333333337</v>
      </c>
      <c r="H95" s="662"/>
      <c r="I95" s="363">
        <f t="shared" si="48"/>
        <v>3</v>
      </c>
      <c r="J95" s="363">
        <f t="shared" si="49"/>
        <v>3079.7142857142721</v>
      </c>
      <c r="K95" s="199">
        <f t="shared" si="50"/>
        <v>1026.5714285714241</v>
      </c>
      <c r="L95" s="647"/>
      <c r="M95" s="198">
        <f>RANK(K95, K$77:$K$106)</f>
        <v>8</v>
      </c>
      <c r="N95" s="654"/>
      <c r="O95" s="654"/>
      <c r="P95" s="555">
        <v>3</v>
      </c>
      <c r="Q95" s="559">
        <v>3179.9999999999859</v>
      </c>
      <c r="R95" s="559">
        <v>1059.9999999999952</v>
      </c>
      <c r="S95" s="555">
        <f t="shared" si="32"/>
        <v>4</v>
      </c>
      <c r="T95" s="662"/>
      <c r="U95" s="555">
        <v>3</v>
      </c>
      <c r="V95" s="559">
        <v>3131.9999999999859</v>
      </c>
      <c r="W95" s="559">
        <v>1043.9999999999952</v>
      </c>
      <c r="X95" s="555">
        <f t="shared" si="34"/>
        <v>7</v>
      </c>
      <c r="Y95" s="662"/>
      <c r="Z95" s="555">
        <v>3</v>
      </c>
      <c r="AA95" s="559">
        <v>2927.9999999999873</v>
      </c>
      <c r="AB95" s="559">
        <v>975.99999999999579</v>
      </c>
      <c r="AC95" s="555">
        <f t="shared" si="36"/>
        <v>8</v>
      </c>
      <c r="AD95" s="662"/>
      <c r="AE95" s="555">
        <v>3</v>
      </c>
      <c r="AF95" s="559">
        <v>2816.9999999999873</v>
      </c>
      <c r="AG95" s="559">
        <v>938.99999999999579</v>
      </c>
      <c r="AH95" s="555">
        <f t="shared" si="38"/>
        <v>10</v>
      </c>
      <c r="AI95" s="662"/>
      <c r="AJ95" s="555">
        <v>3</v>
      </c>
      <c r="AK95" s="559">
        <v>3011.9999999999864</v>
      </c>
      <c r="AL95" s="559">
        <v>1003.9999999999955</v>
      </c>
      <c r="AM95" s="555">
        <f t="shared" si="40"/>
        <v>9</v>
      </c>
      <c r="AN95" s="662"/>
      <c r="AO95" s="555">
        <v>3</v>
      </c>
      <c r="AP95" s="559">
        <v>3272.9999999999854</v>
      </c>
      <c r="AQ95" s="559">
        <v>1090.9999999999952</v>
      </c>
      <c r="AR95" s="555">
        <f t="shared" si="42"/>
        <v>2</v>
      </c>
      <c r="AS95" s="662"/>
      <c r="AT95" s="555">
        <v>3</v>
      </c>
      <c r="AU95" s="559">
        <v>3215.9999999999854</v>
      </c>
      <c r="AV95" s="559">
        <v>1071.9999999999952</v>
      </c>
      <c r="AW95" s="555">
        <f t="shared" si="44"/>
        <v>8</v>
      </c>
      <c r="AX95" s="662"/>
      <c r="AZ95" s="372" t="e">
        <f t="shared" si="46"/>
        <v>#N/A</v>
      </c>
      <c r="BA95" s="662"/>
    </row>
    <row r="96" spans="2:53">
      <c r="B96" s="675"/>
      <c r="C96" s="295">
        <v>20</v>
      </c>
      <c r="D96" s="528" t="s">
        <v>568</v>
      </c>
      <c r="E96" s="201">
        <v>4</v>
      </c>
      <c r="F96" s="201">
        <v>2200</v>
      </c>
      <c r="G96" s="534">
        <v>550</v>
      </c>
      <c r="H96" s="662"/>
      <c r="I96" s="363">
        <f t="shared" si="48"/>
        <v>3</v>
      </c>
      <c r="J96" s="363">
        <f t="shared" si="49"/>
        <v>2208.260204081635</v>
      </c>
      <c r="K96" s="199">
        <f t="shared" si="50"/>
        <v>736.08673469387838</v>
      </c>
      <c r="L96" s="647"/>
      <c r="M96" s="198">
        <f>RANK(K96, K$77:$K$106)</f>
        <v>17</v>
      </c>
      <c r="N96" s="654"/>
      <c r="O96" s="654"/>
      <c r="P96" s="555">
        <v>3</v>
      </c>
      <c r="Q96" s="559">
        <v>2060.5714285714262</v>
      </c>
      <c r="R96" s="559">
        <v>686.85714285714209</v>
      </c>
      <c r="S96" s="555">
        <f t="shared" si="32"/>
        <v>20</v>
      </c>
      <c r="T96" s="662"/>
      <c r="U96" s="555">
        <v>3</v>
      </c>
      <c r="V96" s="559">
        <v>2082.8571428571408</v>
      </c>
      <c r="W96" s="559">
        <v>694.28571428571365</v>
      </c>
      <c r="X96" s="555">
        <f t="shared" si="34"/>
        <v>20</v>
      </c>
      <c r="Y96" s="662"/>
      <c r="Z96" s="555">
        <v>3</v>
      </c>
      <c r="AA96" s="559">
        <v>2328.0000000000082</v>
      </c>
      <c r="AB96" s="559">
        <v>776.00000000000273</v>
      </c>
      <c r="AC96" s="555">
        <f t="shared" si="36"/>
        <v>14</v>
      </c>
      <c r="AD96" s="662"/>
      <c r="AE96" s="555">
        <v>3</v>
      </c>
      <c r="AF96" s="559">
        <v>2186.0000000000077</v>
      </c>
      <c r="AG96" s="559">
        <v>728.66666666666924</v>
      </c>
      <c r="AH96" s="555">
        <f t="shared" si="38"/>
        <v>16</v>
      </c>
      <c r="AI96" s="662"/>
      <c r="AJ96" s="555">
        <v>3</v>
      </c>
      <c r="AK96" s="559">
        <v>2171.2499999999968</v>
      </c>
      <c r="AL96" s="559">
        <v>723.74999999999898</v>
      </c>
      <c r="AM96" s="555">
        <f t="shared" si="40"/>
        <v>16</v>
      </c>
      <c r="AN96" s="662"/>
      <c r="AO96" s="555">
        <v>3</v>
      </c>
      <c r="AP96" s="559">
        <v>2165.1428571428546</v>
      </c>
      <c r="AQ96" s="559">
        <v>721.71428571428487</v>
      </c>
      <c r="AR96" s="555">
        <f t="shared" si="42"/>
        <v>17</v>
      </c>
      <c r="AS96" s="662"/>
      <c r="AT96" s="555">
        <v>3</v>
      </c>
      <c r="AU96" s="559">
        <v>2464.0000000000086</v>
      </c>
      <c r="AV96" s="559">
        <v>821.33333333333621</v>
      </c>
      <c r="AW96" s="555">
        <f t="shared" si="44"/>
        <v>14</v>
      </c>
      <c r="AX96" s="662"/>
      <c r="AZ96" s="372" t="e">
        <f t="shared" si="46"/>
        <v>#N/A</v>
      </c>
      <c r="BA96" s="662"/>
    </row>
    <row r="97" spans="2:53">
      <c r="B97" s="675"/>
      <c r="C97" s="295">
        <v>21</v>
      </c>
      <c r="D97" s="528" t="s">
        <v>630</v>
      </c>
      <c r="E97" s="201">
        <v>4</v>
      </c>
      <c r="F97" s="201">
        <v>2200</v>
      </c>
      <c r="G97" s="534">
        <v>550</v>
      </c>
      <c r="H97" s="662"/>
      <c r="I97" s="363">
        <f t="shared" si="48"/>
        <v>4</v>
      </c>
      <c r="J97" s="363">
        <f t="shared" si="49"/>
        <v>2255.4095238095215</v>
      </c>
      <c r="K97" s="199">
        <f t="shared" si="50"/>
        <v>563.85238095238037</v>
      </c>
      <c r="L97" s="647"/>
      <c r="M97" s="198">
        <f>RANK(K97, K$77:$K$106)</f>
        <v>21</v>
      </c>
      <c r="N97" s="654"/>
      <c r="O97" s="654"/>
      <c r="P97" s="555">
        <v>4</v>
      </c>
      <c r="Q97" s="559">
        <v>2180.0000000000077</v>
      </c>
      <c r="R97" s="559">
        <v>545.00000000000193</v>
      </c>
      <c r="S97" s="555">
        <f t="shared" si="32"/>
        <v>21</v>
      </c>
      <c r="T97" s="662"/>
      <c r="U97" s="555">
        <v>4</v>
      </c>
      <c r="V97" s="559">
        <v>2539.1999999999925</v>
      </c>
      <c r="W97" s="559">
        <v>634.79999999999814</v>
      </c>
      <c r="X97" s="555">
        <f t="shared" si="34"/>
        <v>21</v>
      </c>
      <c r="Y97" s="662"/>
      <c r="Z97" s="555">
        <v>4</v>
      </c>
      <c r="AA97" s="559">
        <v>2188.8888888888837</v>
      </c>
      <c r="AB97" s="559">
        <v>547.22222222222092</v>
      </c>
      <c r="AC97" s="555">
        <f t="shared" si="36"/>
        <v>21</v>
      </c>
      <c r="AD97" s="662"/>
      <c r="AE97" s="555">
        <v>4</v>
      </c>
      <c r="AF97" s="559">
        <v>2087.9999999999936</v>
      </c>
      <c r="AG97" s="559">
        <v>521.99999999999841</v>
      </c>
      <c r="AH97" s="555">
        <f t="shared" si="38"/>
        <v>21</v>
      </c>
      <c r="AI97" s="662"/>
      <c r="AJ97" s="555">
        <v>4</v>
      </c>
      <c r="AK97" s="559">
        <v>2137.7777777777728</v>
      </c>
      <c r="AL97" s="559">
        <v>534.44444444444321</v>
      </c>
      <c r="AM97" s="555">
        <f t="shared" si="40"/>
        <v>21</v>
      </c>
      <c r="AN97" s="662"/>
      <c r="AO97" s="555">
        <v>4</v>
      </c>
      <c r="AP97" s="559">
        <v>2146.0000000000077</v>
      </c>
      <c r="AQ97" s="559">
        <v>536.50000000000193</v>
      </c>
      <c r="AR97" s="555">
        <f t="shared" si="42"/>
        <v>21</v>
      </c>
      <c r="AS97" s="662"/>
      <c r="AT97" s="555">
        <v>4</v>
      </c>
      <c r="AU97" s="559">
        <v>2507.9999999999932</v>
      </c>
      <c r="AV97" s="559">
        <v>626.99999999999829</v>
      </c>
      <c r="AW97" s="555">
        <f t="shared" si="44"/>
        <v>21</v>
      </c>
      <c r="AX97" s="662"/>
      <c r="AZ97" s="372" t="e">
        <f t="shared" si="46"/>
        <v>#N/A</v>
      </c>
      <c r="BA97" s="662"/>
    </row>
    <row r="98" spans="2:53">
      <c r="B98" s="675"/>
      <c r="C98" s="295">
        <v>22</v>
      </c>
      <c r="D98" s="528" t="s">
        <v>633</v>
      </c>
      <c r="E98" s="201">
        <v>5</v>
      </c>
      <c r="F98" s="201">
        <v>2200</v>
      </c>
      <c r="G98" s="534">
        <v>333.33333333333331</v>
      </c>
      <c r="H98" s="662"/>
      <c r="I98" s="363">
        <f t="shared" si="48"/>
        <v>5</v>
      </c>
      <c r="J98" s="363">
        <f t="shared" si="49"/>
        <v>1771.4502164502226</v>
      </c>
      <c r="K98" s="199">
        <f t="shared" si="50"/>
        <v>354.29004329004454</v>
      </c>
      <c r="L98" s="647"/>
      <c r="M98" s="198">
        <f>RANK(K98, K$77:$K$106)</f>
        <v>22</v>
      </c>
      <c r="N98" s="654"/>
      <c r="O98" s="654"/>
      <c r="P98" s="555">
        <v>5</v>
      </c>
      <c r="Q98" s="559">
        <v>1920.0000000000068</v>
      </c>
      <c r="R98" s="559">
        <v>384.00000000000136</v>
      </c>
      <c r="S98" s="555">
        <f t="shared" si="32"/>
        <v>22</v>
      </c>
      <c r="T98" s="662"/>
      <c r="U98" s="555">
        <v>5</v>
      </c>
      <c r="V98" s="559">
        <v>1730.0000000000061</v>
      </c>
      <c r="W98" s="559">
        <v>346.00000000000125</v>
      </c>
      <c r="X98" s="555">
        <f t="shared" si="34"/>
        <v>23</v>
      </c>
      <c r="Y98" s="662"/>
      <c r="Z98" s="555">
        <v>5</v>
      </c>
      <c r="AA98" s="559">
        <v>1630.9090909090967</v>
      </c>
      <c r="AB98" s="559">
        <v>326.18181818181932</v>
      </c>
      <c r="AC98" s="555">
        <f t="shared" si="36"/>
        <v>23</v>
      </c>
      <c r="AD98" s="662"/>
      <c r="AE98" s="555">
        <v>5</v>
      </c>
      <c r="AF98" s="559">
        <v>1800.0000000000064</v>
      </c>
      <c r="AG98" s="559">
        <v>360.00000000000125</v>
      </c>
      <c r="AH98" s="555">
        <f t="shared" si="38"/>
        <v>23</v>
      </c>
      <c r="AI98" s="662"/>
      <c r="AJ98" s="555">
        <v>5</v>
      </c>
      <c r="AK98" s="559">
        <v>1933.3333333333401</v>
      </c>
      <c r="AL98" s="559">
        <v>386.66666666666799</v>
      </c>
      <c r="AM98" s="555">
        <f t="shared" si="40"/>
        <v>22</v>
      </c>
      <c r="AN98" s="662"/>
      <c r="AO98" s="555">
        <v>5</v>
      </c>
      <c r="AP98" s="559">
        <v>1695.0000000000059</v>
      </c>
      <c r="AQ98" s="559">
        <v>339.00000000000119</v>
      </c>
      <c r="AR98" s="555">
        <f t="shared" si="42"/>
        <v>22</v>
      </c>
      <c r="AS98" s="662"/>
      <c r="AT98" s="555">
        <v>5</v>
      </c>
      <c r="AU98" s="559">
        <v>1690.9090909090969</v>
      </c>
      <c r="AV98" s="559">
        <v>338.18181818181938</v>
      </c>
      <c r="AW98" s="555">
        <f t="shared" si="44"/>
        <v>23</v>
      </c>
      <c r="AX98" s="662"/>
      <c r="AZ98" s="372" t="e">
        <f t="shared" si="46"/>
        <v>#N/A</v>
      </c>
      <c r="BA98" s="662"/>
    </row>
    <row r="99" spans="2:53">
      <c r="B99" s="675"/>
      <c r="C99" s="295">
        <v>23</v>
      </c>
      <c r="D99" s="201" t="s">
        <v>634</v>
      </c>
      <c r="E99" s="201">
        <v>5</v>
      </c>
      <c r="F99" s="201">
        <v>2200</v>
      </c>
      <c r="G99" s="534">
        <v>333.33333333333331</v>
      </c>
      <c r="H99" s="662"/>
      <c r="I99" s="363">
        <f t="shared" si="48"/>
        <v>5</v>
      </c>
      <c r="J99" s="363">
        <f t="shared" si="49"/>
        <v>1748.775510204086</v>
      </c>
      <c r="K99" s="199">
        <f t="shared" si="50"/>
        <v>349.75510204081723</v>
      </c>
      <c r="L99" s="647"/>
      <c r="M99" s="198">
        <f>RANK(K99, K$77:$K$106)</f>
        <v>23</v>
      </c>
      <c r="N99" s="654"/>
      <c r="O99" s="654"/>
      <c r="P99" s="555">
        <v>5</v>
      </c>
      <c r="Q99" s="559">
        <v>1740.0000000000061</v>
      </c>
      <c r="R99" s="559">
        <v>348.00000000000125</v>
      </c>
      <c r="S99" s="555">
        <f t="shared" si="32"/>
        <v>23</v>
      </c>
      <c r="T99" s="662"/>
      <c r="U99" s="555">
        <v>5</v>
      </c>
      <c r="V99" s="559">
        <v>1800.0000000000064</v>
      </c>
      <c r="W99" s="559">
        <v>360.00000000000125</v>
      </c>
      <c r="X99" s="555">
        <f t="shared" si="34"/>
        <v>22</v>
      </c>
      <c r="Y99" s="662"/>
      <c r="Z99" s="555">
        <v>5</v>
      </c>
      <c r="AA99" s="559">
        <v>1760.0000000000064</v>
      </c>
      <c r="AB99" s="559">
        <v>352.00000000000125</v>
      </c>
      <c r="AC99" s="555">
        <f t="shared" si="36"/>
        <v>22</v>
      </c>
      <c r="AD99" s="662"/>
      <c r="AE99" s="555">
        <v>5</v>
      </c>
      <c r="AF99" s="559">
        <v>1859.9999999999472</v>
      </c>
      <c r="AG99" s="559">
        <v>371.99999999998943</v>
      </c>
      <c r="AH99" s="555">
        <f t="shared" si="38"/>
        <v>22</v>
      </c>
      <c r="AI99" s="662"/>
      <c r="AJ99" s="555">
        <v>5</v>
      </c>
      <c r="AK99" s="559">
        <v>1730.0000000000521</v>
      </c>
      <c r="AL99" s="559">
        <v>346.0000000000104</v>
      </c>
      <c r="AM99" s="555">
        <f t="shared" si="40"/>
        <v>23</v>
      </c>
      <c r="AN99" s="662"/>
      <c r="AO99" s="555">
        <v>5</v>
      </c>
      <c r="AP99" s="559">
        <v>1611.4285714285772</v>
      </c>
      <c r="AQ99" s="559">
        <v>322.28571428571547</v>
      </c>
      <c r="AR99" s="555">
        <f t="shared" si="42"/>
        <v>23</v>
      </c>
      <c r="AS99" s="662"/>
      <c r="AT99" s="555">
        <v>5</v>
      </c>
      <c r="AU99" s="559">
        <v>1740.0000000000061</v>
      </c>
      <c r="AV99" s="559">
        <v>348.00000000000125</v>
      </c>
      <c r="AW99" s="555">
        <f t="shared" si="44"/>
        <v>22</v>
      </c>
      <c r="AX99" s="662"/>
      <c r="AZ99" s="372" t="e">
        <f t="shared" si="46"/>
        <v>#N/A</v>
      </c>
      <c r="BA99" s="662"/>
    </row>
    <row r="100" spans="2:53">
      <c r="B100" s="675"/>
      <c r="C100" s="295">
        <v>24</v>
      </c>
      <c r="D100" s="528" t="s">
        <v>594</v>
      </c>
      <c r="E100" s="201">
        <v>8</v>
      </c>
      <c r="F100" s="201">
        <v>1500</v>
      </c>
      <c r="G100" s="534">
        <v>187.5</v>
      </c>
      <c r="H100" s="662"/>
      <c r="I100" s="363">
        <f t="shared" si="48"/>
        <v>10.857142857142858</v>
      </c>
      <c r="J100" s="363">
        <f t="shared" si="49"/>
        <v>1433.5342229735229</v>
      </c>
      <c r="K100" s="199">
        <f t="shared" si="50"/>
        <v>136.74275712419305</v>
      </c>
      <c r="L100" s="647"/>
      <c r="M100" s="198">
        <f>RANK(K100, K$77:$K$106)</f>
        <v>24</v>
      </c>
      <c r="N100" s="654"/>
      <c r="O100" s="654"/>
      <c r="P100" s="555">
        <v>12</v>
      </c>
      <c r="Q100" s="559">
        <v>1357.2413793103458</v>
      </c>
      <c r="R100" s="559">
        <v>113.10344827586215</v>
      </c>
      <c r="S100" s="555">
        <f t="shared" si="32"/>
        <v>24</v>
      </c>
      <c r="T100" s="662"/>
      <c r="U100" s="555">
        <v>12</v>
      </c>
      <c r="V100" s="559">
        <v>1400.7272727272737</v>
      </c>
      <c r="W100" s="559">
        <v>116.7272727272728</v>
      </c>
      <c r="X100" s="555">
        <f t="shared" si="34"/>
        <v>24</v>
      </c>
      <c r="Y100" s="662"/>
      <c r="Z100" s="555">
        <v>12</v>
      </c>
      <c r="AA100" s="559">
        <v>1445.882352941177</v>
      </c>
      <c r="AB100" s="559">
        <v>120.49019607843142</v>
      </c>
      <c r="AC100" s="555">
        <f t="shared" si="36"/>
        <v>24</v>
      </c>
      <c r="AD100" s="662"/>
      <c r="AE100" s="555">
        <v>12</v>
      </c>
      <c r="AF100" s="559">
        <v>1461.7021276595747</v>
      </c>
      <c r="AG100" s="559">
        <v>121.80851063829789</v>
      </c>
      <c r="AH100" s="555">
        <f t="shared" si="38"/>
        <v>24</v>
      </c>
      <c r="AI100" s="662"/>
      <c r="AJ100" s="555">
        <v>12</v>
      </c>
      <c r="AK100" s="559">
        <v>1465.882352941177</v>
      </c>
      <c r="AL100" s="559">
        <v>122.15686274509808</v>
      </c>
      <c r="AM100" s="555">
        <f t="shared" si="40"/>
        <v>24</v>
      </c>
      <c r="AN100" s="662"/>
      <c r="AO100" s="555">
        <v>8</v>
      </c>
      <c r="AP100" s="559">
        <v>1470.5454545454556</v>
      </c>
      <c r="AQ100" s="559">
        <v>183.81818181818196</v>
      </c>
      <c r="AR100" s="555">
        <f t="shared" si="42"/>
        <v>24</v>
      </c>
      <c r="AS100" s="662"/>
      <c r="AT100" s="555">
        <v>8</v>
      </c>
      <c r="AU100" s="559">
        <v>1432.7586206896563</v>
      </c>
      <c r="AV100" s="559">
        <v>179.09482758620703</v>
      </c>
      <c r="AW100" s="555">
        <f t="shared" si="44"/>
        <v>24</v>
      </c>
      <c r="AX100" s="662"/>
      <c r="AZ100" s="372" t="e">
        <f t="shared" si="46"/>
        <v>#N/A</v>
      </c>
      <c r="BA100" s="662"/>
    </row>
    <row r="101" spans="2:53">
      <c r="B101" s="675"/>
      <c r="C101" s="295">
        <v>25</v>
      </c>
      <c r="D101" s="201"/>
      <c r="E101" s="201"/>
      <c r="F101" s="201"/>
      <c r="G101" s="534"/>
      <c r="H101" s="662"/>
      <c r="I101" s="363" t="str">
        <f t="shared" si="48"/>
        <v>-</v>
      </c>
      <c r="J101" s="363" t="str">
        <f t="shared" si="49"/>
        <v>-</v>
      </c>
      <c r="K101" s="199" t="str">
        <f t="shared" si="50"/>
        <v>-</v>
      </c>
      <c r="L101" s="647"/>
      <c r="M101" s="198" t="e">
        <f>RANK(K101, K$77:$K$106)</f>
        <v>#VALUE!</v>
      </c>
      <c r="N101" s="654"/>
      <c r="O101" s="654"/>
      <c r="P101" s="555" t="s">
        <v>585</v>
      </c>
      <c r="Q101" s="559" t="s">
        <v>585</v>
      </c>
      <c r="R101" s="559" t="s">
        <v>585</v>
      </c>
      <c r="S101" s="555" t="e">
        <f t="shared" si="32"/>
        <v>#VALUE!</v>
      </c>
      <c r="T101" s="662"/>
      <c r="U101" s="555" t="s">
        <v>585</v>
      </c>
      <c r="V101" s="559" t="s">
        <v>585</v>
      </c>
      <c r="W101" s="559" t="s">
        <v>585</v>
      </c>
      <c r="X101" s="555" t="e">
        <f t="shared" si="34"/>
        <v>#VALUE!</v>
      </c>
      <c r="Y101" s="662"/>
      <c r="Z101" s="555" t="s">
        <v>585</v>
      </c>
      <c r="AA101" s="559" t="s">
        <v>585</v>
      </c>
      <c r="AB101" s="559" t="s">
        <v>585</v>
      </c>
      <c r="AC101" s="555" t="e">
        <f t="shared" si="36"/>
        <v>#VALUE!</v>
      </c>
      <c r="AD101" s="662"/>
      <c r="AE101" s="555" t="s">
        <v>585</v>
      </c>
      <c r="AF101" s="559" t="s">
        <v>585</v>
      </c>
      <c r="AG101" s="559" t="s">
        <v>585</v>
      </c>
      <c r="AH101" s="555" t="e">
        <f t="shared" si="38"/>
        <v>#VALUE!</v>
      </c>
      <c r="AI101" s="662"/>
      <c r="AJ101" s="555" t="s">
        <v>585</v>
      </c>
      <c r="AK101" s="559" t="s">
        <v>585</v>
      </c>
      <c r="AL101" s="559" t="s">
        <v>585</v>
      </c>
      <c r="AM101" s="555" t="e">
        <f t="shared" si="40"/>
        <v>#VALUE!</v>
      </c>
      <c r="AN101" s="662"/>
      <c r="AO101" s="555" t="s">
        <v>585</v>
      </c>
      <c r="AP101" s="559" t="s">
        <v>585</v>
      </c>
      <c r="AQ101" s="559" t="s">
        <v>585</v>
      </c>
      <c r="AR101" s="555" t="e">
        <f t="shared" si="42"/>
        <v>#VALUE!</v>
      </c>
      <c r="AS101" s="662"/>
      <c r="AT101" s="555" t="s">
        <v>585</v>
      </c>
      <c r="AU101" s="559" t="s">
        <v>585</v>
      </c>
      <c r="AV101" s="559" t="s">
        <v>585</v>
      </c>
      <c r="AW101" s="555" t="e">
        <f t="shared" si="44"/>
        <v>#VALUE!</v>
      </c>
      <c r="AX101" s="662"/>
      <c r="AZ101" s="372" t="e">
        <f t="shared" si="46"/>
        <v>#N/A</v>
      </c>
      <c r="BA101" s="662"/>
    </row>
    <row r="102" spans="2:53">
      <c r="B102" s="675"/>
      <c r="C102" s="295">
        <v>26</v>
      </c>
      <c r="D102" s="201"/>
      <c r="E102" s="201"/>
      <c r="F102" s="201"/>
      <c r="G102" s="534"/>
      <c r="H102" s="662"/>
      <c r="I102" s="363" t="str">
        <f t="shared" si="48"/>
        <v>-</v>
      </c>
      <c r="J102" s="363" t="str">
        <f t="shared" si="49"/>
        <v>-</v>
      </c>
      <c r="K102" s="199" t="str">
        <f t="shared" si="50"/>
        <v>-</v>
      </c>
      <c r="L102" s="647"/>
      <c r="M102" s="198" t="e">
        <f>RANK(K102, K$77:$K$106)</f>
        <v>#VALUE!</v>
      </c>
      <c r="N102" s="654"/>
      <c r="O102" s="654"/>
      <c r="P102" s="555"/>
      <c r="Q102" s="559"/>
      <c r="R102" s="559"/>
      <c r="S102" s="555" t="e">
        <f t="shared" si="32"/>
        <v>#N/A</v>
      </c>
      <c r="T102" s="662"/>
      <c r="U102" s="555"/>
      <c r="V102" s="559"/>
      <c r="W102" s="559"/>
      <c r="X102" s="555" t="e">
        <f t="shared" si="34"/>
        <v>#N/A</v>
      </c>
      <c r="Y102" s="662"/>
      <c r="Z102" s="555"/>
      <c r="AA102" s="559"/>
      <c r="AB102" s="559"/>
      <c r="AC102" s="555" t="e">
        <f t="shared" si="36"/>
        <v>#N/A</v>
      </c>
      <c r="AD102" s="662"/>
      <c r="AE102" s="555"/>
      <c r="AF102" s="559"/>
      <c r="AG102" s="559"/>
      <c r="AH102" s="555" t="e">
        <f t="shared" si="38"/>
        <v>#N/A</v>
      </c>
      <c r="AI102" s="662"/>
      <c r="AJ102" s="555"/>
      <c r="AK102" s="559"/>
      <c r="AL102" s="559"/>
      <c r="AM102" s="555" t="e">
        <f t="shared" si="40"/>
        <v>#N/A</v>
      </c>
      <c r="AN102" s="662"/>
      <c r="AO102" s="555"/>
      <c r="AP102" s="559"/>
      <c r="AQ102" s="559"/>
      <c r="AR102" s="555" t="e">
        <f t="shared" si="42"/>
        <v>#N/A</v>
      </c>
      <c r="AS102" s="662"/>
      <c r="AT102" s="555"/>
      <c r="AU102" s="559"/>
      <c r="AV102" s="559"/>
      <c r="AW102" s="555" t="e">
        <f t="shared" si="44"/>
        <v>#N/A</v>
      </c>
      <c r="AX102" s="662"/>
      <c r="AZ102" s="372" t="e">
        <f t="shared" si="46"/>
        <v>#N/A</v>
      </c>
      <c r="BA102" s="662"/>
    </row>
    <row r="103" spans="2:53">
      <c r="B103" s="675"/>
      <c r="C103" s="295">
        <v>27</v>
      </c>
      <c r="D103" s="201"/>
      <c r="E103" s="201"/>
      <c r="F103" s="201"/>
      <c r="G103" s="534"/>
      <c r="H103" s="662"/>
      <c r="I103" s="363" t="str">
        <f t="shared" si="48"/>
        <v>-</v>
      </c>
      <c r="J103" s="363" t="str">
        <f t="shared" si="49"/>
        <v>-</v>
      </c>
      <c r="K103" s="199" t="str">
        <f t="shared" si="50"/>
        <v>-</v>
      </c>
      <c r="L103" s="647"/>
      <c r="M103" s="198" t="e">
        <f>RANK(K103, K$77:$K$106)</f>
        <v>#VALUE!</v>
      </c>
      <c r="N103" s="654"/>
      <c r="O103" s="654"/>
      <c r="P103" s="555"/>
      <c r="Q103" s="559"/>
      <c r="R103" s="559"/>
      <c r="S103" s="555" t="e">
        <f t="shared" si="32"/>
        <v>#N/A</v>
      </c>
      <c r="T103" s="662"/>
      <c r="U103" s="555"/>
      <c r="V103" s="559"/>
      <c r="W103" s="559"/>
      <c r="X103" s="555" t="e">
        <f t="shared" si="34"/>
        <v>#N/A</v>
      </c>
      <c r="Y103" s="662"/>
      <c r="Z103" s="555"/>
      <c r="AA103" s="559"/>
      <c r="AB103" s="559"/>
      <c r="AC103" s="555" t="e">
        <f t="shared" si="36"/>
        <v>#N/A</v>
      </c>
      <c r="AD103" s="662"/>
      <c r="AE103" s="555"/>
      <c r="AF103" s="559"/>
      <c r="AG103" s="559"/>
      <c r="AH103" s="555" t="e">
        <f t="shared" si="38"/>
        <v>#N/A</v>
      </c>
      <c r="AI103" s="662"/>
      <c r="AJ103" s="555"/>
      <c r="AK103" s="559"/>
      <c r="AL103" s="559"/>
      <c r="AM103" s="555" t="e">
        <f t="shared" si="40"/>
        <v>#N/A</v>
      </c>
      <c r="AN103" s="662"/>
      <c r="AO103" s="555"/>
      <c r="AP103" s="559"/>
      <c r="AQ103" s="559"/>
      <c r="AR103" s="555" t="e">
        <f t="shared" si="42"/>
        <v>#N/A</v>
      </c>
      <c r="AS103" s="662"/>
      <c r="AT103" s="555"/>
      <c r="AU103" s="559"/>
      <c r="AV103" s="559"/>
      <c r="AW103" s="555" t="e">
        <f t="shared" si="44"/>
        <v>#N/A</v>
      </c>
      <c r="AX103" s="662"/>
      <c r="AZ103" s="372" t="e">
        <f t="shared" si="46"/>
        <v>#N/A</v>
      </c>
      <c r="BA103" s="662"/>
    </row>
    <row r="104" spans="2:53">
      <c r="B104" s="675"/>
      <c r="C104" s="295">
        <v>28</v>
      </c>
      <c r="D104" s="201"/>
      <c r="E104" s="201"/>
      <c r="F104" s="201"/>
      <c r="G104" s="201"/>
      <c r="H104" s="662"/>
      <c r="I104" s="363" t="str">
        <f t="shared" si="48"/>
        <v>-</v>
      </c>
      <c r="J104" s="363" t="str">
        <f t="shared" si="49"/>
        <v>-</v>
      </c>
      <c r="K104" s="199" t="str">
        <f t="shared" si="50"/>
        <v>-</v>
      </c>
      <c r="L104" s="647"/>
      <c r="M104" s="198" t="e">
        <f>RANK(K104, K$77:$K$106)</f>
        <v>#VALUE!</v>
      </c>
      <c r="N104" s="654"/>
      <c r="O104" s="654"/>
      <c r="P104" s="555"/>
      <c r="Q104" s="559"/>
      <c r="R104" s="559"/>
      <c r="S104" s="555" t="e">
        <f t="shared" si="32"/>
        <v>#N/A</v>
      </c>
      <c r="T104" s="662"/>
      <c r="U104" s="555"/>
      <c r="V104" s="559"/>
      <c r="W104" s="559"/>
      <c r="X104" s="555" t="e">
        <f t="shared" si="34"/>
        <v>#N/A</v>
      </c>
      <c r="Y104" s="662"/>
      <c r="Z104" s="555"/>
      <c r="AA104" s="559"/>
      <c r="AB104" s="559"/>
      <c r="AC104" s="555" t="e">
        <f t="shared" si="36"/>
        <v>#N/A</v>
      </c>
      <c r="AD104" s="662"/>
      <c r="AE104" s="555"/>
      <c r="AF104" s="559"/>
      <c r="AG104" s="559"/>
      <c r="AH104" s="555" t="e">
        <f t="shared" si="38"/>
        <v>#N/A</v>
      </c>
      <c r="AI104" s="662"/>
      <c r="AJ104" s="555"/>
      <c r="AK104" s="559"/>
      <c r="AL104" s="559"/>
      <c r="AM104" s="555" t="e">
        <f t="shared" si="40"/>
        <v>#N/A</v>
      </c>
      <c r="AN104" s="662"/>
      <c r="AO104" s="555"/>
      <c r="AP104" s="559"/>
      <c r="AQ104" s="559"/>
      <c r="AR104" s="555" t="e">
        <f t="shared" si="42"/>
        <v>#N/A</v>
      </c>
      <c r="AS104" s="662"/>
      <c r="AT104" s="555"/>
      <c r="AU104" s="559"/>
      <c r="AV104" s="559"/>
      <c r="AW104" s="555" t="e">
        <f t="shared" si="44"/>
        <v>#N/A</v>
      </c>
      <c r="AX104" s="662"/>
      <c r="AZ104" s="372" t="e">
        <f t="shared" si="46"/>
        <v>#N/A</v>
      </c>
      <c r="BA104" s="662"/>
    </row>
    <row r="105" spans="2:53">
      <c r="B105" s="675"/>
      <c r="C105" s="295">
        <v>29</v>
      </c>
      <c r="D105" s="201"/>
      <c r="E105" s="201"/>
      <c r="F105" s="201"/>
      <c r="G105" s="201"/>
      <c r="H105" s="662"/>
      <c r="I105" s="363" t="str">
        <f t="shared" si="48"/>
        <v>-</v>
      </c>
      <c r="J105" s="363" t="str">
        <f t="shared" si="49"/>
        <v>-</v>
      </c>
      <c r="K105" s="199" t="str">
        <f t="shared" si="50"/>
        <v>-</v>
      </c>
      <c r="L105" s="647"/>
      <c r="M105" s="198" t="e">
        <f>RANK(K105, K$77:$K$106)</f>
        <v>#VALUE!</v>
      </c>
      <c r="N105" s="654"/>
      <c r="O105" s="654"/>
      <c r="P105" s="555"/>
      <c r="Q105" s="559"/>
      <c r="R105" s="559"/>
      <c r="S105" s="555" t="e">
        <f t="shared" si="32"/>
        <v>#N/A</v>
      </c>
      <c r="T105" s="662"/>
      <c r="U105" s="555"/>
      <c r="V105" s="559"/>
      <c r="W105" s="559"/>
      <c r="X105" s="555" t="e">
        <f t="shared" si="34"/>
        <v>#N/A</v>
      </c>
      <c r="Y105" s="662"/>
      <c r="Z105" s="555"/>
      <c r="AA105" s="559"/>
      <c r="AB105" s="559"/>
      <c r="AC105" s="555" t="e">
        <f t="shared" si="36"/>
        <v>#N/A</v>
      </c>
      <c r="AD105" s="662"/>
      <c r="AE105" s="555"/>
      <c r="AF105" s="559"/>
      <c r="AG105" s="559"/>
      <c r="AH105" s="555" t="e">
        <f t="shared" si="38"/>
        <v>#N/A</v>
      </c>
      <c r="AI105" s="662"/>
      <c r="AJ105" s="555"/>
      <c r="AK105" s="559"/>
      <c r="AL105" s="559"/>
      <c r="AM105" s="555" t="e">
        <f t="shared" si="40"/>
        <v>#N/A</v>
      </c>
      <c r="AN105" s="662"/>
      <c r="AO105" s="555"/>
      <c r="AP105" s="559"/>
      <c r="AQ105" s="559"/>
      <c r="AR105" s="555" t="e">
        <f t="shared" si="42"/>
        <v>#N/A</v>
      </c>
      <c r="AS105" s="662"/>
      <c r="AT105" s="555"/>
      <c r="AU105" s="559"/>
      <c r="AV105" s="559"/>
      <c r="AW105" s="555" t="e">
        <f t="shared" si="44"/>
        <v>#N/A</v>
      </c>
      <c r="AX105" s="662"/>
      <c r="AZ105" s="372" t="e">
        <f t="shared" si="46"/>
        <v>#N/A</v>
      </c>
      <c r="BA105" s="662"/>
    </row>
    <row r="106" spans="2:53">
      <c r="B106" s="676"/>
      <c r="C106" s="295">
        <v>30</v>
      </c>
      <c r="D106" s="201"/>
      <c r="E106" s="201"/>
      <c r="F106" s="201"/>
      <c r="G106" s="201"/>
      <c r="H106" s="663"/>
      <c r="I106" s="363" t="str">
        <f t="shared" si="48"/>
        <v>-</v>
      </c>
      <c r="J106" s="363" t="str">
        <f t="shared" si="49"/>
        <v>-</v>
      </c>
      <c r="K106" s="199" t="str">
        <f t="shared" si="50"/>
        <v>-</v>
      </c>
      <c r="L106" s="648"/>
      <c r="M106" s="198" t="e">
        <f>RANK(K106, K$77:$K$106)</f>
        <v>#VALUE!</v>
      </c>
      <c r="N106" s="655"/>
      <c r="O106" s="655"/>
      <c r="P106" s="555"/>
      <c r="Q106" s="559"/>
      <c r="R106" s="559"/>
      <c r="S106" s="555" t="e">
        <f t="shared" si="32"/>
        <v>#N/A</v>
      </c>
      <c r="T106" s="663"/>
      <c r="U106" s="555"/>
      <c r="V106" s="559"/>
      <c r="W106" s="559"/>
      <c r="X106" s="555" t="e">
        <f t="shared" si="34"/>
        <v>#N/A</v>
      </c>
      <c r="Y106" s="663"/>
      <c r="Z106" s="555"/>
      <c r="AA106" s="559"/>
      <c r="AB106" s="559"/>
      <c r="AC106" s="555" t="e">
        <f t="shared" si="36"/>
        <v>#N/A</v>
      </c>
      <c r="AD106" s="663"/>
      <c r="AE106" s="555"/>
      <c r="AF106" s="559"/>
      <c r="AG106" s="559"/>
      <c r="AH106" s="555" t="e">
        <f t="shared" si="38"/>
        <v>#N/A</v>
      </c>
      <c r="AI106" s="663"/>
      <c r="AJ106" s="555"/>
      <c r="AK106" s="559"/>
      <c r="AL106" s="559"/>
      <c r="AM106" s="555" t="e">
        <f t="shared" si="40"/>
        <v>#N/A</v>
      </c>
      <c r="AN106" s="663"/>
      <c r="AO106" s="555"/>
      <c r="AP106" s="559"/>
      <c r="AQ106" s="559"/>
      <c r="AR106" s="555" t="e">
        <f t="shared" si="42"/>
        <v>#N/A</v>
      </c>
      <c r="AS106" s="663"/>
      <c r="AT106" s="555"/>
      <c r="AU106" s="559"/>
      <c r="AV106" s="559"/>
      <c r="AW106" s="555" t="e">
        <f t="shared" si="44"/>
        <v>#N/A</v>
      </c>
      <c r="AX106" s="663"/>
      <c r="AZ106" s="372" t="e">
        <f t="shared" si="46"/>
        <v>#N/A</v>
      </c>
      <c r="BA106" s="663"/>
    </row>
    <row r="107" spans="2:53" ht="15.75">
      <c r="B107" s="664" t="s">
        <v>162</v>
      </c>
      <c r="C107" s="665"/>
      <c r="D107" s="665"/>
      <c r="E107" s="665"/>
      <c r="F107" s="665"/>
      <c r="G107" s="665"/>
      <c r="H107" s="666"/>
      <c r="I107" s="207"/>
      <c r="J107" s="207"/>
      <c r="K107" s="207"/>
      <c r="L107" s="207"/>
      <c r="M107" s="206"/>
      <c r="N107" s="653" t="s">
        <v>156</v>
      </c>
      <c r="O107" s="653" t="s">
        <v>155</v>
      </c>
      <c r="P107" s="659">
        <f>P72+7</f>
        <v>46252</v>
      </c>
      <c r="Q107" s="660"/>
      <c r="R107" s="660"/>
      <c r="S107" s="660"/>
      <c r="T107" s="660"/>
      <c r="U107" s="656">
        <f>P107+1</f>
        <v>46253</v>
      </c>
      <c r="V107" s="657"/>
      <c r="W107" s="657"/>
      <c r="X107" s="657"/>
      <c r="Y107" s="658"/>
      <c r="Z107" s="656">
        <f>U107+1</f>
        <v>46254</v>
      </c>
      <c r="AA107" s="657"/>
      <c r="AB107" s="657"/>
      <c r="AC107" s="657"/>
      <c r="AD107" s="658"/>
      <c r="AE107" s="656">
        <f>Z107+1</f>
        <v>46255</v>
      </c>
      <c r="AF107" s="657"/>
      <c r="AG107" s="657"/>
      <c r="AH107" s="657"/>
      <c r="AI107" s="658"/>
      <c r="AJ107" s="656">
        <f>AE107+1</f>
        <v>46256</v>
      </c>
      <c r="AK107" s="657"/>
      <c r="AL107" s="657"/>
      <c r="AM107" s="657"/>
      <c r="AN107" s="658"/>
      <c r="AO107" s="656">
        <f>AJ107+1</f>
        <v>46257</v>
      </c>
      <c r="AP107" s="657"/>
      <c r="AQ107" s="657"/>
      <c r="AR107" s="657"/>
      <c r="AS107" s="658"/>
      <c r="AT107" s="656">
        <f>AO107+1</f>
        <v>46258</v>
      </c>
      <c r="AU107" s="657"/>
      <c r="AV107" s="657"/>
      <c r="AW107" s="657"/>
      <c r="AX107" s="658"/>
    </row>
    <row r="108" spans="2:53" ht="15.75">
      <c r="B108" s="667"/>
      <c r="C108" s="667"/>
      <c r="D108" s="667"/>
      <c r="E108" s="667"/>
      <c r="F108" s="667"/>
      <c r="G108" s="667"/>
      <c r="H108" s="667"/>
      <c r="I108" s="204"/>
      <c r="J108" s="204"/>
      <c r="K108" s="204"/>
      <c r="L108" s="204"/>
      <c r="M108" s="205"/>
      <c r="N108" s="655"/>
      <c r="O108" s="655"/>
      <c r="P108" s="659" t="s">
        <v>317</v>
      </c>
      <c r="Q108" s="660"/>
      <c r="R108" s="660"/>
      <c r="S108" s="660"/>
      <c r="T108" s="660"/>
      <c r="U108" s="659" t="s">
        <v>318</v>
      </c>
      <c r="V108" s="660"/>
      <c r="W108" s="660"/>
      <c r="X108" s="660"/>
      <c r="Y108" s="660"/>
      <c r="Z108" s="659" t="s">
        <v>319</v>
      </c>
      <c r="AA108" s="660"/>
      <c r="AB108" s="660"/>
      <c r="AC108" s="660"/>
      <c r="AD108" s="660"/>
      <c r="AE108" s="659" t="s">
        <v>320</v>
      </c>
      <c r="AF108" s="660"/>
      <c r="AG108" s="660"/>
      <c r="AH108" s="660"/>
      <c r="AI108" s="660"/>
      <c r="AJ108" s="659" t="s">
        <v>321</v>
      </c>
      <c r="AK108" s="660"/>
      <c r="AL108" s="660"/>
      <c r="AM108" s="660"/>
      <c r="AN108" s="660"/>
      <c r="AO108" s="659" t="s">
        <v>322</v>
      </c>
      <c r="AP108" s="660"/>
      <c r="AQ108" s="660"/>
      <c r="AR108" s="660"/>
      <c r="AS108" s="660"/>
      <c r="AT108" s="659" t="s">
        <v>323</v>
      </c>
      <c r="AU108" s="660"/>
      <c r="AV108" s="660"/>
      <c r="AW108" s="660"/>
      <c r="AX108" s="660"/>
    </row>
    <row r="109" spans="2:53">
      <c r="B109" s="652" t="s">
        <v>369</v>
      </c>
      <c r="C109" s="652" t="s">
        <v>379</v>
      </c>
      <c r="D109" s="652"/>
      <c r="E109" s="652" t="s">
        <v>370</v>
      </c>
      <c r="F109" s="652"/>
      <c r="G109" s="652"/>
      <c r="H109" s="668" t="s">
        <v>366</v>
      </c>
      <c r="I109" s="636" t="s">
        <v>371</v>
      </c>
      <c r="J109" s="636"/>
      <c r="K109" s="636"/>
      <c r="L109" s="637" t="s">
        <v>366</v>
      </c>
      <c r="M109" s="643" t="s">
        <v>367</v>
      </c>
      <c r="N109" s="652"/>
      <c r="O109" s="652" t="s">
        <v>372</v>
      </c>
      <c r="P109" s="649" t="s">
        <v>368</v>
      </c>
      <c r="Q109" s="650"/>
      <c r="R109" s="650"/>
      <c r="S109" s="651"/>
      <c r="T109" s="652" t="s">
        <v>366</v>
      </c>
      <c r="U109" s="649" t="s">
        <v>368</v>
      </c>
      <c r="V109" s="650"/>
      <c r="W109" s="650"/>
      <c r="X109" s="651"/>
      <c r="Y109" s="652" t="s">
        <v>366</v>
      </c>
      <c r="Z109" s="649" t="s">
        <v>368</v>
      </c>
      <c r="AA109" s="650"/>
      <c r="AB109" s="650"/>
      <c r="AC109" s="651"/>
      <c r="AD109" s="652" t="s">
        <v>366</v>
      </c>
      <c r="AE109" s="649" t="s">
        <v>368</v>
      </c>
      <c r="AF109" s="650"/>
      <c r="AG109" s="650"/>
      <c r="AH109" s="651"/>
      <c r="AI109" s="652" t="s">
        <v>366</v>
      </c>
      <c r="AJ109" s="649" t="s">
        <v>368</v>
      </c>
      <c r="AK109" s="650"/>
      <c r="AL109" s="650"/>
      <c r="AM109" s="651"/>
      <c r="AN109" s="652" t="s">
        <v>366</v>
      </c>
      <c r="AO109" s="649" t="s">
        <v>368</v>
      </c>
      <c r="AP109" s="650"/>
      <c r="AQ109" s="650"/>
      <c r="AR109" s="651"/>
      <c r="AS109" s="652" t="s">
        <v>366</v>
      </c>
      <c r="AT109" s="649" t="s">
        <v>368</v>
      </c>
      <c r="AU109" s="650"/>
      <c r="AV109" s="650"/>
      <c r="AW109" s="651"/>
      <c r="AX109" s="652" t="s">
        <v>366</v>
      </c>
      <c r="BA109" s="652" t="s">
        <v>366</v>
      </c>
    </row>
    <row r="110" spans="2:53">
      <c r="B110" s="652"/>
      <c r="C110" s="652"/>
      <c r="D110" s="652"/>
      <c r="E110" s="652" t="s">
        <v>373</v>
      </c>
      <c r="F110" s="652"/>
      <c r="G110" s="652"/>
      <c r="H110" s="669"/>
      <c r="I110" s="636" t="s">
        <v>373</v>
      </c>
      <c r="J110" s="636"/>
      <c r="K110" s="636"/>
      <c r="L110" s="638"/>
      <c r="M110" s="644"/>
      <c r="N110" s="652"/>
      <c r="O110" s="652"/>
      <c r="P110" s="649" t="s">
        <v>374</v>
      </c>
      <c r="Q110" s="650"/>
      <c r="R110" s="650"/>
      <c r="S110" s="651"/>
      <c r="T110" s="652"/>
      <c r="U110" s="649" t="s">
        <v>374</v>
      </c>
      <c r="V110" s="650"/>
      <c r="W110" s="650"/>
      <c r="X110" s="651"/>
      <c r="Y110" s="652"/>
      <c r="Z110" s="649" t="s">
        <v>374</v>
      </c>
      <c r="AA110" s="650"/>
      <c r="AB110" s="650"/>
      <c r="AC110" s="651"/>
      <c r="AD110" s="652"/>
      <c r="AE110" s="649" t="s">
        <v>374</v>
      </c>
      <c r="AF110" s="650"/>
      <c r="AG110" s="650"/>
      <c r="AH110" s="651"/>
      <c r="AI110" s="652"/>
      <c r="AJ110" s="649" t="s">
        <v>374</v>
      </c>
      <c r="AK110" s="650"/>
      <c r="AL110" s="650"/>
      <c r="AM110" s="651"/>
      <c r="AN110" s="652"/>
      <c r="AO110" s="649" t="s">
        <v>374</v>
      </c>
      <c r="AP110" s="650"/>
      <c r="AQ110" s="650"/>
      <c r="AR110" s="651"/>
      <c r="AS110" s="652"/>
      <c r="AT110" s="649" t="s">
        <v>374</v>
      </c>
      <c r="AU110" s="650"/>
      <c r="AV110" s="650"/>
      <c r="AW110" s="651"/>
      <c r="AX110" s="652"/>
      <c r="BA110" s="652"/>
    </row>
    <row r="111" spans="2:53">
      <c r="B111" s="652"/>
      <c r="C111" s="652"/>
      <c r="D111" s="652"/>
      <c r="E111" s="282" t="s">
        <v>375</v>
      </c>
      <c r="F111" s="282" t="s">
        <v>376</v>
      </c>
      <c r="G111" s="282" t="s">
        <v>377</v>
      </c>
      <c r="H111" s="670"/>
      <c r="I111" s="281" t="s">
        <v>375</v>
      </c>
      <c r="J111" s="281" t="s">
        <v>376</v>
      </c>
      <c r="K111" s="281" t="s">
        <v>377</v>
      </c>
      <c r="L111" s="639"/>
      <c r="M111" s="645"/>
      <c r="N111" s="652"/>
      <c r="O111" s="652"/>
      <c r="P111" s="282" t="s">
        <v>375</v>
      </c>
      <c r="Q111" s="282" t="s">
        <v>376</v>
      </c>
      <c r="R111" s="282" t="s">
        <v>377</v>
      </c>
      <c r="S111" s="282" t="s">
        <v>367</v>
      </c>
      <c r="T111" s="652"/>
      <c r="U111" s="282" t="s">
        <v>375</v>
      </c>
      <c r="V111" s="282" t="s">
        <v>376</v>
      </c>
      <c r="W111" s="282" t="s">
        <v>377</v>
      </c>
      <c r="X111" s="282" t="s">
        <v>367</v>
      </c>
      <c r="Y111" s="652"/>
      <c r="Z111" s="282" t="s">
        <v>375</v>
      </c>
      <c r="AA111" s="282" t="s">
        <v>376</v>
      </c>
      <c r="AB111" s="282" t="s">
        <v>377</v>
      </c>
      <c r="AC111" s="282" t="s">
        <v>367</v>
      </c>
      <c r="AD111" s="652"/>
      <c r="AE111" s="282" t="s">
        <v>375</v>
      </c>
      <c r="AF111" s="282" t="s">
        <v>376</v>
      </c>
      <c r="AG111" s="282" t="s">
        <v>377</v>
      </c>
      <c r="AH111" s="282" t="s">
        <v>367</v>
      </c>
      <c r="AI111" s="652"/>
      <c r="AJ111" s="282" t="s">
        <v>375</v>
      </c>
      <c r="AK111" s="282" t="s">
        <v>376</v>
      </c>
      <c r="AL111" s="282" t="s">
        <v>377</v>
      </c>
      <c r="AM111" s="282" t="s">
        <v>367</v>
      </c>
      <c r="AN111" s="652"/>
      <c r="AO111" s="282" t="s">
        <v>375</v>
      </c>
      <c r="AP111" s="282" t="s">
        <v>376</v>
      </c>
      <c r="AQ111" s="282" t="s">
        <v>377</v>
      </c>
      <c r="AR111" s="282" t="s">
        <v>367</v>
      </c>
      <c r="AS111" s="652"/>
      <c r="AT111" s="282" t="s">
        <v>375</v>
      </c>
      <c r="AU111" s="282" t="s">
        <v>376</v>
      </c>
      <c r="AV111" s="282" t="s">
        <v>377</v>
      </c>
      <c r="AW111" s="282" t="s">
        <v>367</v>
      </c>
      <c r="AX111" s="652"/>
      <c r="AZ111" s="373" t="s">
        <v>367</v>
      </c>
      <c r="BA111" s="652"/>
    </row>
    <row r="112" spans="2:53">
      <c r="B112" s="660" t="s">
        <v>150</v>
      </c>
      <c r="C112" s="283">
        <v>1</v>
      </c>
      <c r="D112" s="201" t="s">
        <v>335</v>
      </c>
      <c r="E112" s="201">
        <v>3</v>
      </c>
      <c r="F112" s="201">
        <v>3200</v>
      </c>
      <c r="G112" s="514">
        <v>1066.6666666666667</v>
      </c>
      <c r="H112" s="661">
        <f>AVERAGE(G112:G141)</f>
        <v>775.49999999999989</v>
      </c>
      <c r="I112" s="363">
        <f>IFERROR(AVERAGE(P112,U112,Z112,AE112,AJ112,AO112,AT112),"-")</f>
        <v>3</v>
      </c>
      <c r="J112" s="363">
        <f>IFERROR(AVERAGE(Q112,V112,AA112,AF112,AK112,AP112,AU112),"-")</f>
        <v>3191.3232677686456</v>
      </c>
      <c r="K112" s="199">
        <f>IFERROR(AVERAGE(R112,W112,AB112,AG112,AL112,AQ112,AV112),"-")</f>
        <v>1063.7744225895485</v>
      </c>
      <c r="L112" s="633">
        <f>IFERROR(AVERAGE(K112:K141),"-")</f>
        <v>812.63801505776371</v>
      </c>
      <c r="M112" s="198">
        <f>RANK(K112, K$112:$K$141)</f>
        <v>5</v>
      </c>
      <c r="N112" s="652"/>
      <c r="O112" s="652"/>
      <c r="P112" s="560">
        <v>3</v>
      </c>
      <c r="Q112" s="562">
        <v>3227.3076923076915</v>
      </c>
      <c r="R112" s="562">
        <v>1075.7692307692305</v>
      </c>
      <c r="S112" s="560">
        <f t="shared" ref="S112:S141" si="51">RANK(R112, R$112:R$141)</f>
        <v>6</v>
      </c>
      <c r="T112" s="661">
        <f t="shared" ref="T112" si="52">AVERAGE(R112:R141)</f>
        <v>831.7678672172791</v>
      </c>
      <c r="U112" s="560">
        <v>3</v>
      </c>
      <c r="V112" s="562">
        <v>3153.3333333333353</v>
      </c>
      <c r="W112" s="562">
        <v>1051.1111111111118</v>
      </c>
      <c r="X112" s="560">
        <f t="shared" ref="X112:X141" si="53">RANK(W112, W$112:W$141)</f>
        <v>4</v>
      </c>
      <c r="Y112" s="661">
        <f t="shared" ref="Y112" si="54">AVERAGE(W112:W141)</f>
        <v>812.09641160290494</v>
      </c>
      <c r="Z112" s="560">
        <v>3</v>
      </c>
      <c r="AA112" s="562">
        <v>3204.0000000000009</v>
      </c>
      <c r="AB112" s="562">
        <v>1068.0000000000002</v>
      </c>
      <c r="AC112" s="560">
        <f t="shared" ref="AC112:AC141" si="55">RANK(AB112, AB$112:AB$141)</f>
        <v>2</v>
      </c>
      <c r="AD112" s="661">
        <f t="shared" ref="AD112" si="56">AVERAGE(AB112:AB141)</f>
        <v>804.94834061752817</v>
      </c>
      <c r="AE112" s="560">
        <v>3</v>
      </c>
      <c r="AF112" s="562">
        <v>3220.0000000000018</v>
      </c>
      <c r="AG112" s="562">
        <v>1073.3333333333339</v>
      </c>
      <c r="AH112" s="560">
        <f t="shared" ref="AH112:AH141" si="57">RANK(AG112, AG$112:AG$141)</f>
        <v>7</v>
      </c>
      <c r="AI112" s="661">
        <f t="shared" ref="AI112" si="58">AVERAGE(AG112:AG141)</f>
        <v>859.37181823770345</v>
      </c>
      <c r="AJ112" s="560">
        <v>3</v>
      </c>
      <c r="AK112" s="562">
        <v>3202.8571428571418</v>
      </c>
      <c r="AL112" s="562">
        <v>1067.6190476190473</v>
      </c>
      <c r="AM112" s="560">
        <f t="shared" ref="AM112:AM141" si="59">RANK(AL112, AL$112:AL$141)</f>
        <v>5</v>
      </c>
      <c r="AN112" s="661">
        <f t="shared" ref="AN112" si="60">AVERAGE(AL112:AL141)</f>
        <v>826.7289624949608</v>
      </c>
      <c r="AO112" s="560">
        <v>3</v>
      </c>
      <c r="AP112" s="562">
        <v>3182.3529411764671</v>
      </c>
      <c r="AQ112" s="562">
        <v>1060.784313725489</v>
      </c>
      <c r="AR112" s="560">
        <f t="shared" ref="AR112:AR141" si="61">RANK(AQ112, AQ$112:AQ$141)</f>
        <v>2</v>
      </c>
      <c r="AS112" s="661">
        <f t="shared" ref="AS112" si="62">AVERAGE(AQ112:AQ141)</f>
        <v>797.87349710457499</v>
      </c>
      <c r="AT112" s="560">
        <v>3</v>
      </c>
      <c r="AU112" s="562">
        <v>3149.4117647058811</v>
      </c>
      <c r="AV112" s="562">
        <v>1049.8039215686269</v>
      </c>
      <c r="AW112" s="560">
        <f t="shared" ref="AW112:AW141" si="63">RANK(AV112, AV$112:AV$141)</f>
        <v>4</v>
      </c>
      <c r="AX112" s="661">
        <f t="shared" ref="AX112" si="64">AVERAGE(AV112:AV141)</f>
        <v>773.77077318974023</v>
      </c>
      <c r="AZ112" s="372" t="e">
        <f t="shared" ref="AZ112:AZ141" si="65">RANK(AY112, AY$112:AY$141)</f>
        <v>#N/A</v>
      </c>
      <c r="BA112" s="661" t="e">
        <f t="shared" ref="BA112" si="66">AVERAGE(AY112:AY141)</f>
        <v>#DIV/0!</v>
      </c>
    </row>
    <row r="113" spans="2:53">
      <c r="B113" s="660"/>
      <c r="C113" s="283">
        <v>2</v>
      </c>
      <c r="D113" s="515" t="s">
        <v>336</v>
      </c>
      <c r="E113" s="201">
        <v>3</v>
      </c>
      <c r="F113" s="201">
        <v>3200</v>
      </c>
      <c r="G113" s="514">
        <v>1066.6666666666667</v>
      </c>
      <c r="H113" s="662"/>
      <c r="I113" s="363">
        <f t="shared" ref="I113:I141" si="67">IFERROR(AVERAGE(P113,U113,Z113,AE113,AJ113,AO113,AT113),"-")</f>
        <v>3</v>
      </c>
      <c r="J113" s="363">
        <f t="shared" ref="J113:J141" si="68">IFERROR(AVERAGE(Q113,V113,AA113,AF113,AK113,AP113,AU113),"-")</f>
        <v>3216.4285714285734</v>
      </c>
      <c r="K113" s="199">
        <f t="shared" ref="K113:K141" si="69">IFERROR(AVERAGE(R113,W113,AB113,AG113,AL113,AQ113,AV113),"-")</f>
        <v>1072.1428571428576</v>
      </c>
      <c r="L113" s="634"/>
      <c r="M113" s="198">
        <f>RANK(K113, K$112:$K$141)</f>
        <v>4</v>
      </c>
      <c r="N113" s="652"/>
      <c r="O113" s="652"/>
      <c r="P113" s="560">
        <v>3</v>
      </c>
      <c r="Q113" s="562">
        <v>3284.0000000000032</v>
      </c>
      <c r="R113" s="562">
        <v>1094.6666666666677</v>
      </c>
      <c r="S113" s="560">
        <f t="shared" si="51"/>
        <v>4</v>
      </c>
      <c r="T113" s="662"/>
      <c r="U113" s="560">
        <v>3</v>
      </c>
      <c r="V113" s="562">
        <v>3184.0000000000032</v>
      </c>
      <c r="W113" s="562">
        <v>1061.3333333333344</v>
      </c>
      <c r="X113" s="560">
        <f t="shared" si="53"/>
        <v>3</v>
      </c>
      <c r="Y113" s="662"/>
      <c r="Z113" s="560">
        <v>3</v>
      </c>
      <c r="AA113" s="562">
        <v>3031.9999999999945</v>
      </c>
      <c r="AB113" s="562">
        <v>1010.6666666666648</v>
      </c>
      <c r="AC113" s="560">
        <f t="shared" si="55"/>
        <v>7</v>
      </c>
      <c r="AD113" s="662"/>
      <c r="AE113" s="560">
        <v>3</v>
      </c>
      <c r="AF113" s="562">
        <v>3480.0000000000123</v>
      </c>
      <c r="AG113" s="562">
        <v>1160.0000000000041</v>
      </c>
      <c r="AH113" s="560">
        <f t="shared" si="57"/>
        <v>3</v>
      </c>
      <c r="AI113" s="662"/>
      <c r="AJ113" s="560">
        <v>3</v>
      </c>
      <c r="AK113" s="562">
        <v>3315.0000000000009</v>
      </c>
      <c r="AL113" s="562">
        <v>1105.0000000000002</v>
      </c>
      <c r="AM113" s="560">
        <f t="shared" si="59"/>
        <v>2</v>
      </c>
      <c r="AN113" s="662"/>
      <c r="AO113" s="560">
        <v>3</v>
      </c>
      <c r="AP113" s="562">
        <v>3140.0000000000032</v>
      </c>
      <c r="AQ113" s="562">
        <v>1046.6666666666677</v>
      </c>
      <c r="AR113" s="560">
        <f t="shared" si="61"/>
        <v>6</v>
      </c>
      <c r="AS113" s="662"/>
      <c r="AT113" s="560">
        <v>3</v>
      </c>
      <c r="AU113" s="562">
        <v>3079.9999999999945</v>
      </c>
      <c r="AV113" s="562">
        <v>1026.6666666666649</v>
      </c>
      <c r="AW113" s="560">
        <f t="shared" si="63"/>
        <v>7</v>
      </c>
      <c r="AX113" s="662"/>
      <c r="AZ113" s="372" t="e">
        <f t="shared" si="65"/>
        <v>#N/A</v>
      </c>
      <c r="BA113" s="662"/>
    </row>
    <row r="114" spans="2:53">
      <c r="B114" s="660"/>
      <c r="C114" s="283">
        <v>3</v>
      </c>
      <c r="D114" s="201" t="s">
        <v>328</v>
      </c>
      <c r="E114" s="201">
        <v>4</v>
      </c>
      <c r="F114" s="201">
        <v>3200</v>
      </c>
      <c r="G114" s="514">
        <v>800</v>
      </c>
      <c r="H114" s="662"/>
      <c r="I114" s="363">
        <f t="shared" si="67"/>
        <v>4</v>
      </c>
      <c r="J114" s="363">
        <f t="shared" si="68"/>
        <v>3169.1564625850151</v>
      </c>
      <c r="K114" s="199">
        <f t="shared" si="69"/>
        <v>792.28911564625378</v>
      </c>
      <c r="L114" s="634"/>
      <c r="M114" s="198">
        <f>RANK(K114, K$112:$K$141)</f>
        <v>14</v>
      </c>
      <c r="N114" s="652"/>
      <c r="O114" s="652"/>
      <c r="P114" s="560">
        <v>4</v>
      </c>
      <c r="Q114" s="562">
        <v>3180.0000000000109</v>
      </c>
      <c r="R114" s="562">
        <v>795.00000000000273</v>
      </c>
      <c r="S114" s="560">
        <f t="shared" si="51"/>
        <v>15</v>
      </c>
      <c r="T114" s="662"/>
      <c r="U114" s="560">
        <v>4</v>
      </c>
      <c r="V114" s="562">
        <v>2993.3333333333312</v>
      </c>
      <c r="W114" s="562">
        <v>748.3333333333328</v>
      </c>
      <c r="X114" s="560">
        <f t="shared" si="53"/>
        <v>18</v>
      </c>
      <c r="Y114" s="662"/>
      <c r="Z114" s="560">
        <v>4</v>
      </c>
      <c r="AA114" s="562">
        <v>2873.333333333318</v>
      </c>
      <c r="AB114" s="562">
        <v>718.33333333332951</v>
      </c>
      <c r="AC114" s="560">
        <f t="shared" si="55"/>
        <v>18</v>
      </c>
      <c r="AD114" s="662"/>
      <c r="AE114" s="560">
        <v>4</v>
      </c>
      <c r="AF114" s="562">
        <v>3231.4285714285461</v>
      </c>
      <c r="AG114" s="562">
        <v>807.85714285713652</v>
      </c>
      <c r="AH114" s="560">
        <f t="shared" si="57"/>
        <v>15</v>
      </c>
      <c r="AI114" s="662"/>
      <c r="AJ114" s="560">
        <v>4</v>
      </c>
      <c r="AK114" s="562">
        <v>3815.9999999999527</v>
      </c>
      <c r="AL114" s="562">
        <v>953.99999999998818</v>
      </c>
      <c r="AM114" s="560">
        <f t="shared" si="59"/>
        <v>9</v>
      </c>
      <c r="AN114" s="662"/>
      <c r="AO114" s="560">
        <v>4</v>
      </c>
      <c r="AP114" s="562">
        <v>3074.9999999999959</v>
      </c>
      <c r="AQ114" s="562">
        <v>768.74999999999898</v>
      </c>
      <c r="AR114" s="560">
        <f t="shared" si="61"/>
        <v>15</v>
      </c>
      <c r="AS114" s="662"/>
      <c r="AT114" s="560">
        <v>4</v>
      </c>
      <c r="AU114" s="562">
        <v>3014.9999999999504</v>
      </c>
      <c r="AV114" s="562">
        <v>753.74999999998761</v>
      </c>
      <c r="AW114" s="560">
        <f t="shared" si="63"/>
        <v>12</v>
      </c>
      <c r="AX114" s="662"/>
      <c r="AZ114" s="372" t="e">
        <f t="shared" si="65"/>
        <v>#N/A</v>
      </c>
      <c r="BA114" s="662"/>
    </row>
    <row r="115" spans="2:53">
      <c r="B115" s="660"/>
      <c r="C115" s="283">
        <v>4</v>
      </c>
      <c r="D115" s="201" t="s">
        <v>337</v>
      </c>
      <c r="E115" s="201">
        <v>3</v>
      </c>
      <c r="F115" s="201">
        <v>3200</v>
      </c>
      <c r="G115" s="514">
        <v>1066.6666666666667</v>
      </c>
      <c r="H115" s="662"/>
      <c r="I115" s="363">
        <f t="shared" si="67"/>
        <v>3</v>
      </c>
      <c r="J115" s="363">
        <f t="shared" si="68"/>
        <v>3216.480230212826</v>
      </c>
      <c r="K115" s="199">
        <f t="shared" si="69"/>
        <v>1072.1600767376087</v>
      </c>
      <c r="L115" s="634"/>
      <c r="M115" s="198">
        <f>RANK(K115, K$112:$K$141)</f>
        <v>3</v>
      </c>
      <c r="N115" s="652"/>
      <c r="O115" s="652"/>
      <c r="P115" s="560">
        <v>3</v>
      </c>
      <c r="Q115" s="562">
        <v>3269.2307692307677</v>
      </c>
      <c r="R115" s="562">
        <v>1089.7435897435892</v>
      </c>
      <c r="S115" s="560">
        <f t="shared" si="51"/>
        <v>5</v>
      </c>
      <c r="T115" s="662"/>
      <c r="U115" s="560">
        <v>3</v>
      </c>
      <c r="V115" s="562">
        <v>3191.3924050632932</v>
      </c>
      <c r="W115" s="562">
        <v>1063.797468354431</v>
      </c>
      <c r="X115" s="560">
        <f t="shared" si="53"/>
        <v>2</v>
      </c>
      <c r="Y115" s="662"/>
      <c r="Z115" s="560">
        <v>3</v>
      </c>
      <c r="AA115" s="562">
        <v>3140.7692307692291</v>
      </c>
      <c r="AB115" s="562">
        <v>1046.9230769230765</v>
      </c>
      <c r="AC115" s="560">
        <f t="shared" si="55"/>
        <v>4</v>
      </c>
      <c r="AD115" s="662"/>
      <c r="AE115" s="560">
        <v>3</v>
      </c>
      <c r="AF115" s="562">
        <v>3267.6923076923113</v>
      </c>
      <c r="AG115" s="562">
        <v>1089.2307692307704</v>
      </c>
      <c r="AH115" s="560">
        <f t="shared" si="57"/>
        <v>6</v>
      </c>
      <c r="AI115" s="662"/>
      <c r="AJ115" s="560">
        <v>3</v>
      </c>
      <c r="AK115" s="562">
        <v>3283.1250000000036</v>
      </c>
      <c r="AL115" s="562">
        <v>1094.3750000000011</v>
      </c>
      <c r="AM115" s="560">
        <f t="shared" si="59"/>
        <v>3</v>
      </c>
      <c r="AN115" s="662"/>
      <c r="AO115" s="560">
        <v>3</v>
      </c>
      <c r="AP115" s="562">
        <v>3170.9999999999986</v>
      </c>
      <c r="AQ115" s="562">
        <v>1056.9999999999995</v>
      </c>
      <c r="AR115" s="560">
        <f t="shared" si="61"/>
        <v>4</v>
      </c>
      <c r="AS115" s="662"/>
      <c r="AT115" s="560">
        <v>3</v>
      </c>
      <c r="AU115" s="562">
        <v>3192.1518987341756</v>
      </c>
      <c r="AV115" s="562">
        <v>1064.0506329113919</v>
      </c>
      <c r="AW115" s="560">
        <f t="shared" si="63"/>
        <v>2</v>
      </c>
      <c r="AX115" s="662"/>
      <c r="AZ115" s="372" t="e">
        <f t="shared" si="65"/>
        <v>#N/A</v>
      </c>
      <c r="BA115" s="662"/>
    </row>
    <row r="116" spans="2:53">
      <c r="B116" s="660"/>
      <c r="C116" s="283">
        <v>5</v>
      </c>
      <c r="D116" s="201" t="s">
        <v>563</v>
      </c>
      <c r="E116" s="201">
        <v>4</v>
      </c>
      <c r="F116" s="201">
        <v>3200</v>
      </c>
      <c r="G116" s="514">
        <v>800</v>
      </c>
      <c r="H116" s="662"/>
      <c r="I116" s="363">
        <f t="shared" si="67"/>
        <v>4</v>
      </c>
      <c r="J116" s="363">
        <f t="shared" si="68"/>
        <v>3208.3715213358073</v>
      </c>
      <c r="K116" s="199">
        <f t="shared" si="69"/>
        <v>802.09288033395183</v>
      </c>
      <c r="L116" s="634"/>
      <c r="M116" s="198">
        <f>RANK(K116, K$112:$K$141)</f>
        <v>13</v>
      </c>
      <c r="N116" s="652"/>
      <c r="O116" s="652"/>
      <c r="P116" s="560">
        <v>4</v>
      </c>
      <c r="Q116" s="562">
        <v>3401.2500000000118</v>
      </c>
      <c r="R116" s="562">
        <v>850.31250000000296</v>
      </c>
      <c r="S116" s="560">
        <f t="shared" si="51"/>
        <v>13</v>
      </c>
      <c r="T116" s="662"/>
      <c r="U116" s="560">
        <v>4</v>
      </c>
      <c r="V116" s="562">
        <v>3039.9999999999977</v>
      </c>
      <c r="W116" s="562">
        <v>759.99999999999943</v>
      </c>
      <c r="X116" s="560">
        <f t="shared" si="53"/>
        <v>16</v>
      </c>
      <c r="Y116" s="662"/>
      <c r="Z116" s="560">
        <v>4</v>
      </c>
      <c r="AA116" s="562">
        <v>3089.99999999998</v>
      </c>
      <c r="AB116" s="562">
        <v>772.499999999995</v>
      </c>
      <c r="AC116" s="560">
        <f t="shared" si="55"/>
        <v>14</v>
      </c>
      <c r="AD116" s="662"/>
      <c r="AE116" s="560">
        <v>4</v>
      </c>
      <c r="AF116" s="562">
        <v>3295.7142857142971</v>
      </c>
      <c r="AG116" s="562">
        <v>823.92857142857429</v>
      </c>
      <c r="AH116" s="560">
        <f t="shared" si="57"/>
        <v>13</v>
      </c>
      <c r="AI116" s="662"/>
      <c r="AJ116" s="560">
        <v>4</v>
      </c>
      <c r="AK116" s="562">
        <v>3343.6363636363753</v>
      </c>
      <c r="AL116" s="562">
        <v>835.90909090909383</v>
      </c>
      <c r="AM116" s="560">
        <f t="shared" si="59"/>
        <v>13</v>
      </c>
      <c r="AN116" s="662"/>
      <c r="AO116" s="560">
        <v>4</v>
      </c>
      <c r="AP116" s="562">
        <v>3199.9999999999941</v>
      </c>
      <c r="AQ116" s="562">
        <v>799.99999999999852</v>
      </c>
      <c r="AR116" s="560">
        <f t="shared" si="61"/>
        <v>11</v>
      </c>
      <c r="AS116" s="662"/>
      <c r="AT116" s="560">
        <v>4</v>
      </c>
      <c r="AU116" s="562">
        <v>3087.9999999999945</v>
      </c>
      <c r="AV116" s="562">
        <v>771.99999999999864</v>
      </c>
      <c r="AW116" s="560">
        <f t="shared" si="63"/>
        <v>10</v>
      </c>
      <c r="AX116" s="662"/>
      <c r="AZ116" s="372" t="e">
        <f t="shared" si="65"/>
        <v>#N/A</v>
      </c>
      <c r="BA116" s="662"/>
    </row>
    <row r="117" spans="2:53">
      <c r="B117" s="660"/>
      <c r="C117" s="283">
        <v>6</v>
      </c>
      <c r="D117" s="201" t="s">
        <v>564</v>
      </c>
      <c r="E117" s="201">
        <v>4</v>
      </c>
      <c r="F117" s="201">
        <v>3200</v>
      </c>
      <c r="G117" s="514">
        <v>800</v>
      </c>
      <c r="H117" s="662"/>
      <c r="I117" s="363">
        <f t="shared" si="67"/>
        <v>4</v>
      </c>
      <c r="J117" s="363">
        <f t="shared" si="68"/>
        <v>3117.8571428571472</v>
      </c>
      <c r="K117" s="199">
        <f t="shared" si="69"/>
        <v>779.4642857142868</v>
      </c>
      <c r="L117" s="634"/>
      <c r="M117" s="198">
        <f>RANK(K117, K$112:$K$141)</f>
        <v>16</v>
      </c>
      <c r="N117" s="652"/>
      <c r="O117" s="652"/>
      <c r="P117" s="560">
        <v>4</v>
      </c>
      <c r="Q117" s="562">
        <v>3456.0000000000123</v>
      </c>
      <c r="R117" s="562">
        <v>864.00000000000307</v>
      </c>
      <c r="S117" s="560">
        <f t="shared" si="51"/>
        <v>12</v>
      </c>
      <c r="T117" s="662"/>
      <c r="U117" s="560">
        <v>4</v>
      </c>
      <c r="V117" s="562">
        <v>3228.0000000000114</v>
      </c>
      <c r="W117" s="562">
        <v>807.00000000000284</v>
      </c>
      <c r="X117" s="560">
        <f t="shared" si="53"/>
        <v>11</v>
      </c>
      <c r="Y117" s="662"/>
      <c r="Z117" s="560">
        <v>4</v>
      </c>
      <c r="AA117" s="562">
        <v>3132.0000000000114</v>
      </c>
      <c r="AB117" s="562">
        <v>783.00000000000284</v>
      </c>
      <c r="AC117" s="560">
        <f t="shared" si="55"/>
        <v>13</v>
      </c>
      <c r="AD117" s="662"/>
      <c r="AE117" s="560">
        <v>4</v>
      </c>
      <c r="AF117" s="562">
        <v>3165.0000000000109</v>
      </c>
      <c r="AG117" s="562">
        <v>791.25000000000273</v>
      </c>
      <c r="AH117" s="560">
        <f t="shared" si="57"/>
        <v>16</v>
      </c>
      <c r="AI117" s="662"/>
      <c r="AJ117" s="560">
        <v>4</v>
      </c>
      <c r="AK117" s="562">
        <v>2940.00000000001</v>
      </c>
      <c r="AL117" s="562">
        <v>735.0000000000025</v>
      </c>
      <c r="AM117" s="560">
        <f t="shared" si="59"/>
        <v>16</v>
      </c>
      <c r="AN117" s="662"/>
      <c r="AO117" s="560">
        <v>4</v>
      </c>
      <c r="AP117" s="562">
        <v>2939.9999999999632</v>
      </c>
      <c r="AQ117" s="562">
        <v>734.99999999999079</v>
      </c>
      <c r="AR117" s="560">
        <f t="shared" si="61"/>
        <v>16</v>
      </c>
      <c r="AS117" s="662"/>
      <c r="AT117" s="560">
        <v>4</v>
      </c>
      <c r="AU117" s="562">
        <v>2964.0000000000105</v>
      </c>
      <c r="AV117" s="562">
        <v>741.00000000000261</v>
      </c>
      <c r="AW117" s="560">
        <f t="shared" si="63"/>
        <v>14</v>
      </c>
      <c r="AX117" s="662"/>
      <c r="AZ117" s="372" t="e">
        <f t="shared" si="65"/>
        <v>#N/A</v>
      </c>
      <c r="BA117" s="662"/>
    </row>
    <row r="118" spans="2:53">
      <c r="B118" s="660"/>
      <c r="C118" s="283">
        <v>7</v>
      </c>
      <c r="D118" s="201" t="s">
        <v>338</v>
      </c>
      <c r="E118" s="201">
        <v>4</v>
      </c>
      <c r="F118" s="201">
        <v>2800</v>
      </c>
      <c r="G118" s="514">
        <v>700</v>
      </c>
      <c r="H118" s="662"/>
      <c r="I118" s="363">
        <f t="shared" si="67"/>
        <v>4</v>
      </c>
      <c r="J118" s="363">
        <f t="shared" si="68"/>
        <v>3215.5357142857169</v>
      </c>
      <c r="K118" s="199">
        <f t="shared" si="69"/>
        <v>803.88392857142924</v>
      </c>
      <c r="L118" s="634"/>
      <c r="M118" s="198">
        <f>RANK(K118, K$112:$K$141)</f>
        <v>12</v>
      </c>
      <c r="N118" s="652"/>
      <c r="O118" s="652"/>
      <c r="P118" s="560">
        <v>4</v>
      </c>
      <c r="Q118" s="562">
        <v>3007.4999999999964</v>
      </c>
      <c r="R118" s="562">
        <v>751.87499999999909</v>
      </c>
      <c r="S118" s="560">
        <f t="shared" si="51"/>
        <v>16</v>
      </c>
      <c r="T118" s="662"/>
      <c r="U118" s="560">
        <v>4</v>
      </c>
      <c r="V118" s="562">
        <v>3145.714285714279</v>
      </c>
      <c r="W118" s="562">
        <v>786.42857142856974</v>
      </c>
      <c r="X118" s="560">
        <f t="shared" si="53"/>
        <v>14</v>
      </c>
      <c r="Y118" s="662"/>
      <c r="Z118" s="560">
        <v>4</v>
      </c>
      <c r="AA118" s="562">
        <v>2931.428571428582</v>
      </c>
      <c r="AB118" s="562">
        <v>732.8571428571455</v>
      </c>
      <c r="AC118" s="560">
        <f t="shared" si="55"/>
        <v>17</v>
      </c>
      <c r="AD118" s="662"/>
      <c r="AE118" s="560">
        <v>4</v>
      </c>
      <c r="AF118" s="562">
        <v>3768.0000000000136</v>
      </c>
      <c r="AG118" s="562">
        <v>942.00000000000341</v>
      </c>
      <c r="AH118" s="560">
        <f t="shared" si="57"/>
        <v>11</v>
      </c>
      <c r="AI118" s="662"/>
      <c r="AJ118" s="560">
        <v>4</v>
      </c>
      <c r="AK118" s="562">
        <v>3252.0000000000118</v>
      </c>
      <c r="AL118" s="562">
        <v>813.00000000000296</v>
      </c>
      <c r="AM118" s="560">
        <f t="shared" si="59"/>
        <v>15</v>
      </c>
      <c r="AN118" s="662"/>
      <c r="AO118" s="560">
        <v>4</v>
      </c>
      <c r="AP118" s="562">
        <v>3188.5714285714216</v>
      </c>
      <c r="AQ118" s="562">
        <v>797.14285714285541</v>
      </c>
      <c r="AR118" s="560">
        <f t="shared" si="61"/>
        <v>12</v>
      </c>
      <c r="AS118" s="662"/>
      <c r="AT118" s="560" t="s">
        <v>585</v>
      </c>
      <c r="AU118" s="562" t="s">
        <v>585</v>
      </c>
      <c r="AV118" s="562" t="s">
        <v>585</v>
      </c>
      <c r="AW118" s="560" t="e">
        <f t="shared" si="63"/>
        <v>#VALUE!</v>
      </c>
      <c r="AX118" s="662"/>
      <c r="AZ118" s="372" t="e">
        <f t="shared" si="65"/>
        <v>#N/A</v>
      </c>
      <c r="BA118" s="662"/>
    </row>
    <row r="119" spans="2:53">
      <c r="B119" s="660"/>
      <c r="C119" s="283">
        <v>8</v>
      </c>
      <c r="D119" s="201" t="s">
        <v>339</v>
      </c>
      <c r="E119" s="201">
        <v>3</v>
      </c>
      <c r="F119" s="201">
        <v>3200</v>
      </c>
      <c r="G119" s="514">
        <v>1066.6666666666667</v>
      </c>
      <c r="H119" s="662"/>
      <c r="I119" s="363">
        <f t="shared" si="67"/>
        <v>3</v>
      </c>
      <c r="J119" s="363">
        <f t="shared" si="68"/>
        <v>3223.9992481203008</v>
      </c>
      <c r="K119" s="199">
        <f t="shared" si="69"/>
        <v>1074.6664160401001</v>
      </c>
      <c r="L119" s="634"/>
      <c r="M119" s="198">
        <f>RANK(K119, K$112:$K$141)</f>
        <v>2</v>
      </c>
      <c r="N119" s="652"/>
      <c r="O119" s="652"/>
      <c r="P119" s="560">
        <v>3</v>
      </c>
      <c r="Q119" s="562">
        <v>3317.5000000000064</v>
      </c>
      <c r="R119" s="562">
        <v>1105.8333333333355</v>
      </c>
      <c r="S119" s="560">
        <f t="shared" si="51"/>
        <v>3</v>
      </c>
      <c r="T119" s="662"/>
      <c r="U119" s="560">
        <v>3</v>
      </c>
      <c r="V119" s="562">
        <v>3117.6000000000113</v>
      </c>
      <c r="W119" s="562">
        <v>1039.2000000000037</v>
      </c>
      <c r="X119" s="560">
        <f t="shared" si="53"/>
        <v>6</v>
      </c>
      <c r="Y119" s="662"/>
      <c r="Z119" s="560">
        <v>3</v>
      </c>
      <c r="AA119" s="562">
        <v>3142.4999999999955</v>
      </c>
      <c r="AB119" s="562">
        <v>1047.4999999999984</v>
      </c>
      <c r="AC119" s="560">
        <f t="shared" si="55"/>
        <v>3</v>
      </c>
      <c r="AD119" s="662"/>
      <c r="AE119" s="560">
        <v>3</v>
      </c>
      <c r="AF119" s="562">
        <v>3329.9999999999918</v>
      </c>
      <c r="AG119" s="562">
        <v>1109.9999999999973</v>
      </c>
      <c r="AH119" s="560">
        <f t="shared" si="57"/>
        <v>5</v>
      </c>
      <c r="AI119" s="662"/>
      <c r="AJ119" s="560">
        <v>3</v>
      </c>
      <c r="AK119" s="562">
        <v>3277.8947368421032</v>
      </c>
      <c r="AL119" s="562">
        <v>1092.6315789473676</v>
      </c>
      <c r="AM119" s="560">
        <f t="shared" si="59"/>
        <v>4</v>
      </c>
      <c r="AN119" s="662"/>
      <c r="AO119" s="560">
        <v>3</v>
      </c>
      <c r="AP119" s="562">
        <v>3180.0000000000009</v>
      </c>
      <c r="AQ119" s="562">
        <v>1060.0000000000002</v>
      </c>
      <c r="AR119" s="560">
        <f t="shared" si="61"/>
        <v>3</v>
      </c>
      <c r="AS119" s="662"/>
      <c r="AT119" s="560">
        <v>3</v>
      </c>
      <c r="AU119" s="562">
        <v>3202.4999999999955</v>
      </c>
      <c r="AV119" s="562">
        <v>1067.4999999999984</v>
      </c>
      <c r="AW119" s="560">
        <f t="shared" si="63"/>
        <v>1</v>
      </c>
      <c r="AX119" s="662"/>
      <c r="AZ119" s="372" t="e">
        <f t="shared" si="65"/>
        <v>#N/A</v>
      </c>
      <c r="BA119" s="662"/>
    </row>
    <row r="120" spans="2:53">
      <c r="B120" s="660"/>
      <c r="C120" s="283">
        <v>9</v>
      </c>
      <c r="D120" s="201" t="s">
        <v>340</v>
      </c>
      <c r="E120" s="201">
        <v>3</v>
      </c>
      <c r="F120" s="201">
        <v>2800</v>
      </c>
      <c r="G120" s="514">
        <v>933.33333333333337</v>
      </c>
      <c r="H120" s="662"/>
      <c r="I120" s="363">
        <f t="shared" si="67"/>
        <v>3</v>
      </c>
      <c r="J120" s="363">
        <f t="shared" si="68"/>
        <v>3181.5493300350477</v>
      </c>
      <c r="K120" s="199">
        <f t="shared" si="69"/>
        <v>1060.5164433450161</v>
      </c>
      <c r="L120" s="634"/>
      <c r="M120" s="198">
        <f>RANK(K120, K$112:$K$141)</f>
        <v>7</v>
      </c>
      <c r="N120" s="652"/>
      <c r="O120" s="652"/>
      <c r="P120" s="560">
        <v>3</v>
      </c>
      <c r="Q120" s="562">
        <v>3465.6000000000013</v>
      </c>
      <c r="R120" s="562">
        <v>1155.2000000000005</v>
      </c>
      <c r="S120" s="560">
        <f t="shared" si="51"/>
        <v>1</v>
      </c>
      <c r="T120" s="662"/>
      <c r="U120" s="560">
        <v>3</v>
      </c>
      <c r="V120" s="562">
        <v>3105.0000000000109</v>
      </c>
      <c r="W120" s="562">
        <v>1035.0000000000036</v>
      </c>
      <c r="X120" s="560">
        <f t="shared" si="53"/>
        <v>7</v>
      </c>
      <c r="Y120" s="662"/>
      <c r="Z120" s="560">
        <v>3</v>
      </c>
      <c r="AA120" s="562">
        <v>2977.7777777777706</v>
      </c>
      <c r="AB120" s="562">
        <v>992.59259259259022</v>
      </c>
      <c r="AC120" s="560">
        <f t="shared" si="55"/>
        <v>8</v>
      </c>
      <c r="AD120" s="662"/>
      <c r="AE120" s="560">
        <v>3</v>
      </c>
      <c r="AF120" s="562">
        <v>3188.1818181818294</v>
      </c>
      <c r="AG120" s="562">
        <v>1062.7272727272764</v>
      </c>
      <c r="AH120" s="560">
        <f t="shared" si="57"/>
        <v>9</v>
      </c>
      <c r="AI120" s="662"/>
      <c r="AJ120" s="560">
        <v>3</v>
      </c>
      <c r="AK120" s="562">
        <v>3174.2857142857129</v>
      </c>
      <c r="AL120" s="562">
        <v>1058.0952380952376</v>
      </c>
      <c r="AM120" s="560">
        <f t="shared" si="59"/>
        <v>7</v>
      </c>
      <c r="AN120" s="662"/>
      <c r="AO120" s="560">
        <v>3</v>
      </c>
      <c r="AP120" s="562">
        <v>3192.0000000000009</v>
      </c>
      <c r="AQ120" s="562">
        <v>1064.0000000000002</v>
      </c>
      <c r="AR120" s="560">
        <f t="shared" si="61"/>
        <v>1</v>
      </c>
      <c r="AS120" s="662"/>
      <c r="AT120" s="560">
        <v>3</v>
      </c>
      <c r="AU120" s="562">
        <v>3168.0000000000114</v>
      </c>
      <c r="AV120" s="562">
        <v>1056.0000000000039</v>
      </c>
      <c r="AW120" s="560">
        <f t="shared" si="63"/>
        <v>3</v>
      </c>
      <c r="AX120" s="662"/>
      <c r="AZ120" s="372" t="e">
        <f t="shared" si="65"/>
        <v>#N/A</v>
      </c>
      <c r="BA120" s="662"/>
    </row>
    <row r="121" spans="2:53">
      <c r="B121" s="660"/>
      <c r="C121" s="283">
        <v>10</v>
      </c>
      <c r="D121" s="201" t="s">
        <v>341</v>
      </c>
      <c r="E121" s="201">
        <v>4</v>
      </c>
      <c r="F121" s="201">
        <v>2800</v>
      </c>
      <c r="G121" s="514">
        <v>700</v>
      </c>
      <c r="H121" s="662"/>
      <c r="I121" s="363">
        <f t="shared" si="67"/>
        <v>4</v>
      </c>
      <c r="J121" s="363">
        <f t="shared" si="68"/>
        <v>3231.6281322285017</v>
      </c>
      <c r="K121" s="199">
        <f t="shared" si="69"/>
        <v>807.90703305712543</v>
      </c>
      <c r="L121" s="634"/>
      <c r="M121" s="198">
        <f>RANK(K121, K$112:$K$141)</f>
        <v>11</v>
      </c>
      <c r="N121" s="652"/>
      <c r="O121" s="652"/>
      <c r="P121" s="560">
        <v>4</v>
      </c>
      <c r="Q121" s="562">
        <v>3263.9999999999955</v>
      </c>
      <c r="R121" s="562">
        <v>815.99999999999886</v>
      </c>
      <c r="S121" s="560">
        <f t="shared" si="51"/>
        <v>14</v>
      </c>
      <c r="T121" s="662"/>
      <c r="U121" s="560">
        <v>4</v>
      </c>
      <c r="V121" s="562">
        <v>3174.1176470588252</v>
      </c>
      <c r="W121" s="562">
        <v>793.52941176470631</v>
      </c>
      <c r="X121" s="560">
        <f t="shared" si="53"/>
        <v>12</v>
      </c>
      <c r="Y121" s="662"/>
      <c r="Z121" s="560">
        <v>4</v>
      </c>
      <c r="AA121" s="562">
        <v>3240.0000000000064</v>
      </c>
      <c r="AB121" s="562">
        <v>810.00000000000159</v>
      </c>
      <c r="AC121" s="560">
        <f t="shared" si="55"/>
        <v>12</v>
      </c>
      <c r="AD121" s="662"/>
      <c r="AE121" s="560">
        <v>4</v>
      </c>
      <c r="AF121" s="562">
        <v>3295.7142857142912</v>
      </c>
      <c r="AG121" s="562">
        <v>823.92857142857281</v>
      </c>
      <c r="AH121" s="560">
        <f t="shared" si="57"/>
        <v>14</v>
      </c>
      <c r="AI121" s="662"/>
      <c r="AJ121" s="560">
        <v>4</v>
      </c>
      <c r="AK121" s="562">
        <v>3326.3414634146329</v>
      </c>
      <c r="AL121" s="562">
        <v>831.58536585365823</v>
      </c>
      <c r="AM121" s="560">
        <f t="shared" si="59"/>
        <v>14</v>
      </c>
      <c r="AN121" s="662"/>
      <c r="AO121" s="560">
        <v>4</v>
      </c>
      <c r="AP121" s="562">
        <v>3138.8235294117658</v>
      </c>
      <c r="AQ121" s="562">
        <v>784.70588235294144</v>
      </c>
      <c r="AR121" s="560">
        <f t="shared" si="61"/>
        <v>13</v>
      </c>
      <c r="AS121" s="662"/>
      <c r="AT121" s="560">
        <v>4</v>
      </c>
      <c r="AU121" s="562">
        <v>3182.399999999996</v>
      </c>
      <c r="AV121" s="562">
        <v>795.599999999999</v>
      </c>
      <c r="AW121" s="560">
        <f t="shared" si="63"/>
        <v>9</v>
      </c>
      <c r="AX121" s="662"/>
      <c r="AZ121" s="372" t="e">
        <f t="shared" si="65"/>
        <v>#N/A</v>
      </c>
      <c r="BA121" s="662"/>
    </row>
    <row r="122" spans="2:53">
      <c r="B122" s="660"/>
      <c r="C122" s="283">
        <v>11</v>
      </c>
      <c r="D122" s="201" t="s">
        <v>565</v>
      </c>
      <c r="E122" s="201">
        <v>4</v>
      </c>
      <c r="F122" s="201">
        <v>2800</v>
      </c>
      <c r="G122" s="514">
        <v>700</v>
      </c>
      <c r="H122" s="662"/>
      <c r="I122" s="363">
        <f t="shared" si="67"/>
        <v>4</v>
      </c>
      <c r="J122" s="363">
        <f t="shared" si="68"/>
        <v>2815.5921131825803</v>
      </c>
      <c r="K122" s="199">
        <f t="shared" si="69"/>
        <v>703.89802829564508</v>
      </c>
      <c r="L122" s="634"/>
      <c r="M122" s="198">
        <f>RANK(K122, K$112:$K$141)</f>
        <v>20</v>
      </c>
      <c r="N122" s="652"/>
      <c r="O122" s="652"/>
      <c r="P122" s="560">
        <v>4</v>
      </c>
      <c r="Q122" s="562">
        <v>2870.1639344262321</v>
      </c>
      <c r="R122" s="562">
        <v>717.54098360655803</v>
      </c>
      <c r="S122" s="560">
        <f t="shared" si="51"/>
        <v>18</v>
      </c>
      <c r="T122" s="662"/>
      <c r="U122" s="560">
        <v>4</v>
      </c>
      <c r="V122" s="562">
        <v>2765.7142857142885</v>
      </c>
      <c r="W122" s="562">
        <v>691.42857142857213</v>
      </c>
      <c r="X122" s="560">
        <f t="shared" si="53"/>
        <v>20</v>
      </c>
      <c r="Y122" s="662"/>
      <c r="Z122" s="560">
        <v>4</v>
      </c>
      <c r="AA122" s="562">
        <v>2773.5483870967769</v>
      </c>
      <c r="AB122" s="562">
        <v>693.38709677419422</v>
      </c>
      <c r="AC122" s="560">
        <f t="shared" si="55"/>
        <v>19</v>
      </c>
      <c r="AD122" s="662"/>
      <c r="AE122" s="560">
        <v>4</v>
      </c>
      <c r="AF122" s="562">
        <v>2900.7692307692323</v>
      </c>
      <c r="AG122" s="562">
        <v>725.19230769230808</v>
      </c>
      <c r="AH122" s="560">
        <f t="shared" si="57"/>
        <v>19</v>
      </c>
      <c r="AI122" s="662"/>
      <c r="AJ122" s="560">
        <v>4</v>
      </c>
      <c r="AK122" s="562">
        <v>2855.7692307692278</v>
      </c>
      <c r="AL122" s="562">
        <v>713.94230769230694</v>
      </c>
      <c r="AM122" s="560">
        <f t="shared" si="59"/>
        <v>18</v>
      </c>
      <c r="AN122" s="662"/>
      <c r="AO122" s="560">
        <v>4</v>
      </c>
      <c r="AP122" s="562">
        <v>2762.8571428571458</v>
      </c>
      <c r="AQ122" s="562">
        <v>690.71428571428646</v>
      </c>
      <c r="AR122" s="560">
        <f t="shared" si="61"/>
        <v>19</v>
      </c>
      <c r="AS122" s="662"/>
      <c r="AT122" s="560">
        <v>4</v>
      </c>
      <c r="AU122" s="562">
        <v>2780.3225806451601</v>
      </c>
      <c r="AV122" s="562">
        <v>695.08064516129002</v>
      </c>
      <c r="AW122" s="560">
        <f t="shared" si="63"/>
        <v>17</v>
      </c>
      <c r="AX122" s="662"/>
      <c r="AZ122" s="372" t="e">
        <f t="shared" si="65"/>
        <v>#N/A</v>
      </c>
      <c r="BA122" s="662"/>
    </row>
    <row r="123" spans="2:53">
      <c r="B123" s="660"/>
      <c r="C123" s="283">
        <v>12</v>
      </c>
      <c r="D123" s="515" t="s">
        <v>569</v>
      </c>
      <c r="E123" s="201">
        <v>3</v>
      </c>
      <c r="F123" s="201">
        <v>2800</v>
      </c>
      <c r="G123" s="514">
        <v>933.33333333333337</v>
      </c>
      <c r="H123" s="662"/>
      <c r="I123" s="363">
        <f t="shared" si="67"/>
        <v>3.1428571428571428</v>
      </c>
      <c r="J123" s="363">
        <f t="shared" si="68"/>
        <v>2800.1206171108015</v>
      </c>
      <c r="K123" s="199">
        <f t="shared" si="69"/>
        <v>901.01639617979083</v>
      </c>
      <c r="L123" s="634"/>
      <c r="M123" s="198">
        <f>RANK(K123, K$112:$K$141)</f>
        <v>10</v>
      </c>
      <c r="N123" s="652"/>
      <c r="O123" s="652"/>
      <c r="P123" s="560">
        <v>3</v>
      </c>
      <c r="Q123" s="562">
        <v>2831.6129032258054</v>
      </c>
      <c r="R123" s="562">
        <v>943.87096774193515</v>
      </c>
      <c r="S123" s="560">
        <f t="shared" si="51"/>
        <v>10</v>
      </c>
      <c r="T123" s="662"/>
      <c r="U123" s="560">
        <v>3</v>
      </c>
      <c r="V123" s="562">
        <v>2798.7096774193574</v>
      </c>
      <c r="W123" s="562">
        <v>932.9032258064525</v>
      </c>
      <c r="X123" s="560">
        <f t="shared" si="53"/>
        <v>10</v>
      </c>
      <c r="Y123" s="662"/>
      <c r="Z123" s="560">
        <v>3</v>
      </c>
      <c r="AA123" s="562">
        <v>2782.0000000000027</v>
      </c>
      <c r="AB123" s="562">
        <v>927.33333333333428</v>
      </c>
      <c r="AC123" s="560">
        <f t="shared" si="55"/>
        <v>10</v>
      </c>
      <c r="AD123" s="662"/>
      <c r="AE123" s="560">
        <v>3</v>
      </c>
      <c r="AF123" s="562">
        <v>2843.9999999999964</v>
      </c>
      <c r="AG123" s="562">
        <v>947.99999999999875</v>
      </c>
      <c r="AH123" s="560">
        <f t="shared" si="57"/>
        <v>10</v>
      </c>
      <c r="AI123" s="662"/>
      <c r="AJ123" s="560">
        <v>3</v>
      </c>
      <c r="AK123" s="562">
        <v>2856.52173913044</v>
      </c>
      <c r="AL123" s="562">
        <v>952.17391304347996</v>
      </c>
      <c r="AM123" s="560">
        <f t="shared" si="59"/>
        <v>10</v>
      </c>
      <c r="AN123" s="662"/>
      <c r="AO123" s="560">
        <v>3</v>
      </c>
      <c r="AP123" s="562">
        <v>2770.0000000000023</v>
      </c>
      <c r="AQ123" s="562">
        <v>923.33333333333405</v>
      </c>
      <c r="AR123" s="560">
        <f t="shared" si="61"/>
        <v>10</v>
      </c>
      <c r="AS123" s="662"/>
      <c r="AT123" s="560">
        <v>4</v>
      </c>
      <c r="AU123" s="562">
        <v>2718.0000000000023</v>
      </c>
      <c r="AV123" s="562">
        <v>679.50000000000057</v>
      </c>
      <c r="AW123" s="560">
        <f t="shared" si="63"/>
        <v>19</v>
      </c>
      <c r="AX123" s="662"/>
      <c r="AZ123" s="372" t="e">
        <f t="shared" si="65"/>
        <v>#N/A</v>
      </c>
      <c r="BA123" s="662"/>
    </row>
    <row r="124" spans="2:53">
      <c r="B124" s="660"/>
      <c r="C124" s="283">
        <v>13</v>
      </c>
      <c r="D124" s="201" t="s">
        <v>735</v>
      </c>
      <c r="E124" s="201">
        <v>4</v>
      </c>
      <c r="F124" s="201">
        <v>2800</v>
      </c>
      <c r="G124" s="514">
        <v>700</v>
      </c>
      <c r="H124" s="662"/>
      <c r="I124" s="363">
        <f t="shared" si="67"/>
        <v>4</v>
      </c>
      <c r="J124" s="363">
        <f t="shared" si="68"/>
        <v>2794.3563083667909</v>
      </c>
      <c r="K124" s="199">
        <f t="shared" si="69"/>
        <v>698.58907709169773</v>
      </c>
      <c r="L124" s="634"/>
      <c r="M124" s="198">
        <f>RANK(K124, K$112:$K$141)</f>
        <v>21</v>
      </c>
      <c r="N124" s="652"/>
      <c r="O124" s="652"/>
      <c r="P124" s="560">
        <v>4</v>
      </c>
      <c r="Q124" s="562">
        <v>2850.0000000000005</v>
      </c>
      <c r="R124" s="562">
        <v>712.50000000000011</v>
      </c>
      <c r="S124" s="560">
        <f t="shared" si="51"/>
        <v>19</v>
      </c>
      <c r="T124" s="662"/>
      <c r="U124" s="560">
        <v>4</v>
      </c>
      <c r="V124" s="562">
        <v>2791.7647058823532</v>
      </c>
      <c r="W124" s="562">
        <v>697.94117647058829</v>
      </c>
      <c r="X124" s="560">
        <f t="shared" si="53"/>
        <v>19</v>
      </c>
      <c r="Y124" s="662"/>
      <c r="Z124" s="560">
        <v>4</v>
      </c>
      <c r="AA124" s="562">
        <v>2736.1764705882388</v>
      </c>
      <c r="AB124" s="562">
        <v>684.04411764705969</v>
      </c>
      <c r="AC124" s="560">
        <f t="shared" si="55"/>
        <v>20</v>
      </c>
      <c r="AD124" s="662"/>
      <c r="AE124" s="560">
        <v>4</v>
      </c>
      <c r="AF124" s="562">
        <v>2803.9999999999986</v>
      </c>
      <c r="AG124" s="562">
        <v>700.99999999999966</v>
      </c>
      <c r="AH124" s="560">
        <f t="shared" si="57"/>
        <v>20</v>
      </c>
      <c r="AI124" s="662"/>
      <c r="AJ124" s="560">
        <v>4</v>
      </c>
      <c r="AK124" s="562">
        <v>2839.1489361702133</v>
      </c>
      <c r="AL124" s="562">
        <v>709.78723404255334</v>
      </c>
      <c r="AM124" s="560">
        <f t="shared" si="59"/>
        <v>19</v>
      </c>
      <c r="AN124" s="662"/>
      <c r="AO124" s="560">
        <v>4</v>
      </c>
      <c r="AP124" s="562">
        <v>2778.3870967741959</v>
      </c>
      <c r="AQ124" s="562">
        <v>694.59677419354898</v>
      </c>
      <c r="AR124" s="560">
        <f t="shared" si="61"/>
        <v>18</v>
      </c>
      <c r="AS124" s="662"/>
      <c r="AT124" s="560">
        <v>4</v>
      </c>
      <c r="AU124" s="562">
        <v>2761.0169491525367</v>
      </c>
      <c r="AV124" s="562">
        <v>690.25423728813416</v>
      </c>
      <c r="AW124" s="560">
        <f t="shared" si="63"/>
        <v>18</v>
      </c>
      <c r="AX124" s="662"/>
      <c r="AZ124" s="372" t="e">
        <f t="shared" si="65"/>
        <v>#N/A</v>
      </c>
      <c r="BA124" s="662"/>
    </row>
    <row r="125" spans="2:53">
      <c r="B125" s="660"/>
      <c r="C125" s="283">
        <v>14</v>
      </c>
      <c r="D125" s="201" t="s">
        <v>602</v>
      </c>
      <c r="E125" s="201">
        <v>3</v>
      </c>
      <c r="F125" s="201">
        <v>3200</v>
      </c>
      <c r="G125" s="514">
        <v>1066.6666666666667</v>
      </c>
      <c r="H125" s="662"/>
      <c r="I125" s="363">
        <f t="shared" si="67"/>
        <v>3</v>
      </c>
      <c r="J125" s="363">
        <f t="shared" si="68"/>
        <v>3254.4395604395613</v>
      </c>
      <c r="K125" s="199">
        <f t="shared" si="69"/>
        <v>1084.813186813187</v>
      </c>
      <c r="L125" s="634"/>
      <c r="M125" s="198">
        <f>RANK(K125, K$112:$K$141)</f>
        <v>1</v>
      </c>
      <c r="N125" s="652"/>
      <c r="O125" s="652"/>
      <c r="P125" s="560">
        <v>3</v>
      </c>
      <c r="Q125" s="562">
        <v>3409.9999999999973</v>
      </c>
      <c r="R125" s="562">
        <v>1136.6666666666658</v>
      </c>
      <c r="S125" s="560">
        <f t="shared" si="51"/>
        <v>2</v>
      </c>
      <c r="T125" s="662"/>
      <c r="U125" s="560">
        <v>3</v>
      </c>
      <c r="V125" s="562">
        <v>2988.0000000000105</v>
      </c>
      <c r="W125" s="562">
        <v>996.00000000000352</v>
      </c>
      <c r="X125" s="560">
        <f t="shared" si="53"/>
        <v>8</v>
      </c>
      <c r="Y125" s="662"/>
      <c r="Z125" s="560">
        <v>3</v>
      </c>
      <c r="AA125" s="562">
        <v>3133.3333333333308</v>
      </c>
      <c r="AB125" s="562">
        <v>1044.4444444444437</v>
      </c>
      <c r="AC125" s="560">
        <f t="shared" si="55"/>
        <v>5</v>
      </c>
      <c r="AD125" s="662"/>
      <c r="AE125" s="560">
        <v>3</v>
      </c>
      <c r="AF125" s="562">
        <v>3595.384615384628</v>
      </c>
      <c r="AG125" s="562">
        <v>1198.4615384615427</v>
      </c>
      <c r="AH125" s="560">
        <f t="shared" si="57"/>
        <v>1</v>
      </c>
      <c r="AI125" s="662"/>
      <c r="AJ125" s="560">
        <v>3</v>
      </c>
      <c r="AK125" s="562">
        <v>3387.692307692299</v>
      </c>
      <c r="AL125" s="562">
        <v>1129.2307692307663</v>
      </c>
      <c r="AM125" s="560">
        <f t="shared" si="59"/>
        <v>1</v>
      </c>
      <c r="AN125" s="662"/>
      <c r="AO125" s="560">
        <v>3</v>
      </c>
      <c r="AP125" s="562">
        <v>3153.3333333333308</v>
      </c>
      <c r="AQ125" s="562">
        <v>1051.1111111111102</v>
      </c>
      <c r="AR125" s="560">
        <f t="shared" si="61"/>
        <v>5</v>
      </c>
      <c r="AS125" s="662"/>
      <c r="AT125" s="560">
        <v>3</v>
      </c>
      <c r="AU125" s="562">
        <v>3113.3333333333312</v>
      </c>
      <c r="AV125" s="562">
        <v>1037.7777777777771</v>
      </c>
      <c r="AW125" s="560">
        <f t="shared" si="63"/>
        <v>6</v>
      </c>
      <c r="AX125" s="662"/>
      <c r="AZ125" s="372" t="e">
        <f t="shared" si="65"/>
        <v>#N/A</v>
      </c>
      <c r="BA125" s="662"/>
    </row>
    <row r="126" spans="2:53">
      <c r="B126" s="660"/>
      <c r="C126" s="283">
        <v>15</v>
      </c>
      <c r="D126" s="515" t="s">
        <v>607</v>
      </c>
      <c r="E126" s="201">
        <v>3</v>
      </c>
      <c r="F126" s="201">
        <v>3200</v>
      </c>
      <c r="G126" s="514">
        <v>1066.6666666666667</v>
      </c>
      <c r="H126" s="662"/>
      <c r="I126" s="363">
        <f t="shared" si="67"/>
        <v>3</v>
      </c>
      <c r="J126" s="363">
        <f t="shared" si="68"/>
        <v>3067.1020408163276</v>
      </c>
      <c r="K126" s="199">
        <f t="shared" si="69"/>
        <v>1022.3673469387757</v>
      </c>
      <c r="L126" s="634"/>
      <c r="M126" s="198">
        <f>RANK(K126, K$112:$K$141)</f>
        <v>8</v>
      </c>
      <c r="N126" s="652"/>
      <c r="O126" s="652"/>
      <c r="P126" s="560">
        <v>3</v>
      </c>
      <c r="Q126" s="562">
        <v>3071.9999999999864</v>
      </c>
      <c r="R126" s="562">
        <v>1023.9999999999955</v>
      </c>
      <c r="S126" s="560">
        <f t="shared" si="51"/>
        <v>9</v>
      </c>
      <c r="T126" s="662"/>
      <c r="U126" s="560">
        <v>3</v>
      </c>
      <c r="V126" s="562">
        <v>3137.9999999999864</v>
      </c>
      <c r="W126" s="562">
        <v>1045.9999999999955</v>
      </c>
      <c r="X126" s="560">
        <f t="shared" si="53"/>
        <v>5</v>
      </c>
      <c r="Y126" s="662"/>
      <c r="Z126" s="560">
        <v>3</v>
      </c>
      <c r="AA126" s="562">
        <v>3090.0000000000109</v>
      </c>
      <c r="AB126" s="562">
        <v>1030.0000000000036</v>
      </c>
      <c r="AC126" s="560">
        <f t="shared" si="55"/>
        <v>6</v>
      </c>
      <c r="AD126" s="662"/>
      <c r="AE126" s="560">
        <v>3</v>
      </c>
      <c r="AF126" s="562">
        <v>3420.0000000000118</v>
      </c>
      <c r="AG126" s="562">
        <v>1140.0000000000039</v>
      </c>
      <c r="AH126" s="560">
        <f t="shared" si="57"/>
        <v>4</v>
      </c>
      <c r="AI126" s="662"/>
      <c r="AJ126" s="560">
        <v>3</v>
      </c>
      <c r="AK126" s="562">
        <v>3025.7142857142967</v>
      </c>
      <c r="AL126" s="562">
        <v>1008.5714285714322</v>
      </c>
      <c r="AM126" s="560">
        <f t="shared" si="59"/>
        <v>8</v>
      </c>
      <c r="AN126" s="662"/>
      <c r="AO126" s="560">
        <v>3</v>
      </c>
      <c r="AP126" s="562">
        <v>2904.00000000001</v>
      </c>
      <c r="AQ126" s="562">
        <v>968.0000000000033</v>
      </c>
      <c r="AR126" s="560">
        <f t="shared" si="61"/>
        <v>9</v>
      </c>
      <c r="AS126" s="662"/>
      <c r="AT126" s="560">
        <v>3</v>
      </c>
      <c r="AU126" s="562">
        <v>2819.9999999999877</v>
      </c>
      <c r="AV126" s="562">
        <v>939.99999999999591</v>
      </c>
      <c r="AW126" s="560">
        <f t="shared" si="63"/>
        <v>8</v>
      </c>
      <c r="AX126" s="662"/>
      <c r="AZ126" s="372" t="e">
        <f t="shared" si="65"/>
        <v>#N/A</v>
      </c>
      <c r="BA126" s="662"/>
    </row>
    <row r="127" spans="2:53">
      <c r="B127" s="660"/>
      <c r="C127" s="283">
        <v>16</v>
      </c>
      <c r="D127" s="201" t="s">
        <v>613</v>
      </c>
      <c r="E127" s="201">
        <v>3</v>
      </c>
      <c r="F127" s="201">
        <v>3200</v>
      </c>
      <c r="G127" s="514">
        <v>1066.6666666666667</v>
      </c>
      <c r="H127" s="662"/>
      <c r="I127" s="363">
        <f t="shared" si="67"/>
        <v>3.1428571428571428</v>
      </c>
      <c r="J127" s="363">
        <f t="shared" si="68"/>
        <v>3030.6824754193176</v>
      </c>
      <c r="K127" s="199">
        <f t="shared" si="69"/>
        <v>975.22749180643928</v>
      </c>
      <c r="L127" s="634"/>
      <c r="M127" s="198">
        <f>RANK(K127, K$112:$K$141)</f>
        <v>9</v>
      </c>
      <c r="N127" s="652"/>
      <c r="O127" s="652"/>
      <c r="P127" s="560">
        <v>3</v>
      </c>
      <c r="Q127" s="562">
        <v>3079.9999999999977</v>
      </c>
      <c r="R127" s="562">
        <v>1026.6666666666658</v>
      </c>
      <c r="S127" s="560">
        <f t="shared" si="51"/>
        <v>8</v>
      </c>
      <c r="T127" s="662"/>
      <c r="U127" s="560">
        <v>3</v>
      </c>
      <c r="V127" s="562">
        <v>2946.3157894736819</v>
      </c>
      <c r="W127" s="562">
        <v>982.105263157894</v>
      </c>
      <c r="X127" s="560">
        <f t="shared" si="53"/>
        <v>9</v>
      </c>
      <c r="Y127" s="662"/>
      <c r="Z127" s="560">
        <v>3</v>
      </c>
      <c r="AA127" s="562">
        <v>2933.3333333333439</v>
      </c>
      <c r="AB127" s="562">
        <v>977.77777777778135</v>
      </c>
      <c r="AC127" s="560">
        <f t="shared" si="55"/>
        <v>9</v>
      </c>
      <c r="AD127" s="662"/>
      <c r="AE127" s="560">
        <v>3</v>
      </c>
      <c r="AF127" s="562">
        <v>3198.4615384615304</v>
      </c>
      <c r="AG127" s="562">
        <v>1066.1538461538435</v>
      </c>
      <c r="AH127" s="560">
        <f t="shared" si="57"/>
        <v>8</v>
      </c>
      <c r="AI127" s="662"/>
      <c r="AJ127" s="560">
        <v>3</v>
      </c>
      <c r="AK127" s="562">
        <v>3180.0000000000109</v>
      </c>
      <c r="AL127" s="562">
        <v>1060.0000000000036</v>
      </c>
      <c r="AM127" s="560">
        <f t="shared" si="59"/>
        <v>6</v>
      </c>
      <c r="AN127" s="662"/>
      <c r="AO127" s="560">
        <v>3</v>
      </c>
      <c r="AP127" s="562">
        <v>2936.6666666666642</v>
      </c>
      <c r="AQ127" s="562">
        <v>978.88888888888812</v>
      </c>
      <c r="AR127" s="560">
        <f t="shared" si="61"/>
        <v>8</v>
      </c>
      <c r="AS127" s="662"/>
      <c r="AT127" s="560">
        <v>4</v>
      </c>
      <c r="AU127" s="562">
        <v>2939.9999999999964</v>
      </c>
      <c r="AV127" s="562">
        <v>734.99999999999909</v>
      </c>
      <c r="AW127" s="560">
        <f t="shared" si="63"/>
        <v>15</v>
      </c>
      <c r="AX127" s="662"/>
      <c r="AZ127" s="372" t="e">
        <f t="shared" si="65"/>
        <v>#N/A</v>
      </c>
      <c r="BA127" s="662"/>
    </row>
    <row r="128" spans="2:53">
      <c r="B128" s="660"/>
      <c r="C128" s="283">
        <v>17</v>
      </c>
      <c r="D128" s="201" t="s">
        <v>708</v>
      </c>
      <c r="E128" s="201">
        <v>4</v>
      </c>
      <c r="F128" s="201">
        <v>3200</v>
      </c>
      <c r="G128" s="514">
        <v>800</v>
      </c>
      <c r="H128" s="662"/>
      <c r="I128" s="363">
        <f t="shared" si="67"/>
        <v>4</v>
      </c>
      <c r="J128" s="363">
        <f t="shared" si="68"/>
        <v>3159.1620879120851</v>
      </c>
      <c r="K128" s="199">
        <f t="shared" si="69"/>
        <v>789.79052197802127</v>
      </c>
      <c r="L128" s="634"/>
      <c r="M128" s="198">
        <f>RANK(K128, K$112:$K$141)</f>
        <v>15</v>
      </c>
      <c r="N128" s="652"/>
      <c r="O128" s="652"/>
      <c r="P128" s="560">
        <v>4</v>
      </c>
      <c r="Q128" s="562">
        <v>3540.0000000000127</v>
      </c>
      <c r="R128" s="562">
        <v>885.00000000000318</v>
      </c>
      <c r="S128" s="560">
        <f t="shared" si="51"/>
        <v>11</v>
      </c>
      <c r="T128" s="662"/>
      <c r="U128" s="560">
        <v>4</v>
      </c>
      <c r="V128" s="562">
        <v>3033.7499999999964</v>
      </c>
      <c r="W128" s="562">
        <v>758.43749999999909</v>
      </c>
      <c r="X128" s="560">
        <f t="shared" si="53"/>
        <v>17</v>
      </c>
      <c r="Y128" s="662"/>
      <c r="Z128" s="560">
        <v>4</v>
      </c>
      <c r="AA128" s="562">
        <v>3019.9999999999945</v>
      </c>
      <c r="AB128" s="562">
        <v>754.99999999999864</v>
      </c>
      <c r="AC128" s="560">
        <f t="shared" si="55"/>
        <v>16</v>
      </c>
      <c r="AD128" s="662"/>
      <c r="AE128" s="560">
        <v>4</v>
      </c>
      <c r="AF128" s="562">
        <v>3024.9999999999905</v>
      </c>
      <c r="AG128" s="562">
        <v>756.24999999999761</v>
      </c>
      <c r="AH128" s="560">
        <f t="shared" si="57"/>
        <v>18</v>
      </c>
      <c r="AI128" s="662"/>
      <c r="AJ128" s="560">
        <v>4</v>
      </c>
      <c r="AK128" s="562">
        <v>3379.9999999999818</v>
      </c>
      <c r="AL128" s="562">
        <v>844.99999999999545</v>
      </c>
      <c r="AM128" s="560">
        <f t="shared" si="59"/>
        <v>12</v>
      </c>
      <c r="AN128" s="662"/>
      <c r="AO128" s="560">
        <v>4</v>
      </c>
      <c r="AP128" s="562">
        <v>3083.0769230769151</v>
      </c>
      <c r="AQ128" s="562">
        <v>770.76923076922878</v>
      </c>
      <c r="AR128" s="560">
        <f t="shared" si="61"/>
        <v>14</v>
      </c>
      <c r="AS128" s="662"/>
      <c r="AT128" s="560">
        <v>4</v>
      </c>
      <c r="AU128" s="562">
        <v>3032.3076923077033</v>
      </c>
      <c r="AV128" s="562">
        <v>758.07692307692582</v>
      </c>
      <c r="AW128" s="560">
        <f t="shared" si="63"/>
        <v>11</v>
      </c>
      <c r="AX128" s="662"/>
      <c r="AZ128" s="372" t="e">
        <f t="shared" si="65"/>
        <v>#N/A</v>
      </c>
      <c r="BA128" s="662"/>
    </row>
    <row r="129" spans="2:53">
      <c r="B129" s="660"/>
      <c r="C129" s="283">
        <v>18</v>
      </c>
      <c r="D129" s="515" t="s">
        <v>566</v>
      </c>
      <c r="E129" s="201">
        <v>4</v>
      </c>
      <c r="F129" s="201">
        <v>2800</v>
      </c>
      <c r="G129" s="514">
        <v>700</v>
      </c>
      <c r="H129" s="662"/>
      <c r="I129" s="363">
        <f t="shared" si="67"/>
        <v>4</v>
      </c>
      <c r="J129" s="363">
        <f t="shared" si="68"/>
        <v>2990.2125917560675</v>
      </c>
      <c r="K129" s="199">
        <f t="shared" si="69"/>
        <v>747.55314793901687</v>
      </c>
      <c r="L129" s="634"/>
      <c r="M129" s="198">
        <f>RANK(K129, K$112:$K$141)</f>
        <v>18</v>
      </c>
      <c r="N129" s="652"/>
      <c r="O129" s="652"/>
      <c r="P129" s="560">
        <v>4</v>
      </c>
      <c r="Q129" s="562">
        <v>2749.9999999999918</v>
      </c>
      <c r="R129" s="562">
        <v>687.49999999999795</v>
      </c>
      <c r="S129" s="560">
        <f t="shared" si="51"/>
        <v>20</v>
      </c>
      <c r="T129" s="662"/>
      <c r="U129" s="560">
        <v>4</v>
      </c>
      <c r="V129" s="562">
        <v>3153.0000000000114</v>
      </c>
      <c r="W129" s="562">
        <v>788.25000000000284</v>
      </c>
      <c r="X129" s="560">
        <f t="shared" si="53"/>
        <v>13</v>
      </c>
      <c r="Y129" s="662"/>
      <c r="Z129" s="560">
        <v>4</v>
      </c>
      <c r="AA129" s="562">
        <v>3300.0000000000118</v>
      </c>
      <c r="AB129" s="562">
        <v>825.00000000000296</v>
      </c>
      <c r="AC129" s="560">
        <f t="shared" si="55"/>
        <v>11</v>
      </c>
      <c r="AD129" s="662"/>
      <c r="AE129" s="560">
        <v>4</v>
      </c>
      <c r="AF129" s="562">
        <v>3577.4999999999413</v>
      </c>
      <c r="AG129" s="562">
        <v>894.37499999998533</v>
      </c>
      <c r="AH129" s="560">
        <f t="shared" si="57"/>
        <v>12</v>
      </c>
      <c r="AI129" s="662"/>
      <c r="AJ129" s="560">
        <v>4</v>
      </c>
      <c r="AK129" s="562">
        <v>2732.7272727272825</v>
      </c>
      <c r="AL129" s="562">
        <v>683.18181818182063</v>
      </c>
      <c r="AM129" s="560">
        <f t="shared" si="59"/>
        <v>20</v>
      </c>
      <c r="AN129" s="662"/>
      <c r="AO129" s="560">
        <v>4</v>
      </c>
      <c r="AP129" s="562">
        <v>2702.6086956521835</v>
      </c>
      <c r="AQ129" s="562">
        <v>675.65217391304589</v>
      </c>
      <c r="AR129" s="560">
        <f t="shared" si="61"/>
        <v>20</v>
      </c>
      <c r="AS129" s="662"/>
      <c r="AT129" s="560">
        <v>4</v>
      </c>
      <c r="AU129" s="562">
        <v>2715.652173913053</v>
      </c>
      <c r="AV129" s="562">
        <v>678.91304347826326</v>
      </c>
      <c r="AW129" s="560">
        <f t="shared" si="63"/>
        <v>20</v>
      </c>
      <c r="AX129" s="662"/>
      <c r="AZ129" s="372" t="e">
        <f t="shared" si="65"/>
        <v>#N/A</v>
      </c>
      <c r="BA129" s="662"/>
    </row>
    <row r="130" spans="2:53">
      <c r="B130" s="660"/>
      <c r="C130" s="283">
        <v>19</v>
      </c>
      <c r="D130" s="515" t="s">
        <v>567</v>
      </c>
      <c r="E130" s="201">
        <v>4</v>
      </c>
      <c r="F130" s="201">
        <v>2800</v>
      </c>
      <c r="G130" s="514">
        <v>700</v>
      </c>
      <c r="H130" s="662"/>
      <c r="I130" s="363">
        <f t="shared" si="67"/>
        <v>3</v>
      </c>
      <c r="J130" s="363">
        <f t="shared" si="68"/>
        <v>3188.8659147869607</v>
      </c>
      <c r="K130" s="199">
        <f t="shared" si="69"/>
        <v>1062.9553049289868</v>
      </c>
      <c r="L130" s="634"/>
      <c r="M130" s="198">
        <f>RANK(K130, K$112:$K$141)</f>
        <v>6</v>
      </c>
      <c r="N130" s="652"/>
      <c r="O130" s="652"/>
      <c r="P130" s="560">
        <v>3</v>
      </c>
      <c r="Q130" s="562">
        <v>3098.9999999999864</v>
      </c>
      <c r="R130" s="562">
        <v>1032.9999999999955</v>
      </c>
      <c r="S130" s="560">
        <f t="shared" si="51"/>
        <v>7</v>
      </c>
      <c r="T130" s="662"/>
      <c r="U130" s="560">
        <v>3</v>
      </c>
      <c r="V130" s="562">
        <v>3337.8947368421168</v>
      </c>
      <c r="W130" s="562">
        <v>1112.6315789473722</v>
      </c>
      <c r="X130" s="560">
        <f t="shared" si="53"/>
        <v>1</v>
      </c>
      <c r="Y130" s="662"/>
      <c r="Z130" s="560">
        <v>3</v>
      </c>
      <c r="AA130" s="562">
        <v>3286.6666666666492</v>
      </c>
      <c r="AB130" s="562">
        <v>1095.5555555555497</v>
      </c>
      <c r="AC130" s="560">
        <f t="shared" si="55"/>
        <v>1</v>
      </c>
      <c r="AD130" s="662"/>
      <c r="AE130" s="560">
        <v>3</v>
      </c>
      <c r="AF130" s="562">
        <v>3517.5000000000123</v>
      </c>
      <c r="AG130" s="562">
        <v>1172.5000000000041</v>
      </c>
      <c r="AH130" s="560">
        <f t="shared" si="57"/>
        <v>2</v>
      </c>
      <c r="AI130" s="662"/>
      <c r="AJ130" s="560">
        <v>3</v>
      </c>
      <c r="AK130" s="562">
        <v>2846.9999999999873</v>
      </c>
      <c r="AL130" s="562">
        <v>948.99999999999579</v>
      </c>
      <c r="AM130" s="560">
        <f t="shared" si="59"/>
        <v>11</v>
      </c>
      <c r="AN130" s="662"/>
      <c r="AO130" s="560">
        <v>3</v>
      </c>
      <c r="AP130" s="562">
        <v>3119.9999999999864</v>
      </c>
      <c r="AQ130" s="562">
        <v>1039.9999999999955</v>
      </c>
      <c r="AR130" s="560">
        <f t="shared" si="61"/>
        <v>7</v>
      </c>
      <c r="AS130" s="662"/>
      <c r="AT130" s="560">
        <v>3</v>
      </c>
      <c r="AU130" s="562">
        <v>3113.9999999999864</v>
      </c>
      <c r="AV130" s="562">
        <v>1037.9999999999955</v>
      </c>
      <c r="AW130" s="560">
        <f t="shared" si="63"/>
        <v>5</v>
      </c>
      <c r="AX130" s="662"/>
      <c r="AZ130" s="372" t="e">
        <f t="shared" si="65"/>
        <v>#N/A</v>
      </c>
      <c r="BA130" s="662"/>
    </row>
    <row r="131" spans="2:53">
      <c r="B131" s="660"/>
      <c r="C131" s="283">
        <v>20</v>
      </c>
      <c r="D131" s="515" t="s">
        <v>568</v>
      </c>
      <c r="E131" s="201">
        <v>4</v>
      </c>
      <c r="F131" s="201">
        <v>2200</v>
      </c>
      <c r="G131" s="514">
        <v>550</v>
      </c>
      <c r="H131" s="662"/>
      <c r="I131" s="363">
        <f t="shared" si="67"/>
        <v>3</v>
      </c>
      <c r="J131" s="363">
        <f t="shared" si="68"/>
        <v>2246.2366780045313</v>
      </c>
      <c r="K131" s="199">
        <f t="shared" si="69"/>
        <v>748.74555933484407</v>
      </c>
      <c r="L131" s="634"/>
      <c r="M131" s="198">
        <f>RANK(K131, K$112:$K$141)</f>
        <v>17</v>
      </c>
      <c r="N131" s="652"/>
      <c r="O131" s="652"/>
      <c r="P131" s="560">
        <v>3</v>
      </c>
      <c r="Q131" s="562">
        <v>2223.4285714285693</v>
      </c>
      <c r="R131" s="562">
        <v>741.14285714285643</v>
      </c>
      <c r="S131" s="560">
        <f t="shared" si="51"/>
        <v>17</v>
      </c>
      <c r="T131" s="662"/>
      <c r="U131" s="560">
        <v>3</v>
      </c>
      <c r="V131" s="562">
        <v>2321.2499999999968</v>
      </c>
      <c r="W131" s="562">
        <v>773.74999999999898</v>
      </c>
      <c r="X131" s="560">
        <f t="shared" si="53"/>
        <v>15</v>
      </c>
      <c r="Y131" s="662"/>
      <c r="Z131" s="560">
        <v>3</v>
      </c>
      <c r="AA131" s="562">
        <v>2315.9999999999959</v>
      </c>
      <c r="AB131" s="562">
        <v>771.99999999999864</v>
      </c>
      <c r="AC131" s="560">
        <f t="shared" si="55"/>
        <v>15</v>
      </c>
      <c r="AD131" s="662"/>
      <c r="AE131" s="560">
        <v>3</v>
      </c>
      <c r="AF131" s="562">
        <v>2348.8888888888832</v>
      </c>
      <c r="AG131" s="562">
        <v>782.96296296296111</v>
      </c>
      <c r="AH131" s="560">
        <f t="shared" si="57"/>
        <v>17</v>
      </c>
      <c r="AI131" s="662"/>
      <c r="AJ131" s="560">
        <v>3</v>
      </c>
      <c r="AK131" s="562">
        <v>2184.3749999999968</v>
      </c>
      <c r="AL131" s="562">
        <v>728.12499999999898</v>
      </c>
      <c r="AM131" s="560">
        <f t="shared" si="59"/>
        <v>17</v>
      </c>
      <c r="AN131" s="662"/>
      <c r="AO131" s="560">
        <v>3</v>
      </c>
      <c r="AP131" s="562">
        <v>2149.7142857142835</v>
      </c>
      <c r="AQ131" s="562">
        <v>716.57142857142787</v>
      </c>
      <c r="AR131" s="560">
        <f t="shared" si="61"/>
        <v>17</v>
      </c>
      <c r="AS131" s="662"/>
      <c r="AT131" s="560">
        <v>3</v>
      </c>
      <c r="AU131" s="562">
        <v>2179.9999999999973</v>
      </c>
      <c r="AV131" s="562">
        <v>726.66666666666572</v>
      </c>
      <c r="AW131" s="560">
        <f t="shared" si="63"/>
        <v>16</v>
      </c>
      <c r="AX131" s="662"/>
      <c r="AZ131" s="372" t="e">
        <f t="shared" si="65"/>
        <v>#N/A</v>
      </c>
      <c r="BA131" s="662"/>
    </row>
    <row r="132" spans="2:53">
      <c r="B132" s="660"/>
      <c r="C132" s="283">
        <v>21</v>
      </c>
      <c r="D132" s="515" t="s">
        <v>630</v>
      </c>
      <c r="E132" s="201">
        <v>4</v>
      </c>
      <c r="F132" s="201">
        <v>2200</v>
      </c>
      <c r="G132" s="514">
        <v>550</v>
      </c>
      <c r="H132" s="662"/>
      <c r="I132" s="363">
        <f t="shared" si="67"/>
        <v>4</v>
      </c>
      <c r="J132" s="363">
        <f t="shared" si="68"/>
        <v>2227.422517992703</v>
      </c>
      <c r="K132" s="199">
        <f t="shared" si="69"/>
        <v>556.85562949817574</v>
      </c>
      <c r="L132" s="634"/>
      <c r="M132" s="198">
        <f>RANK(K132, K$112:$K$141)</f>
        <v>22</v>
      </c>
      <c r="N132" s="652"/>
      <c r="O132" s="652"/>
      <c r="P132" s="560">
        <v>4</v>
      </c>
      <c r="Q132" s="562">
        <v>2042.000000000007</v>
      </c>
      <c r="R132" s="562">
        <v>510.50000000000176</v>
      </c>
      <c r="S132" s="560">
        <f t="shared" si="51"/>
        <v>21</v>
      </c>
      <c r="T132" s="662"/>
      <c r="U132" s="560">
        <v>4</v>
      </c>
      <c r="V132" s="562">
        <v>2435.0000000000086</v>
      </c>
      <c r="W132" s="562">
        <v>608.75000000000216</v>
      </c>
      <c r="X132" s="560">
        <f t="shared" si="53"/>
        <v>21</v>
      </c>
      <c r="Y132" s="662"/>
      <c r="Z132" s="560">
        <v>4</v>
      </c>
      <c r="AA132" s="562">
        <v>2363.4782608695568</v>
      </c>
      <c r="AB132" s="562">
        <v>590.86956521738921</v>
      </c>
      <c r="AC132" s="560">
        <f t="shared" si="55"/>
        <v>21</v>
      </c>
      <c r="AD132" s="662"/>
      <c r="AE132" s="560">
        <v>4</v>
      </c>
      <c r="AF132" s="562">
        <v>2382.8571428571331</v>
      </c>
      <c r="AG132" s="562">
        <v>595.71428571428328</v>
      </c>
      <c r="AH132" s="560">
        <f t="shared" si="57"/>
        <v>21</v>
      </c>
      <c r="AI132" s="662"/>
      <c r="AJ132" s="560">
        <v>4</v>
      </c>
      <c r="AK132" s="562">
        <v>2056.7999999999943</v>
      </c>
      <c r="AL132" s="562">
        <v>514.19999999999857</v>
      </c>
      <c r="AM132" s="560">
        <f t="shared" si="59"/>
        <v>21</v>
      </c>
      <c r="AN132" s="662"/>
      <c r="AO132" s="560">
        <v>4</v>
      </c>
      <c r="AP132" s="562">
        <v>2142.2222222222299</v>
      </c>
      <c r="AQ132" s="562">
        <v>535.55555555555748</v>
      </c>
      <c r="AR132" s="560">
        <f t="shared" si="61"/>
        <v>21</v>
      </c>
      <c r="AS132" s="662"/>
      <c r="AT132" s="560">
        <v>4</v>
      </c>
      <c r="AU132" s="562">
        <v>2169.599999999994</v>
      </c>
      <c r="AV132" s="562">
        <v>542.3999999999985</v>
      </c>
      <c r="AW132" s="560">
        <f t="shared" si="63"/>
        <v>21</v>
      </c>
      <c r="AX132" s="662"/>
      <c r="AZ132" s="372" t="e">
        <f t="shared" si="65"/>
        <v>#N/A</v>
      </c>
      <c r="BA132" s="662"/>
    </row>
    <row r="133" spans="2:53">
      <c r="B133" s="660"/>
      <c r="C133" s="283">
        <v>22</v>
      </c>
      <c r="D133" s="515" t="s">
        <v>633</v>
      </c>
      <c r="E133" s="201">
        <v>5</v>
      </c>
      <c r="F133" s="201">
        <v>2200</v>
      </c>
      <c r="G133" s="514">
        <v>333.33333333333331</v>
      </c>
      <c r="H133" s="662"/>
      <c r="I133" s="363">
        <f t="shared" si="67"/>
        <v>5</v>
      </c>
      <c r="J133" s="363">
        <f t="shared" si="68"/>
        <v>1993.9863945578302</v>
      </c>
      <c r="K133" s="199">
        <f t="shared" si="69"/>
        <v>398.79727891156602</v>
      </c>
      <c r="L133" s="634"/>
      <c r="M133" s="198">
        <f>RANK(K133, K$112:$K$141)</f>
        <v>23</v>
      </c>
      <c r="N133" s="652"/>
      <c r="O133" s="652"/>
      <c r="P133" s="560">
        <v>5</v>
      </c>
      <c r="Q133" s="562">
        <v>2033.3333333333403</v>
      </c>
      <c r="R133" s="562">
        <v>406.66666666666805</v>
      </c>
      <c r="S133" s="560">
        <f t="shared" si="51"/>
        <v>22</v>
      </c>
      <c r="T133" s="662"/>
      <c r="U133" s="560">
        <v>5</v>
      </c>
      <c r="V133" s="562">
        <v>1926.0000000000068</v>
      </c>
      <c r="W133" s="562">
        <v>385.20000000000135</v>
      </c>
      <c r="X133" s="560">
        <f t="shared" si="53"/>
        <v>22</v>
      </c>
      <c r="Y133" s="662"/>
      <c r="Z133" s="560">
        <v>5</v>
      </c>
      <c r="AA133" s="562">
        <v>2017.5000000000073</v>
      </c>
      <c r="AB133" s="562">
        <v>403.50000000000148</v>
      </c>
      <c r="AC133" s="560">
        <f t="shared" si="55"/>
        <v>22</v>
      </c>
      <c r="AD133" s="662"/>
      <c r="AE133" s="560">
        <v>5</v>
      </c>
      <c r="AF133" s="562">
        <v>1928.5714285714355</v>
      </c>
      <c r="AG133" s="562">
        <v>385.71428571428709</v>
      </c>
      <c r="AH133" s="560">
        <f t="shared" si="57"/>
        <v>23</v>
      </c>
      <c r="AI133" s="662"/>
      <c r="AJ133" s="560">
        <v>5</v>
      </c>
      <c r="AK133" s="562">
        <v>2040.0000000000073</v>
      </c>
      <c r="AL133" s="562">
        <v>408.00000000000148</v>
      </c>
      <c r="AM133" s="560">
        <f t="shared" si="59"/>
        <v>22</v>
      </c>
      <c r="AN133" s="662"/>
      <c r="AO133" s="560">
        <v>5</v>
      </c>
      <c r="AP133" s="562">
        <v>2085.0000000000073</v>
      </c>
      <c r="AQ133" s="562">
        <v>417.00000000000148</v>
      </c>
      <c r="AR133" s="560">
        <f t="shared" si="61"/>
        <v>22</v>
      </c>
      <c r="AS133" s="662"/>
      <c r="AT133" s="560">
        <v>5</v>
      </c>
      <c r="AU133" s="562">
        <v>1927.5000000000068</v>
      </c>
      <c r="AV133" s="562">
        <v>385.50000000000136</v>
      </c>
      <c r="AW133" s="560">
        <f t="shared" si="63"/>
        <v>23</v>
      </c>
      <c r="AX133" s="662"/>
      <c r="AZ133" s="372" t="e">
        <f t="shared" si="65"/>
        <v>#N/A</v>
      </c>
      <c r="BA133" s="662"/>
    </row>
    <row r="134" spans="2:53">
      <c r="B134" s="660"/>
      <c r="C134" s="283">
        <v>23</v>
      </c>
      <c r="D134" s="201" t="s">
        <v>634</v>
      </c>
      <c r="E134" s="201">
        <v>5</v>
      </c>
      <c r="F134" s="201">
        <v>2200</v>
      </c>
      <c r="G134" s="514">
        <v>333.33333333333331</v>
      </c>
      <c r="H134" s="662"/>
      <c r="I134" s="363">
        <f t="shared" si="67"/>
        <v>5</v>
      </c>
      <c r="J134" s="363">
        <f t="shared" si="68"/>
        <v>1866.7142857142924</v>
      </c>
      <c r="K134" s="199">
        <f t="shared" si="69"/>
        <v>373.34285714285846</v>
      </c>
      <c r="L134" s="634"/>
      <c r="M134" s="198">
        <f>RANK(K134, K$112:$K$141)</f>
        <v>24</v>
      </c>
      <c r="N134" s="652"/>
      <c r="O134" s="652"/>
      <c r="P134" s="560">
        <v>5</v>
      </c>
      <c r="Q134" s="562">
        <v>1760.0000000000064</v>
      </c>
      <c r="R134" s="562">
        <v>352.00000000000125</v>
      </c>
      <c r="S134" s="560">
        <f t="shared" si="51"/>
        <v>23</v>
      </c>
      <c r="T134" s="662"/>
      <c r="U134" s="560">
        <v>5</v>
      </c>
      <c r="V134" s="562">
        <v>1908.0000000000068</v>
      </c>
      <c r="W134" s="562">
        <v>381.60000000000139</v>
      </c>
      <c r="X134" s="560">
        <f t="shared" si="53"/>
        <v>23</v>
      </c>
      <c r="Y134" s="662"/>
      <c r="Z134" s="560">
        <v>5</v>
      </c>
      <c r="AA134" s="562">
        <v>1752.0000000000061</v>
      </c>
      <c r="AB134" s="562">
        <v>350.40000000000123</v>
      </c>
      <c r="AC134" s="560">
        <f t="shared" si="55"/>
        <v>23</v>
      </c>
      <c r="AD134" s="662"/>
      <c r="AE134" s="560">
        <v>5</v>
      </c>
      <c r="AF134" s="562">
        <v>1935.0000000000068</v>
      </c>
      <c r="AG134" s="562">
        <v>387.00000000000136</v>
      </c>
      <c r="AH134" s="560">
        <f t="shared" si="57"/>
        <v>22</v>
      </c>
      <c r="AI134" s="662"/>
      <c r="AJ134" s="560">
        <v>5</v>
      </c>
      <c r="AK134" s="562">
        <v>1830.0000000000064</v>
      </c>
      <c r="AL134" s="562">
        <v>366.00000000000125</v>
      </c>
      <c r="AM134" s="560">
        <f t="shared" si="59"/>
        <v>23</v>
      </c>
      <c r="AN134" s="662"/>
      <c r="AO134" s="560">
        <v>5</v>
      </c>
      <c r="AP134" s="562">
        <v>1812.0000000000064</v>
      </c>
      <c r="AQ134" s="562">
        <v>362.40000000000128</v>
      </c>
      <c r="AR134" s="560">
        <f t="shared" si="61"/>
        <v>23</v>
      </c>
      <c r="AS134" s="662"/>
      <c r="AT134" s="560">
        <v>5</v>
      </c>
      <c r="AU134" s="562">
        <v>2070.0000000000073</v>
      </c>
      <c r="AV134" s="562">
        <v>414.00000000000148</v>
      </c>
      <c r="AW134" s="560">
        <f t="shared" si="63"/>
        <v>22</v>
      </c>
      <c r="AX134" s="662"/>
      <c r="AZ134" s="372" t="e">
        <f t="shared" si="65"/>
        <v>#N/A</v>
      </c>
      <c r="BA134" s="662"/>
    </row>
    <row r="135" spans="2:53">
      <c r="B135" s="660"/>
      <c r="C135" s="283">
        <v>24</v>
      </c>
      <c r="D135" s="515" t="s">
        <v>594</v>
      </c>
      <c r="E135" s="201">
        <v>8</v>
      </c>
      <c r="F135" s="201">
        <v>1500</v>
      </c>
      <c r="G135" s="514">
        <v>187.5</v>
      </c>
      <c r="H135" s="662"/>
      <c r="I135" s="363">
        <f t="shared" si="67"/>
        <v>8.2857142857142865</v>
      </c>
      <c r="J135" s="363">
        <f t="shared" si="68"/>
        <v>1493.9115490009594</v>
      </c>
      <c r="K135" s="199">
        <f t="shared" si="69"/>
        <v>181.37032117614035</v>
      </c>
      <c r="L135" s="634"/>
      <c r="M135" s="198">
        <f>RANK(K135, K$112:$K$141)</f>
        <v>25</v>
      </c>
      <c r="N135" s="652"/>
      <c r="O135" s="652"/>
      <c r="P135" s="560">
        <v>8</v>
      </c>
      <c r="Q135" s="562">
        <v>1495.7894736842118</v>
      </c>
      <c r="R135" s="562">
        <v>186.97368421052647</v>
      </c>
      <c r="S135" s="560">
        <f t="shared" si="51"/>
        <v>24</v>
      </c>
      <c r="T135" s="662"/>
      <c r="U135" s="560">
        <v>8</v>
      </c>
      <c r="V135" s="562">
        <v>1516.6666666666677</v>
      </c>
      <c r="W135" s="562">
        <v>189.58333333333346</v>
      </c>
      <c r="X135" s="560">
        <f t="shared" si="53"/>
        <v>24</v>
      </c>
      <c r="Y135" s="662"/>
      <c r="Z135" s="560">
        <v>8</v>
      </c>
      <c r="AA135" s="562">
        <v>1496.6037735849063</v>
      </c>
      <c r="AB135" s="562">
        <v>187.07547169811329</v>
      </c>
      <c r="AC135" s="560">
        <f t="shared" si="55"/>
        <v>24</v>
      </c>
      <c r="AD135" s="662"/>
      <c r="AE135" s="560">
        <v>8</v>
      </c>
      <c r="AF135" s="562">
        <v>1498.7500000000005</v>
      </c>
      <c r="AG135" s="562">
        <v>187.34375000000006</v>
      </c>
      <c r="AH135" s="560">
        <f t="shared" si="57"/>
        <v>24</v>
      </c>
      <c r="AI135" s="662"/>
      <c r="AJ135" s="560">
        <v>8</v>
      </c>
      <c r="AK135" s="562">
        <v>1496.5384615384623</v>
      </c>
      <c r="AL135" s="562">
        <v>187.06730769230779</v>
      </c>
      <c r="AM135" s="560">
        <f t="shared" si="59"/>
        <v>24</v>
      </c>
      <c r="AN135" s="662"/>
      <c r="AO135" s="560">
        <v>10</v>
      </c>
      <c r="AP135" s="562">
        <v>1503.2142857142869</v>
      </c>
      <c r="AQ135" s="562">
        <v>150.3214285714287</v>
      </c>
      <c r="AR135" s="560">
        <f t="shared" si="61"/>
        <v>24</v>
      </c>
      <c r="AS135" s="662"/>
      <c r="AT135" s="560">
        <v>8</v>
      </c>
      <c r="AU135" s="562">
        <v>1449.8181818181827</v>
      </c>
      <c r="AV135" s="562">
        <v>181.22727272727283</v>
      </c>
      <c r="AW135" s="560">
        <f t="shared" si="63"/>
        <v>24</v>
      </c>
      <c r="AX135" s="662"/>
      <c r="AZ135" s="372" t="e">
        <f t="shared" si="65"/>
        <v>#N/A</v>
      </c>
      <c r="BA135" s="662"/>
    </row>
    <row r="136" spans="2:53">
      <c r="B136" s="660"/>
      <c r="C136" s="283">
        <v>25</v>
      </c>
      <c r="D136" s="201" t="s">
        <v>759</v>
      </c>
      <c r="E136" s="201">
        <v>4</v>
      </c>
      <c r="F136" s="201">
        <v>2800</v>
      </c>
      <c r="G136" s="514">
        <v>700</v>
      </c>
      <c r="H136" s="662"/>
      <c r="I136" s="363">
        <f t="shared" si="67"/>
        <v>4</v>
      </c>
      <c r="J136" s="363">
        <f t="shared" si="68"/>
        <v>2966.9230769230753</v>
      </c>
      <c r="K136" s="199">
        <f t="shared" si="69"/>
        <v>741.73076923076883</v>
      </c>
      <c r="L136" s="634"/>
      <c r="M136" s="198">
        <f>RANK(K136, K$112:$K$141)</f>
        <v>19</v>
      </c>
      <c r="N136" s="652"/>
      <c r="O136" s="652"/>
      <c r="P136" s="560" t="s">
        <v>585</v>
      </c>
      <c r="Q136" s="562" t="s">
        <v>585</v>
      </c>
      <c r="R136" s="562" t="s">
        <v>585</v>
      </c>
      <c r="S136" s="560" t="e">
        <f t="shared" si="51"/>
        <v>#VALUE!</v>
      </c>
      <c r="T136" s="662"/>
      <c r="U136" s="560" t="s">
        <v>585</v>
      </c>
      <c r="V136" s="562" t="s">
        <v>585</v>
      </c>
      <c r="W136" s="562" t="s">
        <v>585</v>
      </c>
      <c r="X136" s="560" t="e">
        <f t="shared" si="53"/>
        <v>#VALUE!</v>
      </c>
      <c r="Y136" s="662"/>
      <c r="Z136" s="560" t="s">
        <v>585</v>
      </c>
      <c r="AA136" s="562" t="s">
        <v>585</v>
      </c>
      <c r="AB136" s="562" t="s">
        <v>585</v>
      </c>
      <c r="AC136" s="560" t="e">
        <f t="shared" si="55"/>
        <v>#VALUE!</v>
      </c>
      <c r="AD136" s="662"/>
      <c r="AE136" s="560" t="s">
        <v>585</v>
      </c>
      <c r="AF136" s="562" t="s">
        <v>585</v>
      </c>
      <c r="AG136" s="562" t="s">
        <v>585</v>
      </c>
      <c r="AH136" s="560" t="e">
        <f t="shared" si="57"/>
        <v>#VALUE!</v>
      </c>
      <c r="AI136" s="662"/>
      <c r="AJ136" s="560" t="s">
        <v>585</v>
      </c>
      <c r="AK136" s="562" t="s">
        <v>585</v>
      </c>
      <c r="AL136" s="562" t="s">
        <v>585</v>
      </c>
      <c r="AM136" s="560" t="e">
        <f t="shared" si="59"/>
        <v>#VALUE!</v>
      </c>
      <c r="AN136" s="662"/>
      <c r="AO136" s="560" t="s">
        <v>585</v>
      </c>
      <c r="AP136" s="562" t="s">
        <v>585</v>
      </c>
      <c r="AQ136" s="562" t="s">
        <v>585</v>
      </c>
      <c r="AR136" s="560" t="e">
        <f t="shared" si="61"/>
        <v>#VALUE!</v>
      </c>
      <c r="AS136" s="662"/>
      <c r="AT136" s="560">
        <v>4</v>
      </c>
      <c r="AU136" s="562">
        <v>2966.9230769230753</v>
      </c>
      <c r="AV136" s="562">
        <v>741.73076923076883</v>
      </c>
      <c r="AW136" s="560">
        <f t="shared" si="63"/>
        <v>13</v>
      </c>
      <c r="AX136" s="662"/>
      <c r="AZ136" s="372" t="e">
        <f t="shared" si="65"/>
        <v>#N/A</v>
      </c>
      <c r="BA136" s="662"/>
    </row>
    <row r="137" spans="2:53">
      <c r="B137" s="660"/>
      <c r="C137" s="283">
        <v>26</v>
      </c>
      <c r="D137" s="201"/>
      <c r="E137" s="201"/>
      <c r="F137" s="201"/>
      <c r="G137" s="514"/>
      <c r="H137" s="662"/>
      <c r="I137" s="363" t="str">
        <f t="shared" si="67"/>
        <v>-</v>
      </c>
      <c r="J137" s="363" t="str">
        <f t="shared" si="68"/>
        <v>-</v>
      </c>
      <c r="K137" s="199" t="str">
        <f t="shared" si="69"/>
        <v>-</v>
      </c>
      <c r="L137" s="634"/>
      <c r="M137" s="198" t="e">
        <f>RANK(K137, K$112:$K$141)</f>
        <v>#VALUE!</v>
      </c>
      <c r="N137" s="652"/>
      <c r="O137" s="652"/>
      <c r="P137" s="560"/>
      <c r="Q137" s="562"/>
      <c r="R137" s="562"/>
      <c r="S137" s="560" t="e">
        <f t="shared" si="51"/>
        <v>#N/A</v>
      </c>
      <c r="T137" s="662"/>
      <c r="U137" s="560"/>
      <c r="V137" s="562"/>
      <c r="W137" s="562"/>
      <c r="X137" s="560" t="e">
        <f t="shared" si="53"/>
        <v>#N/A</v>
      </c>
      <c r="Y137" s="662"/>
      <c r="Z137" s="560"/>
      <c r="AA137" s="562"/>
      <c r="AB137" s="562"/>
      <c r="AC137" s="560" t="e">
        <f t="shared" si="55"/>
        <v>#N/A</v>
      </c>
      <c r="AD137" s="662"/>
      <c r="AE137" s="560"/>
      <c r="AF137" s="562"/>
      <c r="AG137" s="562"/>
      <c r="AH137" s="560" t="e">
        <f t="shared" si="57"/>
        <v>#N/A</v>
      </c>
      <c r="AI137" s="662"/>
      <c r="AJ137" s="560"/>
      <c r="AK137" s="562"/>
      <c r="AL137" s="562"/>
      <c r="AM137" s="560" t="e">
        <f t="shared" si="59"/>
        <v>#N/A</v>
      </c>
      <c r="AN137" s="662"/>
      <c r="AO137" s="560"/>
      <c r="AP137" s="562"/>
      <c r="AQ137" s="562"/>
      <c r="AR137" s="560" t="e">
        <f t="shared" si="61"/>
        <v>#N/A</v>
      </c>
      <c r="AS137" s="662"/>
      <c r="AT137" s="560"/>
      <c r="AU137" s="562"/>
      <c r="AV137" s="562"/>
      <c r="AW137" s="560" t="e">
        <f t="shared" si="63"/>
        <v>#N/A</v>
      </c>
      <c r="AX137" s="662"/>
      <c r="AZ137" s="372" t="e">
        <f t="shared" si="65"/>
        <v>#N/A</v>
      </c>
      <c r="BA137" s="662"/>
    </row>
    <row r="138" spans="2:53">
      <c r="B138" s="660"/>
      <c r="C138" s="283">
        <v>27</v>
      </c>
      <c r="D138" s="201"/>
      <c r="E138" s="201"/>
      <c r="F138" s="201"/>
      <c r="G138" s="514"/>
      <c r="H138" s="662"/>
      <c r="I138" s="363" t="str">
        <f t="shared" si="67"/>
        <v>-</v>
      </c>
      <c r="J138" s="363" t="str">
        <f t="shared" si="68"/>
        <v>-</v>
      </c>
      <c r="K138" s="199" t="str">
        <f t="shared" si="69"/>
        <v>-</v>
      </c>
      <c r="L138" s="634"/>
      <c r="M138" s="198" t="e">
        <f>RANK(K138, K$112:$K$141)</f>
        <v>#VALUE!</v>
      </c>
      <c r="N138" s="652"/>
      <c r="O138" s="652"/>
      <c r="P138" s="560"/>
      <c r="Q138" s="562"/>
      <c r="R138" s="562"/>
      <c r="S138" s="560" t="e">
        <f t="shared" si="51"/>
        <v>#N/A</v>
      </c>
      <c r="T138" s="662"/>
      <c r="U138" s="560"/>
      <c r="V138" s="562"/>
      <c r="W138" s="562"/>
      <c r="X138" s="560" t="e">
        <f t="shared" si="53"/>
        <v>#N/A</v>
      </c>
      <c r="Y138" s="662"/>
      <c r="Z138" s="560"/>
      <c r="AA138" s="562"/>
      <c r="AB138" s="562"/>
      <c r="AC138" s="560" t="e">
        <f t="shared" si="55"/>
        <v>#N/A</v>
      </c>
      <c r="AD138" s="662"/>
      <c r="AE138" s="560"/>
      <c r="AF138" s="562"/>
      <c r="AG138" s="562"/>
      <c r="AH138" s="560" t="e">
        <f t="shared" si="57"/>
        <v>#N/A</v>
      </c>
      <c r="AI138" s="662"/>
      <c r="AJ138" s="560"/>
      <c r="AK138" s="562"/>
      <c r="AL138" s="562"/>
      <c r="AM138" s="560" t="e">
        <f t="shared" si="59"/>
        <v>#N/A</v>
      </c>
      <c r="AN138" s="662"/>
      <c r="AO138" s="560"/>
      <c r="AP138" s="562"/>
      <c r="AQ138" s="562"/>
      <c r="AR138" s="560" t="e">
        <f t="shared" si="61"/>
        <v>#N/A</v>
      </c>
      <c r="AS138" s="662"/>
      <c r="AT138" s="560"/>
      <c r="AU138" s="562"/>
      <c r="AV138" s="562"/>
      <c r="AW138" s="560" t="e">
        <f t="shared" si="63"/>
        <v>#N/A</v>
      </c>
      <c r="AX138" s="662"/>
      <c r="AZ138" s="372" t="e">
        <f t="shared" si="65"/>
        <v>#N/A</v>
      </c>
      <c r="BA138" s="662"/>
    </row>
    <row r="139" spans="2:53">
      <c r="B139" s="660"/>
      <c r="C139" s="283">
        <v>28</v>
      </c>
      <c r="D139" s="201"/>
      <c r="E139" s="201"/>
      <c r="F139" s="201"/>
      <c r="G139" s="201"/>
      <c r="H139" s="662"/>
      <c r="I139" s="363" t="str">
        <f t="shared" si="67"/>
        <v>-</v>
      </c>
      <c r="J139" s="363" t="str">
        <f t="shared" si="68"/>
        <v>-</v>
      </c>
      <c r="K139" s="199" t="str">
        <f t="shared" si="69"/>
        <v>-</v>
      </c>
      <c r="L139" s="634"/>
      <c r="M139" s="198" t="e">
        <f>RANK(K139, K$112:$K$141)</f>
        <v>#VALUE!</v>
      </c>
      <c r="N139" s="652"/>
      <c r="O139" s="652"/>
      <c r="P139" s="560"/>
      <c r="Q139" s="562"/>
      <c r="R139" s="562"/>
      <c r="S139" s="560" t="e">
        <f t="shared" si="51"/>
        <v>#N/A</v>
      </c>
      <c r="T139" s="662"/>
      <c r="U139" s="560"/>
      <c r="V139" s="562"/>
      <c r="W139" s="562"/>
      <c r="X139" s="560" t="e">
        <f t="shared" si="53"/>
        <v>#N/A</v>
      </c>
      <c r="Y139" s="662"/>
      <c r="Z139" s="560"/>
      <c r="AA139" s="562"/>
      <c r="AB139" s="562"/>
      <c r="AC139" s="560" t="e">
        <f t="shared" si="55"/>
        <v>#N/A</v>
      </c>
      <c r="AD139" s="662"/>
      <c r="AE139" s="560"/>
      <c r="AF139" s="562"/>
      <c r="AG139" s="562"/>
      <c r="AH139" s="560" t="e">
        <f t="shared" si="57"/>
        <v>#N/A</v>
      </c>
      <c r="AI139" s="662"/>
      <c r="AJ139" s="560"/>
      <c r="AK139" s="562"/>
      <c r="AL139" s="562"/>
      <c r="AM139" s="560" t="e">
        <f t="shared" si="59"/>
        <v>#N/A</v>
      </c>
      <c r="AN139" s="662"/>
      <c r="AO139" s="560"/>
      <c r="AP139" s="562"/>
      <c r="AQ139" s="562"/>
      <c r="AR139" s="560" t="e">
        <f t="shared" si="61"/>
        <v>#N/A</v>
      </c>
      <c r="AS139" s="662"/>
      <c r="AT139" s="560"/>
      <c r="AU139" s="562"/>
      <c r="AV139" s="562"/>
      <c r="AW139" s="560" t="e">
        <f t="shared" si="63"/>
        <v>#N/A</v>
      </c>
      <c r="AX139" s="662"/>
      <c r="AZ139" s="372" t="e">
        <f t="shared" si="65"/>
        <v>#N/A</v>
      </c>
      <c r="BA139" s="662"/>
    </row>
    <row r="140" spans="2:53">
      <c r="B140" s="660"/>
      <c r="C140" s="283">
        <v>29</v>
      </c>
      <c r="D140" s="201"/>
      <c r="E140" s="201"/>
      <c r="F140" s="201"/>
      <c r="G140" s="201"/>
      <c r="H140" s="662"/>
      <c r="I140" s="363" t="str">
        <f t="shared" si="67"/>
        <v>-</v>
      </c>
      <c r="J140" s="363" t="str">
        <f t="shared" si="68"/>
        <v>-</v>
      </c>
      <c r="K140" s="199" t="str">
        <f t="shared" si="69"/>
        <v>-</v>
      </c>
      <c r="L140" s="634"/>
      <c r="M140" s="198" t="e">
        <f>RANK(K140, K$112:$K$141)</f>
        <v>#VALUE!</v>
      </c>
      <c r="N140" s="652"/>
      <c r="O140" s="652"/>
      <c r="P140" s="560"/>
      <c r="Q140" s="562"/>
      <c r="R140" s="562"/>
      <c r="S140" s="560" t="e">
        <f t="shared" si="51"/>
        <v>#N/A</v>
      </c>
      <c r="T140" s="662"/>
      <c r="U140" s="560"/>
      <c r="V140" s="562"/>
      <c r="W140" s="562"/>
      <c r="X140" s="560" t="e">
        <f t="shared" si="53"/>
        <v>#N/A</v>
      </c>
      <c r="Y140" s="662"/>
      <c r="Z140" s="560"/>
      <c r="AA140" s="562"/>
      <c r="AB140" s="562"/>
      <c r="AC140" s="560" t="e">
        <f t="shared" si="55"/>
        <v>#N/A</v>
      </c>
      <c r="AD140" s="662"/>
      <c r="AE140" s="560"/>
      <c r="AF140" s="562"/>
      <c r="AG140" s="562"/>
      <c r="AH140" s="560" t="e">
        <f t="shared" si="57"/>
        <v>#N/A</v>
      </c>
      <c r="AI140" s="662"/>
      <c r="AJ140" s="560"/>
      <c r="AK140" s="562"/>
      <c r="AL140" s="562"/>
      <c r="AM140" s="560" t="e">
        <f t="shared" si="59"/>
        <v>#N/A</v>
      </c>
      <c r="AN140" s="662"/>
      <c r="AO140" s="560"/>
      <c r="AP140" s="562"/>
      <c r="AQ140" s="562"/>
      <c r="AR140" s="560" t="e">
        <f t="shared" si="61"/>
        <v>#N/A</v>
      </c>
      <c r="AS140" s="662"/>
      <c r="AT140" s="560"/>
      <c r="AU140" s="562"/>
      <c r="AV140" s="562"/>
      <c r="AW140" s="560" t="e">
        <f t="shared" si="63"/>
        <v>#N/A</v>
      </c>
      <c r="AX140" s="662"/>
      <c r="AZ140" s="372" t="e">
        <f t="shared" si="65"/>
        <v>#N/A</v>
      </c>
      <c r="BA140" s="662"/>
    </row>
    <row r="141" spans="2:53">
      <c r="B141" s="660"/>
      <c r="C141" s="283">
        <v>30</v>
      </c>
      <c r="D141" s="201"/>
      <c r="E141" s="201"/>
      <c r="F141" s="201"/>
      <c r="G141" s="201"/>
      <c r="H141" s="663"/>
      <c r="I141" s="363" t="str">
        <f t="shared" si="67"/>
        <v>-</v>
      </c>
      <c r="J141" s="363" t="str">
        <f t="shared" si="68"/>
        <v>-</v>
      </c>
      <c r="K141" s="199" t="str">
        <f t="shared" si="69"/>
        <v>-</v>
      </c>
      <c r="L141" s="635"/>
      <c r="M141" s="198" t="e">
        <f>RANK(K141, K$112:$K$141)</f>
        <v>#VALUE!</v>
      </c>
      <c r="N141" s="652"/>
      <c r="O141" s="652"/>
      <c r="P141" s="560"/>
      <c r="Q141" s="562"/>
      <c r="R141" s="562"/>
      <c r="S141" s="560" t="e">
        <f t="shared" si="51"/>
        <v>#N/A</v>
      </c>
      <c r="T141" s="663"/>
      <c r="U141" s="560"/>
      <c r="V141" s="562"/>
      <c r="W141" s="562"/>
      <c r="X141" s="560" t="e">
        <f t="shared" si="53"/>
        <v>#N/A</v>
      </c>
      <c r="Y141" s="663"/>
      <c r="Z141" s="560"/>
      <c r="AA141" s="562"/>
      <c r="AB141" s="562"/>
      <c r="AC141" s="560" t="e">
        <f t="shared" si="55"/>
        <v>#N/A</v>
      </c>
      <c r="AD141" s="663"/>
      <c r="AE141" s="560"/>
      <c r="AF141" s="562"/>
      <c r="AG141" s="562"/>
      <c r="AH141" s="560" t="e">
        <f t="shared" si="57"/>
        <v>#N/A</v>
      </c>
      <c r="AI141" s="663"/>
      <c r="AJ141" s="560"/>
      <c r="AK141" s="562"/>
      <c r="AL141" s="562"/>
      <c r="AM141" s="560" t="e">
        <f t="shared" si="59"/>
        <v>#N/A</v>
      </c>
      <c r="AN141" s="663"/>
      <c r="AO141" s="560"/>
      <c r="AP141" s="562"/>
      <c r="AQ141" s="562"/>
      <c r="AR141" s="560" t="e">
        <f t="shared" si="61"/>
        <v>#N/A</v>
      </c>
      <c r="AS141" s="663"/>
      <c r="AT141" s="560"/>
      <c r="AU141" s="562"/>
      <c r="AV141" s="562"/>
      <c r="AW141" s="560" t="e">
        <f t="shared" si="63"/>
        <v>#N/A</v>
      </c>
      <c r="AX141" s="663"/>
      <c r="AZ141" s="372" t="e">
        <f t="shared" si="65"/>
        <v>#N/A</v>
      </c>
      <c r="BA141" s="663"/>
    </row>
    <row r="142" spans="2:53" ht="15.75">
      <c r="B142" s="664" t="s">
        <v>162</v>
      </c>
      <c r="C142" s="665"/>
      <c r="D142" s="665"/>
      <c r="E142" s="665"/>
      <c r="F142" s="665"/>
      <c r="G142" s="665"/>
      <c r="H142" s="666"/>
      <c r="I142" s="207"/>
      <c r="J142" s="207"/>
      <c r="K142" s="207"/>
      <c r="L142" s="207"/>
      <c r="M142" s="206"/>
      <c r="N142" s="653" t="s">
        <v>156</v>
      </c>
      <c r="O142" s="653" t="s">
        <v>155</v>
      </c>
      <c r="P142" s="659">
        <f>P107+7</f>
        <v>46259</v>
      </c>
      <c r="Q142" s="660"/>
      <c r="R142" s="660"/>
      <c r="S142" s="660"/>
      <c r="T142" s="660"/>
      <c r="U142" s="656">
        <f>P142+1</f>
        <v>46260</v>
      </c>
      <c r="V142" s="657"/>
      <c r="W142" s="657"/>
      <c r="X142" s="657"/>
      <c r="Y142" s="658"/>
      <c r="Z142" s="656">
        <f>U142+1</f>
        <v>46261</v>
      </c>
      <c r="AA142" s="657"/>
      <c r="AB142" s="657"/>
      <c r="AC142" s="657"/>
      <c r="AD142" s="658"/>
      <c r="AE142" s="656">
        <f>Z142+1</f>
        <v>46262</v>
      </c>
      <c r="AF142" s="657"/>
      <c r="AG142" s="657"/>
      <c r="AH142" s="657"/>
      <c r="AI142" s="658"/>
      <c r="AJ142" s="656">
        <f>AE142+1</f>
        <v>46263</v>
      </c>
      <c r="AK142" s="657"/>
      <c r="AL142" s="657"/>
      <c r="AM142" s="657"/>
      <c r="AN142" s="658"/>
      <c r="AO142" s="656">
        <f>AJ142+1</f>
        <v>46264</v>
      </c>
      <c r="AP142" s="657"/>
      <c r="AQ142" s="657"/>
      <c r="AR142" s="657"/>
      <c r="AS142" s="658"/>
      <c r="AT142" s="656">
        <f>AO142+1</f>
        <v>46265</v>
      </c>
      <c r="AU142" s="657"/>
      <c r="AV142" s="657"/>
      <c r="AW142" s="657"/>
      <c r="AX142" s="658"/>
    </row>
    <row r="143" spans="2:53" ht="15.75">
      <c r="B143" s="667"/>
      <c r="C143" s="667"/>
      <c r="D143" s="667"/>
      <c r="E143" s="667"/>
      <c r="F143" s="667"/>
      <c r="G143" s="667"/>
      <c r="H143" s="667"/>
      <c r="I143" s="204"/>
      <c r="J143" s="204"/>
      <c r="K143" s="204"/>
      <c r="L143" s="204"/>
      <c r="M143" s="205"/>
      <c r="N143" s="655"/>
      <c r="O143" s="655"/>
      <c r="P143" s="659" t="s">
        <v>317</v>
      </c>
      <c r="Q143" s="660"/>
      <c r="R143" s="660"/>
      <c r="S143" s="660"/>
      <c r="T143" s="660"/>
      <c r="U143" s="659" t="s">
        <v>318</v>
      </c>
      <c r="V143" s="660"/>
      <c r="W143" s="660"/>
      <c r="X143" s="660"/>
      <c r="Y143" s="660"/>
      <c r="Z143" s="659" t="s">
        <v>319</v>
      </c>
      <c r="AA143" s="660"/>
      <c r="AB143" s="660"/>
      <c r="AC143" s="660"/>
      <c r="AD143" s="660"/>
      <c r="AE143" s="659" t="s">
        <v>320</v>
      </c>
      <c r="AF143" s="660"/>
      <c r="AG143" s="660"/>
      <c r="AH143" s="660"/>
      <c r="AI143" s="660"/>
      <c r="AJ143" s="659" t="s">
        <v>321</v>
      </c>
      <c r="AK143" s="660"/>
      <c r="AL143" s="660"/>
      <c r="AM143" s="660"/>
      <c r="AN143" s="660"/>
      <c r="AO143" s="659" t="s">
        <v>322</v>
      </c>
      <c r="AP143" s="660"/>
      <c r="AQ143" s="660"/>
      <c r="AR143" s="660"/>
      <c r="AS143" s="660"/>
      <c r="AT143" s="659" t="s">
        <v>323</v>
      </c>
      <c r="AU143" s="660"/>
      <c r="AV143" s="660"/>
      <c r="AW143" s="660"/>
      <c r="AX143" s="660"/>
    </row>
    <row r="144" spans="2:53">
      <c r="B144" s="652" t="s">
        <v>389</v>
      </c>
      <c r="C144" s="652" t="s">
        <v>390</v>
      </c>
      <c r="D144" s="652"/>
      <c r="E144" s="652" t="s">
        <v>391</v>
      </c>
      <c r="F144" s="652"/>
      <c r="G144" s="652"/>
      <c r="H144" s="668" t="s">
        <v>392</v>
      </c>
      <c r="I144" s="636" t="s">
        <v>393</v>
      </c>
      <c r="J144" s="636"/>
      <c r="K144" s="636"/>
      <c r="L144" s="637" t="s">
        <v>392</v>
      </c>
      <c r="M144" s="643" t="s">
        <v>394</v>
      </c>
      <c r="N144" s="652"/>
      <c r="O144" s="652" t="s">
        <v>395</v>
      </c>
      <c r="P144" s="649" t="s">
        <v>396</v>
      </c>
      <c r="Q144" s="650"/>
      <c r="R144" s="650"/>
      <c r="S144" s="651"/>
      <c r="T144" s="652" t="s">
        <v>392</v>
      </c>
      <c r="U144" s="649" t="s">
        <v>396</v>
      </c>
      <c r="V144" s="650"/>
      <c r="W144" s="650"/>
      <c r="X144" s="651"/>
      <c r="Y144" s="652" t="s">
        <v>392</v>
      </c>
      <c r="Z144" s="649" t="s">
        <v>396</v>
      </c>
      <c r="AA144" s="650"/>
      <c r="AB144" s="650"/>
      <c r="AC144" s="651"/>
      <c r="AD144" s="652" t="s">
        <v>392</v>
      </c>
      <c r="AE144" s="649" t="s">
        <v>396</v>
      </c>
      <c r="AF144" s="650"/>
      <c r="AG144" s="650"/>
      <c r="AH144" s="651"/>
      <c r="AI144" s="652" t="s">
        <v>392</v>
      </c>
      <c r="AJ144" s="649" t="s">
        <v>396</v>
      </c>
      <c r="AK144" s="650"/>
      <c r="AL144" s="650"/>
      <c r="AM144" s="651"/>
      <c r="AN144" s="652" t="s">
        <v>392</v>
      </c>
      <c r="AO144" s="649" t="s">
        <v>396</v>
      </c>
      <c r="AP144" s="650"/>
      <c r="AQ144" s="650"/>
      <c r="AR144" s="651"/>
      <c r="AS144" s="652" t="s">
        <v>392</v>
      </c>
      <c r="AT144" s="649" t="s">
        <v>396</v>
      </c>
      <c r="AU144" s="650"/>
      <c r="AV144" s="650"/>
      <c r="AW144" s="651"/>
      <c r="AX144" s="652" t="s">
        <v>392</v>
      </c>
      <c r="BA144" s="652" t="s">
        <v>366</v>
      </c>
    </row>
    <row r="145" spans="2:53">
      <c r="B145" s="652"/>
      <c r="C145" s="652"/>
      <c r="D145" s="652"/>
      <c r="E145" s="652" t="s">
        <v>397</v>
      </c>
      <c r="F145" s="652"/>
      <c r="G145" s="652"/>
      <c r="H145" s="669"/>
      <c r="I145" s="636" t="s">
        <v>397</v>
      </c>
      <c r="J145" s="636"/>
      <c r="K145" s="636"/>
      <c r="L145" s="638"/>
      <c r="M145" s="644"/>
      <c r="N145" s="652"/>
      <c r="O145" s="652"/>
      <c r="P145" s="649" t="s">
        <v>398</v>
      </c>
      <c r="Q145" s="650"/>
      <c r="R145" s="650"/>
      <c r="S145" s="651"/>
      <c r="T145" s="652"/>
      <c r="U145" s="649" t="s">
        <v>398</v>
      </c>
      <c r="V145" s="650"/>
      <c r="W145" s="650"/>
      <c r="X145" s="651"/>
      <c r="Y145" s="652"/>
      <c r="Z145" s="649" t="s">
        <v>398</v>
      </c>
      <c r="AA145" s="650"/>
      <c r="AB145" s="650"/>
      <c r="AC145" s="651"/>
      <c r="AD145" s="652"/>
      <c r="AE145" s="649" t="s">
        <v>398</v>
      </c>
      <c r="AF145" s="650"/>
      <c r="AG145" s="650"/>
      <c r="AH145" s="651"/>
      <c r="AI145" s="652"/>
      <c r="AJ145" s="649" t="s">
        <v>398</v>
      </c>
      <c r="AK145" s="650"/>
      <c r="AL145" s="650"/>
      <c r="AM145" s="651"/>
      <c r="AN145" s="652"/>
      <c r="AO145" s="649" t="s">
        <v>398</v>
      </c>
      <c r="AP145" s="650"/>
      <c r="AQ145" s="650"/>
      <c r="AR145" s="651"/>
      <c r="AS145" s="652"/>
      <c r="AT145" s="649" t="s">
        <v>398</v>
      </c>
      <c r="AU145" s="650"/>
      <c r="AV145" s="650"/>
      <c r="AW145" s="651"/>
      <c r="AX145" s="652"/>
      <c r="BA145" s="652"/>
    </row>
    <row r="146" spans="2:53">
      <c r="B146" s="652"/>
      <c r="C146" s="652"/>
      <c r="D146" s="652"/>
      <c r="E146" s="276" t="s">
        <v>399</v>
      </c>
      <c r="F146" s="276" t="s">
        <v>400</v>
      </c>
      <c r="G146" s="276" t="s">
        <v>401</v>
      </c>
      <c r="H146" s="670"/>
      <c r="I146" s="277" t="s">
        <v>399</v>
      </c>
      <c r="J146" s="277" t="s">
        <v>400</v>
      </c>
      <c r="K146" s="277" t="s">
        <v>401</v>
      </c>
      <c r="L146" s="639"/>
      <c r="M146" s="645"/>
      <c r="N146" s="652"/>
      <c r="O146" s="652"/>
      <c r="P146" s="276" t="s">
        <v>399</v>
      </c>
      <c r="Q146" s="276" t="s">
        <v>400</v>
      </c>
      <c r="R146" s="276" t="s">
        <v>401</v>
      </c>
      <c r="S146" s="276" t="s">
        <v>394</v>
      </c>
      <c r="T146" s="652"/>
      <c r="U146" s="276" t="s">
        <v>399</v>
      </c>
      <c r="V146" s="276" t="s">
        <v>400</v>
      </c>
      <c r="W146" s="276" t="s">
        <v>401</v>
      </c>
      <c r="X146" s="276" t="s">
        <v>394</v>
      </c>
      <c r="Y146" s="652"/>
      <c r="Z146" s="276" t="s">
        <v>399</v>
      </c>
      <c r="AA146" s="276" t="s">
        <v>400</v>
      </c>
      <c r="AB146" s="276" t="s">
        <v>401</v>
      </c>
      <c r="AC146" s="276" t="s">
        <v>394</v>
      </c>
      <c r="AD146" s="652"/>
      <c r="AE146" s="276" t="s">
        <v>399</v>
      </c>
      <c r="AF146" s="276" t="s">
        <v>400</v>
      </c>
      <c r="AG146" s="276" t="s">
        <v>401</v>
      </c>
      <c r="AH146" s="276" t="s">
        <v>394</v>
      </c>
      <c r="AI146" s="652"/>
      <c r="AJ146" s="276" t="s">
        <v>399</v>
      </c>
      <c r="AK146" s="276" t="s">
        <v>400</v>
      </c>
      <c r="AL146" s="276" t="s">
        <v>401</v>
      </c>
      <c r="AM146" s="276" t="s">
        <v>394</v>
      </c>
      <c r="AN146" s="652"/>
      <c r="AO146" s="276" t="s">
        <v>399</v>
      </c>
      <c r="AP146" s="276" t="s">
        <v>400</v>
      </c>
      <c r="AQ146" s="276" t="s">
        <v>401</v>
      </c>
      <c r="AR146" s="276" t="s">
        <v>394</v>
      </c>
      <c r="AS146" s="652"/>
      <c r="AT146" s="276" t="s">
        <v>399</v>
      </c>
      <c r="AU146" s="276" t="s">
        <v>400</v>
      </c>
      <c r="AV146" s="276" t="s">
        <v>401</v>
      </c>
      <c r="AW146" s="276" t="s">
        <v>394</v>
      </c>
      <c r="AX146" s="652"/>
      <c r="AZ146" s="373" t="s">
        <v>367</v>
      </c>
      <c r="BA146" s="652"/>
    </row>
    <row r="147" spans="2:53">
      <c r="B147" s="660" t="s">
        <v>150</v>
      </c>
      <c r="C147" s="275">
        <v>1</v>
      </c>
      <c r="D147" s="201" t="s">
        <v>335</v>
      </c>
      <c r="E147" s="201">
        <v>3</v>
      </c>
      <c r="F147" s="201">
        <v>3200</v>
      </c>
      <c r="G147" s="514">
        <v>1066.6666666666667</v>
      </c>
      <c r="H147" s="661">
        <f>AVERAGE(G147:G176)</f>
        <v>778.64583333333314</v>
      </c>
      <c r="I147" s="363">
        <f>IFERROR(AVERAGE(P147,U147,Z147,AE147,AJ147,AO147,AT147),"-")</f>
        <v>3</v>
      </c>
      <c r="J147" s="363">
        <f>IFERROR(AVERAGE(Q147,V147,AA147,AF147,AK147,AP147,AU147),"-")</f>
        <v>3226.0243993450617</v>
      </c>
      <c r="K147" s="199">
        <f>IFERROR(AVERAGE(R147,W147,AB147,AG147,AL147,AQ147,AV147),"-")</f>
        <v>1075.3414664483539</v>
      </c>
      <c r="L147" s="633">
        <f>IFERROR(AVERAGE(K147:K176),"-")</f>
        <v>830.41616594065533</v>
      </c>
      <c r="M147" s="198">
        <f>RANK(K147, K$147:$K$176)</f>
        <v>5</v>
      </c>
      <c r="N147" s="652"/>
      <c r="O147" s="652"/>
      <c r="P147" s="571">
        <v>3</v>
      </c>
      <c r="Q147" s="573">
        <v>3172.8000000000011</v>
      </c>
      <c r="R147" s="573">
        <v>1057.6000000000004</v>
      </c>
      <c r="S147" s="571">
        <f t="shared" ref="S147:S176" si="70">RANK(R147, R$147:R$176)</f>
        <v>2</v>
      </c>
      <c r="T147" s="661">
        <f t="shared" ref="T147" si="71">AVERAGE(R147:R176)</f>
        <v>788.09244773812804</v>
      </c>
      <c r="U147" s="571">
        <v>3</v>
      </c>
      <c r="V147" s="573">
        <v>3332.6086956521713</v>
      </c>
      <c r="W147" s="573">
        <v>1110.8695652173903</v>
      </c>
      <c r="X147" s="571">
        <f t="shared" ref="X147:X176" si="72">RANK(W147, W$147:W$176)</f>
        <v>4</v>
      </c>
      <c r="Y147" s="661">
        <f t="shared" ref="Y147" si="73">AVERAGE(W147:W176)</f>
        <v>831.19492734335824</v>
      </c>
      <c r="Z147" s="571">
        <v>3</v>
      </c>
      <c r="AA147" s="573">
        <v>3269.577464788731</v>
      </c>
      <c r="AB147" s="573">
        <v>1089.859154929577</v>
      </c>
      <c r="AC147" s="571">
        <f t="shared" ref="AC147:AC176" si="74">RANK(AB147, AB$147:AB$176)</f>
        <v>2</v>
      </c>
      <c r="AD147" s="661">
        <f t="shared" ref="AD147" si="75">AVERAGE(AB147:AB176)</f>
        <v>841.15158166127924</v>
      </c>
      <c r="AE147" s="571">
        <v>3</v>
      </c>
      <c r="AF147" s="573">
        <v>3071.9999999999982</v>
      </c>
      <c r="AG147" s="573">
        <v>1023.9999999999994</v>
      </c>
      <c r="AH147" s="571">
        <f t="shared" ref="AH147:AH176" si="76">RANK(AG147, AG$147:AG$176)</f>
        <v>6</v>
      </c>
      <c r="AI147" s="661">
        <f t="shared" ref="AI147" si="77">AVERAGE(AG147:AG176)</f>
        <v>792.98629404404073</v>
      </c>
      <c r="AJ147" s="571">
        <v>3</v>
      </c>
      <c r="AK147" s="573">
        <v>3220.6451612903215</v>
      </c>
      <c r="AL147" s="573">
        <v>1073.5483870967739</v>
      </c>
      <c r="AM147" s="571">
        <f t="shared" ref="AM147:AM176" si="78">RANK(AL147, AL$147:AL$176)</f>
        <v>7</v>
      </c>
      <c r="AN147" s="661">
        <f t="shared" ref="AN147" si="79">AVERAGE(AL147:AL176)</f>
        <v>852.02642059472225</v>
      </c>
      <c r="AO147" s="571">
        <v>3</v>
      </c>
      <c r="AP147" s="573">
        <v>3228.75</v>
      </c>
      <c r="AQ147" s="573">
        <v>1076.25</v>
      </c>
      <c r="AR147" s="571">
        <f t="shared" ref="AR147:AR176" si="80">RANK(AQ147, AQ$147:AQ$176)</f>
        <v>4</v>
      </c>
      <c r="AS147" s="661">
        <f t="shared" ref="AS147" si="81">AVERAGE(AQ147:AQ176)</f>
        <v>852.14447764979695</v>
      </c>
      <c r="AT147" s="571">
        <v>3</v>
      </c>
      <c r="AU147" s="573">
        <v>3285.78947368421</v>
      </c>
      <c r="AV147" s="573">
        <v>1095.2631578947367</v>
      </c>
      <c r="AW147" s="571">
        <f t="shared" ref="AW147:AW176" si="82">RANK(AV147, AV$147:AV$176)</f>
        <v>2</v>
      </c>
      <c r="AX147" s="661">
        <f t="shared" ref="AX147" si="83">AVERAGE(AV147:AV176)</f>
        <v>853.85899240032336</v>
      </c>
      <c r="AZ147" s="372" t="e">
        <f t="shared" ref="AZ147:AZ176" si="84">RANK(AY147, AY$147:AY$176)</f>
        <v>#N/A</v>
      </c>
      <c r="BA147" s="661" t="e">
        <f t="shared" ref="BA147" si="85">AVERAGE(AY147:AY176)</f>
        <v>#DIV/0!</v>
      </c>
    </row>
    <row r="148" spans="2:53">
      <c r="B148" s="660"/>
      <c r="C148" s="275">
        <v>2</v>
      </c>
      <c r="D148" s="515" t="s">
        <v>336</v>
      </c>
      <c r="E148" s="201">
        <v>3</v>
      </c>
      <c r="F148" s="201">
        <v>3200</v>
      </c>
      <c r="G148" s="514">
        <v>1066.6666666666667</v>
      </c>
      <c r="H148" s="662"/>
      <c r="I148" s="363">
        <f t="shared" ref="I148:I176" si="86">IFERROR(AVERAGE(P148,U148,Z148,AE148,AJ148,AO148,AT148),"-")</f>
        <v>3</v>
      </c>
      <c r="J148" s="363">
        <f t="shared" ref="J148:J176" si="87">IFERROR(AVERAGE(Q148,V148,AA148,AF148,AK148,AP148,AU148),"-")</f>
        <v>3243.0939242093636</v>
      </c>
      <c r="K148" s="199">
        <f t="shared" ref="K148:K176" si="88">IFERROR(AVERAGE(R148,W148,AB148,AG148,AL148,AQ148,AV148),"-")</f>
        <v>1081.0313080697881</v>
      </c>
      <c r="L148" s="634"/>
      <c r="M148" s="198">
        <f>RANK(K148, K$147:$K$176)</f>
        <v>3</v>
      </c>
      <c r="N148" s="652"/>
      <c r="O148" s="652"/>
      <c r="P148" s="571">
        <v>3</v>
      </c>
      <c r="Q148" s="573">
        <v>3115.7142857142881</v>
      </c>
      <c r="R148" s="573">
        <v>1038.5714285714294</v>
      </c>
      <c r="S148" s="571">
        <f t="shared" si="70"/>
        <v>6</v>
      </c>
      <c r="T148" s="662"/>
      <c r="U148" s="571">
        <v>3</v>
      </c>
      <c r="V148" s="573">
        <v>3318.4615384615399</v>
      </c>
      <c r="W148" s="573">
        <v>1106.1538461538466</v>
      </c>
      <c r="X148" s="571">
        <f t="shared" si="72"/>
        <v>5</v>
      </c>
      <c r="Y148" s="662"/>
      <c r="Z148" s="571">
        <v>3</v>
      </c>
      <c r="AA148" s="573">
        <v>3205.2631578947417</v>
      </c>
      <c r="AB148" s="573">
        <v>1068.4210526315806</v>
      </c>
      <c r="AC148" s="571">
        <f t="shared" si="74"/>
        <v>6</v>
      </c>
      <c r="AD148" s="662"/>
      <c r="AE148" s="571">
        <v>3</v>
      </c>
      <c r="AF148" s="573">
        <v>3137.6470588235334</v>
      </c>
      <c r="AG148" s="573">
        <v>1045.8823529411777</v>
      </c>
      <c r="AH148" s="571">
        <f t="shared" si="76"/>
        <v>3</v>
      </c>
      <c r="AI148" s="662"/>
      <c r="AJ148" s="571">
        <v>3</v>
      </c>
      <c r="AK148" s="573">
        <v>3556.0000000000032</v>
      </c>
      <c r="AL148" s="573">
        <v>1185.3333333333344</v>
      </c>
      <c r="AM148" s="571">
        <f t="shared" si="78"/>
        <v>2</v>
      </c>
      <c r="AN148" s="662"/>
      <c r="AO148" s="571">
        <v>3</v>
      </c>
      <c r="AP148" s="573">
        <v>3205.7142857142908</v>
      </c>
      <c r="AQ148" s="573">
        <v>1068.5714285714303</v>
      </c>
      <c r="AR148" s="571">
        <f t="shared" si="80"/>
        <v>5</v>
      </c>
      <c r="AS148" s="662"/>
      <c r="AT148" s="571">
        <v>3</v>
      </c>
      <c r="AU148" s="573">
        <v>3162.8571428571481</v>
      </c>
      <c r="AV148" s="573">
        <v>1054.285714285716</v>
      </c>
      <c r="AW148" s="571">
        <f t="shared" si="82"/>
        <v>6</v>
      </c>
      <c r="AX148" s="662"/>
      <c r="AZ148" s="372" t="e">
        <f t="shared" si="84"/>
        <v>#N/A</v>
      </c>
      <c r="BA148" s="662"/>
    </row>
    <row r="149" spans="2:53">
      <c r="B149" s="660"/>
      <c r="C149" s="275">
        <v>3</v>
      </c>
      <c r="D149" s="201" t="s">
        <v>328</v>
      </c>
      <c r="E149" s="201">
        <v>4</v>
      </c>
      <c r="F149" s="201">
        <v>3200</v>
      </c>
      <c r="G149" s="514">
        <v>800</v>
      </c>
      <c r="H149" s="662"/>
      <c r="I149" s="363">
        <f t="shared" si="86"/>
        <v>4</v>
      </c>
      <c r="J149" s="363">
        <f t="shared" si="87"/>
        <v>3281.4355644355719</v>
      </c>
      <c r="K149" s="199">
        <f t="shared" si="88"/>
        <v>820.35889110889298</v>
      </c>
      <c r="L149" s="634"/>
      <c r="M149" s="198">
        <f>RANK(K149, K$147:$K$176)</f>
        <v>12</v>
      </c>
      <c r="N149" s="652"/>
      <c r="O149" s="652"/>
      <c r="P149" s="571">
        <v>4</v>
      </c>
      <c r="Q149" s="573">
        <v>3015.0000000000105</v>
      </c>
      <c r="R149" s="573">
        <v>753.75000000000261</v>
      </c>
      <c r="S149" s="571">
        <f t="shared" si="70"/>
        <v>14</v>
      </c>
      <c r="T149" s="662"/>
      <c r="U149" s="571">
        <v>4</v>
      </c>
      <c r="V149" s="573">
        <v>3300.0000000000118</v>
      </c>
      <c r="W149" s="573">
        <v>825.00000000000296</v>
      </c>
      <c r="X149" s="571">
        <f t="shared" si="72"/>
        <v>12</v>
      </c>
      <c r="Y149" s="662"/>
      <c r="Z149" s="571">
        <v>4</v>
      </c>
      <c r="AA149" s="573">
        <v>3636.923076923079</v>
      </c>
      <c r="AB149" s="573">
        <v>909.23076923076974</v>
      </c>
      <c r="AC149" s="571">
        <f t="shared" si="74"/>
        <v>13</v>
      </c>
      <c r="AD149" s="662"/>
      <c r="AE149" s="571">
        <v>4</v>
      </c>
      <c r="AF149" s="573">
        <v>2972.3076923077033</v>
      </c>
      <c r="AG149" s="573">
        <v>743.07692307692582</v>
      </c>
      <c r="AH149" s="571">
        <f t="shared" si="76"/>
        <v>16</v>
      </c>
      <c r="AI149" s="662"/>
      <c r="AJ149" s="571">
        <v>4</v>
      </c>
      <c r="AK149" s="573">
        <v>3501.8181818181943</v>
      </c>
      <c r="AL149" s="573">
        <v>875.45454545454857</v>
      </c>
      <c r="AM149" s="571">
        <f t="shared" si="78"/>
        <v>11</v>
      </c>
      <c r="AN149" s="662"/>
      <c r="AO149" s="571">
        <v>4</v>
      </c>
      <c r="AP149" s="573">
        <v>3312.0000000000032</v>
      </c>
      <c r="AQ149" s="573">
        <v>828.0000000000008</v>
      </c>
      <c r="AR149" s="571">
        <f t="shared" si="80"/>
        <v>14</v>
      </c>
      <c r="AS149" s="662"/>
      <c r="AT149" s="571">
        <v>4</v>
      </c>
      <c r="AU149" s="573">
        <v>3232.0000000000032</v>
      </c>
      <c r="AV149" s="573">
        <v>808.0000000000008</v>
      </c>
      <c r="AW149" s="571">
        <f t="shared" si="82"/>
        <v>14</v>
      </c>
      <c r="AX149" s="662"/>
      <c r="AZ149" s="372" t="e">
        <f t="shared" si="84"/>
        <v>#N/A</v>
      </c>
      <c r="BA149" s="662"/>
    </row>
    <row r="150" spans="2:53">
      <c r="B150" s="660"/>
      <c r="C150" s="275">
        <v>4</v>
      </c>
      <c r="D150" s="201" t="s">
        <v>337</v>
      </c>
      <c r="E150" s="201">
        <v>3</v>
      </c>
      <c r="F150" s="201">
        <v>3200</v>
      </c>
      <c r="G150" s="514">
        <v>1066.6666666666667</v>
      </c>
      <c r="H150" s="662"/>
      <c r="I150" s="363">
        <f t="shared" si="86"/>
        <v>3</v>
      </c>
      <c r="J150" s="363">
        <f t="shared" si="87"/>
        <v>3220.3729544074749</v>
      </c>
      <c r="K150" s="199">
        <f t="shared" si="88"/>
        <v>1073.4576514691582</v>
      </c>
      <c r="L150" s="634"/>
      <c r="M150" s="198">
        <f>RANK(K150, K$147:$K$176)</f>
        <v>6</v>
      </c>
      <c r="N150" s="652"/>
      <c r="O150" s="652"/>
      <c r="P150" s="571">
        <v>3</v>
      </c>
      <c r="Q150" s="573">
        <v>3187.792207792209</v>
      </c>
      <c r="R150" s="573">
        <v>1062.5974025974031</v>
      </c>
      <c r="S150" s="571">
        <f t="shared" si="70"/>
        <v>1</v>
      </c>
      <c r="T150" s="662"/>
      <c r="U150" s="571">
        <v>3</v>
      </c>
      <c r="V150" s="573">
        <v>3171.199999999998</v>
      </c>
      <c r="W150" s="573">
        <v>1057.0666666666659</v>
      </c>
      <c r="X150" s="571">
        <f t="shared" si="72"/>
        <v>8</v>
      </c>
      <c r="Y150" s="662"/>
      <c r="Z150" s="571">
        <v>3</v>
      </c>
      <c r="AA150" s="573">
        <v>3232.9090909090883</v>
      </c>
      <c r="AB150" s="573">
        <v>1077.6363636363628</v>
      </c>
      <c r="AC150" s="571">
        <f t="shared" si="74"/>
        <v>4</v>
      </c>
      <c r="AD150" s="662"/>
      <c r="AE150" s="571">
        <v>3</v>
      </c>
      <c r="AF150" s="573">
        <v>3175.5789473684194</v>
      </c>
      <c r="AG150" s="573">
        <v>1058.5263157894731</v>
      </c>
      <c r="AH150" s="571">
        <f t="shared" si="76"/>
        <v>2</v>
      </c>
      <c r="AI150" s="662"/>
      <c r="AJ150" s="571">
        <v>3</v>
      </c>
      <c r="AK150" s="573">
        <v>3279.1304347826085</v>
      </c>
      <c r="AL150" s="573">
        <v>1093.0434782608695</v>
      </c>
      <c r="AM150" s="571">
        <f t="shared" si="78"/>
        <v>6</v>
      </c>
      <c r="AN150" s="662"/>
      <c r="AO150" s="571">
        <v>3</v>
      </c>
      <c r="AP150" s="573">
        <v>3255.9999999999986</v>
      </c>
      <c r="AQ150" s="573">
        <v>1085.3333333333328</v>
      </c>
      <c r="AR150" s="571">
        <f t="shared" si="80"/>
        <v>3</v>
      </c>
      <c r="AS150" s="662"/>
      <c r="AT150" s="571">
        <v>3</v>
      </c>
      <c r="AU150" s="573">
        <v>3240.0000000000027</v>
      </c>
      <c r="AV150" s="573">
        <v>1080.0000000000009</v>
      </c>
      <c r="AW150" s="571">
        <f t="shared" si="82"/>
        <v>4</v>
      </c>
      <c r="AX150" s="662"/>
      <c r="AZ150" s="372" t="e">
        <f t="shared" si="84"/>
        <v>#N/A</v>
      </c>
      <c r="BA150" s="662"/>
    </row>
    <row r="151" spans="2:53">
      <c r="B151" s="660"/>
      <c r="C151" s="275">
        <v>5</v>
      </c>
      <c r="D151" s="201" t="s">
        <v>563</v>
      </c>
      <c r="E151" s="201">
        <v>4</v>
      </c>
      <c r="F151" s="201">
        <v>3200</v>
      </c>
      <c r="G151" s="514">
        <v>800</v>
      </c>
      <c r="H151" s="662"/>
      <c r="I151" s="363">
        <f t="shared" si="86"/>
        <v>4</v>
      </c>
      <c r="J151" s="363">
        <f t="shared" si="87"/>
        <v>3178.9838236297883</v>
      </c>
      <c r="K151" s="199">
        <f t="shared" si="88"/>
        <v>794.74595590744707</v>
      </c>
      <c r="L151" s="634"/>
      <c r="M151" s="198">
        <f>RANK(K151, K$147:$K$176)</f>
        <v>16</v>
      </c>
      <c r="N151" s="652"/>
      <c r="O151" s="652"/>
      <c r="P151" s="571">
        <v>4</v>
      </c>
      <c r="Q151" s="573">
        <v>3155.9999999999945</v>
      </c>
      <c r="R151" s="573">
        <v>788.99999999999864</v>
      </c>
      <c r="S151" s="571">
        <f t="shared" si="70"/>
        <v>11</v>
      </c>
      <c r="T151" s="662"/>
      <c r="U151" s="571">
        <v>4</v>
      </c>
      <c r="V151" s="573">
        <v>3257.1428571428596</v>
      </c>
      <c r="W151" s="573">
        <v>814.2857142857149</v>
      </c>
      <c r="X151" s="571">
        <f t="shared" si="72"/>
        <v>13</v>
      </c>
      <c r="Y151" s="662"/>
      <c r="Z151" s="571">
        <v>4</v>
      </c>
      <c r="AA151" s="573">
        <v>3198.4615384615454</v>
      </c>
      <c r="AB151" s="573">
        <v>799.61538461538635</v>
      </c>
      <c r="AC151" s="571">
        <f t="shared" si="74"/>
        <v>16</v>
      </c>
      <c r="AD151" s="662"/>
      <c r="AE151" s="571">
        <v>4</v>
      </c>
      <c r="AF151" s="573">
        <v>3091.3043478260979</v>
      </c>
      <c r="AG151" s="573">
        <v>772.82608695652448</v>
      </c>
      <c r="AH151" s="571">
        <f t="shared" si="76"/>
        <v>13</v>
      </c>
      <c r="AI151" s="662"/>
      <c r="AJ151" s="571">
        <v>4</v>
      </c>
      <c r="AK151" s="573">
        <v>3054.2857142857074</v>
      </c>
      <c r="AL151" s="573">
        <v>763.57142857142685</v>
      </c>
      <c r="AM151" s="571">
        <f t="shared" si="78"/>
        <v>16</v>
      </c>
      <c r="AN151" s="662"/>
      <c r="AO151" s="571">
        <v>4</v>
      </c>
      <c r="AP151" s="573">
        <v>3348.0000000000068</v>
      </c>
      <c r="AQ151" s="573">
        <v>837.00000000000171</v>
      </c>
      <c r="AR151" s="571">
        <f t="shared" si="80"/>
        <v>13</v>
      </c>
      <c r="AS151" s="662"/>
      <c r="AT151" s="571">
        <v>4</v>
      </c>
      <c r="AU151" s="573">
        <v>3147.6923076923094</v>
      </c>
      <c r="AV151" s="573">
        <v>786.92307692307736</v>
      </c>
      <c r="AW151" s="571">
        <f t="shared" si="82"/>
        <v>15</v>
      </c>
      <c r="AX151" s="662"/>
      <c r="AZ151" s="372" t="e">
        <f t="shared" si="84"/>
        <v>#N/A</v>
      </c>
      <c r="BA151" s="662"/>
    </row>
    <row r="152" spans="2:53">
      <c r="B152" s="660"/>
      <c r="C152" s="275">
        <v>6</v>
      </c>
      <c r="D152" s="201" t="s">
        <v>564</v>
      </c>
      <c r="E152" s="201">
        <v>4</v>
      </c>
      <c r="F152" s="201">
        <v>3200</v>
      </c>
      <c r="G152" s="514">
        <v>800</v>
      </c>
      <c r="H152" s="662"/>
      <c r="I152" s="363">
        <f t="shared" si="86"/>
        <v>4</v>
      </c>
      <c r="J152" s="363">
        <f t="shared" si="87"/>
        <v>3191.4795918367331</v>
      </c>
      <c r="K152" s="199">
        <f t="shared" si="88"/>
        <v>797.86989795918328</v>
      </c>
      <c r="L152" s="634"/>
      <c r="M152" s="198">
        <f>RANK(K152, K$147:$K$176)</f>
        <v>15</v>
      </c>
      <c r="N152" s="652"/>
      <c r="O152" s="652"/>
      <c r="P152" s="571">
        <v>4</v>
      </c>
      <c r="Q152" s="573">
        <v>2999.9999999999868</v>
      </c>
      <c r="R152" s="573">
        <v>749.9999999999967</v>
      </c>
      <c r="S152" s="571">
        <f t="shared" si="70"/>
        <v>15</v>
      </c>
      <c r="T152" s="662"/>
      <c r="U152" s="571">
        <v>4</v>
      </c>
      <c r="V152" s="573">
        <v>2723.9999999999882</v>
      </c>
      <c r="W152" s="573">
        <v>680.99999999999704</v>
      </c>
      <c r="X152" s="571">
        <f t="shared" si="72"/>
        <v>20</v>
      </c>
      <c r="Y152" s="662"/>
      <c r="Z152" s="571">
        <v>4</v>
      </c>
      <c r="AA152" s="573">
        <v>3637.4999999999955</v>
      </c>
      <c r="AB152" s="573">
        <v>909.37499999999886</v>
      </c>
      <c r="AC152" s="571">
        <f t="shared" si="74"/>
        <v>12</v>
      </c>
      <c r="AD152" s="662"/>
      <c r="AE152" s="571">
        <v>4</v>
      </c>
      <c r="AF152" s="573">
        <v>2969.9999999999964</v>
      </c>
      <c r="AG152" s="573">
        <v>742.49999999999909</v>
      </c>
      <c r="AH152" s="571">
        <f t="shared" si="76"/>
        <v>17</v>
      </c>
      <c r="AI152" s="662"/>
      <c r="AJ152" s="571">
        <v>4</v>
      </c>
      <c r="AK152" s="573">
        <v>3282.8571428571545</v>
      </c>
      <c r="AL152" s="573">
        <v>820.71428571428862</v>
      </c>
      <c r="AM152" s="571">
        <f t="shared" si="78"/>
        <v>13</v>
      </c>
      <c r="AN152" s="662"/>
      <c r="AO152" s="571">
        <v>4</v>
      </c>
      <c r="AP152" s="573">
        <v>3371.9999999999991</v>
      </c>
      <c r="AQ152" s="573">
        <v>842.99999999999977</v>
      </c>
      <c r="AR152" s="571">
        <f t="shared" si="80"/>
        <v>12</v>
      </c>
      <c r="AS152" s="662"/>
      <c r="AT152" s="571">
        <v>4</v>
      </c>
      <c r="AU152" s="573">
        <v>3354.0000000000118</v>
      </c>
      <c r="AV152" s="573">
        <v>838.50000000000296</v>
      </c>
      <c r="AW152" s="571">
        <f t="shared" si="82"/>
        <v>11</v>
      </c>
      <c r="AX152" s="662"/>
      <c r="AZ152" s="372" t="e">
        <f t="shared" si="84"/>
        <v>#N/A</v>
      </c>
      <c r="BA152" s="662"/>
    </row>
    <row r="153" spans="2:53">
      <c r="B153" s="660"/>
      <c r="C153" s="275">
        <v>7</v>
      </c>
      <c r="D153" s="201" t="s">
        <v>339</v>
      </c>
      <c r="E153" s="201">
        <v>3</v>
      </c>
      <c r="F153" s="201">
        <v>3200</v>
      </c>
      <c r="G153" s="514">
        <v>1066.6666666666667</v>
      </c>
      <c r="H153" s="662"/>
      <c r="I153" s="363">
        <f t="shared" si="86"/>
        <v>3</v>
      </c>
      <c r="J153" s="363">
        <f t="shared" si="87"/>
        <v>3207.7030124088956</v>
      </c>
      <c r="K153" s="199">
        <f t="shared" si="88"/>
        <v>1069.2343374696318</v>
      </c>
      <c r="L153" s="634"/>
      <c r="M153" s="198">
        <f>RANK(K153, K$147:$K$176)</f>
        <v>7</v>
      </c>
      <c r="N153" s="652"/>
      <c r="O153" s="652"/>
      <c r="P153" s="571">
        <v>3</v>
      </c>
      <c r="Q153" s="573">
        <v>3139.9999999999955</v>
      </c>
      <c r="R153" s="573">
        <v>1046.6666666666652</v>
      </c>
      <c r="S153" s="571">
        <f t="shared" si="70"/>
        <v>4</v>
      </c>
      <c r="T153" s="662"/>
      <c r="U153" s="571">
        <v>3</v>
      </c>
      <c r="V153" s="573">
        <v>3308.1818181818239</v>
      </c>
      <c r="W153" s="573">
        <v>1102.7272727272746</v>
      </c>
      <c r="X153" s="571">
        <f t="shared" si="72"/>
        <v>6</v>
      </c>
      <c r="Y153" s="662"/>
      <c r="Z153" s="571">
        <v>3</v>
      </c>
      <c r="AA153" s="573">
        <v>3220.0000000000032</v>
      </c>
      <c r="AB153" s="573">
        <v>1073.3333333333344</v>
      </c>
      <c r="AC153" s="571">
        <f t="shared" si="74"/>
        <v>5</v>
      </c>
      <c r="AD153" s="662"/>
      <c r="AE153" s="571">
        <v>3</v>
      </c>
      <c r="AF153" s="573">
        <v>3080.0000000000032</v>
      </c>
      <c r="AG153" s="573">
        <v>1026.6666666666677</v>
      </c>
      <c r="AH153" s="571">
        <f t="shared" si="76"/>
        <v>5</v>
      </c>
      <c r="AI153" s="662"/>
      <c r="AJ153" s="571">
        <v>3</v>
      </c>
      <c r="AK153" s="573">
        <v>3300.0000000000027</v>
      </c>
      <c r="AL153" s="573">
        <v>1100.0000000000009</v>
      </c>
      <c r="AM153" s="571">
        <f t="shared" si="78"/>
        <v>5</v>
      </c>
      <c r="AN153" s="662"/>
      <c r="AO153" s="571">
        <v>3</v>
      </c>
      <c r="AP153" s="573">
        <v>3121.6216216216194</v>
      </c>
      <c r="AQ153" s="573">
        <v>1040.5405405405397</v>
      </c>
      <c r="AR153" s="571">
        <f t="shared" si="80"/>
        <v>6</v>
      </c>
      <c r="AS153" s="662"/>
      <c r="AT153" s="571">
        <v>3</v>
      </c>
      <c r="AU153" s="573">
        <v>3284.1176470588193</v>
      </c>
      <c r="AV153" s="573">
        <v>1094.7058823529399</v>
      </c>
      <c r="AW153" s="571">
        <f t="shared" si="82"/>
        <v>3</v>
      </c>
      <c r="AX153" s="662"/>
      <c r="AZ153" s="372" t="e">
        <f t="shared" si="84"/>
        <v>#N/A</v>
      </c>
      <c r="BA153" s="662"/>
    </row>
    <row r="154" spans="2:53">
      <c r="B154" s="660"/>
      <c r="C154" s="275">
        <v>8</v>
      </c>
      <c r="D154" s="201" t="s">
        <v>340</v>
      </c>
      <c r="E154" s="201">
        <v>3</v>
      </c>
      <c r="F154" s="201">
        <v>2800</v>
      </c>
      <c r="G154" s="514">
        <v>933.33333333333337</v>
      </c>
      <c r="H154" s="662"/>
      <c r="I154" s="363">
        <f t="shared" si="86"/>
        <v>3</v>
      </c>
      <c r="J154" s="363">
        <f t="shared" si="87"/>
        <v>3229.9698180928267</v>
      </c>
      <c r="K154" s="199">
        <f t="shared" si="88"/>
        <v>1076.6566060309422</v>
      </c>
      <c r="L154" s="634"/>
      <c r="M154" s="198">
        <f>RANK(K154, K$147:$K$176)</f>
        <v>4</v>
      </c>
      <c r="N154" s="652"/>
      <c r="O154" s="652"/>
      <c r="P154" s="571">
        <v>3</v>
      </c>
      <c r="Q154" s="573">
        <v>3129.2307692307613</v>
      </c>
      <c r="R154" s="573">
        <v>1043.0769230769204</v>
      </c>
      <c r="S154" s="571">
        <f t="shared" si="70"/>
        <v>5</v>
      </c>
      <c r="T154" s="662"/>
      <c r="U154" s="571">
        <v>3</v>
      </c>
      <c r="V154" s="573">
        <v>3370.4347826086955</v>
      </c>
      <c r="W154" s="573">
        <v>1123.4782608695652</v>
      </c>
      <c r="X154" s="571">
        <f t="shared" si="72"/>
        <v>3</v>
      </c>
      <c r="Y154" s="662"/>
      <c r="Z154" s="571">
        <v>3</v>
      </c>
      <c r="AA154" s="573">
        <v>3190.2439024390233</v>
      </c>
      <c r="AB154" s="573">
        <v>1063.4146341463411</v>
      </c>
      <c r="AC154" s="571">
        <f t="shared" si="74"/>
        <v>7</v>
      </c>
      <c r="AD154" s="662"/>
      <c r="AE154" s="571" t="s">
        <v>585</v>
      </c>
      <c r="AF154" s="573" t="s">
        <v>585</v>
      </c>
      <c r="AG154" s="573" t="s">
        <v>585</v>
      </c>
      <c r="AH154" s="571" t="e">
        <f t="shared" si="76"/>
        <v>#VALUE!</v>
      </c>
      <c r="AI154" s="662"/>
      <c r="AJ154" s="571" t="s">
        <v>585</v>
      </c>
      <c r="AK154" s="573" t="s">
        <v>585</v>
      </c>
      <c r="AL154" s="573" t="s">
        <v>585</v>
      </c>
      <c r="AM154" s="571" t="e">
        <f t="shared" si="78"/>
        <v>#VALUE!</v>
      </c>
      <c r="AN154" s="662"/>
      <c r="AO154" s="571" t="s">
        <v>585</v>
      </c>
      <c r="AP154" s="573" t="s">
        <v>585</v>
      </c>
      <c r="AQ154" s="573" t="s">
        <v>585</v>
      </c>
      <c r="AR154" s="571" t="e">
        <f t="shared" si="80"/>
        <v>#VALUE!</v>
      </c>
      <c r="AS154" s="662"/>
      <c r="AT154" s="571" t="s">
        <v>585</v>
      </c>
      <c r="AU154" s="573" t="s">
        <v>585</v>
      </c>
      <c r="AV154" s="573" t="s">
        <v>585</v>
      </c>
      <c r="AW154" s="571" t="e">
        <f t="shared" si="82"/>
        <v>#VALUE!</v>
      </c>
      <c r="AX154" s="662"/>
      <c r="AZ154" s="372" t="e">
        <f t="shared" si="84"/>
        <v>#N/A</v>
      </c>
      <c r="BA154" s="662"/>
    </row>
    <row r="155" spans="2:53">
      <c r="B155" s="660"/>
      <c r="C155" s="275">
        <v>9</v>
      </c>
      <c r="D155" s="201" t="s">
        <v>341</v>
      </c>
      <c r="E155" s="201">
        <v>4</v>
      </c>
      <c r="F155" s="201">
        <v>2800</v>
      </c>
      <c r="G155" s="514">
        <v>700</v>
      </c>
      <c r="H155" s="662"/>
      <c r="I155" s="363">
        <f t="shared" si="86"/>
        <v>4</v>
      </c>
      <c r="J155" s="363">
        <f t="shared" si="87"/>
        <v>3215.7661869619269</v>
      </c>
      <c r="K155" s="199">
        <f t="shared" si="88"/>
        <v>803.94154674048173</v>
      </c>
      <c r="L155" s="634"/>
      <c r="M155" s="198">
        <f>RANK(K155, K$147:$K$176)</f>
        <v>14</v>
      </c>
      <c r="N155" s="652"/>
      <c r="O155" s="652"/>
      <c r="P155" s="571">
        <v>4</v>
      </c>
      <c r="Q155" s="573">
        <v>3124.7999999999961</v>
      </c>
      <c r="R155" s="573">
        <v>781.19999999999902</v>
      </c>
      <c r="S155" s="571">
        <f t="shared" si="70"/>
        <v>12</v>
      </c>
      <c r="T155" s="662"/>
      <c r="U155" s="571">
        <v>4</v>
      </c>
      <c r="V155" s="573">
        <v>3240</v>
      </c>
      <c r="W155" s="573">
        <v>810</v>
      </c>
      <c r="X155" s="571">
        <f t="shared" si="72"/>
        <v>14</v>
      </c>
      <c r="Y155" s="662"/>
      <c r="Z155" s="571">
        <v>4</v>
      </c>
      <c r="AA155" s="573">
        <v>3264.0000000000014</v>
      </c>
      <c r="AB155" s="573">
        <v>816.00000000000034</v>
      </c>
      <c r="AC155" s="571">
        <f t="shared" si="74"/>
        <v>15</v>
      </c>
      <c r="AD155" s="662"/>
      <c r="AE155" s="571">
        <v>4</v>
      </c>
      <c r="AF155" s="573">
        <v>3168.3582089552278</v>
      </c>
      <c r="AG155" s="573">
        <v>792.08955223880696</v>
      </c>
      <c r="AH155" s="571">
        <f t="shared" si="76"/>
        <v>11</v>
      </c>
      <c r="AI155" s="662"/>
      <c r="AJ155" s="571">
        <v>4</v>
      </c>
      <c r="AK155" s="573">
        <v>3196.3636363636365</v>
      </c>
      <c r="AL155" s="573">
        <v>799.09090909090912</v>
      </c>
      <c r="AM155" s="571">
        <f t="shared" si="78"/>
        <v>14</v>
      </c>
      <c r="AN155" s="662"/>
      <c r="AO155" s="571">
        <v>4</v>
      </c>
      <c r="AP155" s="573">
        <v>3266.3414634146334</v>
      </c>
      <c r="AQ155" s="573">
        <v>816.58536585365835</v>
      </c>
      <c r="AR155" s="571">
        <f t="shared" si="80"/>
        <v>15</v>
      </c>
      <c r="AS155" s="662"/>
      <c r="AT155" s="571">
        <v>4</v>
      </c>
      <c r="AU155" s="573">
        <v>3250.4999999999955</v>
      </c>
      <c r="AV155" s="573">
        <v>812.62499999999886</v>
      </c>
      <c r="AW155" s="571">
        <f t="shared" si="82"/>
        <v>12</v>
      </c>
      <c r="AX155" s="662"/>
      <c r="AZ155" s="372" t="e">
        <f t="shared" si="84"/>
        <v>#N/A</v>
      </c>
      <c r="BA155" s="662"/>
    </row>
    <row r="156" spans="2:53">
      <c r="B156" s="660"/>
      <c r="C156" s="275">
        <v>10</v>
      </c>
      <c r="D156" s="201" t="s">
        <v>565</v>
      </c>
      <c r="E156" s="201">
        <v>4</v>
      </c>
      <c r="F156" s="201">
        <v>2800</v>
      </c>
      <c r="G156" s="514">
        <v>700</v>
      </c>
      <c r="H156" s="662"/>
      <c r="I156" s="363">
        <f t="shared" si="86"/>
        <v>4</v>
      </c>
      <c r="J156" s="363">
        <f t="shared" si="87"/>
        <v>2819.7105257112485</v>
      </c>
      <c r="K156" s="199">
        <f t="shared" si="88"/>
        <v>704.92763142781212</v>
      </c>
      <c r="L156" s="634"/>
      <c r="M156" s="198">
        <f>RANK(K156, K$147:$K$176)</f>
        <v>19</v>
      </c>
      <c r="N156" s="652"/>
      <c r="O156" s="652"/>
      <c r="P156" s="571">
        <v>4</v>
      </c>
      <c r="Q156" s="573">
        <v>2840.9999999999986</v>
      </c>
      <c r="R156" s="573">
        <v>710.24999999999966</v>
      </c>
      <c r="S156" s="571">
        <f t="shared" si="70"/>
        <v>18</v>
      </c>
      <c r="T156" s="662"/>
      <c r="U156" s="571">
        <v>4</v>
      </c>
      <c r="V156" s="573">
        <v>2807.7966101694901</v>
      </c>
      <c r="W156" s="573">
        <v>701.94915254237253</v>
      </c>
      <c r="X156" s="571">
        <f t="shared" si="72"/>
        <v>18</v>
      </c>
      <c r="Y156" s="662"/>
      <c r="Z156" s="571">
        <v>4</v>
      </c>
      <c r="AA156" s="573">
        <v>2854.7368421052656</v>
      </c>
      <c r="AB156" s="573">
        <v>713.68421052631641</v>
      </c>
      <c r="AC156" s="571">
        <f t="shared" si="74"/>
        <v>18</v>
      </c>
      <c r="AD156" s="662"/>
      <c r="AE156" s="571">
        <v>4</v>
      </c>
      <c r="AF156" s="573">
        <v>2790.0000000000018</v>
      </c>
      <c r="AG156" s="573">
        <v>697.50000000000045</v>
      </c>
      <c r="AH156" s="571">
        <f t="shared" si="76"/>
        <v>18</v>
      </c>
      <c r="AI156" s="662"/>
      <c r="AJ156" s="571">
        <v>4</v>
      </c>
      <c r="AK156" s="573">
        <v>2814.1176470588225</v>
      </c>
      <c r="AL156" s="573">
        <v>703.52941176470563</v>
      </c>
      <c r="AM156" s="571">
        <f t="shared" si="78"/>
        <v>18</v>
      </c>
      <c r="AN156" s="662"/>
      <c r="AO156" s="571">
        <v>4</v>
      </c>
      <c r="AP156" s="573">
        <v>2819.0322580645152</v>
      </c>
      <c r="AQ156" s="573">
        <v>704.7580645161288</v>
      </c>
      <c r="AR156" s="571">
        <f t="shared" si="80"/>
        <v>19</v>
      </c>
      <c r="AS156" s="662"/>
      <c r="AT156" s="571">
        <v>4</v>
      </c>
      <c r="AU156" s="573">
        <v>2811.290322580644</v>
      </c>
      <c r="AV156" s="573">
        <v>702.822580645161</v>
      </c>
      <c r="AW156" s="571">
        <f t="shared" si="82"/>
        <v>19</v>
      </c>
      <c r="AX156" s="662"/>
      <c r="AZ156" s="372" t="e">
        <f t="shared" si="84"/>
        <v>#N/A</v>
      </c>
      <c r="BA156" s="662"/>
    </row>
    <row r="157" spans="2:53">
      <c r="B157" s="660"/>
      <c r="C157" s="275">
        <v>11</v>
      </c>
      <c r="D157" s="201" t="s">
        <v>569</v>
      </c>
      <c r="E157" s="201">
        <v>3</v>
      </c>
      <c r="F157" s="201">
        <v>2800</v>
      </c>
      <c r="G157" s="514">
        <v>933.33333333333337</v>
      </c>
      <c r="H157" s="662"/>
      <c r="I157" s="363">
        <f t="shared" si="86"/>
        <v>3</v>
      </c>
      <c r="J157" s="363">
        <f t="shared" si="87"/>
        <v>2829.5491706521607</v>
      </c>
      <c r="K157" s="199">
        <f t="shared" si="88"/>
        <v>943.1830568840536</v>
      </c>
      <c r="L157" s="634"/>
      <c r="M157" s="198">
        <f>RANK(K157, K$147:$K$176)</f>
        <v>10</v>
      </c>
      <c r="N157" s="652"/>
      <c r="O157" s="652"/>
      <c r="P157" s="571">
        <v>3</v>
      </c>
      <c r="Q157" s="573">
        <v>2656.0000000000027</v>
      </c>
      <c r="R157" s="573">
        <v>885.33333333333428</v>
      </c>
      <c r="S157" s="571">
        <f t="shared" si="70"/>
        <v>10</v>
      </c>
      <c r="T157" s="662"/>
      <c r="U157" s="571">
        <v>3</v>
      </c>
      <c r="V157" s="573">
        <v>2886.6666666666638</v>
      </c>
      <c r="W157" s="573">
        <v>962.22222222222126</v>
      </c>
      <c r="X157" s="571">
        <f t="shared" si="72"/>
        <v>10</v>
      </c>
      <c r="Y157" s="662"/>
      <c r="Z157" s="571">
        <v>3</v>
      </c>
      <c r="AA157" s="573">
        <v>2910.697674418604</v>
      </c>
      <c r="AB157" s="573">
        <v>970.23255813953472</v>
      </c>
      <c r="AC157" s="571">
        <f t="shared" si="74"/>
        <v>10</v>
      </c>
      <c r="AD157" s="662"/>
      <c r="AE157" s="571">
        <v>3</v>
      </c>
      <c r="AF157" s="573">
        <v>2735.3846153846139</v>
      </c>
      <c r="AG157" s="573">
        <v>911.79487179487126</v>
      </c>
      <c r="AH157" s="571">
        <f t="shared" si="76"/>
        <v>9</v>
      </c>
      <c r="AI157" s="662"/>
      <c r="AJ157" s="571">
        <v>3</v>
      </c>
      <c r="AK157" s="573">
        <v>2883.4285714285747</v>
      </c>
      <c r="AL157" s="573">
        <v>961.14285714285825</v>
      </c>
      <c r="AM157" s="571">
        <f t="shared" si="78"/>
        <v>9</v>
      </c>
      <c r="AN157" s="662"/>
      <c r="AO157" s="571">
        <v>3</v>
      </c>
      <c r="AP157" s="573">
        <v>2892</v>
      </c>
      <c r="AQ157" s="573">
        <v>964</v>
      </c>
      <c r="AR157" s="571">
        <f t="shared" si="80"/>
        <v>10</v>
      </c>
      <c r="AS157" s="662"/>
      <c r="AT157" s="571">
        <v>3</v>
      </c>
      <c r="AU157" s="573">
        <v>2842.666666666667</v>
      </c>
      <c r="AV157" s="573">
        <v>947.55555555555566</v>
      </c>
      <c r="AW157" s="571">
        <f t="shared" si="82"/>
        <v>10</v>
      </c>
      <c r="AX157" s="662"/>
      <c r="AZ157" s="372" t="e">
        <f t="shared" si="84"/>
        <v>#N/A</v>
      </c>
      <c r="BA157" s="662"/>
    </row>
    <row r="158" spans="2:53">
      <c r="B158" s="660"/>
      <c r="C158" s="275">
        <v>12</v>
      </c>
      <c r="D158" s="515" t="s">
        <v>735</v>
      </c>
      <c r="E158" s="201">
        <v>4</v>
      </c>
      <c r="F158" s="201">
        <v>2800</v>
      </c>
      <c r="G158" s="514">
        <v>700</v>
      </c>
      <c r="H158" s="662"/>
      <c r="I158" s="363">
        <f t="shared" si="86"/>
        <v>4</v>
      </c>
      <c r="J158" s="363">
        <f t="shared" si="87"/>
        <v>2783.7160365452633</v>
      </c>
      <c r="K158" s="199">
        <f t="shared" si="88"/>
        <v>695.92900913631581</v>
      </c>
      <c r="L158" s="634"/>
      <c r="M158" s="198">
        <f>RANK(K158, K$147:$K$176)</f>
        <v>20</v>
      </c>
      <c r="N158" s="652"/>
      <c r="O158" s="652"/>
      <c r="P158" s="571">
        <v>4</v>
      </c>
      <c r="Q158" s="573">
        <v>2602.0000000000027</v>
      </c>
      <c r="R158" s="573">
        <v>650.50000000000068</v>
      </c>
      <c r="S158" s="571">
        <f t="shared" si="70"/>
        <v>20</v>
      </c>
      <c r="T158" s="662"/>
      <c r="U158" s="571">
        <v>4</v>
      </c>
      <c r="V158" s="573">
        <v>2798.8888888888905</v>
      </c>
      <c r="W158" s="573">
        <v>699.72222222222263</v>
      </c>
      <c r="X158" s="571">
        <f t="shared" si="72"/>
        <v>19</v>
      </c>
      <c r="Y158" s="662"/>
      <c r="Z158" s="571">
        <v>4</v>
      </c>
      <c r="AA158" s="573">
        <v>2762.5531914893622</v>
      </c>
      <c r="AB158" s="573">
        <v>690.63829787234056</v>
      </c>
      <c r="AC158" s="571">
        <f t="shared" si="74"/>
        <v>20</v>
      </c>
      <c r="AD158" s="662"/>
      <c r="AE158" s="571">
        <v>4</v>
      </c>
      <c r="AF158" s="573">
        <v>2681.9999999999932</v>
      </c>
      <c r="AG158" s="573">
        <v>670.49999999999829</v>
      </c>
      <c r="AH158" s="571">
        <f t="shared" si="76"/>
        <v>19</v>
      </c>
      <c r="AI158" s="662"/>
      <c r="AJ158" s="571">
        <v>4</v>
      </c>
      <c r="AK158" s="573">
        <v>2763.3333333333371</v>
      </c>
      <c r="AL158" s="573">
        <v>690.83333333333428</v>
      </c>
      <c r="AM158" s="571">
        <f t="shared" si="78"/>
        <v>19</v>
      </c>
      <c r="AN158" s="662"/>
      <c r="AO158" s="571">
        <v>4</v>
      </c>
      <c r="AP158" s="573">
        <v>2932.4999999999991</v>
      </c>
      <c r="AQ158" s="573">
        <v>733.12499999999977</v>
      </c>
      <c r="AR158" s="571">
        <f t="shared" si="80"/>
        <v>17</v>
      </c>
      <c r="AS158" s="662"/>
      <c r="AT158" s="571">
        <v>4</v>
      </c>
      <c r="AU158" s="573">
        <v>2944.7368421052611</v>
      </c>
      <c r="AV158" s="573">
        <v>736.18421052631527</v>
      </c>
      <c r="AW158" s="571">
        <f t="shared" si="82"/>
        <v>18</v>
      </c>
      <c r="AX158" s="662"/>
      <c r="AZ158" s="372" t="e">
        <f t="shared" si="84"/>
        <v>#N/A</v>
      </c>
      <c r="BA158" s="662"/>
    </row>
    <row r="159" spans="2:53">
      <c r="B159" s="660"/>
      <c r="C159" s="275">
        <v>13</v>
      </c>
      <c r="D159" s="201" t="s">
        <v>602</v>
      </c>
      <c r="E159" s="201">
        <v>3</v>
      </c>
      <c r="F159" s="201">
        <v>3200</v>
      </c>
      <c r="G159" s="514">
        <v>1066.6666666666667</v>
      </c>
      <c r="H159" s="662"/>
      <c r="I159" s="363">
        <f t="shared" si="86"/>
        <v>3</v>
      </c>
      <c r="J159" s="363">
        <f t="shared" si="87"/>
        <v>3356.5131484031708</v>
      </c>
      <c r="K159" s="199">
        <f t="shared" si="88"/>
        <v>1118.8377161343903</v>
      </c>
      <c r="L159" s="634"/>
      <c r="M159" s="198">
        <f>RANK(K159, K$147:$K$176)</f>
        <v>1</v>
      </c>
      <c r="N159" s="652"/>
      <c r="O159" s="652"/>
      <c r="P159" s="571">
        <v>3</v>
      </c>
      <c r="Q159" s="573">
        <v>3148.2352941176432</v>
      </c>
      <c r="R159" s="573">
        <v>1049.4117647058811</v>
      </c>
      <c r="S159" s="571">
        <f t="shared" si="70"/>
        <v>3</v>
      </c>
      <c r="T159" s="662"/>
      <c r="U159" s="571">
        <v>3</v>
      </c>
      <c r="V159" s="573">
        <v>3484.0000000000127</v>
      </c>
      <c r="W159" s="573">
        <v>1161.3333333333376</v>
      </c>
      <c r="X159" s="571">
        <f t="shared" si="72"/>
        <v>1</v>
      </c>
      <c r="Y159" s="662"/>
      <c r="Z159" s="571">
        <v>3</v>
      </c>
      <c r="AA159" s="573">
        <v>3392.3076923076942</v>
      </c>
      <c r="AB159" s="573">
        <v>1130.7692307692314</v>
      </c>
      <c r="AC159" s="571">
        <f t="shared" si="74"/>
        <v>1</v>
      </c>
      <c r="AD159" s="662"/>
      <c r="AE159" s="571">
        <v>3</v>
      </c>
      <c r="AF159" s="573">
        <v>3080.8695652173915</v>
      </c>
      <c r="AG159" s="573">
        <v>1026.9565217391305</v>
      </c>
      <c r="AH159" s="571">
        <f t="shared" si="76"/>
        <v>4</v>
      </c>
      <c r="AI159" s="662"/>
      <c r="AJ159" s="571">
        <v>3</v>
      </c>
      <c r="AK159" s="573">
        <v>3542.9999999999841</v>
      </c>
      <c r="AL159" s="573">
        <v>1180.9999999999948</v>
      </c>
      <c r="AM159" s="571">
        <f t="shared" si="78"/>
        <v>3</v>
      </c>
      <c r="AN159" s="662"/>
      <c r="AO159" s="571">
        <v>3</v>
      </c>
      <c r="AP159" s="573">
        <v>3413.3333333333248</v>
      </c>
      <c r="AQ159" s="573">
        <v>1137.7777777777749</v>
      </c>
      <c r="AR159" s="571">
        <f t="shared" si="80"/>
        <v>2</v>
      </c>
      <c r="AS159" s="662"/>
      <c r="AT159" s="571">
        <v>3</v>
      </c>
      <c r="AU159" s="573">
        <v>3433.8461538461452</v>
      </c>
      <c r="AV159" s="573">
        <v>1144.6153846153818</v>
      </c>
      <c r="AW159" s="571">
        <f t="shared" si="82"/>
        <v>1</v>
      </c>
      <c r="AX159" s="662"/>
      <c r="AZ159" s="372" t="e">
        <f t="shared" si="84"/>
        <v>#N/A</v>
      </c>
      <c r="BA159" s="662"/>
    </row>
    <row r="160" spans="2:53">
      <c r="B160" s="660"/>
      <c r="C160" s="275">
        <v>14</v>
      </c>
      <c r="D160" s="201" t="s">
        <v>607</v>
      </c>
      <c r="E160" s="201">
        <v>3</v>
      </c>
      <c r="F160" s="201">
        <v>3200</v>
      </c>
      <c r="G160" s="514">
        <v>1066.6666666666667</v>
      </c>
      <c r="H160" s="662"/>
      <c r="I160" s="363">
        <f t="shared" si="86"/>
        <v>3</v>
      </c>
      <c r="J160" s="363">
        <f t="shared" si="87"/>
        <v>3309.7154169359987</v>
      </c>
      <c r="K160" s="199">
        <f t="shared" si="88"/>
        <v>1103.2384723119997</v>
      </c>
      <c r="L160" s="634"/>
      <c r="M160" s="198">
        <f>RANK(K160, K$147:$K$176)</f>
        <v>2</v>
      </c>
      <c r="N160" s="652"/>
      <c r="O160" s="652"/>
      <c r="P160" s="571">
        <v>3</v>
      </c>
      <c r="Q160" s="573">
        <v>2960.0000000000105</v>
      </c>
      <c r="R160" s="573">
        <v>986.66666666667015</v>
      </c>
      <c r="S160" s="571">
        <f t="shared" si="70"/>
        <v>7</v>
      </c>
      <c r="T160" s="662"/>
      <c r="U160" s="571">
        <v>3</v>
      </c>
      <c r="V160" s="573">
        <v>3382.4999999999782</v>
      </c>
      <c r="W160" s="573">
        <v>1127.4999999999927</v>
      </c>
      <c r="X160" s="571">
        <f t="shared" si="72"/>
        <v>2</v>
      </c>
      <c r="Y160" s="662"/>
      <c r="Z160" s="571">
        <v>3</v>
      </c>
      <c r="AA160" s="573">
        <v>3236.2500000000036</v>
      </c>
      <c r="AB160" s="573">
        <v>1078.7500000000011</v>
      </c>
      <c r="AC160" s="571">
        <f t="shared" si="74"/>
        <v>3</v>
      </c>
      <c r="AD160" s="662"/>
      <c r="AE160" s="571">
        <v>3</v>
      </c>
      <c r="AF160" s="573">
        <v>3013.8461538461461</v>
      </c>
      <c r="AG160" s="573">
        <v>1004.615384615382</v>
      </c>
      <c r="AH160" s="571">
        <f t="shared" si="76"/>
        <v>8</v>
      </c>
      <c r="AI160" s="662"/>
      <c r="AJ160" s="571">
        <v>3</v>
      </c>
      <c r="AK160" s="573">
        <v>3917.9999999999827</v>
      </c>
      <c r="AL160" s="573">
        <v>1305.9999999999943</v>
      </c>
      <c r="AM160" s="571">
        <f t="shared" si="78"/>
        <v>1</v>
      </c>
      <c r="AN160" s="662"/>
      <c r="AO160" s="571">
        <v>3</v>
      </c>
      <c r="AP160" s="573">
        <v>3547.9999999999936</v>
      </c>
      <c r="AQ160" s="573">
        <v>1182.6666666666645</v>
      </c>
      <c r="AR160" s="571">
        <f t="shared" si="80"/>
        <v>1</v>
      </c>
      <c r="AS160" s="662"/>
      <c r="AT160" s="571">
        <v>3</v>
      </c>
      <c r="AU160" s="573">
        <v>3109.4117647058783</v>
      </c>
      <c r="AV160" s="573">
        <v>1036.4705882352928</v>
      </c>
      <c r="AW160" s="571">
        <f t="shared" si="82"/>
        <v>7</v>
      </c>
      <c r="AX160" s="662"/>
      <c r="AZ160" s="372" t="e">
        <f t="shared" si="84"/>
        <v>#N/A</v>
      </c>
      <c r="BA160" s="662"/>
    </row>
    <row r="161" spans="2:53">
      <c r="B161" s="660"/>
      <c r="C161" s="275">
        <v>15</v>
      </c>
      <c r="D161" s="515" t="s">
        <v>613</v>
      </c>
      <c r="E161" s="201">
        <v>3</v>
      </c>
      <c r="F161" s="201">
        <v>3200</v>
      </c>
      <c r="G161" s="514">
        <v>1066.6666666666667</v>
      </c>
      <c r="H161" s="662"/>
      <c r="I161" s="363">
        <f t="shared" si="86"/>
        <v>3.1428571428571428</v>
      </c>
      <c r="J161" s="363">
        <f t="shared" si="87"/>
        <v>2925.3235294117694</v>
      </c>
      <c r="K161" s="199">
        <f t="shared" si="88"/>
        <v>941.15826330532343</v>
      </c>
      <c r="L161" s="634"/>
      <c r="M161" s="198">
        <f>RANK(K161, K$147:$K$176)</f>
        <v>11</v>
      </c>
      <c r="N161" s="652"/>
      <c r="O161" s="652"/>
      <c r="P161" s="571">
        <v>4</v>
      </c>
      <c r="Q161" s="573">
        <v>2851.7647058823632</v>
      </c>
      <c r="R161" s="573">
        <v>712.94117647059079</v>
      </c>
      <c r="S161" s="571">
        <f t="shared" si="70"/>
        <v>17</v>
      </c>
      <c r="T161" s="662"/>
      <c r="U161" s="571">
        <v>3</v>
      </c>
      <c r="V161" s="573">
        <v>3195.9999999999945</v>
      </c>
      <c r="W161" s="573">
        <v>1065.3333333333314</v>
      </c>
      <c r="X161" s="571">
        <f t="shared" si="72"/>
        <v>7</v>
      </c>
      <c r="Y161" s="662"/>
      <c r="Z161" s="571">
        <v>3</v>
      </c>
      <c r="AA161" s="573">
        <v>2956.0000000000105</v>
      </c>
      <c r="AB161" s="573">
        <v>985.33333333333678</v>
      </c>
      <c r="AC161" s="571">
        <f t="shared" si="74"/>
        <v>8</v>
      </c>
      <c r="AD161" s="662"/>
      <c r="AE161" s="571">
        <v>3</v>
      </c>
      <c r="AF161" s="573">
        <v>2504.0000000000023</v>
      </c>
      <c r="AG161" s="573">
        <v>834.66666666666742</v>
      </c>
      <c r="AH161" s="571">
        <f t="shared" si="76"/>
        <v>10</v>
      </c>
      <c r="AI161" s="662"/>
      <c r="AJ161" s="571">
        <v>3</v>
      </c>
      <c r="AK161" s="573">
        <v>2810.0000000000009</v>
      </c>
      <c r="AL161" s="573">
        <v>936.66666666666697</v>
      </c>
      <c r="AM161" s="571">
        <f t="shared" si="78"/>
        <v>10</v>
      </c>
      <c r="AN161" s="662"/>
      <c r="AO161" s="571">
        <v>3</v>
      </c>
      <c r="AP161" s="573">
        <v>2947.5000000000036</v>
      </c>
      <c r="AQ161" s="573">
        <v>982.50000000000125</v>
      </c>
      <c r="AR161" s="571">
        <f t="shared" si="80"/>
        <v>8</v>
      </c>
      <c r="AS161" s="662"/>
      <c r="AT161" s="571">
        <v>3</v>
      </c>
      <c r="AU161" s="573">
        <v>3212.0000000000114</v>
      </c>
      <c r="AV161" s="573">
        <v>1070.6666666666704</v>
      </c>
      <c r="AW161" s="571">
        <f t="shared" si="82"/>
        <v>5</v>
      </c>
      <c r="AX161" s="662"/>
      <c r="AZ161" s="372" t="e">
        <f t="shared" si="84"/>
        <v>#N/A</v>
      </c>
      <c r="BA161" s="662"/>
    </row>
    <row r="162" spans="2:53">
      <c r="B162" s="660"/>
      <c r="C162" s="275">
        <v>16</v>
      </c>
      <c r="D162" s="201" t="s">
        <v>708</v>
      </c>
      <c r="E162" s="201">
        <v>4</v>
      </c>
      <c r="F162" s="201">
        <v>3200</v>
      </c>
      <c r="G162" s="514">
        <v>800</v>
      </c>
      <c r="H162" s="662"/>
      <c r="I162" s="363">
        <f t="shared" si="86"/>
        <v>4</v>
      </c>
      <c r="J162" s="363">
        <f t="shared" si="87"/>
        <v>3240.0263951734582</v>
      </c>
      <c r="K162" s="199">
        <f t="shared" si="88"/>
        <v>810.00659879336456</v>
      </c>
      <c r="L162" s="634"/>
      <c r="M162" s="198">
        <f>RANK(K162, K$147:$K$176)</f>
        <v>13</v>
      </c>
      <c r="N162" s="652"/>
      <c r="O162" s="652"/>
      <c r="P162" s="571">
        <v>4</v>
      </c>
      <c r="Q162" s="573">
        <v>3095.0000000000109</v>
      </c>
      <c r="R162" s="573">
        <v>773.75000000000273</v>
      </c>
      <c r="S162" s="571">
        <f t="shared" si="70"/>
        <v>13</v>
      </c>
      <c r="T162" s="662"/>
      <c r="U162" s="571">
        <v>4</v>
      </c>
      <c r="V162" s="573">
        <v>2955.0000000000105</v>
      </c>
      <c r="W162" s="573">
        <v>738.75000000000261</v>
      </c>
      <c r="X162" s="571">
        <f t="shared" si="72"/>
        <v>16</v>
      </c>
      <c r="Y162" s="662"/>
      <c r="Z162" s="571">
        <v>4</v>
      </c>
      <c r="AA162" s="573">
        <v>3529.9999999999973</v>
      </c>
      <c r="AB162" s="573">
        <v>882.49999999999932</v>
      </c>
      <c r="AC162" s="571">
        <f t="shared" si="74"/>
        <v>14</v>
      </c>
      <c r="AD162" s="662"/>
      <c r="AE162" s="571">
        <v>4</v>
      </c>
      <c r="AF162" s="573">
        <v>3007.5000000000105</v>
      </c>
      <c r="AG162" s="573">
        <v>751.87500000000261</v>
      </c>
      <c r="AH162" s="571">
        <f t="shared" si="76"/>
        <v>14</v>
      </c>
      <c r="AI162" s="662"/>
      <c r="AJ162" s="571">
        <v>4</v>
      </c>
      <c r="AK162" s="573">
        <v>3323.0769230769142</v>
      </c>
      <c r="AL162" s="573">
        <v>830.76923076922856</v>
      </c>
      <c r="AM162" s="571">
        <f t="shared" si="78"/>
        <v>12</v>
      </c>
      <c r="AN162" s="662"/>
      <c r="AO162" s="571">
        <v>4</v>
      </c>
      <c r="AP162" s="573">
        <v>3532.9411764705924</v>
      </c>
      <c r="AQ162" s="573">
        <v>883.2352941176481</v>
      </c>
      <c r="AR162" s="571">
        <f t="shared" si="80"/>
        <v>11</v>
      </c>
      <c r="AS162" s="662"/>
      <c r="AT162" s="571">
        <v>4</v>
      </c>
      <c r="AU162" s="573">
        <v>3236.6666666666711</v>
      </c>
      <c r="AV162" s="573">
        <v>809.16666666666777</v>
      </c>
      <c r="AW162" s="571">
        <f t="shared" si="82"/>
        <v>13</v>
      </c>
      <c r="AX162" s="662"/>
      <c r="AZ162" s="372" t="e">
        <f t="shared" si="84"/>
        <v>#N/A</v>
      </c>
      <c r="BA162" s="662"/>
    </row>
    <row r="163" spans="2:53">
      <c r="B163" s="660"/>
      <c r="C163" s="275">
        <v>17</v>
      </c>
      <c r="D163" s="201" t="s">
        <v>783</v>
      </c>
      <c r="E163" s="201">
        <v>4</v>
      </c>
      <c r="F163" s="201">
        <v>2800</v>
      </c>
      <c r="G163" s="514">
        <v>700</v>
      </c>
      <c r="H163" s="662"/>
      <c r="I163" s="363">
        <f t="shared" si="86"/>
        <v>4</v>
      </c>
      <c r="J163" s="363">
        <f t="shared" si="87"/>
        <v>2989.9843064118218</v>
      </c>
      <c r="K163" s="199">
        <f t="shared" si="88"/>
        <v>747.49607660295544</v>
      </c>
      <c r="L163" s="634"/>
      <c r="M163" s="198">
        <f>RANK(K163, K$147:$K$176)</f>
        <v>17</v>
      </c>
      <c r="N163" s="652"/>
      <c r="O163" s="652"/>
      <c r="P163" s="571">
        <v>4</v>
      </c>
      <c r="Q163" s="573">
        <v>2825.2500000000018</v>
      </c>
      <c r="R163" s="573">
        <v>706.31250000000045</v>
      </c>
      <c r="S163" s="571">
        <f t="shared" si="70"/>
        <v>19</v>
      </c>
      <c r="T163" s="662"/>
      <c r="U163" s="571">
        <v>4</v>
      </c>
      <c r="V163" s="573">
        <v>2994.6666666666665</v>
      </c>
      <c r="W163" s="573">
        <v>748.66666666666663</v>
      </c>
      <c r="X163" s="571">
        <f t="shared" si="72"/>
        <v>15</v>
      </c>
      <c r="Y163" s="662"/>
      <c r="Z163" s="571">
        <v>4</v>
      </c>
      <c r="AA163" s="573">
        <v>3065.7142857142849</v>
      </c>
      <c r="AB163" s="573">
        <v>766.42857142857122</v>
      </c>
      <c r="AC163" s="571">
        <f t="shared" si="74"/>
        <v>17</v>
      </c>
      <c r="AD163" s="662"/>
      <c r="AE163" s="571">
        <v>4</v>
      </c>
      <c r="AF163" s="573">
        <v>2974.4999999999991</v>
      </c>
      <c r="AG163" s="573">
        <v>743.62499999999977</v>
      </c>
      <c r="AH163" s="571">
        <f t="shared" si="76"/>
        <v>15</v>
      </c>
      <c r="AI163" s="662"/>
      <c r="AJ163" s="571">
        <v>4</v>
      </c>
      <c r="AK163" s="573">
        <v>2971.232876712329</v>
      </c>
      <c r="AL163" s="573">
        <v>742.80821917808225</v>
      </c>
      <c r="AM163" s="571">
        <f t="shared" si="78"/>
        <v>17</v>
      </c>
      <c r="AN163" s="662"/>
      <c r="AO163" s="571">
        <v>4</v>
      </c>
      <c r="AP163" s="573">
        <v>3038.5263157894719</v>
      </c>
      <c r="AQ163" s="573">
        <v>759.63157894736798</v>
      </c>
      <c r="AR163" s="571">
        <f t="shared" si="80"/>
        <v>16</v>
      </c>
      <c r="AS163" s="662"/>
      <c r="AT163" s="571">
        <v>4</v>
      </c>
      <c r="AU163" s="573">
        <v>3059.9999999999991</v>
      </c>
      <c r="AV163" s="573">
        <v>764.99999999999977</v>
      </c>
      <c r="AW163" s="571">
        <f t="shared" si="82"/>
        <v>17</v>
      </c>
      <c r="AX163" s="662"/>
      <c r="AZ163" s="372" t="e">
        <f t="shared" si="84"/>
        <v>#N/A</v>
      </c>
      <c r="BA163" s="662"/>
    </row>
    <row r="164" spans="2:53">
      <c r="B164" s="660"/>
      <c r="C164" s="275">
        <v>18</v>
      </c>
      <c r="D164" s="515" t="s">
        <v>566</v>
      </c>
      <c r="E164" s="201">
        <v>4</v>
      </c>
      <c r="F164" s="201">
        <v>2800</v>
      </c>
      <c r="G164" s="514">
        <v>700</v>
      </c>
      <c r="H164" s="662"/>
      <c r="I164" s="363">
        <f t="shared" si="86"/>
        <v>3</v>
      </c>
      <c r="J164" s="363">
        <f t="shared" si="87"/>
        <v>2967.0659657802521</v>
      </c>
      <c r="K164" s="199">
        <f t="shared" si="88"/>
        <v>989.0219885934174</v>
      </c>
      <c r="L164" s="634"/>
      <c r="M164" s="198">
        <f>RANK(K164, K$147:$K$176)</f>
        <v>9</v>
      </c>
      <c r="N164" s="652"/>
      <c r="O164" s="652"/>
      <c r="P164" s="571">
        <v>3</v>
      </c>
      <c r="Q164" s="573">
        <v>2740.9090909091005</v>
      </c>
      <c r="R164" s="573">
        <v>913.63636363636681</v>
      </c>
      <c r="S164" s="571">
        <f t="shared" si="70"/>
        <v>9</v>
      </c>
      <c r="T164" s="662"/>
      <c r="U164" s="571">
        <v>3</v>
      </c>
      <c r="V164" s="573">
        <v>2867.9999999999873</v>
      </c>
      <c r="W164" s="573">
        <v>955.99999999999579</v>
      </c>
      <c r="X164" s="571">
        <f t="shared" si="72"/>
        <v>11</v>
      </c>
      <c r="Y164" s="662"/>
      <c r="Z164" s="571">
        <v>3</v>
      </c>
      <c r="AA164" s="573">
        <v>2897.9999999999945</v>
      </c>
      <c r="AB164" s="573">
        <v>965.99999999999818</v>
      </c>
      <c r="AC164" s="571">
        <f t="shared" si="74"/>
        <v>11</v>
      </c>
      <c r="AD164" s="662"/>
      <c r="AE164" s="571">
        <v>3</v>
      </c>
      <c r="AF164" s="573">
        <v>3051.111111111104</v>
      </c>
      <c r="AG164" s="573">
        <v>1017.0370370370347</v>
      </c>
      <c r="AH164" s="571">
        <f t="shared" si="76"/>
        <v>7</v>
      </c>
      <c r="AI164" s="662"/>
      <c r="AJ164" s="571">
        <v>3</v>
      </c>
      <c r="AK164" s="573">
        <v>3160.7142857142971</v>
      </c>
      <c r="AL164" s="573">
        <v>1053.5714285714323</v>
      </c>
      <c r="AM164" s="571">
        <f t="shared" si="78"/>
        <v>8</v>
      </c>
      <c r="AN164" s="662"/>
      <c r="AO164" s="571">
        <v>3</v>
      </c>
      <c r="AP164" s="573">
        <v>2972.7272727272689</v>
      </c>
      <c r="AQ164" s="573">
        <v>990.90909090908963</v>
      </c>
      <c r="AR164" s="571">
        <f t="shared" si="80"/>
        <v>7</v>
      </c>
      <c r="AS164" s="662"/>
      <c r="AT164" s="571">
        <v>3</v>
      </c>
      <c r="AU164" s="573">
        <v>3078.0000000000109</v>
      </c>
      <c r="AV164" s="573">
        <v>1026.0000000000036</v>
      </c>
      <c r="AW164" s="571">
        <f t="shared" si="82"/>
        <v>8</v>
      </c>
      <c r="AX164" s="662"/>
      <c r="AZ164" s="372" t="e">
        <f t="shared" si="84"/>
        <v>#N/A</v>
      </c>
      <c r="BA164" s="662"/>
    </row>
    <row r="165" spans="2:53">
      <c r="B165" s="660"/>
      <c r="C165" s="275">
        <v>19</v>
      </c>
      <c r="D165" s="515" t="s">
        <v>567</v>
      </c>
      <c r="E165" s="201">
        <v>4</v>
      </c>
      <c r="F165" s="201">
        <v>2800</v>
      </c>
      <c r="G165" s="514">
        <v>700</v>
      </c>
      <c r="H165" s="662"/>
      <c r="I165" s="363">
        <f t="shared" si="86"/>
        <v>3</v>
      </c>
      <c r="J165" s="363">
        <f t="shared" si="87"/>
        <v>3050.5237526448659</v>
      </c>
      <c r="K165" s="199">
        <f t="shared" si="88"/>
        <v>1016.8412508816219</v>
      </c>
      <c r="L165" s="634"/>
      <c r="M165" s="198">
        <f>RANK(K165, K$147:$K$176)</f>
        <v>8</v>
      </c>
      <c r="N165" s="652"/>
      <c r="O165" s="652"/>
      <c r="P165" s="571">
        <v>3</v>
      </c>
      <c r="Q165" s="573">
        <v>2918.9999999999873</v>
      </c>
      <c r="R165" s="573">
        <v>972.99999999999579</v>
      </c>
      <c r="S165" s="571">
        <f t="shared" si="70"/>
        <v>8</v>
      </c>
      <c r="T165" s="662"/>
      <c r="U165" s="571">
        <v>3</v>
      </c>
      <c r="V165" s="573">
        <v>2975.9999999999868</v>
      </c>
      <c r="W165" s="573">
        <v>991.99999999999557</v>
      </c>
      <c r="X165" s="571">
        <f t="shared" si="72"/>
        <v>9</v>
      </c>
      <c r="Y165" s="662"/>
      <c r="Z165" s="571">
        <v>3</v>
      </c>
      <c r="AA165" s="573">
        <v>2926.1538461538566</v>
      </c>
      <c r="AB165" s="573">
        <v>975.38461538461888</v>
      </c>
      <c r="AC165" s="571">
        <f t="shared" si="74"/>
        <v>9</v>
      </c>
      <c r="AD165" s="662"/>
      <c r="AE165" s="571">
        <v>3</v>
      </c>
      <c r="AF165" s="573">
        <v>3200.8695652173801</v>
      </c>
      <c r="AG165" s="573">
        <v>1066.9565217391266</v>
      </c>
      <c r="AH165" s="571">
        <f t="shared" si="76"/>
        <v>1</v>
      </c>
      <c r="AI165" s="662"/>
      <c r="AJ165" s="571">
        <v>3</v>
      </c>
      <c r="AK165" s="573">
        <v>3322.49999999999</v>
      </c>
      <c r="AL165" s="573">
        <v>1107.4999999999966</v>
      </c>
      <c r="AM165" s="571">
        <f t="shared" si="78"/>
        <v>4</v>
      </c>
      <c r="AN165" s="662"/>
      <c r="AO165" s="571">
        <v>3</v>
      </c>
      <c r="AP165" s="573">
        <v>2932.0000000000105</v>
      </c>
      <c r="AQ165" s="573">
        <v>977.33333333333678</v>
      </c>
      <c r="AR165" s="571">
        <f t="shared" si="80"/>
        <v>9</v>
      </c>
      <c r="AS165" s="662"/>
      <c r="AT165" s="571">
        <v>3</v>
      </c>
      <c r="AU165" s="573">
        <v>3077.1428571428505</v>
      </c>
      <c r="AV165" s="573">
        <v>1025.7142857142835</v>
      </c>
      <c r="AW165" s="571">
        <f t="shared" si="82"/>
        <v>9</v>
      </c>
      <c r="AX165" s="662"/>
      <c r="AZ165" s="372" t="e">
        <f t="shared" si="84"/>
        <v>#N/A</v>
      </c>
      <c r="BA165" s="662"/>
    </row>
    <row r="166" spans="2:53">
      <c r="B166" s="660"/>
      <c r="C166" s="275">
        <v>20</v>
      </c>
      <c r="D166" s="515" t="s">
        <v>568</v>
      </c>
      <c r="E166" s="201">
        <v>4</v>
      </c>
      <c r="F166" s="201">
        <v>2200</v>
      </c>
      <c r="G166" s="514">
        <v>550</v>
      </c>
      <c r="H166" s="662"/>
      <c r="I166" s="363">
        <f t="shared" si="86"/>
        <v>3</v>
      </c>
      <c r="J166" s="363">
        <f t="shared" si="87"/>
        <v>2241.7477459883498</v>
      </c>
      <c r="K166" s="199">
        <f t="shared" si="88"/>
        <v>747.24924866278343</v>
      </c>
      <c r="L166" s="634"/>
      <c r="M166" s="198">
        <f>RANK(K166, K$147:$K$176)</f>
        <v>18</v>
      </c>
      <c r="N166" s="652"/>
      <c r="O166" s="652"/>
      <c r="P166" s="571">
        <v>3</v>
      </c>
      <c r="Q166" s="573">
        <v>2141.8181818181793</v>
      </c>
      <c r="R166" s="573">
        <v>713.93939393939309</v>
      </c>
      <c r="S166" s="571">
        <f t="shared" si="70"/>
        <v>16</v>
      </c>
      <c r="T166" s="662"/>
      <c r="U166" s="571">
        <v>3</v>
      </c>
      <c r="V166" s="573">
        <v>2214.0000000000082</v>
      </c>
      <c r="W166" s="573">
        <v>738.00000000000273</v>
      </c>
      <c r="X166" s="571">
        <f t="shared" si="72"/>
        <v>17</v>
      </c>
      <c r="Y166" s="662"/>
      <c r="Z166" s="571">
        <v>3</v>
      </c>
      <c r="AA166" s="573">
        <v>2130.0000000000077</v>
      </c>
      <c r="AB166" s="573">
        <v>710.00000000000261</v>
      </c>
      <c r="AC166" s="571">
        <f t="shared" si="74"/>
        <v>19</v>
      </c>
      <c r="AD166" s="662"/>
      <c r="AE166" s="571">
        <v>3</v>
      </c>
      <c r="AF166" s="573">
        <v>2354.9999999999968</v>
      </c>
      <c r="AG166" s="573">
        <v>784.99999999999898</v>
      </c>
      <c r="AH166" s="571">
        <f t="shared" si="76"/>
        <v>12</v>
      </c>
      <c r="AI166" s="662"/>
      <c r="AJ166" s="571">
        <v>3</v>
      </c>
      <c r="AK166" s="573">
        <v>2308.3333333333412</v>
      </c>
      <c r="AL166" s="573">
        <v>769.44444444444707</v>
      </c>
      <c r="AM166" s="571">
        <f t="shared" si="78"/>
        <v>15</v>
      </c>
      <c r="AN166" s="662"/>
      <c r="AO166" s="571">
        <v>3</v>
      </c>
      <c r="AP166" s="573">
        <v>2185.7142857142767</v>
      </c>
      <c r="AQ166" s="573">
        <v>728.5714285714256</v>
      </c>
      <c r="AR166" s="571">
        <f t="shared" si="80"/>
        <v>18</v>
      </c>
      <c r="AS166" s="662"/>
      <c r="AT166" s="571">
        <v>3</v>
      </c>
      <c r="AU166" s="573">
        <v>2357.3684210526399</v>
      </c>
      <c r="AV166" s="573">
        <v>785.78947368421325</v>
      </c>
      <c r="AW166" s="571">
        <f t="shared" si="82"/>
        <v>16</v>
      </c>
      <c r="AX166" s="662"/>
      <c r="AZ166" s="372" t="e">
        <f t="shared" si="84"/>
        <v>#N/A</v>
      </c>
      <c r="BA166" s="662"/>
    </row>
    <row r="167" spans="2:53">
      <c r="B167" s="660"/>
      <c r="C167" s="275">
        <v>21</v>
      </c>
      <c r="D167" s="515" t="s">
        <v>630</v>
      </c>
      <c r="E167" s="201">
        <v>4</v>
      </c>
      <c r="F167" s="201">
        <v>2200</v>
      </c>
      <c r="G167" s="514">
        <v>550</v>
      </c>
      <c r="H167" s="662"/>
      <c r="I167" s="363">
        <f t="shared" si="86"/>
        <v>4</v>
      </c>
      <c r="J167" s="363">
        <f t="shared" si="87"/>
        <v>2262.336134453778</v>
      </c>
      <c r="K167" s="199">
        <f t="shared" si="88"/>
        <v>565.58403361344449</v>
      </c>
      <c r="L167" s="634"/>
      <c r="M167" s="198">
        <f>RANK(K167, K$147:$K$176)</f>
        <v>21</v>
      </c>
      <c r="N167" s="652"/>
      <c r="O167" s="652"/>
      <c r="P167" s="571">
        <v>4</v>
      </c>
      <c r="Q167" s="573">
        <v>2152.7999999999938</v>
      </c>
      <c r="R167" s="573">
        <v>538.19999999999845</v>
      </c>
      <c r="S167" s="571">
        <f t="shared" si="70"/>
        <v>21</v>
      </c>
      <c r="T167" s="662"/>
      <c r="U167" s="571">
        <v>4</v>
      </c>
      <c r="V167" s="573">
        <v>2087.9999999999936</v>
      </c>
      <c r="W167" s="573">
        <v>521.99999999999841</v>
      </c>
      <c r="X167" s="571">
        <f t="shared" si="72"/>
        <v>21</v>
      </c>
      <c r="Y167" s="662"/>
      <c r="Z167" s="571">
        <v>4</v>
      </c>
      <c r="AA167" s="573">
        <v>2200.0000000000082</v>
      </c>
      <c r="AB167" s="573">
        <v>550.00000000000205</v>
      </c>
      <c r="AC167" s="571">
        <f t="shared" si="74"/>
        <v>21</v>
      </c>
      <c r="AD167" s="662"/>
      <c r="AE167" s="571">
        <v>4</v>
      </c>
      <c r="AF167" s="573">
        <v>2327.9999999999936</v>
      </c>
      <c r="AG167" s="573">
        <v>581.99999999999841</v>
      </c>
      <c r="AH167" s="571">
        <f t="shared" si="76"/>
        <v>20</v>
      </c>
      <c r="AI167" s="662"/>
      <c r="AJ167" s="571">
        <v>4</v>
      </c>
      <c r="AK167" s="573">
        <v>2551.199999999993</v>
      </c>
      <c r="AL167" s="573">
        <v>637.79999999999825</v>
      </c>
      <c r="AM167" s="571">
        <f t="shared" si="78"/>
        <v>20</v>
      </c>
      <c r="AN167" s="662"/>
      <c r="AO167" s="571">
        <v>4</v>
      </c>
      <c r="AP167" s="573">
        <v>2172.352941176468</v>
      </c>
      <c r="AQ167" s="573">
        <v>543.088235294117</v>
      </c>
      <c r="AR167" s="571">
        <f t="shared" si="80"/>
        <v>20</v>
      </c>
      <c r="AS167" s="662"/>
      <c r="AT167" s="571">
        <v>4</v>
      </c>
      <c r="AU167" s="573">
        <v>2343.9999999999959</v>
      </c>
      <c r="AV167" s="573">
        <v>585.99999999999898</v>
      </c>
      <c r="AW167" s="571">
        <f t="shared" si="82"/>
        <v>20</v>
      </c>
      <c r="AX167" s="662"/>
      <c r="AZ167" s="372" t="e">
        <f t="shared" si="84"/>
        <v>#N/A</v>
      </c>
      <c r="BA167" s="662"/>
    </row>
    <row r="168" spans="2:53">
      <c r="B168" s="660"/>
      <c r="C168" s="275">
        <v>22</v>
      </c>
      <c r="D168" s="515" t="s">
        <v>633</v>
      </c>
      <c r="E168" s="201">
        <v>5</v>
      </c>
      <c r="F168" s="201">
        <v>2200</v>
      </c>
      <c r="G168" s="514">
        <v>333.33333333333331</v>
      </c>
      <c r="H168" s="662"/>
      <c r="I168" s="363">
        <f t="shared" si="86"/>
        <v>5</v>
      </c>
      <c r="J168" s="363">
        <f t="shared" si="87"/>
        <v>1963.4642857142928</v>
      </c>
      <c r="K168" s="199">
        <f t="shared" si="88"/>
        <v>392.69285714285854</v>
      </c>
      <c r="L168" s="634"/>
      <c r="M168" s="198">
        <f>RANK(K168, K$147:$K$176)</f>
        <v>22</v>
      </c>
      <c r="N168" s="652"/>
      <c r="O168" s="652"/>
      <c r="P168" s="571">
        <v>5</v>
      </c>
      <c r="Q168" s="573">
        <v>2091.4285714285788</v>
      </c>
      <c r="R168" s="573">
        <v>418.28571428571576</v>
      </c>
      <c r="S168" s="571">
        <f t="shared" si="70"/>
        <v>22</v>
      </c>
      <c r="T168" s="662"/>
      <c r="U168" s="571">
        <v>5</v>
      </c>
      <c r="V168" s="573">
        <v>1852.5000000000066</v>
      </c>
      <c r="W168" s="573">
        <v>370.50000000000131</v>
      </c>
      <c r="X168" s="571">
        <f t="shared" si="72"/>
        <v>23</v>
      </c>
      <c r="Y168" s="662"/>
      <c r="Z168" s="571">
        <v>5</v>
      </c>
      <c r="AA168" s="573">
        <v>2006.2500000000073</v>
      </c>
      <c r="AB168" s="573">
        <v>401.25000000000148</v>
      </c>
      <c r="AC168" s="571">
        <f t="shared" si="74"/>
        <v>22</v>
      </c>
      <c r="AD168" s="662"/>
      <c r="AE168" s="571">
        <v>5</v>
      </c>
      <c r="AF168" s="573">
        <v>1967.1428571428644</v>
      </c>
      <c r="AG168" s="573">
        <v>393.42857142857287</v>
      </c>
      <c r="AH168" s="571">
        <f t="shared" si="76"/>
        <v>21</v>
      </c>
      <c r="AI168" s="662"/>
      <c r="AJ168" s="571">
        <v>5</v>
      </c>
      <c r="AK168" s="573">
        <v>1900.0000000000066</v>
      </c>
      <c r="AL168" s="573">
        <v>380.00000000000131</v>
      </c>
      <c r="AM168" s="571">
        <f t="shared" si="78"/>
        <v>22</v>
      </c>
      <c r="AN168" s="662"/>
      <c r="AO168" s="571" t="s">
        <v>585</v>
      </c>
      <c r="AP168" s="573" t="s">
        <v>585</v>
      </c>
      <c r="AQ168" s="573" t="s">
        <v>585</v>
      </c>
      <c r="AR168" s="571" t="e">
        <f t="shared" si="80"/>
        <v>#VALUE!</v>
      </c>
      <c r="AS168" s="662"/>
      <c r="AT168" s="571" t="s">
        <v>585</v>
      </c>
      <c r="AU168" s="573" t="s">
        <v>585</v>
      </c>
      <c r="AV168" s="573" t="s">
        <v>585</v>
      </c>
      <c r="AW168" s="571" t="e">
        <f t="shared" si="82"/>
        <v>#VALUE!</v>
      </c>
      <c r="AX168" s="662"/>
      <c r="AZ168" s="372" t="e">
        <f t="shared" si="84"/>
        <v>#N/A</v>
      </c>
      <c r="BA168" s="662"/>
    </row>
    <row r="169" spans="2:53">
      <c r="B169" s="660"/>
      <c r="C169" s="275">
        <v>23</v>
      </c>
      <c r="D169" s="201" t="s">
        <v>634</v>
      </c>
      <c r="E169" s="201">
        <v>5</v>
      </c>
      <c r="F169" s="201">
        <v>2200</v>
      </c>
      <c r="G169" s="514">
        <v>333.33333333333331</v>
      </c>
      <c r="H169" s="662"/>
      <c r="I169" s="363">
        <f t="shared" si="86"/>
        <v>5</v>
      </c>
      <c r="J169" s="363">
        <f t="shared" si="87"/>
        <v>1961.7346938775579</v>
      </c>
      <c r="K169" s="199">
        <f t="shared" si="88"/>
        <v>392.3469387755116</v>
      </c>
      <c r="L169" s="634"/>
      <c r="M169" s="198">
        <f>RANK(K169, K$147:$K$176)</f>
        <v>23</v>
      </c>
      <c r="N169" s="652"/>
      <c r="O169" s="652"/>
      <c r="P169" s="571">
        <v>5</v>
      </c>
      <c r="Q169" s="573">
        <v>2040.0000000000073</v>
      </c>
      <c r="R169" s="573">
        <v>408.00000000000148</v>
      </c>
      <c r="S169" s="571">
        <f t="shared" si="70"/>
        <v>23</v>
      </c>
      <c r="T169" s="662"/>
      <c r="U169" s="571">
        <v>5</v>
      </c>
      <c r="V169" s="573">
        <v>1905.0000000000068</v>
      </c>
      <c r="W169" s="573">
        <v>381.00000000000136</v>
      </c>
      <c r="X169" s="571">
        <f t="shared" si="72"/>
        <v>22</v>
      </c>
      <c r="Y169" s="662"/>
      <c r="Z169" s="571">
        <v>5</v>
      </c>
      <c r="AA169" s="573">
        <v>1928.5714285714355</v>
      </c>
      <c r="AB169" s="573">
        <v>385.71428571428709</v>
      </c>
      <c r="AC169" s="571">
        <f t="shared" si="74"/>
        <v>23</v>
      </c>
      <c r="AD169" s="662"/>
      <c r="AE169" s="571">
        <v>5</v>
      </c>
      <c r="AF169" s="573">
        <v>1860.0000000000066</v>
      </c>
      <c r="AG169" s="573">
        <v>372.00000000000131</v>
      </c>
      <c r="AH169" s="571">
        <f t="shared" si="76"/>
        <v>22</v>
      </c>
      <c r="AI169" s="662"/>
      <c r="AJ169" s="571">
        <v>5</v>
      </c>
      <c r="AK169" s="573">
        <v>2048.5714285714362</v>
      </c>
      <c r="AL169" s="573">
        <v>409.71428571428726</v>
      </c>
      <c r="AM169" s="571">
        <f t="shared" si="78"/>
        <v>21</v>
      </c>
      <c r="AN169" s="662"/>
      <c r="AO169" s="571">
        <v>5</v>
      </c>
      <c r="AP169" s="573">
        <v>1940.000000000007</v>
      </c>
      <c r="AQ169" s="573">
        <v>388.00000000000142</v>
      </c>
      <c r="AR169" s="571">
        <f t="shared" si="80"/>
        <v>21</v>
      </c>
      <c r="AS169" s="662"/>
      <c r="AT169" s="571">
        <v>5</v>
      </c>
      <c r="AU169" s="573">
        <v>2010.0000000000073</v>
      </c>
      <c r="AV169" s="573">
        <v>402.00000000000148</v>
      </c>
      <c r="AW169" s="571">
        <f t="shared" si="82"/>
        <v>21</v>
      </c>
      <c r="AX169" s="662"/>
      <c r="AZ169" s="372" t="e">
        <f t="shared" si="84"/>
        <v>#N/A</v>
      </c>
      <c r="BA169" s="662"/>
    </row>
    <row r="170" spans="2:53">
      <c r="B170" s="660"/>
      <c r="C170" s="275">
        <v>24</v>
      </c>
      <c r="D170" s="515" t="s">
        <v>594</v>
      </c>
      <c r="E170" s="201">
        <v>8</v>
      </c>
      <c r="F170" s="201">
        <v>1500</v>
      </c>
      <c r="G170" s="514">
        <v>187.5</v>
      </c>
      <c r="H170" s="662"/>
      <c r="I170" s="363">
        <f t="shared" si="86"/>
        <v>8.5714285714285712</v>
      </c>
      <c r="J170" s="363">
        <f t="shared" si="87"/>
        <v>1437.7401219235494</v>
      </c>
      <c r="K170" s="199">
        <f t="shared" si="88"/>
        <v>168.83717910598989</v>
      </c>
      <c r="L170" s="634"/>
      <c r="M170" s="198">
        <f>RANK(K170, K$147:$K$176)</f>
        <v>24</v>
      </c>
      <c r="N170" s="652"/>
      <c r="O170" s="652"/>
      <c r="P170" s="571">
        <v>10</v>
      </c>
      <c r="Q170" s="573">
        <v>1515.2941176470595</v>
      </c>
      <c r="R170" s="573">
        <v>151.52941176470594</v>
      </c>
      <c r="S170" s="571">
        <f t="shared" si="70"/>
        <v>24</v>
      </c>
      <c r="T170" s="662"/>
      <c r="U170" s="571">
        <v>10</v>
      </c>
      <c r="V170" s="573">
        <v>1531.2000000000005</v>
      </c>
      <c r="W170" s="573">
        <v>153.12000000000006</v>
      </c>
      <c r="X170" s="571">
        <f t="shared" si="72"/>
        <v>24</v>
      </c>
      <c r="Y170" s="662"/>
      <c r="Z170" s="571">
        <v>8</v>
      </c>
      <c r="AA170" s="573">
        <v>1392.5373134328374</v>
      </c>
      <c r="AB170" s="573">
        <v>174.06716417910468</v>
      </c>
      <c r="AC170" s="571">
        <f t="shared" si="74"/>
        <v>24</v>
      </c>
      <c r="AD170" s="662"/>
      <c r="AE170" s="571">
        <v>8</v>
      </c>
      <c r="AF170" s="573">
        <v>1401.2903225806465</v>
      </c>
      <c r="AG170" s="573">
        <v>175.16129032258081</v>
      </c>
      <c r="AH170" s="571">
        <f t="shared" si="76"/>
        <v>23</v>
      </c>
      <c r="AI170" s="662"/>
      <c r="AJ170" s="571">
        <v>8</v>
      </c>
      <c r="AK170" s="573">
        <v>1400.5714285714273</v>
      </c>
      <c r="AL170" s="573">
        <v>175.07142857142841</v>
      </c>
      <c r="AM170" s="571">
        <f t="shared" si="78"/>
        <v>23</v>
      </c>
      <c r="AN170" s="662"/>
      <c r="AO170" s="571">
        <v>8</v>
      </c>
      <c r="AP170" s="573">
        <v>1410.4109589041086</v>
      </c>
      <c r="AQ170" s="573">
        <v>176.30136986301358</v>
      </c>
      <c r="AR170" s="571">
        <f t="shared" si="80"/>
        <v>22</v>
      </c>
      <c r="AS170" s="662"/>
      <c r="AT170" s="571">
        <v>8</v>
      </c>
      <c r="AU170" s="573">
        <v>1412.876712328766</v>
      </c>
      <c r="AV170" s="573">
        <v>176.60958904109575</v>
      </c>
      <c r="AW170" s="571">
        <f t="shared" si="82"/>
        <v>22</v>
      </c>
      <c r="AX170" s="662"/>
      <c r="AZ170" s="372" t="e">
        <f t="shared" si="84"/>
        <v>#N/A</v>
      </c>
      <c r="BA170" s="662"/>
    </row>
    <row r="171" spans="2:53">
      <c r="B171" s="660"/>
      <c r="C171" s="275">
        <v>25</v>
      </c>
      <c r="D171" s="201"/>
      <c r="E171" s="201"/>
      <c r="F171" s="201"/>
      <c r="G171" s="514"/>
      <c r="H171" s="662"/>
      <c r="I171" s="363" t="str">
        <f t="shared" si="86"/>
        <v>-</v>
      </c>
      <c r="J171" s="363" t="str">
        <f t="shared" si="87"/>
        <v>-</v>
      </c>
      <c r="K171" s="199" t="str">
        <f t="shared" si="88"/>
        <v>-</v>
      </c>
      <c r="L171" s="634"/>
      <c r="M171" s="198" t="e">
        <f>RANK(K171, K$147:$K$176)</f>
        <v>#VALUE!</v>
      </c>
      <c r="N171" s="652"/>
      <c r="O171" s="652"/>
      <c r="P171" s="571"/>
      <c r="Q171" s="573"/>
      <c r="R171" s="573"/>
      <c r="S171" s="571" t="e">
        <f t="shared" si="70"/>
        <v>#N/A</v>
      </c>
      <c r="T171" s="662"/>
      <c r="U171" s="571"/>
      <c r="V171" s="573"/>
      <c r="W171" s="573"/>
      <c r="X171" s="571" t="e">
        <f t="shared" si="72"/>
        <v>#N/A</v>
      </c>
      <c r="Y171" s="662"/>
      <c r="Z171" s="571"/>
      <c r="AA171" s="573"/>
      <c r="AB171" s="573"/>
      <c r="AC171" s="571" t="e">
        <f t="shared" si="74"/>
        <v>#N/A</v>
      </c>
      <c r="AD171" s="662"/>
      <c r="AE171" s="571"/>
      <c r="AF171" s="573"/>
      <c r="AG171" s="573"/>
      <c r="AH171" s="571" t="e">
        <f t="shared" si="76"/>
        <v>#N/A</v>
      </c>
      <c r="AI171" s="662"/>
      <c r="AJ171" s="571"/>
      <c r="AK171" s="573"/>
      <c r="AL171" s="573"/>
      <c r="AM171" s="571" t="e">
        <f t="shared" si="78"/>
        <v>#N/A</v>
      </c>
      <c r="AN171" s="662"/>
      <c r="AO171" s="571"/>
      <c r="AP171" s="573"/>
      <c r="AQ171" s="573"/>
      <c r="AR171" s="571" t="e">
        <f t="shared" si="80"/>
        <v>#N/A</v>
      </c>
      <c r="AS171" s="662"/>
      <c r="AT171" s="571"/>
      <c r="AU171" s="573"/>
      <c r="AV171" s="573"/>
      <c r="AW171" s="571" t="e">
        <f t="shared" si="82"/>
        <v>#N/A</v>
      </c>
      <c r="AX171" s="662"/>
      <c r="AZ171" s="372" t="e">
        <f t="shared" si="84"/>
        <v>#N/A</v>
      </c>
      <c r="BA171" s="662"/>
    </row>
    <row r="172" spans="2:53">
      <c r="B172" s="660"/>
      <c r="C172" s="275">
        <v>26</v>
      </c>
      <c r="D172" s="201"/>
      <c r="E172" s="201"/>
      <c r="F172" s="201"/>
      <c r="G172" s="514"/>
      <c r="H172" s="662"/>
      <c r="I172" s="363" t="str">
        <f t="shared" si="86"/>
        <v>-</v>
      </c>
      <c r="J172" s="363" t="str">
        <f t="shared" si="87"/>
        <v>-</v>
      </c>
      <c r="K172" s="199" t="str">
        <f t="shared" si="88"/>
        <v>-</v>
      </c>
      <c r="L172" s="634"/>
      <c r="M172" s="198" t="e">
        <f>RANK(K172, K$147:$K$176)</f>
        <v>#VALUE!</v>
      </c>
      <c r="N172" s="652"/>
      <c r="O172" s="652"/>
      <c r="P172" s="571"/>
      <c r="Q172" s="573"/>
      <c r="R172" s="573"/>
      <c r="S172" s="571" t="e">
        <f t="shared" si="70"/>
        <v>#N/A</v>
      </c>
      <c r="T172" s="662"/>
      <c r="U172" s="571"/>
      <c r="V172" s="573"/>
      <c r="W172" s="573"/>
      <c r="X172" s="571" t="e">
        <f t="shared" si="72"/>
        <v>#N/A</v>
      </c>
      <c r="Y172" s="662"/>
      <c r="Z172" s="571"/>
      <c r="AA172" s="573"/>
      <c r="AB172" s="573"/>
      <c r="AC172" s="571" t="e">
        <f t="shared" si="74"/>
        <v>#N/A</v>
      </c>
      <c r="AD172" s="662"/>
      <c r="AE172" s="571"/>
      <c r="AF172" s="573"/>
      <c r="AG172" s="573"/>
      <c r="AH172" s="571" t="e">
        <f t="shared" si="76"/>
        <v>#N/A</v>
      </c>
      <c r="AI172" s="662"/>
      <c r="AJ172" s="571"/>
      <c r="AK172" s="573"/>
      <c r="AL172" s="573"/>
      <c r="AM172" s="571" t="e">
        <f t="shared" si="78"/>
        <v>#N/A</v>
      </c>
      <c r="AN172" s="662"/>
      <c r="AO172" s="571"/>
      <c r="AP172" s="573"/>
      <c r="AQ172" s="573"/>
      <c r="AR172" s="571" t="e">
        <f t="shared" si="80"/>
        <v>#N/A</v>
      </c>
      <c r="AS172" s="662"/>
      <c r="AT172" s="571"/>
      <c r="AU172" s="573"/>
      <c r="AV172" s="573"/>
      <c r="AW172" s="571" t="e">
        <f t="shared" si="82"/>
        <v>#N/A</v>
      </c>
      <c r="AX172" s="662"/>
      <c r="AZ172" s="372" t="e">
        <f t="shared" si="84"/>
        <v>#N/A</v>
      </c>
      <c r="BA172" s="662"/>
    </row>
    <row r="173" spans="2:53">
      <c r="B173" s="660"/>
      <c r="C173" s="275">
        <v>27</v>
      </c>
      <c r="D173" s="201"/>
      <c r="E173" s="201"/>
      <c r="F173" s="201"/>
      <c r="G173" s="514"/>
      <c r="H173" s="662"/>
      <c r="I173" s="363" t="str">
        <f t="shared" si="86"/>
        <v>-</v>
      </c>
      <c r="J173" s="363" t="str">
        <f t="shared" si="87"/>
        <v>-</v>
      </c>
      <c r="K173" s="199" t="str">
        <f t="shared" si="88"/>
        <v>-</v>
      </c>
      <c r="L173" s="634"/>
      <c r="M173" s="198" t="e">
        <f>RANK(K173, K$147:$K$176)</f>
        <v>#VALUE!</v>
      </c>
      <c r="N173" s="652"/>
      <c r="O173" s="652"/>
      <c r="P173" s="571"/>
      <c r="Q173" s="573"/>
      <c r="R173" s="573"/>
      <c r="S173" s="571" t="e">
        <f t="shared" si="70"/>
        <v>#N/A</v>
      </c>
      <c r="T173" s="662"/>
      <c r="U173" s="571"/>
      <c r="V173" s="573"/>
      <c r="W173" s="573"/>
      <c r="X173" s="571" t="e">
        <f t="shared" si="72"/>
        <v>#N/A</v>
      </c>
      <c r="Y173" s="662"/>
      <c r="Z173" s="571"/>
      <c r="AA173" s="573"/>
      <c r="AB173" s="573"/>
      <c r="AC173" s="571" t="e">
        <f t="shared" si="74"/>
        <v>#N/A</v>
      </c>
      <c r="AD173" s="662"/>
      <c r="AE173" s="571"/>
      <c r="AF173" s="573"/>
      <c r="AG173" s="573"/>
      <c r="AH173" s="571" t="e">
        <f t="shared" si="76"/>
        <v>#N/A</v>
      </c>
      <c r="AI173" s="662"/>
      <c r="AJ173" s="571"/>
      <c r="AK173" s="573"/>
      <c r="AL173" s="573"/>
      <c r="AM173" s="571" t="e">
        <f t="shared" si="78"/>
        <v>#N/A</v>
      </c>
      <c r="AN173" s="662"/>
      <c r="AO173" s="571"/>
      <c r="AP173" s="573"/>
      <c r="AQ173" s="573"/>
      <c r="AR173" s="571" t="e">
        <f t="shared" si="80"/>
        <v>#N/A</v>
      </c>
      <c r="AS173" s="662"/>
      <c r="AT173" s="571"/>
      <c r="AU173" s="573"/>
      <c r="AV173" s="573"/>
      <c r="AW173" s="571" t="e">
        <f t="shared" si="82"/>
        <v>#N/A</v>
      </c>
      <c r="AX173" s="662"/>
      <c r="AZ173" s="372" t="e">
        <f t="shared" si="84"/>
        <v>#N/A</v>
      </c>
      <c r="BA173" s="662"/>
    </row>
    <row r="174" spans="2:53">
      <c r="B174" s="660"/>
      <c r="C174" s="275">
        <v>28</v>
      </c>
      <c r="D174" s="201"/>
      <c r="E174" s="201"/>
      <c r="F174" s="201"/>
      <c r="G174" s="201"/>
      <c r="H174" s="662"/>
      <c r="I174" s="363" t="str">
        <f t="shared" si="86"/>
        <v>-</v>
      </c>
      <c r="J174" s="363" t="str">
        <f t="shared" si="87"/>
        <v>-</v>
      </c>
      <c r="K174" s="199" t="str">
        <f t="shared" si="88"/>
        <v>-</v>
      </c>
      <c r="L174" s="634"/>
      <c r="M174" s="198" t="e">
        <f>RANK(K174, K$147:$K$176)</f>
        <v>#VALUE!</v>
      </c>
      <c r="N174" s="652"/>
      <c r="O174" s="652"/>
      <c r="P174" s="571"/>
      <c r="Q174" s="573"/>
      <c r="R174" s="573"/>
      <c r="S174" s="571" t="e">
        <f t="shared" si="70"/>
        <v>#N/A</v>
      </c>
      <c r="T174" s="662"/>
      <c r="U174" s="571"/>
      <c r="V174" s="573"/>
      <c r="W174" s="573"/>
      <c r="X174" s="571" t="e">
        <f t="shared" si="72"/>
        <v>#N/A</v>
      </c>
      <c r="Y174" s="662"/>
      <c r="Z174" s="571"/>
      <c r="AA174" s="573"/>
      <c r="AB174" s="573"/>
      <c r="AC174" s="571" t="e">
        <f t="shared" si="74"/>
        <v>#N/A</v>
      </c>
      <c r="AD174" s="662"/>
      <c r="AE174" s="571"/>
      <c r="AF174" s="573"/>
      <c r="AG174" s="573"/>
      <c r="AH174" s="571" t="e">
        <f t="shared" si="76"/>
        <v>#N/A</v>
      </c>
      <c r="AI174" s="662"/>
      <c r="AJ174" s="571"/>
      <c r="AK174" s="573"/>
      <c r="AL174" s="573"/>
      <c r="AM174" s="571" t="e">
        <f t="shared" si="78"/>
        <v>#N/A</v>
      </c>
      <c r="AN174" s="662"/>
      <c r="AO174" s="571"/>
      <c r="AP174" s="573"/>
      <c r="AQ174" s="573"/>
      <c r="AR174" s="571" t="e">
        <f t="shared" si="80"/>
        <v>#N/A</v>
      </c>
      <c r="AS174" s="662"/>
      <c r="AT174" s="571"/>
      <c r="AU174" s="573"/>
      <c r="AV174" s="573"/>
      <c r="AW174" s="571" t="e">
        <f t="shared" si="82"/>
        <v>#N/A</v>
      </c>
      <c r="AX174" s="662"/>
      <c r="AZ174" s="372" t="e">
        <f t="shared" si="84"/>
        <v>#N/A</v>
      </c>
      <c r="BA174" s="662"/>
    </row>
    <row r="175" spans="2:53">
      <c r="B175" s="660"/>
      <c r="C175" s="275">
        <v>29</v>
      </c>
      <c r="D175" s="201"/>
      <c r="E175" s="201"/>
      <c r="F175" s="201"/>
      <c r="G175" s="201"/>
      <c r="H175" s="662"/>
      <c r="I175" s="363" t="str">
        <f t="shared" si="86"/>
        <v>-</v>
      </c>
      <c r="J175" s="363" t="str">
        <f t="shared" si="87"/>
        <v>-</v>
      </c>
      <c r="K175" s="199" t="str">
        <f t="shared" si="88"/>
        <v>-</v>
      </c>
      <c r="L175" s="634"/>
      <c r="M175" s="198" t="e">
        <f>RANK(K175, K$147:$K$176)</f>
        <v>#VALUE!</v>
      </c>
      <c r="N175" s="652"/>
      <c r="O175" s="652"/>
      <c r="P175" s="571"/>
      <c r="Q175" s="573"/>
      <c r="R175" s="573"/>
      <c r="S175" s="571" t="e">
        <f t="shared" si="70"/>
        <v>#N/A</v>
      </c>
      <c r="T175" s="662"/>
      <c r="U175" s="571"/>
      <c r="V175" s="573"/>
      <c r="W175" s="573"/>
      <c r="X175" s="571" t="e">
        <f t="shared" si="72"/>
        <v>#N/A</v>
      </c>
      <c r="Y175" s="662"/>
      <c r="Z175" s="571"/>
      <c r="AA175" s="573"/>
      <c r="AB175" s="573"/>
      <c r="AC175" s="571" t="e">
        <f t="shared" si="74"/>
        <v>#N/A</v>
      </c>
      <c r="AD175" s="662"/>
      <c r="AE175" s="571"/>
      <c r="AF175" s="573"/>
      <c r="AG175" s="573"/>
      <c r="AH175" s="571" t="e">
        <f t="shared" si="76"/>
        <v>#N/A</v>
      </c>
      <c r="AI175" s="662"/>
      <c r="AJ175" s="571"/>
      <c r="AK175" s="573"/>
      <c r="AL175" s="573"/>
      <c r="AM175" s="571" t="e">
        <f t="shared" si="78"/>
        <v>#N/A</v>
      </c>
      <c r="AN175" s="662"/>
      <c r="AO175" s="571"/>
      <c r="AP175" s="573"/>
      <c r="AQ175" s="573"/>
      <c r="AR175" s="571" t="e">
        <f t="shared" si="80"/>
        <v>#N/A</v>
      </c>
      <c r="AS175" s="662"/>
      <c r="AT175" s="571"/>
      <c r="AU175" s="573"/>
      <c r="AV175" s="573"/>
      <c r="AW175" s="571" t="e">
        <f t="shared" si="82"/>
        <v>#N/A</v>
      </c>
      <c r="AX175" s="662"/>
      <c r="AZ175" s="372" t="e">
        <f t="shared" si="84"/>
        <v>#N/A</v>
      </c>
      <c r="BA175" s="662"/>
    </row>
    <row r="176" spans="2:53">
      <c r="B176" s="660"/>
      <c r="C176" s="275">
        <v>30</v>
      </c>
      <c r="D176" s="201"/>
      <c r="E176" s="201"/>
      <c r="F176" s="201"/>
      <c r="G176" s="201"/>
      <c r="H176" s="663"/>
      <c r="I176" s="363" t="str">
        <f t="shared" si="86"/>
        <v>-</v>
      </c>
      <c r="J176" s="363" t="str">
        <f t="shared" si="87"/>
        <v>-</v>
      </c>
      <c r="K176" s="199" t="str">
        <f t="shared" si="88"/>
        <v>-</v>
      </c>
      <c r="L176" s="635"/>
      <c r="M176" s="198" t="e">
        <f>RANK(K176, K$147:$K$176)</f>
        <v>#VALUE!</v>
      </c>
      <c r="N176" s="652"/>
      <c r="O176" s="652"/>
      <c r="P176" s="571"/>
      <c r="Q176" s="573"/>
      <c r="R176" s="573"/>
      <c r="S176" s="571" t="e">
        <f t="shared" si="70"/>
        <v>#N/A</v>
      </c>
      <c r="T176" s="663"/>
      <c r="U176" s="571"/>
      <c r="V176" s="573"/>
      <c r="W176" s="573"/>
      <c r="X176" s="571" t="e">
        <f t="shared" si="72"/>
        <v>#N/A</v>
      </c>
      <c r="Y176" s="663"/>
      <c r="Z176" s="571"/>
      <c r="AA176" s="573"/>
      <c r="AB176" s="573"/>
      <c r="AC176" s="571" t="e">
        <f t="shared" si="74"/>
        <v>#N/A</v>
      </c>
      <c r="AD176" s="663"/>
      <c r="AE176" s="571"/>
      <c r="AF176" s="573"/>
      <c r="AG176" s="573"/>
      <c r="AH176" s="571" t="e">
        <f t="shared" si="76"/>
        <v>#N/A</v>
      </c>
      <c r="AI176" s="663"/>
      <c r="AJ176" s="571"/>
      <c r="AK176" s="573"/>
      <c r="AL176" s="573"/>
      <c r="AM176" s="571" t="e">
        <f t="shared" si="78"/>
        <v>#N/A</v>
      </c>
      <c r="AN176" s="663"/>
      <c r="AO176" s="571"/>
      <c r="AP176" s="573"/>
      <c r="AQ176" s="573"/>
      <c r="AR176" s="571" t="e">
        <f t="shared" si="80"/>
        <v>#N/A</v>
      </c>
      <c r="AS176" s="663"/>
      <c r="AT176" s="571"/>
      <c r="AU176" s="573"/>
      <c r="AV176" s="573"/>
      <c r="AW176" s="571" t="e">
        <f t="shared" si="82"/>
        <v>#N/A</v>
      </c>
      <c r="AX176" s="663"/>
      <c r="AZ176" s="372" t="e">
        <f t="shared" si="84"/>
        <v>#N/A</v>
      </c>
      <c r="BA176" s="663"/>
    </row>
    <row r="177" spans="2:53" ht="15.75">
      <c r="B177" s="664" t="s">
        <v>162</v>
      </c>
      <c r="C177" s="665"/>
      <c r="D177" s="665"/>
      <c r="E177" s="665"/>
      <c r="F177" s="665"/>
      <c r="G177" s="665"/>
      <c r="H177" s="666"/>
      <c r="I177" s="207"/>
      <c r="J177" s="207"/>
      <c r="K177" s="207"/>
      <c r="L177" s="207"/>
      <c r="M177" s="206"/>
      <c r="N177" s="653" t="s">
        <v>156</v>
      </c>
      <c r="O177" s="653" t="s">
        <v>105</v>
      </c>
      <c r="P177" s="659">
        <f>P142+7</f>
        <v>46266</v>
      </c>
      <c r="Q177" s="660"/>
      <c r="R177" s="660"/>
      <c r="S177" s="660"/>
      <c r="T177" s="660"/>
      <c r="U177" s="656">
        <f>P177+1</f>
        <v>46267</v>
      </c>
      <c r="V177" s="657"/>
      <c r="W177" s="657"/>
      <c r="X177" s="657"/>
      <c r="Y177" s="658"/>
      <c r="Z177" s="656">
        <f>U177+1</f>
        <v>46268</v>
      </c>
      <c r="AA177" s="657"/>
      <c r="AB177" s="657"/>
      <c r="AC177" s="657"/>
      <c r="AD177" s="658"/>
      <c r="AE177" s="656">
        <f>Z177+1</f>
        <v>46269</v>
      </c>
      <c r="AF177" s="657"/>
      <c r="AG177" s="657"/>
      <c r="AH177" s="657"/>
      <c r="AI177" s="658"/>
      <c r="AJ177" s="656">
        <f>AE177+1</f>
        <v>46270</v>
      </c>
      <c r="AK177" s="657"/>
      <c r="AL177" s="657"/>
      <c r="AM177" s="657"/>
      <c r="AN177" s="658"/>
      <c r="AO177" s="656">
        <f>AJ177+1</f>
        <v>46271</v>
      </c>
      <c r="AP177" s="657"/>
      <c r="AQ177" s="657"/>
      <c r="AR177" s="657"/>
      <c r="AS177" s="658"/>
      <c r="AT177" s="656">
        <f>AO177+1</f>
        <v>46272</v>
      </c>
      <c r="AU177" s="657"/>
      <c r="AV177" s="657"/>
      <c r="AW177" s="657"/>
      <c r="AX177" s="658"/>
    </row>
    <row r="178" spans="2:53" ht="15.75">
      <c r="B178" s="667"/>
      <c r="C178" s="667"/>
      <c r="D178" s="667"/>
      <c r="E178" s="667"/>
      <c r="F178" s="667"/>
      <c r="G178" s="667"/>
      <c r="H178" s="667"/>
      <c r="I178" s="204"/>
      <c r="J178" s="204"/>
      <c r="K178" s="204"/>
      <c r="L178" s="204"/>
      <c r="M178" s="205"/>
      <c r="N178" s="655"/>
      <c r="O178" s="655"/>
      <c r="P178" s="659" t="s">
        <v>158</v>
      </c>
      <c r="Q178" s="660"/>
      <c r="R178" s="660"/>
      <c r="S178" s="660"/>
      <c r="T178" s="660"/>
      <c r="U178" s="659" t="s">
        <v>114</v>
      </c>
      <c r="V178" s="660"/>
      <c r="W178" s="660"/>
      <c r="X178" s="660"/>
      <c r="Y178" s="660"/>
      <c r="Z178" s="659" t="s">
        <v>159</v>
      </c>
      <c r="AA178" s="660"/>
      <c r="AB178" s="660"/>
      <c r="AC178" s="660"/>
      <c r="AD178" s="660"/>
      <c r="AE178" s="659" t="s">
        <v>157</v>
      </c>
      <c r="AF178" s="660"/>
      <c r="AG178" s="660"/>
      <c r="AH178" s="660"/>
      <c r="AI178" s="660"/>
      <c r="AJ178" s="659" t="s">
        <v>160</v>
      </c>
      <c r="AK178" s="660"/>
      <c r="AL178" s="660"/>
      <c r="AM178" s="660"/>
      <c r="AN178" s="660"/>
      <c r="AO178" s="659" t="s">
        <v>115</v>
      </c>
      <c r="AP178" s="660"/>
      <c r="AQ178" s="660"/>
      <c r="AR178" s="660"/>
      <c r="AS178" s="660"/>
      <c r="AT178" s="659" t="s">
        <v>161</v>
      </c>
      <c r="AU178" s="660"/>
      <c r="AV178" s="660"/>
      <c r="AW178" s="660"/>
      <c r="AX178" s="660"/>
    </row>
    <row r="179" spans="2:53">
      <c r="B179" s="652" t="s">
        <v>154</v>
      </c>
      <c r="C179" s="652" t="s">
        <v>379</v>
      </c>
      <c r="D179" s="652"/>
      <c r="E179" s="652" t="s">
        <v>370</v>
      </c>
      <c r="F179" s="652"/>
      <c r="G179" s="652"/>
      <c r="H179" s="668" t="s">
        <v>366</v>
      </c>
      <c r="I179" s="652" t="s">
        <v>371</v>
      </c>
      <c r="J179" s="652"/>
      <c r="K179" s="652"/>
      <c r="L179" s="668" t="s">
        <v>366</v>
      </c>
      <c r="M179" s="653" t="s">
        <v>367</v>
      </c>
      <c r="N179" s="652"/>
      <c r="O179" s="652" t="s">
        <v>372</v>
      </c>
      <c r="P179" s="649" t="s">
        <v>368</v>
      </c>
      <c r="Q179" s="650"/>
      <c r="R179" s="650"/>
      <c r="S179" s="651"/>
      <c r="T179" s="652" t="s">
        <v>366</v>
      </c>
      <c r="U179" s="649" t="s">
        <v>368</v>
      </c>
      <c r="V179" s="650"/>
      <c r="W179" s="650"/>
      <c r="X179" s="651"/>
      <c r="Y179" s="652" t="s">
        <v>366</v>
      </c>
      <c r="Z179" s="649" t="s">
        <v>368</v>
      </c>
      <c r="AA179" s="650"/>
      <c r="AB179" s="650"/>
      <c r="AC179" s="651"/>
      <c r="AD179" s="652" t="s">
        <v>366</v>
      </c>
      <c r="AE179" s="649" t="s">
        <v>368</v>
      </c>
      <c r="AF179" s="650"/>
      <c r="AG179" s="650"/>
      <c r="AH179" s="651"/>
      <c r="AI179" s="652" t="s">
        <v>366</v>
      </c>
      <c r="AJ179" s="649" t="s">
        <v>368</v>
      </c>
      <c r="AK179" s="650"/>
      <c r="AL179" s="650"/>
      <c r="AM179" s="651"/>
      <c r="AN179" s="652" t="s">
        <v>366</v>
      </c>
      <c r="AO179" s="649" t="s">
        <v>368</v>
      </c>
      <c r="AP179" s="650"/>
      <c r="AQ179" s="650"/>
      <c r="AR179" s="651"/>
      <c r="AS179" s="652" t="s">
        <v>366</v>
      </c>
      <c r="AT179" s="681" t="s">
        <v>368</v>
      </c>
      <c r="AU179" s="682"/>
      <c r="AV179" s="682"/>
      <c r="AW179" s="683"/>
      <c r="AX179" s="684" t="s">
        <v>366</v>
      </c>
      <c r="BA179" s="684" t="s">
        <v>366</v>
      </c>
    </row>
    <row r="180" spans="2:53">
      <c r="B180" s="652"/>
      <c r="C180" s="652"/>
      <c r="D180" s="652"/>
      <c r="E180" s="652" t="s">
        <v>373</v>
      </c>
      <c r="F180" s="652"/>
      <c r="G180" s="652"/>
      <c r="H180" s="669"/>
      <c r="I180" s="652" t="s">
        <v>373</v>
      </c>
      <c r="J180" s="652"/>
      <c r="K180" s="652"/>
      <c r="L180" s="669"/>
      <c r="M180" s="654"/>
      <c r="N180" s="652"/>
      <c r="O180" s="652"/>
      <c r="P180" s="649" t="s">
        <v>374</v>
      </c>
      <c r="Q180" s="650"/>
      <c r="R180" s="650"/>
      <c r="S180" s="651"/>
      <c r="T180" s="652"/>
      <c r="U180" s="649" t="s">
        <v>374</v>
      </c>
      <c r="V180" s="650"/>
      <c r="W180" s="650"/>
      <c r="X180" s="651"/>
      <c r="Y180" s="652"/>
      <c r="Z180" s="649" t="s">
        <v>374</v>
      </c>
      <c r="AA180" s="650"/>
      <c r="AB180" s="650"/>
      <c r="AC180" s="651"/>
      <c r="AD180" s="652"/>
      <c r="AE180" s="649" t="s">
        <v>374</v>
      </c>
      <c r="AF180" s="650"/>
      <c r="AG180" s="650"/>
      <c r="AH180" s="651"/>
      <c r="AI180" s="652"/>
      <c r="AJ180" s="649" t="s">
        <v>374</v>
      </c>
      <c r="AK180" s="650"/>
      <c r="AL180" s="650"/>
      <c r="AM180" s="651"/>
      <c r="AN180" s="652"/>
      <c r="AO180" s="649" t="s">
        <v>374</v>
      </c>
      <c r="AP180" s="650"/>
      <c r="AQ180" s="650"/>
      <c r="AR180" s="651"/>
      <c r="AS180" s="652"/>
      <c r="AT180" s="681" t="s">
        <v>374</v>
      </c>
      <c r="AU180" s="682"/>
      <c r="AV180" s="682"/>
      <c r="AW180" s="683"/>
      <c r="AX180" s="684"/>
      <c r="BA180" s="684"/>
    </row>
    <row r="181" spans="2:53">
      <c r="B181" s="652"/>
      <c r="C181" s="652"/>
      <c r="D181" s="652"/>
      <c r="E181" s="345" t="s">
        <v>375</v>
      </c>
      <c r="F181" s="345" t="s">
        <v>376</v>
      </c>
      <c r="G181" s="345" t="s">
        <v>377</v>
      </c>
      <c r="H181" s="670"/>
      <c r="I181" s="345" t="s">
        <v>375</v>
      </c>
      <c r="J181" s="345" t="s">
        <v>376</v>
      </c>
      <c r="K181" s="345" t="s">
        <v>377</v>
      </c>
      <c r="L181" s="670"/>
      <c r="M181" s="655"/>
      <c r="N181" s="652"/>
      <c r="O181" s="652"/>
      <c r="P181" s="345" t="s">
        <v>375</v>
      </c>
      <c r="Q181" s="345" t="s">
        <v>376</v>
      </c>
      <c r="R181" s="345" t="s">
        <v>377</v>
      </c>
      <c r="S181" s="345" t="s">
        <v>367</v>
      </c>
      <c r="T181" s="652"/>
      <c r="U181" s="345" t="s">
        <v>375</v>
      </c>
      <c r="V181" s="345" t="s">
        <v>376</v>
      </c>
      <c r="W181" s="345" t="s">
        <v>377</v>
      </c>
      <c r="X181" s="345" t="s">
        <v>367</v>
      </c>
      <c r="Y181" s="652"/>
      <c r="Z181" s="345" t="s">
        <v>375</v>
      </c>
      <c r="AA181" s="345" t="s">
        <v>376</v>
      </c>
      <c r="AB181" s="345" t="s">
        <v>377</v>
      </c>
      <c r="AC181" s="345" t="s">
        <v>367</v>
      </c>
      <c r="AD181" s="652"/>
      <c r="AE181" s="345" t="s">
        <v>375</v>
      </c>
      <c r="AF181" s="345" t="s">
        <v>376</v>
      </c>
      <c r="AG181" s="345" t="s">
        <v>377</v>
      </c>
      <c r="AH181" s="345" t="s">
        <v>367</v>
      </c>
      <c r="AI181" s="652"/>
      <c r="AJ181" s="345" t="s">
        <v>375</v>
      </c>
      <c r="AK181" s="345" t="s">
        <v>376</v>
      </c>
      <c r="AL181" s="345" t="s">
        <v>377</v>
      </c>
      <c r="AM181" s="345" t="s">
        <v>367</v>
      </c>
      <c r="AN181" s="652"/>
      <c r="AO181" s="345" t="s">
        <v>375</v>
      </c>
      <c r="AP181" s="345" t="s">
        <v>376</v>
      </c>
      <c r="AQ181" s="345" t="s">
        <v>377</v>
      </c>
      <c r="AR181" s="345" t="s">
        <v>367</v>
      </c>
      <c r="AS181" s="652"/>
      <c r="AT181" s="347" t="s">
        <v>375</v>
      </c>
      <c r="AU181" s="347" t="s">
        <v>376</v>
      </c>
      <c r="AV181" s="347" t="s">
        <v>377</v>
      </c>
      <c r="AW181" s="347" t="s">
        <v>367</v>
      </c>
      <c r="AX181" s="684"/>
      <c r="AZ181" s="374" t="s">
        <v>367</v>
      </c>
      <c r="BA181" s="684"/>
    </row>
    <row r="182" spans="2:53">
      <c r="B182" s="679" t="s">
        <v>483</v>
      </c>
      <c r="C182" s="348">
        <v>1</v>
      </c>
      <c r="D182" s="201"/>
      <c r="E182" s="201"/>
      <c r="F182" s="201"/>
      <c r="G182" s="514"/>
      <c r="H182" s="691" t="e">
        <f>AVERAGE(G182:G211)</f>
        <v>#DIV/0!</v>
      </c>
      <c r="I182" s="363" t="str">
        <f>IFERROR(AVERAGE(P182,U182,Z182,AE182,AJ182,AO182,AT182),"-")</f>
        <v>-</v>
      </c>
      <c r="J182" s="363" t="str">
        <f>IFERROR(AVERAGE(Q182,V182,AA182,AF182,AK182,AP182,AU182),"-")</f>
        <v>-</v>
      </c>
      <c r="K182" s="199" t="str">
        <f>IFERROR(AVERAGE(R182,W182,AB182,AG182,AL182,AQ182,AV182),"-")</f>
        <v>-</v>
      </c>
      <c r="L182" s="633" t="str">
        <f>IFERROR(AVERAGE(K182:K211),"-")</f>
        <v>-</v>
      </c>
      <c r="M182" s="349" t="e">
        <f>RANK(K182, K$182:$K$211)</f>
        <v>#VALUE!</v>
      </c>
      <c r="N182" s="652"/>
      <c r="O182" s="652"/>
      <c r="P182" s="507"/>
      <c r="Q182" s="509"/>
      <c r="R182" s="509"/>
      <c r="S182" s="508"/>
      <c r="T182" s="685"/>
      <c r="U182" s="507"/>
      <c r="V182" s="509"/>
      <c r="W182" s="509"/>
      <c r="X182" s="508"/>
      <c r="Y182" s="685"/>
      <c r="Z182" s="507"/>
      <c r="AA182" s="509"/>
      <c r="AB182" s="509"/>
      <c r="AC182" s="508"/>
      <c r="AD182" s="685"/>
      <c r="AE182" s="507"/>
      <c r="AF182" s="509"/>
      <c r="AG182" s="509"/>
      <c r="AH182" s="508"/>
      <c r="AI182" s="685"/>
      <c r="AJ182" s="507"/>
      <c r="AK182" s="509"/>
      <c r="AL182" s="509"/>
      <c r="AM182" s="508"/>
      <c r="AN182" s="685"/>
      <c r="AO182" s="507"/>
      <c r="AP182" s="509"/>
      <c r="AQ182" s="509"/>
      <c r="AR182" s="508"/>
      <c r="AS182" s="685"/>
      <c r="AT182" s="507"/>
      <c r="AU182" s="509"/>
      <c r="AV182" s="509"/>
      <c r="AW182" s="508"/>
      <c r="AX182" s="685"/>
      <c r="AZ182" s="350" t="e">
        <f>RANK(AY182, AY$112:AY$141)</f>
        <v>#N/A</v>
      </c>
      <c r="BA182" s="694" t="e">
        <f>AVERAGE(AY182:AY211)</f>
        <v>#DIV/0!</v>
      </c>
    </row>
    <row r="183" spans="2:53">
      <c r="B183" s="680"/>
      <c r="C183" s="348">
        <v>2</v>
      </c>
      <c r="D183" s="515"/>
      <c r="E183" s="201"/>
      <c r="F183" s="201"/>
      <c r="G183" s="514"/>
      <c r="H183" s="692"/>
      <c r="I183" s="363" t="str">
        <f t="shared" ref="I183:I211" si="89">IFERROR(AVERAGE(P183,U183,Z183,AE183,AJ183,AO183,AT183),"-")</f>
        <v>-</v>
      </c>
      <c r="J183" s="363" t="str">
        <f t="shared" ref="J183:J211" si="90">IFERROR(AVERAGE(Q183,V183,AA183,AF183,AK183,AP183,AU183),"-")</f>
        <v>-</v>
      </c>
      <c r="K183" s="199" t="str">
        <f t="shared" ref="K183:K211" si="91">IFERROR(AVERAGE(R183,W183,AB183,AG183,AL183,AQ183,AV183),"-")</f>
        <v>-</v>
      </c>
      <c r="L183" s="634"/>
      <c r="M183" s="349" t="e">
        <f>RANK(K183, K$182:$K$211)</f>
        <v>#VALUE!</v>
      </c>
      <c r="N183" s="652"/>
      <c r="O183" s="652"/>
      <c r="P183" s="507"/>
      <c r="Q183" s="509"/>
      <c r="R183" s="509"/>
      <c r="S183" s="508"/>
      <c r="T183" s="685"/>
      <c r="U183" s="507"/>
      <c r="V183" s="509"/>
      <c r="W183" s="509"/>
      <c r="X183" s="508"/>
      <c r="Y183" s="685"/>
      <c r="Z183" s="507"/>
      <c r="AA183" s="509"/>
      <c r="AB183" s="509"/>
      <c r="AC183" s="508"/>
      <c r="AD183" s="685"/>
      <c r="AE183" s="507"/>
      <c r="AF183" s="509"/>
      <c r="AG183" s="509"/>
      <c r="AH183" s="508"/>
      <c r="AI183" s="685"/>
      <c r="AJ183" s="507"/>
      <c r="AK183" s="509"/>
      <c r="AL183" s="509"/>
      <c r="AM183" s="508"/>
      <c r="AN183" s="685"/>
      <c r="AO183" s="507"/>
      <c r="AP183" s="509"/>
      <c r="AQ183" s="509"/>
      <c r="AR183" s="508"/>
      <c r="AS183" s="685"/>
      <c r="AT183" s="507"/>
      <c r="AU183" s="509"/>
      <c r="AV183" s="509"/>
      <c r="AW183" s="508"/>
      <c r="AX183" s="685"/>
      <c r="AZ183" s="350" t="e">
        <f t="shared" ref="AZ183:AZ211" si="92">RANK(AY183, AY$112:AY$141)</f>
        <v>#N/A</v>
      </c>
      <c r="BA183" s="694"/>
    </row>
    <row r="184" spans="2:53">
      <c r="B184" s="680"/>
      <c r="C184" s="348">
        <v>3</v>
      </c>
      <c r="D184" s="201"/>
      <c r="E184" s="201"/>
      <c r="F184" s="201"/>
      <c r="G184" s="514"/>
      <c r="H184" s="692"/>
      <c r="I184" s="363" t="str">
        <f t="shared" si="89"/>
        <v>-</v>
      </c>
      <c r="J184" s="363" t="str">
        <f t="shared" si="90"/>
        <v>-</v>
      </c>
      <c r="K184" s="199" t="str">
        <f t="shared" si="91"/>
        <v>-</v>
      </c>
      <c r="L184" s="634"/>
      <c r="M184" s="349" t="e">
        <f>RANK(K184, K$182:$K$211)</f>
        <v>#VALUE!</v>
      </c>
      <c r="N184" s="652"/>
      <c r="O184" s="652"/>
      <c r="P184" s="507"/>
      <c r="Q184" s="509"/>
      <c r="R184" s="509"/>
      <c r="S184" s="508"/>
      <c r="T184" s="685"/>
      <c r="U184" s="507"/>
      <c r="V184" s="509"/>
      <c r="W184" s="509"/>
      <c r="X184" s="508"/>
      <c r="Y184" s="685"/>
      <c r="Z184" s="507"/>
      <c r="AA184" s="509"/>
      <c r="AB184" s="509"/>
      <c r="AC184" s="508"/>
      <c r="AD184" s="685"/>
      <c r="AE184" s="507"/>
      <c r="AF184" s="509"/>
      <c r="AG184" s="509"/>
      <c r="AH184" s="508"/>
      <c r="AI184" s="685"/>
      <c r="AJ184" s="507"/>
      <c r="AK184" s="509"/>
      <c r="AL184" s="509"/>
      <c r="AM184" s="508"/>
      <c r="AN184" s="685"/>
      <c r="AO184" s="507"/>
      <c r="AP184" s="509"/>
      <c r="AQ184" s="509"/>
      <c r="AR184" s="508"/>
      <c r="AS184" s="685"/>
      <c r="AT184" s="507"/>
      <c r="AU184" s="509"/>
      <c r="AV184" s="509"/>
      <c r="AW184" s="508"/>
      <c r="AX184" s="685"/>
      <c r="AZ184" s="350" t="e">
        <f t="shared" si="92"/>
        <v>#N/A</v>
      </c>
      <c r="BA184" s="694"/>
    </row>
    <row r="185" spans="2:53">
      <c r="B185" s="680"/>
      <c r="C185" s="348">
        <v>4</v>
      </c>
      <c r="D185" s="201"/>
      <c r="E185" s="201"/>
      <c r="F185" s="201"/>
      <c r="G185" s="514"/>
      <c r="H185" s="692"/>
      <c r="I185" s="363" t="str">
        <f t="shared" si="89"/>
        <v>-</v>
      </c>
      <c r="J185" s="363" t="str">
        <f t="shared" si="90"/>
        <v>-</v>
      </c>
      <c r="K185" s="199" t="str">
        <f t="shared" si="91"/>
        <v>-</v>
      </c>
      <c r="L185" s="634"/>
      <c r="M185" s="349" t="e">
        <f>RANK(K185, K$182:$K$211)</f>
        <v>#VALUE!</v>
      </c>
      <c r="N185" s="652"/>
      <c r="O185" s="652"/>
      <c r="P185" s="507"/>
      <c r="Q185" s="509"/>
      <c r="R185" s="509"/>
      <c r="S185" s="508"/>
      <c r="T185" s="685"/>
      <c r="U185" s="507"/>
      <c r="V185" s="509"/>
      <c r="W185" s="509"/>
      <c r="X185" s="508"/>
      <c r="Y185" s="685"/>
      <c r="Z185" s="507"/>
      <c r="AA185" s="509"/>
      <c r="AB185" s="509"/>
      <c r="AC185" s="508"/>
      <c r="AD185" s="685"/>
      <c r="AE185" s="507"/>
      <c r="AF185" s="509"/>
      <c r="AG185" s="509"/>
      <c r="AH185" s="508"/>
      <c r="AI185" s="685"/>
      <c r="AJ185" s="507"/>
      <c r="AK185" s="509"/>
      <c r="AL185" s="509"/>
      <c r="AM185" s="508"/>
      <c r="AN185" s="685"/>
      <c r="AO185" s="507"/>
      <c r="AP185" s="509"/>
      <c r="AQ185" s="509"/>
      <c r="AR185" s="508"/>
      <c r="AS185" s="685"/>
      <c r="AT185" s="507"/>
      <c r="AU185" s="509"/>
      <c r="AV185" s="509"/>
      <c r="AW185" s="508"/>
      <c r="AX185" s="685"/>
      <c r="AZ185" s="350" t="e">
        <f t="shared" si="92"/>
        <v>#N/A</v>
      </c>
      <c r="BA185" s="694"/>
    </row>
    <row r="186" spans="2:53">
      <c r="B186" s="680"/>
      <c r="C186" s="348">
        <v>5</v>
      </c>
      <c r="D186" s="201"/>
      <c r="E186" s="201"/>
      <c r="F186" s="201"/>
      <c r="G186" s="514"/>
      <c r="H186" s="692"/>
      <c r="I186" s="363" t="str">
        <f t="shared" si="89"/>
        <v>-</v>
      </c>
      <c r="J186" s="363" t="str">
        <f t="shared" si="90"/>
        <v>-</v>
      </c>
      <c r="K186" s="199" t="str">
        <f t="shared" si="91"/>
        <v>-</v>
      </c>
      <c r="L186" s="634"/>
      <c r="M186" s="349" t="e">
        <f>RANK(K186, K$182:$K$211)</f>
        <v>#VALUE!</v>
      </c>
      <c r="N186" s="652"/>
      <c r="O186" s="652"/>
      <c r="P186" s="507"/>
      <c r="Q186" s="509"/>
      <c r="R186" s="509"/>
      <c r="S186" s="508"/>
      <c r="T186" s="685"/>
      <c r="U186" s="507"/>
      <c r="V186" s="509"/>
      <c r="W186" s="509"/>
      <c r="X186" s="508"/>
      <c r="Y186" s="685"/>
      <c r="Z186" s="507"/>
      <c r="AA186" s="509"/>
      <c r="AB186" s="509"/>
      <c r="AC186" s="508"/>
      <c r="AD186" s="685"/>
      <c r="AE186" s="507"/>
      <c r="AF186" s="509"/>
      <c r="AG186" s="509"/>
      <c r="AH186" s="508"/>
      <c r="AI186" s="685"/>
      <c r="AJ186" s="507"/>
      <c r="AK186" s="509"/>
      <c r="AL186" s="509"/>
      <c r="AM186" s="508"/>
      <c r="AN186" s="685"/>
      <c r="AO186" s="507"/>
      <c r="AP186" s="509"/>
      <c r="AQ186" s="509"/>
      <c r="AR186" s="508"/>
      <c r="AS186" s="685"/>
      <c r="AT186" s="507"/>
      <c r="AU186" s="509"/>
      <c r="AV186" s="509"/>
      <c r="AW186" s="508"/>
      <c r="AX186" s="685"/>
      <c r="AZ186" s="350" t="e">
        <f t="shared" si="92"/>
        <v>#N/A</v>
      </c>
      <c r="BA186" s="694"/>
    </row>
    <row r="187" spans="2:53">
      <c r="B187" s="680"/>
      <c r="C187" s="348">
        <v>6</v>
      </c>
      <c r="D187" s="201"/>
      <c r="E187" s="201"/>
      <c r="F187" s="201"/>
      <c r="G187" s="514"/>
      <c r="H187" s="692"/>
      <c r="I187" s="363" t="str">
        <f t="shared" si="89"/>
        <v>-</v>
      </c>
      <c r="J187" s="363" t="str">
        <f t="shared" si="90"/>
        <v>-</v>
      </c>
      <c r="K187" s="199" t="str">
        <f t="shared" si="91"/>
        <v>-</v>
      </c>
      <c r="L187" s="634"/>
      <c r="M187" s="349" t="e">
        <f>RANK(K187, K$182:$K$211)</f>
        <v>#VALUE!</v>
      </c>
      <c r="N187" s="652"/>
      <c r="O187" s="652"/>
      <c r="P187" s="507"/>
      <c r="Q187" s="509"/>
      <c r="R187" s="509"/>
      <c r="S187" s="508"/>
      <c r="T187" s="685"/>
      <c r="U187" s="507"/>
      <c r="V187" s="509"/>
      <c r="W187" s="509"/>
      <c r="X187" s="508"/>
      <c r="Y187" s="685"/>
      <c r="Z187" s="507"/>
      <c r="AA187" s="509"/>
      <c r="AB187" s="509"/>
      <c r="AC187" s="508"/>
      <c r="AD187" s="685"/>
      <c r="AE187" s="507"/>
      <c r="AF187" s="509"/>
      <c r="AG187" s="509"/>
      <c r="AH187" s="508"/>
      <c r="AI187" s="685"/>
      <c r="AJ187" s="507"/>
      <c r="AK187" s="509"/>
      <c r="AL187" s="509"/>
      <c r="AM187" s="508"/>
      <c r="AN187" s="685"/>
      <c r="AO187" s="507"/>
      <c r="AP187" s="509"/>
      <c r="AQ187" s="509"/>
      <c r="AR187" s="508"/>
      <c r="AS187" s="685"/>
      <c r="AT187" s="507"/>
      <c r="AU187" s="509"/>
      <c r="AV187" s="509"/>
      <c r="AW187" s="508"/>
      <c r="AX187" s="685"/>
      <c r="AZ187" s="350" t="e">
        <f t="shared" si="92"/>
        <v>#N/A</v>
      </c>
      <c r="BA187" s="694"/>
    </row>
    <row r="188" spans="2:53">
      <c r="B188" s="680"/>
      <c r="C188" s="348">
        <v>7</v>
      </c>
      <c r="D188" s="201"/>
      <c r="E188" s="201"/>
      <c r="F188" s="201"/>
      <c r="G188" s="514"/>
      <c r="H188" s="692"/>
      <c r="I188" s="363" t="str">
        <f t="shared" si="89"/>
        <v>-</v>
      </c>
      <c r="J188" s="363" t="str">
        <f t="shared" si="90"/>
        <v>-</v>
      </c>
      <c r="K188" s="199" t="str">
        <f t="shared" si="91"/>
        <v>-</v>
      </c>
      <c r="L188" s="634"/>
      <c r="M188" s="349" t="e">
        <f>RANK(K188, K$182:$K$211)</f>
        <v>#VALUE!</v>
      </c>
      <c r="N188" s="652"/>
      <c r="O188" s="652"/>
      <c r="P188" s="507"/>
      <c r="Q188" s="509"/>
      <c r="R188" s="509"/>
      <c r="S188" s="508"/>
      <c r="T188" s="685"/>
      <c r="U188" s="507"/>
      <c r="V188" s="509"/>
      <c r="W188" s="509"/>
      <c r="X188" s="508"/>
      <c r="Y188" s="685"/>
      <c r="Z188" s="507"/>
      <c r="AA188" s="509"/>
      <c r="AB188" s="509"/>
      <c r="AC188" s="508"/>
      <c r="AD188" s="685"/>
      <c r="AE188" s="507"/>
      <c r="AF188" s="509"/>
      <c r="AG188" s="509"/>
      <c r="AH188" s="508"/>
      <c r="AI188" s="685"/>
      <c r="AJ188" s="507"/>
      <c r="AK188" s="509"/>
      <c r="AL188" s="509"/>
      <c r="AM188" s="508"/>
      <c r="AN188" s="685"/>
      <c r="AO188" s="507"/>
      <c r="AP188" s="509"/>
      <c r="AQ188" s="509"/>
      <c r="AR188" s="508"/>
      <c r="AS188" s="685"/>
      <c r="AT188" s="507"/>
      <c r="AU188" s="509"/>
      <c r="AV188" s="509"/>
      <c r="AW188" s="508"/>
      <c r="AX188" s="685"/>
      <c r="AZ188" s="350" t="e">
        <f t="shared" si="92"/>
        <v>#N/A</v>
      </c>
      <c r="BA188" s="694"/>
    </row>
    <row r="189" spans="2:53">
      <c r="B189" s="680"/>
      <c r="C189" s="348">
        <v>8</v>
      </c>
      <c r="D189" s="201"/>
      <c r="E189" s="201"/>
      <c r="F189" s="201"/>
      <c r="G189" s="514"/>
      <c r="H189" s="692"/>
      <c r="I189" s="363" t="str">
        <f t="shared" si="89"/>
        <v>-</v>
      </c>
      <c r="J189" s="363" t="str">
        <f t="shared" si="90"/>
        <v>-</v>
      </c>
      <c r="K189" s="199" t="str">
        <f t="shared" si="91"/>
        <v>-</v>
      </c>
      <c r="L189" s="634"/>
      <c r="M189" s="349" t="e">
        <f>RANK(K189, K$182:$K$211)</f>
        <v>#VALUE!</v>
      </c>
      <c r="N189" s="652"/>
      <c r="O189" s="652"/>
      <c r="P189" s="507"/>
      <c r="Q189" s="509"/>
      <c r="R189" s="509"/>
      <c r="S189" s="508"/>
      <c r="T189" s="685"/>
      <c r="U189" s="507"/>
      <c r="V189" s="509"/>
      <c r="W189" s="509"/>
      <c r="X189" s="508"/>
      <c r="Y189" s="685"/>
      <c r="Z189" s="507"/>
      <c r="AA189" s="509"/>
      <c r="AB189" s="509"/>
      <c r="AC189" s="508"/>
      <c r="AD189" s="685"/>
      <c r="AE189" s="507"/>
      <c r="AF189" s="509"/>
      <c r="AG189" s="509"/>
      <c r="AH189" s="508"/>
      <c r="AI189" s="685"/>
      <c r="AJ189" s="507"/>
      <c r="AK189" s="509"/>
      <c r="AL189" s="509"/>
      <c r="AM189" s="508"/>
      <c r="AN189" s="685"/>
      <c r="AO189" s="507"/>
      <c r="AP189" s="509"/>
      <c r="AQ189" s="509"/>
      <c r="AR189" s="508"/>
      <c r="AS189" s="685"/>
      <c r="AT189" s="507"/>
      <c r="AU189" s="509"/>
      <c r="AV189" s="509"/>
      <c r="AW189" s="508"/>
      <c r="AX189" s="685"/>
      <c r="AZ189" s="350" t="e">
        <f t="shared" si="92"/>
        <v>#N/A</v>
      </c>
      <c r="BA189" s="694"/>
    </row>
    <row r="190" spans="2:53">
      <c r="B190" s="680"/>
      <c r="C190" s="348">
        <v>9</v>
      </c>
      <c r="D190" s="201"/>
      <c r="E190" s="201"/>
      <c r="F190" s="201"/>
      <c r="G190" s="514"/>
      <c r="H190" s="692"/>
      <c r="I190" s="363" t="str">
        <f t="shared" si="89"/>
        <v>-</v>
      </c>
      <c r="J190" s="363" t="str">
        <f t="shared" si="90"/>
        <v>-</v>
      </c>
      <c r="K190" s="199" t="str">
        <f t="shared" si="91"/>
        <v>-</v>
      </c>
      <c r="L190" s="634"/>
      <c r="M190" s="349" t="e">
        <f>RANK(K190, K$182:$K$211)</f>
        <v>#VALUE!</v>
      </c>
      <c r="N190" s="652"/>
      <c r="O190" s="652"/>
      <c r="P190" s="507"/>
      <c r="Q190" s="509"/>
      <c r="R190" s="509"/>
      <c r="S190" s="508"/>
      <c r="T190" s="685"/>
      <c r="U190" s="507"/>
      <c r="V190" s="509"/>
      <c r="W190" s="509"/>
      <c r="X190" s="508"/>
      <c r="Y190" s="685"/>
      <c r="Z190" s="507"/>
      <c r="AA190" s="509"/>
      <c r="AB190" s="509"/>
      <c r="AC190" s="508"/>
      <c r="AD190" s="685"/>
      <c r="AE190" s="507"/>
      <c r="AF190" s="509"/>
      <c r="AG190" s="509"/>
      <c r="AH190" s="508"/>
      <c r="AI190" s="685"/>
      <c r="AJ190" s="507"/>
      <c r="AK190" s="509"/>
      <c r="AL190" s="509"/>
      <c r="AM190" s="508"/>
      <c r="AN190" s="685"/>
      <c r="AO190" s="507"/>
      <c r="AP190" s="509"/>
      <c r="AQ190" s="509"/>
      <c r="AR190" s="508"/>
      <c r="AS190" s="685"/>
      <c r="AT190" s="507"/>
      <c r="AU190" s="509"/>
      <c r="AV190" s="509"/>
      <c r="AW190" s="508"/>
      <c r="AX190" s="685"/>
      <c r="AZ190" s="350" t="e">
        <f t="shared" si="92"/>
        <v>#N/A</v>
      </c>
      <c r="BA190" s="694"/>
    </row>
    <row r="191" spans="2:53">
      <c r="B191" s="680"/>
      <c r="C191" s="348">
        <v>10</v>
      </c>
      <c r="D191" s="201"/>
      <c r="E191" s="201"/>
      <c r="F191" s="201"/>
      <c r="G191" s="514"/>
      <c r="H191" s="692"/>
      <c r="I191" s="363" t="str">
        <f t="shared" si="89"/>
        <v>-</v>
      </c>
      <c r="J191" s="363" t="str">
        <f t="shared" si="90"/>
        <v>-</v>
      </c>
      <c r="K191" s="199" t="str">
        <f t="shared" si="91"/>
        <v>-</v>
      </c>
      <c r="L191" s="634"/>
      <c r="M191" s="349" t="e">
        <f>RANK(K191, K$182:$K$211)</f>
        <v>#VALUE!</v>
      </c>
      <c r="N191" s="652"/>
      <c r="O191" s="652"/>
      <c r="P191" s="507"/>
      <c r="Q191" s="509"/>
      <c r="R191" s="509"/>
      <c r="S191" s="508"/>
      <c r="T191" s="685"/>
      <c r="U191" s="507"/>
      <c r="V191" s="509"/>
      <c r="W191" s="509"/>
      <c r="X191" s="508"/>
      <c r="Y191" s="685"/>
      <c r="Z191" s="507"/>
      <c r="AA191" s="509"/>
      <c r="AB191" s="509"/>
      <c r="AC191" s="508"/>
      <c r="AD191" s="685"/>
      <c r="AE191" s="507"/>
      <c r="AF191" s="509"/>
      <c r="AG191" s="509"/>
      <c r="AH191" s="508"/>
      <c r="AI191" s="685"/>
      <c r="AJ191" s="507"/>
      <c r="AK191" s="509"/>
      <c r="AL191" s="509"/>
      <c r="AM191" s="508"/>
      <c r="AN191" s="685"/>
      <c r="AO191" s="507"/>
      <c r="AP191" s="509"/>
      <c r="AQ191" s="509"/>
      <c r="AR191" s="508"/>
      <c r="AS191" s="685"/>
      <c r="AT191" s="507"/>
      <c r="AU191" s="509"/>
      <c r="AV191" s="509"/>
      <c r="AW191" s="508"/>
      <c r="AX191" s="685"/>
      <c r="AZ191" s="350" t="e">
        <f t="shared" si="92"/>
        <v>#N/A</v>
      </c>
      <c r="BA191" s="694"/>
    </row>
    <row r="192" spans="2:53">
      <c r="B192" s="680"/>
      <c r="C192" s="348">
        <v>11</v>
      </c>
      <c r="D192" s="201"/>
      <c r="E192" s="201"/>
      <c r="F192" s="201"/>
      <c r="G192" s="514"/>
      <c r="H192" s="692"/>
      <c r="I192" s="363" t="str">
        <f t="shared" si="89"/>
        <v>-</v>
      </c>
      <c r="J192" s="363" t="str">
        <f t="shared" si="90"/>
        <v>-</v>
      </c>
      <c r="K192" s="199" t="str">
        <f t="shared" si="91"/>
        <v>-</v>
      </c>
      <c r="L192" s="634"/>
      <c r="M192" s="349" t="e">
        <f>RANK(K192, K$182:$K$211)</f>
        <v>#VALUE!</v>
      </c>
      <c r="N192" s="652"/>
      <c r="O192" s="652"/>
      <c r="P192" s="507"/>
      <c r="Q192" s="509"/>
      <c r="R192" s="509"/>
      <c r="S192" s="508"/>
      <c r="T192" s="685"/>
      <c r="U192" s="507"/>
      <c r="V192" s="509"/>
      <c r="W192" s="509"/>
      <c r="X192" s="508"/>
      <c r="Y192" s="685"/>
      <c r="Z192" s="507"/>
      <c r="AA192" s="509"/>
      <c r="AB192" s="509"/>
      <c r="AC192" s="508"/>
      <c r="AD192" s="685"/>
      <c r="AE192" s="507"/>
      <c r="AF192" s="509"/>
      <c r="AG192" s="509"/>
      <c r="AH192" s="508"/>
      <c r="AI192" s="685"/>
      <c r="AJ192" s="507"/>
      <c r="AK192" s="509"/>
      <c r="AL192" s="509"/>
      <c r="AM192" s="508"/>
      <c r="AN192" s="685"/>
      <c r="AO192" s="507"/>
      <c r="AP192" s="509"/>
      <c r="AQ192" s="509"/>
      <c r="AR192" s="508"/>
      <c r="AS192" s="685"/>
      <c r="AT192" s="507"/>
      <c r="AU192" s="509"/>
      <c r="AV192" s="509"/>
      <c r="AW192" s="508"/>
      <c r="AX192" s="685"/>
      <c r="AZ192" s="350" t="e">
        <f t="shared" si="92"/>
        <v>#N/A</v>
      </c>
      <c r="BA192" s="694"/>
    </row>
    <row r="193" spans="2:53">
      <c r="B193" s="680"/>
      <c r="C193" s="348">
        <v>12</v>
      </c>
      <c r="D193" s="515"/>
      <c r="E193" s="201"/>
      <c r="F193" s="201"/>
      <c r="G193" s="514"/>
      <c r="H193" s="692"/>
      <c r="I193" s="363" t="str">
        <f t="shared" si="89"/>
        <v>-</v>
      </c>
      <c r="J193" s="363" t="str">
        <f t="shared" si="90"/>
        <v>-</v>
      </c>
      <c r="K193" s="199" t="str">
        <f t="shared" si="91"/>
        <v>-</v>
      </c>
      <c r="L193" s="634"/>
      <c r="M193" s="349" t="e">
        <f>RANK(K193, K$182:$K$211)</f>
        <v>#VALUE!</v>
      </c>
      <c r="N193" s="652"/>
      <c r="O193" s="652"/>
      <c r="P193" s="507"/>
      <c r="Q193" s="509"/>
      <c r="R193" s="509"/>
      <c r="S193" s="508"/>
      <c r="T193" s="685"/>
      <c r="U193" s="507"/>
      <c r="V193" s="509"/>
      <c r="W193" s="509"/>
      <c r="X193" s="508"/>
      <c r="Y193" s="685"/>
      <c r="Z193" s="507"/>
      <c r="AA193" s="509"/>
      <c r="AB193" s="509"/>
      <c r="AC193" s="508"/>
      <c r="AD193" s="685"/>
      <c r="AE193" s="507"/>
      <c r="AF193" s="509"/>
      <c r="AG193" s="509"/>
      <c r="AH193" s="508"/>
      <c r="AI193" s="685"/>
      <c r="AJ193" s="507"/>
      <c r="AK193" s="509"/>
      <c r="AL193" s="509"/>
      <c r="AM193" s="508"/>
      <c r="AN193" s="685"/>
      <c r="AO193" s="507"/>
      <c r="AP193" s="509"/>
      <c r="AQ193" s="509"/>
      <c r="AR193" s="508"/>
      <c r="AS193" s="685"/>
      <c r="AT193" s="507"/>
      <c r="AU193" s="509"/>
      <c r="AV193" s="509"/>
      <c r="AW193" s="508"/>
      <c r="AX193" s="685"/>
      <c r="AZ193" s="350" t="e">
        <f t="shared" si="92"/>
        <v>#N/A</v>
      </c>
      <c r="BA193" s="694"/>
    </row>
    <row r="194" spans="2:53">
      <c r="B194" s="680"/>
      <c r="C194" s="348">
        <v>13</v>
      </c>
      <c r="D194" s="201"/>
      <c r="E194" s="201"/>
      <c r="F194" s="201"/>
      <c r="G194" s="514"/>
      <c r="H194" s="692"/>
      <c r="I194" s="363" t="str">
        <f t="shared" si="89"/>
        <v>-</v>
      </c>
      <c r="J194" s="363" t="str">
        <f t="shared" si="90"/>
        <v>-</v>
      </c>
      <c r="K194" s="199" t="str">
        <f t="shared" si="91"/>
        <v>-</v>
      </c>
      <c r="L194" s="634"/>
      <c r="M194" s="349" t="e">
        <f>RANK(K194, K$182:$K$211)</f>
        <v>#VALUE!</v>
      </c>
      <c r="N194" s="652"/>
      <c r="O194" s="652"/>
      <c r="P194" s="507"/>
      <c r="Q194" s="509"/>
      <c r="R194" s="509"/>
      <c r="S194" s="508"/>
      <c r="T194" s="685"/>
      <c r="U194" s="507"/>
      <c r="V194" s="509"/>
      <c r="W194" s="509"/>
      <c r="X194" s="508"/>
      <c r="Y194" s="685"/>
      <c r="Z194" s="507"/>
      <c r="AA194" s="509"/>
      <c r="AB194" s="509"/>
      <c r="AC194" s="508"/>
      <c r="AD194" s="685"/>
      <c r="AE194" s="507"/>
      <c r="AF194" s="509"/>
      <c r="AG194" s="509"/>
      <c r="AH194" s="508"/>
      <c r="AI194" s="685"/>
      <c r="AJ194" s="507"/>
      <c r="AK194" s="509"/>
      <c r="AL194" s="509"/>
      <c r="AM194" s="508"/>
      <c r="AN194" s="685"/>
      <c r="AO194" s="507"/>
      <c r="AP194" s="509"/>
      <c r="AQ194" s="509"/>
      <c r="AR194" s="508"/>
      <c r="AS194" s="685"/>
      <c r="AT194" s="507"/>
      <c r="AU194" s="509"/>
      <c r="AV194" s="509"/>
      <c r="AW194" s="508"/>
      <c r="AX194" s="685"/>
      <c r="AZ194" s="350" t="e">
        <f t="shared" si="92"/>
        <v>#N/A</v>
      </c>
      <c r="BA194" s="694"/>
    </row>
    <row r="195" spans="2:53">
      <c r="B195" s="680"/>
      <c r="C195" s="348">
        <v>14</v>
      </c>
      <c r="D195" s="201"/>
      <c r="E195" s="201"/>
      <c r="F195" s="201"/>
      <c r="G195" s="514"/>
      <c r="H195" s="692"/>
      <c r="I195" s="363" t="str">
        <f t="shared" si="89"/>
        <v>-</v>
      </c>
      <c r="J195" s="363" t="str">
        <f t="shared" si="90"/>
        <v>-</v>
      </c>
      <c r="K195" s="199" t="str">
        <f t="shared" si="91"/>
        <v>-</v>
      </c>
      <c r="L195" s="634"/>
      <c r="M195" s="349" t="e">
        <f>RANK(K195, K$182:$K$211)</f>
        <v>#VALUE!</v>
      </c>
      <c r="N195" s="652"/>
      <c r="O195" s="652"/>
      <c r="P195" s="507"/>
      <c r="Q195" s="509"/>
      <c r="R195" s="509"/>
      <c r="S195" s="508"/>
      <c r="T195" s="685"/>
      <c r="U195" s="507"/>
      <c r="V195" s="509"/>
      <c r="W195" s="509"/>
      <c r="X195" s="508"/>
      <c r="Y195" s="685"/>
      <c r="Z195" s="507"/>
      <c r="AA195" s="509"/>
      <c r="AB195" s="509"/>
      <c r="AC195" s="508"/>
      <c r="AD195" s="685"/>
      <c r="AE195" s="507"/>
      <c r="AF195" s="509"/>
      <c r="AG195" s="509"/>
      <c r="AH195" s="508"/>
      <c r="AI195" s="685"/>
      <c r="AJ195" s="507"/>
      <c r="AK195" s="509"/>
      <c r="AL195" s="509"/>
      <c r="AM195" s="508"/>
      <c r="AN195" s="685"/>
      <c r="AO195" s="507"/>
      <c r="AP195" s="509"/>
      <c r="AQ195" s="509"/>
      <c r="AR195" s="508"/>
      <c r="AS195" s="685"/>
      <c r="AT195" s="507"/>
      <c r="AU195" s="509"/>
      <c r="AV195" s="509"/>
      <c r="AW195" s="508"/>
      <c r="AX195" s="685"/>
      <c r="AZ195" s="350" t="e">
        <f t="shared" si="92"/>
        <v>#N/A</v>
      </c>
      <c r="BA195" s="694"/>
    </row>
    <row r="196" spans="2:53">
      <c r="B196" s="680"/>
      <c r="C196" s="348">
        <v>15</v>
      </c>
      <c r="D196" s="515"/>
      <c r="E196" s="201"/>
      <c r="F196" s="201"/>
      <c r="G196" s="514"/>
      <c r="H196" s="692"/>
      <c r="I196" s="363" t="str">
        <f t="shared" si="89"/>
        <v>-</v>
      </c>
      <c r="J196" s="363" t="str">
        <f t="shared" si="90"/>
        <v>-</v>
      </c>
      <c r="K196" s="199" t="str">
        <f t="shared" si="91"/>
        <v>-</v>
      </c>
      <c r="L196" s="634"/>
      <c r="M196" s="349" t="e">
        <f>RANK(K196, K$182:$K$211)</f>
        <v>#VALUE!</v>
      </c>
      <c r="N196" s="652"/>
      <c r="O196" s="652"/>
      <c r="P196" s="507"/>
      <c r="Q196" s="509"/>
      <c r="R196" s="509"/>
      <c r="S196" s="508"/>
      <c r="T196" s="685"/>
      <c r="U196" s="507"/>
      <c r="V196" s="509"/>
      <c r="W196" s="509"/>
      <c r="X196" s="508"/>
      <c r="Y196" s="685"/>
      <c r="Z196" s="507"/>
      <c r="AA196" s="509"/>
      <c r="AB196" s="509"/>
      <c r="AC196" s="508"/>
      <c r="AD196" s="685"/>
      <c r="AE196" s="507"/>
      <c r="AF196" s="509"/>
      <c r="AG196" s="509"/>
      <c r="AH196" s="508"/>
      <c r="AI196" s="685"/>
      <c r="AJ196" s="507"/>
      <c r="AK196" s="509"/>
      <c r="AL196" s="509"/>
      <c r="AM196" s="508"/>
      <c r="AN196" s="685"/>
      <c r="AO196" s="507"/>
      <c r="AP196" s="509"/>
      <c r="AQ196" s="509"/>
      <c r="AR196" s="508"/>
      <c r="AS196" s="685"/>
      <c r="AT196" s="507"/>
      <c r="AU196" s="509"/>
      <c r="AV196" s="509"/>
      <c r="AW196" s="508"/>
      <c r="AX196" s="685"/>
      <c r="AZ196" s="350" t="e">
        <f t="shared" si="92"/>
        <v>#N/A</v>
      </c>
      <c r="BA196" s="694"/>
    </row>
    <row r="197" spans="2:53">
      <c r="B197" s="680"/>
      <c r="C197" s="348">
        <v>16</v>
      </c>
      <c r="D197" s="201"/>
      <c r="E197" s="201"/>
      <c r="F197" s="201"/>
      <c r="G197" s="514"/>
      <c r="H197" s="692"/>
      <c r="I197" s="363" t="str">
        <f t="shared" si="89"/>
        <v>-</v>
      </c>
      <c r="J197" s="363" t="str">
        <f t="shared" si="90"/>
        <v>-</v>
      </c>
      <c r="K197" s="199" t="str">
        <f t="shared" si="91"/>
        <v>-</v>
      </c>
      <c r="L197" s="634"/>
      <c r="M197" s="349" t="e">
        <f>RANK(K197, K$182:$K$211)</f>
        <v>#VALUE!</v>
      </c>
      <c r="N197" s="652"/>
      <c r="O197" s="652"/>
      <c r="P197" s="507"/>
      <c r="Q197" s="509"/>
      <c r="R197" s="509"/>
      <c r="S197" s="508"/>
      <c r="T197" s="685"/>
      <c r="U197" s="507"/>
      <c r="V197" s="509"/>
      <c r="W197" s="509"/>
      <c r="X197" s="508"/>
      <c r="Y197" s="685"/>
      <c r="Z197" s="507"/>
      <c r="AA197" s="509"/>
      <c r="AB197" s="509"/>
      <c r="AC197" s="508"/>
      <c r="AD197" s="685"/>
      <c r="AE197" s="507"/>
      <c r="AF197" s="509"/>
      <c r="AG197" s="509"/>
      <c r="AH197" s="508"/>
      <c r="AI197" s="685"/>
      <c r="AJ197" s="507"/>
      <c r="AK197" s="509"/>
      <c r="AL197" s="509"/>
      <c r="AM197" s="508"/>
      <c r="AN197" s="685"/>
      <c r="AO197" s="507"/>
      <c r="AP197" s="509"/>
      <c r="AQ197" s="509"/>
      <c r="AR197" s="508"/>
      <c r="AS197" s="685"/>
      <c r="AT197" s="507"/>
      <c r="AU197" s="509"/>
      <c r="AV197" s="509"/>
      <c r="AW197" s="508"/>
      <c r="AX197" s="685"/>
      <c r="AZ197" s="350" t="e">
        <f t="shared" si="92"/>
        <v>#N/A</v>
      </c>
      <c r="BA197" s="694"/>
    </row>
    <row r="198" spans="2:53">
      <c r="B198" s="680"/>
      <c r="C198" s="348">
        <v>17</v>
      </c>
      <c r="D198" s="201"/>
      <c r="E198" s="201"/>
      <c r="F198" s="201"/>
      <c r="G198" s="514"/>
      <c r="H198" s="692"/>
      <c r="I198" s="363" t="str">
        <f t="shared" si="89"/>
        <v>-</v>
      </c>
      <c r="J198" s="363" t="str">
        <f t="shared" si="90"/>
        <v>-</v>
      </c>
      <c r="K198" s="199" t="str">
        <f t="shared" si="91"/>
        <v>-</v>
      </c>
      <c r="L198" s="634"/>
      <c r="M198" s="349" t="e">
        <f>RANK(K198, K$182:$K$211)</f>
        <v>#VALUE!</v>
      </c>
      <c r="N198" s="652"/>
      <c r="O198" s="652"/>
      <c r="P198" s="507"/>
      <c r="Q198" s="509"/>
      <c r="R198" s="509"/>
      <c r="S198" s="508"/>
      <c r="T198" s="685"/>
      <c r="U198" s="507"/>
      <c r="V198" s="509"/>
      <c r="W198" s="509"/>
      <c r="X198" s="508"/>
      <c r="Y198" s="685"/>
      <c r="Z198" s="507"/>
      <c r="AA198" s="509"/>
      <c r="AB198" s="509"/>
      <c r="AC198" s="508"/>
      <c r="AD198" s="685"/>
      <c r="AE198" s="507"/>
      <c r="AF198" s="509"/>
      <c r="AG198" s="509"/>
      <c r="AH198" s="508"/>
      <c r="AI198" s="685"/>
      <c r="AJ198" s="507"/>
      <c r="AK198" s="509"/>
      <c r="AL198" s="509"/>
      <c r="AM198" s="508"/>
      <c r="AN198" s="685"/>
      <c r="AO198" s="507"/>
      <c r="AP198" s="509"/>
      <c r="AQ198" s="509"/>
      <c r="AR198" s="508"/>
      <c r="AS198" s="685"/>
      <c r="AT198" s="507"/>
      <c r="AU198" s="509"/>
      <c r="AV198" s="509"/>
      <c r="AW198" s="508"/>
      <c r="AX198" s="685"/>
      <c r="AZ198" s="350" t="e">
        <f t="shared" si="92"/>
        <v>#N/A</v>
      </c>
      <c r="BA198" s="694"/>
    </row>
    <row r="199" spans="2:53">
      <c r="B199" s="680"/>
      <c r="C199" s="348">
        <v>18</v>
      </c>
      <c r="D199" s="515"/>
      <c r="E199" s="201"/>
      <c r="F199" s="201"/>
      <c r="G199" s="514"/>
      <c r="H199" s="692"/>
      <c r="I199" s="363" t="str">
        <f t="shared" si="89"/>
        <v>-</v>
      </c>
      <c r="J199" s="363" t="str">
        <f t="shared" si="90"/>
        <v>-</v>
      </c>
      <c r="K199" s="199" t="str">
        <f t="shared" si="91"/>
        <v>-</v>
      </c>
      <c r="L199" s="634"/>
      <c r="M199" s="349" t="e">
        <f>RANK(K199, K$182:$K$211)</f>
        <v>#VALUE!</v>
      </c>
      <c r="N199" s="652"/>
      <c r="O199" s="652"/>
      <c r="P199" s="507"/>
      <c r="Q199" s="509"/>
      <c r="R199" s="509"/>
      <c r="S199" s="508"/>
      <c r="T199" s="685"/>
      <c r="U199" s="507"/>
      <c r="V199" s="509"/>
      <c r="W199" s="509"/>
      <c r="X199" s="508"/>
      <c r="Y199" s="685"/>
      <c r="Z199" s="507"/>
      <c r="AA199" s="509"/>
      <c r="AB199" s="509"/>
      <c r="AC199" s="508"/>
      <c r="AD199" s="685"/>
      <c r="AE199" s="507"/>
      <c r="AF199" s="509"/>
      <c r="AG199" s="509"/>
      <c r="AH199" s="508"/>
      <c r="AI199" s="685"/>
      <c r="AJ199" s="507"/>
      <c r="AK199" s="509"/>
      <c r="AL199" s="509"/>
      <c r="AM199" s="508"/>
      <c r="AN199" s="685"/>
      <c r="AO199" s="507"/>
      <c r="AP199" s="509"/>
      <c r="AQ199" s="509"/>
      <c r="AR199" s="508"/>
      <c r="AS199" s="685"/>
      <c r="AT199" s="507"/>
      <c r="AU199" s="509"/>
      <c r="AV199" s="509"/>
      <c r="AW199" s="508"/>
      <c r="AX199" s="685"/>
      <c r="AZ199" s="350" t="e">
        <f t="shared" si="92"/>
        <v>#N/A</v>
      </c>
      <c r="BA199" s="694"/>
    </row>
    <row r="200" spans="2:53">
      <c r="B200" s="680"/>
      <c r="C200" s="348">
        <v>19</v>
      </c>
      <c r="D200" s="515"/>
      <c r="E200" s="201"/>
      <c r="F200" s="201"/>
      <c r="G200" s="514"/>
      <c r="H200" s="692"/>
      <c r="I200" s="363" t="str">
        <f t="shared" si="89"/>
        <v>-</v>
      </c>
      <c r="J200" s="363" t="str">
        <f t="shared" si="90"/>
        <v>-</v>
      </c>
      <c r="K200" s="199" t="str">
        <f t="shared" si="91"/>
        <v>-</v>
      </c>
      <c r="L200" s="634"/>
      <c r="M200" s="349" t="e">
        <f>RANK(K200, K$182:$K$211)</f>
        <v>#VALUE!</v>
      </c>
      <c r="N200" s="652"/>
      <c r="O200" s="652"/>
      <c r="P200" s="507"/>
      <c r="Q200" s="509"/>
      <c r="R200" s="509"/>
      <c r="S200" s="508"/>
      <c r="T200" s="685"/>
      <c r="U200" s="507"/>
      <c r="V200" s="509"/>
      <c r="W200" s="509"/>
      <c r="X200" s="508"/>
      <c r="Y200" s="685"/>
      <c r="Z200" s="507"/>
      <c r="AA200" s="509"/>
      <c r="AB200" s="509"/>
      <c r="AC200" s="508"/>
      <c r="AD200" s="685"/>
      <c r="AE200" s="507"/>
      <c r="AF200" s="509"/>
      <c r="AG200" s="509"/>
      <c r="AH200" s="508"/>
      <c r="AI200" s="685"/>
      <c r="AJ200" s="507"/>
      <c r="AK200" s="509"/>
      <c r="AL200" s="509"/>
      <c r="AM200" s="508"/>
      <c r="AN200" s="685"/>
      <c r="AO200" s="507"/>
      <c r="AP200" s="509"/>
      <c r="AQ200" s="509"/>
      <c r="AR200" s="508"/>
      <c r="AS200" s="685"/>
      <c r="AT200" s="507"/>
      <c r="AU200" s="509"/>
      <c r="AV200" s="509"/>
      <c r="AW200" s="508"/>
      <c r="AX200" s="685"/>
      <c r="AZ200" s="350" t="e">
        <f t="shared" si="92"/>
        <v>#N/A</v>
      </c>
      <c r="BA200" s="694"/>
    </row>
    <row r="201" spans="2:53">
      <c r="B201" s="680"/>
      <c r="C201" s="348">
        <v>20</v>
      </c>
      <c r="D201" s="515"/>
      <c r="E201" s="201"/>
      <c r="F201" s="201"/>
      <c r="G201" s="514"/>
      <c r="H201" s="692"/>
      <c r="I201" s="363" t="str">
        <f t="shared" si="89"/>
        <v>-</v>
      </c>
      <c r="J201" s="363" t="str">
        <f t="shared" si="90"/>
        <v>-</v>
      </c>
      <c r="K201" s="199" t="str">
        <f t="shared" si="91"/>
        <v>-</v>
      </c>
      <c r="L201" s="634"/>
      <c r="M201" s="349" t="e">
        <f>RANK(K201, K$182:$K$211)</f>
        <v>#VALUE!</v>
      </c>
      <c r="N201" s="652"/>
      <c r="O201" s="652"/>
      <c r="P201" s="507"/>
      <c r="Q201" s="509"/>
      <c r="R201" s="509"/>
      <c r="S201" s="508"/>
      <c r="T201" s="685"/>
      <c r="U201" s="507"/>
      <c r="V201" s="509"/>
      <c r="W201" s="509"/>
      <c r="X201" s="508"/>
      <c r="Y201" s="685"/>
      <c r="Z201" s="507"/>
      <c r="AA201" s="509"/>
      <c r="AB201" s="509"/>
      <c r="AC201" s="508"/>
      <c r="AD201" s="685"/>
      <c r="AE201" s="507"/>
      <c r="AF201" s="509"/>
      <c r="AG201" s="509"/>
      <c r="AH201" s="508"/>
      <c r="AI201" s="685"/>
      <c r="AJ201" s="507"/>
      <c r="AK201" s="509"/>
      <c r="AL201" s="509"/>
      <c r="AM201" s="508"/>
      <c r="AN201" s="685"/>
      <c r="AO201" s="507"/>
      <c r="AP201" s="509"/>
      <c r="AQ201" s="509"/>
      <c r="AR201" s="508"/>
      <c r="AS201" s="685"/>
      <c r="AT201" s="507"/>
      <c r="AU201" s="509"/>
      <c r="AV201" s="509"/>
      <c r="AW201" s="508"/>
      <c r="AX201" s="685"/>
      <c r="AZ201" s="350" t="e">
        <f t="shared" si="92"/>
        <v>#N/A</v>
      </c>
      <c r="BA201" s="694"/>
    </row>
    <row r="202" spans="2:53">
      <c r="B202" s="680"/>
      <c r="C202" s="348">
        <v>21</v>
      </c>
      <c r="D202" s="515"/>
      <c r="E202" s="201"/>
      <c r="F202" s="201"/>
      <c r="G202" s="514"/>
      <c r="H202" s="692"/>
      <c r="I202" s="363" t="str">
        <f t="shared" si="89"/>
        <v>-</v>
      </c>
      <c r="J202" s="363" t="str">
        <f t="shared" si="90"/>
        <v>-</v>
      </c>
      <c r="K202" s="199" t="str">
        <f t="shared" si="91"/>
        <v>-</v>
      </c>
      <c r="L202" s="634"/>
      <c r="M202" s="349" t="e">
        <f>RANK(K202, K$182:$K$211)</f>
        <v>#VALUE!</v>
      </c>
      <c r="N202" s="652"/>
      <c r="O202" s="652"/>
      <c r="P202" s="507"/>
      <c r="Q202" s="509"/>
      <c r="R202" s="509"/>
      <c r="S202" s="508"/>
      <c r="T202" s="685"/>
      <c r="U202" s="507"/>
      <c r="V202" s="509"/>
      <c r="W202" s="509"/>
      <c r="X202" s="508"/>
      <c r="Y202" s="685"/>
      <c r="Z202" s="507"/>
      <c r="AA202" s="509"/>
      <c r="AB202" s="509"/>
      <c r="AC202" s="508"/>
      <c r="AD202" s="685"/>
      <c r="AE202" s="507"/>
      <c r="AF202" s="509"/>
      <c r="AG202" s="509"/>
      <c r="AH202" s="508"/>
      <c r="AI202" s="685"/>
      <c r="AJ202" s="507"/>
      <c r="AK202" s="509"/>
      <c r="AL202" s="509"/>
      <c r="AM202" s="508"/>
      <c r="AN202" s="685"/>
      <c r="AO202" s="507"/>
      <c r="AP202" s="509"/>
      <c r="AQ202" s="509"/>
      <c r="AR202" s="508"/>
      <c r="AS202" s="685"/>
      <c r="AT202" s="507"/>
      <c r="AU202" s="509"/>
      <c r="AV202" s="509"/>
      <c r="AW202" s="508"/>
      <c r="AX202" s="685"/>
      <c r="AZ202" s="350" t="e">
        <f t="shared" si="92"/>
        <v>#N/A</v>
      </c>
      <c r="BA202" s="694"/>
    </row>
    <row r="203" spans="2:53">
      <c r="B203" s="680"/>
      <c r="C203" s="348">
        <v>22</v>
      </c>
      <c r="D203" s="515"/>
      <c r="E203" s="201"/>
      <c r="F203" s="201"/>
      <c r="G203" s="514"/>
      <c r="H203" s="692"/>
      <c r="I203" s="363" t="str">
        <f t="shared" si="89"/>
        <v>-</v>
      </c>
      <c r="J203" s="363" t="str">
        <f t="shared" si="90"/>
        <v>-</v>
      </c>
      <c r="K203" s="199" t="str">
        <f t="shared" si="91"/>
        <v>-</v>
      </c>
      <c r="L203" s="634"/>
      <c r="M203" s="349" t="e">
        <f>RANK(K203, K$182:$K$211)</f>
        <v>#VALUE!</v>
      </c>
      <c r="N203" s="652"/>
      <c r="O203" s="652"/>
      <c r="P203" s="507"/>
      <c r="Q203" s="509"/>
      <c r="R203" s="509"/>
      <c r="S203" s="508"/>
      <c r="T203" s="685"/>
      <c r="U203" s="507"/>
      <c r="V203" s="509"/>
      <c r="W203" s="509"/>
      <c r="X203" s="508"/>
      <c r="Y203" s="685"/>
      <c r="Z203" s="507"/>
      <c r="AA203" s="509"/>
      <c r="AB203" s="509"/>
      <c r="AC203" s="508"/>
      <c r="AD203" s="685"/>
      <c r="AE203" s="507"/>
      <c r="AF203" s="509"/>
      <c r="AG203" s="509"/>
      <c r="AH203" s="508"/>
      <c r="AI203" s="685"/>
      <c r="AJ203" s="507"/>
      <c r="AK203" s="509"/>
      <c r="AL203" s="509"/>
      <c r="AM203" s="508"/>
      <c r="AN203" s="685"/>
      <c r="AO203" s="507"/>
      <c r="AP203" s="509"/>
      <c r="AQ203" s="509"/>
      <c r="AR203" s="508"/>
      <c r="AS203" s="685"/>
      <c r="AT203" s="507"/>
      <c r="AU203" s="509"/>
      <c r="AV203" s="509"/>
      <c r="AW203" s="508"/>
      <c r="AX203" s="685"/>
      <c r="AZ203" s="350" t="e">
        <f t="shared" si="92"/>
        <v>#N/A</v>
      </c>
      <c r="BA203" s="694"/>
    </row>
    <row r="204" spans="2:53">
      <c r="B204" s="680"/>
      <c r="C204" s="348">
        <v>23</v>
      </c>
      <c r="D204" s="201"/>
      <c r="E204" s="201"/>
      <c r="F204" s="201"/>
      <c r="G204" s="514"/>
      <c r="H204" s="692"/>
      <c r="I204" s="363" t="str">
        <f t="shared" si="89"/>
        <v>-</v>
      </c>
      <c r="J204" s="363" t="str">
        <f t="shared" si="90"/>
        <v>-</v>
      </c>
      <c r="K204" s="199" t="str">
        <f t="shared" si="91"/>
        <v>-</v>
      </c>
      <c r="L204" s="634"/>
      <c r="M204" s="349" t="e">
        <f>RANK(K204, K$182:$K$211)</f>
        <v>#VALUE!</v>
      </c>
      <c r="N204" s="652"/>
      <c r="O204" s="652"/>
      <c r="P204" s="507"/>
      <c r="Q204" s="509"/>
      <c r="R204" s="509"/>
      <c r="S204" s="508"/>
      <c r="T204" s="685"/>
      <c r="U204" s="507"/>
      <c r="V204" s="509"/>
      <c r="W204" s="509"/>
      <c r="X204" s="508"/>
      <c r="Y204" s="685"/>
      <c r="Z204" s="507"/>
      <c r="AA204" s="509"/>
      <c r="AB204" s="509"/>
      <c r="AC204" s="508"/>
      <c r="AD204" s="685"/>
      <c r="AE204" s="507"/>
      <c r="AF204" s="509"/>
      <c r="AG204" s="509"/>
      <c r="AH204" s="508"/>
      <c r="AI204" s="685"/>
      <c r="AJ204" s="507"/>
      <c r="AK204" s="509"/>
      <c r="AL204" s="509"/>
      <c r="AM204" s="508"/>
      <c r="AN204" s="685"/>
      <c r="AO204" s="507"/>
      <c r="AP204" s="509"/>
      <c r="AQ204" s="509"/>
      <c r="AR204" s="508"/>
      <c r="AS204" s="685"/>
      <c r="AT204" s="507"/>
      <c r="AU204" s="509"/>
      <c r="AV204" s="509"/>
      <c r="AW204" s="508"/>
      <c r="AX204" s="685"/>
      <c r="AZ204" s="350" t="e">
        <f t="shared" si="92"/>
        <v>#N/A</v>
      </c>
      <c r="BA204" s="694"/>
    </row>
    <row r="205" spans="2:53">
      <c r="B205" s="680"/>
      <c r="C205" s="348">
        <v>24</v>
      </c>
      <c r="D205" s="515"/>
      <c r="E205" s="201"/>
      <c r="F205" s="201"/>
      <c r="G205" s="514"/>
      <c r="H205" s="692"/>
      <c r="I205" s="363" t="str">
        <f t="shared" si="89"/>
        <v>-</v>
      </c>
      <c r="J205" s="363" t="str">
        <f t="shared" si="90"/>
        <v>-</v>
      </c>
      <c r="K205" s="199" t="str">
        <f t="shared" si="91"/>
        <v>-</v>
      </c>
      <c r="L205" s="634"/>
      <c r="M205" s="349" t="e">
        <f>RANK(K205, K$182:$K$211)</f>
        <v>#VALUE!</v>
      </c>
      <c r="N205" s="652"/>
      <c r="O205" s="652"/>
      <c r="P205" s="507"/>
      <c r="Q205" s="509"/>
      <c r="R205" s="509"/>
      <c r="S205" s="508"/>
      <c r="T205" s="685"/>
      <c r="U205" s="507"/>
      <c r="V205" s="509"/>
      <c r="W205" s="509"/>
      <c r="X205" s="508"/>
      <c r="Y205" s="685"/>
      <c r="Z205" s="507"/>
      <c r="AA205" s="509"/>
      <c r="AB205" s="509"/>
      <c r="AC205" s="508"/>
      <c r="AD205" s="685"/>
      <c r="AE205" s="507"/>
      <c r="AF205" s="509"/>
      <c r="AG205" s="509"/>
      <c r="AH205" s="508"/>
      <c r="AI205" s="685"/>
      <c r="AJ205" s="507"/>
      <c r="AK205" s="509"/>
      <c r="AL205" s="509"/>
      <c r="AM205" s="508"/>
      <c r="AN205" s="685"/>
      <c r="AO205" s="507"/>
      <c r="AP205" s="509"/>
      <c r="AQ205" s="509"/>
      <c r="AR205" s="508"/>
      <c r="AS205" s="685"/>
      <c r="AT205" s="507"/>
      <c r="AU205" s="509"/>
      <c r="AV205" s="509"/>
      <c r="AW205" s="508"/>
      <c r="AX205" s="685"/>
      <c r="AZ205" s="350" t="e">
        <f t="shared" si="92"/>
        <v>#N/A</v>
      </c>
      <c r="BA205" s="694"/>
    </row>
    <row r="206" spans="2:53">
      <c r="B206" s="680"/>
      <c r="C206" s="348">
        <v>25</v>
      </c>
      <c r="D206" s="201"/>
      <c r="E206" s="201"/>
      <c r="F206" s="201"/>
      <c r="G206" s="514"/>
      <c r="H206" s="692"/>
      <c r="I206" s="363" t="str">
        <f t="shared" si="89"/>
        <v>-</v>
      </c>
      <c r="J206" s="363" t="str">
        <f t="shared" si="90"/>
        <v>-</v>
      </c>
      <c r="K206" s="199" t="str">
        <f t="shared" si="91"/>
        <v>-</v>
      </c>
      <c r="L206" s="634"/>
      <c r="M206" s="349" t="e">
        <f>RANK(K206, K$182:$K$211)</f>
        <v>#VALUE!</v>
      </c>
      <c r="N206" s="652"/>
      <c r="O206" s="652"/>
      <c r="P206" s="507"/>
      <c r="Q206" s="509"/>
      <c r="R206" s="509"/>
      <c r="S206" s="508"/>
      <c r="T206" s="685"/>
      <c r="U206" s="507"/>
      <c r="V206" s="509"/>
      <c r="W206" s="509"/>
      <c r="X206" s="508"/>
      <c r="Y206" s="685"/>
      <c r="Z206" s="507"/>
      <c r="AA206" s="509"/>
      <c r="AB206" s="509"/>
      <c r="AC206" s="508"/>
      <c r="AD206" s="685"/>
      <c r="AE206" s="507"/>
      <c r="AF206" s="509"/>
      <c r="AG206" s="509"/>
      <c r="AH206" s="508"/>
      <c r="AI206" s="685"/>
      <c r="AJ206" s="507"/>
      <c r="AK206" s="509"/>
      <c r="AL206" s="509"/>
      <c r="AM206" s="508"/>
      <c r="AN206" s="685"/>
      <c r="AO206" s="507"/>
      <c r="AP206" s="509"/>
      <c r="AQ206" s="509"/>
      <c r="AR206" s="508"/>
      <c r="AS206" s="685"/>
      <c r="AT206" s="507"/>
      <c r="AU206" s="509"/>
      <c r="AV206" s="509"/>
      <c r="AW206" s="508"/>
      <c r="AX206" s="685"/>
      <c r="AZ206" s="350" t="e">
        <f t="shared" si="92"/>
        <v>#N/A</v>
      </c>
      <c r="BA206" s="694"/>
    </row>
    <row r="207" spans="2:53">
      <c r="B207" s="680"/>
      <c r="C207" s="348">
        <v>26</v>
      </c>
      <c r="D207" s="201"/>
      <c r="E207" s="201"/>
      <c r="F207" s="201"/>
      <c r="G207" s="514"/>
      <c r="H207" s="692"/>
      <c r="I207" s="363" t="str">
        <f t="shared" si="89"/>
        <v>-</v>
      </c>
      <c r="J207" s="363" t="str">
        <f t="shared" si="90"/>
        <v>-</v>
      </c>
      <c r="K207" s="199" t="str">
        <f t="shared" si="91"/>
        <v>-</v>
      </c>
      <c r="L207" s="634"/>
      <c r="M207" s="349" t="e">
        <f>RANK(K207, K$182:$K$211)</f>
        <v>#VALUE!</v>
      </c>
      <c r="N207" s="652"/>
      <c r="O207" s="652"/>
      <c r="P207" s="507"/>
      <c r="Q207" s="509"/>
      <c r="R207" s="509"/>
      <c r="S207" s="508"/>
      <c r="T207" s="685"/>
      <c r="U207" s="507"/>
      <c r="V207" s="509"/>
      <c r="W207" s="509"/>
      <c r="X207" s="508"/>
      <c r="Y207" s="685"/>
      <c r="Z207" s="507"/>
      <c r="AA207" s="509"/>
      <c r="AB207" s="509"/>
      <c r="AC207" s="508"/>
      <c r="AD207" s="685"/>
      <c r="AE207" s="507"/>
      <c r="AF207" s="509"/>
      <c r="AG207" s="509"/>
      <c r="AH207" s="508"/>
      <c r="AI207" s="685"/>
      <c r="AJ207" s="507"/>
      <c r="AK207" s="509"/>
      <c r="AL207" s="509"/>
      <c r="AM207" s="508"/>
      <c r="AN207" s="685"/>
      <c r="AO207" s="507"/>
      <c r="AP207" s="509"/>
      <c r="AQ207" s="509"/>
      <c r="AR207" s="508"/>
      <c r="AS207" s="685"/>
      <c r="AT207" s="507"/>
      <c r="AU207" s="509"/>
      <c r="AV207" s="509"/>
      <c r="AW207" s="508"/>
      <c r="AX207" s="685"/>
      <c r="AZ207" s="350" t="e">
        <f t="shared" si="92"/>
        <v>#N/A</v>
      </c>
      <c r="BA207" s="694"/>
    </row>
    <row r="208" spans="2:53">
      <c r="B208" s="680"/>
      <c r="C208" s="348">
        <v>27</v>
      </c>
      <c r="D208" s="201"/>
      <c r="E208" s="201"/>
      <c r="F208" s="201"/>
      <c r="G208" s="514"/>
      <c r="H208" s="692"/>
      <c r="I208" s="363" t="str">
        <f t="shared" si="89"/>
        <v>-</v>
      </c>
      <c r="J208" s="363" t="str">
        <f t="shared" si="90"/>
        <v>-</v>
      </c>
      <c r="K208" s="199" t="str">
        <f t="shared" si="91"/>
        <v>-</v>
      </c>
      <c r="L208" s="634"/>
      <c r="M208" s="349" t="e">
        <f>RANK(K208, K$182:$K$211)</f>
        <v>#VALUE!</v>
      </c>
      <c r="N208" s="652"/>
      <c r="O208" s="652"/>
      <c r="P208" s="507"/>
      <c r="Q208" s="509"/>
      <c r="R208" s="509"/>
      <c r="S208" s="508"/>
      <c r="T208" s="685"/>
      <c r="U208" s="507"/>
      <c r="V208" s="509"/>
      <c r="W208" s="509"/>
      <c r="X208" s="508"/>
      <c r="Y208" s="685"/>
      <c r="Z208" s="507"/>
      <c r="AA208" s="509"/>
      <c r="AB208" s="509"/>
      <c r="AC208" s="508"/>
      <c r="AD208" s="685"/>
      <c r="AE208" s="507"/>
      <c r="AF208" s="509"/>
      <c r="AG208" s="509"/>
      <c r="AH208" s="508"/>
      <c r="AI208" s="685"/>
      <c r="AJ208" s="507"/>
      <c r="AK208" s="509"/>
      <c r="AL208" s="509"/>
      <c r="AM208" s="508"/>
      <c r="AN208" s="685"/>
      <c r="AO208" s="507"/>
      <c r="AP208" s="509"/>
      <c r="AQ208" s="509"/>
      <c r="AR208" s="508"/>
      <c r="AS208" s="685"/>
      <c r="AT208" s="507"/>
      <c r="AU208" s="509"/>
      <c r="AV208" s="509"/>
      <c r="AW208" s="508"/>
      <c r="AX208" s="685"/>
      <c r="AZ208" s="350" t="e">
        <f t="shared" si="92"/>
        <v>#N/A</v>
      </c>
      <c r="BA208" s="694"/>
    </row>
    <row r="209" spans="2:53">
      <c r="B209" s="680"/>
      <c r="C209" s="348">
        <v>28</v>
      </c>
      <c r="D209" s="201"/>
      <c r="E209" s="201"/>
      <c r="F209" s="201"/>
      <c r="G209" s="201"/>
      <c r="H209" s="692"/>
      <c r="I209" s="363" t="str">
        <f t="shared" si="89"/>
        <v>-</v>
      </c>
      <c r="J209" s="363" t="str">
        <f t="shared" si="90"/>
        <v>-</v>
      </c>
      <c r="K209" s="199" t="str">
        <f t="shared" si="91"/>
        <v>-</v>
      </c>
      <c r="L209" s="634"/>
      <c r="M209" s="349" t="e">
        <f>RANK(K209, K$182:$K$211)</f>
        <v>#VALUE!</v>
      </c>
      <c r="N209" s="652"/>
      <c r="O209" s="652"/>
      <c r="P209" s="507"/>
      <c r="Q209" s="509"/>
      <c r="R209" s="509"/>
      <c r="S209" s="508"/>
      <c r="T209" s="685"/>
      <c r="U209" s="507"/>
      <c r="V209" s="509"/>
      <c r="W209" s="509"/>
      <c r="X209" s="508"/>
      <c r="Y209" s="685"/>
      <c r="Z209" s="507"/>
      <c r="AA209" s="509"/>
      <c r="AB209" s="509"/>
      <c r="AC209" s="508"/>
      <c r="AD209" s="685"/>
      <c r="AE209" s="507"/>
      <c r="AF209" s="509"/>
      <c r="AG209" s="509"/>
      <c r="AH209" s="508"/>
      <c r="AI209" s="685"/>
      <c r="AJ209" s="507"/>
      <c r="AK209" s="509"/>
      <c r="AL209" s="509"/>
      <c r="AM209" s="508"/>
      <c r="AN209" s="685"/>
      <c r="AO209" s="507"/>
      <c r="AP209" s="509"/>
      <c r="AQ209" s="509"/>
      <c r="AR209" s="508"/>
      <c r="AS209" s="685"/>
      <c r="AT209" s="507"/>
      <c r="AU209" s="509"/>
      <c r="AV209" s="509"/>
      <c r="AW209" s="508"/>
      <c r="AX209" s="685"/>
      <c r="AZ209" s="350" t="e">
        <f t="shared" si="92"/>
        <v>#N/A</v>
      </c>
      <c r="BA209" s="694"/>
    </row>
    <row r="210" spans="2:53">
      <c r="B210" s="680"/>
      <c r="C210" s="348">
        <v>29</v>
      </c>
      <c r="D210" s="201"/>
      <c r="E210" s="201"/>
      <c r="F210" s="201"/>
      <c r="G210" s="201"/>
      <c r="H210" s="692"/>
      <c r="I210" s="363" t="str">
        <f t="shared" si="89"/>
        <v>-</v>
      </c>
      <c r="J210" s="363" t="str">
        <f t="shared" si="90"/>
        <v>-</v>
      </c>
      <c r="K210" s="199" t="str">
        <f t="shared" si="91"/>
        <v>-</v>
      </c>
      <c r="L210" s="634"/>
      <c r="M210" s="349" t="e">
        <f>RANK(K210, K$182:$K$211)</f>
        <v>#VALUE!</v>
      </c>
      <c r="N210" s="652"/>
      <c r="O210" s="652"/>
      <c r="P210" s="507"/>
      <c r="Q210" s="509"/>
      <c r="R210" s="509"/>
      <c r="S210" s="508"/>
      <c r="T210" s="685"/>
      <c r="U210" s="507"/>
      <c r="V210" s="509"/>
      <c r="W210" s="509"/>
      <c r="X210" s="508"/>
      <c r="Y210" s="685"/>
      <c r="Z210" s="507"/>
      <c r="AA210" s="509"/>
      <c r="AB210" s="509"/>
      <c r="AC210" s="508"/>
      <c r="AD210" s="685"/>
      <c r="AE210" s="507"/>
      <c r="AF210" s="509"/>
      <c r="AG210" s="509"/>
      <c r="AH210" s="508"/>
      <c r="AI210" s="685"/>
      <c r="AJ210" s="507"/>
      <c r="AK210" s="509"/>
      <c r="AL210" s="509"/>
      <c r="AM210" s="508"/>
      <c r="AN210" s="685"/>
      <c r="AO210" s="507"/>
      <c r="AP210" s="509"/>
      <c r="AQ210" s="509"/>
      <c r="AR210" s="508"/>
      <c r="AS210" s="685"/>
      <c r="AT210" s="507"/>
      <c r="AU210" s="509"/>
      <c r="AV210" s="509"/>
      <c r="AW210" s="508"/>
      <c r="AX210" s="685"/>
      <c r="AZ210" s="350" t="e">
        <f t="shared" si="92"/>
        <v>#N/A</v>
      </c>
      <c r="BA210" s="694"/>
    </row>
    <row r="211" spans="2:53">
      <c r="B211" s="680"/>
      <c r="C211" s="348">
        <v>30</v>
      </c>
      <c r="D211" s="201"/>
      <c r="E211" s="201"/>
      <c r="F211" s="201"/>
      <c r="G211" s="201"/>
      <c r="H211" s="692"/>
      <c r="I211" s="363" t="str">
        <f t="shared" si="89"/>
        <v>-</v>
      </c>
      <c r="J211" s="363" t="str">
        <f t="shared" si="90"/>
        <v>-</v>
      </c>
      <c r="K211" s="199" t="str">
        <f t="shared" si="91"/>
        <v>-</v>
      </c>
      <c r="L211" s="635"/>
      <c r="M211" s="349" t="e">
        <f>RANK(K211, K$182:$K$211)</f>
        <v>#VALUE!</v>
      </c>
      <c r="N211" s="652"/>
      <c r="O211" s="652"/>
      <c r="P211" s="507"/>
      <c r="Q211" s="509"/>
      <c r="R211" s="509"/>
      <c r="S211" s="508"/>
      <c r="T211" s="685"/>
      <c r="U211" s="507"/>
      <c r="V211" s="509"/>
      <c r="W211" s="509"/>
      <c r="X211" s="508"/>
      <c r="Y211" s="685"/>
      <c r="Z211" s="507"/>
      <c r="AA211" s="509"/>
      <c r="AB211" s="509"/>
      <c r="AC211" s="508"/>
      <c r="AD211" s="685"/>
      <c r="AE211" s="507"/>
      <c r="AF211" s="509"/>
      <c r="AG211" s="509"/>
      <c r="AH211" s="508"/>
      <c r="AI211" s="685"/>
      <c r="AJ211" s="507"/>
      <c r="AK211" s="509"/>
      <c r="AL211" s="509"/>
      <c r="AM211" s="508"/>
      <c r="AN211" s="685"/>
      <c r="AO211" s="507"/>
      <c r="AP211" s="509"/>
      <c r="AQ211" s="509"/>
      <c r="AR211" s="508"/>
      <c r="AS211" s="685"/>
      <c r="AT211" s="507"/>
      <c r="AU211" s="509"/>
      <c r="AV211" s="509"/>
      <c r="AW211" s="508"/>
      <c r="AX211" s="685"/>
      <c r="AZ211" s="350" t="e">
        <f t="shared" si="92"/>
        <v>#N/A</v>
      </c>
      <c r="BA211" s="694"/>
    </row>
    <row r="213" spans="2:53" ht="15.75">
      <c r="B213" s="686" t="s">
        <v>472</v>
      </c>
      <c r="C213" s="687"/>
      <c r="D213" s="687"/>
      <c r="E213" s="687"/>
      <c r="F213" s="687"/>
      <c r="G213" s="687"/>
      <c r="H213" s="688"/>
      <c r="I213" s="307"/>
      <c r="J213" s="307"/>
      <c r="K213" s="307"/>
      <c r="L213" s="307"/>
      <c r="M213" s="308"/>
    </row>
    <row r="214" spans="2:53" ht="15.75">
      <c r="B214" s="689"/>
      <c r="C214" s="689"/>
      <c r="D214" s="689"/>
      <c r="E214" s="689"/>
      <c r="F214" s="689"/>
      <c r="G214" s="689"/>
      <c r="H214" s="689"/>
      <c r="I214" s="309"/>
      <c r="J214" s="309"/>
      <c r="K214" s="309"/>
      <c r="L214" s="309"/>
      <c r="M214" s="310"/>
    </row>
    <row r="215" spans="2:53">
      <c r="B215" s="652" t="s">
        <v>473</v>
      </c>
      <c r="C215" s="652" t="s">
        <v>474</v>
      </c>
      <c r="D215" s="652"/>
      <c r="E215" s="652" t="s">
        <v>475</v>
      </c>
      <c r="F215" s="652"/>
      <c r="G215" s="652"/>
      <c r="H215" s="652" t="s">
        <v>476</v>
      </c>
      <c r="I215" s="690" t="s">
        <v>477</v>
      </c>
      <c r="J215" s="690"/>
      <c r="K215" s="690"/>
      <c r="L215" s="690" t="s">
        <v>476</v>
      </c>
      <c r="M215" s="690" t="s">
        <v>478</v>
      </c>
    </row>
    <row r="216" spans="2:53">
      <c r="B216" s="652"/>
      <c r="C216" s="652"/>
      <c r="D216" s="652"/>
      <c r="E216" s="652" t="s">
        <v>479</v>
      </c>
      <c r="F216" s="652"/>
      <c r="G216" s="652"/>
      <c r="H216" s="652"/>
      <c r="I216" s="690" t="s">
        <v>479</v>
      </c>
      <c r="J216" s="690"/>
      <c r="K216" s="690"/>
      <c r="L216" s="690"/>
      <c r="M216" s="690"/>
    </row>
    <row r="217" spans="2:53">
      <c r="B217" s="652"/>
      <c r="C217" s="652"/>
      <c r="D217" s="652"/>
      <c r="E217" s="304" t="s">
        <v>480</v>
      </c>
      <c r="F217" s="304" t="s">
        <v>481</v>
      </c>
      <c r="G217" s="304" t="s">
        <v>482</v>
      </c>
      <c r="H217" s="652"/>
      <c r="I217" s="311" t="s">
        <v>480</v>
      </c>
      <c r="J217" s="311" t="s">
        <v>481</v>
      </c>
      <c r="K217" s="311" t="s">
        <v>482</v>
      </c>
      <c r="L217" s="690"/>
      <c r="M217" s="690"/>
    </row>
    <row r="218" spans="2:53">
      <c r="B218" s="679" t="s">
        <v>483</v>
      </c>
      <c r="C218" s="303">
        <v>1</v>
      </c>
      <c r="D218" s="303"/>
      <c r="E218" s="303"/>
      <c r="F218" s="303"/>
      <c r="G218" s="303"/>
      <c r="H218" s="685" t="e">
        <f>AVERAGE(G218:G247)</f>
        <v>#DIV/0!</v>
      </c>
      <c r="I218" s="198" t="e">
        <f t="shared" ref="I218:K240" si="93">AVERAGEIF($D$7:$D$211,$D218,I$7:I$211)</f>
        <v>#DIV/0!</v>
      </c>
      <c r="J218" s="198" t="e">
        <f t="shared" si="93"/>
        <v>#DIV/0!</v>
      </c>
      <c r="K218" s="198" t="e">
        <f>AVERAGEIF($D$7:$D$211,$D218,K$7:K$211)</f>
        <v>#DIV/0!</v>
      </c>
      <c r="L218" s="693" t="e">
        <f>AVERAGE(K218:K247)</f>
        <v>#DIV/0!</v>
      </c>
      <c r="M218" s="198" t="e">
        <f>RANK(K218, K$218:$K$247)</f>
        <v>#DIV/0!</v>
      </c>
    </row>
    <row r="219" spans="2:53">
      <c r="B219" s="660"/>
      <c r="C219" s="303">
        <v>2</v>
      </c>
      <c r="D219" s="303"/>
      <c r="E219" s="303"/>
      <c r="F219" s="303"/>
      <c r="G219" s="360"/>
      <c r="H219" s="685"/>
      <c r="I219" s="198" t="e">
        <f t="shared" si="93"/>
        <v>#DIV/0!</v>
      </c>
      <c r="J219" s="198" t="e">
        <f t="shared" si="93"/>
        <v>#DIV/0!</v>
      </c>
      <c r="K219" s="198" t="e">
        <f t="shared" si="93"/>
        <v>#DIV/0!</v>
      </c>
      <c r="L219" s="693"/>
      <c r="M219" s="198" t="e">
        <f>RANK(K219, K$218:$K$247)</f>
        <v>#DIV/0!</v>
      </c>
    </row>
    <row r="220" spans="2:53">
      <c r="B220" s="660"/>
      <c r="C220" s="303">
        <v>3</v>
      </c>
      <c r="D220" s="303"/>
      <c r="E220" s="303"/>
      <c r="F220" s="360"/>
      <c r="G220" s="303"/>
      <c r="H220" s="685"/>
      <c r="I220" s="198" t="e">
        <f t="shared" si="93"/>
        <v>#DIV/0!</v>
      </c>
      <c r="J220" s="198" t="e">
        <f t="shared" si="93"/>
        <v>#DIV/0!</v>
      </c>
      <c r="K220" s="198" t="e">
        <f t="shared" si="93"/>
        <v>#DIV/0!</v>
      </c>
      <c r="L220" s="693"/>
      <c r="M220" s="198" t="e">
        <f>RANK(K220, K$218:$K$247)</f>
        <v>#DIV/0!</v>
      </c>
    </row>
    <row r="221" spans="2:53">
      <c r="B221" s="660"/>
      <c r="C221" s="303">
        <v>4</v>
      </c>
      <c r="D221" s="303"/>
      <c r="E221" s="303"/>
      <c r="F221" s="360"/>
      <c r="G221" s="360"/>
      <c r="H221" s="685"/>
      <c r="I221" s="198" t="e">
        <f t="shared" si="93"/>
        <v>#DIV/0!</v>
      </c>
      <c r="J221" s="198" t="e">
        <f t="shared" si="93"/>
        <v>#DIV/0!</v>
      </c>
      <c r="K221" s="198" t="e">
        <f t="shared" si="93"/>
        <v>#DIV/0!</v>
      </c>
      <c r="L221" s="693"/>
      <c r="M221" s="198" t="e">
        <f>RANK(K221, K$218:$K$247)</f>
        <v>#DIV/0!</v>
      </c>
    </row>
    <row r="222" spans="2:53">
      <c r="B222" s="660"/>
      <c r="C222" s="303">
        <v>5</v>
      </c>
      <c r="D222" s="303"/>
      <c r="E222" s="303"/>
      <c r="F222" s="360"/>
      <c r="G222" s="360"/>
      <c r="H222" s="685"/>
      <c r="I222" s="198" t="e">
        <f t="shared" si="93"/>
        <v>#DIV/0!</v>
      </c>
      <c r="J222" s="198" t="e">
        <f t="shared" si="93"/>
        <v>#DIV/0!</v>
      </c>
      <c r="K222" s="198" t="e">
        <f t="shared" si="93"/>
        <v>#DIV/0!</v>
      </c>
      <c r="L222" s="693"/>
      <c r="M222" s="198" t="e">
        <f>RANK(K222, K$218:$K$247)</f>
        <v>#DIV/0!</v>
      </c>
    </row>
    <row r="223" spans="2:53">
      <c r="B223" s="660"/>
      <c r="C223" s="303">
        <v>6</v>
      </c>
      <c r="D223" s="303"/>
      <c r="E223" s="303"/>
      <c r="F223" s="360"/>
      <c r="G223" s="360"/>
      <c r="H223" s="685"/>
      <c r="I223" s="198" t="e">
        <f t="shared" si="93"/>
        <v>#DIV/0!</v>
      </c>
      <c r="J223" s="198" t="e">
        <f t="shared" si="93"/>
        <v>#DIV/0!</v>
      </c>
      <c r="K223" s="198" t="e">
        <f t="shared" si="93"/>
        <v>#DIV/0!</v>
      </c>
      <c r="L223" s="693"/>
      <c r="M223" s="198" t="e">
        <f>RANK(K223, K$218:$K$247)</f>
        <v>#DIV/0!</v>
      </c>
    </row>
    <row r="224" spans="2:53">
      <c r="B224" s="660"/>
      <c r="C224" s="303">
        <v>7</v>
      </c>
      <c r="D224" s="359"/>
      <c r="E224" s="303"/>
      <c r="F224" s="360"/>
      <c r="G224" s="360"/>
      <c r="H224" s="685"/>
      <c r="I224" s="198" t="e">
        <f t="shared" si="93"/>
        <v>#DIV/0!</v>
      </c>
      <c r="J224" s="198" t="e">
        <f t="shared" si="93"/>
        <v>#DIV/0!</v>
      </c>
      <c r="K224" s="198" t="e">
        <f t="shared" si="93"/>
        <v>#DIV/0!</v>
      </c>
      <c r="L224" s="693"/>
      <c r="M224" s="198" t="e">
        <f>RANK(K224, K$218:$K$247)</f>
        <v>#DIV/0!</v>
      </c>
    </row>
    <row r="225" spans="2:39">
      <c r="B225" s="660"/>
      <c r="C225" s="303">
        <v>8</v>
      </c>
      <c r="D225" s="359"/>
      <c r="E225" s="303"/>
      <c r="F225" s="360"/>
      <c r="G225" s="360"/>
      <c r="H225" s="685"/>
      <c r="I225" s="198" t="e">
        <f t="shared" si="93"/>
        <v>#DIV/0!</v>
      </c>
      <c r="J225" s="198" t="e">
        <f t="shared" si="93"/>
        <v>#DIV/0!</v>
      </c>
      <c r="K225" s="198" t="e">
        <f t="shared" si="93"/>
        <v>#DIV/0!</v>
      </c>
      <c r="L225" s="693"/>
      <c r="M225" s="198" t="e">
        <f>RANK(K225, K$218:$K$247)</f>
        <v>#DIV/0!</v>
      </c>
      <c r="N225" s="107"/>
      <c r="O225" s="107"/>
      <c r="P225" s="107"/>
      <c r="Q225" s="107"/>
      <c r="R225" s="107"/>
      <c r="S225" s="107"/>
      <c r="T225" s="107"/>
      <c r="X225" s="107"/>
      <c r="AC225" s="107"/>
      <c r="AH225" s="107"/>
      <c r="AM225" s="107"/>
    </row>
    <row r="226" spans="2:39">
      <c r="B226" s="660"/>
      <c r="C226" s="303">
        <v>9</v>
      </c>
      <c r="D226" s="303"/>
      <c r="E226" s="303"/>
      <c r="F226" s="303"/>
      <c r="G226" s="303"/>
      <c r="H226" s="685"/>
      <c r="I226" s="198" t="e">
        <f t="shared" si="93"/>
        <v>#DIV/0!</v>
      </c>
      <c r="J226" s="198" t="e">
        <f t="shared" si="93"/>
        <v>#DIV/0!</v>
      </c>
      <c r="K226" s="198" t="e">
        <f t="shared" si="93"/>
        <v>#DIV/0!</v>
      </c>
      <c r="L226" s="693"/>
      <c r="M226" s="198" t="e">
        <f>RANK(K226, K$218:$K$247)</f>
        <v>#DIV/0!</v>
      </c>
      <c r="N226" s="107"/>
      <c r="O226" s="107"/>
      <c r="P226" s="107"/>
      <c r="Q226" s="107"/>
      <c r="R226" s="107"/>
      <c r="S226" s="107"/>
      <c r="T226" s="107"/>
      <c r="X226" s="107"/>
      <c r="AC226" s="107"/>
      <c r="AH226" s="107"/>
      <c r="AM226" s="107"/>
    </row>
    <row r="227" spans="2:39">
      <c r="B227" s="660"/>
      <c r="C227" s="303">
        <v>10</v>
      </c>
      <c r="D227" s="303"/>
      <c r="E227" s="303"/>
      <c r="F227" s="303"/>
      <c r="G227" s="303"/>
      <c r="H227" s="685"/>
      <c r="I227" s="198" t="e">
        <f t="shared" si="93"/>
        <v>#DIV/0!</v>
      </c>
      <c r="J227" s="198" t="e">
        <f t="shared" si="93"/>
        <v>#DIV/0!</v>
      </c>
      <c r="K227" s="198" t="e">
        <f t="shared" si="93"/>
        <v>#DIV/0!</v>
      </c>
      <c r="L227" s="693"/>
      <c r="M227" s="198" t="e">
        <f>RANK(K227, K$218:$K$247)</f>
        <v>#DIV/0!</v>
      </c>
      <c r="N227" s="107"/>
      <c r="O227" s="107"/>
      <c r="P227" s="107"/>
      <c r="Q227" s="107"/>
      <c r="R227" s="107"/>
      <c r="S227" s="107"/>
      <c r="T227" s="107"/>
      <c r="X227" s="107"/>
      <c r="AC227" s="107"/>
      <c r="AH227" s="107"/>
      <c r="AM227" s="107"/>
    </row>
    <row r="228" spans="2:39">
      <c r="B228" s="660"/>
      <c r="C228" s="303">
        <v>11</v>
      </c>
      <c r="D228" s="303"/>
      <c r="E228" s="303"/>
      <c r="F228" s="303"/>
      <c r="G228" s="303"/>
      <c r="H228" s="685"/>
      <c r="I228" s="198" t="e">
        <f t="shared" si="93"/>
        <v>#DIV/0!</v>
      </c>
      <c r="J228" s="198" t="e">
        <f t="shared" si="93"/>
        <v>#DIV/0!</v>
      </c>
      <c r="K228" s="198" t="e">
        <f t="shared" si="93"/>
        <v>#DIV/0!</v>
      </c>
      <c r="L228" s="693"/>
      <c r="M228" s="198" t="e">
        <f>RANK(K228, K$218:$K$247)</f>
        <v>#DIV/0!</v>
      </c>
      <c r="N228" s="107"/>
      <c r="O228" s="107"/>
      <c r="P228" s="107"/>
      <c r="Q228" s="107"/>
      <c r="R228" s="107"/>
      <c r="S228" s="107"/>
      <c r="T228" s="107"/>
      <c r="X228" s="107"/>
      <c r="AC228" s="107"/>
      <c r="AH228" s="107"/>
      <c r="AM228" s="107"/>
    </row>
    <row r="229" spans="2:39">
      <c r="B229" s="660"/>
      <c r="C229" s="303">
        <v>12</v>
      </c>
      <c r="D229" s="303"/>
      <c r="E229" s="303"/>
      <c r="F229" s="303"/>
      <c r="G229" s="303"/>
      <c r="H229" s="685"/>
      <c r="I229" s="198" t="e">
        <f t="shared" si="93"/>
        <v>#DIV/0!</v>
      </c>
      <c r="J229" s="198" t="e">
        <f t="shared" si="93"/>
        <v>#DIV/0!</v>
      </c>
      <c r="K229" s="198" t="e">
        <f t="shared" si="93"/>
        <v>#DIV/0!</v>
      </c>
      <c r="L229" s="693"/>
      <c r="M229" s="198" t="e">
        <f>RANK(K229, K$218:$K$247)</f>
        <v>#DIV/0!</v>
      </c>
      <c r="N229" s="107"/>
      <c r="O229" s="107"/>
      <c r="P229" s="107"/>
      <c r="Q229" s="107"/>
      <c r="R229" s="107"/>
      <c r="S229" s="107"/>
      <c r="T229" s="107"/>
      <c r="X229" s="107"/>
      <c r="AC229" s="107"/>
      <c r="AH229" s="107"/>
      <c r="AM229" s="107"/>
    </row>
    <row r="230" spans="2:39">
      <c r="B230" s="660"/>
      <c r="C230" s="303">
        <v>13</v>
      </c>
      <c r="D230" s="303"/>
      <c r="E230" s="303"/>
      <c r="F230" s="303"/>
      <c r="G230" s="303"/>
      <c r="H230" s="685"/>
      <c r="I230" s="198" t="e">
        <f t="shared" si="93"/>
        <v>#DIV/0!</v>
      </c>
      <c r="J230" s="198" t="e">
        <f t="shared" si="93"/>
        <v>#DIV/0!</v>
      </c>
      <c r="K230" s="198" t="e">
        <f t="shared" si="93"/>
        <v>#DIV/0!</v>
      </c>
      <c r="L230" s="693"/>
      <c r="M230" s="198" t="e">
        <f>RANK(K230, K$218:$K$247)</f>
        <v>#DIV/0!</v>
      </c>
      <c r="N230" s="107"/>
      <c r="O230" s="107"/>
      <c r="P230" s="107"/>
      <c r="Q230" s="107"/>
      <c r="R230" s="107"/>
      <c r="S230" s="107"/>
      <c r="T230" s="107"/>
      <c r="X230" s="107"/>
      <c r="AC230" s="107"/>
      <c r="AH230" s="107"/>
      <c r="AM230" s="107"/>
    </row>
    <row r="231" spans="2:39">
      <c r="B231" s="660"/>
      <c r="C231" s="303">
        <v>14</v>
      </c>
      <c r="D231" s="303"/>
      <c r="E231" s="303"/>
      <c r="F231" s="303"/>
      <c r="G231" s="303"/>
      <c r="H231" s="685"/>
      <c r="I231" s="198" t="e">
        <f t="shared" si="93"/>
        <v>#DIV/0!</v>
      </c>
      <c r="J231" s="198" t="e">
        <f t="shared" si="93"/>
        <v>#DIV/0!</v>
      </c>
      <c r="K231" s="198" t="e">
        <f t="shared" si="93"/>
        <v>#DIV/0!</v>
      </c>
      <c r="L231" s="693"/>
      <c r="M231" s="198" t="e">
        <f>RANK(K231, K$218:$K$247)</f>
        <v>#DIV/0!</v>
      </c>
      <c r="N231" s="107"/>
      <c r="O231" s="107"/>
      <c r="P231" s="107"/>
      <c r="Q231" s="107"/>
      <c r="R231" s="107"/>
      <c r="S231" s="107"/>
      <c r="T231" s="107"/>
      <c r="X231" s="107"/>
      <c r="AC231" s="107"/>
      <c r="AH231" s="107"/>
      <c r="AM231" s="107"/>
    </row>
    <row r="232" spans="2:39">
      <c r="B232" s="660"/>
      <c r="C232" s="303">
        <v>15</v>
      </c>
      <c r="D232" s="303"/>
      <c r="E232" s="303"/>
      <c r="F232" s="303"/>
      <c r="G232" s="303"/>
      <c r="H232" s="685"/>
      <c r="I232" s="198" t="e">
        <f t="shared" si="93"/>
        <v>#DIV/0!</v>
      </c>
      <c r="J232" s="198" t="e">
        <f t="shared" si="93"/>
        <v>#DIV/0!</v>
      </c>
      <c r="K232" s="198" t="e">
        <f t="shared" si="93"/>
        <v>#DIV/0!</v>
      </c>
      <c r="L232" s="693"/>
      <c r="M232" s="198" t="e">
        <f>RANK(K232, K$218:$K$247)</f>
        <v>#DIV/0!</v>
      </c>
      <c r="N232" s="107"/>
      <c r="O232" s="107"/>
      <c r="P232" s="107"/>
      <c r="Q232" s="107"/>
      <c r="R232" s="107"/>
      <c r="S232" s="107"/>
      <c r="T232" s="107"/>
      <c r="X232" s="107"/>
      <c r="AC232" s="107"/>
      <c r="AH232" s="107"/>
      <c r="AM232" s="107"/>
    </row>
    <row r="233" spans="2:39">
      <c r="B233" s="660"/>
      <c r="C233" s="303">
        <v>16</v>
      </c>
      <c r="D233" s="303"/>
      <c r="E233" s="303"/>
      <c r="F233" s="303"/>
      <c r="G233" s="303"/>
      <c r="H233" s="685"/>
      <c r="I233" s="198" t="e">
        <f t="shared" si="93"/>
        <v>#DIV/0!</v>
      </c>
      <c r="J233" s="198" t="e">
        <f t="shared" si="93"/>
        <v>#DIV/0!</v>
      </c>
      <c r="K233" s="198" t="e">
        <f t="shared" si="93"/>
        <v>#DIV/0!</v>
      </c>
      <c r="L233" s="693"/>
      <c r="M233" s="198" t="e">
        <f>RANK(K233, K$218:$K$247)</f>
        <v>#DIV/0!</v>
      </c>
      <c r="N233" s="107"/>
      <c r="O233" s="107"/>
      <c r="P233" s="107"/>
      <c r="Q233" s="107"/>
      <c r="R233" s="107"/>
      <c r="S233" s="107"/>
      <c r="T233" s="107"/>
      <c r="X233" s="107"/>
      <c r="AC233" s="107"/>
      <c r="AH233" s="107"/>
      <c r="AM233" s="107"/>
    </row>
    <row r="234" spans="2:39">
      <c r="B234" s="660"/>
      <c r="C234" s="303">
        <v>17</v>
      </c>
      <c r="D234" s="303"/>
      <c r="E234" s="303"/>
      <c r="F234" s="303"/>
      <c r="G234" s="303"/>
      <c r="H234" s="685"/>
      <c r="I234" s="198" t="e">
        <f t="shared" si="93"/>
        <v>#DIV/0!</v>
      </c>
      <c r="J234" s="198" t="e">
        <f t="shared" si="93"/>
        <v>#DIV/0!</v>
      </c>
      <c r="K234" s="198" t="e">
        <f t="shared" si="93"/>
        <v>#DIV/0!</v>
      </c>
      <c r="L234" s="693"/>
      <c r="M234" s="198" t="e">
        <f>RANK(K234, K$218:$K$247)</f>
        <v>#DIV/0!</v>
      </c>
      <c r="N234" s="107"/>
      <c r="O234" s="107"/>
      <c r="P234" s="107"/>
      <c r="Q234" s="107"/>
      <c r="R234" s="107"/>
      <c r="S234" s="107"/>
      <c r="T234" s="107"/>
      <c r="X234" s="107"/>
      <c r="AC234" s="107"/>
      <c r="AH234" s="107"/>
      <c r="AM234" s="107"/>
    </row>
    <row r="235" spans="2:39">
      <c r="B235" s="660"/>
      <c r="C235" s="303">
        <v>18</v>
      </c>
      <c r="D235" s="303"/>
      <c r="E235" s="303"/>
      <c r="F235" s="303"/>
      <c r="G235" s="303"/>
      <c r="H235" s="685"/>
      <c r="I235" s="198" t="e">
        <f t="shared" si="93"/>
        <v>#DIV/0!</v>
      </c>
      <c r="J235" s="198" t="e">
        <f t="shared" si="93"/>
        <v>#DIV/0!</v>
      </c>
      <c r="K235" s="198" t="e">
        <f t="shared" si="93"/>
        <v>#DIV/0!</v>
      </c>
      <c r="L235" s="693"/>
      <c r="M235" s="198" t="e">
        <f>RANK(K235, K$218:$K$247)</f>
        <v>#DIV/0!</v>
      </c>
      <c r="N235" s="107"/>
      <c r="O235" s="107"/>
      <c r="P235" s="107"/>
      <c r="Q235" s="107"/>
      <c r="R235" s="107"/>
      <c r="S235" s="107"/>
      <c r="T235" s="107"/>
      <c r="X235" s="107"/>
      <c r="AC235" s="107"/>
      <c r="AH235" s="107"/>
      <c r="AM235" s="107"/>
    </row>
    <row r="236" spans="2:39">
      <c r="B236" s="660"/>
      <c r="C236" s="303">
        <v>19</v>
      </c>
      <c r="D236" s="303"/>
      <c r="E236" s="303"/>
      <c r="F236" s="303"/>
      <c r="G236" s="303"/>
      <c r="H236" s="685"/>
      <c r="I236" s="198" t="e">
        <f t="shared" si="93"/>
        <v>#DIV/0!</v>
      </c>
      <c r="J236" s="198" t="e">
        <f t="shared" si="93"/>
        <v>#DIV/0!</v>
      </c>
      <c r="K236" s="198" t="e">
        <f t="shared" si="93"/>
        <v>#DIV/0!</v>
      </c>
      <c r="L236" s="693"/>
      <c r="M236" s="198" t="e">
        <f>RANK(K236, K$218:$K$247)</f>
        <v>#DIV/0!</v>
      </c>
      <c r="N236" s="107"/>
      <c r="O236" s="107"/>
      <c r="P236" s="107"/>
      <c r="Q236" s="107"/>
      <c r="R236" s="107"/>
      <c r="S236" s="107"/>
      <c r="T236" s="107"/>
      <c r="X236" s="107"/>
      <c r="AC236" s="107"/>
      <c r="AH236" s="107"/>
      <c r="AM236" s="107"/>
    </row>
    <row r="237" spans="2:39">
      <c r="B237" s="660"/>
      <c r="C237" s="303">
        <v>20</v>
      </c>
      <c r="D237" s="303"/>
      <c r="E237" s="303"/>
      <c r="F237" s="303"/>
      <c r="G237" s="303"/>
      <c r="H237" s="685"/>
      <c r="I237" s="198" t="e">
        <f t="shared" si="93"/>
        <v>#DIV/0!</v>
      </c>
      <c r="J237" s="198" t="e">
        <f t="shared" si="93"/>
        <v>#DIV/0!</v>
      </c>
      <c r="K237" s="198" t="e">
        <f t="shared" si="93"/>
        <v>#DIV/0!</v>
      </c>
      <c r="L237" s="693"/>
      <c r="M237" s="198" t="e">
        <f>RANK(K237, K$218:$K$247)</f>
        <v>#DIV/0!</v>
      </c>
      <c r="N237" s="107"/>
      <c r="O237" s="107"/>
      <c r="P237" s="107"/>
      <c r="Q237" s="107"/>
      <c r="R237" s="107"/>
      <c r="S237" s="107"/>
      <c r="T237" s="107"/>
      <c r="X237" s="107"/>
      <c r="AC237" s="107"/>
      <c r="AH237" s="107"/>
      <c r="AM237" s="107"/>
    </row>
    <row r="238" spans="2:39">
      <c r="B238" s="660"/>
      <c r="C238" s="303">
        <v>21</v>
      </c>
      <c r="D238" s="303"/>
      <c r="E238" s="303"/>
      <c r="F238" s="303"/>
      <c r="G238" s="303"/>
      <c r="H238" s="685"/>
      <c r="I238" s="198" t="e">
        <f t="shared" si="93"/>
        <v>#DIV/0!</v>
      </c>
      <c r="J238" s="198" t="e">
        <f t="shared" si="93"/>
        <v>#DIV/0!</v>
      </c>
      <c r="K238" s="198" t="e">
        <f t="shared" si="93"/>
        <v>#DIV/0!</v>
      </c>
      <c r="L238" s="693"/>
      <c r="M238" s="198" t="e">
        <f>RANK(K238, K$218:$K$247)</f>
        <v>#DIV/0!</v>
      </c>
      <c r="N238" s="107"/>
      <c r="O238" s="107"/>
      <c r="P238" s="107"/>
      <c r="Q238" s="107"/>
      <c r="R238" s="107"/>
      <c r="S238" s="107"/>
      <c r="T238" s="107"/>
      <c r="X238" s="107"/>
      <c r="AC238" s="107"/>
      <c r="AH238" s="107"/>
      <c r="AM238" s="107"/>
    </row>
    <row r="239" spans="2:39">
      <c r="B239" s="660"/>
      <c r="C239" s="303">
        <v>22</v>
      </c>
      <c r="D239" s="303"/>
      <c r="E239" s="303"/>
      <c r="F239" s="303"/>
      <c r="G239" s="303"/>
      <c r="H239" s="685"/>
      <c r="I239" s="198" t="e">
        <f t="shared" si="93"/>
        <v>#DIV/0!</v>
      </c>
      <c r="J239" s="198" t="e">
        <f t="shared" si="93"/>
        <v>#DIV/0!</v>
      </c>
      <c r="K239" s="198" t="e">
        <f t="shared" si="93"/>
        <v>#DIV/0!</v>
      </c>
      <c r="L239" s="693"/>
      <c r="M239" s="198" t="e">
        <f>RANK(K239, K$218:$K$247)</f>
        <v>#DIV/0!</v>
      </c>
      <c r="N239" s="107"/>
      <c r="O239" s="107"/>
      <c r="P239" s="107"/>
      <c r="Q239" s="107"/>
      <c r="R239" s="107"/>
      <c r="S239" s="107"/>
      <c r="T239" s="107"/>
      <c r="X239" s="107"/>
      <c r="AC239" s="107"/>
      <c r="AH239" s="107"/>
      <c r="AM239" s="107"/>
    </row>
    <row r="240" spans="2:39">
      <c r="B240" s="660"/>
      <c r="C240" s="303">
        <v>23</v>
      </c>
      <c r="D240" s="303"/>
      <c r="E240" s="303"/>
      <c r="F240" s="303"/>
      <c r="G240" s="303"/>
      <c r="H240" s="685"/>
      <c r="I240" s="198" t="e">
        <f t="shared" si="93"/>
        <v>#DIV/0!</v>
      </c>
      <c r="J240" s="198" t="e">
        <f t="shared" si="93"/>
        <v>#DIV/0!</v>
      </c>
      <c r="K240" s="198" t="e">
        <f t="shared" si="93"/>
        <v>#DIV/0!</v>
      </c>
      <c r="L240" s="693"/>
      <c r="M240" s="198" t="e">
        <f>RANK(K240, K$218:$K$247)</f>
        <v>#DIV/0!</v>
      </c>
      <c r="N240" s="107"/>
      <c r="O240" s="107"/>
      <c r="P240" s="107"/>
      <c r="Q240" s="107"/>
      <c r="R240" s="107"/>
      <c r="S240" s="107"/>
      <c r="T240" s="107"/>
      <c r="X240" s="107"/>
      <c r="AC240" s="107"/>
      <c r="AH240" s="107"/>
      <c r="AM240" s="107"/>
    </row>
    <row r="241" spans="2:39">
      <c r="B241" s="660"/>
      <c r="C241" s="303">
        <v>24</v>
      </c>
      <c r="D241" s="303"/>
      <c r="E241" s="303"/>
      <c r="F241" s="303"/>
      <c r="G241" s="303"/>
      <c r="H241" s="685"/>
      <c r="I241" s="198"/>
      <c r="J241" s="198"/>
      <c r="K241" s="198"/>
      <c r="L241" s="693"/>
      <c r="M241" s="198" t="e">
        <f>RANK(K241, K$218:$K$247)</f>
        <v>#DIV/0!</v>
      </c>
      <c r="N241" s="107"/>
      <c r="O241" s="107"/>
      <c r="P241" s="107"/>
      <c r="Q241" s="107"/>
      <c r="R241" s="107"/>
      <c r="S241" s="107"/>
      <c r="T241" s="107"/>
      <c r="X241" s="107"/>
      <c r="AC241" s="107"/>
      <c r="AH241" s="107"/>
      <c r="AM241" s="107"/>
    </row>
    <row r="242" spans="2:39">
      <c r="B242" s="660"/>
      <c r="C242" s="303">
        <v>25</v>
      </c>
      <c r="D242" s="303"/>
      <c r="E242" s="303"/>
      <c r="F242" s="303"/>
      <c r="G242" s="303"/>
      <c r="H242" s="685"/>
      <c r="I242" s="198"/>
      <c r="J242" s="198"/>
      <c r="K242" s="198"/>
      <c r="L242" s="693"/>
      <c r="M242" s="198" t="e">
        <f>RANK(K242, K$218:$K$247)</f>
        <v>#DIV/0!</v>
      </c>
      <c r="N242" s="107"/>
      <c r="O242" s="107"/>
      <c r="P242" s="107"/>
      <c r="Q242" s="107"/>
      <c r="R242" s="107"/>
      <c r="S242" s="107"/>
      <c r="T242" s="107"/>
      <c r="X242" s="107"/>
      <c r="AC242" s="107"/>
      <c r="AH242" s="107"/>
      <c r="AM242" s="107"/>
    </row>
    <row r="243" spans="2:39">
      <c r="B243" s="660"/>
      <c r="C243" s="303">
        <v>26</v>
      </c>
      <c r="D243" s="303"/>
      <c r="E243" s="303"/>
      <c r="F243" s="303"/>
      <c r="G243" s="303"/>
      <c r="H243" s="685"/>
      <c r="I243" s="198"/>
      <c r="J243" s="198"/>
      <c r="K243" s="198"/>
      <c r="L243" s="693"/>
      <c r="M243" s="198" t="e">
        <f>RANK(K243, K$218:$K$247)</f>
        <v>#DIV/0!</v>
      </c>
      <c r="N243" s="107"/>
      <c r="O243" s="107"/>
      <c r="P243" s="107"/>
      <c r="Q243" s="107"/>
      <c r="R243" s="107"/>
      <c r="S243" s="107"/>
      <c r="T243" s="107"/>
      <c r="X243" s="107"/>
      <c r="AC243" s="107"/>
      <c r="AH243" s="107"/>
      <c r="AM243" s="107"/>
    </row>
    <row r="244" spans="2:39">
      <c r="B244" s="660"/>
      <c r="C244" s="303">
        <v>27</v>
      </c>
      <c r="D244" s="303"/>
      <c r="E244" s="303"/>
      <c r="F244" s="303"/>
      <c r="G244" s="303"/>
      <c r="H244" s="685"/>
      <c r="I244" s="198"/>
      <c r="J244" s="198"/>
      <c r="K244" s="198"/>
      <c r="L244" s="693"/>
      <c r="M244" s="198" t="e">
        <f>RANK(K244, K$218:$K$247)</f>
        <v>#DIV/0!</v>
      </c>
      <c r="N244" s="107"/>
      <c r="O244" s="107"/>
      <c r="P244" s="107"/>
      <c r="Q244" s="107"/>
      <c r="R244" s="107"/>
      <c r="S244" s="107"/>
      <c r="T244" s="107"/>
      <c r="X244" s="107"/>
      <c r="AC244" s="107"/>
      <c r="AH244" s="107"/>
      <c r="AM244" s="107"/>
    </row>
    <row r="245" spans="2:39">
      <c r="B245" s="660"/>
      <c r="C245" s="303">
        <v>28</v>
      </c>
      <c r="D245" s="303"/>
      <c r="E245" s="303"/>
      <c r="F245" s="303"/>
      <c r="G245" s="303"/>
      <c r="H245" s="685"/>
      <c r="I245" s="198"/>
      <c r="J245" s="198"/>
      <c r="K245" s="198"/>
      <c r="L245" s="693"/>
      <c r="M245" s="198" t="e">
        <f>RANK(K245, K$218:$K$247)</f>
        <v>#DIV/0!</v>
      </c>
      <c r="N245" s="107"/>
      <c r="O245" s="107"/>
      <c r="P245" s="107"/>
      <c r="Q245" s="107"/>
      <c r="R245" s="107"/>
      <c r="S245" s="107"/>
      <c r="T245" s="107"/>
      <c r="X245" s="107"/>
      <c r="AC245" s="107"/>
      <c r="AH245" s="107"/>
      <c r="AM245" s="107"/>
    </row>
    <row r="246" spans="2:39">
      <c r="B246" s="660"/>
      <c r="C246" s="303">
        <v>29</v>
      </c>
      <c r="D246" s="303"/>
      <c r="E246" s="303"/>
      <c r="F246" s="303"/>
      <c r="G246" s="303"/>
      <c r="H246" s="685"/>
      <c r="I246" s="198"/>
      <c r="J246" s="198"/>
      <c r="K246" s="198"/>
      <c r="L246" s="693"/>
      <c r="M246" s="198" t="e">
        <f>RANK(K246, K$218:$K$247)</f>
        <v>#DIV/0!</v>
      </c>
      <c r="N246" s="107"/>
      <c r="O246" s="107"/>
      <c r="P246" s="107"/>
      <c r="Q246" s="107"/>
      <c r="R246" s="107"/>
      <c r="S246" s="107"/>
      <c r="T246" s="107"/>
      <c r="X246" s="107"/>
      <c r="AC246" s="107"/>
      <c r="AH246" s="107"/>
      <c r="AM246" s="107"/>
    </row>
    <row r="247" spans="2:39">
      <c r="B247" s="660"/>
      <c r="C247" s="303">
        <v>30</v>
      </c>
      <c r="D247" s="303"/>
      <c r="E247" s="303"/>
      <c r="F247" s="303"/>
      <c r="G247" s="303"/>
      <c r="H247" s="685"/>
      <c r="I247" s="198"/>
      <c r="J247" s="198"/>
      <c r="K247" s="198"/>
      <c r="L247" s="693"/>
      <c r="M247" s="198" t="e">
        <f>RANK(K247, K$218:$K$247)</f>
        <v>#DIV/0!</v>
      </c>
      <c r="N247" s="107"/>
      <c r="O247" s="107"/>
      <c r="P247" s="107"/>
      <c r="Q247" s="107"/>
      <c r="R247" s="107"/>
      <c r="S247" s="107"/>
      <c r="T247" s="107"/>
      <c r="X247" s="107"/>
      <c r="AC247" s="107"/>
      <c r="AH247" s="107"/>
      <c r="AM247" s="107"/>
    </row>
    <row r="250" spans="2:39">
      <c r="D250" s="360" t="s">
        <v>338</v>
      </c>
      <c r="E250" s="360">
        <v>4</v>
      </c>
      <c r="F250" s="360">
        <v>2700</v>
      </c>
      <c r="G250" s="360">
        <f>F250/E250</f>
        <v>675</v>
      </c>
      <c r="H250" s="106">
        <v>704.2</v>
      </c>
      <c r="N250" s="107"/>
      <c r="O250" s="107"/>
      <c r="P250" s="107"/>
      <c r="Q250" s="107"/>
      <c r="R250" s="107"/>
      <c r="S250" s="107"/>
      <c r="T250" s="107"/>
      <c r="X250" s="107"/>
      <c r="AC250" s="107"/>
      <c r="AH250" s="107"/>
      <c r="AM250" s="107"/>
    </row>
    <row r="251" spans="2:39">
      <c r="D251" s="360" t="s">
        <v>340</v>
      </c>
      <c r="E251" s="360">
        <v>3</v>
      </c>
      <c r="F251" s="360">
        <v>2700</v>
      </c>
      <c r="G251" s="360">
        <f t="shared" ref="G251:G255" si="94">F251/E251</f>
        <v>900</v>
      </c>
      <c r="N251" s="107"/>
      <c r="O251" s="107"/>
      <c r="P251" s="107"/>
      <c r="Q251" s="107"/>
      <c r="R251" s="107"/>
      <c r="S251" s="107"/>
      <c r="T251" s="107"/>
      <c r="X251" s="107"/>
      <c r="AC251" s="107"/>
      <c r="AH251" s="107"/>
      <c r="AM251" s="107"/>
    </row>
    <row r="252" spans="2:39">
      <c r="D252" s="360" t="s">
        <v>341</v>
      </c>
      <c r="E252" s="360">
        <v>4</v>
      </c>
      <c r="F252" s="360">
        <v>2700</v>
      </c>
      <c r="G252" s="360">
        <f t="shared" si="94"/>
        <v>675</v>
      </c>
      <c r="N252" s="107"/>
      <c r="O252" s="107"/>
      <c r="P252" s="107"/>
      <c r="Q252" s="107"/>
      <c r="R252" s="107"/>
      <c r="S252" s="107"/>
      <c r="T252" s="107"/>
      <c r="X252" s="107"/>
      <c r="AC252" s="107"/>
      <c r="AH252" s="107"/>
      <c r="AM252" s="107"/>
    </row>
    <row r="253" spans="2:39">
      <c r="D253" s="360" t="s">
        <v>508</v>
      </c>
      <c r="E253" s="360">
        <v>4</v>
      </c>
      <c r="F253" s="360">
        <v>2700</v>
      </c>
      <c r="G253" s="360">
        <f t="shared" si="94"/>
        <v>675</v>
      </c>
      <c r="N253" s="107"/>
      <c r="O253" s="107"/>
      <c r="P253" s="107"/>
      <c r="Q253" s="107"/>
      <c r="R253" s="107"/>
      <c r="S253" s="107"/>
      <c r="T253" s="107"/>
      <c r="X253" s="107"/>
      <c r="AC253" s="107"/>
      <c r="AH253" s="107"/>
      <c r="AM253" s="107"/>
    </row>
    <row r="254" spans="2:39">
      <c r="D254" s="359" t="s">
        <v>550</v>
      </c>
      <c r="E254" s="360">
        <v>4</v>
      </c>
      <c r="F254" s="360">
        <v>2600</v>
      </c>
      <c r="G254" s="360">
        <f t="shared" si="94"/>
        <v>650</v>
      </c>
      <c r="N254" s="107"/>
      <c r="O254" s="107"/>
      <c r="P254" s="107"/>
      <c r="Q254" s="107"/>
      <c r="R254" s="107"/>
      <c r="S254" s="107"/>
      <c r="T254" s="107"/>
      <c r="X254" s="107"/>
      <c r="AC254" s="107"/>
      <c r="AH254" s="107"/>
      <c r="AM254" s="107"/>
    </row>
    <row r="255" spans="2:39">
      <c r="D255" s="359" t="s">
        <v>551</v>
      </c>
      <c r="E255" s="360">
        <v>4</v>
      </c>
      <c r="F255" s="360">
        <v>2600</v>
      </c>
      <c r="G255" s="360">
        <f t="shared" si="94"/>
        <v>650</v>
      </c>
      <c r="N255" s="107"/>
      <c r="O255" s="107"/>
      <c r="P255" s="107"/>
      <c r="Q255" s="107"/>
      <c r="R255" s="107"/>
      <c r="S255" s="107"/>
      <c r="T255" s="107"/>
      <c r="X255" s="107"/>
      <c r="AC255" s="107"/>
      <c r="AH255" s="107"/>
      <c r="AM255" s="107"/>
    </row>
    <row r="257" spans="4:8" s="107" customFormat="1">
      <c r="D257" s="360" t="s">
        <v>338</v>
      </c>
      <c r="E257" s="360">
        <v>4</v>
      </c>
      <c r="F257" s="360">
        <v>3300</v>
      </c>
      <c r="G257" s="360">
        <f>F257/E257</f>
        <v>825</v>
      </c>
      <c r="H257" s="106">
        <v>845.8</v>
      </c>
    </row>
    <row r="258" spans="4:8" s="107" customFormat="1">
      <c r="D258" s="360" t="s">
        <v>340</v>
      </c>
      <c r="E258" s="360">
        <v>3</v>
      </c>
      <c r="F258" s="360">
        <v>3300</v>
      </c>
      <c r="G258" s="360">
        <f t="shared" ref="G258:G262" si="95">F258/E258</f>
        <v>1100</v>
      </c>
      <c r="H258" s="106"/>
    </row>
    <row r="259" spans="4:8" s="107" customFormat="1">
      <c r="D259" s="360" t="s">
        <v>341</v>
      </c>
      <c r="E259" s="360">
        <v>4</v>
      </c>
      <c r="F259" s="360">
        <v>3300</v>
      </c>
      <c r="G259" s="360">
        <f t="shared" si="95"/>
        <v>825</v>
      </c>
      <c r="H259" s="106"/>
    </row>
    <row r="260" spans="4:8" s="107" customFormat="1">
      <c r="D260" s="360" t="s">
        <v>508</v>
      </c>
      <c r="E260" s="360">
        <v>4</v>
      </c>
      <c r="F260" s="360">
        <v>3100</v>
      </c>
      <c r="G260" s="360">
        <f t="shared" si="95"/>
        <v>775</v>
      </c>
      <c r="H260" s="106"/>
    </row>
    <row r="261" spans="4:8" s="107" customFormat="1">
      <c r="D261" s="359" t="s">
        <v>550</v>
      </c>
      <c r="E261" s="360">
        <v>4</v>
      </c>
      <c r="F261" s="360">
        <v>3100</v>
      </c>
      <c r="G261" s="360">
        <f t="shared" si="95"/>
        <v>775</v>
      </c>
      <c r="H261" s="106"/>
    </row>
    <row r="262" spans="4:8" s="107" customFormat="1">
      <c r="D262" s="359" t="s">
        <v>551</v>
      </c>
      <c r="E262" s="360">
        <v>4</v>
      </c>
      <c r="F262" s="360">
        <v>3100</v>
      </c>
      <c r="G262" s="360">
        <f t="shared" si="95"/>
        <v>775</v>
      </c>
      <c r="H262" s="106"/>
    </row>
  </sheetData>
  <mergeCells count="379">
    <mergeCell ref="BA147:BA176"/>
    <mergeCell ref="BA179:BA181"/>
    <mergeCell ref="BA182:BA211"/>
    <mergeCell ref="BA4:BA6"/>
    <mergeCell ref="BA7:BA36"/>
    <mergeCell ref="BA39:BA41"/>
    <mergeCell ref="BA42:BA71"/>
    <mergeCell ref="BA74:BA76"/>
    <mergeCell ref="BA77:BA106"/>
    <mergeCell ref="BA109:BA111"/>
    <mergeCell ref="BA112:BA141"/>
    <mergeCell ref="BA144:BA146"/>
    <mergeCell ref="B218:B247"/>
    <mergeCell ref="H218:H247"/>
    <mergeCell ref="L218:L247"/>
    <mergeCell ref="T182:T211"/>
    <mergeCell ref="Y182:Y211"/>
    <mergeCell ref="AD182:AD211"/>
    <mergeCell ref="AI182:AI211"/>
    <mergeCell ref="AN182:AN211"/>
    <mergeCell ref="AS182:AS211"/>
    <mergeCell ref="AX182:AX211"/>
    <mergeCell ref="B213:H214"/>
    <mergeCell ref="B215:B217"/>
    <mergeCell ref="C215:D217"/>
    <mergeCell ref="E215:G215"/>
    <mergeCell ref="H215:H217"/>
    <mergeCell ref="I215:K215"/>
    <mergeCell ref="L215:L217"/>
    <mergeCell ref="M215:M217"/>
    <mergeCell ref="E216:G216"/>
    <mergeCell ref="I216:K216"/>
    <mergeCell ref="H182:H211"/>
    <mergeCell ref="L182:L211"/>
    <mergeCell ref="AE179:AH179"/>
    <mergeCell ref="AI179:AI181"/>
    <mergeCell ref="AJ179:AM179"/>
    <mergeCell ref="AN179:AN181"/>
    <mergeCell ref="AO179:AR179"/>
    <mergeCell ref="AS179:AS181"/>
    <mergeCell ref="AT179:AW179"/>
    <mergeCell ref="AX179:AX181"/>
    <mergeCell ref="P180:S180"/>
    <mergeCell ref="U180:X180"/>
    <mergeCell ref="Z180:AC180"/>
    <mergeCell ref="AE180:AH180"/>
    <mergeCell ref="AJ180:AM180"/>
    <mergeCell ref="AO180:AR180"/>
    <mergeCell ref="AT180:AW180"/>
    <mergeCell ref="AE177:AI177"/>
    <mergeCell ref="AJ177:AN177"/>
    <mergeCell ref="AO177:AS177"/>
    <mergeCell ref="AT177:AX177"/>
    <mergeCell ref="P178:T178"/>
    <mergeCell ref="U178:Y178"/>
    <mergeCell ref="Z178:AD178"/>
    <mergeCell ref="AE178:AI178"/>
    <mergeCell ref="AJ178:AN178"/>
    <mergeCell ref="AO178:AS178"/>
    <mergeCell ref="AT178:AX178"/>
    <mergeCell ref="B177:H178"/>
    <mergeCell ref="N177:N178"/>
    <mergeCell ref="O177:O178"/>
    <mergeCell ref="P177:T177"/>
    <mergeCell ref="U177:Y177"/>
    <mergeCell ref="Z177:AD177"/>
    <mergeCell ref="B179:B181"/>
    <mergeCell ref="C179:D181"/>
    <mergeCell ref="E179:G179"/>
    <mergeCell ref="H179:H181"/>
    <mergeCell ref="I179:K179"/>
    <mergeCell ref="L179:L181"/>
    <mergeCell ref="M179:M181"/>
    <mergeCell ref="N179:N211"/>
    <mergeCell ref="O179:O211"/>
    <mergeCell ref="P179:S179"/>
    <mergeCell ref="T179:T181"/>
    <mergeCell ref="U179:X179"/>
    <mergeCell ref="Y179:Y181"/>
    <mergeCell ref="Z179:AC179"/>
    <mergeCell ref="AD179:AD181"/>
    <mergeCell ref="E180:G180"/>
    <mergeCell ref="I180:K180"/>
    <mergeCell ref="B182:B211"/>
    <mergeCell ref="B2:H3"/>
    <mergeCell ref="B7:B36"/>
    <mergeCell ref="B4:B6"/>
    <mergeCell ref="C4:D6"/>
    <mergeCell ref="H4:H6"/>
    <mergeCell ref="H7:H36"/>
    <mergeCell ref="E5:G5"/>
    <mergeCell ref="M4:M6"/>
    <mergeCell ref="T4:T6"/>
    <mergeCell ref="T7:T36"/>
    <mergeCell ref="N4:N36"/>
    <mergeCell ref="O4:O36"/>
    <mergeCell ref="E4:G4"/>
    <mergeCell ref="O2:O3"/>
    <mergeCell ref="P3:T3"/>
    <mergeCell ref="U3:Y3"/>
    <mergeCell ref="Z3:AD3"/>
    <mergeCell ref="AE3:AI3"/>
    <mergeCell ref="N37:N38"/>
    <mergeCell ref="O37:O38"/>
    <mergeCell ref="P37:T37"/>
    <mergeCell ref="U37:Y37"/>
    <mergeCell ref="Z37:AD37"/>
    <mergeCell ref="Z2:AD2"/>
    <mergeCell ref="AD4:AD6"/>
    <mergeCell ref="AD7:AD36"/>
    <mergeCell ref="AE2:AI2"/>
    <mergeCell ref="AI4:AI6"/>
    <mergeCell ref="AI7:AI36"/>
    <mergeCell ref="P2:T2"/>
    <mergeCell ref="Z4:AC4"/>
    <mergeCell ref="Z5:AC5"/>
    <mergeCell ref="U2:Y2"/>
    <mergeCell ref="Y4:Y6"/>
    <mergeCell ref="Y7:Y36"/>
    <mergeCell ref="N2:N3"/>
    <mergeCell ref="AJ108:AN108"/>
    <mergeCell ref="Y39:Y41"/>
    <mergeCell ref="AD39:AD41"/>
    <mergeCell ref="AI39:AI41"/>
    <mergeCell ref="Z39:AC39"/>
    <mergeCell ref="P38:T38"/>
    <mergeCell ref="U38:Y38"/>
    <mergeCell ref="Z38:AD38"/>
    <mergeCell ref="AE38:AI38"/>
    <mergeCell ref="T39:T41"/>
    <mergeCell ref="AN112:AN141"/>
    <mergeCell ref="AS112:AS141"/>
    <mergeCell ref="AO108:AS108"/>
    <mergeCell ref="AD77:AD106"/>
    <mergeCell ref="AI77:AI106"/>
    <mergeCell ref="AN77:AN106"/>
    <mergeCell ref="AS77:AS106"/>
    <mergeCell ref="N142:N143"/>
    <mergeCell ref="O142:O143"/>
    <mergeCell ref="P142:T142"/>
    <mergeCell ref="U142:Y142"/>
    <mergeCell ref="Z142:AD142"/>
    <mergeCell ref="AE142:AI142"/>
    <mergeCell ref="AS109:AS111"/>
    <mergeCell ref="P109:S109"/>
    <mergeCell ref="U109:X109"/>
    <mergeCell ref="AD109:AD111"/>
    <mergeCell ref="AI109:AI111"/>
    <mergeCell ref="AN109:AN111"/>
    <mergeCell ref="Z109:AC109"/>
    <mergeCell ref="AE109:AH109"/>
    <mergeCell ref="AJ109:AM109"/>
    <mergeCell ref="N109:N141"/>
    <mergeCell ref="O109:O141"/>
    <mergeCell ref="AJ2:AN2"/>
    <mergeCell ref="AJ3:AN3"/>
    <mergeCell ref="AN4:AN6"/>
    <mergeCell ref="AN7:AN36"/>
    <mergeCell ref="AD147:AD176"/>
    <mergeCell ref="AI147:AI176"/>
    <mergeCell ref="AN147:AN176"/>
    <mergeCell ref="AS147:AS176"/>
    <mergeCell ref="AS144:AS146"/>
    <mergeCell ref="AJ142:AN142"/>
    <mergeCell ref="AO142:AS142"/>
    <mergeCell ref="AJ107:AN107"/>
    <mergeCell ref="AO107:AS107"/>
    <mergeCell ref="AJ72:AN72"/>
    <mergeCell ref="AO72:AS72"/>
    <mergeCell ref="Z73:AD73"/>
    <mergeCell ref="AE73:AI73"/>
    <mergeCell ref="AJ73:AN73"/>
    <mergeCell ref="AO73:AS73"/>
    <mergeCell ref="AJ37:AN37"/>
    <mergeCell ref="AO37:AS37"/>
    <mergeCell ref="AJ38:AN38"/>
    <mergeCell ref="AO38:AS38"/>
    <mergeCell ref="AE37:AI37"/>
    <mergeCell ref="B37:H38"/>
    <mergeCell ref="B39:B41"/>
    <mergeCell ref="AX144:AX146"/>
    <mergeCell ref="AX147:AX176"/>
    <mergeCell ref="AT107:AX107"/>
    <mergeCell ref="AT108:AX108"/>
    <mergeCell ref="AX109:AX111"/>
    <mergeCell ref="AX112:AX141"/>
    <mergeCell ref="AT72:AX72"/>
    <mergeCell ref="AT73:AX73"/>
    <mergeCell ref="AX74:AX76"/>
    <mergeCell ref="AX77:AX106"/>
    <mergeCell ref="AT142:AX142"/>
    <mergeCell ref="AT143:AX143"/>
    <mergeCell ref="N144:N176"/>
    <mergeCell ref="O144:O176"/>
    <mergeCell ref="T144:T146"/>
    <mergeCell ref="Y144:Y146"/>
    <mergeCell ref="T147:T176"/>
    <mergeCell ref="Y147:Y176"/>
    <mergeCell ref="T112:T141"/>
    <mergeCell ref="Y112:Y141"/>
    <mergeCell ref="P143:T143"/>
    <mergeCell ref="U143:Y143"/>
    <mergeCell ref="AX39:AX41"/>
    <mergeCell ref="AX42:AX71"/>
    <mergeCell ref="AT40:AW40"/>
    <mergeCell ref="B77:B106"/>
    <mergeCell ref="H77:H106"/>
    <mergeCell ref="B107:H108"/>
    <mergeCell ref="B109:B111"/>
    <mergeCell ref="C109:D111"/>
    <mergeCell ref="E109:G109"/>
    <mergeCell ref="H109:H111"/>
    <mergeCell ref="E110:G110"/>
    <mergeCell ref="B42:B71"/>
    <mergeCell ref="H42:H71"/>
    <mergeCell ref="B72:H73"/>
    <mergeCell ref="B74:B76"/>
    <mergeCell ref="C74:D76"/>
    <mergeCell ref="E74:G74"/>
    <mergeCell ref="H74:H76"/>
    <mergeCell ref="E75:G75"/>
    <mergeCell ref="AJ75:AM75"/>
    <mergeCell ref="N107:N108"/>
    <mergeCell ref="O107:O108"/>
    <mergeCell ref="P107:T107"/>
    <mergeCell ref="U107:Y107"/>
    <mergeCell ref="AE143:AI143"/>
    <mergeCell ref="AJ143:AN143"/>
    <mergeCell ref="AO143:AS143"/>
    <mergeCell ref="AD112:AD141"/>
    <mergeCell ref="AI112:AI141"/>
    <mergeCell ref="AT2:AX2"/>
    <mergeCell ref="AT3:AX3"/>
    <mergeCell ref="AX4:AX6"/>
    <mergeCell ref="AX7:AX36"/>
    <mergeCell ref="AT4:AW4"/>
    <mergeCell ref="AT5:AW5"/>
    <mergeCell ref="AO2:AS2"/>
    <mergeCell ref="AO3:AS3"/>
    <mergeCell ref="AS4:AS6"/>
    <mergeCell ref="AS7:AS36"/>
    <mergeCell ref="AO4:AR4"/>
    <mergeCell ref="AO5:AR5"/>
    <mergeCell ref="AE4:AH4"/>
    <mergeCell ref="AE5:AH5"/>
    <mergeCell ref="AJ4:AM4"/>
    <mergeCell ref="AJ5:AM5"/>
    <mergeCell ref="AE75:AH75"/>
    <mergeCell ref="AT37:AX37"/>
    <mergeCell ref="AT38:AX38"/>
    <mergeCell ref="E39:G39"/>
    <mergeCell ref="H39:H41"/>
    <mergeCell ref="E40:G40"/>
    <mergeCell ref="N72:N73"/>
    <mergeCell ref="O72:O73"/>
    <mergeCell ref="P72:T72"/>
    <mergeCell ref="U72:Y72"/>
    <mergeCell ref="Z72:AD72"/>
    <mergeCell ref="Z143:AD143"/>
    <mergeCell ref="Z75:AC75"/>
    <mergeCell ref="Z107:AD107"/>
    <mergeCell ref="Z74:AC74"/>
    <mergeCell ref="AD74:AD76"/>
    <mergeCell ref="N74:N106"/>
    <mergeCell ref="O74:O106"/>
    <mergeCell ref="T74:T76"/>
    <mergeCell ref="Y74:Y76"/>
    <mergeCell ref="T77:T106"/>
    <mergeCell ref="Y77:Y106"/>
    <mergeCell ref="P108:T108"/>
    <mergeCell ref="U108:Y108"/>
    <mergeCell ref="Z108:AD108"/>
    <mergeCell ref="N39:N71"/>
    <mergeCell ref="O39:O71"/>
    <mergeCell ref="B147:B176"/>
    <mergeCell ref="H147:H176"/>
    <mergeCell ref="P5:S5"/>
    <mergeCell ref="P4:S4"/>
    <mergeCell ref="U4:X4"/>
    <mergeCell ref="U5:X5"/>
    <mergeCell ref="P39:S39"/>
    <mergeCell ref="U39:X39"/>
    <mergeCell ref="P74:S74"/>
    <mergeCell ref="U74:X74"/>
    <mergeCell ref="B112:B141"/>
    <mergeCell ref="H112:H141"/>
    <mergeCell ref="B142:H143"/>
    <mergeCell ref="B144:B146"/>
    <mergeCell ref="C144:D146"/>
    <mergeCell ref="E144:G144"/>
    <mergeCell ref="H144:H146"/>
    <mergeCell ref="E145:G145"/>
    <mergeCell ref="P75:S75"/>
    <mergeCell ref="U75:X75"/>
    <mergeCell ref="M39:M41"/>
    <mergeCell ref="M74:M76"/>
    <mergeCell ref="M109:M111"/>
    <mergeCell ref="C39:D41"/>
    <mergeCell ref="M144:M146"/>
    <mergeCell ref="AO75:AR75"/>
    <mergeCell ref="AT75:AW75"/>
    <mergeCell ref="AE39:AH39"/>
    <mergeCell ref="AJ39:AM39"/>
    <mergeCell ref="AO39:AR39"/>
    <mergeCell ref="AT39:AW39"/>
    <mergeCell ref="P40:S40"/>
    <mergeCell ref="U40:X40"/>
    <mergeCell ref="Z40:AC40"/>
    <mergeCell ref="AE40:AH40"/>
    <mergeCell ref="AJ40:AM40"/>
    <mergeCell ref="AO40:AR40"/>
    <mergeCell ref="P73:T73"/>
    <mergeCell ref="U73:Y73"/>
    <mergeCell ref="AO74:AR74"/>
    <mergeCell ref="AT74:AW74"/>
    <mergeCell ref="AS39:AS41"/>
    <mergeCell ref="AN42:AN71"/>
    <mergeCell ref="AS42:AS71"/>
    <mergeCell ref="T42:T71"/>
    <mergeCell ref="Y42:Y71"/>
    <mergeCell ref="AD42:AD71"/>
    <mergeCell ref="AI42:AI71"/>
    <mergeCell ref="AO144:AR144"/>
    <mergeCell ref="AT144:AW144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U144:X144"/>
    <mergeCell ref="AD144:AD146"/>
    <mergeCell ref="AI144:AI146"/>
    <mergeCell ref="AN144:AN146"/>
    <mergeCell ref="Z144:AC144"/>
    <mergeCell ref="AE144:AH144"/>
    <mergeCell ref="AJ144:AM144"/>
    <mergeCell ref="AJ110:AM110"/>
    <mergeCell ref="AO110:AR110"/>
    <mergeCell ref="AT110:AW110"/>
    <mergeCell ref="T109:T111"/>
    <mergeCell ref="Y109:Y111"/>
    <mergeCell ref="I4:K4"/>
    <mergeCell ref="L4:L6"/>
    <mergeCell ref="I5:K5"/>
    <mergeCell ref="L7:L36"/>
    <mergeCell ref="AN39:AN41"/>
    <mergeCell ref="AO109:AR109"/>
    <mergeCell ref="AT109:AW109"/>
    <mergeCell ref="P110:S110"/>
    <mergeCell ref="U110:X110"/>
    <mergeCell ref="Z110:AC110"/>
    <mergeCell ref="AE110:AH110"/>
    <mergeCell ref="AE72:AI72"/>
    <mergeCell ref="AE107:AI107"/>
    <mergeCell ref="AS74:AS76"/>
    <mergeCell ref="AE74:AH74"/>
    <mergeCell ref="AI74:AI76"/>
    <mergeCell ref="AN74:AN76"/>
    <mergeCell ref="AJ74:AM74"/>
    <mergeCell ref="AE108:AI108"/>
    <mergeCell ref="L112:L141"/>
    <mergeCell ref="I144:K144"/>
    <mergeCell ref="L144:L146"/>
    <mergeCell ref="I145:K145"/>
    <mergeCell ref="L147:L176"/>
    <mergeCell ref="I39:K39"/>
    <mergeCell ref="L39:L41"/>
    <mergeCell ref="I40:K40"/>
    <mergeCell ref="L42:L71"/>
    <mergeCell ref="I74:K74"/>
    <mergeCell ref="L74:L76"/>
    <mergeCell ref="I75:K75"/>
    <mergeCell ref="L77:L106"/>
    <mergeCell ref="I109:K109"/>
    <mergeCell ref="L109:L111"/>
    <mergeCell ref="I110:K110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A142"/>
  <sheetViews>
    <sheetView topLeftCell="A46" zoomScale="55" zoomScaleNormal="55" workbookViewId="0">
      <pane xSplit="15" topLeftCell="P1" activePane="topRight" state="frozen"/>
      <selection activeCell="T7" activeCellId="4" sqref="AM7:AN36 AH7:AI36 AC7:AD36 X7:Y36 S7:T36"/>
      <selection pane="topRight" activeCell="D87" sqref="D87:G91"/>
    </sheetView>
  </sheetViews>
  <sheetFormatPr defaultColWidth="8.85546875" defaultRowHeight="12.75"/>
  <cols>
    <col min="1" max="1" width="5.5703125" style="107" customWidth="1"/>
    <col min="2" max="2" width="12.42578125" style="107" customWidth="1"/>
    <col min="3" max="3" width="8.85546875" style="106"/>
    <col min="4" max="4" width="26.42578125" style="106" customWidth="1"/>
    <col min="5" max="7" width="8.42578125" style="106" customWidth="1"/>
    <col min="8" max="8" width="11.140625" style="106" bestFit="1" customWidth="1"/>
    <col min="9" max="12" width="11.140625" style="106" customWidth="1"/>
    <col min="13" max="13" width="13.5703125" style="106" customWidth="1"/>
    <col min="14" max="14" width="9.85546875" style="106" customWidth="1"/>
    <col min="15" max="15" width="7.140625" style="106" customWidth="1"/>
    <col min="16" max="18" width="12.85546875" style="106" customWidth="1"/>
    <col min="19" max="19" width="5.42578125" style="106" customWidth="1"/>
    <col min="20" max="20" width="12.85546875" style="106" customWidth="1"/>
    <col min="21" max="23" width="12.85546875" style="107" customWidth="1"/>
    <col min="24" max="24" width="5.42578125" style="106" customWidth="1"/>
    <col min="25" max="28" width="12.85546875" style="107" customWidth="1"/>
    <col min="29" max="29" width="5.42578125" style="106" customWidth="1"/>
    <col min="30" max="30" width="12.85546875" style="107" customWidth="1"/>
    <col min="31" max="33" width="12.5703125" style="107" customWidth="1"/>
    <col min="34" max="34" width="5.42578125" style="106" customWidth="1"/>
    <col min="35" max="35" width="13" style="107" customWidth="1"/>
    <col min="36" max="38" width="12.5703125" style="107" customWidth="1"/>
    <col min="39" max="39" width="5.42578125" style="106" customWidth="1"/>
    <col min="40" max="40" width="13" style="107" customWidth="1"/>
    <col min="41" max="43" width="13.140625" style="107" customWidth="1"/>
    <col min="44" max="44" width="5.42578125" style="107" customWidth="1"/>
    <col min="45" max="48" width="13.140625" style="107" customWidth="1"/>
    <col min="49" max="49" width="5.42578125" style="107" customWidth="1"/>
    <col min="50" max="50" width="13.140625" style="107" customWidth="1"/>
    <col min="51" max="51" width="8.85546875" style="107"/>
    <col min="52" max="52" width="5.42578125" style="107" customWidth="1"/>
    <col min="53" max="53" width="13.140625" style="107" customWidth="1"/>
    <col min="54" max="16384" width="8.85546875" style="107"/>
  </cols>
  <sheetData>
    <row r="1" spans="1:53" ht="24">
      <c r="A1" s="75"/>
      <c r="B1" s="220" t="s">
        <v>313</v>
      </c>
      <c r="C1" s="219">
        <f>AVERAGE(L7,L27,L47,L87,L87,L107)</f>
        <v>139.22698391736532</v>
      </c>
    </row>
    <row r="2" spans="1:53" ht="15.75">
      <c r="A2" s="81"/>
      <c r="B2" s="664" t="s">
        <v>162</v>
      </c>
      <c r="C2" s="664"/>
      <c r="D2" s="664"/>
      <c r="E2" s="664"/>
      <c r="F2" s="664"/>
      <c r="G2" s="664"/>
      <c r="H2" s="664"/>
      <c r="I2" s="284"/>
      <c r="J2" s="284"/>
      <c r="K2" s="284"/>
      <c r="L2" s="284"/>
      <c r="M2" s="196"/>
      <c r="N2" s="653" t="s">
        <v>156</v>
      </c>
      <c r="O2" s="653" t="s">
        <v>155</v>
      </c>
      <c r="P2" s="659">
        <v>46231</v>
      </c>
      <c r="Q2" s="660"/>
      <c r="R2" s="660"/>
      <c r="S2" s="660"/>
      <c r="T2" s="660"/>
      <c r="U2" s="656">
        <f>P2+1</f>
        <v>46232</v>
      </c>
      <c r="V2" s="657"/>
      <c r="W2" s="657"/>
      <c r="X2" s="657"/>
      <c r="Y2" s="658"/>
      <c r="Z2" s="656">
        <f>U2+1</f>
        <v>46233</v>
      </c>
      <c r="AA2" s="657"/>
      <c r="AB2" s="657"/>
      <c r="AC2" s="657"/>
      <c r="AD2" s="658"/>
      <c r="AE2" s="656">
        <f>Z2+1</f>
        <v>46234</v>
      </c>
      <c r="AF2" s="657"/>
      <c r="AG2" s="657"/>
      <c r="AH2" s="657"/>
      <c r="AI2" s="658"/>
      <c r="AJ2" s="656">
        <f>AE2+1</f>
        <v>46235</v>
      </c>
      <c r="AK2" s="657"/>
      <c r="AL2" s="657"/>
      <c r="AM2" s="657"/>
      <c r="AN2" s="658"/>
      <c r="AO2" s="656">
        <f>AJ2+1</f>
        <v>46236</v>
      </c>
      <c r="AP2" s="657"/>
      <c r="AQ2" s="657"/>
      <c r="AR2" s="657"/>
      <c r="AS2" s="658"/>
      <c r="AT2" s="656">
        <f>AO2+1</f>
        <v>46237</v>
      </c>
      <c r="AU2" s="657"/>
      <c r="AV2" s="657"/>
      <c r="AW2" s="657"/>
      <c r="AX2" s="658"/>
    </row>
    <row r="3" spans="1:53" ht="15.75">
      <c r="A3" s="81"/>
      <c r="B3" s="697"/>
      <c r="C3" s="697"/>
      <c r="D3" s="697"/>
      <c r="E3" s="697"/>
      <c r="F3" s="697"/>
      <c r="G3" s="697"/>
      <c r="H3" s="697"/>
      <c r="I3" s="285"/>
      <c r="J3" s="285"/>
      <c r="K3" s="285"/>
      <c r="L3" s="285"/>
      <c r="M3" s="197"/>
      <c r="N3" s="655"/>
      <c r="O3" s="655"/>
      <c r="P3" s="659" t="s">
        <v>158</v>
      </c>
      <c r="Q3" s="660"/>
      <c r="R3" s="660"/>
      <c r="S3" s="660"/>
      <c r="T3" s="660"/>
      <c r="U3" s="659" t="s">
        <v>114</v>
      </c>
      <c r="V3" s="660"/>
      <c r="W3" s="660"/>
      <c r="X3" s="660"/>
      <c r="Y3" s="660"/>
      <c r="Z3" s="659" t="s">
        <v>159</v>
      </c>
      <c r="AA3" s="660"/>
      <c r="AB3" s="660"/>
      <c r="AC3" s="660"/>
      <c r="AD3" s="660"/>
      <c r="AE3" s="659" t="s">
        <v>157</v>
      </c>
      <c r="AF3" s="660"/>
      <c r="AG3" s="660"/>
      <c r="AH3" s="660"/>
      <c r="AI3" s="660"/>
      <c r="AJ3" s="659" t="s">
        <v>160</v>
      </c>
      <c r="AK3" s="660"/>
      <c r="AL3" s="660"/>
      <c r="AM3" s="660"/>
      <c r="AN3" s="660"/>
      <c r="AO3" s="659" t="s">
        <v>115</v>
      </c>
      <c r="AP3" s="660"/>
      <c r="AQ3" s="660"/>
      <c r="AR3" s="660"/>
      <c r="AS3" s="660"/>
      <c r="AT3" s="659" t="s">
        <v>161</v>
      </c>
      <c r="AU3" s="660"/>
      <c r="AV3" s="660"/>
      <c r="AW3" s="660"/>
      <c r="AX3" s="660"/>
    </row>
    <row r="4" spans="1:53" ht="14.25">
      <c r="A4" s="81"/>
      <c r="B4" s="652" t="s">
        <v>544</v>
      </c>
      <c r="C4" s="652" t="s">
        <v>379</v>
      </c>
      <c r="D4" s="652"/>
      <c r="E4" s="652" t="s">
        <v>370</v>
      </c>
      <c r="F4" s="652"/>
      <c r="G4" s="652"/>
      <c r="H4" s="668" t="s">
        <v>366</v>
      </c>
      <c r="I4" s="652" t="s">
        <v>371</v>
      </c>
      <c r="J4" s="652"/>
      <c r="K4" s="652"/>
      <c r="L4" s="668" t="s">
        <v>366</v>
      </c>
      <c r="M4" s="653" t="s">
        <v>367</v>
      </c>
      <c r="N4" s="652"/>
      <c r="O4" s="652" t="s">
        <v>372</v>
      </c>
      <c r="P4" s="649" t="s">
        <v>368</v>
      </c>
      <c r="Q4" s="650"/>
      <c r="R4" s="650"/>
      <c r="S4" s="651"/>
      <c r="T4" s="653" t="s">
        <v>366</v>
      </c>
      <c r="U4" s="649" t="s">
        <v>368</v>
      </c>
      <c r="V4" s="650"/>
      <c r="W4" s="650"/>
      <c r="X4" s="651"/>
      <c r="Y4" s="653" t="s">
        <v>366</v>
      </c>
      <c r="Z4" s="649" t="s">
        <v>368</v>
      </c>
      <c r="AA4" s="650"/>
      <c r="AB4" s="650"/>
      <c r="AC4" s="651"/>
      <c r="AD4" s="653" t="s">
        <v>366</v>
      </c>
      <c r="AE4" s="649" t="s">
        <v>368</v>
      </c>
      <c r="AF4" s="650"/>
      <c r="AG4" s="650"/>
      <c r="AH4" s="651"/>
      <c r="AI4" s="652" t="s">
        <v>366</v>
      </c>
      <c r="AJ4" s="649" t="s">
        <v>368</v>
      </c>
      <c r="AK4" s="650"/>
      <c r="AL4" s="650"/>
      <c r="AM4" s="651"/>
      <c r="AN4" s="652" t="s">
        <v>366</v>
      </c>
      <c r="AO4" s="649" t="s">
        <v>368</v>
      </c>
      <c r="AP4" s="650"/>
      <c r="AQ4" s="650"/>
      <c r="AR4" s="651"/>
      <c r="AS4" s="652" t="s">
        <v>366</v>
      </c>
      <c r="AT4" s="649" t="s">
        <v>368</v>
      </c>
      <c r="AU4" s="650"/>
      <c r="AV4" s="650"/>
      <c r="AW4" s="651"/>
      <c r="AX4" s="652" t="s">
        <v>366</v>
      </c>
      <c r="BA4" s="652" t="s">
        <v>366</v>
      </c>
    </row>
    <row r="5" spans="1:53" ht="14.25">
      <c r="A5" s="81"/>
      <c r="B5" s="652"/>
      <c r="C5" s="652"/>
      <c r="D5" s="652"/>
      <c r="E5" s="652" t="s">
        <v>373</v>
      </c>
      <c r="F5" s="652"/>
      <c r="G5" s="652"/>
      <c r="H5" s="669"/>
      <c r="I5" s="652" t="s">
        <v>373</v>
      </c>
      <c r="J5" s="652"/>
      <c r="K5" s="652"/>
      <c r="L5" s="669"/>
      <c r="M5" s="654"/>
      <c r="N5" s="652"/>
      <c r="O5" s="652"/>
      <c r="P5" s="649" t="s">
        <v>374</v>
      </c>
      <c r="Q5" s="650"/>
      <c r="R5" s="650"/>
      <c r="S5" s="651"/>
      <c r="T5" s="654"/>
      <c r="U5" s="649" t="s">
        <v>374</v>
      </c>
      <c r="V5" s="650"/>
      <c r="W5" s="650"/>
      <c r="X5" s="651"/>
      <c r="Y5" s="654"/>
      <c r="Z5" s="649" t="s">
        <v>374</v>
      </c>
      <c r="AA5" s="650"/>
      <c r="AB5" s="650"/>
      <c r="AC5" s="651"/>
      <c r="AD5" s="654"/>
      <c r="AE5" s="649" t="s">
        <v>374</v>
      </c>
      <c r="AF5" s="650"/>
      <c r="AG5" s="650"/>
      <c r="AH5" s="651"/>
      <c r="AI5" s="652"/>
      <c r="AJ5" s="649" t="s">
        <v>374</v>
      </c>
      <c r="AK5" s="650"/>
      <c r="AL5" s="650"/>
      <c r="AM5" s="651"/>
      <c r="AN5" s="652"/>
      <c r="AO5" s="649" t="s">
        <v>374</v>
      </c>
      <c r="AP5" s="650"/>
      <c r="AQ5" s="650"/>
      <c r="AR5" s="651"/>
      <c r="AS5" s="652"/>
      <c r="AT5" s="649" t="s">
        <v>374</v>
      </c>
      <c r="AU5" s="650"/>
      <c r="AV5" s="650"/>
      <c r="AW5" s="651"/>
      <c r="AX5" s="652"/>
      <c r="BA5" s="652"/>
    </row>
    <row r="6" spans="1:53" ht="14.25">
      <c r="A6" s="79"/>
      <c r="B6" s="652"/>
      <c r="C6" s="652"/>
      <c r="D6" s="652"/>
      <c r="E6" s="529" t="s">
        <v>375</v>
      </c>
      <c r="F6" s="529" t="s">
        <v>376</v>
      </c>
      <c r="G6" s="529" t="s">
        <v>377</v>
      </c>
      <c r="H6" s="670"/>
      <c r="I6" s="529" t="s">
        <v>375</v>
      </c>
      <c r="J6" s="529" t="s">
        <v>376</v>
      </c>
      <c r="K6" s="529" t="s">
        <v>377</v>
      </c>
      <c r="L6" s="670"/>
      <c r="M6" s="655"/>
      <c r="N6" s="652"/>
      <c r="O6" s="652"/>
      <c r="P6" s="529" t="s">
        <v>375</v>
      </c>
      <c r="Q6" s="529" t="s">
        <v>376</v>
      </c>
      <c r="R6" s="529" t="s">
        <v>377</v>
      </c>
      <c r="S6" s="529" t="s">
        <v>367</v>
      </c>
      <c r="T6" s="655"/>
      <c r="U6" s="529" t="s">
        <v>375</v>
      </c>
      <c r="V6" s="529" t="s">
        <v>376</v>
      </c>
      <c r="W6" s="529" t="s">
        <v>377</v>
      </c>
      <c r="X6" s="529" t="s">
        <v>367</v>
      </c>
      <c r="Y6" s="655"/>
      <c r="Z6" s="529" t="s">
        <v>375</v>
      </c>
      <c r="AA6" s="529" t="s">
        <v>376</v>
      </c>
      <c r="AB6" s="529" t="s">
        <v>377</v>
      </c>
      <c r="AC6" s="529" t="s">
        <v>367</v>
      </c>
      <c r="AD6" s="655"/>
      <c r="AE6" s="529" t="s">
        <v>375</v>
      </c>
      <c r="AF6" s="529" t="s">
        <v>376</v>
      </c>
      <c r="AG6" s="529" t="s">
        <v>377</v>
      </c>
      <c r="AH6" s="529" t="s">
        <v>367</v>
      </c>
      <c r="AI6" s="652"/>
      <c r="AJ6" s="529" t="s">
        <v>375</v>
      </c>
      <c r="AK6" s="529" t="s">
        <v>376</v>
      </c>
      <c r="AL6" s="529" t="s">
        <v>377</v>
      </c>
      <c r="AM6" s="529" t="s">
        <v>367</v>
      </c>
      <c r="AN6" s="652"/>
      <c r="AO6" s="529" t="s">
        <v>375</v>
      </c>
      <c r="AP6" s="529" t="s">
        <v>376</v>
      </c>
      <c r="AQ6" s="529" t="s">
        <v>377</v>
      </c>
      <c r="AR6" s="529" t="s">
        <v>367</v>
      </c>
      <c r="AS6" s="652"/>
      <c r="AT6" s="529" t="s">
        <v>375</v>
      </c>
      <c r="AU6" s="529" t="s">
        <v>376</v>
      </c>
      <c r="AV6" s="529" t="s">
        <v>377</v>
      </c>
      <c r="AW6" s="529" t="s">
        <v>367</v>
      </c>
      <c r="AX6" s="652"/>
      <c r="AZ6" s="373" t="s">
        <v>367</v>
      </c>
      <c r="BA6" s="652"/>
    </row>
    <row r="7" spans="1:53" ht="14.25">
      <c r="A7" s="81"/>
      <c r="B7" s="695" t="s">
        <v>545</v>
      </c>
      <c r="C7" s="533">
        <v>1</v>
      </c>
      <c r="D7" s="529" t="s">
        <v>571</v>
      </c>
      <c r="E7" s="530">
        <v>10</v>
      </c>
      <c r="F7" s="530">
        <v>1500</v>
      </c>
      <c r="G7" s="531">
        <v>150</v>
      </c>
      <c r="H7" s="691">
        <f>AVERAGE(G7:G21)</f>
        <v>127.5</v>
      </c>
      <c r="I7" s="534">
        <f t="shared" ref="I7:I21" si="0">IFERROR(AVERAGE(P7,U7,Z7,AE7,AJ7,AO7,AT7),"-")</f>
        <v>10</v>
      </c>
      <c r="J7" s="534">
        <f t="shared" ref="J7:J21" si="1">IFERROR(AVERAGE(Q7,V7,AA7,AF7,AK7,AP7,AU7),"-")</f>
        <v>1426.6666666666679</v>
      </c>
      <c r="K7" s="199">
        <f t="shared" ref="K7:K21" si="2">IFERROR(AVERAGE(R7,W7,AB7,AG7,AL7,AQ7,AV7),"-")</f>
        <v>142.66666666666677</v>
      </c>
      <c r="L7" s="633">
        <f>IFERROR(AVERAGE(K7:K21),"-")</f>
        <v>135.9901716872871</v>
      </c>
      <c r="M7" s="510">
        <f>RANK(K7, K$7:$K$21)</f>
        <v>1</v>
      </c>
      <c r="N7" s="652"/>
      <c r="O7" s="652"/>
      <c r="P7" s="530"/>
      <c r="Q7" s="531"/>
      <c r="R7" s="531"/>
      <c r="S7" s="530"/>
      <c r="T7" s="685"/>
      <c r="U7" s="530"/>
      <c r="V7" s="531"/>
      <c r="W7" s="531"/>
      <c r="X7" s="555"/>
      <c r="Y7" s="685"/>
      <c r="Z7" s="530"/>
      <c r="AA7" s="531"/>
      <c r="AB7" s="531"/>
      <c r="AC7" s="555"/>
      <c r="AD7" s="685"/>
      <c r="AE7" s="530"/>
      <c r="AF7" s="531"/>
      <c r="AG7" s="531"/>
      <c r="AH7" s="555"/>
      <c r="AI7" s="685"/>
      <c r="AJ7" s="530">
        <v>10</v>
      </c>
      <c r="AK7" s="531">
        <v>1392.0000000000005</v>
      </c>
      <c r="AL7" s="531">
        <v>139.20000000000005</v>
      </c>
      <c r="AM7" s="555">
        <f>RANK(AL7, AL$7:AL$21)</f>
        <v>1</v>
      </c>
      <c r="AN7" s="685">
        <f t="shared" ref="AN7" si="3">AVERAGE(AL7:AL21)</f>
        <v>130.39825174825185</v>
      </c>
      <c r="AO7" s="530">
        <v>10</v>
      </c>
      <c r="AP7" s="531">
        <v>1498.0000000000014</v>
      </c>
      <c r="AQ7" s="531">
        <v>149.80000000000013</v>
      </c>
      <c r="AR7" s="555">
        <f>RANK(AQ7, AQ$7:AQ$21)</f>
        <v>1</v>
      </c>
      <c r="AS7" s="685">
        <f t="shared" ref="AS7" si="4">AVERAGE(AQ7:AQ21)</f>
        <v>138.20096153846163</v>
      </c>
      <c r="AT7" s="530">
        <v>10</v>
      </c>
      <c r="AU7" s="531">
        <v>1390.0000000000014</v>
      </c>
      <c r="AV7" s="531">
        <v>139.00000000000014</v>
      </c>
      <c r="AW7" s="555">
        <f>RANK(AV7, AV$7:AV$21)</f>
        <v>3</v>
      </c>
      <c r="AX7" s="685">
        <f t="shared" ref="AX7" si="5">AVERAGE(AV7:AV21)</f>
        <v>139.37130177514786</v>
      </c>
      <c r="AZ7" s="372" t="e">
        <f t="shared" ref="AZ7:AZ21" si="6">RANK(AY7, AY$7:AY$21)</f>
        <v>#N/A</v>
      </c>
      <c r="BA7" s="710" t="e">
        <f t="shared" ref="BA7" si="7">AVERAGE(AY7:AY21)</f>
        <v>#DIV/0!</v>
      </c>
    </row>
    <row r="8" spans="1:53" ht="15" customHeight="1">
      <c r="A8" s="81"/>
      <c r="B8" s="680"/>
      <c r="C8" s="533">
        <v>2</v>
      </c>
      <c r="D8" s="530" t="s">
        <v>591</v>
      </c>
      <c r="E8" s="530">
        <v>15</v>
      </c>
      <c r="F8" s="530">
        <v>1800</v>
      </c>
      <c r="G8" s="531">
        <v>120</v>
      </c>
      <c r="H8" s="692"/>
      <c r="I8" s="534">
        <f t="shared" si="0"/>
        <v>13</v>
      </c>
      <c r="J8" s="534">
        <f t="shared" si="1"/>
        <v>1770.0358974358976</v>
      </c>
      <c r="K8" s="199">
        <f t="shared" si="2"/>
        <v>136.15660749506901</v>
      </c>
      <c r="L8" s="634"/>
      <c r="M8" s="510">
        <f>RANK(K8, K$7:$K$21)</f>
        <v>2</v>
      </c>
      <c r="N8" s="652"/>
      <c r="O8" s="652"/>
      <c r="P8" s="530"/>
      <c r="Q8" s="531"/>
      <c r="R8" s="531"/>
      <c r="S8" s="555"/>
      <c r="T8" s="685"/>
      <c r="U8" s="530"/>
      <c r="V8" s="531"/>
      <c r="W8" s="531"/>
      <c r="X8" s="555"/>
      <c r="Y8" s="685"/>
      <c r="Z8" s="530"/>
      <c r="AA8" s="531"/>
      <c r="AB8" s="531"/>
      <c r="AC8" s="555"/>
      <c r="AD8" s="685"/>
      <c r="AE8" s="530"/>
      <c r="AF8" s="531"/>
      <c r="AG8" s="531"/>
      <c r="AH8" s="555"/>
      <c r="AI8" s="685"/>
      <c r="AJ8" s="530">
        <v>13</v>
      </c>
      <c r="AK8" s="531">
        <v>1684.9999999999993</v>
      </c>
      <c r="AL8" s="531">
        <v>129.61538461538456</v>
      </c>
      <c r="AM8" s="555">
        <f t="shared" ref="AM8:AM21" si="8">RANK(AL8, AL$7:AL$21)</f>
        <v>2</v>
      </c>
      <c r="AN8" s="685"/>
      <c r="AO8" s="530">
        <v>13</v>
      </c>
      <c r="AP8" s="531">
        <v>1756.8000000000006</v>
      </c>
      <c r="AQ8" s="531">
        <v>135.1384615384616</v>
      </c>
      <c r="AR8" s="555">
        <f t="shared" ref="AR8:AR21" si="9">RANK(AQ8, AQ$7:AQ$21)</f>
        <v>2</v>
      </c>
      <c r="AS8" s="685"/>
      <c r="AT8" s="530">
        <v>13</v>
      </c>
      <c r="AU8" s="531">
        <v>1868.3076923076919</v>
      </c>
      <c r="AV8" s="531">
        <v>143.71597633136091</v>
      </c>
      <c r="AW8" s="555">
        <f t="shared" ref="AW8:AW21" si="10">RANK(AV8, AV$7:AV$21)</f>
        <v>1</v>
      </c>
      <c r="AX8" s="685"/>
      <c r="AZ8" s="372" t="e">
        <f t="shared" si="6"/>
        <v>#N/A</v>
      </c>
      <c r="BA8" s="710"/>
    </row>
    <row r="9" spans="1:53" ht="14.25">
      <c r="A9" s="81"/>
      <c r="B9" s="680"/>
      <c r="C9" s="533">
        <v>3</v>
      </c>
      <c r="D9" s="530" t="s">
        <v>592</v>
      </c>
      <c r="E9" s="530">
        <v>15</v>
      </c>
      <c r="F9" s="530">
        <v>1800</v>
      </c>
      <c r="G9" s="531">
        <v>120</v>
      </c>
      <c r="H9" s="692"/>
      <c r="I9" s="534">
        <f t="shared" si="0"/>
        <v>13</v>
      </c>
      <c r="J9" s="534">
        <f t="shared" si="1"/>
        <v>1728.9696969696979</v>
      </c>
      <c r="K9" s="199">
        <f t="shared" si="2"/>
        <v>132.99766899766905</v>
      </c>
      <c r="L9" s="634"/>
      <c r="M9" s="510">
        <f>RANK(K9, K$7:$K$21)</f>
        <v>3</v>
      </c>
      <c r="N9" s="652"/>
      <c r="O9" s="652"/>
      <c r="P9" s="530"/>
      <c r="Q9" s="531"/>
      <c r="R9" s="531"/>
      <c r="S9" s="555"/>
      <c r="T9" s="685"/>
      <c r="U9" s="530"/>
      <c r="V9" s="531"/>
      <c r="W9" s="531"/>
      <c r="X9" s="555"/>
      <c r="Y9" s="685"/>
      <c r="Z9" s="530"/>
      <c r="AA9" s="531"/>
      <c r="AB9" s="531"/>
      <c r="AC9" s="555"/>
      <c r="AD9" s="685"/>
      <c r="AE9" s="530"/>
      <c r="AF9" s="531"/>
      <c r="AG9" s="531"/>
      <c r="AH9" s="555"/>
      <c r="AI9" s="685"/>
      <c r="AJ9" s="530">
        <v>13</v>
      </c>
      <c r="AK9" s="531">
        <v>1642.9090909090944</v>
      </c>
      <c r="AL9" s="531">
        <v>126.37762237762264</v>
      </c>
      <c r="AM9" s="555">
        <f t="shared" si="8"/>
        <v>4</v>
      </c>
      <c r="AN9" s="685"/>
      <c r="AO9" s="530">
        <v>13</v>
      </c>
      <c r="AP9" s="531">
        <v>1728.000000000002</v>
      </c>
      <c r="AQ9" s="531">
        <v>132.92307692307708</v>
      </c>
      <c r="AR9" s="555">
        <f t="shared" si="9"/>
        <v>4</v>
      </c>
      <c r="AS9" s="685"/>
      <c r="AT9" s="530">
        <v>13</v>
      </c>
      <c r="AU9" s="531">
        <v>1815.9999999999968</v>
      </c>
      <c r="AV9" s="531">
        <v>139.69230769230745</v>
      </c>
      <c r="AW9" s="555">
        <f t="shared" si="10"/>
        <v>2</v>
      </c>
      <c r="AX9" s="685"/>
      <c r="AZ9" s="372" t="e">
        <f t="shared" si="6"/>
        <v>#N/A</v>
      </c>
      <c r="BA9" s="710"/>
    </row>
    <row r="10" spans="1:53" ht="14.25">
      <c r="A10" s="81"/>
      <c r="B10" s="680"/>
      <c r="C10" s="533">
        <v>4</v>
      </c>
      <c r="D10" s="530" t="s">
        <v>713</v>
      </c>
      <c r="E10" s="530">
        <v>18</v>
      </c>
      <c r="F10" s="530">
        <v>1800</v>
      </c>
      <c r="G10" s="531">
        <v>120</v>
      </c>
      <c r="H10" s="692"/>
      <c r="I10" s="534">
        <f t="shared" si="0"/>
        <v>13</v>
      </c>
      <c r="J10" s="534">
        <f t="shared" si="1"/>
        <v>1717.8166666666668</v>
      </c>
      <c r="K10" s="199">
        <f t="shared" si="2"/>
        <v>132.1397435897436</v>
      </c>
      <c r="L10" s="634"/>
      <c r="M10" s="510">
        <f>RANK(K10, K$7:$K$21)</f>
        <v>4</v>
      </c>
      <c r="N10" s="652"/>
      <c r="O10" s="652"/>
      <c r="P10" s="530"/>
      <c r="Q10" s="531"/>
      <c r="R10" s="531"/>
      <c r="S10" s="555"/>
      <c r="T10" s="685"/>
      <c r="U10" s="530"/>
      <c r="V10" s="531"/>
      <c r="W10" s="531"/>
      <c r="X10" s="555"/>
      <c r="Y10" s="685"/>
      <c r="Z10" s="530"/>
      <c r="AA10" s="531"/>
      <c r="AB10" s="531"/>
      <c r="AC10" s="555"/>
      <c r="AD10" s="685"/>
      <c r="AE10" s="530"/>
      <c r="AF10" s="531"/>
      <c r="AG10" s="531"/>
      <c r="AH10" s="555"/>
      <c r="AI10" s="685"/>
      <c r="AJ10" s="530">
        <v>13</v>
      </c>
      <c r="AK10" s="531">
        <v>1643.2000000000025</v>
      </c>
      <c r="AL10" s="531">
        <v>126.40000000000019</v>
      </c>
      <c r="AM10" s="555">
        <f t="shared" si="8"/>
        <v>3</v>
      </c>
      <c r="AN10" s="685"/>
      <c r="AO10" s="530">
        <v>13</v>
      </c>
      <c r="AP10" s="531">
        <v>1754.2499999999993</v>
      </c>
      <c r="AQ10" s="531">
        <v>134.94230769230765</v>
      </c>
      <c r="AR10" s="555">
        <f t="shared" si="9"/>
        <v>3</v>
      </c>
      <c r="AS10" s="685"/>
      <c r="AT10" s="530">
        <v>13</v>
      </c>
      <c r="AU10" s="531">
        <v>1755.9999999999986</v>
      </c>
      <c r="AV10" s="531">
        <v>135.07692307692298</v>
      </c>
      <c r="AW10" s="555">
        <f t="shared" si="10"/>
        <v>4</v>
      </c>
      <c r="AX10" s="685"/>
      <c r="AZ10" s="372" t="e">
        <f t="shared" si="6"/>
        <v>#N/A</v>
      </c>
      <c r="BA10" s="710"/>
    </row>
    <row r="11" spans="1:53" ht="14.25">
      <c r="A11" s="81"/>
      <c r="B11" s="680"/>
      <c r="C11" s="533">
        <v>5</v>
      </c>
      <c r="D11" s="530"/>
      <c r="E11" s="530"/>
      <c r="F11" s="530"/>
      <c r="G11" s="531"/>
      <c r="H11" s="692"/>
      <c r="I11" s="534" t="str">
        <f t="shared" si="0"/>
        <v>-</v>
      </c>
      <c r="J11" s="534" t="str">
        <f t="shared" si="1"/>
        <v>-</v>
      </c>
      <c r="K11" s="199" t="str">
        <f t="shared" si="2"/>
        <v>-</v>
      </c>
      <c r="L11" s="634"/>
      <c r="M11" s="510" t="e">
        <f>RANK(K11, K$7:$K$21)</f>
        <v>#VALUE!</v>
      </c>
      <c r="N11" s="652"/>
      <c r="O11" s="652"/>
      <c r="P11" s="530"/>
      <c r="Q11" s="531"/>
      <c r="R11" s="531"/>
      <c r="S11" s="555"/>
      <c r="T11" s="685"/>
      <c r="U11" s="530"/>
      <c r="V11" s="531"/>
      <c r="W11" s="531"/>
      <c r="X11" s="555"/>
      <c r="Y11" s="685"/>
      <c r="Z11" s="530"/>
      <c r="AA11" s="531"/>
      <c r="AB11" s="531"/>
      <c r="AC11" s="555"/>
      <c r="AD11" s="685"/>
      <c r="AE11" s="530"/>
      <c r="AF11" s="531"/>
      <c r="AG11" s="531"/>
      <c r="AH11" s="555"/>
      <c r="AI11" s="685"/>
      <c r="AJ11" s="530" t="s">
        <v>585</v>
      </c>
      <c r="AK11" s="531" t="s">
        <v>585</v>
      </c>
      <c r="AL11" s="531" t="s">
        <v>585</v>
      </c>
      <c r="AM11" s="555" t="e">
        <f t="shared" si="8"/>
        <v>#VALUE!</v>
      </c>
      <c r="AN11" s="685"/>
      <c r="AO11" s="530" t="s">
        <v>585</v>
      </c>
      <c r="AP11" s="531" t="s">
        <v>585</v>
      </c>
      <c r="AQ11" s="531" t="s">
        <v>585</v>
      </c>
      <c r="AR11" s="555" t="e">
        <f t="shared" si="9"/>
        <v>#VALUE!</v>
      </c>
      <c r="AS11" s="685"/>
      <c r="AT11" s="530" t="s">
        <v>585</v>
      </c>
      <c r="AU11" s="531" t="s">
        <v>585</v>
      </c>
      <c r="AV11" s="531" t="s">
        <v>585</v>
      </c>
      <c r="AW11" s="555" t="e">
        <f t="shared" si="10"/>
        <v>#VALUE!</v>
      </c>
      <c r="AX11" s="685"/>
      <c r="AZ11" s="372" t="e">
        <f t="shared" si="6"/>
        <v>#N/A</v>
      </c>
      <c r="BA11" s="710"/>
    </row>
    <row r="12" spans="1:53" ht="14.25">
      <c r="A12" s="81"/>
      <c r="B12" s="680"/>
      <c r="C12" s="533">
        <v>6</v>
      </c>
      <c r="D12" s="530"/>
      <c r="E12" s="530"/>
      <c r="F12" s="530"/>
      <c r="G12" s="531"/>
      <c r="H12" s="692"/>
      <c r="I12" s="534" t="str">
        <f t="shared" si="0"/>
        <v>-</v>
      </c>
      <c r="J12" s="534" t="str">
        <f t="shared" si="1"/>
        <v>-</v>
      </c>
      <c r="K12" s="199" t="str">
        <f t="shared" si="2"/>
        <v>-</v>
      </c>
      <c r="L12" s="634"/>
      <c r="M12" s="510" t="e">
        <f>RANK(K12, K$7:$K$21)</f>
        <v>#VALUE!</v>
      </c>
      <c r="N12" s="652"/>
      <c r="O12" s="652"/>
      <c r="P12" s="530"/>
      <c r="Q12" s="531"/>
      <c r="R12" s="531"/>
      <c r="S12" s="555"/>
      <c r="T12" s="685"/>
      <c r="U12" s="530"/>
      <c r="V12" s="531"/>
      <c r="W12" s="531"/>
      <c r="X12" s="555"/>
      <c r="Y12" s="685"/>
      <c r="Z12" s="530"/>
      <c r="AA12" s="531"/>
      <c r="AB12" s="531"/>
      <c r="AC12" s="555"/>
      <c r="AD12" s="685"/>
      <c r="AE12" s="530"/>
      <c r="AF12" s="531"/>
      <c r="AG12" s="531"/>
      <c r="AH12" s="555"/>
      <c r="AI12" s="685"/>
      <c r="AJ12" s="530" t="s">
        <v>585</v>
      </c>
      <c r="AK12" s="531" t="s">
        <v>585</v>
      </c>
      <c r="AL12" s="531" t="s">
        <v>585</v>
      </c>
      <c r="AM12" s="555" t="e">
        <f t="shared" si="8"/>
        <v>#VALUE!</v>
      </c>
      <c r="AN12" s="685"/>
      <c r="AO12" s="530" t="s">
        <v>585</v>
      </c>
      <c r="AP12" s="531" t="s">
        <v>585</v>
      </c>
      <c r="AQ12" s="531" t="s">
        <v>585</v>
      </c>
      <c r="AR12" s="555" t="e">
        <f t="shared" si="9"/>
        <v>#VALUE!</v>
      </c>
      <c r="AS12" s="685"/>
      <c r="AT12" s="530" t="s">
        <v>585</v>
      </c>
      <c r="AU12" s="531" t="s">
        <v>585</v>
      </c>
      <c r="AV12" s="531" t="s">
        <v>585</v>
      </c>
      <c r="AW12" s="555" t="e">
        <f t="shared" si="10"/>
        <v>#VALUE!</v>
      </c>
      <c r="AX12" s="685"/>
      <c r="AZ12" s="372" t="e">
        <f t="shared" si="6"/>
        <v>#N/A</v>
      </c>
      <c r="BA12" s="710"/>
    </row>
    <row r="13" spans="1:53" ht="14.25">
      <c r="A13" s="81"/>
      <c r="B13" s="680"/>
      <c r="C13" s="533">
        <v>7</v>
      </c>
      <c r="D13" s="530"/>
      <c r="E13" s="530"/>
      <c r="F13" s="530"/>
      <c r="G13" s="531"/>
      <c r="H13" s="692"/>
      <c r="I13" s="534" t="str">
        <f t="shared" si="0"/>
        <v>-</v>
      </c>
      <c r="J13" s="534" t="str">
        <f t="shared" si="1"/>
        <v>-</v>
      </c>
      <c r="K13" s="199" t="str">
        <f t="shared" si="2"/>
        <v>-</v>
      </c>
      <c r="L13" s="634"/>
      <c r="M13" s="510" t="e">
        <f>RANK(K13, K$7:$K$21)</f>
        <v>#VALUE!</v>
      </c>
      <c r="N13" s="652"/>
      <c r="O13" s="652"/>
      <c r="P13" s="530"/>
      <c r="Q13" s="531"/>
      <c r="R13" s="531"/>
      <c r="S13" s="555"/>
      <c r="T13" s="685"/>
      <c r="U13" s="530"/>
      <c r="V13" s="531"/>
      <c r="W13" s="531"/>
      <c r="X13" s="555"/>
      <c r="Y13" s="685"/>
      <c r="Z13" s="530"/>
      <c r="AA13" s="531"/>
      <c r="AB13" s="531"/>
      <c r="AC13" s="555"/>
      <c r="AD13" s="685"/>
      <c r="AE13" s="530"/>
      <c r="AF13" s="531"/>
      <c r="AG13" s="531"/>
      <c r="AH13" s="555"/>
      <c r="AI13" s="685"/>
      <c r="AJ13" s="530" t="s">
        <v>585</v>
      </c>
      <c r="AK13" s="531" t="s">
        <v>585</v>
      </c>
      <c r="AL13" s="531" t="s">
        <v>585</v>
      </c>
      <c r="AM13" s="555" t="e">
        <f t="shared" si="8"/>
        <v>#VALUE!</v>
      </c>
      <c r="AN13" s="685"/>
      <c r="AO13" s="530" t="s">
        <v>585</v>
      </c>
      <c r="AP13" s="531" t="s">
        <v>585</v>
      </c>
      <c r="AQ13" s="531" t="s">
        <v>585</v>
      </c>
      <c r="AR13" s="555" t="e">
        <f t="shared" si="9"/>
        <v>#VALUE!</v>
      </c>
      <c r="AS13" s="685"/>
      <c r="AT13" s="530" t="s">
        <v>585</v>
      </c>
      <c r="AU13" s="531" t="s">
        <v>585</v>
      </c>
      <c r="AV13" s="531" t="s">
        <v>585</v>
      </c>
      <c r="AW13" s="555" t="e">
        <f t="shared" si="10"/>
        <v>#VALUE!</v>
      </c>
      <c r="AX13" s="685"/>
      <c r="AZ13" s="372" t="e">
        <f t="shared" si="6"/>
        <v>#N/A</v>
      </c>
      <c r="BA13" s="710"/>
    </row>
    <row r="14" spans="1:53" ht="14.25">
      <c r="A14" s="81"/>
      <c r="B14" s="680"/>
      <c r="C14" s="533">
        <v>8</v>
      </c>
      <c r="D14" s="530"/>
      <c r="E14" s="530"/>
      <c r="F14" s="530"/>
      <c r="G14" s="531"/>
      <c r="H14" s="692"/>
      <c r="I14" s="534" t="str">
        <f t="shared" si="0"/>
        <v>-</v>
      </c>
      <c r="J14" s="534" t="str">
        <f t="shared" si="1"/>
        <v>-</v>
      </c>
      <c r="K14" s="199" t="str">
        <f t="shared" si="2"/>
        <v>-</v>
      </c>
      <c r="L14" s="634"/>
      <c r="M14" s="510" t="e">
        <f>RANK(K14, K$7:$K$21)</f>
        <v>#VALUE!</v>
      </c>
      <c r="N14" s="652"/>
      <c r="O14" s="652"/>
      <c r="P14" s="530"/>
      <c r="Q14" s="531"/>
      <c r="R14" s="531"/>
      <c r="S14" s="555"/>
      <c r="T14" s="685"/>
      <c r="U14" s="530"/>
      <c r="V14" s="531"/>
      <c r="W14" s="531"/>
      <c r="X14" s="555"/>
      <c r="Y14" s="685"/>
      <c r="Z14" s="530"/>
      <c r="AA14" s="531"/>
      <c r="AB14" s="531"/>
      <c r="AC14" s="555"/>
      <c r="AD14" s="685"/>
      <c r="AE14" s="530"/>
      <c r="AF14" s="531"/>
      <c r="AG14" s="531"/>
      <c r="AH14" s="555"/>
      <c r="AI14" s="685"/>
      <c r="AJ14" s="530" t="s">
        <v>585</v>
      </c>
      <c r="AK14" s="531" t="s">
        <v>585</v>
      </c>
      <c r="AL14" s="531" t="s">
        <v>585</v>
      </c>
      <c r="AM14" s="555" t="e">
        <f t="shared" si="8"/>
        <v>#VALUE!</v>
      </c>
      <c r="AN14" s="685"/>
      <c r="AO14" s="530" t="s">
        <v>585</v>
      </c>
      <c r="AP14" s="531" t="s">
        <v>585</v>
      </c>
      <c r="AQ14" s="531" t="s">
        <v>585</v>
      </c>
      <c r="AR14" s="555" t="e">
        <f t="shared" si="9"/>
        <v>#VALUE!</v>
      </c>
      <c r="AS14" s="685"/>
      <c r="AT14" s="530" t="s">
        <v>585</v>
      </c>
      <c r="AU14" s="531" t="s">
        <v>585</v>
      </c>
      <c r="AV14" s="531" t="s">
        <v>585</v>
      </c>
      <c r="AW14" s="555" t="e">
        <f t="shared" si="10"/>
        <v>#VALUE!</v>
      </c>
      <c r="AX14" s="685"/>
      <c r="AZ14" s="372" t="e">
        <f t="shared" si="6"/>
        <v>#N/A</v>
      </c>
      <c r="BA14" s="710"/>
    </row>
    <row r="15" spans="1:53" ht="14.25">
      <c r="A15" s="81"/>
      <c r="B15" s="680"/>
      <c r="C15" s="533">
        <v>9</v>
      </c>
      <c r="D15" s="530"/>
      <c r="E15" s="530"/>
      <c r="F15" s="530"/>
      <c r="G15" s="531"/>
      <c r="H15" s="692"/>
      <c r="I15" s="534" t="str">
        <f t="shared" si="0"/>
        <v>-</v>
      </c>
      <c r="J15" s="534" t="str">
        <f t="shared" si="1"/>
        <v>-</v>
      </c>
      <c r="K15" s="199" t="str">
        <f t="shared" si="2"/>
        <v>-</v>
      </c>
      <c r="L15" s="634"/>
      <c r="M15" s="510" t="e">
        <f>RANK(K15, K$7:$K$21)</f>
        <v>#VALUE!</v>
      </c>
      <c r="N15" s="652"/>
      <c r="O15" s="652"/>
      <c r="P15" s="530"/>
      <c r="Q15" s="531"/>
      <c r="R15" s="531"/>
      <c r="S15" s="555"/>
      <c r="T15" s="685"/>
      <c r="U15" s="530"/>
      <c r="V15" s="531"/>
      <c r="W15" s="531"/>
      <c r="X15" s="555"/>
      <c r="Y15" s="685"/>
      <c r="Z15" s="530"/>
      <c r="AA15" s="531"/>
      <c r="AB15" s="531"/>
      <c r="AC15" s="555"/>
      <c r="AD15" s="685"/>
      <c r="AE15" s="530"/>
      <c r="AF15" s="531"/>
      <c r="AG15" s="531"/>
      <c r="AH15" s="555"/>
      <c r="AI15" s="685"/>
      <c r="AJ15" s="530" t="s">
        <v>585</v>
      </c>
      <c r="AK15" s="531" t="s">
        <v>585</v>
      </c>
      <c r="AL15" s="531" t="s">
        <v>585</v>
      </c>
      <c r="AM15" s="555" t="e">
        <f t="shared" si="8"/>
        <v>#VALUE!</v>
      </c>
      <c r="AN15" s="685"/>
      <c r="AO15" s="530" t="s">
        <v>585</v>
      </c>
      <c r="AP15" s="531" t="s">
        <v>585</v>
      </c>
      <c r="AQ15" s="531" t="s">
        <v>585</v>
      </c>
      <c r="AR15" s="555" t="e">
        <f t="shared" si="9"/>
        <v>#VALUE!</v>
      </c>
      <c r="AS15" s="685"/>
      <c r="AT15" s="530" t="s">
        <v>585</v>
      </c>
      <c r="AU15" s="531" t="s">
        <v>585</v>
      </c>
      <c r="AV15" s="531" t="s">
        <v>585</v>
      </c>
      <c r="AW15" s="555" t="e">
        <f t="shared" si="10"/>
        <v>#VALUE!</v>
      </c>
      <c r="AX15" s="685"/>
      <c r="AZ15" s="372" t="e">
        <f t="shared" si="6"/>
        <v>#N/A</v>
      </c>
      <c r="BA15" s="710"/>
    </row>
    <row r="16" spans="1:53" ht="14.25">
      <c r="A16" s="81"/>
      <c r="B16" s="680"/>
      <c r="C16" s="533">
        <v>10</v>
      </c>
      <c r="D16" s="530"/>
      <c r="E16" s="530"/>
      <c r="F16" s="530"/>
      <c r="G16" s="531"/>
      <c r="H16" s="692"/>
      <c r="I16" s="534" t="str">
        <f t="shared" si="0"/>
        <v>-</v>
      </c>
      <c r="J16" s="534" t="str">
        <f t="shared" si="1"/>
        <v>-</v>
      </c>
      <c r="K16" s="199" t="str">
        <f t="shared" si="2"/>
        <v>-</v>
      </c>
      <c r="L16" s="634"/>
      <c r="M16" s="510" t="e">
        <f>RANK(K16, K$7:$K$21)</f>
        <v>#VALUE!</v>
      </c>
      <c r="N16" s="652"/>
      <c r="O16" s="652"/>
      <c r="P16" s="530"/>
      <c r="Q16" s="531"/>
      <c r="R16" s="531"/>
      <c r="S16" s="555"/>
      <c r="T16" s="685"/>
      <c r="U16" s="530"/>
      <c r="V16" s="531"/>
      <c r="W16" s="531"/>
      <c r="X16" s="555"/>
      <c r="Y16" s="685"/>
      <c r="Z16" s="530"/>
      <c r="AA16" s="531"/>
      <c r="AB16" s="531"/>
      <c r="AC16" s="555"/>
      <c r="AD16" s="685"/>
      <c r="AE16" s="530"/>
      <c r="AF16" s="531"/>
      <c r="AG16" s="531"/>
      <c r="AH16" s="555"/>
      <c r="AI16" s="685"/>
      <c r="AJ16" s="530" t="s">
        <v>585</v>
      </c>
      <c r="AK16" s="531" t="s">
        <v>585</v>
      </c>
      <c r="AL16" s="531" t="s">
        <v>585</v>
      </c>
      <c r="AM16" s="555" t="e">
        <f t="shared" si="8"/>
        <v>#VALUE!</v>
      </c>
      <c r="AN16" s="685"/>
      <c r="AO16" s="530" t="s">
        <v>585</v>
      </c>
      <c r="AP16" s="531" t="s">
        <v>585</v>
      </c>
      <c r="AQ16" s="531" t="s">
        <v>585</v>
      </c>
      <c r="AR16" s="555" t="e">
        <f t="shared" si="9"/>
        <v>#VALUE!</v>
      </c>
      <c r="AS16" s="685"/>
      <c r="AT16" s="530" t="s">
        <v>585</v>
      </c>
      <c r="AU16" s="531" t="s">
        <v>585</v>
      </c>
      <c r="AV16" s="531" t="s">
        <v>585</v>
      </c>
      <c r="AW16" s="555" t="e">
        <f t="shared" si="10"/>
        <v>#VALUE!</v>
      </c>
      <c r="AX16" s="685"/>
      <c r="AZ16" s="372" t="e">
        <f t="shared" si="6"/>
        <v>#N/A</v>
      </c>
      <c r="BA16" s="710"/>
    </row>
    <row r="17" spans="2:53">
      <c r="B17" s="680"/>
      <c r="C17" s="533">
        <v>11</v>
      </c>
      <c r="D17" s="530"/>
      <c r="E17" s="530"/>
      <c r="F17" s="530"/>
      <c r="G17" s="531"/>
      <c r="H17" s="692"/>
      <c r="I17" s="534" t="str">
        <f t="shared" si="0"/>
        <v>-</v>
      </c>
      <c r="J17" s="534" t="str">
        <f t="shared" si="1"/>
        <v>-</v>
      </c>
      <c r="K17" s="199" t="str">
        <f t="shared" si="2"/>
        <v>-</v>
      </c>
      <c r="L17" s="634"/>
      <c r="M17" s="510" t="e">
        <f>RANK(K17, K$7:$K$21)</f>
        <v>#VALUE!</v>
      </c>
      <c r="N17" s="652"/>
      <c r="O17" s="652"/>
      <c r="P17" s="530"/>
      <c r="Q17" s="531"/>
      <c r="R17" s="531"/>
      <c r="S17" s="555"/>
      <c r="T17" s="685"/>
      <c r="U17" s="530"/>
      <c r="V17" s="531"/>
      <c r="W17" s="531"/>
      <c r="X17" s="555"/>
      <c r="Y17" s="685"/>
      <c r="Z17" s="530"/>
      <c r="AA17" s="531"/>
      <c r="AB17" s="531"/>
      <c r="AC17" s="555"/>
      <c r="AD17" s="685"/>
      <c r="AE17" s="530"/>
      <c r="AF17" s="531"/>
      <c r="AG17" s="531"/>
      <c r="AH17" s="555"/>
      <c r="AI17" s="685"/>
      <c r="AJ17" s="530" t="s">
        <v>585</v>
      </c>
      <c r="AK17" s="531" t="s">
        <v>585</v>
      </c>
      <c r="AL17" s="531" t="s">
        <v>585</v>
      </c>
      <c r="AM17" s="555" t="e">
        <f t="shared" si="8"/>
        <v>#VALUE!</v>
      </c>
      <c r="AN17" s="685"/>
      <c r="AO17" s="530" t="s">
        <v>585</v>
      </c>
      <c r="AP17" s="531" t="s">
        <v>585</v>
      </c>
      <c r="AQ17" s="531" t="s">
        <v>585</v>
      </c>
      <c r="AR17" s="555" t="e">
        <f t="shared" si="9"/>
        <v>#VALUE!</v>
      </c>
      <c r="AS17" s="685"/>
      <c r="AT17" s="530" t="s">
        <v>585</v>
      </c>
      <c r="AU17" s="531" t="s">
        <v>585</v>
      </c>
      <c r="AV17" s="531" t="s">
        <v>585</v>
      </c>
      <c r="AW17" s="555" t="e">
        <f t="shared" si="10"/>
        <v>#VALUE!</v>
      </c>
      <c r="AX17" s="685"/>
      <c r="AZ17" s="372" t="e">
        <f t="shared" si="6"/>
        <v>#N/A</v>
      </c>
      <c r="BA17" s="710"/>
    </row>
    <row r="18" spans="2:53">
      <c r="B18" s="680"/>
      <c r="C18" s="533">
        <v>12</v>
      </c>
      <c r="D18" s="530"/>
      <c r="E18" s="530"/>
      <c r="F18" s="530"/>
      <c r="G18" s="531"/>
      <c r="H18" s="692"/>
      <c r="I18" s="534" t="str">
        <f t="shared" si="0"/>
        <v>-</v>
      </c>
      <c r="J18" s="534" t="str">
        <f t="shared" si="1"/>
        <v>-</v>
      </c>
      <c r="K18" s="199" t="str">
        <f t="shared" si="2"/>
        <v>-</v>
      </c>
      <c r="L18" s="634"/>
      <c r="M18" s="510" t="e">
        <f>RANK(K18, K$7:$K$21)</f>
        <v>#VALUE!</v>
      </c>
      <c r="N18" s="652"/>
      <c r="O18" s="652"/>
      <c r="P18" s="530"/>
      <c r="Q18" s="531"/>
      <c r="R18" s="531"/>
      <c r="S18" s="555"/>
      <c r="T18" s="685"/>
      <c r="U18" s="530"/>
      <c r="V18" s="531"/>
      <c r="W18" s="531"/>
      <c r="X18" s="555"/>
      <c r="Y18" s="685"/>
      <c r="Z18" s="530"/>
      <c r="AA18" s="531"/>
      <c r="AB18" s="531"/>
      <c r="AC18" s="555"/>
      <c r="AD18" s="685"/>
      <c r="AE18" s="530"/>
      <c r="AF18" s="531"/>
      <c r="AG18" s="531"/>
      <c r="AH18" s="555"/>
      <c r="AI18" s="685"/>
      <c r="AJ18" s="530" t="s">
        <v>585</v>
      </c>
      <c r="AK18" s="531" t="s">
        <v>585</v>
      </c>
      <c r="AL18" s="531" t="s">
        <v>585</v>
      </c>
      <c r="AM18" s="555" t="e">
        <f t="shared" si="8"/>
        <v>#VALUE!</v>
      </c>
      <c r="AN18" s="685"/>
      <c r="AO18" s="530" t="s">
        <v>585</v>
      </c>
      <c r="AP18" s="531" t="s">
        <v>585</v>
      </c>
      <c r="AQ18" s="531" t="s">
        <v>585</v>
      </c>
      <c r="AR18" s="555" t="e">
        <f t="shared" si="9"/>
        <v>#VALUE!</v>
      </c>
      <c r="AS18" s="685"/>
      <c r="AT18" s="530" t="s">
        <v>585</v>
      </c>
      <c r="AU18" s="531" t="s">
        <v>585</v>
      </c>
      <c r="AV18" s="531" t="s">
        <v>585</v>
      </c>
      <c r="AW18" s="555" t="e">
        <f t="shared" si="10"/>
        <v>#VALUE!</v>
      </c>
      <c r="AX18" s="685"/>
      <c r="AZ18" s="372" t="e">
        <f t="shared" si="6"/>
        <v>#N/A</v>
      </c>
      <c r="BA18" s="710"/>
    </row>
    <row r="19" spans="2:53">
      <c r="B19" s="680"/>
      <c r="C19" s="533">
        <v>13</v>
      </c>
      <c r="D19" s="530"/>
      <c r="E19" s="530"/>
      <c r="F19" s="530"/>
      <c r="G19" s="531"/>
      <c r="H19" s="692"/>
      <c r="I19" s="534" t="str">
        <f t="shared" si="0"/>
        <v>-</v>
      </c>
      <c r="J19" s="534" t="str">
        <f t="shared" si="1"/>
        <v>-</v>
      </c>
      <c r="K19" s="199" t="str">
        <f t="shared" si="2"/>
        <v>-</v>
      </c>
      <c r="L19" s="634"/>
      <c r="M19" s="510" t="e">
        <f>RANK(K19, K$7:$K$21)</f>
        <v>#VALUE!</v>
      </c>
      <c r="N19" s="652"/>
      <c r="O19" s="652"/>
      <c r="P19" s="530"/>
      <c r="Q19" s="531"/>
      <c r="R19" s="531"/>
      <c r="S19" s="555"/>
      <c r="T19" s="685"/>
      <c r="U19" s="530"/>
      <c r="V19" s="531"/>
      <c r="W19" s="531"/>
      <c r="X19" s="555"/>
      <c r="Y19" s="685"/>
      <c r="Z19" s="530"/>
      <c r="AA19" s="531"/>
      <c r="AB19" s="531"/>
      <c r="AC19" s="555"/>
      <c r="AD19" s="685"/>
      <c r="AE19" s="530"/>
      <c r="AF19" s="531"/>
      <c r="AG19" s="531"/>
      <c r="AH19" s="555"/>
      <c r="AI19" s="685"/>
      <c r="AJ19" s="530" t="s">
        <v>585</v>
      </c>
      <c r="AK19" s="531" t="s">
        <v>585</v>
      </c>
      <c r="AL19" s="531" t="s">
        <v>585</v>
      </c>
      <c r="AM19" s="555" t="e">
        <f t="shared" si="8"/>
        <v>#VALUE!</v>
      </c>
      <c r="AN19" s="685"/>
      <c r="AO19" s="530" t="s">
        <v>585</v>
      </c>
      <c r="AP19" s="531" t="s">
        <v>585</v>
      </c>
      <c r="AQ19" s="531" t="s">
        <v>585</v>
      </c>
      <c r="AR19" s="555" t="e">
        <f t="shared" si="9"/>
        <v>#VALUE!</v>
      </c>
      <c r="AS19" s="685"/>
      <c r="AT19" s="530" t="s">
        <v>585</v>
      </c>
      <c r="AU19" s="531" t="s">
        <v>585</v>
      </c>
      <c r="AV19" s="531" t="s">
        <v>585</v>
      </c>
      <c r="AW19" s="555" t="e">
        <f t="shared" si="10"/>
        <v>#VALUE!</v>
      </c>
      <c r="AX19" s="685"/>
      <c r="AZ19" s="372" t="e">
        <f t="shared" si="6"/>
        <v>#N/A</v>
      </c>
      <c r="BA19" s="710"/>
    </row>
    <row r="20" spans="2:53">
      <c r="B20" s="680"/>
      <c r="C20" s="533">
        <v>14</v>
      </c>
      <c r="D20" s="530"/>
      <c r="E20" s="530"/>
      <c r="F20" s="530"/>
      <c r="G20" s="531"/>
      <c r="H20" s="692"/>
      <c r="I20" s="534" t="str">
        <f t="shared" si="0"/>
        <v>-</v>
      </c>
      <c r="J20" s="534" t="str">
        <f t="shared" si="1"/>
        <v>-</v>
      </c>
      <c r="K20" s="199" t="str">
        <f t="shared" si="2"/>
        <v>-</v>
      </c>
      <c r="L20" s="634"/>
      <c r="M20" s="510" t="e">
        <f>RANK(K20, K$7:$K$21)</f>
        <v>#VALUE!</v>
      </c>
      <c r="N20" s="652"/>
      <c r="O20" s="652"/>
      <c r="P20" s="530"/>
      <c r="Q20" s="531"/>
      <c r="R20" s="531"/>
      <c r="S20" s="555"/>
      <c r="T20" s="685"/>
      <c r="U20" s="530"/>
      <c r="V20" s="531"/>
      <c r="W20" s="531"/>
      <c r="X20" s="555"/>
      <c r="Y20" s="685"/>
      <c r="Z20" s="530"/>
      <c r="AA20" s="531"/>
      <c r="AB20" s="531"/>
      <c r="AC20" s="555"/>
      <c r="AD20" s="685"/>
      <c r="AE20" s="530"/>
      <c r="AF20" s="531"/>
      <c r="AG20" s="531"/>
      <c r="AH20" s="555"/>
      <c r="AI20" s="685"/>
      <c r="AJ20" s="530" t="s">
        <v>585</v>
      </c>
      <c r="AK20" s="531" t="s">
        <v>585</v>
      </c>
      <c r="AL20" s="531" t="s">
        <v>585</v>
      </c>
      <c r="AM20" s="555" t="e">
        <f t="shared" si="8"/>
        <v>#VALUE!</v>
      </c>
      <c r="AN20" s="685"/>
      <c r="AO20" s="530" t="s">
        <v>585</v>
      </c>
      <c r="AP20" s="531" t="s">
        <v>585</v>
      </c>
      <c r="AQ20" s="531" t="s">
        <v>585</v>
      </c>
      <c r="AR20" s="555" t="e">
        <f t="shared" si="9"/>
        <v>#VALUE!</v>
      </c>
      <c r="AS20" s="685"/>
      <c r="AT20" s="530" t="s">
        <v>585</v>
      </c>
      <c r="AU20" s="531" t="s">
        <v>585</v>
      </c>
      <c r="AV20" s="531" t="s">
        <v>585</v>
      </c>
      <c r="AW20" s="555" t="e">
        <f t="shared" si="10"/>
        <v>#VALUE!</v>
      </c>
      <c r="AX20" s="685"/>
      <c r="AZ20" s="372" t="e">
        <f t="shared" si="6"/>
        <v>#N/A</v>
      </c>
      <c r="BA20" s="710"/>
    </row>
    <row r="21" spans="2:53">
      <c r="B21" s="680"/>
      <c r="C21" s="533">
        <v>15</v>
      </c>
      <c r="D21" s="530"/>
      <c r="E21" s="530"/>
      <c r="F21" s="530"/>
      <c r="G21" s="530"/>
      <c r="H21" s="696"/>
      <c r="I21" s="534" t="str">
        <f t="shared" si="0"/>
        <v>-</v>
      </c>
      <c r="J21" s="534" t="str">
        <f t="shared" si="1"/>
        <v>-</v>
      </c>
      <c r="K21" s="199" t="str">
        <f t="shared" si="2"/>
        <v>-</v>
      </c>
      <c r="L21" s="635"/>
      <c r="M21" s="510" t="e">
        <f>RANK(K21, K$7:$K$21)</f>
        <v>#VALUE!</v>
      </c>
      <c r="N21" s="652"/>
      <c r="O21" s="652"/>
      <c r="P21" s="533"/>
      <c r="Q21" s="510"/>
      <c r="R21" s="510"/>
      <c r="S21" s="555"/>
      <c r="T21" s="685"/>
      <c r="U21" s="533"/>
      <c r="V21" s="510"/>
      <c r="W21" s="510"/>
      <c r="X21" s="555"/>
      <c r="Y21" s="685"/>
      <c r="Z21" s="533"/>
      <c r="AA21" s="510"/>
      <c r="AB21" s="510"/>
      <c r="AC21" s="555"/>
      <c r="AD21" s="685"/>
      <c r="AE21" s="533"/>
      <c r="AF21" s="510"/>
      <c r="AG21" s="510"/>
      <c r="AH21" s="555"/>
      <c r="AI21" s="685"/>
      <c r="AJ21" s="533" t="s">
        <v>585</v>
      </c>
      <c r="AK21" s="510" t="s">
        <v>585</v>
      </c>
      <c r="AL21" s="510" t="s">
        <v>585</v>
      </c>
      <c r="AM21" s="555" t="e">
        <f t="shared" si="8"/>
        <v>#VALUE!</v>
      </c>
      <c r="AN21" s="685"/>
      <c r="AO21" s="533" t="s">
        <v>585</v>
      </c>
      <c r="AP21" s="510" t="s">
        <v>585</v>
      </c>
      <c r="AQ21" s="510" t="s">
        <v>585</v>
      </c>
      <c r="AR21" s="555" t="e">
        <f t="shared" si="9"/>
        <v>#VALUE!</v>
      </c>
      <c r="AS21" s="685"/>
      <c r="AT21" s="533" t="s">
        <v>585</v>
      </c>
      <c r="AU21" s="510" t="s">
        <v>585</v>
      </c>
      <c r="AV21" s="510" t="s">
        <v>585</v>
      </c>
      <c r="AW21" s="555" t="e">
        <f t="shared" si="10"/>
        <v>#VALUE!</v>
      </c>
      <c r="AX21" s="685"/>
      <c r="AZ21" s="372" t="e">
        <f t="shared" si="6"/>
        <v>#N/A</v>
      </c>
      <c r="BA21" s="710"/>
    </row>
    <row r="22" spans="2:53" ht="15.75">
      <c r="B22" s="677" t="s">
        <v>162</v>
      </c>
      <c r="C22" s="678"/>
      <c r="D22" s="678"/>
      <c r="E22" s="678"/>
      <c r="F22" s="678"/>
      <c r="G22" s="678"/>
      <c r="H22" s="678"/>
      <c r="I22" s="202"/>
      <c r="J22" s="202"/>
      <c r="K22" s="202"/>
      <c r="L22" s="202"/>
      <c r="M22" s="203"/>
      <c r="N22" s="653" t="s">
        <v>156</v>
      </c>
      <c r="O22" s="653" t="s">
        <v>105</v>
      </c>
      <c r="P22" s="659">
        <f>P2+7</f>
        <v>46238</v>
      </c>
      <c r="Q22" s="660"/>
      <c r="R22" s="660"/>
      <c r="S22" s="660"/>
      <c r="T22" s="660"/>
      <c r="U22" s="656">
        <f>P22+1</f>
        <v>46239</v>
      </c>
      <c r="V22" s="657"/>
      <c r="W22" s="657"/>
      <c r="X22" s="657"/>
      <c r="Y22" s="658"/>
      <c r="Z22" s="656">
        <f>U22+1</f>
        <v>46240</v>
      </c>
      <c r="AA22" s="657"/>
      <c r="AB22" s="657"/>
      <c r="AC22" s="657"/>
      <c r="AD22" s="658"/>
      <c r="AE22" s="656">
        <f>Z22+1</f>
        <v>46241</v>
      </c>
      <c r="AF22" s="657"/>
      <c r="AG22" s="657"/>
      <c r="AH22" s="657"/>
      <c r="AI22" s="658"/>
      <c r="AJ22" s="656">
        <f>AE22+1</f>
        <v>46242</v>
      </c>
      <c r="AK22" s="657"/>
      <c r="AL22" s="657"/>
      <c r="AM22" s="657"/>
      <c r="AN22" s="658"/>
      <c r="AO22" s="656">
        <f>AJ22+1</f>
        <v>46243</v>
      </c>
      <c r="AP22" s="657"/>
      <c r="AQ22" s="657"/>
      <c r="AR22" s="657"/>
      <c r="AS22" s="658"/>
      <c r="AT22" s="656">
        <f>AO22+1</f>
        <v>46244</v>
      </c>
      <c r="AU22" s="657"/>
      <c r="AV22" s="657"/>
      <c r="AW22" s="657"/>
      <c r="AX22" s="658"/>
    </row>
    <row r="23" spans="2:53" ht="15.75">
      <c r="B23" s="667"/>
      <c r="C23" s="667"/>
      <c r="D23" s="667"/>
      <c r="E23" s="667"/>
      <c r="F23" s="667"/>
      <c r="G23" s="667"/>
      <c r="H23" s="667"/>
      <c r="I23" s="204"/>
      <c r="J23" s="204"/>
      <c r="K23" s="204"/>
      <c r="L23" s="204"/>
      <c r="M23" s="205"/>
      <c r="N23" s="655"/>
      <c r="O23" s="655"/>
      <c r="P23" s="659" t="s">
        <v>317</v>
      </c>
      <c r="Q23" s="660"/>
      <c r="R23" s="660"/>
      <c r="S23" s="660"/>
      <c r="T23" s="660"/>
      <c r="U23" s="659" t="s">
        <v>318</v>
      </c>
      <c r="V23" s="660"/>
      <c r="W23" s="660"/>
      <c r="X23" s="660"/>
      <c r="Y23" s="660"/>
      <c r="Z23" s="659" t="s">
        <v>319</v>
      </c>
      <c r="AA23" s="660"/>
      <c r="AB23" s="660"/>
      <c r="AC23" s="660"/>
      <c r="AD23" s="660"/>
      <c r="AE23" s="659" t="s">
        <v>320</v>
      </c>
      <c r="AF23" s="660"/>
      <c r="AG23" s="660"/>
      <c r="AH23" s="660"/>
      <c r="AI23" s="660"/>
      <c r="AJ23" s="659" t="s">
        <v>321</v>
      </c>
      <c r="AK23" s="660"/>
      <c r="AL23" s="660"/>
      <c r="AM23" s="660"/>
      <c r="AN23" s="660"/>
      <c r="AO23" s="659" t="s">
        <v>322</v>
      </c>
      <c r="AP23" s="660"/>
      <c r="AQ23" s="660"/>
      <c r="AR23" s="660"/>
      <c r="AS23" s="660"/>
      <c r="AT23" s="659" t="s">
        <v>323</v>
      </c>
      <c r="AU23" s="660"/>
      <c r="AV23" s="660"/>
      <c r="AW23" s="660"/>
      <c r="AX23" s="660"/>
    </row>
    <row r="24" spans="2:53">
      <c r="B24" s="652" t="s">
        <v>546</v>
      </c>
      <c r="C24" s="652" t="s">
        <v>379</v>
      </c>
      <c r="D24" s="652"/>
      <c r="E24" s="652" t="s">
        <v>370</v>
      </c>
      <c r="F24" s="652"/>
      <c r="G24" s="652"/>
      <c r="H24" s="668" t="s">
        <v>366</v>
      </c>
      <c r="I24" s="652" t="s">
        <v>371</v>
      </c>
      <c r="J24" s="652"/>
      <c r="K24" s="652"/>
      <c r="L24" s="668" t="s">
        <v>366</v>
      </c>
      <c r="M24" s="653" t="s">
        <v>367</v>
      </c>
      <c r="N24" s="652"/>
      <c r="O24" s="652" t="s">
        <v>372</v>
      </c>
      <c r="P24" s="649" t="s">
        <v>368</v>
      </c>
      <c r="Q24" s="650"/>
      <c r="R24" s="650"/>
      <c r="S24" s="651"/>
      <c r="T24" s="652" t="s">
        <v>366</v>
      </c>
      <c r="U24" s="649" t="s">
        <v>368</v>
      </c>
      <c r="V24" s="650"/>
      <c r="W24" s="650"/>
      <c r="X24" s="651"/>
      <c r="Y24" s="652" t="s">
        <v>366</v>
      </c>
      <c r="Z24" s="649" t="s">
        <v>368</v>
      </c>
      <c r="AA24" s="650"/>
      <c r="AB24" s="650"/>
      <c r="AC24" s="651"/>
      <c r="AD24" s="652" t="s">
        <v>366</v>
      </c>
      <c r="AE24" s="649" t="s">
        <v>368</v>
      </c>
      <c r="AF24" s="650"/>
      <c r="AG24" s="650"/>
      <c r="AH24" s="651"/>
      <c r="AI24" s="652" t="s">
        <v>366</v>
      </c>
      <c r="AJ24" s="649" t="s">
        <v>368</v>
      </c>
      <c r="AK24" s="650"/>
      <c r="AL24" s="650"/>
      <c r="AM24" s="651"/>
      <c r="AN24" s="652" t="s">
        <v>366</v>
      </c>
      <c r="AO24" s="649" t="s">
        <v>368</v>
      </c>
      <c r="AP24" s="650"/>
      <c r="AQ24" s="650"/>
      <c r="AR24" s="651"/>
      <c r="AS24" s="652" t="s">
        <v>366</v>
      </c>
      <c r="AT24" s="649" t="s">
        <v>368</v>
      </c>
      <c r="AU24" s="650"/>
      <c r="AV24" s="650"/>
      <c r="AW24" s="651"/>
      <c r="AX24" s="652" t="s">
        <v>366</v>
      </c>
      <c r="BA24" s="652" t="s">
        <v>366</v>
      </c>
    </row>
    <row r="25" spans="2:53">
      <c r="B25" s="652"/>
      <c r="C25" s="652"/>
      <c r="D25" s="652"/>
      <c r="E25" s="652" t="s">
        <v>373</v>
      </c>
      <c r="F25" s="652"/>
      <c r="G25" s="652"/>
      <c r="H25" s="669"/>
      <c r="I25" s="652" t="s">
        <v>373</v>
      </c>
      <c r="J25" s="652"/>
      <c r="K25" s="652"/>
      <c r="L25" s="669"/>
      <c r="M25" s="654"/>
      <c r="N25" s="652"/>
      <c r="O25" s="652"/>
      <c r="P25" s="649" t="s">
        <v>374</v>
      </c>
      <c r="Q25" s="650"/>
      <c r="R25" s="650"/>
      <c r="S25" s="651"/>
      <c r="T25" s="652"/>
      <c r="U25" s="649" t="s">
        <v>374</v>
      </c>
      <c r="V25" s="650"/>
      <c r="W25" s="650"/>
      <c r="X25" s="651"/>
      <c r="Y25" s="652"/>
      <c r="Z25" s="649" t="s">
        <v>374</v>
      </c>
      <c r="AA25" s="650"/>
      <c r="AB25" s="650"/>
      <c r="AC25" s="651"/>
      <c r="AD25" s="652"/>
      <c r="AE25" s="649" t="s">
        <v>374</v>
      </c>
      <c r="AF25" s="650"/>
      <c r="AG25" s="650"/>
      <c r="AH25" s="651"/>
      <c r="AI25" s="652"/>
      <c r="AJ25" s="649" t="s">
        <v>374</v>
      </c>
      <c r="AK25" s="650"/>
      <c r="AL25" s="650"/>
      <c r="AM25" s="651"/>
      <c r="AN25" s="652"/>
      <c r="AO25" s="649" t="s">
        <v>374</v>
      </c>
      <c r="AP25" s="650"/>
      <c r="AQ25" s="650"/>
      <c r="AR25" s="651"/>
      <c r="AS25" s="652"/>
      <c r="AT25" s="649" t="s">
        <v>374</v>
      </c>
      <c r="AU25" s="650"/>
      <c r="AV25" s="650"/>
      <c r="AW25" s="651"/>
      <c r="AX25" s="652"/>
      <c r="BA25" s="652"/>
    </row>
    <row r="26" spans="2:53">
      <c r="B26" s="652"/>
      <c r="C26" s="652"/>
      <c r="D26" s="652"/>
      <c r="E26" s="378" t="s">
        <v>375</v>
      </c>
      <c r="F26" s="378" t="s">
        <v>376</v>
      </c>
      <c r="G26" s="378" t="s">
        <v>377</v>
      </c>
      <c r="H26" s="670"/>
      <c r="I26" s="378" t="s">
        <v>375</v>
      </c>
      <c r="J26" s="378" t="s">
        <v>376</v>
      </c>
      <c r="K26" s="378" t="s">
        <v>377</v>
      </c>
      <c r="L26" s="670"/>
      <c r="M26" s="655"/>
      <c r="N26" s="652"/>
      <c r="O26" s="652"/>
      <c r="P26" s="378" t="s">
        <v>375</v>
      </c>
      <c r="Q26" s="378" t="s">
        <v>376</v>
      </c>
      <c r="R26" s="378" t="s">
        <v>377</v>
      </c>
      <c r="S26" s="378" t="s">
        <v>367</v>
      </c>
      <c r="T26" s="652"/>
      <c r="U26" s="378" t="s">
        <v>375</v>
      </c>
      <c r="V26" s="378" t="s">
        <v>376</v>
      </c>
      <c r="W26" s="378" t="s">
        <v>377</v>
      </c>
      <c r="X26" s="378" t="s">
        <v>367</v>
      </c>
      <c r="Y26" s="652"/>
      <c r="Z26" s="378" t="s">
        <v>375</v>
      </c>
      <c r="AA26" s="378" t="s">
        <v>376</v>
      </c>
      <c r="AB26" s="378" t="s">
        <v>377</v>
      </c>
      <c r="AC26" s="378" t="s">
        <v>367</v>
      </c>
      <c r="AD26" s="652"/>
      <c r="AE26" s="378" t="s">
        <v>375</v>
      </c>
      <c r="AF26" s="378" t="s">
        <v>376</v>
      </c>
      <c r="AG26" s="378" t="s">
        <v>377</v>
      </c>
      <c r="AH26" s="378" t="s">
        <v>367</v>
      </c>
      <c r="AI26" s="652"/>
      <c r="AJ26" s="378" t="s">
        <v>375</v>
      </c>
      <c r="AK26" s="378" t="s">
        <v>376</v>
      </c>
      <c r="AL26" s="378" t="s">
        <v>377</v>
      </c>
      <c r="AM26" s="378" t="s">
        <v>367</v>
      </c>
      <c r="AN26" s="652"/>
      <c r="AO26" s="378" t="s">
        <v>375</v>
      </c>
      <c r="AP26" s="378" t="s">
        <v>376</v>
      </c>
      <c r="AQ26" s="378" t="s">
        <v>377</v>
      </c>
      <c r="AR26" s="378" t="s">
        <v>367</v>
      </c>
      <c r="AS26" s="652"/>
      <c r="AT26" s="378" t="s">
        <v>375</v>
      </c>
      <c r="AU26" s="378" t="s">
        <v>376</v>
      </c>
      <c r="AV26" s="378" t="s">
        <v>377</v>
      </c>
      <c r="AW26" s="378" t="s">
        <v>367</v>
      </c>
      <c r="AX26" s="652"/>
      <c r="AZ26" s="373" t="s">
        <v>367</v>
      </c>
      <c r="BA26" s="652"/>
    </row>
    <row r="27" spans="2:53">
      <c r="B27" s="695" t="s">
        <v>548</v>
      </c>
      <c r="C27" s="380">
        <v>1</v>
      </c>
      <c r="D27" s="529" t="s">
        <v>571</v>
      </c>
      <c r="E27" s="530">
        <v>10</v>
      </c>
      <c r="F27" s="530">
        <v>1500</v>
      </c>
      <c r="G27" s="531">
        <v>150</v>
      </c>
      <c r="H27" s="691">
        <f>AVERAGE(G27:G41)</f>
        <v>127.5</v>
      </c>
      <c r="I27" s="381">
        <f t="shared" ref="I27:I41" si="11">IFERROR(AVERAGE(P27,U27,Z27,AE27,AJ27,AO27,AT27),"-")</f>
        <v>10</v>
      </c>
      <c r="J27" s="381">
        <f t="shared" ref="J27:J41" si="12">IFERROR(AVERAGE(Q27,V27,AA27,AF27,AK27,AP27,AU27),"-")</f>
        <v>1440.8571428571433</v>
      </c>
      <c r="K27" s="199">
        <f t="shared" ref="K27:K41" si="13">IFERROR(AVERAGE(R27,W27,AB27,AG27,AL27,AQ27,AV27),"-")</f>
        <v>144.08571428571435</v>
      </c>
      <c r="L27" s="633">
        <f>IFERROR(AVERAGE(K27:K41),"-")</f>
        <v>138.47068627343347</v>
      </c>
      <c r="M27" s="384">
        <f>RANK(K27, K$27:$K$41)</f>
        <v>1</v>
      </c>
      <c r="N27" s="652"/>
      <c r="O27" s="652"/>
      <c r="P27" s="552">
        <v>10</v>
      </c>
      <c r="Q27" s="553">
        <v>1474.0000000000014</v>
      </c>
      <c r="R27" s="553">
        <v>147.40000000000015</v>
      </c>
      <c r="S27" s="552">
        <f t="shared" ref="S27:S41" si="14">RANK(R27, R$27:R$41)</f>
        <v>1</v>
      </c>
      <c r="T27" s="661">
        <f t="shared" ref="T27" si="15">AVERAGE(R27:R41)</f>
        <v>139.39522400676242</v>
      </c>
      <c r="U27" s="552">
        <v>10</v>
      </c>
      <c r="V27" s="553">
        <v>1416.0000000000014</v>
      </c>
      <c r="W27" s="553">
        <v>141.60000000000014</v>
      </c>
      <c r="X27" s="552">
        <f t="shared" ref="X27:X41" si="16">RANK(W27, W$27:W$41)</f>
        <v>2</v>
      </c>
      <c r="Y27" s="661">
        <f t="shared" ref="Y27" si="17">AVERAGE(W27:W41)</f>
        <v>141.14429416737093</v>
      </c>
      <c r="Z27" s="552">
        <v>10</v>
      </c>
      <c r="AA27" s="553">
        <v>1390.0000000000014</v>
      </c>
      <c r="AB27" s="553">
        <v>139.00000000000014</v>
      </c>
      <c r="AC27" s="552">
        <f t="shared" ref="AC27:AC41" si="18">RANK(AB27, AB$27:AB$41)</f>
        <v>2</v>
      </c>
      <c r="AD27" s="661">
        <f t="shared" ref="AD27" si="19">AVERAGE(AB27:AB41)</f>
        <v>137.72151310228236</v>
      </c>
      <c r="AE27" s="552">
        <v>10</v>
      </c>
      <c r="AF27" s="553">
        <v>1476.0000000000005</v>
      </c>
      <c r="AG27" s="553">
        <v>147.60000000000005</v>
      </c>
      <c r="AH27" s="552">
        <f t="shared" ref="AH27:AH41" si="20">RANK(AG27, AG$27:AG$41)</f>
        <v>1</v>
      </c>
      <c r="AI27" s="661">
        <f t="shared" ref="AI27" si="21">AVERAGE(AG27:AG41)</f>
        <v>137.61794871794871</v>
      </c>
      <c r="AJ27" s="552">
        <v>10</v>
      </c>
      <c r="AK27" s="553">
        <v>1451.9999999999959</v>
      </c>
      <c r="AL27" s="553">
        <v>145.19999999999959</v>
      </c>
      <c r="AM27" s="552">
        <f t="shared" ref="AM27:AM41" si="22">RANK(AL27, AL$27:AL$41)</f>
        <v>1</v>
      </c>
      <c r="AN27" s="661">
        <f t="shared" ref="AN27" si="23">AVERAGE(AL27:AL41)</f>
        <v>136.22913752913726</v>
      </c>
      <c r="AO27" s="552">
        <v>10</v>
      </c>
      <c r="AP27" s="553">
        <v>1476.0000000000014</v>
      </c>
      <c r="AQ27" s="553">
        <v>147.60000000000014</v>
      </c>
      <c r="AR27" s="552">
        <f t="shared" ref="AR27:AR41" si="24">RANK(AQ27, AQ$27:AQ$41)</f>
        <v>1</v>
      </c>
      <c r="AS27" s="661">
        <f t="shared" ref="AS27" si="25">AVERAGE(AQ27:AQ41)</f>
        <v>138.25029585798825</v>
      </c>
      <c r="AT27" s="552">
        <v>10</v>
      </c>
      <c r="AU27" s="553">
        <v>1402.0000000000014</v>
      </c>
      <c r="AV27" s="553">
        <v>140.20000000000013</v>
      </c>
      <c r="AW27" s="552">
        <f t="shared" ref="AW27:AW41" si="26">RANK(AV27, AV$27:AV$41)</f>
        <v>2</v>
      </c>
      <c r="AX27" s="661">
        <f t="shared" ref="AX27" si="27">AVERAGE(AV27:AV41)</f>
        <v>138.93639053254441</v>
      </c>
      <c r="AY27" s="661"/>
      <c r="AZ27" s="372" t="e">
        <f t="shared" ref="AZ27:AZ41" si="28">RANK(AY27, AY$27:AY$41)</f>
        <v>#N/A</v>
      </c>
      <c r="BA27" s="661" t="e">
        <f t="shared" ref="BA27" si="29">AVERAGE(AY27:AY41)</f>
        <v>#DIV/0!</v>
      </c>
    </row>
    <row r="28" spans="2:53">
      <c r="B28" s="660"/>
      <c r="C28" s="380">
        <v>2</v>
      </c>
      <c r="D28" s="530" t="s">
        <v>591</v>
      </c>
      <c r="E28" s="530">
        <v>15</v>
      </c>
      <c r="F28" s="530">
        <v>1800</v>
      </c>
      <c r="G28" s="531">
        <v>120</v>
      </c>
      <c r="H28" s="692"/>
      <c r="I28" s="381">
        <f t="shared" si="11"/>
        <v>13</v>
      </c>
      <c r="J28" s="381">
        <f t="shared" si="12"/>
        <v>1798.2463821892379</v>
      </c>
      <c r="K28" s="199">
        <f t="shared" si="13"/>
        <v>138.32664478378757</v>
      </c>
      <c r="L28" s="634"/>
      <c r="M28" s="387">
        <f>RANK(K28, K$27:$K$41)</f>
        <v>2</v>
      </c>
      <c r="N28" s="652"/>
      <c r="O28" s="652"/>
      <c r="P28" s="552">
        <v>13</v>
      </c>
      <c r="Q28" s="553">
        <v>1779.4285714285675</v>
      </c>
      <c r="R28" s="553">
        <v>136.87912087912056</v>
      </c>
      <c r="S28" s="552">
        <f t="shared" si="14"/>
        <v>3</v>
      </c>
      <c r="T28" s="662"/>
      <c r="U28" s="552">
        <v>13</v>
      </c>
      <c r="V28" s="553">
        <v>1824.8571428571388</v>
      </c>
      <c r="W28" s="553">
        <v>140.37362637362605</v>
      </c>
      <c r="X28" s="552">
        <f t="shared" si="16"/>
        <v>4</v>
      </c>
      <c r="Y28" s="662"/>
      <c r="Z28" s="552">
        <v>13</v>
      </c>
      <c r="AA28" s="553">
        <v>1806.8571428571433</v>
      </c>
      <c r="AB28" s="553">
        <v>138.98901098901104</v>
      </c>
      <c r="AC28" s="552">
        <f t="shared" si="18"/>
        <v>3</v>
      </c>
      <c r="AD28" s="662"/>
      <c r="AE28" s="552">
        <v>13</v>
      </c>
      <c r="AF28" s="553">
        <v>1780.0000000000018</v>
      </c>
      <c r="AG28" s="553">
        <v>136.92307692307708</v>
      </c>
      <c r="AH28" s="552">
        <f t="shared" si="20"/>
        <v>2</v>
      </c>
      <c r="AI28" s="662"/>
      <c r="AJ28" s="552">
        <v>13</v>
      </c>
      <c r="AK28" s="553">
        <v>1862.1818181818139</v>
      </c>
      <c r="AL28" s="553">
        <v>143.24475524475491</v>
      </c>
      <c r="AM28" s="552">
        <f t="shared" si="22"/>
        <v>2</v>
      </c>
      <c r="AN28" s="662"/>
      <c r="AO28" s="552">
        <v>13</v>
      </c>
      <c r="AP28" s="553">
        <v>1800.0000000000007</v>
      </c>
      <c r="AQ28" s="553">
        <v>138.46153846153851</v>
      </c>
      <c r="AR28" s="552">
        <f t="shared" si="24"/>
        <v>2</v>
      </c>
      <c r="AS28" s="662"/>
      <c r="AT28" s="552">
        <v>13</v>
      </c>
      <c r="AU28" s="553">
        <v>1734.4000000000005</v>
      </c>
      <c r="AV28" s="553">
        <v>133.41538461538465</v>
      </c>
      <c r="AW28" s="552">
        <f t="shared" si="26"/>
        <v>4</v>
      </c>
      <c r="AX28" s="662"/>
      <c r="AY28" s="662"/>
      <c r="AZ28" s="372" t="e">
        <f t="shared" si="28"/>
        <v>#N/A</v>
      </c>
      <c r="BA28" s="662"/>
    </row>
    <row r="29" spans="2:53">
      <c r="B29" s="660"/>
      <c r="C29" s="380">
        <v>3</v>
      </c>
      <c r="D29" s="530" t="s">
        <v>592</v>
      </c>
      <c r="E29" s="530">
        <v>15</v>
      </c>
      <c r="F29" s="530">
        <v>1800</v>
      </c>
      <c r="G29" s="531">
        <v>120</v>
      </c>
      <c r="H29" s="692"/>
      <c r="I29" s="381">
        <f t="shared" si="11"/>
        <v>13</v>
      </c>
      <c r="J29" s="381">
        <f t="shared" si="12"/>
        <v>1781.8725274725264</v>
      </c>
      <c r="K29" s="199">
        <f t="shared" si="13"/>
        <v>137.06711749788661</v>
      </c>
      <c r="L29" s="634"/>
      <c r="M29" s="387">
        <f>RANK(K29, K$27:$K$41)</f>
        <v>3</v>
      </c>
      <c r="N29" s="652"/>
      <c r="O29" s="652"/>
      <c r="P29" s="552">
        <v>13</v>
      </c>
      <c r="Q29" s="553">
        <v>1771.3846153846132</v>
      </c>
      <c r="R29" s="553">
        <v>136.26035502958564</v>
      </c>
      <c r="S29" s="552">
        <f t="shared" si="14"/>
        <v>4</v>
      </c>
      <c r="T29" s="662"/>
      <c r="U29" s="552">
        <v>13</v>
      </c>
      <c r="V29" s="553">
        <v>1825.8461538461513</v>
      </c>
      <c r="W29" s="553">
        <v>140.44970414201163</v>
      </c>
      <c r="X29" s="552">
        <f t="shared" si="16"/>
        <v>3</v>
      </c>
      <c r="Y29" s="662"/>
      <c r="Z29" s="552">
        <v>13</v>
      </c>
      <c r="AA29" s="553">
        <v>1734.4615384615361</v>
      </c>
      <c r="AB29" s="553">
        <v>133.42011834319507</v>
      </c>
      <c r="AC29" s="552">
        <f t="shared" si="18"/>
        <v>4</v>
      </c>
      <c r="AD29" s="662"/>
      <c r="AE29" s="552">
        <v>13</v>
      </c>
      <c r="AF29" s="553">
        <v>1715.9999999999986</v>
      </c>
      <c r="AG29" s="553">
        <v>131.99999999999989</v>
      </c>
      <c r="AH29" s="552">
        <f t="shared" si="20"/>
        <v>4</v>
      </c>
      <c r="AI29" s="662"/>
      <c r="AJ29" s="552">
        <v>13</v>
      </c>
      <c r="AK29" s="553">
        <v>1768.7999999999977</v>
      </c>
      <c r="AL29" s="553">
        <v>136.06153846153828</v>
      </c>
      <c r="AM29" s="552">
        <f t="shared" si="22"/>
        <v>3</v>
      </c>
      <c r="AN29" s="662"/>
      <c r="AO29" s="552">
        <v>13</v>
      </c>
      <c r="AP29" s="553">
        <v>1780.6153846153866</v>
      </c>
      <c r="AQ29" s="553">
        <v>136.97041420118359</v>
      </c>
      <c r="AR29" s="552">
        <f t="shared" si="24"/>
        <v>3</v>
      </c>
      <c r="AS29" s="662"/>
      <c r="AT29" s="552">
        <v>13</v>
      </c>
      <c r="AU29" s="553">
        <v>1876.0000000000018</v>
      </c>
      <c r="AV29" s="553">
        <v>144.30769230769243</v>
      </c>
      <c r="AW29" s="552">
        <f t="shared" si="26"/>
        <v>1</v>
      </c>
      <c r="AX29" s="662"/>
      <c r="AY29" s="662"/>
      <c r="AZ29" s="372" t="e">
        <f t="shared" si="28"/>
        <v>#N/A</v>
      </c>
      <c r="BA29" s="662"/>
    </row>
    <row r="30" spans="2:53">
      <c r="B30" s="660"/>
      <c r="C30" s="380">
        <v>4</v>
      </c>
      <c r="D30" s="530" t="s">
        <v>713</v>
      </c>
      <c r="E30" s="530">
        <v>18</v>
      </c>
      <c r="F30" s="530">
        <v>1800</v>
      </c>
      <c r="G30" s="531">
        <v>120</v>
      </c>
      <c r="H30" s="692"/>
      <c r="I30" s="381">
        <f t="shared" si="11"/>
        <v>13</v>
      </c>
      <c r="J30" s="381">
        <f t="shared" si="12"/>
        <v>1747.2424908424896</v>
      </c>
      <c r="K30" s="199">
        <f t="shared" si="13"/>
        <v>134.40326852634536</v>
      </c>
      <c r="L30" s="634"/>
      <c r="M30" s="387">
        <f>RANK(K30, K$27:$K$41)</f>
        <v>4</v>
      </c>
      <c r="N30" s="652"/>
      <c r="O30" s="652"/>
      <c r="P30" s="552">
        <v>13</v>
      </c>
      <c r="Q30" s="553">
        <v>1781.5384615384635</v>
      </c>
      <c r="R30" s="553">
        <v>137.04142011834335</v>
      </c>
      <c r="S30" s="552">
        <f t="shared" si="14"/>
        <v>2</v>
      </c>
      <c r="T30" s="662"/>
      <c r="U30" s="552">
        <v>13</v>
      </c>
      <c r="V30" s="553">
        <v>1847.9999999999966</v>
      </c>
      <c r="W30" s="553">
        <v>142.1538461538459</v>
      </c>
      <c r="X30" s="552">
        <f t="shared" si="16"/>
        <v>1</v>
      </c>
      <c r="Y30" s="662"/>
      <c r="Z30" s="552">
        <v>13</v>
      </c>
      <c r="AA30" s="553">
        <v>1813.2000000000005</v>
      </c>
      <c r="AB30" s="553">
        <v>139.47692307692313</v>
      </c>
      <c r="AC30" s="552">
        <f t="shared" si="18"/>
        <v>1</v>
      </c>
      <c r="AD30" s="662"/>
      <c r="AE30" s="552">
        <v>13</v>
      </c>
      <c r="AF30" s="553">
        <v>1741.3333333333303</v>
      </c>
      <c r="AG30" s="553">
        <v>133.94871794871773</v>
      </c>
      <c r="AH30" s="552">
        <f t="shared" si="20"/>
        <v>3</v>
      </c>
      <c r="AI30" s="662"/>
      <c r="AJ30" s="552">
        <v>13</v>
      </c>
      <c r="AK30" s="553">
        <v>1565.3333333333305</v>
      </c>
      <c r="AL30" s="553">
        <v>120.4102564102562</v>
      </c>
      <c r="AM30" s="552">
        <f t="shared" si="22"/>
        <v>4</v>
      </c>
      <c r="AN30" s="662"/>
      <c r="AO30" s="552">
        <v>13</v>
      </c>
      <c r="AP30" s="553">
        <v>1689.6000000000004</v>
      </c>
      <c r="AQ30" s="553">
        <v>129.96923076923079</v>
      </c>
      <c r="AR30" s="552">
        <f t="shared" si="24"/>
        <v>4</v>
      </c>
      <c r="AS30" s="662"/>
      <c r="AT30" s="552">
        <v>13</v>
      </c>
      <c r="AU30" s="553">
        <v>1791.6923076923053</v>
      </c>
      <c r="AV30" s="553">
        <v>137.82248520710041</v>
      </c>
      <c r="AW30" s="552">
        <f t="shared" si="26"/>
        <v>3</v>
      </c>
      <c r="AX30" s="662"/>
      <c r="AY30" s="662"/>
      <c r="AZ30" s="372" t="e">
        <f t="shared" si="28"/>
        <v>#N/A</v>
      </c>
      <c r="BA30" s="662"/>
    </row>
    <row r="31" spans="2:53">
      <c r="B31" s="660"/>
      <c r="C31" s="380">
        <v>5</v>
      </c>
      <c r="D31" s="530"/>
      <c r="E31" s="530"/>
      <c r="F31" s="530"/>
      <c r="G31" s="531"/>
      <c r="H31" s="692"/>
      <c r="I31" s="381" t="str">
        <f t="shared" si="11"/>
        <v>-</v>
      </c>
      <c r="J31" s="381" t="str">
        <f t="shared" si="12"/>
        <v>-</v>
      </c>
      <c r="K31" s="199" t="str">
        <f t="shared" si="13"/>
        <v>-</v>
      </c>
      <c r="L31" s="634"/>
      <c r="M31" s="387" t="e">
        <f>RANK(K31, K$27:$K$41)</f>
        <v>#VALUE!</v>
      </c>
      <c r="N31" s="652"/>
      <c r="O31" s="652"/>
      <c r="P31" s="552" t="s">
        <v>585</v>
      </c>
      <c r="Q31" s="553" t="s">
        <v>585</v>
      </c>
      <c r="R31" s="553" t="s">
        <v>585</v>
      </c>
      <c r="S31" s="552" t="e">
        <f t="shared" si="14"/>
        <v>#VALUE!</v>
      </c>
      <c r="T31" s="662"/>
      <c r="U31" s="552" t="s">
        <v>585</v>
      </c>
      <c r="V31" s="553" t="s">
        <v>585</v>
      </c>
      <c r="W31" s="553" t="s">
        <v>585</v>
      </c>
      <c r="X31" s="552" t="e">
        <f t="shared" si="16"/>
        <v>#VALUE!</v>
      </c>
      <c r="Y31" s="662"/>
      <c r="Z31" s="552" t="s">
        <v>585</v>
      </c>
      <c r="AA31" s="553" t="s">
        <v>585</v>
      </c>
      <c r="AB31" s="553" t="s">
        <v>585</v>
      </c>
      <c r="AC31" s="552" t="e">
        <f t="shared" si="18"/>
        <v>#VALUE!</v>
      </c>
      <c r="AD31" s="662"/>
      <c r="AE31" s="552" t="s">
        <v>585</v>
      </c>
      <c r="AF31" s="553" t="s">
        <v>585</v>
      </c>
      <c r="AG31" s="553" t="s">
        <v>585</v>
      </c>
      <c r="AH31" s="552" t="e">
        <f t="shared" si="20"/>
        <v>#VALUE!</v>
      </c>
      <c r="AI31" s="662"/>
      <c r="AJ31" s="552" t="s">
        <v>585</v>
      </c>
      <c r="AK31" s="553" t="s">
        <v>585</v>
      </c>
      <c r="AL31" s="553" t="s">
        <v>585</v>
      </c>
      <c r="AM31" s="552" t="e">
        <f t="shared" si="22"/>
        <v>#VALUE!</v>
      </c>
      <c r="AN31" s="662"/>
      <c r="AO31" s="552" t="s">
        <v>585</v>
      </c>
      <c r="AP31" s="553" t="s">
        <v>585</v>
      </c>
      <c r="AQ31" s="553" t="s">
        <v>585</v>
      </c>
      <c r="AR31" s="552" t="e">
        <f t="shared" si="24"/>
        <v>#VALUE!</v>
      </c>
      <c r="AS31" s="662"/>
      <c r="AT31" s="552" t="s">
        <v>585</v>
      </c>
      <c r="AU31" s="553" t="s">
        <v>585</v>
      </c>
      <c r="AV31" s="553" t="s">
        <v>585</v>
      </c>
      <c r="AW31" s="552" t="e">
        <f t="shared" si="26"/>
        <v>#VALUE!</v>
      </c>
      <c r="AX31" s="662"/>
      <c r="AY31" s="662"/>
      <c r="AZ31" s="372" t="e">
        <f t="shared" si="28"/>
        <v>#N/A</v>
      </c>
      <c r="BA31" s="662"/>
    </row>
    <row r="32" spans="2:53">
      <c r="B32" s="660"/>
      <c r="C32" s="380">
        <v>6</v>
      </c>
      <c r="D32" s="530"/>
      <c r="E32" s="530"/>
      <c r="F32" s="530"/>
      <c r="G32" s="531"/>
      <c r="H32" s="692"/>
      <c r="I32" s="381" t="str">
        <f t="shared" si="11"/>
        <v>-</v>
      </c>
      <c r="J32" s="381" t="str">
        <f t="shared" si="12"/>
        <v>-</v>
      </c>
      <c r="K32" s="199" t="str">
        <f t="shared" si="13"/>
        <v>-</v>
      </c>
      <c r="L32" s="634"/>
      <c r="M32" s="387" t="e">
        <f>RANK(K32, K$27:$K$41)</f>
        <v>#VALUE!</v>
      </c>
      <c r="N32" s="652"/>
      <c r="O32" s="652"/>
      <c r="P32" s="552" t="s">
        <v>585</v>
      </c>
      <c r="Q32" s="553" t="s">
        <v>585</v>
      </c>
      <c r="R32" s="553" t="s">
        <v>585</v>
      </c>
      <c r="S32" s="552" t="e">
        <f t="shared" si="14"/>
        <v>#VALUE!</v>
      </c>
      <c r="T32" s="662"/>
      <c r="U32" s="552" t="s">
        <v>585</v>
      </c>
      <c r="V32" s="553" t="s">
        <v>585</v>
      </c>
      <c r="W32" s="553" t="s">
        <v>585</v>
      </c>
      <c r="X32" s="552" t="e">
        <f t="shared" si="16"/>
        <v>#VALUE!</v>
      </c>
      <c r="Y32" s="662"/>
      <c r="Z32" s="552" t="s">
        <v>585</v>
      </c>
      <c r="AA32" s="553" t="s">
        <v>585</v>
      </c>
      <c r="AB32" s="553" t="s">
        <v>585</v>
      </c>
      <c r="AC32" s="552" t="e">
        <f t="shared" si="18"/>
        <v>#VALUE!</v>
      </c>
      <c r="AD32" s="662"/>
      <c r="AE32" s="552" t="s">
        <v>585</v>
      </c>
      <c r="AF32" s="553" t="s">
        <v>585</v>
      </c>
      <c r="AG32" s="553" t="s">
        <v>585</v>
      </c>
      <c r="AH32" s="552" t="e">
        <f t="shared" si="20"/>
        <v>#VALUE!</v>
      </c>
      <c r="AI32" s="662"/>
      <c r="AJ32" s="552" t="s">
        <v>585</v>
      </c>
      <c r="AK32" s="553" t="s">
        <v>585</v>
      </c>
      <c r="AL32" s="553" t="s">
        <v>585</v>
      </c>
      <c r="AM32" s="552" t="e">
        <f t="shared" si="22"/>
        <v>#VALUE!</v>
      </c>
      <c r="AN32" s="662"/>
      <c r="AO32" s="552" t="s">
        <v>585</v>
      </c>
      <c r="AP32" s="553" t="s">
        <v>585</v>
      </c>
      <c r="AQ32" s="553" t="s">
        <v>585</v>
      </c>
      <c r="AR32" s="552" t="e">
        <f t="shared" si="24"/>
        <v>#VALUE!</v>
      </c>
      <c r="AS32" s="662"/>
      <c r="AT32" s="552" t="s">
        <v>585</v>
      </c>
      <c r="AU32" s="553" t="s">
        <v>585</v>
      </c>
      <c r="AV32" s="553" t="s">
        <v>585</v>
      </c>
      <c r="AW32" s="552" t="e">
        <f t="shared" si="26"/>
        <v>#VALUE!</v>
      </c>
      <c r="AX32" s="662"/>
      <c r="AY32" s="662"/>
      <c r="AZ32" s="372" t="e">
        <f t="shared" si="28"/>
        <v>#N/A</v>
      </c>
      <c r="BA32" s="662"/>
    </row>
    <row r="33" spans="2:53">
      <c r="B33" s="660"/>
      <c r="C33" s="380">
        <v>7</v>
      </c>
      <c r="D33" s="530"/>
      <c r="E33" s="530"/>
      <c r="F33" s="530"/>
      <c r="G33" s="531"/>
      <c r="H33" s="692"/>
      <c r="I33" s="381" t="str">
        <f t="shared" si="11"/>
        <v>-</v>
      </c>
      <c r="J33" s="381" t="str">
        <f t="shared" si="12"/>
        <v>-</v>
      </c>
      <c r="K33" s="199" t="str">
        <f t="shared" si="13"/>
        <v>-</v>
      </c>
      <c r="L33" s="634"/>
      <c r="M33" s="387" t="e">
        <f>RANK(K33, K$27:$K$41)</f>
        <v>#VALUE!</v>
      </c>
      <c r="N33" s="652"/>
      <c r="O33" s="652"/>
      <c r="P33" s="552" t="s">
        <v>585</v>
      </c>
      <c r="Q33" s="553" t="s">
        <v>585</v>
      </c>
      <c r="R33" s="553" t="s">
        <v>585</v>
      </c>
      <c r="S33" s="552" t="e">
        <f t="shared" si="14"/>
        <v>#VALUE!</v>
      </c>
      <c r="T33" s="662"/>
      <c r="U33" s="552" t="s">
        <v>585</v>
      </c>
      <c r="V33" s="553" t="s">
        <v>585</v>
      </c>
      <c r="W33" s="553" t="s">
        <v>585</v>
      </c>
      <c r="X33" s="552" t="e">
        <f t="shared" si="16"/>
        <v>#VALUE!</v>
      </c>
      <c r="Y33" s="662"/>
      <c r="Z33" s="552" t="s">
        <v>585</v>
      </c>
      <c r="AA33" s="553" t="s">
        <v>585</v>
      </c>
      <c r="AB33" s="553" t="s">
        <v>585</v>
      </c>
      <c r="AC33" s="552" t="e">
        <f t="shared" si="18"/>
        <v>#VALUE!</v>
      </c>
      <c r="AD33" s="662"/>
      <c r="AE33" s="552" t="s">
        <v>585</v>
      </c>
      <c r="AF33" s="553" t="s">
        <v>585</v>
      </c>
      <c r="AG33" s="553" t="s">
        <v>585</v>
      </c>
      <c r="AH33" s="552" t="e">
        <f t="shared" si="20"/>
        <v>#VALUE!</v>
      </c>
      <c r="AI33" s="662"/>
      <c r="AJ33" s="552" t="s">
        <v>585</v>
      </c>
      <c r="AK33" s="553" t="s">
        <v>585</v>
      </c>
      <c r="AL33" s="553" t="s">
        <v>585</v>
      </c>
      <c r="AM33" s="552" t="e">
        <f t="shared" si="22"/>
        <v>#VALUE!</v>
      </c>
      <c r="AN33" s="662"/>
      <c r="AO33" s="552" t="s">
        <v>585</v>
      </c>
      <c r="AP33" s="553" t="s">
        <v>585</v>
      </c>
      <c r="AQ33" s="553" t="s">
        <v>585</v>
      </c>
      <c r="AR33" s="552" t="e">
        <f t="shared" si="24"/>
        <v>#VALUE!</v>
      </c>
      <c r="AS33" s="662"/>
      <c r="AT33" s="552" t="s">
        <v>585</v>
      </c>
      <c r="AU33" s="553" t="s">
        <v>585</v>
      </c>
      <c r="AV33" s="553" t="s">
        <v>585</v>
      </c>
      <c r="AW33" s="552" t="e">
        <f t="shared" si="26"/>
        <v>#VALUE!</v>
      </c>
      <c r="AX33" s="662"/>
      <c r="AY33" s="662"/>
      <c r="AZ33" s="372" t="e">
        <f t="shared" si="28"/>
        <v>#N/A</v>
      </c>
      <c r="BA33" s="662"/>
    </row>
    <row r="34" spans="2:53">
      <c r="B34" s="660"/>
      <c r="C34" s="380">
        <v>8</v>
      </c>
      <c r="D34" s="530"/>
      <c r="E34" s="530"/>
      <c r="F34" s="530"/>
      <c r="G34" s="531"/>
      <c r="H34" s="692"/>
      <c r="I34" s="381" t="str">
        <f t="shared" si="11"/>
        <v>-</v>
      </c>
      <c r="J34" s="381" t="str">
        <f t="shared" si="12"/>
        <v>-</v>
      </c>
      <c r="K34" s="199" t="str">
        <f t="shared" si="13"/>
        <v>-</v>
      </c>
      <c r="L34" s="634"/>
      <c r="M34" s="387" t="e">
        <f>RANK(K34, K$27:$K$41)</f>
        <v>#VALUE!</v>
      </c>
      <c r="N34" s="652"/>
      <c r="O34" s="652"/>
      <c r="P34" s="552" t="s">
        <v>585</v>
      </c>
      <c r="Q34" s="553" t="s">
        <v>585</v>
      </c>
      <c r="R34" s="553" t="s">
        <v>585</v>
      </c>
      <c r="S34" s="552" t="e">
        <f t="shared" si="14"/>
        <v>#VALUE!</v>
      </c>
      <c r="T34" s="662"/>
      <c r="U34" s="552" t="s">
        <v>585</v>
      </c>
      <c r="V34" s="553" t="s">
        <v>585</v>
      </c>
      <c r="W34" s="553" t="s">
        <v>585</v>
      </c>
      <c r="X34" s="552" t="e">
        <f t="shared" si="16"/>
        <v>#VALUE!</v>
      </c>
      <c r="Y34" s="662"/>
      <c r="Z34" s="552" t="s">
        <v>585</v>
      </c>
      <c r="AA34" s="553" t="s">
        <v>585</v>
      </c>
      <c r="AB34" s="553" t="s">
        <v>585</v>
      </c>
      <c r="AC34" s="552" t="e">
        <f t="shared" si="18"/>
        <v>#VALUE!</v>
      </c>
      <c r="AD34" s="662"/>
      <c r="AE34" s="552" t="s">
        <v>585</v>
      </c>
      <c r="AF34" s="553" t="s">
        <v>585</v>
      </c>
      <c r="AG34" s="553" t="s">
        <v>585</v>
      </c>
      <c r="AH34" s="552" t="e">
        <f t="shared" si="20"/>
        <v>#VALUE!</v>
      </c>
      <c r="AI34" s="662"/>
      <c r="AJ34" s="552" t="s">
        <v>585</v>
      </c>
      <c r="AK34" s="553" t="s">
        <v>585</v>
      </c>
      <c r="AL34" s="553" t="s">
        <v>585</v>
      </c>
      <c r="AM34" s="552" t="e">
        <f t="shared" si="22"/>
        <v>#VALUE!</v>
      </c>
      <c r="AN34" s="662"/>
      <c r="AO34" s="552" t="s">
        <v>585</v>
      </c>
      <c r="AP34" s="553" t="s">
        <v>585</v>
      </c>
      <c r="AQ34" s="553" t="s">
        <v>585</v>
      </c>
      <c r="AR34" s="552" t="e">
        <f t="shared" si="24"/>
        <v>#VALUE!</v>
      </c>
      <c r="AS34" s="662"/>
      <c r="AT34" s="552" t="s">
        <v>585</v>
      </c>
      <c r="AU34" s="553" t="s">
        <v>585</v>
      </c>
      <c r="AV34" s="553" t="s">
        <v>585</v>
      </c>
      <c r="AW34" s="552" t="e">
        <f t="shared" si="26"/>
        <v>#VALUE!</v>
      </c>
      <c r="AX34" s="662"/>
      <c r="AY34" s="662"/>
      <c r="AZ34" s="372" t="e">
        <f t="shared" si="28"/>
        <v>#N/A</v>
      </c>
      <c r="BA34" s="662"/>
    </row>
    <row r="35" spans="2:53">
      <c r="B35" s="660"/>
      <c r="C35" s="380">
        <v>9</v>
      </c>
      <c r="D35" s="530"/>
      <c r="E35" s="530"/>
      <c r="F35" s="530"/>
      <c r="G35" s="531"/>
      <c r="H35" s="692"/>
      <c r="I35" s="381" t="str">
        <f t="shared" si="11"/>
        <v>-</v>
      </c>
      <c r="J35" s="381" t="str">
        <f t="shared" si="12"/>
        <v>-</v>
      </c>
      <c r="K35" s="199" t="str">
        <f t="shared" si="13"/>
        <v>-</v>
      </c>
      <c r="L35" s="634"/>
      <c r="M35" s="387" t="e">
        <f>RANK(K35, K$27:$K$41)</f>
        <v>#VALUE!</v>
      </c>
      <c r="N35" s="652"/>
      <c r="O35" s="652"/>
      <c r="P35" s="552" t="s">
        <v>585</v>
      </c>
      <c r="Q35" s="553" t="s">
        <v>585</v>
      </c>
      <c r="R35" s="553" t="s">
        <v>585</v>
      </c>
      <c r="S35" s="552" t="e">
        <f t="shared" si="14"/>
        <v>#VALUE!</v>
      </c>
      <c r="T35" s="662"/>
      <c r="U35" s="552" t="s">
        <v>585</v>
      </c>
      <c r="V35" s="553" t="s">
        <v>585</v>
      </c>
      <c r="W35" s="553" t="s">
        <v>585</v>
      </c>
      <c r="X35" s="552" t="e">
        <f t="shared" si="16"/>
        <v>#VALUE!</v>
      </c>
      <c r="Y35" s="662"/>
      <c r="Z35" s="552" t="s">
        <v>585</v>
      </c>
      <c r="AA35" s="553" t="s">
        <v>585</v>
      </c>
      <c r="AB35" s="553" t="s">
        <v>585</v>
      </c>
      <c r="AC35" s="552" t="e">
        <f t="shared" si="18"/>
        <v>#VALUE!</v>
      </c>
      <c r="AD35" s="662"/>
      <c r="AE35" s="552" t="s">
        <v>585</v>
      </c>
      <c r="AF35" s="553" t="s">
        <v>585</v>
      </c>
      <c r="AG35" s="553" t="s">
        <v>585</v>
      </c>
      <c r="AH35" s="552" t="e">
        <f t="shared" si="20"/>
        <v>#VALUE!</v>
      </c>
      <c r="AI35" s="662"/>
      <c r="AJ35" s="552" t="s">
        <v>585</v>
      </c>
      <c r="AK35" s="553" t="s">
        <v>585</v>
      </c>
      <c r="AL35" s="553" t="s">
        <v>585</v>
      </c>
      <c r="AM35" s="552" t="e">
        <f t="shared" si="22"/>
        <v>#VALUE!</v>
      </c>
      <c r="AN35" s="662"/>
      <c r="AO35" s="552" t="s">
        <v>585</v>
      </c>
      <c r="AP35" s="553" t="s">
        <v>585</v>
      </c>
      <c r="AQ35" s="553" t="s">
        <v>585</v>
      </c>
      <c r="AR35" s="552" t="e">
        <f t="shared" si="24"/>
        <v>#VALUE!</v>
      </c>
      <c r="AS35" s="662"/>
      <c r="AT35" s="552" t="s">
        <v>585</v>
      </c>
      <c r="AU35" s="553" t="s">
        <v>585</v>
      </c>
      <c r="AV35" s="553" t="s">
        <v>585</v>
      </c>
      <c r="AW35" s="552" t="e">
        <f t="shared" si="26"/>
        <v>#VALUE!</v>
      </c>
      <c r="AX35" s="662"/>
      <c r="AY35" s="662"/>
      <c r="AZ35" s="372" t="e">
        <f t="shared" si="28"/>
        <v>#N/A</v>
      </c>
      <c r="BA35" s="662"/>
    </row>
    <row r="36" spans="2:53">
      <c r="B36" s="660"/>
      <c r="C36" s="380">
        <v>10</v>
      </c>
      <c r="D36" s="530"/>
      <c r="E36" s="530"/>
      <c r="F36" s="530"/>
      <c r="G36" s="531"/>
      <c r="H36" s="692"/>
      <c r="I36" s="381" t="str">
        <f t="shared" si="11"/>
        <v>-</v>
      </c>
      <c r="J36" s="381" t="str">
        <f t="shared" si="12"/>
        <v>-</v>
      </c>
      <c r="K36" s="199" t="str">
        <f t="shared" si="13"/>
        <v>-</v>
      </c>
      <c r="L36" s="634"/>
      <c r="M36" s="387" t="e">
        <f>RANK(K36, K$27:$K$41)</f>
        <v>#VALUE!</v>
      </c>
      <c r="N36" s="652"/>
      <c r="O36" s="652"/>
      <c r="P36" s="552" t="s">
        <v>585</v>
      </c>
      <c r="Q36" s="553" t="s">
        <v>585</v>
      </c>
      <c r="R36" s="553" t="s">
        <v>585</v>
      </c>
      <c r="S36" s="552" t="e">
        <f t="shared" si="14"/>
        <v>#VALUE!</v>
      </c>
      <c r="T36" s="662"/>
      <c r="U36" s="552" t="s">
        <v>585</v>
      </c>
      <c r="V36" s="553" t="s">
        <v>585</v>
      </c>
      <c r="W36" s="553" t="s">
        <v>585</v>
      </c>
      <c r="X36" s="552" t="e">
        <f t="shared" si="16"/>
        <v>#VALUE!</v>
      </c>
      <c r="Y36" s="662"/>
      <c r="Z36" s="552" t="s">
        <v>585</v>
      </c>
      <c r="AA36" s="553" t="s">
        <v>585</v>
      </c>
      <c r="AB36" s="553" t="s">
        <v>585</v>
      </c>
      <c r="AC36" s="552" t="e">
        <f t="shared" si="18"/>
        <v>#VALUE!</v>
      </c>
      <c r="AD36" s="662"/>
      <c r="AE36" s="552" t="s">
        <v>585</v>
      </c>
      <c r="AF36" s="553" t="s">
        <v>585</v>
      </c>
      <c r="AG36" s="553" t="s">
        <v>585</v>
      </c>
      <c r="AH36" s="552" t="e">
        <f t="shared" si="20"/>
        <v>#VALUE!</v>
      </c>
      <c r="AI36" s="662"/>
      <c r="AJ36" s="552" t="s">
        <v>585</v>
      </c>
      <c r="AK36" s="553" t="s">
        <v>585</v>
      </c>
      <c r="AL36" s="553" t="s">
        <v>585</v>
      </c>
      <c r="AM36" s="552" t="e">
        <f t="shared" si="22"/>
        <v>#VALUE!</v>
      </c>
      <c r="AN36" s="662"/>
      <c r="AO36" s="552" t="s">
        <v>585</v>
      </c>
      <c r="AP36" s="553" t="s">
        <v>585</v>
      </c>
      <c r="AQ36" s="553" t="s">
        <v>585</v>
      </c>
      <c r="AR36" s="552" t="e">
        <f t="shared" si="24"/>
        <v>#VALUE!</v>
      </c>
      <c r="AS36" s="662"/>
      <c r="AT36" s="552" t="s">
        <v>585</v>
      </c>
      <c r="AU36" s="553" t="s">
        <v>585</v>
      </c>
      <c r="AV36" s="553" t="s">
        <v>585</v>
      </c>
      <c r="AW36" s="552" t="e">
        <f t="shared" si="26"/>
        <v>#VALUE!</v>
      </c>
      <c r="AX36" s="662"/>
      <c r="AY36" s="662"/>
      <c r="AZ36" s="372" t="e">
        <f t="shared" si="28"/>
        <v>#N/A</v>
      </c>
      <c r="BA36" s="662"/>
    </row>
    <row r="37" spans="2:53">
      <c r="B37" s="660"/>
      <c r="C37" s="380">
        <v>11</v>
      </c>
      <c r="D37" s="530"/>
      <c r="E37" s="530"/>
      <c r="F37" s="530"/>
      <c r="G37" s="531"/>
      <c r="H37" s="692"/>
      <c r="I37" s="381" t="str">
        <f t="shared" si="11"/>
        <v>-</v>
      </c>
      <c r="J37" s="381" t="str">
        <f t="shared" si="12"/>
        <v>-</v>
      </c>
      <c r="K37" s="199" t="str">
        <f t="shared" si="13"/>
        <v>-</v>
      </c>
      <c r="L37" s="634"/>
      <c r="M37" s="387" t="e">
        <f>RANK(K37, K$27:$K$41)</f>
        <v>#VALUE!</v>
      </c>
      <c r="N37" s="652"/>
      <c r="O37" s="652"/>
      <c r="P37" s="552" t="s">
        <v>585</v>
      </c>
      <c r="Q37" s="553" t="s">
        <v>585</v>
      </c>
      <c r="R37" s="553" t="s">
        <v>585</v>
      </c>
      <c r="S37" s="552" t="e">
        <f t="shared" si="14"/>
        <v>#VALUE!</v>
      </c>
      <c r="T37" s="662"/>
      <c r="U37" s="552" t="s">
        <v>585</v>
      </c>
      <c r="V37" s="553" t="s">
        <v>585</v>
      </c>
      <c r="W37" s="553" t="s">
        <v>585</v>
      </c>
      <c r="X37" s="552" t="e">
        <f t="shared" si="16"/>
        <v>#VALUE!</v>
      </c>
      <c r="Y37" s="662"/>
      <c r="Z37" s="552" t="s">
        <v>585</v>
      </c>
      <c r="AA37" s="553" t="s">
        <v>585</v>
      </c>
      <c r="AB37" s="553" t="s">
        <v>585</v>
      </c>
      <c r="AC37" s="552" t="e">
        <f t="shared" si="18"/>
        <v>#VALUE!</v>
      </c>
      <c r="AD37" s="662"/>
      <c r="AE37" s="552" t="s">
        <v>585</v>
      </c>
      <c r="AF37" s="553" t="s">
        <v>585</v>
      </c>
      <c r="AG37" s="553" t="s">
        <v>585</v>
      </c>
      <c r="AH37" s="552" t="e">
        <f t="shared" si="20"/>
        <v>#VALUE!</v>
      </c>
      <c r="AI37" s="662"/>
      <c r="AJ37" s="552" t="s">
        <v>585</v>
      </c>
      <c r="AK37" s="553" t="s">
        <v>585</v>
      </c>
      <c r="AL37" s="553" t="s">
        <v>585</v>
      </c>
      <c r="AM37" s="552" t="e">
        <f t="shared" si="22"/>
        <v>#VALUE!</v>
      </c>
      <c r="AN37" s="662"/>
      <c r="AO37" s="552" t="s">
        <v>585</v>
      </c>
      <c r="AP37" s="553" t="s">
        <v>585</v>
      </c>
      <c r="AQ37" s="553" t="s">
        <v>585</v>
      </c>
      <c r="AR37" s="552" t="e">
        <f t="shared" si="24"/>
        <v>#VALUE!</v>
      </c>
      <c r="AS37" s="662"/>
      <c r="AT37" s="552" t="s">
        <v>585</v>
      </c>
      <c r="AU37" s="553" t="s">
        <v>585</v>
      </c>
      <c r="AV37" s="553" t="s">
        <v>585</v>
      </c>
      <c r="AW37" s="552" t="e">
        <f t="shared" si="26"/>
        <v>#VALUE!</v>
      </c>
      <c r="AX37" s="662"/>
      <c r="AY37" s="662"/>
      <c r="AZ37" s="372" t="e">
        <f t="shared" si="28"/>
        <v>#N/A</v>
      </c>
      <c r="BA37" s="662"/>
    </row>
    <row r="38" spans="2:53">
      <c r="B38" s="660"/>
      <c r="C38" s="380">
        <v>12</v>
      </c>
      <c r="D38" s="530"/>
      <c r="E38" s="530"/>
      <c r="F38" s="530"/>
      <c r="G38" s="531"/>
      <c r="H38" s="692"/>
      <c r="I38" s="381" t="str">
        <f t="shared" si="11"/>
        <v>-</v>
      </c>
      <c r="J38" s="381" t="str">
        <f t="shared" si="12"/>
        <v>-</v>
      </c>
      <c r="K38" s="199" t="str">
        <f t="shared" si="13"/>
        <v>-</v>
      </c>
      <c r="L38" s="634"/>
      <c r="M38" s="387" t="e">
        <f>RANK(K38, K$27:$K$41)</f>
        <v>#VALUE!</v>
      </c>
      <c r="N38" s="652"/>
      <c r="O38" s="652"/>
      <c r="P38" s="552" t="s">
        <v>585</v>
      </c>
      <c r="Q38" s="553" t="s">
        <v>585</v>
      </c>
      <c r="R38" s="553" t="s">
        <v>585</v>
      </c>
      <c r="S38" s="552" t="e">
        <f t="shared" si="14"/>
        <v>#VALUE!</v>
      </c>
      <c r="T38" s="662"/>
      <c r="U38" s="552" t="s">
        <v>585</v>
      </c>
      <c r="V38" s="553" t="s">
        <v>585</v>
      </c>
      <c r="W38" s="553" t="s">
        <v>585</v>
      </c>
      <c r="X38" s="552" t="e">
        <f t="shared" si="16"/>
        <v>#VALUE!</v>
      </c>
      <c r="Y38" s="662"/>
      <c r="Z38" s="552" t="s">
        <v>585</v>
      </c>
      <c r="AA38" s="553" t="s">
        <v>585</v>
      </c>
      <c r="AB38" s="553" t="s">
        <v>585</v>
      </c>
      <c r="AC38" s="552" t="e">
        <f t="shared" si="18"/>
        <v>#VALUE!</v>
      </c>
      <c r="AD38" s="662"/>
      <c r="AE38" s="552" t="s">
        <v>585</v>
      </c>
      <c r="AF38" s="553" t="s">
        <v>585</v>
      </c>
      <c r="AG38" s="553" t="s">
        <v>585</v>
      </c>
      <c r="AH38" s="552" t="e">
        <f t="shared" si="20"/>
        <v>#VALUE!</v>
      </c>
      <c r="AI38" s="662"/>
      <c r="AJ38" s="552" t="s">
        <v>585</v>
      </c>
      <c r="AK38" s="553" t="s">
        <v>585</v>
      </c>
      <c r="AL38" s="553" t="s">
        <v>585</v>
      </c>
      <c r="AM38" s="552" t="e">
        <f t="shared" si="22"/>
        <v>#VALUE!</v>
      </c>
      <c r="AN38" s="662"/>
      <c r="AO38" s="552" t="s">
        <v>585</v>
      </c>
      <c r="AP38" s="553" t="s">
        <v>585</v>
      </c>
      <c r="AQ38" s="553" t="s">
        <v>585</v>
      </c>
      <c r="AR38" s="552" t="e">
        <f t="shared" si="24"/>
        <v>#VALUE!</v>
      </c>
      <c r="AS38" s="662"/>
      <c r="AT38" s="552" t="s">
        <v>585</v>
      </c>
      <c r="AU38" s="553" t="s">
        <v>585</v>
      </c>
      <c r="AV38" s="553" t="s">
        <v>585</v>
      </c>
      <c r="AW38" s="552" t="e">
        <f t="shared" si="26"/>
        <v>#VALUE!</v>
      </c>
      <c r="AX38" s="662"/>
      <c r="AY38" s="662"/>
      <c r="AZ38" s="372" t="e">
        <f t="shared" si="28"/>
        <v>#N/A</v>
      </c>
      <c r="BA38" s="662"/>
    </row>
    <row r="39" spans="2:53">
      <c r="B39" s="660"/>
      <c r="C39" s="380">
        <v>13</v>
      </c>
      <c r="D39" s="530"/>
      <c r="E39" s="530"/>
      <c r="F39" s="530"/>
      <c r="G39" s="531"/>
      <c r="H39" s="692"/>
      <c r="I39" s="381" t="str">
        <f t="shared" si="11"/>
        <v>-</v>
      </c>
      <c r="J39" s="381" t="str">
        <f t="shared" si="12"/>
        <v>-</v>
      </c>
      <c r="K39" s="199" t="str">
        <f t="shared" si="13"/>
        <v>-</v>
      </c>
      <c r="L39" s="634"/>
      <c r="M39" s="387" t="e">
        <f>RANK(K39, K$27:$K$41)</f>
        <v>#VALUE!</v>
      </c>
      <c r="N39" s="652"/>
      <c r="O39" s="652"/>
      <c r="P39" s="552" t="s">
        <v>585</v>
      </c>
      <c r="Q39" s="553" t="s">
        <v>585</v>
      </c>
      <c r="R39" s="553" t="s">
        <v>585</v>
      </c>
      <c r="S39" s="552" t="e">
        <f t="shared" si="14"/>
        <v>#VALUE!</v>
      </c>
      <c r="T39" s="662"/>
      <c r="U39" s="552" t="s">
        <v>585</v>
      </c>
      <c r="V39" s="553" t="s">
        <v>585</v>
      </c>
      <c r="W39" s="553" t="s">
        <v>585</v>
      </c>
      <c r="X39" s="552" t="e">
        <f t="shared" si="16"/>
        <v>#VALUE!</v>
      </c>
      <c r="Y39" s="662"/>
      <c r="Z39" s="552" t="s">
        <v>585</v>
      </c>
      <c r="AA39" s="553" t="s">
        <v>585</v>
      </c>
      <c r="AB39" s="553" t="s">
        <v>585</v>
      </c>
      <c r="AC39" s="552" t="e">
        <f t="shared" si="18"/>
        <v>#VALUE!</v>
      </c>
      <c r="AD39" s="662"/>
      <c r="AE39" s="552" t="s">
        <v>585</v>
      </c>
      <c r="AF39" s="553" t="s">
        <v>585</v>
      </c>
      <c r="AG39" s="553" t="s">
        <v>585</v>
      </c>
      <c r="AH39" s="552" t="e">
        <f t="shared" si="20"/>
        <v>#VALUE!</v>
      </c>
      <c r="AI39" s="662"/>
      <c r="AJ39" s="552" t="s">
        <v>585</v>
      </c>
      <c r="AK39" s="553" t="s">
        <v>585</v>
      </c>
      <c r="AL39" s="553" t="s">
        <v>585</v>
      </c>
      <c r="AM39" s="552" t="e">
        <f t="shared" si="22"/>
        <v>#VALUE!</v>
      </c>
      <c r="AN39" s="662"/>
      <c r="AO39" s="552" t="s">
        <v>585</v>
      </c>
      <c r="AP39" s="553" t="s">
        <v>585</v>
      </c>
      <c r="AQ39" s="553" t="s">
        <v>585</v>
      </c>
      <c r="AR39" s="552" t="e">
        <f t="shared" si="24"/>
        <v>#VALUE!</v>
      </c>
      <c r="AS39" s="662"/>
      <c r="AT39" s="552" t="s">
        <v>585</v>
      </c>
      <c r="AU39" s="553" t="s">
        <v>585</v>
      </c>
      <c r="AV39" s="553" t="s">
        <v>585</v>
      </c>
      <c r="AW39" s="552" t="e">
        <f t="shared" si="26"/>
        <v>#VALUE!</v>
      </c>
      <c r="AX39" s="662"/>
      <c r="AY39" s="662"/>
      <c r="AZ39" s="372" t="e">
        <f t="shared" si="28"/>
        <v>#N/A</v>
      </c>
      <c r="BA39" s="662"/>
    </row>
    <row r="40" spans="2:53">
      <c r="B40" s="660"/>
      <c r="C40" s="380">
        <v>14</v>
      </c>
      <c r="D40" s="530"/>
      <c r="E40" s="530"/>
      <c r="F40" s="530"/>
      <c r="G40" s="531"/>
      <c r="H40" s="692"/>
      <c r="I40" s="381" t="str">
        <f t="shared" si="11"/>
        <v>-</v>
      </c>
      <c r="J40" s="381" t="str">
        <f t="shared" si="12"/>
        <v>-</v>
      </c>
      <c r="K40" s="199" t="str">
        <f t="shared" si="13"/>
        <v>-</v>
      </c>
      <c r="L40" s="634"/>
      <c r="M40" s="387" t="e">
        <f>RANK(K40, K$27:$K$41)</f>
        <v>#VALUE!</v>
      </c>
      <c r="N40" s="652"/>
      <c r="O40" s="652"/>
      <c r="P40" s="552" t="s">
        <v>585</v>
      </c>
      <c r="Q40" s="553" t="s">
        <v>585</v>
      </c>
      <c r="R40" s="553" t="s">
        <v>585</v>
      </c>
      <c r="S40" s="552" t="e">
        <f t="shared" si="14"/>
        <v>#VALUE!</v>
      </c>
      <c r="T40" s="662"/>
      <c r="U40" s="552" t="s">
        <v>585</v>
      </c>
      <c r="V40" s="553" t="s">
        <v>585</v>
      </c>
      <c r="W40" s="553" t="s">
        <v>585</v>
      </c>
      <c r="X40" s="552" t="e">
        <f t="shared" si="16"/>
        <v>#VALUE!</v>
      </c>
      <c r="Y40" s="662"/>
      <c r="Z40" s="552" t="s">
        <v>585</v>
      </c>
      <c r="AA40" s="553" t="s">
        <v>585</v>
      </c>
      <c r="AB40" s="553" t="s">
        <v>585</v>
      </c>
      <c r="AC40" s="552" t="e">
        <f t="shared" si="18"/>
        <v>#VALUE!</v>
      </c>
      <c r="AD40" s="662"/>
      <c r="AE40" s="552" t="s">
        <v>585</v>
      </c>
      <c r="AF40" s="553" t="s">
        <v>585</v>
      </c>
      <c r="AG40" s="553" t="s">
        <v>585</v>
      </c>
      <c r="AH40" s="552" t="e">
        <f t="shared" si="20"/>
        <v>#VALUE!</v>
      </c>
      <c r="AI40" s="662"/>
      <c r="AJ40" s="552" t="s">
        <v>585</v>
      </c>
      <c r="AK40" s="553" t="s">
        <v>585</v>
      </c>
      <c r="AL40" s="553" t="s">
        <v>585</v>
      </c>
      <c r="AM40" s="552" t="e">
        <f t="shared" si="22"/>
        <v>#VALUE!</v>
      </c>
      <c r="AN40" s="662"/>
      <c r="AO40" s="552" t="s">
        <v>585</v>
      </c>
      <c r="AP40" s="553" t="s">
        <v>585</v>
      </c>
      <c r="AQ40" s="553" t="s">
        <v>585</v>
      </c>
      <c r="AR40" s="552" t="e">
        <f t="shared" si="24"/>
        <v>#VALUE!</v>
      </c>
      <c r="AS40" s="662"/>
      <c r="AT40" s="552" t="s">
        <v>585</v>
      </c>
      <c r="AU40" s="553" t="s">
        <v>585</v>
      </c>
      <c r="AV40" s="553" t="s">
        <v>585</v>
      </c>
      <c r="AW40" s="552" t="e">
        <f t="shared" si="26"/>
        <v>#VALUE!</v>
      </c>
      <c r="AX40" s="662"/>
      <c r="AY40" s="662"/>
      <c r="AZ40" s="372" t="e">
        <f t="shared" si="28"/>
        <v>#N/A</v>
      </c>
      <c r="BA40" s="662"/>
    </row>
    <row r="41" spans="2:53">
      <c r="B41" s="660"/>
      <c r="C41" s="380">
        <v>15</v>
      </c>
      <c r="D41" s="530"/>
      <c r="E41" s="530"/>
      <c r="F41" s="530"/>
      <c r="G41" s="530"/>
      <c r="H41" s="696"/>
      <c r="I41" s="381" t="str">
        <f t="shared" si="11"/>
        <v>-</v>
      </c>
      <c r="J41" s="381" t="str">
        <f t="shared" si="12"/>
        <v>-</v>
      </c>
      <c r="K41" s="199" t="str">
        <f t="shared" si="13"/>
        <v>-</v>
      </c>
      <c r="L41" s="635"/>
      <c r="M41" s="387" t="e">
        <f>RANK(K41, K$27:$K$41)</f>
        <v>#VALUE!</v>
      </c>
      <c r="N41" s="652"/>
      <c r="O41" s="652"/>
      <c r="P41" s="552" t="s">
        <v>585</v>
      </c>
      <c r="Q41" s="553" t="s">
        <v>585</v>
      </c>
      <c r="R41" s="553" t="s">
        <v>585</v>
      </c>
      <c r="S41" s="552" t="e">
        <f t="shared" si="14"/>
        <v>#VALUE!</v>
      </c>
      <c r="T41" s="663"/>
      <c r="U41" s="552" t="s">
        <v>585</v>
      </c>
      <c r="V41" s="553" t="s">
        <v>585</v>
      </c>
      <c r="W41" s="553" t="s">
        <v>585</v>
      </c>
      <c r="X41" s="552" t="e">
        <f t="shared" si="16"/>
        <v>#VALUE!</v>
      </c>
      <c r="Y41" s="663"/>
      <c r="Z41" s="552" t="s">
        <v>585</v>
      </c>
      <c r="AA41" s="553" t="s">
        <v>585</v>
      </c>
      <c r="AB41" s="553" t="s">
        <v>585</v>
      </c>
      <c r="AC41" s="552" t="e">
        <f t="shared" si="18"/>
        <v>#VALUE!</v>
      </c>
      <c r="AD41" s="663"/>
      <c r="AE41" s="552" t="s">
        <v>585</v>
      </c>
      <c r="AF41" s="553" t="s">
        <v>585</v>
      </c>
      <c r="AG41" s="553" t="s">
        <v>585</v>
      </c>
      <c r="AH41" s="552" t="e">
        <f t="shared" si="20"/>
        <v>#VALUE!</v>
      </c>
      <c r="AI41" s="663"/>
      <c r="AJ41" s="552" t="s">
        <v>585</v>
      </c>
      <c r="AK41" s="553" t="s">
        <v>585</v>
      </c>
      <c r="AL41" s="553" t="s">
        <v>585</v>
      </c>
      <c r="AM41" s="552" t="e">
        <f t="shared" si="22"/>
        <v>#VALUE!</v>
      </c>
      <c r="AN41" s="663"/>
      <c r="AO41" s="552" t="s">
        <v>585</v>
      </c>
      <c r="AP41" s="553" t="s">
        <v>585</v>
      </c>
      <c r="AQ41" s="553" t="s">
        <v>585</v>
      </c>
      <c r="AR41" s="552" t="e">
        <f t="shared" si="24"/>
        <v>#VALUE!</v>
      </c>
      <c r="AS41" s="663"/>
      <c r="AT41" s="552" t="s">
        <v>585</v>
      </c>
      <c r="AU41" s="553" t="s">
        <v>585</v>
      </c>
      <c r="AV41" s="553" t="s">
        <v>585</v>
      </c>
      <c r="AW41" s="552" t="e">
        <f t="shared" si="26"/>
        <v>#VALUE!</v>
      </c>
      <c r="AX41" s="663"/>
      <c r="AY41" s="663"/>
      <c r="AZ41" s="372" t="e">
        <f t="shared" si="28"/>
        <v>#N/A</v>
      </c>
      <c r="BA41" s="663"/>
    </row>
    <row r="42" spans="2:53" ht="15.75">
      <c r="B42" s="677" t="s">
        <v>162</v>
      </c>
      <c r="C42" s="678"/>
      <c r="D42" s="678"/>
      <c r="E42" s="678"/>
      <c r="F42" s="678"/>
      <c r="G42" s="678"/>
      <c r="H42" s="678"/>
      <c r="I42" s="207"/>
      <c r="J42" s="202"/>
      <c r="K42" s="207"/>
      <c r="L42" s="207"/>
      <c r="M42" s="203"/>
      <c r="N42" s="653" t="s">
        <v>156</v>
      </c>
      <c r="O42" s="653" t="s">
        <v>105</v>
      </c>
      <c r="P42" s="659">
        <f>P22+7</f>
        <v>46245</v>
      </c>
      <c r="Q42" s="660"/>
      <c r="R42" s="660"/>
      <c r="S42" s="660"/>
      <c r="T42" s="660"/>
      <c r="U42" s="656">
        <f>P42+1</f>
        <v>46246</v>
      </c>
      <c r="V42" s="657"/>
      <c r="W42" s="657"/>
      <c r="X42" s="657"/>
      <c r="Y42" s="658"/>
      <c r="Z42" s="656">
        <f>U42+1</f>
        <v>46247</v>
      </c>
      <c r="AA42" s="657"/>
      <c r="AB42" s="657"/>
      <c r="AC42" s="657"/>
      <c r="AD42" s="658"/>
      <c r="AE42" s="656">
        <f>Z42+1</f>
        <v>46248</v>
      </c>
      <c r="AF42" s="657"/>
      <c r="AG42" s="657"/>
      <c r="AH42" s="657"/>
      <c r="AI42" s="658"/>
      <c r="AJ42" s="656">
        <f>AE42+1</f>
        <v>46249</v>
      </c>
      <c r="AK42" s="657"/>
      <c r="AL42" s="657"/>
      <c r="AM42" s="657"/>
      <c r="AN42" s="658"/>
      <c r="AO42" s="656">
        <f>AJ42+1</f>
        <v>46250</v>
      </c>
      <c r="AP42" s="657"/>
      <c r="AQ42" s="657"/>
      <c r="AR42" s="657"/>
      <c r="AS42" s="658"/>
      <c r="AT42" s="656">
        <f>AO42+1</f>
        <v>46251</v>
      </c>
      <c r="AU42" s="657"/>
      <c r="AV42" s="657"/>
      <c r="AW42" s="657"/>
      <c r="AX42" s="658"/>
    </row>
    <row r="43" spans="2:53" ht="15.75">
      <c r="B43" s="667"/>
      <c r="C43" s="667"/>
      <c r="D43" s="667"/>
      <c r="E43" s="667"/>
      <c r="F43" s="667"/>
      <c r="G43" s="667"/>
      <c r="H43" s="667"/>
      <c r="I43" s="204"/>
      <c r="J43" s="204"/>
      <c r="K43" s="204"/>
      <c r="L43" s="204"/>
      <c r="M43" s="205"/>
      <c r="N43" s="655"/>
      <c r="O43" s="655"/>
      <c r="P43" s="659" t="s">
        <v>317</v>
      </c>
      <c r="Q43" s="660"/>
      <c r="R43" s="660"/>
      <c r="S43" s="660"/>
      <c r="T43" s="660"/>
      <c r="U43" s="659" t="s">
        <v>318</v>
      </c>
      <c r="V43" s="660"/>
      <c r="W43" s="660"/>
      <c r="X43" s="660"/>
      <c r="Y43" s="660"/>
      <c r="Z43" s="659" t="s">
        <v>319</v>
      </c>
      <c r="AA43" s="660"/>
      <c r="AB43" s="660"/>
      <c r="AC43" s="660"/>
      <c r="AD43" s="660"/>
      <c r="AE43" s="659" t="s">
        <v>320</v>
      </c>
      <c r="AF43" s="660"/>
      <c r="AG43" s="660"/>
      <c r="AH43" s="660"/>
      <c r="AI43" s="660"/>
      <c r="AJ43" s="659" t="s">
        <v>321</v>
      </c>
      <c r="AK43" s="660"/>
      <c r="AL43" s="660"/>
      <c r="AM43" s="660"/>
      <c r="AN43" s="660"/>
      <c r="AO43" s="659" t="s">
        <v>322</v>
      </c>
      <c r="AP43" s="660"/>
      <c r="AQ43" s="660"/>
      <c r="AR43" s="660"/>
      <c r="AS43" s="660"/>
      <c r="AT43" s="659" t="s">
        <v>323</v>
      </c>
      <c r="AU43" s="660"/>
      <c r="AV43" s="660"/>
      <c r="AW43" s="660"/>
      <c r="AX43" s="660"/>
    </row>
    <row r="44" spans="2:53">
      <c r="B44" s="652" t="s">
        <v>470</v>
      </c>
      <c r="C44" s="652" t="s">
        <v>379</v>
      </c>
      <c r="D44" s="652"/>
      <c r="E44" s="652" t="s">
        <v>370</v>
      </c>
      <c r="F44" s="652"/>
      <c r="G44" s="652"/>
      <c r="H44" s="668" t="s">
        <v>366</v>
      </c>
      <c r="I44" s="652" t="s">
        <v>371</v>
      </c>
      <c r="J44" s="652"/>
      <c r="K44" s="652"/>
      <c r="L44" s="668" t="s">
        <v>366</v>
      </c>
      <c r="M44" s="653" t="s">
        <v>367</v>
      </c>
      <c r="N44" s="652"/>
      <c r="O44" s="652" t="s">
        <v>372</v>
      </c>
      <c r="P44" s="649" t="s">
        <v>368</v>
      </c>
      <c r="Q44" s="650"/>
      <c r="R44" s="650"/>
      <c r="S44" s="651"/>
      <c r="T44" s="652" t="s">
        <v>366</v>
      </c>
      <c r="U44" s="649" t="s">
        <v>368</v>
      </c>
      <c r="V44" s="650"/>
      <c r="W44" s="650"/>
      <c r="X44" s="651"/>
      <c r="Y44" s="652" t="s">
        <v>366</v>
      </c>
      <c r="Z44" s="649" t="s">
        <v>368</v>
      </c>
      <c r="AA44" s="650"/>
      <c r="AB44" s="650"/>
      <c r="AC44" s="651"/>
      <c r="AD44" s="652" t="s">
        <v>366</v>
      </c>
      <c r="AE44" s="649" t="s">
        <v>368</v>
      </c>
      <c r="AF44" s="650"/>
      <c r="AG44" s="650"/>
      <c r="AH44" s="651"/>
      <c r="AI44" s="652" t="s">
        <v>366</v>
      </c>
      <c r="AJ44" s="649" t="s">
        <v>368</v>
      </c>
      <c r="AK44" s="650"/>
      <c r="AL44" s="650"/>
      <c r="AM44" s="651"/>
      <c r="AN44" s="652" t="s">
        <v>366</v>
      </c>
      <c r="AO44" s="649" t="s">
        <v>368</v>
      </c>
      <c r="AP44" s="650"/>
      <c r="AQ44" s="650"/>
      <c r="AR44" s="651"/>
      <c r="AS44" s="652" t="s">
        <v>366</v>
      </c>
      <c r="AT44" s="649" t="s">
        <v>368</v>
      </c>
      <c r="AU44" s="650"/>
      <c r="AV44" s="650"/>
      <c r="AW44" s="651"/>
      <c r="AX44" s="652" t="s">
        <v>366</v>
      </c>
      <c r="BA44" s="652" t="s">
        <v>366</v>
      </c>
    </row>
    <row r="45" spans="2:53">
      <c r="B45" s="652"/>
      <c r="C45" s="652"/>
      <c r="D45" s="652"/>
      <c r="E45" s="652" t="s">
        <v>373</v>
      </c>
      <c r="F45" s="652"/>
      <c r="G45" s="652"/>
      <c r="H45" s="669"/>
      <c r="I45" s="652" t="s">
        <v>373</v>
      </c>
      <c r="J45" s="652"/>
      <c r="K45" s="652"/>
      <c r="L45" s="669"/>
      <c r="M45" s="654"/>
      <c r="N45" s="652"/>
      <c r="O45" s="652"/>
      <c r="P45" s="649" t="s">
        <v>374</v>
      </c>
      <c r="Q45" s="650"/>
      <c r="R45" s="650"/>
      <c r="S45" s="651"/>
      <c r="T45" s="652"/>
      <c r="U45" s="649" t="s">
        <v>374</v>
      </c>
      <c r="V45" s="650"/>
      <c r="W45" s="650"/>
      <c r="X45" s="651"/>
      <c r="Y45" s="652"/>
      <c r="Z45" s="649" t="s">
        <v>374</v>
      </c>
      <c r="AA45" s="650"/>
      <c r="AB45" s="650"/>
      <c r="AC45" s="651"/>
      <c r="AD45" s="652"/>
      <c r="AE45" s="649" t="s">
        <v>374</v>
      </c>
      <c r="AF45" s="650"/>
      <c r="AG45" s="650"/>
      <c r="AH45" s="651"/>
      <c r="AI45" s="652"/>
      <c r="AJ45" s="649" t="s">
        <v>374</v>
      </c>
      <c r="AK45" s="650"/>
      <c r="AL45" s="650"/>
      <c r="AM45" s="651"/>
      <c r="AN45" s="652"/>
      <c r="AO45" s="649" t="s">
        <v>374</v>
      </c>
      <c r="AP45" s="650"/>
      <c r="AQ45" s="650"/>
      <c r="AR45" s="651"/>
      <c r="AS45" s="652"/>
      <c r="AT45" s="649" t="s">
        <v>374</v>
      </c>
      <c r="AU45" s="650"/>
      <c r="AV45" s="650"/>
      <c r="AW45" s="651"/>
      <c r="AX45" s="652"/>
      <c r="BA45" s="652"/>
    </row>
    <row r="46" spans="2:53">
      <c r="B46" s="652"/>
      <c r="C46" s="652"/>
      <c r="D46" s="652"/>
      <c r="E46" s="378" t="s">
        <v>375</v>
      </c>
      <c r="F46" s="378" t="s">
        <v>376</v>
      </c>
      <c r="G46" s="378" t="s">
        <v>377</v>
      </c>
      <c r="H46" s="670"/>
      <c r="I46" s="378" t="s">
        <v>375</v>
      </c>
      <c r="J46" s="378" t="s">
        <v>376</v>
      </c>
      <c r="K46" s="378" t="s">
        <v>377</v>
      </c>
      <c r="L46" s="670"/>
      <c r="M46" s="655"/>
      <c r="N46" s="652"/>
      <c r="O46" s="652"/>
      <c r="P46" s="378" t="s">
        <v>375</v>
      </c>
      <c r="Q46" s="378" t="s">
        <v>376</v>
      </c>
      <c r="R46" s="378" t="s">
        <v>377</v>
      </c>
      <c r="S46" s="378" t="s">
        <v>367</v>
      </c>
      <c r="T46" s="652"/>
      <c r="U46" s="378" t="s">
        <v>375</v>
      </c>
      <c r="V46" s="378" t="s">
        <v>376</v>
      </c>
      <c r="W46" s="378" t="s">
        <v>377</v>
      </c>
      <c r="X46" s="378" t="s">
        <v>367</v>
      </c>
      <c r="Y46" s="652"/>
      <c r="Z46" s="378" t="s">
        <v>375</v>
      </c>
      <c r="AA46" s="378" t="s">
        <v>376</v>
      </c>
      <c r="AB46" s="378" t="s">
        <v>377</v>
      </c>
      <c r="AC46" s="378" t="s">
        <v>367</v>
      </c>
      <c r="AD46" s="652"/>
      <c r="AE46" s="378" t="s">
        <v>375</v>
      </c>
      <c r="AF46" s="378" t="s">
        <v>376</v>
      </c>
      <c r="AG46" s="378" t="s">
        <v>377</v>
      </c>
      <c r="AH46" s="378" t="s">
        <v>367</v>
      </c>
      <c r="AI46" s="652"/>
      <c r="AJ46" s="378" t="s">
        <v>375</v>
      </c>
      <c r="AK46" s="378" t="s">
        <v>376</v>
      </c>
      <c r="AL46" s="378" t="s">
        <v>377</v>
      </c>
      <c r="AM46" s="378" t="s">
        <v>367</v>
      </c>
      <c r="AN46" s="652"/>
      <c r="AO46" s="378" t="s">
        <v>375</v>
      </c>
      <c r="AP46" s="378" t="s">
        <v>376</v>
      </c>
      <c r="AQ46" s="378" t="s">
        <v>377</v>
      </c>
      <c r="AR46" s="378" t="s">
        <v>367</v>
      </c>
      <c r="AS46" s="652"/>
      <c r="AT46" s="378" t="s">
        <v>375</v>
      </c>
      <c r="AU46" s="378" t="s">
        <v>376</v>
      </c>
      <c r="AV46" s="378" t="s">
        <v>377</v>
      </c>
      <c r="AW46" s="378" t="s">
        <v>367</v>
      </c>
      <c r="AX46" s="652"/>
      <c r="AZ46" s="373" t="s">
        <v>367</v>
      </c>
      <c r="BA46" s="652"/>
    </row>
    <row r="47" spans="2:53">
      <c r="B47" s="695" t="s">
        <v>471</v>
      </c>
      <c r="C47" s="380">
        <v>1</v>
      </c>
      <c r="D47" s="529" t="s">
        <v>571</v>
      </c>
      <c r="E47" s="530">
        <v>10</v>
      </c>
      <c r="F47" s="530">
        <v>1500</v>
      </c>
      <c r="G47" s="531">
        <v>150</v>
      </c>
      <c r="H47" s="691">
        <f>AVERAGE(G47:G61)</f>
        <v>127.5</v>
      </c>
      <c r="I47" s="381">
        <f t="shared" ref="I47:I61" si="30">IFERROR(AVERAGE(P47,U47,Z47,AE47,AJ47,AO47,AT47),"-")</f>
        <v>10</v>
      </c>
      <c r="J47" s="381">
        <f t="shared" ref="J47:J61" si="31">IFERROR(AVERAGE(Q47,V47,AA47,AF47,AK47,AP47,AU47),"-")</f>
        <v>1445.9428571428564</v>
      </c>
      <c r="K47" s="199">
        <f t="shared" ref="K47:K61" si="32">IFERROR(AVERAGE(R47,W47,AB47,AG47,AL47,AQ47,AV47),"-")</f>
        <v>144.59428571428563</v>
      </c>
      <c r="L47" s="633">
        <f>IFERROR(AVERAGE(K47:K61),"-")</f>
        <v>139.53764773687845</v>
      </c>
      <c r="M47" s="418">
        <f>RANK(K47, K$47:$K$61)</f>
        <v>1</v>
      </c>
      <c r="N47" s="652"/>
      <c r="O47" s="652"/>
      <c r="P47" s="555">
        <v>10</v>
      </c>
      <c r="Q47" s="559">
        <v>1388.0000000000014</v>
      </c>
      <c r="R47" s="559">
        <v>138.80000000000013</v>
      </c>
      <c r="S47" s="557">
        <f t="shared" ref="S47:S61" si="33">RANK(R47, R$47:R$61)</f>
        <v>3</v>
      </c>
      <c r="T47" s="661">
        <f t="shared" ref="T47" si="34">AVERAGE(R47:R61)</f>
        <v>139.68351648351648</v>
      </c>
      <c r="U47" s="555">
        <v>10</v>
      </c>
      <c r="V47" s="559">
        <v>1622.3999999999955</v>
      </c>
      <c r="W47" s="559">
        <v>162.23999999999955</v>
      </c>
      <c r="X47" s="557">
        <f t="shared" ref="X47:X61" si="35">RANK(W47, W$47:W$61)</f>
        <v>1</v>
      </c>
      <c r="Y47" s="661">
        <f t="shared" ref="Y47" si="36">AVERAGE(W47:W61)</f>
        <v>144.63692307692293</v>
      </c>
      <c r="Z47" s="555">
        <v>10</v>
      </c>
      <c r="AA47" s="559">
        <v>1362.0000000000011</v>
      </c>
      <c r="AB47" s="559">
        <v>136.2000000000001</v>
      </c>
      <c r="AC47" s="557">
        <f t="shared" ref="AC47:AC61" si="37">RANK(AB47, AB$47:AB$61)</f>
        <v>4</v>
      </c>
      <c r="AD47" s="661">
        <f t="shared" ref="AD47" si="38">AVERAGE(AB47:AB61)</f>
        <v>138.89065934065928</v>
      </c>
      <c r="AE47" s="555">
        <v>10</v>
      </c>
      <c r="AF47" s="559">
        <v>1360.7999999999961</v>
      </c>
      <c r="AG47" s="559">
        <v>136.07999999999961</v>
      </c>
      <c r="AH47" s="557">
        <f t="shared" ref="AH47:AH61" si="39">RANK(AG47, AG$47:AG$61)</f>
        <v>1</v>
      </c>
      <c r="AI47" s="661">
        <f t="shared" ref="AI47" si="40">AVERAGE(AG47:AG61)</f>
        <v>131.98933835395357</v>
      </c>
      <c r="AJ47" s="555">
        <v>10</v>
      </c>
      <c r="AK47" s="559">
        <v>1363.2000000000048</v>
      </c>
      <c r="AL47" s="559">
        <v>136.32000000000048</v>
      </c>
      <c r="AM47" s="557">
        <f t="shared" ref="AM47:AM61" si="41">RANK(AL47, AL$47:AL$61)</f>
        <v>3</v>
      </c>
      <c r="AN47" s="661">
        <f t="shared" ref="AN47" si="42">AVERAGE(AL47:AL61)</f>
        <v>137.39188811188836</v>
      </c>
      <c r="AO47" s="555">
        <v>10</v>
      </c>
      <c r="AP47" s="559">
        <v>1410.0000000000014</v>
      </c>
      <c r="AQ47" s="559">
        <v>141.00000000000014</v>
      </c>
      <c r="AR47" s="557">
        <f t="shared" ref="AR47:AR61" si="43">RANK(AQ47, AQ$47:AQ$61)</f>
        <v>3</v>
      </c>
      <c r="AS47" s="661">
        <f t="shared" ref="AS47" si="44">AVERAGE(AQ47:AQ61)</f>
        <v>140.07692307692307</v>
      </c>
      <c r="AT47" s="555">
        <v>10</v>
      </c>
      <c r="AU47" s="559">
        <v>1615.1999999999955</v>
      </c>
      <c r="AV47" s="559">
        <v>161.51999999999956</v>
      </c>
      <c r="AW47" s="557">
        <f t="shared" ref="AW47:AW61" si="45">RANK(AV47, AV$47:AV$61)</f>
        <v>1</v>
      </c>
      <c r="AX47" s="661">
        <f t="shared" ref="AX47" si="46">AVERAGE(AV47:AV61)</f>
        <v>144.09428571428552</v>
      </c>
      <c r="AZ47" s="375" t="e">
        <f t="shared" ref="AZ47:AZ61" si="47">RANK(AY47, AY$47:AY$61)</f>
        <v>#N/A</v>
      </c>
      <c r="BA47" s="661" t="e">
        <f t="shared" ref="BA47" si="48">AVERAGE(AY47:AY61)</f>
        <v>#DIV/0!</v>
      </c>
    </row>
    <row r="48" spans="2:53">
      <c r="B48" s="660"/>
      <c r="C48" s="380">
        <v>2</v>
      </c>
      <c r="D48" s="530" t="s">
        <v>591</v>
      </c>
      <c r="E48" s="530">
        <v>15</v>
      </c>
      <c r="F48" s="530">
        <v>1800</v>
      </c>
      <c r="G48" s="531">
        <v>120</v>
      </c>
      <c r="H48" s="692"/>
      <c r="I48" s="381">
        <f t="shared" si="30"/>
        <v>13</v>
      </c>
      <c r="J48" s="381">
        <f t="shared" si="31"/>
        <v>1801.0635079206497</v>
      </c>
      <c r="K48" s="199">
        <f t="shared" si="32"/>
        <v>138.54334676312689</v>
      </c>
      <c r="L48" s="634"/>
      <c r="M48" s="418">
        <f>RANK(K48, K$47:$K$61)</f>
        <v>3</v>
      </c>
      <c r="N48" s="652"/>
      <c r="O48" s="652"/>
      <c r="P48" s="555">
        <v>13</v>
      </c>
      <c r="Q48" s="559">
        <v>1787.1428571428576</v>
      </c>
      <c r="R48" s="559">
        <v>137.4725274725275</v>
      </c>
      <c r="S48" s="557">
        <f t="shared" si="33"/>
        <v>4</v>
      </c>
      <c r="T48" s="662"/>
      <c r="U48" s="555">
        <v>13</v>
      </c>
      <c r="V48" s="559">
        <v>1799.9999999999982</v>
      </c>
      <c r="W48" s="559">
        <v>138.46153846153831</v>
      </c>
      <c r="X48" s="557">
        <f t="shared" si="35"/>
        <v>3</v>
      </c>
      <c r="Y48" s="662"/>
      <c r="Z48" s="555">
        <v>13</v>
      </c>
      <c r="AA48" s="559">
        <v>1780.2857142857126</v>
      </c>
      <c r="AB48" s="559">
        <v>136.94505494505481</v>
      </c>
      <c r="AC48" s="557">
        <f t="shared" si="37"/>
        <v>3</v>
      </c>
      <c r="AD48" s="662"/>
      <c r="AE48" s="555">
        <v>13</v>
      </c>
      <c r="AF48" s="559">
        <v>1694.7692307692287</v>
      </c>
      <c r="AG48" s="559">
        <v>130.36686390532529</v>
      </c>
      <c r="AH48" s="557">
        <f t="shared" si="39"/>
        <v>3</v>
      </c>
      <c r="AI48" s="662"/>
      <c r="AJ48" s="555">
        <v>13</v>
      </c>
      <c r="AK48" s="559">
        <v>1881.8181818181831</v>
      </c>
      <c r="AL48" s="559">
        <v>144.75524475524486</v>
      </c>
      <c r="AM48" s="557">
        <f t="shared" si="41"/>
        <v>1</v>
      </c>
      <c r="AN48" s="662"/>
      <c r="AO48" s="555">
        <v>13</v>
      </c>
      <c r="AP48" s="559">
        <v>1853.9999999999982</v>
      </c>
      <c r="AQ48" s="559">
        <v>142.61538461538447</v>
      </c>
      <c r="AR48" s="557">
        <f t="shared" si="43"/>
        <v>2</v>
      </c>
      <c r="AS48" s="662"/>
      <c r="AT48" s="555">
        <v>13</v>
      </c>
      <c r="AU48" s="559">
        <v>1809.4285714285695</v>
      </c>
      <c r="AV48" s="559">
        <v>139.18681318681303</v>
      </c>
      <c r="AW48" s="557">
        <f t="shared" si="45"/>
        <v>3</v>
      </c>
      <c r="AX48" s="662"/>
      <c r="AZ48" s="557" t="e">
        <f t="shared" si="47"/>
        <v>#N/A</v>
      </c>
      <c r="BA48" s="662"/>
    </row>
    <row r="49" spans="2:53">
      <c r="B49" s="660"/>
      <c r="C49" s="380">
        <v>3</v>
      </c>
      <c r="D49" s="530" t="s">
        <v>592</v>
      </c>
      <c r="E49" s="530">
        <v>15</v>
      </c>
      <c r="F49" s="530">
        <v>1800</v>
      </c>
      <c r="G49" s="531">
        <v>120</v>
      </c>
      <c r="H49" s="692"/>
      <c r="I49" s="381">
        <f t="shared" si="30"/>
        <v>13</v>
      </c>
      <c r="J49" s="381">
        <f t="shared" si="31"/>
        <v>1833.0051948051951</v>
      </c>
      <c r="K49" s="199">
        <f t="shared" si="32"/>
        <v>141.00039960039959</v>
      </c>
      <c r="L49" s="634"/>
      <c r="M49" s="418">
        <f>RANK(K49, K$47:$K$61)</f>
        <v>2</v>
      </c>
      <c r="N49" s="652"/>
      <c r="O49" s="652"/>
      <c r="P49" s="555">
        <v>13</v>
      </c>
      <c r="Q49" s="559">
        <v>1817.9999999999991</v>
      </c>
      <c r="R49" s="559">
        <v>139.84615384615378</v>
      </c>
      <c r="S49" s="557">
        <f t="shared" si="33"/>
        <v>2</v>
      </c>
      <c r="T49" s="662"/>
      <c r="U49" s="555">
        <v>13</v>
      </c>
      <c r="V49" s="559">
        <v>1868.9999999999991</v>
      </c>
      <c r="W49" s="559">
        <v>143.76923076923069</v>
      </c>
      <c r="X49" s="557">
        <f t="shared" si="35"/>
        <v>2</v>
      </c>
      <c r="Y49" s="662"/>
      <c r="Z49" s="555">
        <v>13</v>
      </c>
      <c r="AA49" s="559">
        <v>1831.9999999999991</v>
      </c>
      <c r="AB49" s="559">
        <v>140.92307692307685</v>
      </c>
      <c r="AC49" s="557">
        <f t="shared" si="37"/>
        <v>2</v>
      </c>
      <c r="AD49" s="662"/>
      <c r="AE49" s="555">
        <v>13</v>
      </c>
      <c r="AF49" s="559">
        <v>1711.6363636363646</v>
      </c>
      <c r="AG49" s="559">
        <v>131.66433566433574</v>
      </c>
      <c r="AH49" s="557">
        <f t="shared" si="39"/>
        <v>2</v>
      </c>
      <c r="AI49" s="662"/>
      <c r="AJ49" s="555">
        <v>13</v>
      </c>
      <c r="AK49" s="559">
        <v>1832.4000000000035</v>
      </c>
      <c r="AL49" s="559">
        <v>140.95384615384643</v>
      </c>
      <c r="AM49" s="557">
        <f t="shared" si="41"/>
        <v>2</v>
      </c>
      <c r="AN49" s="662"/>
      <c r="AO49" s="555">
        <v>13</v>
      </c>
      <c r="AP49" s="559">
        <v>1901.9999999999991</v>
      </c>
      <c r="AQ49" s="559">
        <v>146.30769230769224</v>
      </c>
      <c r="AR49" s="557">
        <f t="shared" si="43"/>
        <v>1</v>
      </c>
      <c r="AS49" s="662"/>
      <c r="AT49" s="555">
        <v>13</v>
      </c>
      <c r="AU49" s="559">
        <v>1865.9999999999991</v>
      </c>
      <c r="AV49" s="559">
        <v>143.53846153846146</v>
      </c>
      <c r="AW49" s="557">
        <f t="shared" si="45"/>
        <v>2</v>
      </c>
      <c r="AX49" s="662"/>
      <c r="AZ49" s="557" t="e">
        <f t="shared" si="47"/>
        <v>#N/A</v>
      </c>
      <c r="BA49" s="662"/>
    </row>
    <row r="50" spans="2:53">
      <c r="B50" s="660"/>
      <c r="C50" s="380">
        <v>4</v>
      </c>
      <c r="D50" s="530" t="s">
        <v>713</v>
      </c>
      <c r="E50" s="530">
        <v>18</v>
      </c>
      <c r="F50" s="530">
        <v>1800</v>
      </c>
      <c r="G50" s="531">
        <v>120</v>
      </c>
      <c r="H50" s="692"/>
      <c r="I50" s="381">
        <f t="shared" si="30"/>
        <v>13</v>
      </c>
      <c r="J50" s="381">
        <f t="shared" si="31"/>
        <v>1742.1632653061217</v>
      </c>
      <c r="K50" s="199">
        <f t="shared" si="32"/>
        <v>134.01255886970165</v>
      </c>
      <c r="L50" s="634"/>
      <c r="M50" s="418">
        <f>RANK(K50, K$47:$K$61)</f>
        <v>4</v>
      </c>
      <c r="N50" s="652"/>
      <c r="O50" s="652"/>
      <c r="P50" s="555">
        <v>13</v>
      </c>
      <c r="Q50" s="559">
        <v>1853.9999999999993</v>
      </c>
      <c r="R50" s="559">
        <v>142.61538461538456</v>
      </c>
      <c r="S50" s="557">
        <f t="shared" si="33"/>
        <v>1</v>
      </c>
      <c r="T50" s="662"/>
      <c r="U50" s="555">
        <v>13</v>
      </c>
      <c r="V50" s="559">
        <v>1742.9999999999993</v>
      </c>
      <c r="W50" s="559">
        <v>134.07692307692304</v>
      </c>
      <c r="X50" s="557">
        <f t="shared" si="35"/>
        <v>4</v>
      </c>
      <c r="Y50" s="662"/>
      <c r="Z50" s="555">
        <v>13</v>
      </c>
      <c r="AA50" s="559">
        <v>1839.4285714285695</v>
      </c>
      <c r="AB50" s="559">
        <v>141.49450549450535</v>
      </c>
      <c r="AC50" s="557">
        <f t="shared" si="37"/>
        <v>1</v>
      </c>
      <c r="AD50" s="662"/>
      <c r="AE50" s="555">
        <v>13</v>
      </c>
      <c r="AF50" s="559">
        <v>1687.999999999997</v>
      </c>
      <c r="AG50" s="559">
        <v>129.84615384615361</v>
      </c>
      <c r="AH50" s="557">
        <f t="shared" si="39"/>
        <v>4</v>
      </c>
      <c r="AI50" s="662"/>
      <c r="AJ50" s="555">
        <v>13</v>
      </c>
      <c r="AK50" s="559">
        <v>1658.0000000000016</v>
      </c>
      <c r="AL50" s="559">
        <v>127.53846153846166</v>
      </c>
      <c r="AM50" s="557">
        <f t="shared" si="41"/>
        <v>4</v>
      </c>
      <c r="AN50" s="662"/>
      <c r="AO50" s="555">
        <v>13</v>
      </c>
      <c r="AP50" s="559">
        <v>1694.9999999999993</v>
      </c>
      <c r="AQ50" s="559">
        <v>130.38461538461533</v>
      </c>
      <c r="AR50" s="557">
        <f t="shared" si="43"/>
        <v>4</v>
      </c>
      <c r="AS50" s="662"/>
      <c r="AT50" s="555">
        <v>13</v>
      </c>
      <c r="AU50" s="559">
        <v>1717.714285714284</v>
      </c>
      <c r="AV50" s="559">
        <v>132.131868131868</v>
      </c>
      <c r="AW50" s="557">
        <f t="shared" si="45"/>
        <v>4</v>
      </c>
      <c r="AX50" s="662"/>
      <c r="AZ50" s="557" t="e">
        <f t="shared" si="47"/>
        <v>#N/A</v>
      </c>
      <c r="BA50" s="662"/>
    </row>
    <row r="51" spans="2:53">
      <c r="B51" s="660"/>
      <c r="C51" s="380">
        <v>5</v>
      </c>
      <c r="D51" s="530"/>
      <c r="E51" s="530"/>
      <c r="F51" s="530"/>
      <c r="G51" s="531"/>
      <c r="H51" s="692"/>
      <c r="I51" s="381" t="str">
        <f t="shared" si="30"/>
        <v>-</v>
      </c>
      <c r="J51" s="381" t="str">
        <f t="shared" si="31"/>
        <v>-</v>
      </c>
      <c r="K51" s="199" t="str">
        <f t="shared" si="32"/>
        <v>-</v>
      </c>
      <c r="L51" s="634"/>
      <c r="M51" s="418" t="e">
        <f>RANK(K51, K$47:$K$61)</f>
        <v>#VALUE!</v>
      </c>
      <c r="N51" s="652"/>
      <c r="O51" s="652"/>
      <c r="P51" s="555" t="s">
        <v>585</v>
      </c>
      <c r="Q51" s="559" t="s">
        <v>585</v>
      </c>
      <c r="R51" s="559" t="s">
        <v>585</v>
      </c>
      <c r="S51" s="557" t="e">
        <f t="shared" si="33"/>
        <v>#VALUE!</v>
      </c>
      <c r="T51" s="662"/>
      <c r="U51" s="555" t="s">
        <v>585</v>
      </c>
      <c r="V51" s="559" t="s">
        <v>585</v>
      </c>
      <c r="W51" s="559" t="s">
        <v>585</v>
      </c>
      <c r="X51" s="557" t="e">
        <f t="shared" si="35"/>
        <v>#VALUE!</v>
      </c>
      <c r="Y51" s="662"/>
      <c r="Z51" s="555" t="s">
        <v>585</v>
      </c>
      <c r="AA51" s="559" t="s">
        <v>585</v>
      </c>
      <c r="AB51" s="559" t="s">
        <v>585</v>
      </c>
      <c r="AC51" s="557" t="e">
        <f t="shared" si="37"/>
        <v>#VALUE!</v>
      </c>
      <c r="AD51" s="662"/>
      <c r="AE51" s="555" t="s">
        <v>585</v>
      </c>
      <c r="AF51" s="559" t="s">
        <v>585</v>
      </c>
      <c r="AG51" s="559" t="s">
        <v>585</v>
      </c>
      <c r="AH51" s="557" t="e">
        <f t="shared" si="39"/>
        <v>#VALUE!</v>
      </c>
      <c r="AI51" s="662"/>
      <c r="AJ51" s="555" t="s">
        <v>585</v>
      </c>
      <c r="AK51" s="559" t="s">
        <v>585</v>
      </c>
      <c r="AL51" s="559" t="s">
        <v>585</v>
      </c>
      <c r="AM51" s="557" t="e">
        <f t="shared" si="41"/>
        <v>#VALUE!</v>
      </c>
      <c r="AN51" s="662"/>
      <c r="AO51" s="555" t="s">
        <v>585</v>
      </c>
      <c r="AP51" s="559" t="s">
        <v>585</v>
      </c>
      <c r="AQ51" s="559" t="s">
        <v>585</v>
      </c>
      <c r="AR51" s="557" t="e">
        <f t="shared" si="43"/>
        <v>#VALUE!</v>
      </c>
      <c r="AS51" s="662"/>
      <c r="AT51" s="555" t="s">
        <v>585</v>
      </c>
      <c r="AU51" s="559" t="s">
        <v>585</v>
      </c>
      <c r="AV51" s="559" t="s">
        <v>585</v>
      </c>
      <c r="AW51" s="557" t="e">
        <f t="shared" si="45"/>
        <v>#VALUE!</v>
      </c>
      <c r="AX51" s="662"/>
      <c r="AZ51" s="557" t="e">
        <f t="shared" si="47"/>
        <v>#N/A</v>
      </c>
      <c r="BA51" s="662"/>
    </row>
    <row r="52" spans="2:53">
      <c r="B52" s="660"/>
      <c r="C52" s="380">
        <v>6</v>
      </c>
      <c r="D52" s="530"/>
      <c r="E52" s="530"/>
      <c r="F52" s="530"/>
      <c r="G52" s="531"/>
      <c r="H52" s="692"/>
      <c r="I52" s="381" t="str">
        <f t="shared" si="30"/>
        <v>-</v>
      </c>
      <c r="J52" s="381" t="str">
        <f t="shared" si="31"/>
        <v>-</v>
      </c>
      <c r="K52" s="199" t="str">
        <f t="shared" si="32"/>
        <v>-</v>
      </c>
      <c r="L52" s="634"/>
      <c r="M52" s="418" t="e">
        <f>RANK(K52, K$47:$K$61)</f>
        <v>#VALUE!</v>
      </c>
      <c r="N52" s="652"/>
      <c r="O52" s="652"/>
      <c r="P52" s="555" t="s">
        <v>585</v>
      </c>
      <c r="Q52" s="559" t="s">
        <v>585</v>
      </c>
      <c r="R52" s="559" t="s">
        <v>585</v>
      </c>
      <c r="S52" s="557" t="e">
        <f t="shared" si="33"/>
        <v>#VALUE!</v>
      </c>
      <c r="T52" s="662"/>
      <c r="U52" s="555" t="s">
        <v>585</v>
      </c>
      <c r="V52" s="559" t="s">
        <v>585</v>
      </c>
      <c r="W52" s="559" t="s">
        <v>585</v>
      </c>
      <c r="X52" s="557" t="e">
        <f t="shared" si="35"/>
        <v>#VALUE!</v>
      </c>
      <c r="Y52" s="662"/>
      <c r="Z52" s="555" t="s">
        <v>585</v>
      </c>
      <c r="AA52" s="559" t="s">
        <v>585</v>
      </c>
      <c r="AB52" s="559" t="s">
        <v>585</v>
      </c>
      <c r="AC52" s="557" t="e">
        <f t="shared" si="37"/>
        <v>#VALUE!</v>
      </c>
      <c r="AD52" s="662"/>
      <c r="AE52" s="555" t="s">
        <v>585</v>
      </c>
      <c r="AF52" s="559" t="s">
        <v>585</v>
      </c>
      <c r="AG52" s="559" t="s">
        <v>585</v>
      </c>
      <c r="AH52" s="557" t="e">
        <f t="shared" si="39"/>
        <v>#VALUE!</v>
      </c>
      <c r="AI52" s="662"/>
      <c r="AJ52" s="555" t="s">
        <v>585</v>
      </c>
      <c r="AK52" s="559" t="s">
        <v>585</v>
      </c>
      <c r="AL52" s="559" t="s">
        <v>585</v>
      </c>
      <c r="AM52" s="557" t="e">
        <f t="shared" si="41"/>
        <v>#VALUE!</v>
      </c>
      <c r="AN52" s="662"/>
      <c r="AO52" s="555" t="s">
        <v>585</v>
      </c>
      <c r="AP52" s="559" t="s">
        <v>585</v>
      </c>
      <c r="AQ52" s="559" t="s">
        <v>585</v>
      </c>
      <c r="AR52" s="557" t="e">
        <f t="shared" si="43"/>
        <v>#VALUE!</v>
      </c>
      <c r="AS52" s="662"/>
      <c r="AT52" s="555" t="s">
        <v>585</v>
      </c>
      <c r="AU52" s="559" t="s">
        <v>585</v>
      </c>
      <c r="AV52" s="559" t="s">
        <v>585</v>
      </c>
      <c r="AW52" s="557" t="e">
        <f t="shared" si="45"/>
        <v>#VALUE!</v>
      </c>
      <c r="AX52" s="662"/>
      <c r="AZ52" s="557" t="e">
        <f t="shared" si="47"/>
        <v>#N/A</v>
      </c>
      <c r="BA52" s="662"/>
    </row>
    <row r="53" spans="2:53">
      <c r="B53" s="660"/>
      <c r="C53" s="380">
        <v>7</v>
      </c>
      <c r="D53" s="530"/>
      <c r="E53" s="530"/>
      <c r="F53" s="530"/>
      <c r="G53" s="531"/>
      <c r="H53" s="692"/>
      <c r="I53" s="381" t="str">
        <f t="shared" si="30"/>
        <v>-</v>
      </c>
      <c r="J53" s="381" t="str">
        <f t="shared" si="31"/>
        <v>-</v>
      </c>
      <c r="K53" s="199" t="str">
        <f t="shared" si="32"/>
        <v>-</v>
      </c>
      <c r="L53" s="634"/>
      <c r="M53" s="418" t="e">
        <f>RANK(K53, K$47:$K$61)</f>
        <v>#VALUE!</v>
      </c>
      <c r="N53" s="652"/>
      <c r="O53" s="652"/>
      <c r="P53" s="555" t="s">
        <v>585</v>
      </c>
      <c r="Q53" s="559" t="s">
        <v>585</v>
      </c>
      <c r="R53" s="559" t="s">
        <v>585</v>
      </c>
      <c r="S53" s="557" t="e">
        <f t="shared" si="33"/>
        <v>#VALUE!</v>
      </c>
      <c r="T53" s="662"/>
      <c r="U53" s="555" t="s">
        <v>585</v>
      </c>
      <c r="V53" s="559" t="s">
        <v>585</v>
      </c>
      <c r="W53" s="559" t="s">
        <v>585</v>
      </c>
      <c r="X53" s="557" t="e">
        <f t="shared" si="35"/>
        <v>#VALUE!</v>
      </c>
      <c r="Y53" s="662"/>
      <c r="Z53" s="555" t="s">
        <v>585</v>
      </c>
      <c r="AA53" s="559" t="s">
        <v>585</v>
      </c>
      <c r="AB53" s="559" t="s">
        <v>585</v>
      </c>
      <c r="AC53" s="557" t="e">
        <f t="shared" si="37"/>
        <v>#VALUE!</v>
      </c>
      <c r="AD53" s="662"/>
      <c r="AE53" s="555" t="s">
        <v>585</v>
      </c>
      <c r="AF53" s="559" t="s">
        <v>585</v>
      </c>
      <c r="AG53" s="559" t="s">
        <v>585</v>
      </c>
      <c r="AH53" s="557" t="e">
        <f t="shared" si="39"/>
        <v>#VALUE!</v>
      </c>
      <c r="AI53" s="662"/>
      <c r="AJ53" s="555" t="s">
        <v>585</v>
      </c>
      <c r="AK53" s="559" t="s">
        <v>585</v>
      </c>
      <c r="AL53" s="559" t="s">
        <v>585</v>
      </c>
      <c r="AM53" s="557" t="e">
        <f t="shared" si="41"/>
        <v>#VALUE!</v>
      </c>
      <c r="AN53" s="662"/>
      <c r="AO53" s="555" t="s">
        <v>585</v>
      </c>
      <c r="AP53" s="559" t="s">
        <v>585</v>
      </c>
      <c r="AQ53" s="559" t="s">
        <v>585</v>
      </c>
      <c r="AR53" s="557" t="e">
        <f t="shared" si="43"/>
        <v>#VALUE!</v>
      </c>
      <c r="AS53" s="662"/>
      <c r="AT53" s="555" t="s">
        <v>585</v>
      </c>
      <c r="AU53" s="559" t="s">
        <v>585</v>
      </c>
      <c r="AV53" s="559" t="s">
        <v>585</v>
      </c>
      <c r="AW53" s="557" t="e">
        <f t="shared" si="45"/>
        <v>#VALUE!</v>
      </c>
      <c r="AX53" s="662"/>
      <c r="AZ53" s="557" t="e">
        <f t="shared" si="47"/>
        <v>#N/A</v>
      </c>
      <c r="BA53" s="662"/>
    </row>
    <row r="54" spans="2:53">
      <c r="B54" s="660"/>
      <c r="C54" s="380">
        <v>8</v>
      </c>
      <c r="D54" s="530"/>
      <c r="E54" s="530"/>
      <c r="F54" s="530"/>
      <c r="G54" s="531"/>
      <c r="H54" s="692"/>
      <c r="I54" s="381" t="str">
        <f t="shared" si="30"/>
        <v>-</v>
      </c>
      <c r="J54" s="381" t="str">
        <f t="shared" si="31"/>
        <v>-</v>
      </c>
      <c r="K54" s="199" t="str">
        <f t="shared" si="32"/>
        <v>-</v>
      </c>
      <c r="L54" s="634"/>
      <c r="M54" s="418" t="e">
        <f>RANK(K54, K$47:$K$61)</f>
        <v>#VALUE!</v>
      </c>
      <c r="N54" s="652"/>
      <c r="O54" s="652"/>
      <c r="P54" s="555" t="s">
        <v>585</v>
      </c>
      <c r="Q54" s="559" t="s">
        <v>585</v>
      </c>
      <c r="R54" s="559" t="s">
        <v>585</v>
      </c>
      <c r="S54" s="557" t="e">
        <f t="shared" si="33"/>
        <v>#VALUE!</v>
      </c>
      <c r="T54" s="662"/>
      <c r="U54" s="555" t="s">
        <v>585</v>
      </c>
      <c r="V54" s="559" t="s">
        <v>585</v>
      </c>
      <c r="W54" s="559" t="s">
        <v>585</v>
      </c>
      <c r="X54" s="557" t="e">
        <f t="shared" si="35"/>
        <v>#VALUE!</v>
      </c>
      <c r="Y54" s="662"/>
      <c r="Z54" s="555" t="s">
        <v>585</v>
      </c>
      <c r="AA54" s="559" t="s">
        <v>585</v>
      </c>
      <c r="AB54" s="559" t="s">
        <v>585</v>
      </c>
      <c r="AC54" s="557" t="e">
        <f t="shared" si="37"/>
        <v>#VALUE!</v>
      </c>
      <c r="AD54" s="662"/>
      <c r="AE54" s="555" t="s">
        <v>585</v>
      </c>
      <c r="AF54" s="559" t="s">
        <v>585</v>
      </c>
      <c r="AG54" s="559" t="s">
        <v>585</v>
      </c>
      <c r="AH54" s="557" t="e">
        <f t="shared" si="39"/>
        <v>#VALUE!</v>
      </c>
      <c r="AI54" s="662"/>
      <c r="AJ54" s="555" t="s">
        <v>585</v>
      </c>
      <c r="AK54" s="559" t="s">
        <v>585</v>
      </c>
      <c r="AL54" s="559" t="s">
        <v>585</v>
      </c>
      <c r="AM54" s="557" t="e">
        <f t="shared" si="41"/>
        <v>#VALUE!</v>
      </c>
      <c r="AN54" s="662"/>
      <c r="AO54" s="555" t="s">
        <v>585</v>
      </c>
      <c r="AP54" s="559" t="s">
        <v>585</v>
      </c>
      <c r="AQ54" s="559" t="s">
        <v>585</v>
      </c>
      <c r="AR54" s="557" t="e">
        <f t="shared" si="43"/>
        <v>#VALUE!</v>
      </c>
      <c r="AS54" s="662"/>
      <c r="AT54" s="555" t="s">
        <v>585</v>
      </c>
      <c r="AU54" s="559" t="s">
        <v>585</v>
      </c>
      <c r="AV54" s="559" t="s">
        <v>585</v>
      </c>
      <c r="AW54" s="557" t="e">
        <f t="shared" si="45"/>
        <v>#VALUE!</v>
      </c>
      <c r="AX54" s="662"/>
      <c r="AZ54" s="557" t="e">
        <f t="shared" si="47"/>
        <v>#N/A</v>
      </c>
      <c r="BA54" s="662"/>
    </row>
    <row r="55" spans="2:53">
      <c r="B55" s="660"/>
      <c r="C55" s="380">
        <v>9</v>
      </c>
      <c r="D55" s="530"/>
      <c r="E55" s="530"/>
      <c r="F55" s="530"/>
      <c r="G55" s="531"/>
      <c r="H55" s="692"/>
      <c r="I55" s="381" t="str">
        <f t="shared" si="30"/>
        <v>-</v>
      </c>
      <c r="J55" s="381" t="str">
        <f t="shared" si="31"/>
        <v>-</v>
      </c>
      <c r="K55" s="199" t="str">
        <f t="shared" si="32"/>
        <v>-</v>
      </c>
      <c r="L55" s="634"/>
      <c r="M55" s="418" t="e">
        <f>RANK(K55, K$47:$K$61)</f>
        <v>#VALUE!</v>
      </c>
      <c r="N55" s="652"/>
      <c r="O55" s="652"/>
      <c r="P55" s="555" t="s">
        <v>585</v>
      </c>
      <c r="Q55" s="559" t="s">
        <v>585</v>
      </c>
      <c r="R55" s="559" t="s">
        <v>585</v>
      </c>
      <c r="S55" s="557" t="e">
        <f t="shared" si="33"/>
        <v>#VALUE!</v>
      </c>
      <c r="T55" s="662"/>
      <c r="U55" s="555" t="s">
        <v>585</v>
      </c>
      <c r="V55" s="559" t="s">
        <v>585</v>
      </c>
      <c r="W55" s="559" t="s">
        <v>585</v>
      </c>
      <c r="X55" s="557" t="e">
        <f t="shared" si="35"/>
        <v>#VALUE!</v>
      </c>
      <c r="Y55" s="662"/>
      <c r="Z55" s="555" t="s">
        <v>585</v>
      </c>
      <c r="AA55" s="559" t="s">
        <v>585</v>
      </c>
      <c r="AB55" s="559" t="s">
        <v>585</v>
      </c>
      <c r="AC55" s="557" t="e">
        <f t="shared" si="37"/>
        <v>#VALUE!</v>
      </c>
      <c r="AD55" s="662"/>
      <c r="AE55" s="555" t="s">
        <v>585</v>
      </c>
      <c r="AF55" s="559" t="s">
        <v>585</v>
      </c>
      <c r="AG55" s="559" t="s">
        <v>585</v>
      </c>
      <c r="AH55" s="557" t="e">
        <f t="shared" si="39"/>
        <v>#VALUE!</v>
      </c>
      <c r="AI55" s="662"/>
      <c r="AJ55" s="555" t="s">
        <v>585</v>
      </c>
      <c r="AK55" s="559" t="s">
        <v>585</v>
      </c>
      <c r="AL55" s="559" t="s">
        <v>585</v>
      </c>
      <c r="AM55" s="557" t="e">
        <f t="shared" si="41"/>
        <v>#VALUE!</v>
      </c>
      <c r="AN55" s="662"/>
      <c r="AO55" s="555" t="s">
        <v>585</v>
      </c>
      <c r="AP55" s="559" t="s">
        <v>585</v>
      </c>
      <c r="AQ55" s="559" t="s">
        <v>585</v>
      </c>
      <c r="AR55" s="557" t="e">
        <f t="shared" si="43"/>
        <v>#VALUE!</v>
      </c>
      <c r="AS55" s="662"/>
      <c r="AT55" s="555" t="s">
        <v>585</v>
      </c>
      <c r="AU55" s="559" t="s">
        <v>585</v>
      </c>
      <c r="AV55" s="559" t="s">
        <v>585</v>
      </c>
      <c r="AW55" s="557" t="e">
        <f t="shared" si="45"/>
        <v>#VALUE!</v>
      </c>
      <c r="AX55" s="662"/>
      <c r="AZ55" s="557" t="e">
        <f t="shared" si="47"/>
        <v>#N/A</v>
      </c>
      <c r="BA55" s="662"/>
    </row>
    <row r="56" spans="2:53">
      <c r="B56" s="660"/>
      <c r="C56" s="380">
        <v>10</v>
      </c>
      <c r="D56" s="530"/>
      <c r="E56" s="530"/>
      <c r="F56" s="530"/>
      <c r="G56" s="531"/>
      <c r="H56" s="692"/>
      <c r="I56" s="381" t="str">
        <f t="shared" si="30"/>
        <v>-</v>
      </c>
      <c r="J56" s="381" t="str">
        <f t="shared" si="31"/>
        <v>-</v>
      </c>
      <c r="K56" s="199" t="str">
        <f t="shared" si="32"/>
        <v>-</v>
      </c>
      <c r="L56" s="634"/>
      <c r="M56" s="418" t="e">
        <f>RANK(K56, K$47:$K$61)</f>
        <v>#VALUE!</v>
      </c>
      <c r="N56" s="652"/>
      <c r="O56" s="652"/>
      <c r="P56" s="555" t="s">
        <v>585</v>
      </c>
      <c r="Q56" s="559" t="s">
        <v>585</v>
      </c>
      <c r="R56" s="559" t="s">
        <v>585</v>
      </c>
      <c r="S56" s="557" t="e">
        <f t="shared" si="33"/>
        <v>#VALUE!</v>
      </c>
      <c r="T56" s="662"/>
      <c r="U56" s="555" t="s">
        <v>585</v>
      </c>
      <c r="V56" s="559" t="s">
        <v>585</v>
      </c>
      <c r="W56" s="559" t="s">
        <v>585</v>
      </c>
      <c r="X56" s="557" t="e">
        <f t="shared" si="35"/>
        <v>#VALUE!</v>
      </c>
      <c r="Y56" s="662"/>
      <c r="Z56" s="555" t="s">
        <v>585</v>
      </c>
      <c r="AA56" s="559" t="s">
        <v>585</v>
      </c>
      <c r="AB56" s="559" t="s">
        <v>585</v>
      </c>
      <c r="AC56" s="557" t="e">
        <f t="shared" si="37"/>
        <v>#VALUE!</v>
      </c>
      <c r="AD56" s="662"/>
      <c r="AE56" s="555" t="s">
        <v>585</v>
      </c>
      <c r="AF56" s="559" t="s">
        <v>585</v>
      </c>
      <c r="AG56" s="559" t="s">
        <v>585</v>
      </c>
      <c r="AH56" s="557" t="e">
        <f t="shared" si="39"/>
        <v>#VALUE!</v>
      </c>
      <c r="AI56" s="662"/>
      <c r="AJ56" s="555" t="s">
        <v>585</v>
      </c>
      <c r="AK56" s="559" t="s">
        <v>585</v>
      </c>
      <c r="AL56" s="559" t="s">
        <v>585</v>
      </c>
      <c r="AM56" s="557" t="e">
        <f t="shared" si="41"/>
        <v>#VALUE!</v>
      </c>
      <c r="AN56" s="662"/>
      <c r="AO56" s="555" t="s">
        <v>585</v>
      </c>
      <c r="AP56" s="559" t="s">
        <v>585</v>
      </c>
      <c r="AQ56" s="559" t="s">
        <v>585</v>
      </c>
      <c r="AR56" s="557" t="e">
        <f t="shared" si="43"/>
        <v>#VALUE!</v>
      </c>
      <c r="AS56" s="662"/>
      <c r="AT56" s="555" t="s">
        <v>585</v>
      </c>
      <c r="AU56" s="559" t="s">
        <v>585</v>
      </c>
      <c r="AV56" s="559" t="s">
        <v>585</v>
      </c>
      <c r="AW56" s="557" t="e">
        <f t="shared" si="45"/>
        <v>#VALUE!</v>
      </c>
      <c r="AX56" s="662"/>
      <c r="AZ56" s="557" t="e">
        <f t="shared" si="47"/>
        <v>#N/A</v>
      </c>
      <c r="BA56" s="662"/>
    </row>
    <row r="57" spans="2:53">
      <c r="B57" s="660"/>
      <c r="C57" s="380">
        <v>11</v>
      </c>
      <c r="D57" s="530"/>
      <c r="E57" s="530"/>
      <c r="F57" s="530"/>
      <c r="G57" s="531"/>
      <c r="H57" s="692"/>
      <c r="I57" s="381" t="str">
        <f t="shared" si="30"/>
        <v>-</v>
      </c>
      <c r="J57" s="381" t="str">
        <f t="shared" si="31"/>
        <v>-</v>
      </c>
      <c r="K57" s="199" t="str">
        <f t="shared" si="32"/>
        <v>-</v>
      </c>
      <c r="L57" s="634"/>
      <c r="M57" s="418" t="e">
        <f>RANK(K57, K$47:$K$61)</f>
        <v>#VALUE!</v>
      </c>
      <c r="N57" s="652"/>
      <c r="O57" s="652"/>
      <c r="P57" s="555" t="s">
        <v>585</v>
      </c>
      <c r="Q57" s="559" t="s">
        <v>585</v>
      </c>
      <c r="R57" s="559" t="s">
        <v>585</v>
      </c>
      <c r="S57" s="557" t="e">
        <f t="shared" si="33"/>
        <v>#VALUE!</v>
      </c>
      <c r="T57" s="662"/>
      <c r="U57" s="555" t="s">
        <v>585</v>
      </c>
      <c r="V57" s="559" t="s">
        <v>585</v>
      </c>
      <c r="W57" s="559" t="s">
        <v>585</v>
      </c>
      <c r="X57" s="557" t="e">
        <f t="shared" si="35"/>
        <v>#VALUE!</v>
      </c>
      <c r="Y57" s="662"/>
      <c r="Z57" s="555" t="s">
        <v>585</v>
      </c>
      <c r="AA57" s="559" t="s">
        <v>585</v>
      </c>
      <c r="AB57" s="559" t="s">
        <v>585</v>
      </c>
      <c r="AC57" s="557" t="e">
        <f t="shared" si="37"/>
        <v>#VALUE!</v>
      </c>
      <c r="AD57" s="662"/>
      <c r="AE57" s="555" t="s">
        <v>585</v>
      </c>
      <c r="AF57" s="559" t="s">
        <v>585</v>
      </c>
      <c r="AG57" s="559" t="s">
        <v>585</v>
      </c>
      <c r="AH57" s="557" t="e">
        <f t="shared" si="39"/>
        <v>#VALUE!</v>
      </c>
      <c r="AI57" s="662"/>
      <c r="AJ57" s="555" t="s">
        <v>585</v>
      </c>
      <c r="AK57" s="559" t="s">
        <v>585</v>
      </c>
      <c r="AL57" s="559" t="s">
        <v>585</v>
      </c>
      <c r="AM57" s="557" t="e">
        <f t="shared" si="41"/>
        <v>#VALUE!</v>
      </c>
      <c r="AN57" s="662"/>
      <c r="AO57" s="555" t="s">
        <v>585</v>
      </c>
      <c r="AP57" s="559" t="s">
        <v>585</v>
      </c>
      <c r="AQ57" s="559" t="s">
        <v>585</v>
      </c>
      <c r="AR57" s="557" t="e">
        <f t="shared" si="43"/>
        <v>#VALUE!</v>
      </c>
      <c r="AS57" s="662"/>
      <c r="AT57" s="555" t="s">
        <v>585</v>
      </c>
      <c r="AU57" s="559" t="s">
        <v>585</v>
      </c>
      <c r="AV57" s="559" t="s">
        <v>585</v>
      </c>
      <c r="AW57" s="557" t="e">
        <f t="shared" si="45"/>
        <v>#VALUE!</v>
      </c>
      <c r="AX57" s="662"/>
      <c r="AZ57" s="557" t="e">
        <f t="shared" si="47"/>
        <v>#N/A</v>
      </c>
      <c r="BA57" s="662"/>
    </row>
    <row r="58" spans="2:53">
      <c r="B58" s="660"/>
      <c r="C58" s="380">
        <v>12</v>
      </c>
      <c r="D58" s="530"/>
      <c r="E58" s="530"/>
      <c r="F58" s="530"/>
      <c r="G58" s="531"/>
      <c r="H58" s="692"/>
      <c r="I58" s="381" t="str">
        <f t="shared" si="30"/>
        <v>-</v>
      </c>
      <c r="J58" s="381" t="str">
        <f t="shared" si="31"/>
        <v>-</v>
      </c>
      <c r="K58" s="199" t="str">
        <f t="shared" si="32"/>
        <v>-</v>
      </c>
      <c r="L58" s="634"/>
      <c r="M58" s="418" t="e">
        <f>RANK(K58, K$47:$K$61)</f>
        <v>#VALUE!</v>
      </c>
      <c r="N58" s="652"/>
      <c r="O58" s="652"/>
      <c r="P58" s="555" t="s">
        <v>585</v>
      </c>
      <c r="Q58" s="559" t="s">
        <v>585</v>
      </c>
      <c r="R58" s="559" t="s">
        <v>585</v>
      </c>
      <c r="S58" s="557" t="e">
        <f t="shared" si="33"/>
        <v>#VALUE!</v>
      </c>
      <c r="T58" s="662"/>
      <c r="U58" s="555" t="s">
        <v>585</v>
      </c>
      <c r="V58" s="559" t="s">
        <v>585</v>
      </c>
      <c r="W58" s="559" t="s">
        <v>585</v>
      </c>
      <c r="X58" s="557" t="e">
        <f t="shared" si="35"/>
        <v>#VALUE!</v>
      </c>
      <c r="Y58" s="662"/>
      <c r="Z58" s="555" t="s">
        <v>585</v>
      </c>
      <c r="AA58" s="559" t="s">
        <v>585</v>
      </c>
      <c r="AB58" s="559" t="s">
        <v>585</v>
      </c>
      <c r="AC58" s="557" t="e">
        <f t="shared" si="37"/>
        <v>#VALUE!</v>
      </c>
      <c r="AD58" s="662"/>
      <c r="AE58" s="555" t="s">
        <v>585</v>
      </c>
      <c r="AF58" s="559" t="s">
        <v>585</v>
      </c>
      <c r="AG58" s="559" t="s">
        <v>585</v>
      </c>
      <c r="AH58" s="557" t="e">
        <f t="shared" si="39"/>
        <v>#VALUE!</v>
      </c>
      <c r="AI58" s="662"/>
      <c r="AJ58" s="555" t="s">
        <v>585</v>
      </c>
      <c r="AK58" s="559" t="s">
        <v>585</v>
      </c>
      <c r="AL58" s="559" t="s">
        <v>585</v>
      </c>
      <c r="AM58" s="557" t="e">
        <f t="shared" si="41"/>
        <v>#VALUE!</v>
      </c>
      <c r="AN58" s="662"/>
      <c r="AO58" s="555" t="s">
        <v>585</v>
      </c>
      <c r="AP58" s="559" t="s">
        <v>585</v>
      </c>
      <c r="AQ58" s="559" t="s">
        <v>585</v>
      </c>
      <c r="AR58" s="557" t="e">
        <f t="shared" si="43"/>
        <v>#VALUE!</v>
      </c>
      <c r="AS58" s="662"/>
      <c r="AT58" s="555" t="s">
        <v>585</v>
      </c>
      <c r="AU58" s="559" t="s">
        <v>585</v>
      </c>
      <c r="AV58" s="559" t="s">
        <v>585</v>
      </c>
      <c r="AW58" s="557" t="e">
        <f t="shared" si="45"/>
        <v>#VALUE!</v>
      </c>
      <c r="AX58" s="662"/>
      <c r="AZ58" s="557" t="e">
        <f t="shared" si="47"/>
        <v>#N/A</v>
      </c>
      <c r="BA58" s="662"/>
    </row>
    <row r="59" spans="2:53">
      <c r="B59" s="660"/>
      <c r="C59" s="380">
        <v>13</v>
      </c>
      <c r="D59" s="530"/>
      <c r="E59" s="530"/>
      <c r="F59" s="530"/>
      <c r="G59" s="531"/>
      <c r="H59" s="692"/>
      <c r="I59" s="381" t="str">
        <f t="shared" si="30"/>
        <v>-</v>
      </c>
      <c r="J59" s="381" t="str">
        <f t="shared" si="31"/>
        <v>-</v>
      </c>
      <c r="K59" s="199" t="str">
        <f t="shared" si="32"/>
        <v>-</v>
      </c>
      <c r="L59" s="634"/>
      <c r="M59" s="418" t="e">
        <f>RANK(K59, K$47:$K$61)</f>
        <v>#VALUE!</v>
      </c>
      <c r="N59" s="652"/>
      <c r="O59" s="652"/>
      <c r="P59" s="555" t="s">
        <v>585</v>
      </c>
      <c r="Q59" s="559" t="s">
        <v>585</v>
      </c>
      <c r="R59" s="559" t="s">
        <v>585</v>
      </c>
      <c r="S59" s="557" t="e">
        <f t="shared" si="33"/>
        <v>#VALUE!</v>
      </c>
      <c r="T59" s="662"/>
      <c r="U59" s="555" t="s">
        <v>585</v>
      </c>
      <c r="V59" s="559" t="s">
        <v>585</v>
      </c>
      <c r="W59" s="559" t="s">
        <v>585</v>
      </c>
      <c r="X59" s="557" t="e">
        <f t="shared" si="35"/>
        <v>#VALUE!</v>
      </c>
      <c r="Y59" s="662"/>
      <c r="Z59" s="555" t="s">
        <v>585</v>
      </c>
      <c r="AA59" s="559" t="s">
        <v>585</v>
      </c>
      <c r="AB59" s="559" t="s">
        <v>585</v>
      </c>
      <c r="AC59" s="557" t="e">
        <f t="shared" si="37"/>
        <v>#VALUE!</v>
      </c>
      <c r="AD59" s="662"/>
      <c r="AE59" s="555" t="s">
        <v>585</v>
      </c>
      <c r="AF59" s="559" t="s">
        <v>585</v>
      </c>
      <c r="AG59" s="559" t="s">
        <v>585</v>
      </c>
      <c r="AH59" s="557" t="e">
        <f t="shared" si="39"/>
        <v>#VALUE!</v>
      </c>
      <c r="AI59" s="662"/>
      <c r="AJ59" s="555" t="s">
        <v>585</v>
      </c>
      <c r="AK59" s="559" t="s">
        <v>585</v>
      </c>
      <c r="AL59" s="559" t="s">
        <v>585</v>
      </c>
      <c r="AM59" s="557" t="e">
        <f t="shared" si="41"/>
        <v>#VALUE!</v>
      </c>
      <c r="AN59" s="662"/>
      <c r="AO59" s="555" t="s">
        <v>585</v>
      </c>
      <c r="AP59" s="559" t="s">
        <v>585</v>
      </c>
      <c r="AQ59" s="559" t="s">
        <v>585</v>
      </c>
      <c r="AR59" s="557" t="e">
        <f t="shared" si="43"/>
        <v>#VALUE!</v>
      </c>
      <c r="AS59" s="662"/>
      <c r="AT59" s="555" t="s">
        <v>585</v>
      </c>
      <c r="AU59" s="559" t="s">
        <v>585</v>
      </c>
      <c r="AV59" s="559" t="s">
        <v>585</v>
      </c>
      <c r="AW59" s="557" t="e">
        <f t="shared" si="45"/>
        <v>#VALUE!</v>
      </c>
      <c r="AX59" s="662"/>
      <c r="AZ59" s="557" t="e">
        <f t="shared" si="47"/>
        <v>#N/A</v>
      </c>
      <c r="BA59" s="662"/>
    </row>
    <row r="60" spans="2:53">
      <c r="B60" s="660"/>
      <c r="C60" s="380">
        <v>14</v>
      </c>
      <c r="D60" s="530"/>
      <c r="E60" s="530"/>
      <c r="F60" s="530"/>
      <c r="G60" s="531"/>
      <c r="H60" s="692"/>
      <c r="I60" s="381" t="str">
        <f t="shared" si="30"/>
        <v>-</v>
      </c>
      <c r="J60" s="381" t="str">
        <f t="shared" si="31"/>
        <v>-</v>
      </c>
      <c r="K60" s="199" t="str">
        <f t="shared" si="32"/>
        <v>-</v>
      </c>
      <c r="L60" s="634"/>
      <c r="M60" s="418" t="e">
        <f>RANK(K60, K$47:$K$61)</f>
        <v>#VALUE!</v>
      </c>
      <c r="N60" s="652"/>
      <c r="O60" s="652"/>
      <c r="P60" s="555" t="s">
        <v>585</v>
      </c>
      <c r="Q60" s="559" t="s">
        <v>585</v>
      </c>
      <c r="R60" s="559" t="s">
        <v>585</v>
      </c>
      <c r="S60" s="557" t="e">
        <f t="shared" si="33"/>
        <v>#VALUE!</v>
      </c>
      <c r="T60" s="662"/>
      <c r="U60" s="555" t="s">
        <v>585</v>
      </c>
      <c r="V60" s="559" t="s">
        <v>585</v>
      </c>
      <c r="W60" s="559" t="s">
        <v>585</v>
      </c>
      <c r="X60" s="557" t="e">
        <f t="shared" si="35"/>
        <v>#VALUE!</v>
      </c>
      <c r="Y60" s="662"/>
      <c r="Z60" s="555" t="s">
        <v>585</v>
      </c>
      <c r="AA60" s="559" t="s">
        <v>585</v>
      </c>
      <c r="AB60" s="559" t="s">
        <v>585</v>
      </c>
      <c r="AC60" s="557" t="e">
        <f t="shared" si="37"/>
        <v>#VALUE!</v>
      </c>
      <c r="AD60" s="662"/>
      <c r="AE60" s="555" t="s">
        <v>585</v>
      </c>
      <c r="AF60" s="559" t="s">
        <v>585</v>
      </c>
      <c r="AG60" s="559" t="s">
        <v>585</v>
      </c>
      <c r="AH60" s="557" t="e">
        <f t="shared" si="39"/>
        <v>#VALUE!</v>
      </c>
      <c r="AI60" s="662"/>
      <c r="AJ60" s="555" t="s">
        <v>585</v>
      </c>
      <c r="AK60" s="559" t="s">
        <v>585</v>
      </c>
      <c r="AL60" s="559" t="s">
        <v>585</v>
      </c>
      <c r="AM60" s="557" t="e">
        <f t="shared" si="41"/>
        <v>#VALUE!</v>
      </c>
      <c r="AN60" s="662"/>
      <c r="AO60" s="555" t="s">
        <v>585</v>
      </c>
      <c r="AP60" s="559" t="s">
        <v>585</v>
      </c>
      <c r="AQ60" s="559" t="s">
        <v>585</v>
      </c>
      <c r="AR60" s="557" t="e">
        <f t="shared" si="43"/>
        <v>#VALUE!</v>
      </c>
      <c r="AS60" s="662"/>
      <c r="AT60" s="555" t="s">
        <v>585</v>
      </c>
      <c r="AU60" s="559" t="s">
        <v>585</v>
      </c>
      <c r="AV60" s="559" t="s">
        <v>585</v>
      </c>
      <c r="AW60" s="557" t="e">
        <f t="shared" si="45"/>
        <v>#VALUE!</v>
      </c>
      <c r="AX60" s="662"/>
      <c r="AZ60" s="557" t="e">
        <f t="shared" si="47"/>
        <v>#N/A</v>
      </c>
      <c r="BA60" s="662"/>
    </row>
    <row r="61" spans="2:53">
      <c r="B61" s="660"/>
      <c r="C61" s="380">
        <v>15</v>
      </c>
      <c r="D61" s="530"/>
      <c r="E61" s="530"/>
      <c r="F61" s="530"/>
      <c r="G61" s="530"/>
      <c r="H61" s="696"/>
      <c r="I61" s="381" t="str">
        <f t="shared" si="30"/>
        <v>-</v>
      </c>
      <c r="J61" s="381" t="str">
        <f t="shared" si="31"/>
        <v>-</v>
      </c>
      <c r="K61" s="199" t="str">
        <f t="shared" si="32"/>
        <v>-</v>
      </c>
      <c r="L61" s="635"/>
      <c r="M61" s="418" t="e">
        <f>RANK(K61, K$47:$K$61)</f>
        <v>#VALUE!</v>
      </c>
      <c r="N61" s="652"/>
      <c r="O61" s="652"/>
      <c r="P61" s="555" t="s">
        <v>585</v>
      </c>
      <c r="Q61" s="559" t="s">
        <v>585</v>
      </c>
      <c r="R61" s="559" t="s">
        <v>585</v>
      </c>
      <c r="S61" s="557" t="e">
        <f t="shared" si="33"/>
        <v>#VALUE!</v>
      </c>
      <c r="T61" s="663"/>
      <c r="U61" s="555" t="s">
        <v>585</v>
      </c>
      <c r="V61" s="559" t="s">
        <v>585</v>
      </c>
      <c r="W61" s="559" t="s">
        <v>585</v>
      </c>
      <c r="X61" s="557" t="e">
        <f t="shared" si="35"/>
        <v>#VALUE!</v>
      </c>
      <c r="Y61" s="663"/>
      <c r="Z61" s="555" t="s">
        <v>585</v>
      </c>
      <c r="AA61" s="559" t="s">
        <v>585</v>
      </c>
      <c r="AB61" s="559" t="s">
        <v>585</v>
      </c>
      <c r="AC61" s="557" t="e">
        <f t="shared" si="37"/>
        <v>#VALUE!</v>
      </c>
      <c r="AD61" s="663"/>
      <c r="AE61" s="555" t="s">
        <v>585</v>
      </c>
      <c r="AF61" s="559" t="s">
        <v>585</v>
      </c>
      <c r="AG61" s="559" t="s">
        <v>585</v>
      </c>
      <c r="AH61" s="557" t="e">
        <f t="shared" si="39"/>
        <v>#VALUE!</v>
      </c>
      <c r="AI61" s="663"/>
      <c r="AJ61" s="555" t="s">
        <v>585</v>
      </c>
      <c r="AK61" s="559" t="s">
        <v>585</v>
      </c>
      <c r="AL61" s="559" t="s">
        <v>585</v>
      </c>
      <c r="AM61" s="557" t="e">
        <f t="shared" si="41"/>
        <v>#VALUE!</v>
      </c>
      <c r="AN61" s="663"/>
      <c r="AO61" s="555" t="s">
        <v>585</v>
      </c>
      <c r="AP61" s="559" t="s">
        <v>585</v>
      </c>
      <c r="AQ61" s="559" t="s">
        <v>585</v>
      </c>
      <c r="AR61" s="557" t="e">
        <f t="shared" si="43"/>
        <v>#VALUE!</v>
      </c>
      <c r="AS61" s="663"/>
      <c r="AT61" s="555" t="s">
        <v>585</v>
      </c>
      <c r="AU61" s="559" t="s">
        <v>585</v>
      </c>
      <c r="AV61" s="559" t="s">
        <v>585</v>
      </c>
      <c r="AW61" s="557" t="e">
        <f t="shared" si="45"/>
        <v>#VALUE!</v>
      </c>
      <c r="AX61" s="663"/>
      <c r="AZ61" s="557" t="e">
        <f t="shared" si="47"/>
        <v>#N/A</v>
      </c>
      <c r="BA61" s="663"/>
    </row>
    <row r="62" spans="2:53" ht="15.75">
      <c r="B62" s="664" t="s">
        <v>162</v>
      </c>
      <c r="C62" s="665"/>
      <c r="D62" s="665"/>
      <c r="E62" s="665"/>
      <c r="F62" s="665"/>
      <c r="G62" s="665"/>
      <c r="H62" s="666"/>
      <c r="I62" s="207"/>
      <c r="J62" s="207"/>
      <c r="K62" s="207"/>
      <c r="L62" s="207"/>
      <c r="M62" s="206"/>
      <c r="N62" s="653" t="s">
        <v>156</v>
      </c>
      <c r="O62" s="653" t="s">
        <v>105</v>
      </c>
      <c r="P62" s="659">
        <f>P42+7</f>
        <v>46252</v>
      </c>
      <c r="Q62" s="660"/>
      <c r="R62" s="660"/>
      <c r="S62" s="660"/>
      <c r="T62" s="660"/>
      <c r="U62" s="656">
        <f>P62+1</f>
        <v>46253</v>
      </c>
      <c r="V62" s="657"/>
      <c r="W62" s="657"/>
      <c r="X62" s="657"/>
      <c r="Y62" s="658"/>
      <c r="Z62" s="656">
        <f>U62+1</f>
        <v>46254</v>
      </c>
      <c r="AA62" s="657"/>
      <c r="AB62" s="657"/>
      <c r="AC62" s="657"/>
      <c r="AD62" s="658"/>
      <c r="AE62" s="656">
        <f>Z62+1</f>
        <v>46255</v>
      </c>
      <c r="AF62" s="657"/>
      <c r="AG62" s="657"/>
      <c r="AH62" s="657"/>
      <c r="AI62" s="658"/>
      <c r="AJ62" s="656">
        <f>AE62+1</f>
        <v>46256</v>
      </c>
      <c r="AK62" s="657"/>
      <c r="AL62" s="657"/>
      <c r="AM62" s="657"/>
      <c r="AN62" s="658"/>
      <c r="AO62" s="656">
        <f>AJ62+1</f>
        <v>46257</v>
      </c>
      <c r="AP62" s="657"/>
      <c r="AQ62" s="657"/>
      <c r="AR62" s="657"/>
      <c r="AS62" s="658"/>
      <c r="AT62" s="656">
        <f>AO62+1</f>
        <v>46258</v>
      </c>
      <c r="AU62" s="657"/>
      <c r="AV62" s="657"/>
      <c r="AW62" s="657"/>
      <c r="AX62" s="658"/>
    </row>
    <row r="63" spans="2:53" ht="15.75">
      <c r="B63" s="667"/>
      <c r="C63" s="667"/>
      <c r="D63" s="667"/>
      <c r="E63" s="667"/>
      <c r="F63" s="667"/>
      <c r="G63" s="667"/>
      <c r="H63" s="667"/>
      <c r="I63" s="204"/>
      <c r="J63" s="204"/>
      <c r="K63" s="204"/>
      <c r="L63" s="204"/>
      <c r="M63" s="205"/>
      <c r="N63" s="655"/>
      <c r="O63" s="655"/>
      <c r="P63" s="659" t="s">
        <v>317</v>
      </c>
      <c r="Q63" s="660"/>
      <c r="R63" s="660"/>
      <c r="S63" s="660"/>
      <c r="T63" s="660"/>
      <c r="U63" s="659" t="s">
        <v>318</v>
      </c>
      <c r="V63" s="660"/>
      <c r="W63" s="660"/>
      <c r="X63" s="660"/>
      <c r="Y63" s="660"/>
      <c r="Z63" s="659" t="s">
        <v>319</v>
      </c>
      <c r="AA63" s="660"/>
      <c r="AB63" s="660"/>
      <c r="AC63" s="660"/>
      <c r="AD63" s="660"/>
      <c r="AE63" s="659" t="s">
        <v>320</v>
      </c>
      <c r="AF63" s="660"/>
      <c r="AG63" s="660"/>
      <c r="AH63" s="660"/>
      <c r="AI63" s="660"/>
      <c r="AJ63" s="659" t="s">
        <v>321</v>
      </c>
      <c r="AK63" s="660"/>
      <c r="AL63" s="660"/>
      <c r="AM63" s="660"/>
      <c r="AN63" s="660"/>
      <c r="AO63" s="659" t="s">
        <v>322</v>
      </c>
      <c r="AP63" s="660"/>
      <c r="AQ63" s="660"/>
      <c r="AR63" s="660"/>
      <c r="AS63" s="660"/>
      <c r="AT63" s="659" t="s">
        <v>323</v>
      </c>
      <c r="AU63" s="660"/>
      <c r="AV63" s="660"/>
      <c r="AW63" s="660"/>
      <c r="AX63" s="660"/>
    </row>
    <row r="64" spans="2:53">
      <c r="B64" s="652" t="s">
        <v>369</v>
      </c>
      <c r="C64" s="652" t="s">
        <v>379</v>
      </c>
      <c r="D64" s="652"/>
      <c r="E64" s="652" t="s">
        <v>370</v>
      </c>
      <c r="F64" s="652"/>
      <c r="G64" s="652"/>
      <c r="H64" s="668" t="s">
        <v>366</v>
      </c>
      <c r="I64" s="652" t="s">
        <v>371</v>
      </c>
      <c r="J64" s="652"/>
      <c r="K64" s="652"/>
      <c r="L64" s="668" t="s">
        <v>366</v>
      </c>
      <c r="M64" s="653" t="s">
        <v>367</v>
      </c>
      <c r="N64" s="652"/>
      <c r="O64" s="652" t="s">
        <v>372</v>
      </c>
      <c r="P64" s="649" t="s">
        <v>368</v>
      </c>
      <c r="Q64" s="650"/>
      <c r="R64" s="650"/>
      <c r="S64" s="651"/>
      <c r="T64" s="652" t="s">
        <v>366</v>
      </c>
      <c r="U64" s="649" t="s">
        <v>368</v>
      </c>
      <c r="V64" s="650"/>
      <c r="W64" s="650"/>
      <c r="X64" s="651"/>
      <c r="Y64" s="652" t="s">
        <v>366</v>
      </c>
      <c r="Z64" s="649" t="s">
        <v>368</v>
      </c>
      <c r="AA64" s="650"/>
      <c r="AB64" s="650"/>
      <c r="AC64" s="651"/>
      <c r="AD64" s="652" t="s">
        <v>366</v>
      </c>
      <c r="AE64" s="649" t="s">
        <v>368</v>
      </c>
      <c r="AF64" s="650"/>
      <c r="AG64" s="650"/>
      <c r="AH64" s="651"/>
      <c r="AI64" s="652" t="s">
        <v>366</v>
      </c>
      <c r="AJ64" s="649" t="s">
        <v>368</v>
      </c>
      <c r="AK64" s="650"/>
      <c r="AL64" s="650"/>
      <c r="AM64" s="651"/>
      <c r="AN64" s="652" t="s">
        <v>366</v>
      </c>
      <c r="AO64" s="649" t="s">
        <v>368</v>
      </c>
      <c r="AP64" s="650"/>
      <c r="AQ64" s="650"/>
      <c r="AR64" s="651"/>
      <c r="AS64" s="652" t="s">
        <v>366</v>
      </c>
      <c r="AT64" s="649" t="s">
        <v>368</v>
      </c>
      <c r="AU64" s="650"/>
      <c r="AV64" s="650"/>
      <c r="AW64" s="651"/>
      <c r="AX64" s="652" t="s">
        <v>366</v>
      </c>
      <c r="BA64" s="652" t="s">
        <v>366</v>
      </c>
    </row>
    <row r="65" spans="2:53">
      <c r="B65" s="652"/>
      <c r="C65" s="652"/>
      <c r="D65" s="652"/>
      <c r="E65" s="652" t="s">
        <v>373</v>
      </c>
      <c r="F65" s="652"/>
      <c r="G65" s="652"/>
      <c r="H65" s="669"/>
      <c r="I65" s="652" t="s">
        <v>373</v>
      </c>
      <c r="J65" s="652"/>
      <c r="K65" s="652"/>
      <c r="L65" s="669"/>
      <c r="M65" s="654"/>
      <c r="N65" s="652"/>
      <c r="O65" s="652"/>
      <c r="P65" s="649" t="s">
        <v>374</v>
      </c>
      <c r="Q65" s="650"/>
      <c r="R65" s="650"/>
      <c r="S65" s="651"/>
      <c r="T65" s="652"/>
      <c r="U65" s="649" t="s">
        <v>374</v>
      </c>
      <c r="V65" s="650"/>
      <c r="W65" s="650"/>
      <c r="X65" s="651"/>
      <c r="Y65" s="652"/>
      <c r="Z65" s="649" t="s">
        <v>374</v>
      </c>
      <c r="AA65" s="650"/>
      <c r="AB65" s="650"/>
      <c r="AC65" s="651"/>
      <c r="AD65" s="652"/>
      <c r="AE65" s="649" t="s">
        <v>374</v>
      </c>
      <c r="AF65" s="650"/>
      <c r="AG65" s="650"/>
      <c r="AH65" s="651"/>
      <c r="AI65" s="652"/>
      <c r="AJ65" s="649" t="s">
        <v>374</v>
      </c>
      <c r="AK65" s="650"/>
      <c r="AL65" s="650"/>
      <c r="AM65" s="651"/>
      <c r="AN65" s="652"/>
      <c r="AO65" s="649" t="s">
        <v>374</v>
      </c>
      <c r="AP65" s="650"/>
      <c r="AQ65" s="650"/>
      <c r="AR65" s="651"/>
      <c r="AS65" s="652"/>
      <c r="AT65" s="649" t="s">
        <v>374</v>
      </c>
      <c r="AU65" s="650"/>
      <c r="AV65" s="650"/>
      <c r="AW65" s="651"/>
      <c r="AX65" s="652"/>
      <c r="BA65" s="652"/>
    </row>
    <row r="66" spans="2:53">
      <c r="B66" s="652"/>
      <c r="C66" s="652"/>
      <c r="D66" s="652"/>
      <c r="E66" s="378" t="s">
        <v>375</v>
      </c>
      <c r="F66" s="378" t="s">
        <v>376</v>
      </c>
      <c r="G66" s="378" t="s">
        <v>377</v>
      </c>
      <c r="H66" s="670"/>
      <c r="I66" s="378" t="s">
        <v>375</v>
      </c>
      <c r="J66" s="378" t="s">
        <v>376</v>
      </c>
      <c r="K66" s="378" t="s">
        <v>377</v>
      </c>
      <c r="L66" s="670"/>
      <c r="M66" s="655"/>
      <c r="N66" s="652"/>
      <c r="O66" s="652"/>
      <c r="P66" s="378" t="s">
        <v>375</v>
      </c>
      <c r="Q66" s="378" t="s">
        <v>376</v>
      </c>
      <c r="R66" s="378" t="s">
        <v>377</v>
      </c>
      <c r="S66" s="378" t="s">
        <v>367</v>
      </c>
      <c r="T66" s="652"/>
      <c r="U66" s="378" t="s">
        <v>375</v>
      </c>
      <c r="V66" s="378" t="s">
        <v>376</v>
      </c>
      <c r="W66" s="378" t="s">
        <v>377</v>
      </c>
      <c r="X66" s="378" t="s">
        <v>367</v>
      </c>
      <c r="Y66" s="652"/>
      <c r="Z66" s="378" t="s">
        <v>375</v>
      </c>
      <c r="AA66" s="378" t="s">
        <v>376</v>
      </c>
      <c r="AB66" s="378" t="s">
        <v>377</v>
      </c>
      <c r="AC66" s="378" t="s">
        <v>367</v>
      </c>
      <c r="AD66" s="652"/>
      <c r="AE66" s="378" t="s">
        <v>375</v>
      </c>
      <c r="AF66" s="378" t="s">
        <v>376</v>
      </c>
      <c r="AG66" s="378" t="s">
        <v>377</v>
      </c>
      <c r="AH66" s="378" t="s">
        <v>367</v>
      </c>
      <c r="AI66" s="652"/>
      <c r="AJ66" s="378" t="s">
        <v>375</v>
      </c>
      <c r="AK66" s="378" t="s">
        <v>376</v>
      </c>
      <c r="AL66" s="378" t="s">
        <v>377</v>
      </c>
      <c r="AM66" s="378" t="s">
        <v>367</v>
      </c>
      <c r="AN66" s="652"/>
      <c r="AO66" s="378" t="s">
        <v>375</v>
      </c>
      <c r="AP66" s="378" t="s">
        <v>376</v>
      </c>
      <c r="AQ66" s="378" t="s">
        <v>377</v>
      </c>
      <c r="AR66" s="378" t="s">
        <v>367</v>
      </c>
      <c r="AS66" s="652"/>
      <c r="AT66" s="378" t="s">
        <v>375</v>
      </c>
      <c r="AU66" s="378" t="s">
        <v>376</v>
      </c>
      <c r="AV66" s="378" t="s">
        <v>377</v>
      </c>
      <c r="AW66" s="378" t="s">
        <v>367</v>
      </c>
      <c r="AX66" s="652"/>
      <c r="AZ66" s="373" t="s">
        <v>367</v>
      </c>
      <c r="BA66" s="652"/>
    </row>
    <row r="67" spans="2:53">
      <c r="B67" s="695" t="s">
        <v>386</v>
      </c>
      <c r="C67" s="380">
        <v>1</v>
      </c>
      <c r="D67" s="511" t="s">
        <v>571</v>
      </c>
      <c r="E67" s="513">
        <v>10</v>
      </c>
      <c r="F67" s="513">
        <v>1500</v>
      </c>
      <c r="G67" s="516">
        <v>150</v>
      </c>
      <c r="H67" s="691">
        <f>AVERAGE(G67:G81)</f>
        <v>127.5</v>
      </c>
      <c r="I67" s="381">
        <f t="shared" ref="I67:I81" si="49">IFERROR(AVERAGE(P67,U67,Z67,AE67,AJ67,AO67,AT67),"-")</f>
        <v>10</v>
      </c>
      <c r="J67" s="381">
        <f t="shared" ref="J67:J81" si="50">IFERROR(AVERAGE(Q67,V67,AA67,AF67,AK67,AP67,AU67),"-")</f>
        <v>1381.3142857142848</v>
      </c>
      <c r="K67" s="199">
        <f t="shared" ref="K67:K81" si="51">IFERROR(AVERAGE(R67,W67,AB67,AG67,AL67,AQ67,AV67),"-")</f>
        <v>138.13142857142847</v>
      </c>
      <c r="L67" s="633">
        <f>IFERROR(AVERAGE(K67:K81),"-")</f>
        <v>134.92871190477553</v>
      </c>
      <c r="M67" s="384">
        <f>RANK(K67, K$67:$K$81)</f>
        <v>2</v>
      </c>
      <c r="N67" s="652"/>
      <c r="O67" s="652"/>
      <c r="P67" s="560">
        <v>10</v>
      </c>
      <c r="Q67" s="562">
        <v>1383.9999999999977</v>
      </c>
      <c r="R67" s="562">
        <v>138.39999999999978</v>
      </c>
      <c r="S67" s="561">
        <f t="shared" ref="S67:S81" si="52">RANK(R67, R$67:R$81)</f>
        <v>1</v>
      </c>
      <c r="T67" s="661">
        <f t="shared" ref="T67" si="53">AVERAGE(R67:R81)</f>
        <v>133.48977176669467</v>
      </c>
      <c r="U67" s="560">
        <v>10</v>
      </c>
      <c r="V67" s="562">
        <v>1401.9999999999975</v>
      </c>
      <c r="W67" s="562">
        <v>140.19999999999976</v>
      </c>
      <c r="X67" s="561">
        <f t="shared" ref="X67:X81" si="54">RANK(W67, W$67:W$81)</f>
        <v>2</v>
      </c>
      <c r="Y67" s="661">
        <f t="shared" ref="Y67" si="55">AVERAGE(W67:W81)</f>
        <v>138.79010307310546</v>
      </c>
      <c r="Z67" s="560">
        <v>10</v>
      </c>
      <c r="AA67" s="562">
        <v>1357.9999999999977</v>
      </c>
      <c r="AB67" s="562">
        <v>135.79999999999978</v>
      </c>
      <c r="AC67" s="561">
        <f t="shared" ref="AC67:AC81" si="56">RANK(AB67, AB$67:AB$81)</f>
        <v>3</v>
      </c>
      <c r="AD67" s="661">
        <f t="shared" ref="AD67" si="57">AVERAGE(AB67:AB81)</f>
        <v>135.99911242603559</v>
      </c>
      <c r="AE67" s="560">
        <v>10</v>
      </c>
      <c r="AF67" s="562">
        <v>1370.4000000000003</v>
      </c>
      <c r="AG67" s="562">
        <v>137.04000000000002</v>
      </c>
      <c r="AH67" s="561">
        <f t="shared" ref="AH67:AH81" si="58">RANK(AG67, AG$67:AG$81)</f>
        <v>2</v>
      </c>
      <c r="AI67" s="661">
        <f t="shared" ref="AI67" si="59">AVERAGE(AG67:AG81)</f>
        <v>128.71454545454557</v>
      </c>
      <c r="AJ67" s="560">
        <v>10</v>
      </c>
      <c r="AK67" s="562">
        <v>1360.800000000005</v>
      </c>
      <c r="AL67" s="562">
        <v>136.0800000000005</v>
      </c>
      <c r="AM67" s="561">
        <f t="shared" ref="AM67:AM81" si="60">RANK(AL67, AL$67:AL$81)</f>
        <v>3</v>
      </c>
      <c r="AN67" s="661">
        <f t="shared" ref="AN67" si="61">AVERAGE(AL67:AL81)</f>
        <v>132.19552447552451</v>
      </c>
      <c r="AO67" s="560">
        <v>10</v>
      </c>
      <c r="AP67" s="562">
        <v>1423.9999999999975</v>
      </c>
      <c r="AQ67" s="562">
        <v>142.39999999999975</v>
      </c>
      <c r="AR67" s="561">
        <f t="shared" ref="AR67:AR81" si="62">RANK(AQ67, AQ$67:AQ$81)</f>
        <v>1</v>
      </c>
      <c r="AS67" s="661">
        <f t="shared" ref="AS67" si="63">AVERAGE(AQ67:AQ81)</f>
        <v>137.62583146296663</v>
      </c>
      <c r="AT67" s="560">
        <v>10</v>
      </c>
      <c r="AU67" s="562">
        <v>1369.9999999999975</v>
      </c>
      <c r="AV67" s="562">
        <v>136.99999999999974</v>
      </c>
      <c r="AW67" s="561">
        <f t="shared" ref="AW67:AW81" si="64">RANK(AV67, AV$67:AV$81)</f>
        <v>3</v>
      </c>
      <c r="AX67" s="661">
        <f t="shared" ref="AX67" si="65">AVERAGE(AV67:AV81)</f>
        <v>137.68609467455636</v>
      </c>
      <c r="AZ67" s="375" t="e">
        <f t="shared" ref="AZ67:AZ81" si="66">RANK(AY67, AY$67:AY$81)</f>
        <v>#N/A</v>
      </c>
      <c r="BA67" s="661" t="e">
        <f t="shared" ref="BA67" si="67">AVERAGE(AY67:AY81)</f>
        <v>#DIV/0!</v>
      </c>
    </row>
    <row r="68" spans="2:53">
      <c r="B68" s="660"/>
      <c r="C68" s="380">
        <v>2</v>
      </c>
      <c r="D68" s="513" t="s">
        <v>591</v>
      </c>
      <c r="E68" s="513">
        <v>15</v>
      </c>
      <c r="F68" s="513">
        <v>1800</v>
      </c>
      <c r="G68" s="516">
        <v>120</v>
      </c>
      <c r="H68" s="692"/>
      <c r="I68" s="381">
        <f t="shared" si="49"/>
        <v>13</v>
      </c>
      <c r="J68" s="381">
        <f t="shared" si="50"/>
        <v>1799.7038961038957</v>
      </c>
      <c r="K68" s="199">
        <f t="shared" si="51"/>
        <v>138.4387612387612</v>
      </c>
      <c r="L68" s="634"/>
      <c r="M68" s="421">
        <f>RANK(K68, K$67:$K$81)</f>
        <v>1</v>
      </c>
      <c r="N68" s="652"/>
      <c r="O68" s="652"/>
      <c r="P68" s="560">
        <v>13</v>
      </c>
      <c r="Q68" s="562">
        <v>1710.3999999999987</v>
      </c>
      <c r="R68" s="562">
        <v>131.56923076923067</v>
      </c>
      <c r="S68" s="561">
        <f t="shared" si="52"/>
        <v>3</v>
      </c>
      <c r="T68" s="662"/>
      <c r="U68" s="560">
        <v>13</v>
      </c>
      <c r="V68" s="562">
        <v>1771.1999999999987</v>
      </c>
      <c r="W68" s="562">
        <v>136.24615384615373</v>
      </c>
      <c r="X68" s="561">
        <f t="shared" si="54"/>
        <v>4</v>
      </c>
      <c r="Y68" s="662"/>
      <c r="Z68" s="560">
        <v>13</v>
      </c>
      <c r="AA68" s="562">
        <v>1786.3999999999987</v>
      </c>
      <c r="AB68" s="562">
        <v>137.41538461538451</v>
      </c>
      <c r="AC68" s="561">
        <f t="shared" si="56"/>
        <v>1</v>
      </c>
      <c r="AD68" s="662"/>
      <c r="AE68" s="560">
        <v>13</v>
      </c>
      <c r="AF68" s="562">
        <v>1835.9999999999993</v>
      </c>
      <c r="AG68" s="562">
        <v>141.23076923076917</v>
      </c>
      <c r="AH68" s="561">
        <f t="shared" si="58"/>
        <v>1</v>
      </c>
      <c r="AI68" s="662"/>
      <c r="AJ68" s="560">
        <v>13</v>
      </c>
      <c r="AK68" s="562">
        <v>1892.7272727272739</v>
      </c>
      <c r="AL68" s="562">
        <v>145.59440559440569</v>
      </c>
      <c r="AM68" s="561">
        <f t="shared" si="60"/>
        <v>1</v>
      </c>
      <c r="AN68" s="662"/>
      <c r="AO68" s="560">
        <v>13</v>
      </c>
      <c r="AP68" s="562">
        <v>1783.1999999999987</v>
      </c>
      <c r="AQ68" s="562">
        <v>137.16923076923067</v>
      </c>
      <c r="AR68" s="561">
        <f t="shared" si="62"/>
        <v>2</v>
      </c>
      <c r="AS68" s="662"/>
      <c r="AT68" s="560">
        <v>13</v>
      </c>
      <c r="AU68" s="562">
        <v>1818.0000000000023</v>
      </c>
      <c r="AV68" s="562">
        <v>139.84615384615401</v>
      </c>
      <c r="AW68" s="561">
        <f t="shared" si="64"/>
        <v>2</v>
      </c>
      <c r="AX68" s="662"/>
      <c r="AZ68" s="375" t="e">
        <f t="shared" si="66"/>
        <v>#N/A</v>
      </c>
      <c r="BA68" s="662"/>
    </row>
    <row r="69" spans="2:53">
      <c r="B69" s="660"/>
      <c r="C69" s="380">
        <v>3</v>
      </c>
      <c r="D69" s="513" t="s">
        <v>592</v>
      </c>
      <c r="E69" s="513">
        <v>15</v>
      </c>
      <c r="F69" s="513">
        <v>1800</v>
      </c>
      <c r="G69" s="516">
        <v>120</v>
      </c>
      <c r="H69" s="692"/>
      <c r="I69" s="381">
        <f t="shared" si="49"/>
        <v>13</v>
      </c>
      <c r="J69" s="381">
        <f t="shared" si="50"/>
        <v>1780.7964035964044</v>
      </c>
      <c r="K69" s="199">
        <f t="shared" si="51"/>
        <v>136.98433873818493</v>
      </c>
      <c r="L69" s="634"/>
      <c r="M69" s="421">
        <f>RANK(K69, K$67:$K$81)</f>
        <v>3</v>
      </c>
      <c r="N69" s="652"/>
      <c r="O69" s="652"/>
      <c r="P69" s="560">
        <v>13</v>
      </c>
      <c r="Q69" s="562">
        <v>1774.1538461538439</v>
      </c>
      <c r="R69" s="562">
        <v>136.47337278106491</v>
      </c>
      <c r="S69" s="561">
        <f t="shared" si="52"/>
        <v>2</v>
      </c>
      <c r="T69" s="662"/>
      <c r="U69" s="560">
        <v>13</v>
      </c>
      <c r="V69" s="562">
        <v>1838.7692307692328</v>
      </c>
      <c r="W69" s="562">
        <v>141.44378698224867</v>
      </c>
      <c r="X69" s="561">
        <f t="shared" si="54"/>
        <v>1</v>
      </c>
      <c r="Y69" s="662"/>
      <c r="Z69" s="560">
        <v>13</v>
      </c>
      <c r="AA69" s="562">
        <v>1774.1538461538482</v>
      </c>
      <c r="AB69" s="562">
        <v>136.47337278106525</v>
      </c>
      <c r="AC69" s="561">
        <f t="shared" si="56"/>
        <v>2</v>
      </c>
      <c r="AD69" s="662"/>
      <c r="AE69" s="560">
        <v>13</v>
      </c>
      <c r="AF69" s="562">
        <v>1747.6363636363649</v>
      </c>
      <c r="AG69" s="562">
        <v>134.43356643356654</v>
      </c>
      <c r="AH69" s="561">
        <f t="shared" si="58"/>
        <v>3</v>
      </c>
      <c r="AI69" s="662"/>
      <c r="AJ69" s="560">
        <v>13</v>
      </c>
      <c r="AK69" s="562">
        <v>1832.3999999999976</v>
      </c>
      <c r="AL69" s="562">
        <v>140.95384615384597</v>
      </c>
      <c r="AM69" s="561">
        <f t="shared" si="60"/>
        <v>2</v>
      </c>
      <c r="AN69" s="662"/>
      <c r="AO69" s="560">
        <v>13</v>
      </c>
      <c r="AP69" s="562">
        <v>1759.3846153846173</v>
      </c>
      <c r="AQ69" s="562">
        <v>135.33727810650902</v>
      </c>
      <c r="AR69" s="561">
        <f t="shared" si="62"/>
        <v>4</v>
      </c>
      <c r="AS69" s="662"/>
      <c r="AT69" s="560">
        <v>13</v>
      </c>
      <c r="AU69" s="562">
        <v>1739.0769230769249</v>
      </c>
      <c r="AV69" s="562">
        <v>133.77514792899422</v>
      </c>
      <c r="AW69" s="561">
        <f t="shared" si="64"/>
        <v>4</v>
      </c>
      <c r="AX69" s="662"/>
      <c r="AZ69" s="375" t="e">
        <f t="shared" si="66"/>
        <v>#N/A</v>
      </c>
      <c r="BA69" s="662"/>
    </row>
    <row r="70" spans="2:53">
      <c r="B70" s="660"/>
      <c r="C70" s="380">
        <v>4</v>
      </c>
      <c r="D70" s="513" t="s">
        <v>713</v>
      </c>
      <c r="E70" s="513">
        <v>18</v>
      </c>
      <c r="F70" s="513">
        <v>1800</v>
      </c>
      <c r="G70" s="516">
        <v>120</v>
      </c>
      <c r="H70" s="692"/>
      <c r="I70" s="381">
        <f t="shared" si="49"/>
        <v>13</v>
      </c>
      <c r="J70" s="381">
        <f t="shared" si="50"/>
        <v>1640.0841479194576</v>
      </c>
      <c r="K70" s="199">
        <f t="shared" si="51"/>
        <v>126.16031907072751</v>
      </c>
      <c r="L70" s="634"/>
      <c r="M70" s="421">
        <f>RANK(K70, K$67:$K$81)</f>
        <v>4</v>
      </c>
      <c r="N70" s="652"/>
      <c r="O70" s="652"/>
      <c r="P70" s="560">
        <v>13</v>
      </c>
      <c r="Q70" s="562">
        <v>1657.7142857142842</v>
      </c>
      <c r="R70" s="562">
        <v>127.5164835164834</v>
      </c>
      <c r="S70" s="561">
        <f t="shared" si="52"/>
        <v>4</v>
      </c>
      <c r="T70" s="662"/>
      <c r="U70" s="560">
        <v>13</v>
      </c>
      <c r="V70" s="562">
        <v>1784.5161290322553</v>
      </c>
      <c r="W70" s="562">
        <v>137.27047146401964</v>
      </c>
      <c r="X70" s="561">
        <f t="shared" si="54"/>
        <v>3</v>
      </c>
      <c r="Y70" s="662"/>
      <c r="Z70" s="560">
        <v>13</v>
      </c>
      <c r="AA70" s="562">
        <v>1746.0000000000064</v>
      </c>
      <c r="AB70" s="562">
        <v>134.3076923076928</v>
      </c>
      <c r="AC70" s="561">
        <f t="shared" si="56"/>
        <v>4</v>
      </c>
      <c r="AD70" s="662"/>
      <c r="AE70" s="560">
        <v>13</v>
      </c>
      <c r="AF70" s="562">
        <v>1328.0000000000045</v>
      </c>
      <c r="AG70" s="562">
        <v>102.1538461538465</v>
      </c>
      <c r="AH70" s="561">
        <f t="shared" si="58"/>
        <v>4</v>
      </c>
      <c r="AI70" s="662"/>
      <c r="AJ70" s="560">
        <v>13</v>
      </c>
      <c r="AK70" s="562">
        <v>1379.9999999999961</v>
      </c>
      <c r="AL70" s="562">
        <v>106.15384615384586</v>
      </c>
      <c r="AM70" s="561">
        <f t="shared" si="60"/>
        <v>4</v>
      </c>
      <c r="AN70" s="662"/>
      <c r="AO70" s="560">
        <v>13</v>
      </c>
      <c r="AP70" s="562">
        <v>1762.7586206896517</v>
      </c>
      <c r="AQ70" s="562">
        <v>135.59681697612706</v>
      </c>
      <c r="AR70" s="561">
        <f t="shared" si="62"/>
        <v>3</v>
      </c>
      <c r="AS70" s="662"/>
      <c r="AT70" s="560">
        <v>13</v>
      </c>
      <c r="AU70" s="562">
        <v>1821.6000000000065</v>
      </c>
      <c r="AV70" s="562">
        <v>140.12307692307743</v>
      </c>
      <c r="AW70" s="561">
        <f t="shared" si="64"/>
        <v>1</v>
      </c>
      <c r="AX70" s="662"/>
      <c r="AZ70" s="375" t="e">
        <f t="shared" si="66"/>
        <v>#N/A</v>
      </c>
      <c r="BA70" s="662"/>
    </row>
    <row r="71" spans="2:53">
      <c r="B71" s="660"/>
      <c r="C71" s="380">
        <v>5</v>
      </c>
      <c r="D71" s="513"/>
      <c r="E71" s="513"/>
      <c r="F71" s="513"/>
      <c r="G71" s="516"/>
      <c r="H71" s="692"/>
      <c r="I71" s="381" t="str">
        <f t="shared" si="49"/>
        <v>-</v>
      </c>
      <c r="J71" s="381" t="str">
        <f t="shared" si="50"/>
        <v>-</v>
      </c>
      <c r="K71" s="199" t="str">
        <f t="shared" si="51"/>
        <v>-</v>
      </c>
      <c r="L71" s="634"/>
      <c r="M71" s="421" t="e">
        <f>RANK(K71, K$67:$K$81)</f>
        <v>#VALUE!</v>
      </c>
      <c r="N71" s="652"/>
      <c r="O71" s="652"/>
      <c r="P71" s="560" t="s">
        <v>585</v>
      </c>
      <c r="Q71" s="562" t="s">
        <v>585</v>
      </c>
      <c r="R71" s="562" t="s">
        <v>585</v>
      </c>
      <c r="S71" s="561" t="e">
        <f t="shared" si="52"/>
        <v>#VALUE!</v>
      </c>
      <c r="T71" s="662"/>
      <c r="U71" s="560" t="s">
        <v>585</v>
      </c>
      <c r="V71" s="562" t="s">
        <v>585</v>
      </c>
      <c r="W71" s="562" t="s">
        <v>585</v>
      </c>
      <c r="X71" s="561" t="e">
        <f t="shared" si="54"/>
        <v>#VALUE!</v>
      </c>
      <c r="Y71" s="662"/>
      <c r="Z71" s="560" t="s">
        <v>585</v>
      </c>
      <c r="AA71" s="562" t="s">
        <v>585</v>
      </c>
      <c r="AB71" s="562" t="s">
        <v>585</v>
      </c>
      <c r="AC71" s="561" t="e">
        <f t="shared" si="56"/>
        <v>#VALUE!</v>
      </c>
      <c r="AD71" s="662"/>
      <c r="AE71" s="560" t="s">
        <v>585</v>
      </c>
      <c r="AF71" s="562" t="s">
        <v>585</v>
      </c>
      <c r="AG71" s="562" t="s">
        <v>585</v>
      </c>
      <c r="AH71" s="561" t="e">
        <f t="shared" si="58"/>
        <v>#VALUE!</v>
      </c>
      <c r="AI71" s="662"/>
      <c r="AJ71" s="560" t="s">
        <v>585</v>
      </c>
      <c r="AK71" s="562" t="s">
        <v>585</v>
      </c>
      <c r="AL71" s="562" t="s">
        <v>585</v>
      </c>
      <c r="AM71" s="561" t="e">
        <f t="shared" si="60"/>
        <v>#VALUE!</v>
      </c>
      <c r="AN71" s="662"/>
      <c r="AO71" s="560" t="s">
        <v>585</v>
      </c>
      <c r="AP71" s="562" t="s">
        <v>585</v>
      </c>
      <c r="AQ71" s="562" t="s">
        <v>585</v>
      </c>
      <c r="AR71" s="561" t="e">
        <f t="shared" si="62"/>
        <v>#VALUE!</v>
      </c>
      <c r="AS71" s="662"/>
      <c r="AT71" s="560" t="s">
        <v>585</v>
      </c>
      <c r="AU71" s="562" t="s">
        <v>585</v>
      </c>
      <c r="AV71" s="562" t="s">
        <v>585</v>
      </c>
      <c r="AW71" s="561" t="e">
        <f t="shared" si="64"/>
        <v>#VALUE!</v>
      </c>
      <c r="AX71" s="662"/>
      <c r="AZ71" s="375" t="e">
        <f t="shared" si="66"/>
        <v>#N/A</v>
      </c>
      <c r="BA71" s="662"/>
    </row>
    <row r="72" spans="2:53">
      <c r="B72" s="660"/>
      <c r="C72" s="380">
        <v>6</v>
      </c>
      <c r="D72" s="513"/>
      <c r="E72" s="513"/>
      <c r="F72" s="513"/>
      <c r="G72" s="516"/>
      <c r="H72" s="692"/>
      <c r="I72" s="381" t="str">
        <f t="shared" si="49"/>
        <v>-</v>
      </c>
      <c r="J72" s="381" t="str">
        <f t="shared" si="50"/>
        <v>-</v>
      </c>
      <c r="K72" s="199" t="str">
        <f t="shared" si="51"/>
        <v>-</v>
      </c>
      <c r="L72" s="634"/>
      <c r="M72" s="421" t="e">
        <f>RANK(K72, K$67:$K$81)</f>
        <v>#VALUE!</v>
      </c>
      <c r="N72" s="652"/>
      <c r="O72" s="652"/>
      <c r="P72" s="560" t="s">
        <v>585</v>
      </c>
      <c r="Q72" s="562" t="s">
        <v>585</v>
      </c>
      <c r="R72" s="562" t="s">
        <v>585</v>
      </c>
      <c r="S72" s="561" t="e">
        <f t="shared" si="52"/>
        <v>#VALUE!</v>
      </c>
      <c r="T72" s="662"/>
      <c r="U72" s="560" t="s">
        <v>585</v>
      </c>
      <c r="V72" s="562" t="s">
        <v>585</v>
      </c>
      <c r="W72" s="562" t="s">
        <v>585</v>
      </c>
      <c r="X72" s="561" t="e">
        <f t="shared" si="54"/>
        <v>#VALUE!</v>
      </c>
      <c r="Y72" s="662"/>
      <c r="Z72" s="560" t="s">
        <v>585</v>
      </c>
      <c r="AA72" s="562" t="s">
        <v>585</v>
      </c>
      <c r="AB72" s="562" t="s">
        <v>585</v>
      </c>
      <c r="AC72" s="561" t="e">
        <f t="shared" si="56"/>
        <v>#VALUE!</v>
      </c>
      <c r="AD72" s="662"/>
      <c r="AE72" s="560" t="s">
        <v>585</v>
      </c>
      <c r="AF72" s="562" t="s">
        <v>585</v>
      </c>
      <c r="AG72" s="562" t="s">
        <v>585</v>
      </c>
      <c r="AH72" s="561" t="e">
        <f t="shared" si="58"/>
        <v>#VALUE!</v>
      </c>
      <c r="AI72" s="662"/>
      <c r="AJ72" s="560" t="s">
        <v>585</v>
      </c>
      <c r="AK72" s="562" t="s">
        <v>585</v>
      </c>
      <c r="AL72" s="562" t="s">
        <v>585</v>
      </c>
      <c r="AM72" s="561" t="e">
        <f t="shared" si="60"/>
        <v>#VALUE!</v>
      </c>
      <c r="AN72" s="662"/>
      <c r="AO72" s="560" t="s">
        <v>585</v>
      </c>
      <c r="AP72" s="562" t="s">
        <v>585</v>
      </c>
      <c r="AQ72" s="562" t="s">
        <v>585</v>
      </c>
      <c r="AR72" s="561" t="e">
        <f t="shared" si="62"/>
        <v>#VALUE!</v>
      </c>
      <c r="AS72" s="662"/>
      <c r="AT72" s="560" t="s">
        <v>585</v>
      </c>
      <c r="AU72" s="562" t="s">
        <v>585</v>
      </c>
      <c r="AV72" s="562" t="s">
        <v>585</v>
      </c>
      <c r="AW72" s="561" t="e">
        <f t="shared" si="64"/>
        <v>#VALUE!</v>
      </c>
      <c r="AX72" s="662"/>
      <c r="AZ72" s="375" t="e">
        <f t="shared" si="66"/>
        <v>#N/A</v>
      </c>
      <c r="BA72" s="662"/>
    </row>
    <row r="73" spans="2:53">
      <c r="B73" s="660"/>
      <c r="C73" s="380">
        <v>7</v>
      </c>
      <c r="D73" s="513"/>
      <c r="E73" s="513"/>
      <c r="F73" s="513"/>
      <c r="G73" s="516"/>
      <c r="H73" s="692"/>
      <c r="I73" s="381" t="str">
        <f t="shared" si="49"/>
        <v>-</v>
      </c>
      <c r="J73" s="381" t="str">
        <f t="shared" si="50"/>
        <v>-</v>
      </c>
      <c r="K73" s="199" t="str">
        <f t="shared" si="51"/>
        <v>-</v>
      </c>
      <c r="L73" s="634"/>
      <c r="M73" s="421" t="e">
        <f>RANK(K73, K$67:$K$81)</f>
        <v>#VALUE!</v>
      </c>
      <c r="N73" s="652"/>
      <c r="O73" s="652"/>
      <c r="P73" s="560" t="s">
        <v>585</v>
      </c>
      <c r="Q73" s="562" t="s">
        <v>585</v>
      </c>
      <c r="R73" s="562" t="s">
        <v>585</v>
      </c>
      <c r="S73" s="561" t="e">
        <f t="shared" si="52"/>
        <v>#VALUE!</v>
      </c>
      <c r="T73" s="662"/>
      <c r="U73" s="560" t="s">
        <v>585</v>
      </c>
      <c r="V73" s="562" t="s">
        <v>585</v>
      </c>
      <c r="W73" s="562" t="s">
        <v>585</v>
      </c>
      <c r="X73" s="561" t="e">
        <f t="shared" si="54"/>
        <v>#VALUE!</v>
      </c>
      <c r="Y73" s="662"/>
      <c r="Z73" s="560" t="s">
        <v>585</v>
      </c>
      <c r="AA73" s="562" t="s">
        <v>585</v>
      </c>
      <c r="AB73" s="562" t="s">
        <v>585</v>
      </c>
      <c r="AC73" s="561" t="e">
        <f t="shared" si="56"/>
        <v>#VALUE!</v>
      </c>
      <c r="AD73" s="662"/>
      <c r="AE73" s="560" t="s">
        <v>585</v>
      </c>
      <c r="AF73" s="562" t="s">
        <v>585</v>
      </c>
      <c r="AG73" s="562" t="s">
        <v>585</v>
      </c>
      <c r="AH73" s="561" t="e">
        <f t="shared" si="58"/>
        <v>#VALUE!</v>
      </c>
      <c r="AI73" s="662"/>
      <c r="AJ73" s="560" t="s">
        <v>585</v>
      </c>
      <c r="AK73" s="562" t="s">
        <v>585</v>
      </c>
      <c r="AL73" s="562" t="s">
        <v>585</v>
      </c>
      <c r="AM73" s="561" t="e">
        <f t="shared" si="60"/>
        <v>#VALUE!</v>
      </c>
      <c r="AN73" s="662"/>
      <c r="AO73" s="560" t="s">
        <v>585</v>
      </c>
      <c r="AP73" s="562" t="s">
        <v>585</v>
      </c>
      <c r="AQ73" s="562" t="s">
        <v>585</v>
      </c>
      <c r="AR73" s="561" t="e">
        <f t="shared" si="62"/>
        <v>#VALUE!</v>
      </c>
      <c r="AS73" s="662"/>
      <c r="AT73" s="560" t="s">
        <v>585</v>
      </c>
      <c r="AU73" s="562" t="s">
        <v>585</v>
      </c>
      <c r="AV73" s="562" t="s">
        <v>585</v>
      </c>
      <c r="AW73" s="561" t="e">
        <f t="shared" si="64"/>
        <v>#VALUE!</v>
      </c>
      <c r="AX73" s="662"/>
      <c r="AZ73" s="375" t="e">
        <f t="shared" si="66"/>
        <v>#N/A</v>
      </c>
      <c r="BA73" s="662"/>
    </row>
    <row r="74" spans="2:53">
      <c r="B74" s="660"/>
      <c r="C74" s="380">
        <v>8</v>
      </c>
      <c r="D74" s="513"/>
      <c r="E74" s="513"/>
      <c r="F74" s="513"/>
      <c r="G74" s="516"/>
      <c r="H74" s="692"/>
      <c r="I74" s="381" t="str">
        <f t="shared" si="49"/>
        <v>-</v>
      </c>
      <c r="J74" s="381" t="str">
        <f t="shared" si="50"/>
        <v>-</v>
      </c>
      <c r="K74" s="199" t="str">
        <f t="shared" si="51"/>
        <v>-</v>
      </c>
      <c r="L74" s="634"/>
      <c r="M74" s="421" t="e">
        <f>RANK(K74, K$67:$K$81)</f>
        <v>#VALUE!</v>
      </c>
      <c r="N74" s="652"/>
      <c r="O74" s="652"/>
      <c r="P74" s="560" t="s">
        <v>585</v>
      </c>
      <c r="Q74" s="562" t="s">
        <v>585</v>
      </c>
      <c r="R74" s="562" t="s">
        <v>585</v>
      </c>
      <c r="S74" s="561" t="e">
        <f t="shared" si="52"/>
        <v>#VALUE!</v>
      </c>
      <c r="T74" s="662"/>
      <c r="U74" s="560" t="s">
        <v>585</v>
      </c>
      <c r="V74" s="562" t="s">
        <v>585</v>
      </c>
      <c r="W74" s="562" t="s">
        <v>585</v>
      </c>
      <c r="X74" s="561" t="e">
        <f t="shared" si="54"/>
        <v>#VALUE!</v>
      </c>
      <c r="Y74" s="662"/>
      <c r="Z74" s="560" t="s">
        <v>585</v>
      </c>
      <c r="AA74" s="562" t="s">
        <v>585</v>
      </c>
      <c r="AB74" s="562" t="s">
        <v>585</v>
      </c>
      <c r="AC74" s="561" t="e">
        <f t="shared" si="56"/>
        <v>#VALUE!</v>
      </c>
      <c r="AD74" s="662"/>
      <c r="AE74" s="560" t="s">
        <v>585</v>
      </c>
      <c r="AF74" s="562" t="s">
        <v>585</v>
      </c>
      <c r="AG74" s="562" t="s">
        <v>585</v>
      </c>
      <c r="AH74" s="561" t="e">
        <f t="shared" si="58"/>
        <v>#VALUE!</v>
      </c>
      <c r="AI74" s="662"/>
      <c r="AJ74" s="560" t="s">
        <v>585</v>
      </c>
      <c r="AK74" s="562" t="s">
        <v>585</v>
      </c>
      <c r="AL74" s="562" t="s">
        <v>585</v>
      </c>
      <c r="AM74" s="561" t="e">
        <f t="shared" si="60"/>
        <v>#VALUE!</v>
      </c>
      <c r="AN74" s="662"/>
      <c r="AO74" s="560" t="s">
        <v>585</v>
      </c>
      <c r="AP74" s="562" t="s">
        <v>585</v>
      </c>
      <c r="AQ74" s="562" t="s">
        <v>585</v>
      </c>
      <c r="AR74" s="561" t="e">
        <f t="shared" si="62"/>
        <v>#VALUE!</v>
      </c>
      <c r="AS74" s="662"/>
      <c r="AT74" s="560" t="s">
        <v>585</v>
      </c>
      <c r="AU74" s="562" t="s">
        <v>585</v>
      </c>
      <c r="AV74" s="562" t="s">
        <v>585</v>
      </c>
      <c r="AW74" s="561" t="e">
        <f t="shared" si="64"/>
        <v>#VALUE!</v>
      </c>
      <c r="AX74" s="662"/>
      <c r="AZ74" s="375" t="e">
        <f t="shared" si="66"/>
        <v>#N/A</v>
      </c>
      <c r="BA74" s="662"/>
    </row>
    <row r="75" spans="2:53">
      <c r="B75" s="660"/>
      <c r="C75" s="380">
        <v>9</v>
      </c>
      <c r="D75" s="513"/>
      <c r="E75" s="513"/>
      <c r="F75" s="513"/>
      <c r="G75" s="516"/>
      <c r="H75" s="692"/>
      <c r="I75" s="381" t="str">
        <f t="shared" si="49"/>
        <v>-</v>
      </c>
      <c r="J75" s="381" t="str">
        <f t="shared" si="50"/>
        <v>-</v>
      </c>
      <c r="K75" s="199" t="str">
        <f t="shared" si="51"/>
        <v>-</v>
      </c>
      <c r="L75" s="634"/>
      <c r="M75" s="421" t="e">
        <f>RANK(K75, K$67:$K$81)</f>
        <v>#VALUE!</v>
      </c>
      <c r="N75" s="652"/>
      <c r="O75" s="652"/>
      <c r="P75" s="560" t="s">
        <v>585</v>
      </c>
      <c r="Q75" s="562" t="s">
        <v>585</v>
      </c>
      <c r="R75" s="562" t="s">
        <v>585</v>
      </c>
      <c r="S75" s="561" t="e">
        <f t="shared" si="52"/>
        <v>#VALUE!</v>
      </c>
      <c r="T75" s="662"/>
      <c r="U75" s="560" t="s">
        <v>585</v>
      </c>
      <c r="V75" s="562" t="s">
        <v>585</v>
      </c>
      <c r="W75" s="562" t="s">
        <v>585</v>
      </c>
      <c r="X75" s="561" t="e">
        <f t="shared" si="54"/>
        <v>#VALUE!</v>
      </c>
      <c r="Y75" s="662"/>
      <c r="Z75" s="560" t="s">
        <v>585</v>
      </c>
      <c r="AA75" s="562" t="s">
        <v>585</v>
      </c>
      <c r="AB75" s="562" t="s">
        <v>585</v>
      </c>
      <c r="AC75" s="561" t="e">
        <f t="shared" si="56"/>
        <v>#VALUE!</v>
      </c>
      <c r="AD75" s="662"/>
      <c r="AE75" s="560" t="s">
        <v>585</v>
      </c>
      <c r="AF75" s="562" t="s">
        <v>585</v>
      </c>
      <c r="AG75" s="562" t="s">
        <v>585</v>
      </c>
      <c r="AH75" s="561" t="e">
        <f t="shared" si="58"/>
        <v>#VALUE!</v>
      </c>
      <c r="AI75" s="662"/>
      <c r="AJ75" s="560" t="s">
        <v>585</v>
      </c>
      <c r="AK75" s="562" t="s">
        <v>585</v>
      </c>
      <c r="AL75" s="562" t="s">
        <v>585</v>
      </c>
      <c r="AM75" s="561" t="e">
        <f t="shared" si="60"/>
        <v>#VALUE!</v>
      </c>
      <c r="AN75" s="662"/>
      <c r="AO75" s="560" t="s">
        <v>585</v>
      </c>
      <c r="AP75" s="562" t="s">
        <v>585</v>
      </c>
      <c r="AQ75" s="562" t="s">
        <v>585</v>
      </c>
      <c r="AR75" s="561" t="e">
        <f t="shared" si="62"/>
        <v>#VALUE!</v>
      </c>
      <c r="AS75" s="662"/>
      <c r="AT75" s="560" t="s">
        <v>585</v>
      </c>
      <c r="AU75" s="562" t="s">
        <v>585</v>
      </c>
      <c r="AV75" s="562" t="s">
        <v>585</v>
      </c>
      <c r="AW75" s="561" t="e">
        <f t="shared" si="64"/>
        <v>#VALUE!</v>
      </c>
      <c r="AX75" s="662"/>
      <c r="AZ75" s="375" t="e">
        <f t="shared" si="66"/>
        <v>#N/A</v>
      </c>
      <c r="BA75" s="662"/>
    </row>
    <row r="76" spans="2:53">
      <c r="B76" s="660"/>
      <c r="C76" s="380">
        <v>10</v>
      </c>
      <c r="D76" s="513"/>
      <c r="E76" s="513"/>
      <c r="F76" s="513"/>
      <c r="G76" s="516"/>
      <c r="H76" s="692"/>
      <c r="I76" s="381" t="str">
        <f t="shared" si="49"/>
        <v>-</v>
      </c>
      <c r="J76" s="381" t="str">
        <f t="shared" si="50"/>
        <v>-</v>
      </c>
      <c r="K76" s="199" t="str">
        <f t="shared" si="51"/>
        <v>-</v>
      </c>
      <c r="L76" s="634"/>
      <c r="M76" s="421" t="e">
        <f>RANK(K76, K$67:$K$81)</f>
        <v>#VALUE!</v>
      </c>
      <c r="N76" s="652"/>
      <c r="O76" s="652"/>
      <c r="P76" s="560" t="s">
        <v>585</v>
      </c>
      <c r="Q76" s="562" t="s">
        <v>585</v>
      </c>
      <c r="R76" s="562" t="s">
        <v>585</v>
      </c>
      <c r="S76" s="561" t="e">
        <f t="shared" si="52"/>
        <v>#VALUE!</v>
      </c>
      <c r="T76" s="662"/>
      <c r="U76" s="560" t="s">
        <v>585</v>
      </c>
      <c r="V76" s="562" t="s">
        <v>585</v>
      </c>
      <c r="W76" s="562" t="s">
        <v>585</v>
      </c>
      <c r="X76" s="561" t="e">
        <f t="shared" si="54"/>
        <v>#VALUE!</v>
      </c>
      <c r="Y76" s="662"/>
      <c r="Z76" s="560" t="s">
        <v>585</v>
      </c>
      <c r="AA76" s="562" t="s">
        <v>585</v>
      </c>
      <c r="AB76" s="562" t="s">
        <v>585</v>
      </c>
      <c r="AC76" s="561" t="e">
        <f t="shared" si="56"/>
        <v>#VALUE!</v>
      </c>
      <c r="AD76" s="662"/>
      <c r="AE76" s="560" t="s">
        <v>585</v>
      </c>
      <c r="AF76" s="562" t="s">
        <v>585</v>
      </c>
      <c r="AG76" s="562" t="s">
        <v>585</v>
      </c>
      <c r="AH76" s="561" t="e">
        <f t="shared" si="58"/>
        <v>#VALUE!</v>
      </c>
      <c r="AI76" s="662"/>
      <c r="AJ76" s="560" t="s">
        <v>585</v>
      </c>
      <c r="AK76" s="562" t="s">
        <v>585</v>
      </c>
      <c r="AL76" s="562" t="s">
        <v>585</v>
      </c>
      <c r="AM76" s="561" t="e">
        <f t="shared" si="60"/>
        <v>#VALUE!</v>
      </c>
      <c r="AN76" s="662"/>
      <c r="AO76" s="560" t="s">
        <v>585</v>
      </c>
      <c r="AP76" s="562" t="s">
        <v>585</v>
      </c>
      <c r="AQ76" s="562" t="s">
        <v>585</v>
      </c>
      <c r="AR76" s="561" t="e">
        <f t="shared" si="62"/>
        <v>#VALUE!</v>
      </c>
      <c r="AS76" s="662"/>
      <c r="AT76" s="560" t="s">
        <v>585</v>
      </c>
      <c r="AU76" s="562" t="s">
        <v>585</v>
      </c>
      <c r="AV76" s="562" t="s">
        <v>585</v>
      </c>
      <c r="AW76" s="561" t="e">
        <f t="shared" si="64"/>
        <v>#VALUE!</v>
      </c>
      <c r="AX76" s="662"/>
      <c r="AZ76" s="375" t="e">
        <f t="shared" si="66"/>
        <v>#N/A</v>
      </c>
      <c r="BA76" s="662"/>
    </row>
    <row r="77" spans="2:53">
      <c r="B77" s="660"/>
      <c r="C77" s="380">
        <v>11</v>
      </c>
      <c r="D77" s="513"/>
      <c r="E77" s="513"/>
      <c r="F77" s="513"/>
      <c r="G77" s="516"/>
      <c r="H77" s="692"/>
      <c r="I77" s="381" t="str">
        <f t="shared" si="49"/>
        <v>-</v>
      </c>
      <c r="J77" s="381" t="str">
        <f t="shared" si="50"/>
        <v>-</v>
      </c>
      <c r="K77" s="199" t="str">
        <f t="shared" si="51"/>
        <v>-</v>
      </c>
      <c r="L77" s="634"/>
      <c r="M77" s="421" t="e">
        <f>RANK(K77, K$67:$K$81)</f>
        <v>#VALUE!</v>
      </c>
      <c r="N77" s="652"/>
      <c r="O77" s="652"/>
      <c r="P77" s="560" t="s">
        <v>585</v>
      </c>
      <c r="Q77" s="562" t="s">
        <v>585</v>
      </c>
      <c r="R77" s="562" t="s">
        <v>585</v>
      </c>
      <c r="S77" s="561" t="e">
        <f t="shared" si="52"/>
        <v>#VALUE!</v>
      </c>
      <c r="T77" s="662"/>
      <c r="U77" s="560" t="s">
        <v>585</v>
      </c>
      <c r="V77" s="562" t="s">
        <v>585</v>
      </c>
      <c r="W77" s="562" t="s">
        <v>585</v>
      </c>
      <c r="X77" s="561" t="e">
        <f t="shared" si="54"/>
        <v>#VALUE!</v>
      </c>
      <c r="Y77" s="662"/>
      <c r="Z77" s="560" t="s">
        <v>585</v>
      </c>
      <c r="AA77" s="562" t="s">
        <v>585</v>
      </c>
      <c r="AB77" s="562" t="s">
        <v>585</v>
      </c>
      <c r="AC77" s="561" t="e">
        <f t="shared" si="56"/>
        <v>#VALUE!</v>
      </c>
      <c r="AD77" s="662"/>
      <c r="AE77" s="560" t="s">
        <v>585</v>
      </c>
      <c r="AF77" s="562" t="s">
        <v>585</v>
      </c>
      <c r="AG77" s="562" t="s">
        <v>585</v>
      </c>
      <c r="AH77" s="561" t="e">
        <f t="shared" si="58"/>
        <v>#VALUE!</v>
      </c>
      <c r="AI77" s="662"/>
      <c r="AJ77" s="560" t="s">
        <v>585</v>
      </c>
      <c r="AK77" s="562" t="s">
        <v>585</v>
      </c>
      <c r="AL77" s="562" t="s">
        <v>585</v>
      </c>
      <c r="AM77" s="561" t="e">
        <f t="shared" si="60"/>
        <v>#VALUE!</v>
      </c>
      <c r="AN77" s="662"/>
      <c r="AO77" s="560" t="s">
        <v>585</v>
      </c>
      <c r="AP77" s="562" t="s">
        <v>585</v>
      </c>
      <c r="AQ77" s="562" t="s">
        <v>585</v>
      </c>
      <c r="AR77" s="561" t="e">
        <f t="shared" si="62"/>
        <v>#VALUE!</v>
      </c>
      <c r="AS77" s="662"/>
      <c r="AT77" s="560" t="s">
        <v>585</v>
      </c>
      <c r="AU77" s="562" t="s">
        <v>585</v>
      </c>
      <c r="AV77" s="562" t="s">
        <v>585</v>
      </c>
      <c r="AW77" s="561" t="e">
        <f t="shared" si="64"/>
        <v>#VALUE!</v>
      </c>
      <c r="AX77" s="662"/>
      <c r="AZ77" s="375" t="e">
        <f t="shared" si="66"/>
        <v>#N/A</v>
      </c>
      <c r="BA77" s="662"/>
    </row>
    <row r="78" spans="2:53">
      <c r="B78" s="660"/>
      <c r="C78" s="380">
        <v>12</v>
      </c>
      <c r="D78" s="513"/>
      <c r="E78" s="513"/>
      <c r="F78" s="513"/>
      <c r="G78" s="516"/>
      <c r="H78" s="692"/>
      <c r="I78" s="381" t="str">
        <f t="shared" si="49"/>
        <v>-</v>
      </c>
      <c r="J78" s="381" t="str">
        <f t="shared" si="50"/>
        <v>-</v>
      </c>
      <c r="K78" s="199" t="str">
        <f t="shared" si="51"/>
        <v>-</v>
      </c>
      <c r="L78" s="634"/>
      <c r="M78" s="421" t="e">
        <f>RANK(K78, K$67:$K$81)</f>
        <v>#VALUE!</v>
      </c>
      <c r="N78" s="652"/>
      <c r="O78" s="652"/>
      <c r="P78" s="560" t="s">
        <v>585</v>
      </c>
      <c r="Q78" s="562" t="s">
        <v>585</v>
      </c>
      <c r="R78" s="562" t="s">
        <v>585</v>
      </c>
      <c r="S78" s="561" t="e">
        <f t="shared" si="52"/>
        <v>#VALUE!</v>
      </c>
      <c r="T78" s="662"/>
      <c r="U78" s="560" t="s">
        <v>585</v>
      </c>
      <c r="V78" s="562" t="s">
        <v>585</v>
      </c>
      <c r="W78" s="562" t="s">
        <v>585</v>
      </c>
      <c r="X78" s="561" t="e">
        <f t="shared" si="54"/>
        <v>#VALUE!</v>
      </c>
      <c r="Y78" s="662"/>
      <c r="Z78" s="560" t="s">
        <v>585</v>
      </c>
      <c r="AA78" s="562" t="s">
        <v>585</v>
      </c>
      <c r="AB78" s="562" t="s">
        <v>585</v>
      </c>
      <c r="AC78" s="561" t="e">
        <f t="shared" si="56"/>
        <v>#VALUE!</v>
      </c>
      <c r="AD78" s="662"/>
      <c r="AE78" s="560" t="s">
        <v>585</v>
      </c>
      <c r="AF78" s="562" t="s">
        <v>585</v>
      </c>
      <c r="AG78" s="562" t="s">
        <v>585</v>
      </c>
      <c r="AH78" s="561" t="e">
        <f t="shared" si="58"/>
        <v>#VALUE!</v>
      </c>
      <c r="AI78" s="662"/>
      <c r="AJ78" s="560" t="s">
        <v>585</v>
      </c>
      <c r="AK78" s="562" t="s">
        <v>585</v>
      </c>
      <c r="AL78" s="562" t="s">
        <v>585</v>
      </c>
      <c r="AM78" s="561" t="e">
        <f t="shared" si="60"/>
        <v>#VALUE!</v>
      </c>
      <c r="AN78" s="662"/>
      <c r="AO78" s="560" t="s">
        <v>585</v>
      </c>
      <c r="AP78" s="562" t="s">
        <v>585</v>
      </c>
      <c r="AQ78" s="562" t="s">
        <v>585</v>
      </c>
      <c r="AR78" s="561" t="e">
        <f t="shared" si="62"/>
        <v>#VALUE!</v>
      </c>
      <c r="AS78" s="662"/>
      <c r="AT78" s="560" t="s">
        <v>585</v>
      </c>
      <c r="AU78" s="562" t="s">
        <v>585</v>
      </c>
      <c r="AV78" s="562" t="s">
        <v>585</v>
      </c>
      <c r="AW78" s="561" t="e">
        <f t="shared" si="64"/>
        <v>#VALUE!</v>
      </c>
      <c r="AX78" s="662"/>
      <c r="AZ78" s="375" t="e">
        <f t="shared" si="66"/>
        <v>#N/A</v>
      </c>
      <c r="BA78" s="662"/>
    </row>
    <row r="79" spans="2:53">
      <c r="B79" s="660"/>
      <c r="C79" s="380">
        <v>13</v>
      </c>
      <c r="D79" s="513"/>
      <c r="E79" s="513"/>
      <c r="F79" s="513"/>
      <c r="G79" s="516"/>
      <c r="H79" s="692"/>
      <c r="I79" s="381" t="str">
        <f t="shared" si="49"/>
        <v>-</v>
      </c>
      <c r="J79" s="381" t="str">
        <f t="shared" si="50"/>
        <v>-</v>
      </c>
      <c r="K79" s="199" t="str">
        <f t="shared" si="51"/>
        <v>-</v>
      </c>
      <c r="L79" s="634"/>
      <c r="M79" s="421" t="e">
        <f>RANK(K79, K$67:$K$81)</f>
        <v>#VALUE!</v>
      </c>
      <c r="N79" s="652"/>
      <c r="O79" s="652"/>
      <c r="P79" s="560" t="s">
        <v>585</v>
      </c>
      <c r="Q79" s="562" t="s">
        <v>585</v>
      </c>
      <c r="R79" s="562" t="s">
        <v>585</v>
      </c>
      <c r="S79" s="561" t="e">
        <f t="shared" si="52"/>
        <v>#VALUE!</v>
      </c>
      <c r="T79" s="662"/>
      <c r="U79" s="560" t="s">
        <v>585</v>
      </c>
      <c r="V79" s="562" t="s">
        <v>585</v>
      </c>
      <c r="W79" s="562" t="s">
        <v>585</v>
      </c>
      <c r="X79" s="561" t="e">
        <f t="shared" si="54"/>
        <v>#VALUE!</v>
      </c>
      <c r="Y79" s="662"/>
      <c r="Z79" s="560" t="s">
        <v>585</v>
      </c>
      <c r="AA79" s="562" t="s">
        <v>585</v>
      </c>
      <c r="AB79" s="562" t="s">
        <v>585</v>
      </c>
      <c r="AC79" s="561" t="e">
        <f t="shared" si="56"/>
        <v>#VALUE!</v>
      </c>
      <c r="AD79" s="662"/>
      <c r="AE79" s="560" t="s">
        <v>585</v>
      </c>
      <c r="AF79" s="562" t="s">
        <v>585</v>
      </c>
      <c r="AG79" s="562" t="s">
        <v>585</v>
      </c>
      <c r="AH79" s="561" t="e">
        <f t="shared" si="58"/>
        <v>#VALUE!</v>
      </c>
      <c r="AI79" s="662"/>
      <c r="AJ79" s="560" t="s">
        <v>585</v>
      </c>
      <c r="AK79" s="562" t="s">
        <v>585</v>
      </c>
      <c r="AL79" s="562" t="s">
        <v>585</v>
      </c>
      <c r="AM79" s="561" t="e">
        <f t="shared" si="60"/>
        <v>#VALUE!</v>
      </c>
      <c r="AN79" s="662"/>
      <c r="AO79" s="560" t="s">
        <v>585</v>
      </c>
      <c r="AP79" s="562" t="s">
        <v>585</v>
      </c>
      <c r="AQ79" s="562" t="s">
        <v>585</v>
      </c>
      <c r="AR79" s="561" t="e">
        <f t="shared" si="62"/>
        <v>#VALUE!</v>
      </c>
      <c r="AS79" s="662"/>
      <c r="AT79" s="560" t="s">
        <v>585</v>
      </c>
      <c r="AU79" s="562" t="s">
        <v>585</v>
      </c>
      <c r="AV79" s="562" t="s">
        <v>585</v>
      </c>
      <c r="AW79" s="561" t="e">
        <f t="shared" si="64"/>
        <v>#VALUE!</v>
      </c>
      <c r="AX79" s="662"/>
      <c r="AZ79" s="375" t="e">
        <f t="shared" si="66"/>
        <v>#N/A</v>
      </c>
      <c r="BA79" s="662"/>
    </row>
    <row r="80" spans="2:53">
      <c r="B80" s="660"/>
      <c r="C80" s="380">
        <v>14</v>
      </c>
      <c r="D80" s="513"/>
      <c r="E80" s="513"/>
      <c r="F80" s="513"/>
      <c r="G80" s="516"/>
      <c r="H80" s="692"/>
      <c r="I80" s="381" t="str">
        <f t="shared" si="49"/>
        <v>-</v>
      </c>
      <c r="J80" s="381" t="str">
        <f t="shared" si="50"/>
        <v>-</v>
      </c>
      <c r="K80" s="199" t="str">
        <f t="shared" si="51"/>
        <v>-</v>
      </c>
      <c r="L80" s="634"/>
      <c r="M80" s="421" t="e">
        <f>RANK(K80, K$67:$K$81)</f>
        <v>#VALUE!</v>
      </c>
      <c r="N80" s="652"/>
      <c r="O80" s="652"/>
      <c r="P80" s="560" t="s">
        <v>585</v>
      </c>
      <c r="Q80" s="562" t="s">
        <v>585</v>
      </c>
      <c r="R80" s="562" t="s">
        <v>585</v>
      </c>
      <c r="S80" s="561" t="e">
        <f t="shared" si="52"/>
        <v>#VALUE!</v>
      </c>
      <c r="T80" s="662"/>
      <c r="U80" s="560" t="s">
        <v>585</v>
      </c>
      <c r="V80" s="562" t="s">
        <v>585</v>
      </c>
      <c r="W80" s="562" t="s">
        <v>585</v>
      </c>
      <c r="X80" s="561" t="e">
        <f t="shared" si="54"/>
        <v>#VALUE!</v>
      </c>
      <c r="Y80" s="662"/>
      <c r="Z80" s="560" t="s">
        <v>585</v>
      </c>
      <c r="AA80" s="562" t="s">
        <v>585</v>
      </c>
      <c r="AB80" s="562" t="s">
        <v>585</v>
      </c>
      <c r="AC80" s="561" t="e">
        <f t="shared" si="56"/>
        <v>#VALUE!</v>
      </c>
      <c r="AD80" s="662"/>
      <c r="AE80" s="560" t="s">
        <v>585</v>
      </c>
      <c r="AF80" s="562" t="s">
        <v>585</v>
      </c>
      <c r="AG80" s="562" t="s">
        <v>585</v>
      </c>
      <c r="AH80" s="561" t="e">
        <f t="shared" si="58"/>
        <v>#VALUE!</v>
      </c>
      <c r="AI80" s="662"/>
      <c r="AJ80" s="560" t="s">
        <v>585</v>
      </c>
      <c r="AK80" s="562" t="s">
        <v>585</v>
      </c>
      <c r="AL80" s="562" t="s">
        <v>585</v>
      </c>
      <c r="AM80" s="561" t="e">
        <f t="shared" si="60"/>
        <v>#VALUE!</v>
      </c>
      <c r="AN80" s="662"/>
      <c r="AO80" s="560" t="s">
        <v>585</v>
      </c>
      <c r="AP80" s="562" t="s">
        <v>585</v>
      </c>
      <c r="AQ80" s="562" t="s">
        <v>585</v>
      </c>
      <c r="AR80" s="561" t="e">
        <f t="shared" si="62"/>
        <v>#VALUE!</v>
      </c>
      <c r="AS80" s="662"/>
      <c r="AT80" s="560" t="s">
        <v>585</v>
      </c>
      <c r="AU80" s="562" t="s">
        <v>585</v>
      </c>
      <c r="AV80" s="562" t="s">
        <v>585</v>
      </c>
      <c r="AW80" s="561" t="e">
        <f t="shared" si="64"/>
        <v>#VALUE!</v>
      </c>
      <c r="AX80" s="662"/>
      <c r="AZ80" s="375" t="e">
        <f t="shared" si="66"/>
        <v>#N/A</v>
      </c>
      <c r="BA80" s="662"/>
    </row>
    <row r="81" spans="2:53">
      <c r="B81" s="660"/>
      <c r="C81" s="380">
        <v>15</v>
      </c>
      <c r="D81" s="513"/>
      <c r="E81" s="513"/>
      <c r="F81" s="513"/>
      <c r="G81" s="513"/>
      <c r="H81" s="696"/>
      <c r="I81" s="381" t="str">
        <f t="shared" si="49"/>
        <v>-</v>
      </c>
      <c r="J81" s="381" t="str">
        <f t="shared" si="50"/>
        <v>-</v>
      </c>
      <c r="K81" s="199" t="str">
        <f t="shared" si="51"/>
        <v>-</v>
      </c>
      <c r="L81" s="635"/>
      <c r="M81" s="421" t="e">
        <f>RANK(K81, K$67:$K$81)</f>
        <v>#VALUE!</v>
      </c>
      <c r="N81" s="652"/>
      <c r="O81" s="652"/>
      <c r="P81" s="560" t="s">
        <v>585</v>
      </c>
      <c r="Q81" s="562" t="s">
        <v>585</v>
      </c>
      <c r="R81" s="562" t="s">
        <v>585</v>
      </c>
      <c r="S81" s="561" t="e">
        <f t="shared" si="52"/>
        <v>#VALUE!</v>
      </c>
      <c r="T81" s="663"/>
      <c r="U81" s="560" t="s">
        <v>585</v>
      </c>
      <c r="V81" s="562" t="s">
        <v>585</v>
      </c>
      <c r="W81" s="562" t="s">
        <v>585</v>
      </c>
      <c r="X81" s="561" t="e">
        <f t="shared" si="54"/>
        <v>#VALUE!</v>
      </c>
      <c r="Y81" s="663"/>
      <c r="Z81" s="560" t="s">
        <v>585</v>
      </c>
      <c r="AA81" s="562" t="s">
        <v>585</v>
      </c>
      <c r="AB81" s="562" t="s">
        <v>585</v>
      </c>
      <c r="AC81" s="561" t="e">
        <f t="shared" si="56"/>
        <v>#VALUE!</v>
      </c>
      <c r="AD81" s="663"/>
      <c r="AE81" s="560" t="s">
        <v>585</v>
      </c>
      <c r="AF81" s="562" t="s">
        <v>585</v>
      </c>
      <c r="AG81" s="562" t="s">
        <v>585</v>
      </c>
      <c r="AH81" s="561" t="e">
        <f t="shared" si="58"/>
        <v>#VALUE!</v>
      </c>
      <c r="AI81" s="663"/>
      <c r="AJ81" s="560" t="s">
        <v>585</v>
      </c>
      <c r="AK81" s="562" t="s">
        <v>585</v>
      </c>
      <c r="AL81" s="562" t="s">
        <v>585</v>
      </c>
      <c r="AM81" s="561" t="e">
        <f t="shared" si="60"/>
        <v>#VALUE!</v>
      </c>
      <c r="AN81" s="663"/>
      <c r="AO81" s="560" t="s">
        <v>585</v>
      </c>
      <c r="AP81" s="562" t="s">
        <v>585</v>
      </c>
      <c r="AQ81" s="562" t="s">
        <v>585</v>
      </c>
      <c r="AR81" s="561" t="e">
        <f t="shared" si="62"/>
        <v>#VALUE!</v>
      </c>
      <c r="AS81" s="663"/>
      <c r="AT81" s="560" t="s">
        <v>585</v>
      </c>
      <c r="AU81" s="562" t="s">
        <v>585</v>
      </c>
      <c r="AV81" s="562" t="s">
        <v>585</v>
      </c>
      <c r="AW81" s="561" t="e">
        <f t="shared" si="64"/>
        <v>#VALUE!</v>
      </c>
      <c r="AX81" s="663"/>
      <c r="AZ81" s="375" t="e">
        <f t="shared" si="66"/>
        <v>#N/A</v>
      </c>
      <c r="BA81" s="663"/>
    </row>
    <row r="82" spans="2:53" ht="15.75">
      <c r="B82" s="664" t="s">
        <v>162</v>
      </c>
      <c r="C82" s="665"/>
      <c r="D82" s="665"/>
      <c r="E82" s="665"/>
      <c r="F82" s="665"/>
      <c r="G82" s="665"/>
      <c r="H82" s="666"/>
      <c r="I82" s="207"/>
      <c r="J82" s="207"/>
      <c r="K82" s="207"/>
      <c r="L82" s="207"/>
      <c r="M82" s="206"/>
      <c r="N82" s="653" t="s">
        <v>156</v>
      </c>
      <c r="O82" s="653" t="s">
        <v>105</v>
      </c>
      <c r="P82" s="656">
        <f>P62+7</f>
        <v>46259</v>
      </c>
      <c r="Q82" s="657"/>
      <c r="R82" s="657"/>
      <c r="S82" s="657"/>
      <c r="T82" s="658"/>
      <c r="U82" s="656">
        <f>P82+1</f>
        <v>46260</v>
      </c>
      <c r="V82" s="657"/>
      <c r="W82" s="657"/>
      <c r="X82" s="657"/>
      <c r="Y82" s="658"/>
      <c r="Z82" s="656">
        <f>U82+1</f>
        <v>46261</v>
      </c>
      <c r="AA82" s="657"/>
      <c r="AB82" s="657"/>
      <c r="AC82" s="657"/>
      <c r="AD82" s="658"/>
      <c r="AE82" s="656">
        <f>Z82+1</f>
        <v>46262</v>
      </c>
      <c r="AF82" s="657"/>
      <c r="AG82" s="657"/>
      <c r="AH82" s="657"/>
      <c r="AI82" s="658"/>
      <c r="AJ82" s="656">
        <f>AE82+1</f>
        <v>46263</v>
      </c>
      <c r="AK82" s="657"/>
      <c r="AL82" s="657"/>
      <c r="AM82" s="657"/>
      <c r="AN82" s="658"/>
      <c r="AO82" s="656">
        <f>AJ82+1</f>
        <v>46264</v>
      </c>
      <c r="AP82" s="657"/>
      <c r="AQ82" s="657"/>
      <c r="AR82" s="657"/>
      <c r="AS82" s="658"/>
      <c r="AT82" s="656">
        <f>AO82+1</f>
        <v>46265</v>
      </c>
      <c r="AU82" s="657"/>
      <c r="AV82" s="657"/>
      <c r="AW82" s="657"/>
      <c r="AX82" s="658"/>
    </row>
    <row r="83" spans="2:53" ht="15.75">
      <c r="B83" s="667"/>
      <c r="C83" s="667"/>
      <c r="D83" s="667"/>
      <c r="E83" s="667"/>
      <c r="F83" s="667"/>
      <c r="G83" s="667"/>
      <c r="H83" s="667"/>
      <c r="I83" s="204"/>
      <c r="J83" s="204"/>
      <c r="K83" s="204"/>
      <c r="L83" s="204"/>
      <c r="M83" s="205"/>
      <c r="N83" s="655"/>
      <c r="O83" s="655"/>
      <c r="P83" s="656" t="s">
        <v>317</v>
      </c>
      <c r="Q83" s="657"/>
      <c r="R83" s="657"/>
      <c r="S83" s="657"/>
      <c r="T83" s="658"/>
      <c r="U83" s="656" t="s">
        <v>318</v>
      </c>
      <c r="V83" s="657"/>
      <c r="W83" s="657"/>
      <c r="X83" s="657"/>
      <c r="Y83" s="658"/>
      <c r="Z83" s="656" t="s">
        <v>319</v>
      </c>
      <c r="AA83" s="657"/>
      <c r="AB83" s="657"/>
      <c r="AC83" s="657"/>
      <c r="AD83" s="658"/>
      <c r="AE83" s="659" t="s">
        <v>320</v>
      </c>
      <c r="AF83" s="660"/>
      <c r="AG83" s="660"/>
      <c r="AH83" s="660"/>
      <c r="AI83" s="660"/>
      <c r="AJ83" s="659" t="s">
        <v>321</v>
      </c>
      <c r="AK83" s="660"/>
      <c r="AL83" s="660"/>
      <c r="AM83" s="660"/>
      <c r="AN83" s="660"/>
      <c r="AO83" s="659" t="s">
        <v>322</v>
      </c>
      <c r="AP83" s="660"/>
      <c r="AQ83" s="660"/>
      <c r="AR83" s="660"/>
      <c r="AS83" s="660"/>
      <c r="AT83" s="659" t="s">
        <v>323</v>
      </c>
      <c r="AU83" s="660"/>
      <c r="AV83" s="660"/>
      <c r="AW83" s="660"/>
      <c r="AX83" s="660"/>
    </row>
    <row r="84" spans="2:53">
      <c r="B84" s="652" t="s">
        <v>389</v>
      </c>
      <c r="C84" s="652" t="s">
        <v>379</v>
      </c>
      <c r="D84" s="652"/>
      <c r="E84" s="652" t="s">
        <v>370</v>
      </c>
      <c r="F84" s="652"/>
      <c r="G84" s="652"/>
      <c r="H84" s="668" t="s">
        <v>366</v>
      </c>
      <c r="I84" s="652" t="s">
        <v>371</v>
      </c>
      <c r="J84" s="652"/>
      <c r="K84" s="652"/>
      <c r="L84" s="668" t="s">
        <v>366</v>
      </c>
      <c r="M84" s="653" t="s">
        <v>367</v>
      </c>
      <c r="N84" s="652"/>
      <c r="O84" s="652" t="s">
        <v>372</v>
      </c>
      <c r="P84" s="649" t="s">
        <v>368</v>
      </c>
      <c r="Q84" s="650"/>
      <c r="R84" s="650"/>
      <c r="S84" s="651"/>
      <c r="T84" s="653" t="s">
        <v>366</v>
      </c>
      <c r="U84" s="649" t="s">
        <v>368</v>
      </c>
      <c r="V84" s="650"/>
      <c r="W84" s="650"/>
      <c r="X84" s="651"/>
      <c r="Y84" s="653" t="s">
        <v>366</v>
      </c>
      <c r="Z84" s="649" t="s">
        <v>368</v>
      </c>
      <c r="AA84" s="650"/>
      <c r="AB84" s="650"/>
      <c r="AC84" s="651"/>
      <c r="AD84" s="653" t="s">
        <v>366</v>
      </c>
      <c r="AE84" s="649" t="s">
        <v>368</v>
      </c>
      <c r="AF84" s="650"/>
      <c r="AG84" s="650"/>
      <c r="AH84" s="651"/>
      <c r="AI84" s="652" t="s">
        <v>366</v>
      </c>
      <c r="AJ84" s="649" t="s">
        <v>368</v>
      </c>
      <c r="AK84" s="650"/>
      <c r="AL84" s="650"/>
      <c r="AM84" s="651"/>
      <c r="AN84" s="652" t="s">
        <v>366</v>
      </c>
      <c r="AO84" s="649" t="s">
        <v>368</v>
      </c>
      <c r="AP84" s="650"/>
      <c r="AQ84" s="650"/>
      <c r="AR84" s="651"/>
      <c r="AS84" s="652" t="s">
        <v>366</v>
      </c>
      <c r="AT84" s="649" t="s">
        <v>368</v>
      </c>
      <c r="AU84" s="650"/>
      <c r="AV84" s="650"/>
      <c r="AW84" s="651"/>
      <c r="AX84" s="652" t="s">
        <v>366</v>
      </c>
      <c r="BA84" s="652" t="s">
        <v>366</v>
      </c>
    </row>
    <row r="85" spans="2:53">
      <c r="B85" s="652"/>
      <c r="C85" s="652"/>
      <c r="D85" s="652"/>
      <c r="E85" s="652" t="s">
        <v>373</v>
      </c>
      <c r="F85" s="652"/>
      <c r="G85" s="652"/>
      <c r="H85" s="669"/>
      <c r="I85" s="652" t="s">
        <v>373</v>
      </c>
      <c r="J85" s="652"/>
      <c r="K85" s="652"/>
      <c r="L85" s="669"/>
      <c r="M85" s="654"/>
      <c r="N85" s="652"/>
      <c r="O85" s="652"/>
      <c r="P85" s="649" t="s">
        <v>374</v>
      </c>
      <c r="Q85" s="650"/>
      <c r="R85" s="650"/>
      <c r="S85" s="651"/>
      <c r="T85" s="654"/>
      <c r="U85" s="649" t="s">
        <v>374</v>
      </c>
      <c r="V85" s="650"/>
      <c r="W85" s="650"/>
      <c r="X85" s="651"/>
      <c r="Y85" s="654"/>
      <c r="Z85" s="649" t="s">
        <v>374</v>
      </c>
      <c r="AA85" s="650"/>
      <c r="AB85" s="650"/>
      <c r="AC85" s="651"/>
      <c r="AD85" s="654"/>
      <c r="AE85" s="649" t="s">
        <v>374</v>
      </c>
      <c r="AF85" s="650"/>
      <c r="AG85" s="650"/>
      <c r="AH85" s="651"/>
      <c r="AI85" s="652"/>
      <c r="AJ85" s="649" t="s">
        <v>374</v>
      </c>
      <c r="AK85" s="650"/>
      <c r="AL85" s="650"/>
      <c r="AM85" s="651"/>
      <c r="AN85" s="652"/>
      <c r="AO85" s="649" t="s">
        <v>374</v>
      </c>
      <c r="AP85" s="650"/>
      <c r="AQ85" s="650"/>
      <c r="AR85" s="651"/>
      <c r="AS85" s="652"/>
      <c r="AT85" s="649" t="s">
        <v>374</v>
      </c>
      <c r="AU85" s="650"/>
      <c r="AV85" s="650"/>
      <c r="AW85" s="651"/>
      <c r="AX85" s="652"/>
      <c r="BA85" s="652"/>
    </row>
    <row r="86" spans="2:53">
      <c r="B86" s="652"/>
      <c r="C86" s="652"/>
      <c r="D86" s="652"/>
      <c r="E86" s="378" t="s">
        <v>375</v>
      </c>
      <c r="F86" s="378" t="s">
        <v>376</v>
      </c>
      <c r="G86" s="378" t="s">
        <v>377</v>
      </c>
      <c r="H86" s="670"/>
      <c r="I86" s="378" t="s">
        <v>375</v>
      </c>
      <c r="J86" s="378" t="s">
        <v>376</v>
      </c>
      <c r="K86" s="378" t="s">
        <v>377</v>
      </c>
      <c r="L86" s="670"/>
      <c r="M86" s="655"/>
      <c r="N86" s="652"/>
      <c r="O86" s="652"/>
      <c r="P86" s="517" t="s">
        <v>375</v>
      </c>
      <c r="Q86" s="517" t="s">
        <v>376</v>
      </c>
      <c r="R86" s="517" t="s">
        <v>377</v>
      </c>
      <c r="S86" s="517" t="s">
        <v>367</v>
      </c>
      <c r="T86" s="655"/>
      <c r="U86" s="517" t="s">
        <v>375</v>
      </c>
      <c r="V86" s="517" t="s">
        <v>376</v>
      </c>
      <c r="W86" s="517" t="s">
        <v>377</v>
      </c>
      <c r="X86" s="517" t="s">
        <v>367</v>
      </c>
      <c r="Y86" s="655"/>
      <c r="Z86" s="517" t="s">
        <v>375</v>
      </c>
      <c r="AA86" s="517" t="s">
        <v>376</v>
      </c>
      <c r="AB86" s="517" t="s">
        <v>377</v>
      </c>
      <c r="AC86" s="517" t="s">
        <v>367</v>
      </c>
      <c r="AD86" s="655"/>
      <c r="AE86" s="378" t="s">
        <v>375</v>
      </c>
      <c r="AF86" s="378" t="s">
        <v>376</v>
      </c>
      <c r="AG86" s="378" t="s">
        <v>377</v>
      </c>
      <c r="AH86" s="378" t="s">
        <v>367</v>
      </c>
      <c r="AI86" s="652"/>
      <c r="AJ86" s="378" t="s">
        <v>375</v>
      </c>
      <c r="AK86" s="378" t="s">
        <v>376</v>
      </c>
      <c r="AL86" s="378" t="s">
        <v>377</v>
      </c>
      <c r="AM86" s="378" t="s">
        <v>367</v>
      </c>
      <c r="AN86" s="652"/>
      <c r="AO86" s="378" t="s">
        <v>375</v>
      </c>
      <c r="AP86" s="378" t="s">
        <v>376</v>
      </c>
      <c r="AQ86" s="378" t="s">
        <v>377</v>
      </c>
      <c r="AR86" s="378" t="s">
        <v>367</v>
      </c>
      <c r="AS86" s="652"/>
      <c r="AT86" s="378" t="s">
        <v>375</v>
      </c>
      <c r="AU86" s="378" t="s">
        <v>376</v>
      </c>
      <c r="AV86" s="378" t="s">
        <v>377</v>
      </c>
      <c r="AW86" s="378" t="s">
        <v>367</v>
      </c>
      <c r="AX86" s="652"/>
      <c r="AZ86" s="373" t="s">
        <v>367</v>
      </c>
      <c r="BA86" s="652"/>
    </row>
    <row r="87" spans="2:53">
      <c r="B87" s="695" t="s">
        <v>402</v>
      </c>
      <c r="C87" s="380">
        <v>1</v>
      </c>
      <c r="D87" s="511" t="s">
        <v>571</v>
      </c>
      <c r="E87" s="513">
        <v>10</v>
      </c>
      <c r="F87" s="513">
        <v>1500</v>
      </c>
      <c r="G87" s="516">
        <v>150</v>
      </c>
      <c r="H87" s="691">
        <f>AVERAGE(G87:G101)</f>
        <v>127.5</v>
      </c>
      <c r="I87" s="381">
        <f t="shared" ref="I87:I101" si="68">IFERROR(AVERAGE(P87,U87,Z87,AE87,AJ87,AO87,AT87),"-")</f>
        <v>10</v>
      </c>
      <c r="J87" s="381">
        <f t="shared" ref="J87:J101" si="69">IFERROR(AVERAGE(Q87,V87,AA87,AF87,AK87,AP87,AU87),"-")</f>
        <v>1533.9030303030322</v>
      </c>
      <c r="K87" s="199">
        <f t="shared" ref="K87:K101" si="70">IFERROR(AVERAGE(R87,W87,AB87,AG87,AL87,AQ87,AV87),"-")</f>
        <v>153.39030303030319</v>
      </c>
      <c r="L87" s="633">
        <f>IFERROR(AVERAGE(K87:K101),"-")</f>
        <v>141.06820694461382</v>
      </c>
      <c r="M87" s="384">
        <f>RANK(K87, K$87:$K$101)</f>
        <v>1</v>
      </c>
      <c r="N87" s="652"/>
      <c r="O87" s="652"/>
      <c r="P87" s="571">
        <v>10</v>
      </c>
      <c r="Q87" s="573">
        <v>1615.2000000000057</v>
      </c>
      <c r="R87" s="573">
        <v>161.52000000000058</v>
      </c>
      <c r="S87" s="571">
        <f t="shared" ref="S87:S101" si="71">RANK(R87, R$87:R$101)</f>
        <v>1</v>
      </c>
      <c r="T87" s="685">
        <f t="shared" ref="T87" si="72">AVERAGE(R87:R101)</f>
        <v>145.77560439560443</v>
      </c>
      <c r="U87" s="571">
        <v>10</v>
      </c>
      <c r="V87" s="573">
        <v>1567.2000000000055</v>
      </c>
      <c r="W87" s="573">
        <v>156.72000000000054</v>
      </c>
      <c r="X87" s="571">
        <f t="shared" ref="X87:X101" si="73">RANK(W87, W$87:W$101)</f>
        <v>2</v>
      </c>
      <c r="Y87" s="685">
        <f t="shared" ref="Y87" si="74">AVERAGE(W87:W101)</f>
        <v>154.58680473372806</v>
      </c>
      <c r="Z87" s="571">
        <v>10</v>
      </c>
      <c r="AA87" s="573">
        <v>1562.6666666666667</v>
      </c>
      <c r="AB87" s="573">
        <v>156.26666666666668</v>
      </c>
      <c r="AC87" s="571">
        <f t="shared" ref="AC87:AC101" si="75">RANK(AB87, AB$87:AB$101)</f>
        <v>1</v>
      </c>
      <c r="AD87" s="685">
        <f t="shared" ref="AD87" si="76">AVERAGE(AB87:AB101)</f>
        <v>132.34217687074829</v>
      </c>
      <c r="AE87" s="571">
        <v>10</v>
      </c>
      <c r="AF87" s="573">
        <v>1537.4999999999961</v>
      </c>
      <c r="AG87" s="573">
        <v>153.7499999999996</v>
      </c>
      <c r="AH87" s="571">
        <f t="shared" ref="AH87:AH101" si="77">RANK(AG87, AG$87:AG$101)</f>
        <v>1</v>
      </c>
      <c r="AI87" s="685">
        <f t="shared" ref="AI87" si="78">AVERAGE(AG87:AG101)</f>
        <v>135.14495341614906</v>
      </c>
      <c r="AJ87" s="571">
        <v>10</v>
      </c>
      <c r="AK87" s="573">
        <v>1528.5000000000025</v>
      </c>
      <c r="AL87" s="573">
        <v>152.85000000000025</v>
      </c>
      <c r="AM87" s="571">
        <f t="shared" ref="AM87:AM101" si="79">RANK(AL87, AL$87:AL$101)</f>
        <v>1</v>
      </c>
      <c r="AN87" s="685">
        <f t="shared" ref="AN87" si="80">AVERAGE(AL87:AL101)</f>
        <v>147.79038461538454</v>
      </c>
      <c r="AO87" s="571">
        <v>10</v>
      </c>
      <c r="AP87" s="573">
        <v>1421.4545454545464</v>
      </c>
      <c r="AQ87" s="573">
        <v>142.14545454545464</v>
      </c>
      <c r="AR87" s="571">
        <f t="shared" ref="AR87:AR101" si="81">RANK(AQ87, AQ$87:AQ$101)</f>
        <v>1</v>
      </c>
      <c r="AS87" s="685">
        <f t="shared" ref="AS87" si="82">AVERAGE(AQ87:AQ101)</f>
        <v>134.34431883905563</v>
      </c>
      <c r="AT87" s="571">
        <v>10</v>
      </c>
      <c r="AU87" s="573">
        <v>1504.8000000000004</v>
      </c>
      <c r="AV87" s="573">
        <v>150.48000000000005</v>
      </c>
      <c r="AW87" s="571">
        <f t="shared" ref="AW87:AW101" si="83">RANK(AV87, AV$87:AV$101)</f>
        <v>1</v>
      </c>
      <c r="AX87" s="685">
        <f t="shared" ref="AX87" si="84">AVERAGE(AV87:AV101)</f>
        <v>137.49320574162675</v>
      </c>
      <c r="AZ87" s="372" t="e">
        <f t="shared" ref="AZ87:AZ101" si="85">RANK(AY87, AY$87:AY$101)</f>
        <v>#N/A</v>
      </c>
      <c r="BA87" s="685" t="e">
        <f t="shared" ref="BA87" si="86">AVERAGE(AY87:AY101)</f>
        <v>#DIV/0!</v>
      </c>
    </row>
    <row r="88" spans="2:53">
      <c r="B88" s="660"/>
      <c r="C88" s="380">
        <v>2</v>
      </c>
      <c r="D88" s="513" t="s">
        <v>591</v>
      </c>
      <c r="E88" s="513">
        <v>15</v>
      </c>
      <c r="F88" s="513">
        <v>1800</v>
      </c>
      <c r="G88" s="516">
        <v>120</v>
      </c>
      <c r="H88" s="692"/>
      <c r="I88" s="381">
        <f t="shared" si="68"/>
        <v>13.285714285714286</v>
      </c>
      <c r="J88" s="381">
        <f t="shared" si="69"/>
        <v>1846.7181746824608</v>
      </c>
      <c r="K88" s="199">
        <f t="shared" si="70"/>
        <v>139.25685891816198</v>
      </c>
      <c r="L88" s="634"/>
      <c r="M88" s="468">
        <f>RANK(K88, K$87:$K$101)</f>
        <v>2</v>
      </c>
      <c r="N88" s="652"/>
      <c r="O88" s="652"/>
      <c r="P88" s="571">
        <v>13</v>
      </c>
      <c r="Q88" s="573">
        <v>1832.5714285714307</v>
      </c>
      <c r="R88" s="573">
        <v>140.96703296703313</v>
      </c>
      <c r="S88" s="571">
        <f t="shared" si="71"/>
        <v>3</v>
      </c>
      <c r="T88" s="685"/>
      <c r="U88" s="571">
        <v>13</v>
      </c>
      <c r="V88" s="573">
        <v>1978.1538461538482</v>
      </c>
      <c r="W88" s="573">
        <v>152.16568047337293</v>
      </c>
      <c r="X88" s="571">
        <f t="shared" si="73"/>
        <v>3</v>
      </c>
      <c r="Y88" s="685"/>
      <c r="Z88" s="571">
        <v>14</v>
      </c>
      <c r="AA88" s="573">
        <v>1785.142857142858</v>
      </c>
      <c r="AB88" s="573">
        <v>127.51020408163272</v>
      </c>
      <c r="AC88" s="571">
        <f t="shared" si="75"/>
        <v>3</v>
      </c>
      <c r="AD88" s="685"/>
      <c r="AE88" s="571">
        <v>14</v>
      </c>
      <c r="AF88" s="573">
        <v>1780</v>
      </c>
      <c r="AG88" s="573">
        <v>127.14285714285714</v>
      </c>
      <c r="AH88" s="571">
        <f t="shared" si="77"/>
        <v>4</v>
      </c>
      <c r="AI88" s="685"/>
      <c r="AJ88" s="571">
        <v>13</v>
      </c>
      <c r="AK88" s="573">
        <v>1952.2499999999993</v>
      </c>
      <c r="AL88" s="573">
        <v>150.17307692307688</v>
      </c>
      <c r="AM88" s="571">
        <f t="shared" si="79"/>
        <v>2</v>
      </c>
      <c r="AN88" s="685"/>
      <c r="AO88" s="571">
        <v>13</v>
      </c>
      <c r="AP88" s="573">
        <v>1827.8181818181829</v>
      </c>
      <c r="AQ88" s="573">
        <v>140.60139860139867</v>
      </c>
      <c r="AR88" s="571">
        <f t="shared" si="81"/>
        <v>2</v>
      </c>
      <c r="AS88" s="685"/>
      <c r="AT88" s="571">
        <v>13</v>
      </c>
      <c r="AU88" s="573">
        <v>1771.090909090909</v>
      </c>
      <c r="AV88" s="573">
        <v>136.23776223776224</v>
      </c>
      <c r="AW88" s="571">
        <f t="shared" si="83"/>
        <v>2</v>
      </c>
      <c r="AX88" s="685"/>
      <c r="AZ88" s="372" t="e">
        <f t="shared" si="85"/>
        <v>#N/A</v>
      </c>
      <c r="BA88" s="685"/>
    </row>
    <row r="89" spans="2:53">
      <c r="B89" s="660"/>
      <c r="C89" s="380">
        <v>3</v>
      </c>
      <c r="D89" s="513" t="s">
        <v>592</v>
      </c>
      <c r="E89" s="513">
        <v>15</v>
      </c>
      <c r="F89" s="513">
        <v>1800</v>
      </c>
      <c r="G89" s="516">
        <v>120</v>
      </c>
      <c r="H89" s="692"/>
      <c r="I89" s="381">
        <f t="shared" si="68"/>
        <v>13.285714285714286</v>
      </c>
      <c r="J89" s="381">
        <f t="shared" si="69"/>
        <v>1830.5097744360887</v>
      </c>
      <c r="K89" s="199">
        <f t="shared" si="70"/>
        <v>137.96197636949506</v>
      </c>
      <c r="L89" s="634"/>
      <c r="M89" s="468">
        <f>RANK(K89, K$87:$K$101)</f>
        <v>3</v>
      </c>
      <c r="N89" s="652"/>
      <c r="O89" s="652"/>
      <c r="P89" s="571">
        <v>13</v>
      </c>
      <c r="Q89" s="573">
        <v>1859.9999999999966</v>
      </c>
      <c r="R89" s="573">
        <v>143.07692307692281</v>
      </c>
      <c r="S89" s="571">
        <f t="shared" si="71"/>
        <v>2</v>
      </c>
      <c r="T89" s="685"/>
      <c r="U89" s="571">
        <v>13</v>
      </c>
      <c r="V89" s="573">
        <v>1946.9999999999964</v>
      </c>
      <c r="W89" s="573">
        <v>149.76923076923049</v>
      </c>
      <c r="X89" s="571">
        <f t="shared" si="73"/>
        <v>4</v>
      </c>
      <c r="Y89" s="685"/>
      <c r="Z89" s="571">
        <v>14</v>
      </c>
      <c r="AA89" s="573">
        <v>1796</v>
      </c>
      <c r="AB89" s="573">
        <v>128.28571428571428</v>
      </c>
      <c r="AC89" s="571">
        <f t="shared" si="75"/>
        <v>2</v>
      </c>
      <c r="AD89" s="685"/>
      <c r="AE89" s="571">
        <v>14</v>
      </c>
      <c r="AF89" s="573">
        <v>1830.3999999999985</v>
      </c>
      <c r="AG89" s="573">
        <v>130.74285714285705</v>
      </c>
      <c r="AH89" s="571">
        <f t="shared" si="77"/>
        <v>2</v>
      </c>
      <c r="AI89" s="685"/>
      <c r="AJ89" s="571">
        <v>13</v>
      </c>
      <c r="AK89" s="573">
        <v>1816.8000000000006</v>
      </c>
      <c r="AL89" s="573">
        <v>139.75384615384621</v>
      </c>
      <c r="AM89" s="571">
        <f t="shared" si="79"/>
        <v>4</v>
      </c>
      <c r="AN89" s="685"/>
      <c r="AO89" s="571">
        <v>13</v>
      </c>
      <c r="AP89" s="573">
        <v>1805.0526315789446</v>
      </c>
      <c r="AQ89" s="573">
        <v>138.85020242914959</v>
      </c>
      <c r="AR89" s="571">
        <f t="shared" si="81"/>
        <v>3</v>
      </c>
      <c r="AS89" s="685"/>
      <c r="AT89" s="571">
        <v>13</v>
      </c>
      <c r="AU89" s="573">
        <v>1758.3157894736846</v>
      </c>
      <c r="AV89" s="573">
        <v>135.25506072874498</v>
      </c>
      <c r="AW89" s="571">
        <f t="shared" si="83"/>
        <v>3</v>
      </c>
      <c r="AX89" s="685"/>
      <c r="AZ89" s="372" t="e">
        <f t="shared" si="85"/>
        <v>#N/A</v>
      </c>
      <c r="BA89" s="685"/>
    </row>
    <row r="90" spans="2:53">
      <c r="B90" s="660"/>
      <c r="C90" s="380">
        <v>4</v>
      </c>
      <c r="D90" s="513" t="s">
        <v>713</v>
      </c>
      <c r="E90" s="513">
        <v>18</v>
      </c>
      <c r="F90" s="513">
        <v>1800</v>
      </c>
      <c r="G90" s="516">
        <v>120</v>
      </c>
      <c r="H90" s="692"/>
      <c r="I90" s="381">
        <f t="shared" si="68"/>
        <v>13.285714285714286</v>
      </c>
      <c r="J90" s="381">
        <f t="shared" si="69"/>
        <v>1772.8065661047017</v>
      </c>
      <c r="K90" s="199">
        <f t="shared" si="70"/>
        <v>133.66368946049505</v>
      </c>
      <c r="L90" s="634"/>
      <c r="M90" s="468">
        <f>RANK(K90, K$87:$K$101)</f>
        <v>4</v>
      </c>
      <c r="N90" s="652"/>
      <c r="O90" s="652"/>
      <c r="P90" s="571">
        <v>13</v>
      </c>
      <c r="Q90" s="573">
        <v>1787.999999999995</v>
      </c>
      <c r="R90" s="573">
        <v>137.53846153846115</v>
      </c>
      <c r="S90" s="571">
        <f t="shared" si="71"/>
        <v>4</v>
      </c>
      <c r="T90" s="685"/>
      <c r="U90" s="571">
        <v>13</v>
      </c>
      <c r="V90" s="573">
        <v>2076.0000000000073</v>
      </c>
      <c r="W90" s="573">
        <v>159.69230769230825</v>
      </c>
      <c r="X90" s="571">
        <f t="shared" si="73"/>
        <v>1</v>
      </c>
      <c r="Y90" s="685"/>
      <c r="Z90" s="571">
        <v>14</v>
      </c>
      <c r="AA90" s="573">
        <v>1642.2857142857126</v>
      </c>
      <c r="AB90" s="573">
        <v>117.30612244897948</v>
      </c>
      <c r="AC90" s="571">
        <f t="shared" si="75"/>
        <v>4</v>
      </c>
      <c r="AD90" s="685"/>
      <c r="AE90" s="571">
        <v>14</v>
      </c>
      <c r="AF90" s="573">
        <v>1805.2173913043541</v>
      </c>
      <c r="AG90" s="573">
        <v>128.94409937888244</v>
      </c>
      <c r="AH90" s="571">
        <f t="shared" si="77"/>
        <v>3</v>
      </c>
      <c r="AI90" s="685"/>
      <c r="AJ90" s="571">
        <v>13</v>
      </c>
      <c r="AK90" s="573">
        <v>1928.9999999999914</v>
      </c>
      <c r="AL90" s="573">
        <v>148.38461538461473</v>
      </c>
      <c r="AM90" s="571">
        <f t="shared" si="79"/>
        <v>3</v>
      </c>
      <c r="AN90" s="685"/>
      <c r="AO90" s="571">
        <v>13</v>
      </c>
      <c r="AP90" s="573">
        <v>1505.1428571428555</v>
      </c>
      <c r="AQ90" s="573">
        <v>115.78021978021965</v>
      </c>
      <c r="AR90" s="571">
        <f t="shared" si="81"/>
        <v>4</v>
      </c>
      <c r="AS90" s="685"/>
      <c r="AT90" s="571">
        <v>13</v>
      </c>
      <c r="AU90" s="573">
        <v>1663.999999999997</v>
      </c>
      <c r="AV90" s="573">
        <v>127.99999999999977</v>
      </c>
      <c r="AW90" s="571">
        <f t="shared" si="83"/>
        <v>4</v>
      </c>
      <c r="AX90" s="685"/>
      <c r="AZ90" s="372" t="e">
        <f t="shared" si="85"/>
        <v>#N/A</v>
      </c>
      <c r="BA90" s="685"/>
    </row>
    <row r="91" spans="2:53">
      <c r="B91" s="660"/>
      <c r="C91" s="380">
        <v>5</v>
      </c>
      <c r="D91" s="513"/>
      <c r="E91" s="513"/>
      <c r="F91" s="513"/>
      <c r="G91" s="516"/>
      <c r="H91" s="692"/>
      <c r="I91" s="381" t="str">
        <f t="shared" si="68"/>
        <v>-</v>
      </c>
      <c r="J91" s="381" t="str">
        <f t="shared" si="69"/>
        <v>-</v>
      </c>
      <c r="K91" s="199" t="str">
        <f t="shared" si="70"/>
        <v>-</v>
      </c>
      <c r="L91" s="634"/>
      <c r="M91" s="468" t="e">
        <f>RANK(K91, K$87:$K$101)</f>
        <v>#VALUE!</v>
      </c>
      <c r="N91" s="652"/>
      <c r="O91" s="652"/>
      <c r="P91" s="571" t="s">
        <v>585</v>
      </c>
      <c r="Q91" s="573" t="s">
        <v>585</v>
      </c>
      <c r="R91" s="573" t="s">
        <v>585</v>
      </c>
      <c r="S91" s="571" t="e">
        <f t="shared" si="71"/>
        <v>#VALUE!</v>
      </c>
      <c r="T91" s="685"/>
      <c r="U91" s="571" t="s">
        <v>585</v>
      </c>
      <c r="V91" s="573" t="s">
        <v>585</v>
      </c>
      <c r="W91" s="573" t="s">
        <v>585</v>
      </c>
      <c r="X91" s="571" t="e">
        <f t="shared" si="73"/>
        <v>#VALUE!</v>
      </c>
      <c r="Y91" s="685"/>
      <c r="Z91" s="571" t="s">
        <v>585</v>
      </c>
      <c r="AA91" s="573" t="s">
        <v>585</v>
      </c>
      <c r="AB91" s="573" t="s">
        <v>585</v>
      </c>
      <c r="AC91" s="571" t="e">
        <f t="shared" si="75"/>
        <v>#VALUE!</v>
      </c>
      <c r="AD91" s="685"/>
      <c r="AE91" s="571" t="s">
        <v>585</v>
      </c>
      <c r="AF91" s="573" t="s">
        <v>585</v>
      </c>
      <c r="AG91" s="573" t="s">
        <v>585</v>
      </c>
      <c r="AH91" s="571" t="e">
        <f t="shared" si="77"/>
        <v>#VALUE!</v>
      </c>
      <c r="AI91" s="685"/>
      <c r="AJ91" s="571" t="s">
        <v>585</v>
      </c>
      <c r="AK91" s="573" t="s">
        <v>585</v>
      </c>
      <c r="AL91" s="573" t="s">
        <v>585</v>
      </c>
      <c r="AM91" s="571" t="e">
        <f t="shared" si="79"/>
        <v>#VALUE!</v>
      </c>
      <c r="AN91" s="685"/>
      <c r="AO91" s="571" t="s">
        <v>585</v>
      </c>
      <c r="AP91" s="573" t="s">
        <v>585</v>
      </c>
      <c r="AQ91" s="573" t="s">
        <v>585</v>
      </c>
      <c r="AR91" s="571" t="e">
        <f t="shared" si="81"/>
        <v>#VALUE!</v>
      </c>
      <c r="AS91" s="685"/>
      <c r="AT91" s="571" t="s">
        <v>585</v>
      </c>
      <c r="AU91" s="573" t="s">
        <v>585</v>
      </c>
      <c r="AV91" s="573" t="s">
        <v>585</v>
      </c>
      <c r="AW91" s="571" t="e">
        <f t="shared" si="83"/>
        <v>#VALUE!</v>
      </c>
      <c r="AX91" s="685"/>
      <c r="AZ91" s="372" t="e">
        <f t="shared" si="85"/>
        <v>#N/A</v>
      </c>
      <c r="BA91" s="685"/>
    </row>
    <row r="92" spans="2:53">
      <c r="B92" s="660"/>
      <c r="C92" s="380">
        <v>6</v>
      </c>
      <c r="D92" s="513"/>
      <c r="E92" s="513"/>
      <c r="F92" s="513"/>
      <c r="G92" s="516"/>
      <c r="H92" s="692"/>
      <c r="I92" s="381" t="str">
        <f t="shared" si="68"/>
        <v>-</v>
      </c>
      <c r="J92" s="381" t="str">
        <f t="shared" si="69"/>
        <v>-</v>
      </c>
      <c r="K92" s="199" t="str">
        <f t="shared" si="70"/>
        <v>-</v>
      </c>
      <c r="L92" s="634"/>
      <c r="M92" s="468" t="e">
        <f>RANK(K92, K$87:$K$101)</f>
        <v>#VALUE!</v>
      </c>
      <c r="N92" s="652"/>
      <c r="O92" s="652"/>
      <c r="P92" s="571" t="s">
        <v>585</v>
      </c>
      <c r="Q92" s="573" t="s">
        <v>585</v>
      </c>
      <c r="R92" s="573" t="s">
        <v>585</v>
      </c>
      <c r="S92" s="571" t="e">
        <f t="shared" si="71"/>
        <v>#VALUE!</v>
      </c>
      <c r="T92" s="685"/>
      <c r="U92" s="571" t="s">
        <v>585</v>
      </c>
      <c r="V92" s="573" t="s">
        <v>585</v>
      </c>
      <c r="W92" s="573" t="s">
        <v>585</v>
      </c>
      <c r="X92" s="571" t="e">
        <f t="shared" si="73"/>
        <v>#VALUE!</v>
      </c>
      <c r="Y92" s="685"/>
      <c r="Z92" s="571" t="s">
        <v>585</v>
      </c>
      <c r="AA92" s="573" t="s">
        <v>585</v>
      </c>
      <c r="AB92" s="573" t="s">
        <v>585</v>
      </c>
      <c r="AC92" s="571" t="e">
        <f t="shared" si="75"/>
        <v>#VALUE!</v>
      </c>
      <c r="AD92" s="685"/>
      <c r="AE92" s="571" t="s">
        <v>585</v>
      </c>
      <c r="AF92" s="573" t="s">
        <v>585</v>
      </c>
      <c r="AG92" s="573" t="s">
        <v>585</v>
      </c>
      <c r="AH92" s="571" t="e">
        <f t="shared" si="77"/>
        <v>#VALUE!</v>
      </c>
      <c r="AI92" s="685"/>
      <c r="AJ92" s="571" t="s">
        <v>585</v>
      </c>
      <c r="AK92" s="573" t="s">
        <v>585</v>
      </c>
      <c r="AL92" s="573" t="s">
        <v>585</v>
      </c>
      <c r="AM92" s="571" t="e">
        <f t="shared" si="79"/>
        <v>#VALUE!</v>
      </c>
      <c r="AN92" s="685"/>
      <c r="AO92" s="571" t="s">
        <v>585</v>
      </c>
      <c r="AP92" s="573" t="s">
        <v>585</v>
      </c>
      <c r="AQ92" s="573" t="s">
        <v>585</v>
      </c>
      <c r="AR92" s="571" t="e">
        <f t="shared" si="81"/>
        <v>#VALUE!</v>
      </c>
      <c r="AS92" s="685"/>
      <c r="AT92" s="571" t="s">
        <v>585</v>
      </c>
      <c r="AU92" s="573" t="s">
        <v>585</v>
      </c>
      <c r="AV92" s="573" t="s">
        <v>585</v>
      </c>
      <c r="AW92" s="571" t="e">
        <f t="shared" si="83"/>
        <v>#VALUE!</v>
      </c>
      <c r="AX92" s="685"/>
      <c r="AZ92" s="372" t="e">
        <f t="shared" si="85"/>
        <v>#N/A</v>
      </c>
      <c r="BA92" s="685"/>
    </row>
    <row r="93" spans="2:53">
      <c r="B93" s="660"/>
      <c r="C93" s="380">
        <v>7</v>
      </c>
      <c r="D93" s="513"/>
      <c r="E93" s="513"/>
      <c r="F93" s="513"/>
      <c r="G93" s="516"/>
      <c r="H93" s="692"/>
      <c r="I93" s="381" t="str">
        <f t="shared" si="68"/>
        <v>-</v>
      </c>
      <c r="J93" s="381" t="str">
        <f t="shared" si="69"/>
        <v>-</v>
      </c>
      <c r="K93" s="199" t="str">
        <f t="shared" si="70"/>
        <v>-</v>
      </c>
      <c r="L93" s="634"/>
      <c r="M93" s="468" t="e">
        <f>RANK(K93, K$87:$K$101)</f>
        <v>#VALUE!</v>
      </c>
      <c r="N93" s="652"/>
      <c r="O93" s="652"/>
      <c r="P93" s="571" t="s">
        <v>585</v>
      </c>
      <c r="Q93" s="573" t="s">
        <v>585</v>
      </c>
      <c r="R93" s="573" t="s">
        <v>585</v>
      </c>
      <c r="S93" s="571" t="e">
        <f t="shared" si="71"/>
        <v>#VALUE!</v>
      </c>
      <c r="T93" s="685"/>
      <c r="U93" s="571" t="s">
        <v>585</v>
      </c>
      <c r="V93" s="573" t="s">
        <v>585</v>
      </c>
      <c r="W93" s="573" t="s">
        <v>585</v>
      </c>
      <c r="X93" s="571" t="e">
        <f t="shared" si="73"/>
        <v>#VALUE!</v>
      </c>
      <c r="Y93" s="685"/>
      <c r="Z93" s="571" t="s">
        <v>585</v>
      </c>
      <c r="AA93" s="573" t="s">
        <v>585</v>
      </c>
      <c r="AB93" s="573" t="s">
        <v>585</v>
      </c>
      <c r="AC93" s="571" t="e">
        <f t="shared" si="75"/>
        <v>#VALUE!</v>
      </c>
      <c r="AD93" s="685"/>
      <c r="AE93" s="571" t="s">
        <v>585</v>
      </c>
      <c r="AF93" s="573" t="s">
        <v>585</v>
      </c>
      <c r="AG93" s="573" t="s">
        <v>585</v>
      </c>
      <c r="AH93" s="571" t="e">
        <f t="shared" si="77"/>
        <v>#VALUE!</v>
      </c>
      <c r="AI93" s="685"/>
      <c r="AJ93" s="571" t="s">
        <v>585</v>
      </c>
      <c r="AK93" s="573" t="s">
        <v>585</v>
      </c>
      <c r="AL93" s="573" t="s">
        <v>585</v>
      </c>
      <c r="AM93" s="571" t="e">
        <f t="shared" si="79"/>
        <v>#VALUE!</v>
      </c>
      <c r="AN93" s="685"/>
      <c r="AO93" s="571" t="s">
        <v>585</v>
      </c>
      <c r="AP93" s="573" t="s">
        <v>585</v>
      </c>
      <c r="AQ93" s="573" t="s">
        <v>585</v>
      </c>
      <c r="AR93" s="571" t="e">
        <f t="shared" si="81"/>
        <v>#VALUE!</v>
      </c>
      <c r="AS93" s="685"/>
      <c r="AT93" s="571" t="s">
        <v>585</v>
      </c>
      <c r="AU93" s="573" t="s">
        <v>585</v>
      </c>
      <c r="AV93" s="573" t="s">
        <v>585</v>
      </c>
      <c r="AW93" s="571" t="e">
        <f t="shared" si="83"/>
        <v>#VALUE!</v>
      </c>
      <c r="AX93" s="685"/>
      <c r="AZ93" s="372" t="e">
        <f t="shared" si="85"/>
        <v>#N/A</v>
      </c>
      <c r="BA93" s="685"/>
    </row>
    <row r="94" spans="2:53">
      <c r="B94" s="660"/>
      <c r="C94" s="380">
        <v>8</v>
      </c>
      <c r="D94" s="513"/>
      <c r="E94" s="513"/>
      <c r="F94" s="513"/>
      <c r="G94" s="516"/>
      <c r="H94" s="692"/>
      <c r="I94" s="381" t="str">
        <f t="shared" si="68"/>
        <v>-</v>
      </c>
      <c r="J94" s="381" t="str">
        <f t="shared" si="69"/>
        <v>-</v>
      </c>
      <c r="K94" s="199" t="str">
        <f t="shared" si="70"/>
        <v>-</v>
      </c>
      <c r="L94" s="634"/>
      <c r="M94" s="468" t="e">
        <f>RANK(K94, K$87:$K$101)</f>
        <v>#VALUE!</v>
      </c>
      <c r="N94" s="652"/>
      <c r="O94" s="652"/>
      <c r="P94" s="571" t="s">
        <v>585</v>
      </c>
      <c r="Q94" s="573" t="s">
        <v>585</v>
      </c>
      <c r="R94" s="573" t="s">
        <v>585</v>
      </c>
      <c r="S94" s="571" t="e">
        <f t="shared" si="71"/>
        <v>#VALUE!</v>
      </c>
      <c r="T94" s="685"/>
      <c r="U94" s="571" t="s">
        <v>585</v>
      </c>
      <c r="V94" s="573" t="s">
        <v>585</v>
      </c>
      <c r="W94" s="573" t="s">
        <v>585</v>
      </c>
      <c r="X94" s="571" t="e">
        <f t="shared" si="73"/>
        <v>#VALUE!</v>
      </c>
      <c r="Y94" s="685"/>
      <c r="Z94" s="571" t="s">
        <v>585</v>
      </c>
      <c r="AA94" s="573" t="s">
        <v>585</v>
      </c>
      <c r="AB94" s="573" t="s">
        <v>585</v>
      </c>
      <c r="AC94" s="571" t="e">
        <f t="shared" si="75"/>
        <v>#VALUE!</v>
      </c>
      <c r="AD94" s="685"/>
      <c r="AE94" s="571" t="s">
        <v>585</v>
      </c>
      <c r="AF94" s="573" t="s">
        <v>585</v>
      </c>
      <c r="AG94" s="573" t="s">
        <v>585</v>
      </c>
      <c r="AH94" s="571" t="e">
        <f t="shared" si="77"/>
        <v>#VALUE!</v>
      </c>
      <c r="AI94" s="685"/>
      <c r="AJ94" s="571" t="s">
        <v>585</v>
      </c>
      <c r="AK94" s="573" t="s">
        <v>585</v>
      </c>
      <c r="AL94" s="573" t="s">
        <v>585</v>
      </c>
      <c r="AM94" s="571" t="e">
        <f t="shared" si="79"/>
        <v>#VALUE!</v>
      </c>
      <c r="AN94" s="685"/>
      <c r="AO94" s="571" t="s">
        <v>585</v>
      </c>
      <c r="AP94" s="573" t="s">
        <v>585</v>
      </c>
      <c r="AQ94" s="573" t="s">
        <v>585</v>
      </c>
      <c r="AR94" s="571" t="e">
        <f t="shared" si="81"/>
        <v>#VALUE!</v>
      </c>
      <c r="AS94" s="685"/>
      <c r="AT94" s="571" t="s">
        <v>585</v>
      </c>
      <c r="AU94" s="573" t="s">
        <v>585</v>
      </c>
      <c r="AV94" s="573" t="s">
        <v>585</v>
      </c>
      <c r="AW94" s="571" t="e">
        <f t="shared" si="83"/>
        <v>#VALUE!</v>
      </c>
      <c r="AX94" s="685"/>
      <c r="AZ94" s="372" t="e">
        <f t="shared" si="85"/>
        <v>#N/A</v>
      </c>
      <c r="BA94" s="685"/>
    </row>
    <row r="95" spans="2:53">
      <c r="B95" s="660"/>
      <c r="C95" s="380">
        <v>9</v>
      </c>
      <c r="D95" s="513"/>
      <c r="E95" s="513"/>
      <c r="F95" s="513"/>
      <c r="G95" s="516"/>
      <c r="H95" s="692"/>
      <c r="I95" s="381" t="str">
        <f t="shared" si="68"/>
        <v>-</v>
      </c>
      <c r="J95" s="381" t="str">
        <f t="shared" si="69"/>
        <v>-</v>
      </c>
      <c r="K95" s="199" t="str">
        <f t="shared" si="70"/>
        <v>-</v>
      </c>
      <c r="L95" s="634"/>
      <c r="M95" s="468" t="e">
        <f>RANK(K95, K$87:$K$101)</f>
        <v>#VALUE!</v>
      </c>
      <c r="N95" s="652"/>
      <c r="O95" s="652"/>
      <c r="P95" s="571" t="s">
        <v>585</v>
      </c>
      <c r="Q95" s="573" t="s">
        <v>585</v>
      </c>
      <c r="R95" s="573" t="s">
        <v>585</v>
      </c>
      <c r="S95" s="571" t="e">
        <f t="shared" si="71"/>
        <v>#VALUE!</v>
      </c>
      <c r="T95" s="685"/>
      <c r="U95" s="571" t="s">
        <v>585</v>
      </c>
      <c r="V95" s="573" t="s">
        <v>585</v>
      </c>
      <c r="W95" s="573" t="s">
        <v>585</v>
      </c>
      <c r="X95" s="571" t="e">
        <f t="shared" si="73"/>
        <v>#VALUE!</v>
      </c>
      <c r="Y95" s="685"/>
      <c r="Z95" s="571" t="s">
        <v>585</v>
      </c>
      <c r="AA95" s="573" t="s">
        <v>585</v>
      </c>
      <c r="AB95" s="573" t="s">
        <v>585</v>
      </c>
      <c r="AC95" s="571" t="e">
        <f t="shared" si="75"/>
        <v>#VALUE!</v>
      </c>
      <c r="AD95" s="685"/>
      <c r="AE95" s="571" t="s">
        <v>585</v>
      </c>
      <c r="AF95" s="573" t="s">
        <v>585</v>
      </c>
      <c r="AG95" s="573" t="s">
        <v>585</v>
      </c>
      <c r="AH95" s="571" t="e">
        <f t="shared" si="77"/>
        <v>#VALUE!</v>
      </c>
      <c r="AI95" s="685"/>
      <c r="AJ95" s="571" t="s">
        <v>585</v>
      </c>
      <c r="AK95" s="573" t="s">
        <v>585</v>
      </c>
      <c r="AL95" s="573" t="s">
        <v>585</v>
      </c>
      <c r="AM95" s="571" t="e">
        <f t="shared" si="79"/>
        <v>#VALUE!</v>
      </c>
      <c r="AN95" s="685"/>
      <c r="AO95" s="571" t="s">
        <v>585</v>
      </c>
      <c r="AP95" s="573" t="s">
        <v>585</v>
      </c>
      <c r="AQ95" s="573" t="s">
        <v>585</v>
      </c>
      <c r="AR95" s="571" t="e">
        <f t="shared" si="81"/>
        <v>#VALUE!</v>
      </c>
      <c r="AS95" s="685"/>
      <c r="AT95" s="571" t="s">
        <v>585</v>
      </c>
      <c r="AU95" s="573" t="s">
        <v>585</v>
      </c>
      <c r="AV95" s="573" t="s">
        <v>585</v>
      </c>
      <c r="AW95" s="571" t="e">
        <f t="shared" si="83"/>
        <v>#VALUE!</v>
      </c>
      <c r="AX95" s="685"/>
      <c r="AZ95" s="372" t="e">
        <f t="shared" si="85"/>
        <v>#N/A</v>
      </c>
      <c r="BA95" s="685"/>
    </row>
    <row r="96" spans="2:53">
      <c r="B96" s="660"/>
      <c r="C96" s="380">
        <v>10</v>
      </c>
      <c r="D96" s="513"/>
      <c r="E96" s="513"/>
      <c r="F96" s="513"/>
      <c r="G96" s="516"/>
      <c r="H96" s="692"/>
      <c r="I96" s="381" t="str">
        <f t="shared" si="68"/>
        <v>-</v>
      </c>
      <c r="J96" s="381" t="str">
        <f t="shared" si="69"/>
        <v>-</v>
      </c>
      <c r="K96" s="199" t="str">
        <f t="shared" si="70"/>
        <v>-</v>
      </c>
      <c r="L96" s="634"/>
      <c r="M96" s="468" t="e">
        <f>RANK(K96, K$87:$K$101)</f>
        <v>#VALUE!</v>
      </c>
      <c r="N96" s="652"/>
      <c r="O96" s="652"/>
      <c r="P96" s="571" t="s">
        <v>585</v>
      </c>
      <c r="Q96" s="573" t="s">
        <v>585</v>
      </c>
      <c r="R96" s="573" t="s">
        <v>585</v>
      </c>
      <c r="S96" s="571" t="e">
        <f t="shared" si="71"/>
        <v>#VALUE!</v>
      </c>
      <c r="T96" s="685"/>
      <c r="U96" s="571" t="s">
        <v>585</v>
      </c>
      <c r="V96" s="573" t="s">
        <v>585</v>
      </c>
      <c r="W96" s="573" t="s">
        <v>585</v>
      </c>
      <c r="X96" s="571" t="e">
        <f t="shared" si="73"/>
        <v>#VALUE!</v>
      </c>
      <c r="Y96" s="685"/>
      <c r="Z96" s="571" t="s">
        <v>585</v>
      </c>
      <c r="AA96" s="573" t="s">
        <v>585</v>
      </c>
      <c r="AB96" s="573" t="s">
        <v>585</v>
      </c>
      <c r="AC96" s="571" t="e">
        <f t="shared" si="75"/>
        <v>#VALUE!</v>
      </c>
      <c r="AD96" s="685"/>
      <c r="AE96" s="571" t="s">
        <v>585</v>
      </c>
      <c r="AF96" s="573" t="s">
        <v>585</v>
      </c>
      <c r="AG96" s="573" t="s">
        <v>585</v>
      </c>
      <c r="AH96" s="571" t="e">
        <f t="shared" si="77"/>
        <v>#VALUE!</v>
      </c>
      <c r="AI96" s="685"/>
      <c r="AJ96" s="571" t="s">
        <v>585</v>
      </c>
      <c r="AK96" s="573" t="s">
        <v>585</v>
      </c>
      <c r="AL96" s="573" t="s">
        <v>585</v>
      </c>
      <c r="AM96" s="571" t="e">
        <f t="shared" si="79"/>
        <v>#VALUE!</v>
      </c>
      <c r="AN96" s="685"/>
      <c r="AO96" s="571" t="s">
        <v>585</v>
      </c>
      <c r="AP96" s="573" t="s">
        <v>585</v>
      </c>
      <c r="AQ96" s="573" t="s">
        <v>585</v>
      </c>
      <c r="AR96" s="571" t="e">
        <f t="shared" si="81"/>
        <v>#VALUE!</v>
      </c>
      <c r="AS96" s="685"/>
      <c r="AT96" s="571" t="s">
        <v>585</v>
      </c>
      <c r="AU96" s="573" t="s">
        <v>585</v>
      </c>
      <c r="AV96" s="573" t="s">
        <v>585</v>
      </c>
      <c r="AW96" s="571" t="e">
        <f t="shared" si="83"/>
        <v>#VALUE!</v>
      </c>
      <c r="AX96" s="685"/>
      <c r="AZ96" s="372" t="e">
        <f t="shared" si="85"/>
        <v>#N/A</v>
      </c>
      <c r="BA96" s="685"/>
    </row>
    <row r="97" spans="2:53">
      <c r="B97" s="660"/>
      <c r="C97" s="380">
        <v>11</v>
      </c>
      <c r="D97" s="513"/>
      <c r="E97" s="513"/>
      <c r="F97" s="513"/>
      <c r="G97" s="516"/>
      <c r="H97" s="692"/>
      <c r="I97" s="381" t="str">
        <f t="shared" si="68"/>
        <v>-</v>
      </c>
      <c r="J97" s="381" t="str">
        <f t="shared" si="69"/>
        <v>-</v>
      </c>
      <c r="K97" s="199" t="str">
        <f t="shared" si="70"/>
        <v>-</v>
      </c>
      <c r="L97" s="634"/>
      <c r="M97" s="468" t="e">
        <f>RANK(K97, K$87:$K$101)</f>
        <v>#VALUE!</v>
      </c>
      <c r="N97" s="652"/>
      <c r="O97" s="652"/>
      <c r="P97" s="571" t="s">
        <v>585</v>
      </c>
      <c r="Q97" s="573" t="s">
        <v>585</v>
      </c>
      <c r="R97" s="573" t="s">
        <v>585</v>
      </c>
      <c r="S97" s="571" t="e">
        <f t="shared" si="71"/>
        <v>#VALUE!</v>
      </c>
      <c r="T97" s="685"/>
      <c r="U97" s="571" t="s">
        <v>585</v>
      </c>
      <c r="V97" s="573" t="s">
        <v>585</v>
      </c>
      <c r="W97" s="573" t="s">
        <v>585</v>
      </c>
      <c r="X97" s="571" t="e">
        <f t="shared" si="73"/>
        <v>#VALUE!</v>
      </c>
      <c r="Y97" s="685"/>
      <c r="Z97" s="571" t="s">
        <v>585</v>
      </c>
      <c r="AA97" s="573" t="s">
        <v>585</v>
      </c>
      <c r="AB97" s="573" t="s">
        <v>585</v>
      </c>
      <c r="AC97" s="571" t="e">
        <f t="shared" si="75"/>
        <v>#VALUE!</v>
      </c>
      <c r="AD97" s="685"/>
      <c r="AE97" s="571" t="s">
        <v>585</v>
      </c>
      <c r="AF97" s="573" t="s">
        <v>585</v>
      </c>
      <c r="AG97" s="573" t="s">
        <v>585</v>
      </c>
      <c r="AH97" s="571" t="e">
        <f t="shared" si="77"/>
        <v>#VALUE!</v>
      </c>
      <c r="AI97" s="685"/>
      <c r="AJ97" s="571" t="s">
        <v>585</v>
      </c>
      <c r="AK97" s="573" t="s">
        <v>585</v>
      </c>
      <c r="AL97" s="573" t="s">
        <v>585</v>
      </c>
      <c r="AM97" s="571" t="e">
        <f t="shared" si="79"/>
        <v>#VALUE!</v>
      </c>
      <c r="AN97" s="685"/>
      <c r="AO97" s="571" t="s">
        <v>585</v>
      </c>
      <c r="AP97" s="573" t="s">
        <v>585</v>
      </c>
      <c r="AQ97" s="573" t="s">
        <v>585</v>
      </c>
      <c r="AR97" s="571" t="e">
        <f t="shared" si="81"/>
        <v>#VALUE!</v>
      </c>
      <c r="AS97" s="685"/>
      <c r="AT97" s="571" t="s">
        <v>585</v>
      </c>
      <c r="AU97" s="573" t="s">
        <v>585</v>
      </c>
      <c r="AV97" s="573" t="s">
        <v>585</v>
      </c>
      <c r="AW97" s="571" t="e">
        <f t="shared" si="83"/>
        <v>#VALUE!</v>
      </c>
      <c r="AX97" s="685"/>
      <c r="AZ97" s="372" t="e">
        <f t="shared" si="85"/>
        <v>#N/A</v>
      </c>
      <c r="BA97" s="685"/>
    </row>
    <row r="98" spans="2:53">
      <c r="B98" s="660"/>
      <c r="C98" s="380">
        <v>12</v>
      </c>
      <c r="D98" s="513"/>
      <c r="E98" s="513"/>
      <c r="F98" s="513"/>
      <c r="G98" s="516"/>
      <c r="H98" s="692"/>
      <c r="I98" s="381" t="str">
        <f t="shared" si="68"/>
        <v>-</v>
      </c>
      <c r="J98" s="381" t="str">
        <f t="shared" si="69"/>
        <v>-</v>
      </c>
      <c r="K98" s="199" t="str">
        <f t="shared" si="70"/>
        <v>-</v>
      </c>
      <c r="L98" s="634"/>
      <c r="M98" s="468" t="e">
        <f>RANK(K98, K$87:$K$101)</f>
        <v>#VALUE!</v>
      </c>
      <c r="N98" s="652"/>
      <c r="O98" s="652"/>
      <c r="P98" s="571" t="s">
        <v>585</v>
      </c>
      <c r="Q98" s="573" t="s">
        <v>585</v>
      </c>
      <c r="R98" s="573" t="s">
        <v>585</v>
      </c>
      <c r="S98" s="571" t="e">
        <f t="shared" si="71"/>
        <v>#VALUE!</v>
      </c>
      <c r="T98" s="685"/>
      <c r="U98" s="571" t="s">
        <v>585</v>
      </c>
      <c r="V98" s="573" t="s">
        <v>585</v>
      </c>
      <c r="W98" s="573" t="s">
        <v>585</v>
      </c>
      <c r="X98" s="571" t="e">
        <f t="shared" si="73"/>
        <v>#VALUE!</v>
      </c>
      <c r="Y98" s="685"/>
      <c r="Z98" s="571" t="s">
        <v>585</v>
      </c>
      <c r="AA98" s="573" t="s">
        <v>585</v>
      </c>
      <c r="AB98" s="573" t="s">
        <v>585</v>
      </c>
      <c r="AC98" s="571" t="e">
        <f t="shared" si="75"/>
        <v>#VALUE!</v>
      </c>
      <c r="AD98" s="685"/>
      <c r="AE98" s="571" t="s">
        <v>585</v>
      </c>
      <c r="AF98" s="573" t="s">
        <v>585</v>
      </c>
      <c r="AG98" s="573" t="s">
        <v>585</v>
      </c>
      <c r="AH98" s="571" t="e">
        <f t="shared" si="77"/>
        <v>#VALUE!</v>
      </c>
      <c r="AI98" s="685"/>
      <c r="AJ98" s="571" t="s">
        <v>585</v>
      </c>
      <c r="AK98" s="573" t="s">
        <v>585</v>
      </c>
      <c r="AL98" s="573" t="s">
        <v>585</v>
      </c>
      <c r="AM98" s="571" t="e">
        <f t="shared" si="79"/>
        <v>#VALUE!</v>
      </c>
      <c r="AN98" s="685"/>
      <c r="AO98" s="571" t="s">
        <v>585</v>
      </c>
      <c r="AP98" s="573" t="s">
        <v>585</v>
      </c>
      <c r="AQ98" s="573" t="s">
        <v>585</v>
      </c>
      <c r="AR98" s="571" t="e">
        <f t="shared" si="81"/>
        <v>#VALUE!</v>
      </c>
      <c r="AS98" s="685"/>
      <c r="AT98" s="571" t="s">
        <v>585</v>
      </c>
      <c r="AU98" s="573" t="s">
        <v>585</v>
      </c>
      <c r="AV98" s="573" t="s">
        <v>585</v>
      </c>
      <c r="AW98" s="571" t="e">
        <f t="shared" si="83"/>
        <v>#VALUE!</v>
      </c>
      <c r="AX98" s="685"/>
      <c r="AZ98" s="372" t="e">
        <f t="shared" si="85"/>
        <v>#N/A</v>
      </c>
      <c r="BA98" s="685"/>
    </row>
    <row r="99" spans="2:53">
      <c r="B99" s="660"/>
      <c r="C99" s="380">
        <v>13</v>
      </c>
      <c r="D99" s="513"/>
      <c r="E99" s="513"/>
      <c r="F99" s="513"/>
      <c r="G99" s="516"/>
      <c r="H99" s="692"/>
      <c r="I99" s="381" t="str">
        <f t="shared" si="68"/>
        <v>-</v>
      </c>
      <c r="J99" s="381" t="str">
        <f t="shared" si="69"/>
        <v>-</v>
      </c>
      <c r="K99" s="199" t="str">
        <f t="shared" si="70"/>
        <v>-</v>
      </c>
      <c r="L99" s="634"/>
      <c r="M99" s="468" t="e">
        <f>RANK(K99, K$87:$K$101)</f>
        <v>#VALUE!</v>
      </c>
      <c r="N99" s="652"/>
      <c r="O99" s="652"/>
      <c r="P99" s="571" t="s">
        <v>585</v>
      </c>
      <c r="Q99" s="573" t="s">
        <v>585</v>
      </c>
      <c r="R99" s="573" t="s">
        <v>585</v>
      </c>
      <c r="S99" s="571" t="e">
        <f t="shared" si="71"/>
        <v>#VALUE!</v>
      </c>
      <c r="T99" s="685"/>
      <c r="U99" s="571" t="s">
        <v>585</v>
      </c>
      <c r="V99" s="573" t="s">
        <v>585</v>
      </c>
      <c r="W99" s="573" t="s">
        <v>585</v>
      </c>
      <c r="X99" s="571" t="e">
        <f t="shared" si="73"/>
        <v>#VALUE!</v>
      </c>
      <c r="Y99" s="685"/>
      <c r="Z99" s="571" t="s">
        <v>585</v>
      </c>
      <c r="AA99" s="573" t="s">
        <v>585</v>
      </c>
      <c r="AB99" s="573" t="s">
        <v>585</v>
      </c>
      <c r="AC99" s="571" t="e">
        <f t="shared" si="75"/>
        <v>#VALUE!</v>
      </c>
      <c r="AD99" s="685"/>
      <c r="AE99" s="571" t="s">
        <v>585</v>
      </c>
      <c r="AF99" s="573" t="s">
        <v>585</v>
      </c>
      <c r="AG99" s="573" t="s">
        <v>585</v>
      </c>
      <c r="AH99" s="571" t="e">
        <f t="shared" si="77"/>
        <v>#VALUE!</v>
      </c>
      <c r="AI99" s="685"/>
      <c r="AJ99" s="571" t="s">
        <v>585</v>
      </c>
      <c r="AK99" s="573" t="s">
        <v>585</v>
      </c>
      <c r="AL99" s="573" t="s">
        <v>585</v>
      </c>
      <c r="AM99" s="571" t="e">
        <f t="shared" si="79"/>
        <v>#VALUE!</v>
      </c>
      <c r="AN99" s="685"/>
      <c r="AO99" s="571" t="s">
        <v>585</v>
      </c>
      <c r="AP99" s="573" t="s">
        <v>585</v>
      </c>
      <c r="AQ99" s="573" t="s">
        <v>585</v>
      </c>
      <c r="AR99" s="571" t="e">
        <f t="shared" si="81"/>
        <v>#VALUE!</v>
      </c>
      <c r="AS99" s="685"/>
      <c r="AT99" s="571" t="s">
        <v>585</v>
      </c>
      <c r="AU99" s="573" t="s">
        <v>585</v>
      </c>
      <c r="AV99" s="573" t="s">
        <v>585</v>
      </c>
      <c r="AW99" s="571" t="e">
        <f t="shared" si="83"/>
        <v>#VALUE!</v>
      </c>
      <c r="AX99" s="685"/>
      <c r="AZ99" s="372" t="e">
        <f t="shared" si="85"/>
        <v>#N/A</v>
      </c>
      <c r="BA99" s="685"/>
    </row>
    <row r="100" spans="2:53">
      <c r="B100" s="660"/>
      <c r="C100" s="380">
        <v>14</v>
      </c>
      <c r="D100" s="513"/>
      <c r="E100" s="513"/>
      <c r="F100" s="513"/>
      <c r="G100" s="516"/>
      <c r="H100" s="692"/>
      <c r="I100" s="381" t="str">
        <f t="shared" si="68"/>
        <v>-</v>
      </c>
      <c r="J100" s="381" t="str">
        <f t="shared" si="69"/>
        <v>-</v>
      </c>
      <c r="K100" s="199" t="str">
        <f t="shared" si="70"/>
        <v>-</v>
      </c>
      <c r="L100" s="634"/>
      <c r="M100" s="468" t="e">
        <f>RANK(K100, K$87:$K$101)</f>
        <v>#VALUE!</v>
      </c>
      <c r="N100" s="652"/>
      <c r="O100" s="652"/>
      <c r="P100" s="571" t="s">
        <v>585</v>
      </c>
      <c r="Q100" s="573" t="s">
        <v>585</v>
      </c>
      <c r="R100" s="573" t="s">
        <v>585</v>
      </c>
      <c r="S100" s="571" t="e">
        <f t="shared" si="71"/>
        <v>#VALUE!</v>
      </c>
      <c r="T100" s="685"/>
      <c r="U100" s="571" t="s">
        <v>585</v>
      </c>
      <c r="V100" s="573" t="s">
        <v>585</v>
      </c>
      <c r="W100" s="573" t="s">
        <v>585</v>
      </c>
      <c r="X100" s="571" t="e">
        <f t="shared" si="73"/>
        <v>#VALUE!</v>
      </c>
      <c r="Y100" s="685"/>
      <c r="Z100" s="571" t="s">
        <v>585</v>
      </c>
      <c r="AA100" s="573" t="s">
        <v>585</v>
      </c>
      <c r="AB100" s="573" t="s">
        <v>585</v>
      </c>
      <c r="AC100" s="571" t="e">
        <f t="shared" si="75"/>
        <v>#VALUE!</v>
      </c>
      <c r="AD100" s="685"/>
      <c r="AE100" s="571" t="s">
        <v>585</v>
      </c>
      <c r="AF100" s="573" t="s">
        <v>585</v>
      </c>
      <c r="AG100" s="573" t="s">
        <v>585</v>
      </c>
      <c r="AH100" s="571" t="e">
        <f t="shared" si="77"/>
        <v>#VALUE!</v>
      </c>
      <c r="AI100" s="685"/>
      <c r="AJ100" s="571" t="s">
        <v>585</v>
      </c>
      <c r="AK100" s="573" t="s">
        <v>585</v>
      </c>
      <c r="AL100" s="573" t="s">
        <v>585</v>
      </c>
      <c r="AM100" s="571" t="e">
        <f t="shared" si="79"/>
        <v>#VALUE!</v>
      </c>
      <c r="AN100" s="685"/>
      <c r="AO100" s="571" t="s">
        <v>585</v>
      </c>
      <c r="AP100" s="573" t="s">
        <v>585</v>
      </c>
      <c r="AQ100" s="573" t="s">
        <v>585</v>
      </c>
      <c r="AR100" s="571" t="e">
        <f t="shared" si="81"/>
        <v>#VALUE!</v>
      </c>
      <c r="AS100" s="685"/>
      <c r="AT100" s="571" t="s">
        <v>585</v>
      </c>
      <c r="AU100" s="573" t="s">
        <v>585</v>
      </c>
      <c r="AV100" s="573" t="s">
        <v>585</v>
      </c>
      <c r="AW100" s="571" t="e">
        <f t="shared" si="83"/>
        <v>#VALUE!</v>
      </c>
      <c r="AX100" s="685"/>
      <c r="AZ100" s="372" t="e">
        <f t="shared" si="85"/>
        <v>#N/A</v>
      </c>
      <c r="BA100" s="685"/>
    </row>
    <row r="101" spans="2:53">
      <c r="B101" s="660"/>
      <c r="C101" s="380">
        <v>15</v>
      </c>
      <c r="D101" s="513"/>
      <c r="E101" s="513"/>
      <c r="F101" s="513"/>
      <c r="G101" s="513"/>
      <c r="H101" s="696"/>
      <c r="I101" s="381" t="str">
        <f t="shared" si="68"/>
        <v>-</v>
      </c>
      <c r="J101" s="381" t="str">
        <f t="shared" si="69"/>
        <v>-</v>
      </c>
      <c r="K101" s="199" t="str">
        <f t="shared" si="70"/>
        <v>-</v>
      </c>
      <c r="L101" s="635"/>
      <c r="M101" s="468" t="e">
        <f>RANK(K101, K$87:$K$101)</f>
        <v>#VALUE!</v>
      </c>
      <c r="N101" s="652"/>
      <c r="O101" s="652"/>
      <c r="P101" s="572" t="s">
        <v>585</v>
      </c>
      <c r="Q101" s="510" t="s">
        <v>585</v>
      </c>
      <c r="R101" s="510" t="s">
        <v>585</v>
      </c>
      <c r="S101" s="571" t="e">
        <f t="shared" si="71"/>
        <v>#VALUE!</v>
      </c>
      <c r="T101" s="685"/>
      <c r="U101" s="572" t="s">
        <v>585</v>
      </c>
      <c r="V101" s="510" t="s">
        <v>585</v>
      </c>
      <c r="W101" s="510" t="s">
        <v>585</v>
      </c>
      <c r="X101" s="571" t="e">
        <f t="shared" si="73"/>
        <v>#VALUE!</v>
      </c>
      <c r="Y101" s="685"/>
      <c r="Z101" s="572" t="s">
        <v>585</v>
      </c>
      <c r="AA101" s="510" t="s">
        <v>585</v>
      </c>
      <c r="AB101" s="510" t="s">
        <v>585</v>
      </c>
      <c r="AC101" s="571" t="e">
        <f t="shared" si="75"/>
        <v>#VALUE!</v>
      </c>
      <c r="AD101" s="685"/>
      <c r="AE101" s="572" t="s">
        <v>585</v>
      </c>
      <c r="AF101" s="510" t="s">
        <v>585</v>
      </c>
      <c r="AG101" s="510" t="s">
        <v>585</v>
      </c>
      <c r="AH101" s="571" t="e">
        <f t="shared" si="77"/>
        <v>#VALUE!</v>
      </c>
      <c r="AI101" s="685"/>
      <c r="AJ101" s="572" t="s">
        <v>585</v>
      </c>
      <c r="AK101" s="510" t="s">
        <v>585</v>
      </c>
      <c r="AL101" s="510" t="s">
        <v>585</v>
      </c>
      <c r="AM101" s="571" t="e">
        <f t="shared" si="79"/>
        <v>#VALUE!</v>
      </c>
      <c r="AN101" s="685"/>
      <c r="AO101" s="572" t="s">
        <v>585</v>
      </c>
      <c r="AP101" s="510" t="s">
        <v>585</v>
      </c>
      <c r="AQ101" s="510" t="s">
        <v>585</v>
      </c>
      <c r="AR101" s="571" t="e">
        <f t="shared" si="81"/>
        <v>#VALUE!</v>
      </c>
      <c r="AS101" s="685"/>
      <c r="AT101" s="572" t="s">
        <v>585</v>
      </c>
      <c r="AU101" s="510" t="s">
        <v>585</v>
      </c>
      <c r="AV101" s="510" t="s">
        <v>585</v>
      </c>
      <c r="AW101" s="571" t="e">
        <f t="shared" si="83"/>
        <v>#VALUE!</v>
      </c>
      <c r="AX101" s="685"/>
      <c r="AZ101" s="372" t="e">
        <f t="shared" si="85"/>
        <v>#N/A</v>
      </c>
      <c r="BA101" s="685"/>
    </row>
    <row r="102" spans="2:53" ht="15.75">
      <c r="B102" s="664" t="s">
        <v>162</v>
      </c>
      <c r="C102" s="665"/>
      <c r="D102" s="665"/>
      <c r="E102" s="665"/>
      <c r="F102" s="665"/>
      <c r="G102" s="665"/>
      <c r="H102" s="666"/>
      <c r="I102" s="207"/>
      <c r="J102" s="207"/>
      <c r="K102" s="207"/>
      <c r="L102" s="207"/>
      <c r="M102" s="206"/>
      <c r="N102" s="653" t="s">
        <v>156</v>
      </c>
      <c r="O102" s="653" t="s">
        <v>105</v>
      </c>
      <c r="P102" s="659">
        <f>P82+7</f>
        <v>46266</v>
      </c>
      <c r="Q102" s="660"/>
      <c r="R102" s="660"/>
      <c r="S102" s="660"/>
      <c r="T102" s="660"/>
      <c r="U102" s="656">
        <f>P102+1</f>
        <v>46267</v>
      </c>
      <c r="V102" s="657"/>
      <c r="W102" s="657"/>
      <c r="X102" s="657"/>
      <c r="Y102" s="658"/>
      <c r="Z102" s="656">
        <f>U102+1</f>
        <v>46268</v>
      </c>
      <c r="AA102" s="657"/>
      <c r="AB102" s="657"/>
      <c r="AC102" s="657"/>
      <c r="AD102" s="658"/>
      <c r="AE102" s="656">
        <f>Z102+1</f>
        <v>46269</v>
      </c>
      <c r="AF102" s="657"/>
      <c r="AG102" s="657"/>
      <c r="AH102" s="657"/>
      <c r="AI102" s="658"/>
      <c r="AJ102" s="656">
        <f>AE102+1</f>
        <v>46270</v>
      </c>
      <c r="AK102" s="657"/>
      <c r="AL102" s="657"/>
      <c r="AM102" s="657"/>
      <c r="AN102" s="658"/>
      <c r="AO102" s="656">
        <f>AJ102+1</f>
        <v>46271</v>
      </c>
      <c r="AP102" s="657"/>
      <c r="AQ102" s="657"/>
      <c r="AR102" s="657"/>
      <c r="AS102" s="658"/>
      <c r="AT102" s="656">
        <f>AO102+1</f>
        <v>46272</v>
      </c>
      <c r="AU102" s="657"/>
      <c r="AV102" s="657"/>
      <c r="AW102" s="657"/>
      <c r="AX102" s="658"/>
    </row>
    <row r="103" spans="2:53" ht="15.75">
      <c r="B103" s="667"/>
      <c r="C103" s="667"/>
      <c r="D103" s="667"/>
      <c r="E103" s="667"/>
      <c r="F103" s="667"/>
      <c r="G103" s="667"/>
      <c r="H103" s="667"/>
      <c r="I103" s="204"/>
      <c r="J103" s="204"/>
      <c r="K103" s="204"/>
      <c r="L103" s="204"/>
      <c r="M103" s="205"/>
      <c r="N103" s="655"/>
      <c r="O103" s="655"/>
      <c r="P103" s="659" t="s">
        <v>158</v>
      </c>
      <c r="Q103" s="660"/>
      <c r="R103" s="660"/>
      <c r="S103" s="660"/>
      <c r="T103" s="660"/>
      <c r="U103" s="659" t="s">
        <v>114</v>
      </c>
      <c r="V103" s="660"/>
      <c r="W103" s="660"/>
      <c r="X103" s="660"/>
      <c r="Y103" s="660"/>
      <c r="Z103" s="659" t="s">
        <v>159</v>
      </c>
      <c r="AA103" s="660"/>
      <c r="AB103" s="660"/>
      <c r="AC103" s="660"/>
      <c r="AD103" s="660"/>
      <c r="AE103" s="659" t="s">
        <v>157</v>
      </c>
      <c r="AF103" s="660"/>
      <c r="AG103" s="660"/>
      <c r="AH103" s="660"/>
      <c r="AI103" s="660"/>
      <c r="AJ103" s="659" t="s">
        <v>160</v>
      </c>
      <c r="AK103" s="660"/>
      <c r="AL103" s="660"/>
      <c r="AM103" s="660"/>
      <c r="AN103" s="660"/>
      <c r="AO103" s="659" t="s">
        <v>115</v>
      </c>
      <c r="AP103" s="660"/>
      <c r="AQ103" s="660"/>
      <c r="AR103" s="660"/>
      <c r="AS103" s="660"/>
      <c r="AT103" s="659" t="s">
        <v>161</v>
      </c>
      <c r="AU103" s="660"/>
      <c r="AV103" s="660"/>
      <c r="AW103" s="660"/>
      <c r="AX103" s="660"/>
    </row>
    <row r="104" spans="2:53">
      <c r="B104" s="652" t="s">
        <v>516</v>
      </c>
      <c r="C104" s="652" t="s">
        <v>517</v>
      </c>
      <c r="D104" s="652"/>
      <c r="E104" s="652" t="s">
        <v>518</v>
      </c>
      <c r="F104" s="652"/>
      <c r="G104" s="652"/>
      <c r="H104" s="668" t="s">
        <v>519</v>
      </c>
      <c r="I104" s="652" t="s">
        <v>520</v>
      </c>
      <c r="J104" s="652"/>
      <c r="K104" s="652"/>
      <c r="L104" s="668" t="s">
        <v>519</v>
      </c>
      <c r="M104" s="653" t="s">
        <v>521</v>
      </c>
      <c r="N104" s="652"/>
      <c r="O104" s="652" t="s">
        <v>522</v>
      </c>
      <c r="P104" s="649" t="s">
        <v>523</v>
      </c>
      <c r="Q104" s="650"/>
      <c r="R104" s="650"/>
      <c r="S104" s="651"/>
      <c r="T104" s="652" t="s">
        <v>519</v>
      </c>
      <c r="U104" s="649" t="s">
        <v>523</v>
      </c>
      <c r="V104" s="650"/>
      <c r="W104" s="650"/>
      <c r="X104" s="651"/>
      <c r="Y104" s="652" t="s">
        <v>519</v>
      </c>
      <c r="Z104" s="649" t="s">
        <v>523</v>
      </c>
      <c r="AA104" s="650"/>
      <c r="AB104" s="650"/>
      <c r="AC104" s="651"/>
      <c r="AD104" s="652" t="s">
        <v>519</v>
      </c>
      <c r="AE104" s="649" t="s">
        <v>523</v>
      </c>
      <c r="AF104" s="650"/>
      <c r="AG104" s="650"/>
      <c r="AH104" s="651"/>
      <c r="AI104" s="652" t="s">
        <v>519</v>
      </c>
      <c r="AJ104" s="649" t="s">
        <v>523</v>
      </c>
      <c r="AK104" s="650"/>
      <c r="AL104" s="650"/>
      <c r="AM104" s="651"/>
      <c r="AN104" s="652" t="s">
        <v>519</v>
      </c>
      <c r="AO104" s="649" t="s">
        <v>523</v>
      </c>
      <c r="AP104" s="650"/>
      <c r="AQ104" s="650"/>
      <c r="AR104" s="651"/>
      <c r="AS104" s="652" t="s">
        <v>519</v>
      </c>
      <c r="AT104" s="649" t="s">
        <v>523</v>
      </c>
      <c r="AU104" s="650"/>
      <c r="AV104" s="650"/>
      <c r="AW104" s="651"/>
      <c r="AX104" s="652" t="s">
        <v>519</v>
      </c>
      <c r="BA104" s="652" t="s">
        <v>366</v>
      </c>
    </row>
    <row r="105" spans="2:53">
      <c r="B105" s="652"/>
      <c r="C105" s="652"/>
      <c r="D105" s="652"/>
      <c r="E105" s="652" t="s">
        <v>524</v>
      </c>
      <c r="F105" s="652"/>
      <c r="G105" s="652"/>
      <c r="H105" s="669"/>
      <c r="I105" s="652" t="s">
        <v>524</v>
      </c>
      <c r="J105" s="652"/>
      <c r="K105" s="652"/>
      <c r="L105" s="669"/>
      <c r="M105" s="654"/>
      <c r="N105" s="652"/>
      <c r="O105" s="652"/>
      <c r="P105" s="649" t="s">
        <v>525</v>
      </c>
      <c r="Q105" s="650"/>
      <c r="R105" s="650"/>
      <c r="S105" s="651"/>
      <c r="T105" s="652"/>
      <c r="U105" s="649" t="s">
        <v>525</v>
      </c>
      <c r="V105" s="650"/>
      <c r="W105" s="650"/>
      <c r="X105" s="651"/>
      <c r="Y105" s="652"/>
      <c r="Z105" s="649" t="s">
        <v>525</v>
      </c>
      <c r="AA105" s="650"/>
      <c r="AB105" s="650"/>
      <c r="AC105" s="651"/>
      <c r="AD105" s="652"/>
      <c r="AE105" s="649" t="s">
        <v>525</v>
      </c>
      <c r="AF105" s="650"/>
      <c r="AG105" s="650"/>
      <c r="AH105" s="651"/>
      <c r="AI105" s="652"/>
      <c r="AJ105" s="649" t="s">
        <v>525</v>
      </c>
      <c r="AK105" s="650"/>
      <c r="AL105" s="650"/>
      <c r="AM105" s="651"/>
      <c r="AN105" s="652"/>
      <c r="AO105" s="649" t="s">
        <v>525</v>
      </c>
      <c r="AP105" s="650"/>
      <c r="AQ105" s="650"/>
      <c r="AR105" s="651"/>
      <c r="AS105" s="652"/>
      <c r="AT105" s="649" t="s">
        <v>525</v>
      </c>
      <c r="AU105" s="650"/>
      <c r="AV105" s="650"/>
      <c r="AW105" s="651"/>
      <c r="AX105" s="652"/>
      <c r="BA105" s="652"/>
    </row>
    <row r="106" spans="2:53">
      <c r="B106" s="652"/>
      <c r="C106" s="652"/>
      <c r="D106" s="652"/>
      <c r="E106" s="345" t="s">
        <v>526</v>
      </c>
      <c r="F106" s="345" t="s">
        <v>527</v>
      </c>
      <c r="G106" s="345" t="s">
        <v>528</v>
      </c>
      <c r="H106" s="670"/>
      <c r="I106" s="345" t="s">
        <v>526</v>
      </c>
      <c r="J106" s="345" t="s">
        <v>527</v>
      </c>
      <c r="K106" s="345" t="s">
        <v>528</v>
      </c>
      <c r="L106" s="670"/>
      <c r="M106" s="655"/>
      <c r="N106" s="652"/>
      <c r="O106" s="652"/>
      <c r="P106" s="345" t="s">
        <v>526</v>
      </c>
      <c r="Q106" s="345" t="s">
        <v>527</v>
      </c>
      <c r="R106" s="345" t="s">
        <v>528</v>
      </c>
      <c r="S106" s="345" t="s">
        <v>521</v>
      </c>
      <c r="T106" s="652"/>
      <c r="U106" s="345" t="s">
        <v>526</v>
      </c>
      <c r="V106" s="345" t="s">
        <v>527</v>
      </c>
      <c r="W106" s="345" t="s">
        <v>528</v>
      </c>
      <c r="X106" s="345" t="s">
        <v>521</v>
      </c>
      <c r="Y106" s="652"/>
      <c r="Z106" s="345" t="s">
        <v>526</v>
      </c>
      <c r="AA106" s="345" t="s">
        <v>527</v>
      </c>
      <c r="AB106" s="345" t="s">
        <v>528</v>
      </c>
      <c r="AC106" s="345" t="s">
        <v>521</v>
      </c>
      <c r="AD106" s="652"/>
      <c r="AE106" s="345" t="s">
        <v>526</v>
      </c>
      <c r="AF106" s="345" t="s">
        <v>527</v>
      </c>
      <c r="AG106" s="345" t="s">
        <v>528</v>
      </c>
      <c r="AH106" s="345" t="s">
        <v>521</v>
      </c>
      <c r="AI106" s="652"/>
      <c r="AJ106" s="345" t="s">
        <v>526</v>
      </c>
      <c r="AK106" s="345" t="s">
        <v>527</v>
      </c>
      <c r="AL106" s="345" t="s">
        <v>528</v>
      </c>
      <c r="AM106" s="345" t="s">
        <v>521</v>
      </c>
      <c r="AN106" s="652"/>
      <c r="AO106" s="345" t="s">
        <v>526</v>
      </c>
      <c r="AP106" s="345" t="s">
        <v>527</v>
      </c>
      <c r="AQ106" s="345" t="s">
        <v>528</v>
      </c>
      <c r="AR106" s="345" t="s">
        <v>521</v>
      </c>
      <c r="AS106" s="652"/>
      <c r="AT106" s="345" t="s">
        <v>526</v>
      </c>
      <c r="AU106" s="345" t="s">
        <v>527</v>
      </c>
      <c r="AV106" s="345" t="s">
        <v>528</v>
      </c>
      <c r="AW106" s="345" t="s">
        <v>521</v>
      </c>
      <c r="AX106" s="652"/>
      <c r="AZ106" s="373" t="s">
        <v>367</v>
      </c>
      <c r="BA106" s="652"/>
    </row>
    <row r="107" spans="2:53">
      <c r="B107" s="695" t="s">
        <v>529</v>
      </c>
      <c r="C107" s="348">
        <v>1</v>
      </c>
      <c r="D107" s="506"/>
      <c r="E107" s="507"/>
      <c r="F107" s="507"/>
      <c r="G107" s="509"/>
      <c r="H107" s="691" t="e">
        <f>AVERAGE(G107:G121)</f>
        <v>#DIV/0!</v>
      </c>
      <c r="I107" s="363" t="str">
        <f t="shared" ref="I107:I121" si="87">IFERROR(AVERAGE(P107,U107,Z107,AE107,AJ107,AO107,AT107),"-")</f>
        <v>-</v>
      </c>
      <c r="J107" s="363" t="str">
        <f t="shared" ref="J107:J121" si="88">IFERROR(AVERAGE(Q107,V107,AA107,AF107,AK107,AP107,AU107),"-")</f>
        <v>-</v>
      </c>
      <c r="K107" s="199" t="str">
        <f t="shared" ref="K107:K121" si="89">IFERROR(AVERAGE(R107,W107,AB107,AG107,AL107,AQ107,AV107),"-")</f>
        <v>-</v>
      </c>
      <c r="L107" s="633" t="str">
        <f>IFERROR(AVERAGE(K107:K121),"-")</f>
        <v>-</v>
      </c>
      <c r="M107" s="349" t="e">
        <f>RANK(K107, K$107:$K$121)</f>
        <v>#VALUE!</v>
      </c>
      <c r="N107" s="652"/>
      <c r="O107" s="652"/>
      <c r="P107" s="507"/>
      <c r="Q107" s="509"/>
      <c r="R107" s="509"/>
      <c r="S107" s="507"/>
      <c r="T107" s="685"/>
      <c r="U107" s="507"/>
      <c r="V107" s="509"/>
      <c r="W107" s="509"/>
      <c r="X107" s="507"/>
      <c r="Y107" s="685"/>
      <c r="Z107" s="507"/>
      <c r="AA107" s="509"/>
      <c r="AB107" s="509"/>
      <c r="AC107" s="507"/>
      <c r="AD107" s="685"/>
      <c r="AE107" s="507"/>
      <c r="AF107" s="509"/>
      <c r="AG107" s="509"/>
      <c r="AH107" s="507"/>
      <c r="AI107" s="685"/>
      <c r="AJ107" s="507"/>
      <c r="AK107" s="509"/>
      <c r="AL107" s="509"/>
      <c r="AM107" s="507"/>
      <c r="AN107" s="685"/>
      <c r="AO107" s="507"/>
      <c r="AP107" s="509"/>
      <c r="AQ107" s="509"/>
      <c r="AR107" s="507"/>
      <c r="AS107" s="685"/>
      <c r="AT107" s="507"/>
      <c r="AU107" s="509"/>
      <c r="AV107" s="509"/>
      <c r="AW107" s="507"/>
      <c r="AX107" s="685"/>
      <c r="AZ107" s="375" t="e">
        <f t="shared" ref="AZ107:AZ121" si="90">RANK(AY107, AY$81:AY$87)</f>
        <v>#N/A</v>
      </c>
      <c r="BA107" s="710" t="e">
        <f t="shared" ref="BA107" si="91">AVERAGE(AY107:AY121)</f>
        <v>#DIV/0!</v>
      </c>
    </row>
    <row r="108" spans="2:53">
      <c r="B108" s="680"/>
      <c r="C108" s="348">
        <v>2</v>
      </c>
      <c r="D108" s="507"/>
      <c r="E108" s="507"/>
      <c r="F108" s="507"/>
      <c r="G108" s="509"/>
      <c r="H108" s="692"/>
      <c r="I108" s="363" t="str">
        <f t="shared" si="87"/>
        <v>-</v>
      </c>
      <c r="J108" s="363" t="str">
        <f t="shared" si="88"/>
        <v>-</v>
      </c>
      <c r="K108" s="199" t="str">
        <f t="shared" si="89"/>
        <v>-</v>
      </c>
      <c r="L108" s="634"/>
      <c r="M108" s="349" t="e">
        <f>RANK(K108, K$107:$K$121)</f>
        <v>#VALUE!</v>
      </c>
      <c r="N108" s="652"/>
      <c r="O108" s="652"/>
      <c r="P108" s="507"/>
      <c r="Q108" s="509"/>
      <c r="R108" s="509"/>
      <c r="S108" s="507"/>
      <c r="T108" s="685"/>
      <c r="U108" s="507"/>
      <c r="V108" s="509"/>
      <c r="W108" s="509"/>
      <c r="X108" s="507"/>
      <c r="Y108" s="685"/>
      <c r="Z108" s="507"/>
      <c r="AA108" s="509"/>
      <c r="AB108" s="509"/>
      <c r="AC108" s="507"/>
      <c r="AD108" s="685"/>
      <c r="AE108" s="507"/>
      <c r="AF108" s="509"/>
      <c r="AG108" s="509"/>
      <c r="AH108" s="507"/>
      <c r="AI108" s="685"/>
      <c r="AJ108" s="507"/>
      <c r="AK108" s="509"/>
      <c r="AL108" s="509"/>
      <c r="AM108" s="507"/>
      <c r="AN108" s="685"/>
      <c r="AO108" s="507"/>
      <c r="AP108" s="509"/>
      <c r="AQ108" s="509"/>
      <c r="AR108" s="507"/>
      <c r="AS108" s="685"/>
      <c r="AT108" s="507"/>
      <c r="AU108" s="509"/>
      <c r="AV108" s="509"/>
      <c r="AW108" s="507"/>
      <c r="AX108" s="685"/>
      <c r="AZ108" s="375" t="e">
        <f t="shared" si="90"/>
        <v>#N/A</v>
      </c>
      <c r="BA108" s="710"/>
    </row>
    <row r="109" spans="2:53">
      <c r="B109" s="680"/>
      <c r="C109" s="348">
        <v>3</v>
      </c>
      <c r="D109" s="507"/>
      <c r="E109" s="507"/>
      <c r="F109" s="507"/>
      <c r="G109" s="509"/>
      <c r="H109" s="692"/>
      <c r="I109" s="363" t="str">
        <f t="shared" si="87"/>
        <v>-</v>
      </c>
      <c r="J109" s="363" t="str">
        <f t="shared" si="88"/>
        <v>-</v>
      </c>
      <c r="K109" s="199" t="str">
        <f t="shared" si="89"/>
        <v>-</v>
      </c>
      <c r="L109" s="634"/>
      <c r="M109" s="349" t="e">
        <f>RANK(K109, K$107:$K$121)</f>
        <v>#VALUE!</v>
      </c>
      <c r="N109" s="652"/>
      <c r="O109" s="652"/>
      <c r="P109" s="507"/>
      <c r="Q109" s="509"/>
      <c r="R109" s="509"/>
      <c r="S109" s="507"/>
      <c r="T109" s="685"/>
      <c r="U109" s="507"/>
      <c r="V109" s="509"/>
      <c r="W109" s="509"/>
      <c r="X109" s="507"/>
      <c r="Y109" s="685"/>
      <c r="Z109" s="507"/>
      <c r="AA109" s="509"/>
      <c r="AB109" s="509"/>
      <c r="AC109" s="507"/>
      <c r="AD109" s="685"/>
      <c r="AE109" s="507"/>
      <c r="AF109" s="509"/>
      <c r="AG109" s="509"/>
      <c r="AH109" s="507"/>
      <c r="AI109" s="685"/>
      <c r="AJ109" s="507"/>
      <c r="AK109" s="509"/>
      <c r="AL109" s="509"/>
      <c r="AM109" s="507"/>
      <c r="AN109" s="685"/>
      <c r="AO109" s="507"/>
      <c r="AP109" s="509"/>
      <c r="AQ109" s="509"/>
      <c r="AR109" s="507"/>
      <c r="AS109" s="685"/>
      <c r="AT109" s="507"/>
      <c r="AU109" s="509"/>
      <c r="AV109" s="509"/>
      <c r="AW109" s="507"/>
      <c r="AX109" s="685"/>
      <c r="AZ109" s="375" t="e">
        <f t="shared" si="90"/>
        <v>#N/A</v>
      </c>
      <c r="BA109" s="710"/>
    </row>
    <row r="110" spans="2:53">
      <c r="B110" s="680"/>
      <c r="C110" s="348">
        <v>4</v>
      </c>
      <c r="D110" s="352"/>
      <c r="E110" s="352"/>
      <c r="F110" s="352"/>
      <c r="G110" s="181"/>
      <c r="H110" s="692"/>
      <c r="I110" s="363" t="str">
        <f t="shared" si="87"/>
        <v>-</v>
      </c>
      <c r="J110" s="363" t="str">
        <f t="shared" si="88"/>
        <v>-</v>
      </c>
      <c r="K110" s="199" t="str">
        <f t="shared" si="89"/>
        <v>-</v>
      </c>
      <c r="L110" s="634"/>
      <c r="M110" s="349" t="e">
        <f>RANK(K110, K$107:$K$121)</f>
        <v>#VALUE!</v>
      </c>
      <c r="N110" s="652"/>
      <c r="O110" s="652"/>
      <c r="P110" s="507"/>
      <c r="Q110" s="509"/>
      <c r="R110" s="509"/>
      <c r="S110" s="507"/>
      <c r="T110" s="685"/>
      <c r="U110" s="507"/>
      <c r="V110" s="509"/>
      <c r="W110" s="509"/>
      <c r="X110" s="507"/>
      <c r="Y110" s="685"/>
      <c r="Z110" s="507"/>
      <c r="AA110" s="509"/>
      <c r="AB110" s="509"/>
      <c r="AC110" s="507"/>
      <c r="AD110" s="685"/>
      <c r="AE110" s="507"/>
      <c r="AF110" s="509"/>
      <c r="AG110" s="509"/>
      <c r="AH110" s="507"/>
      <c r="AI110" s="685"/>
      <c r="AJ110" s="507"/>
      <c r="AK110" s="509"/>
      <c r="AL110" s="509"/>
      <c r="AM110" s="507"/>
      <c r="AN110" s="685"/>
      <c r="AO110" s="507"/>
      <c r="AP110" s="509"/>
      <c r="AQ110" s="509"/>
      <c r="AR110" s="507"/>
      <c r="AS110" s="685"/>
      <c r="AT110" s="507"/>
      <c r="AU110" s="509"/>
      <c r="AV110" s="509"/>
      <c r="AW110" s="507"/>
      <c r="AX110" s="685"/>
      <c r="AZ110" s="375" t="e">
        <f t="shared" si="90"/>
        <v>#N/A</v>
      </c>
      <c r="BA110" s="710"/>
    </row>
    <row r="111" spans="2:53">
      <c r="B111" s="680"/>
      <c r="C111" s="348">
        <v>5</v>
      </c>
      <c r="D111" s="352"/>
      <c r="E111" s="352"/>
      <c r="F111" s="352"/>
      <c r="G111" s="181"/>
      <c r="H111" s="692"/>
      <c r="I111" s="363" t="str">
        <f t="shared" si="87"/>
        <v>-</v>
      </c>
      <c r="J111" s="363" t="str">
        <f t="shared" si="88"/>
        <v>-</v>
      </c>
      <c r="K111" s="199" t="str">
        <f t="shared" si="89"/>
        <v>-</v>
      </c>
      <c r="L111" s="634"/>
      <c r="M111" s="349" t="e">
        <f>RANK(K111, K$107:$K$121)</f>
        <v>#VALUE!</v>
      </c>
      <c r="N111" s="652"/>
      <c r="O111" s="652"/>
      <c r="P111" s="507"/>
      <c r="Q111" s="509"/>
      <c r="R111" s="509"/>
      <c r="S111" s="507"/>
      <c r="T111" s="685"/>
      <c r="U111" s="507"/>
      <c r="V111" s="509"/>
      <c r="W111" s="509"/>
      <c r="X111" s="507"/>
      <c r="Y111" s="685"/>
      <c r="Z111" s="507"/>
      <c r="AA111" s="509"/>
      <c r="AB111" s="509"/>
      <c r="AC111" s="507"/>
      <c r="AD111" s="685"/>
      <c r="AE111" s="507"/>
      <c r="AF111" s="509"/>
      <c r="AG111" s="509"/>
      <c r="AH111" s="507"/>
      <c r="AI111" s="685"/>
      <c r="AJ111" s="507"/>
      <c r="AK111" s="509"/>
      <c r="AL111" s="509"/>
      <c r="AM111" s="507"/>
      <c r="AN111" s="685"/>
      <c r="AO111" s="507"/>
      <c r="AP111" s="509"/>
      <c r="AQ111" s="509"/>
      <c r="AR111" s="507"/>
      <c r="AS111" s="685"/>
      <c r="AT111" s="507"/>
      <c r="AU111" s="509"/>
      <c r="AV111" s="509"/>
      <c r="AW111" s="507"/>
      <c r="AX111" s="685"/>
      <c r="AZ111" s="375" t="e">
        <f t="shared" si="90"/>
        <v>#N/A</v>
      </c>
      <c r="BA111" s="710"/>
    </row>
    <row r="112" spans="2:53">
      <c r="B112" s="680"/>
      <c r="C112" s="348">
        <v>6</v>
      </c>
      <c r="D112" s="352"/>
      <c r="E112" s="352"/>
      <c r="F112" s="352"/>
      <c r="G112" s="181"/>
      <c r="H112" s="692"/>
      <c r="I112" s="363" t="str">
        <f t="shared" si="87"/>
        <v>-</v>
      </c>
      <c r="J112" s="363" t="str">
        <f t="shared" si="88"/>
        <v>-</v>
      </c>
      <c r="K112" s="199" t="str">
        <f t="shared" si="89"/>
        <v>-</v>
      </c>
      <c r="L112" s="634"/>
      <c r="M112" s="349" t="e">
        <f>RANK(K112, K$107:$K$121)</f>
        <v>#VALUE!</v>
      </c>
      <c r="N112" s="652"/>
      <c r="O112" s="652"/>
      <c r="P112" s="507"/>
      <c r="Q112" s="509"/>
      <c r="R112" s="509"/>
      <c r="S112" s="507"/>
      <c r="T112" s="685"/>
      <c r="U112" s="507"/>
      <c r="V112" s="509"/>
      <c r="W112" s="509"/>
      <c r="X112" s="507"/>
      <c r="Y112" s="685"/>
      <c r="Z112" s="507"/>
      <c r="AA112" s="509"/>
      <c r="AB112" s="509"/>
      <c r="AC112" s="507"/>
      <c r="AD112" s="685"/>
      <c r="AE112" s="507"/>
      <c r="AF112" s="509"/>
      <c r="AG112" s="509"/>
      <c r="AH112" s="507"/>
      <c r="AI112" s="685"/>
      <c r="AJ112" s="507"/>
      <c r="AK112" s="509"/>
      <c r="AL112" s="509"/>
      <c r="AM112" s="507"/>
      <c r="AN112" s="685"/>
      <c r="AO112" s="507"/>
      <c r="AP112" s="509"/>
      <c r="AQ112" s="509"/>
      <c r="AR112" s="507"/>
      <c r="AS112" s="685"/>
      <c r="AT112" s="507"/>
      <c r="AU112" s="509"/>
      <c r="AV112" s="509"/>
      <c r="AW112" s="507"/>
      <c r="AX112" s="685"/>
      <c r="AZ112" s="375" t="e">
        <f t="shared" si="90"/>
        <v>#N/A</v>
      </c>
      <c r="BA112" s="710"/>
    </row>
    <row r="113" spans="2:53">
      <c r="B113" s="680"/>
      <c r="C113" s="348">
        <v>7</v>
      </c>
      <c r="D113" s="352"/>
      <c r="E113" s="352"/>
      <c r="F113" s="352"/>
      <c r="G113" s="181"/>
      <c r="H113" s="692"/>
      <c r="I113" s="363" t="str">
        <f t="shared" si="87"/>
        <v>-</v>
      </c>
      <c r="J113" s="363" t="str">
        <f t="shared" si="88"/>
        <v>-</v>
      </c>
      <c r="K113" s="199" t="str">
        <f t="shared" si="89"/>
        <v>-</v>
      </c>
      <c r="L113" s="634"/>
      <c r="M113" s="349" t="e">
        <f>RANK(K113, K$107:$K$121)</f>
        <v>#VALUE!</v>
      </c>
      <c r="N113" s="652"/>
      <c r="O113" s="652"/>
      <c r="P113" s="507"/>
      <c r="Q113" s="509"/>
      <c r="R113" s="509"/>
      <c r="S113" s="507"/>
      <c r="T113" s="685"/>
      <c r="U113" s="507"/>
      <c r="V113" s="509"/>
      <c r="W113" s="509"/>
      <c r="X113" s="507"/>
      <c r="Y113" s="685"/>
      <c r="Z113" s="507"/>
      <c r="AA113" s="509"/>
      <c r="AB113" s="509"/>
      <c r="AC113" s="507"/>
      <c r="AD113" s="685"/>
      <c r="AE113" s="507"/>
      <c r="AF113" s="509"/>
      <c r="AG113" s="509"/>
      <c r="AH113" s="507"/>
      <c r="AI113" s="685"/>
      <c r="AJ113" s="507"/>
      <c r="AK113" s="509"/>
      <c r="AL113" s="509"/>
      <c r="AM113" s="507"/>
      <c r="AN113" s="685"/>
      <c r="AO113" s="507"/>
      <c r="AP113" s="509"/>
      <c r="AQ113" s="509"/>
      <c r="AR113" s="507"/>
      <c r="AS113" s="685"/>
      <c r="AT113" s="507"/>
      <c r="AU113" s="509"/>
      <c r="AV113" s="509"/>
      <c r="AW113" s="507"/>
      <c r="AX113" s="685"/>
      <c r="AZ113" s="375" t="e">
        <f t="shared" si="90"/>
        <v>#N/A</v>
      </c>
      <c r="BA113" s="710"/>
    </row>
    <row r="114" spans="2:53">
      <c r="B114" s="680"/>
      <c r="C114" s="348">
        <v>8</v>
      </c>
      <c r="D114" s="352"/>
      <c r="E114" s="352"/>
      <c r="F114" s="352"/>
      <c r="G114" s="181"/>
      <c r="H114" s="692"/>
      <c r="I114" s="363" t="str">
        <f t="shared" si="87"/>
        <v>-</v>
      </c>
      <c r="J114" s="363" t="str">
        <f t="shared" si="88"/>
        <v>-</v>
      </c>
      <c r="K114" s="199" t="str">
        <f t="shared" si="89"/>
        <v>-</v>
      </c>
      <c r="L114" s="634"/>
      <c r="M114" s="349" t="e">
        <f>RANK(K114, K$107:$K$121)</f>
        <v>#VALUE!</v>
      </c>
      <c r="N114" s="652"/>
      <c r="O114" s="652"/>
      <c r="P114" s="507"/>
      <c r="Q114" s="509"/>
      <c r="R114" s="509"/>
      <c r="S114" s="507"/>
      <c r="T114" s="685"/>
      <c r="U114" s="507"/>
      <c r="V114" s="509"/>
      <c r="W114" s="509"/>
      <c r="X114" s="507"/>
      <c r="Y114" s="685"/>
      <c r="Z114" s="507"/>
      <c r="AA114" s="509"/>
      <c r="AB114" s="509"/>
      <c r="AC114" s="507"/>
      <c r="AD114" s="685"/>
      <c r="AE114" s="507"/>
      <c r="AF114" s="509"/>
      <c r="AG114" s="509"/>
      <c r="AH114" s="507"/>
      <c r="AI114" s="685"/>
      <c r="AJ114" s="507"/>
      <c r="AK114" s="509"/>
      <c r="AL114" s="509"/>
      <c r="AM114" s="507"/>
      <c r="AN114" s="685"/>
      <c r="AO114" s="507"/>
      <c r="AP114" s="509"/>
      <c r="AQ114" s="509"/>
      <c r="AR114" s="507"/>
      <c r="AS114" s="685"/>
      <c r="AT114" s="507"/>
      <c r="AU114" s="509"/>
      <c r="AV114" s="509"/>
      <c r="AW114" s="507"/>
      <c r="AX114" s="685"/>
      <c r="AZ114" s="375" t="e">
        <f t="shared" si="90"/>
        <v>#N/A</v>
      </c>
      <c r="BA114" s="710"/>
    </row>
    <row r="115" spans="2:53">
      <c r="B115" s="680"/>
      <c r="C115" s="348">
        <v>9</v>
      </c>
      <c r="D115" s="352"/>
      <c r="E115" s="352"/>
      <c r="F115" s="352"/>
      <c r="G115" s="181"/>
      <c r="H115" s="692"/>
      <c r="I115" s="363" t="str">
        <f t="shared" si="87"/>
        <v>-</v>
      </c>
      <c r="J115" s="363" t="str">
        <f t="shared" si="88"/>
        <v>-</v>
      </c>
      <c r="K115" s="199" t="str">
        <f t="shared" si="89"/>
        <v>-</v>
      </c>
      <c r="L115" s="634"/>
      <c r="M115" s="349" t="e">
        <f>RANK(K115, K$107:$K$121)</f>
        <v>#VALUE!</v>
      </c>
      <c r="N115" s="652"/>
      <c r="O115" s="652"/>
      <c r="P115" s="507"/>
      <c r="Q115" s="509"/>
      <c r="R115" s="509"/>
      <c r="S115" s="507"/>
      <c r="T115" s="685"/>
      <c r="U115" s="507"/>
      <c r="V115" s="509"/>
      <c r="W115" s="509"/>
      <c r="X115" s="507"/>
      <c r="Y115" s="685"/>
      <c r="Z115" s="507"/>
      <c r="AA115" s="509"/>
      <c r="AB115" s="509"/>
      <c r="AC115" s="507"/>
      <c r="AD115" s="685"/>
      <c r="AE115" s="507"/>
      <c r="AF115" s="509"/>
      <c r="AG115" s="509"/>
      <c r="AH115" s="507"/>
      <c r="AI115" s="685"/>
      <c r="AJ115" s="507"/>
      <c r="AK115" s="509"/>
      <c r="AL115" s="509"/>
      <c r="AM115" s="507"/>
      <c r="AN115" s="685"/>
      <c r="AO115" s="507"/>
      <c r="AP115" s="509"/>
      <c r="AQ115" s="509"/>
      <c r="AR115" s="507"/>
      <c r="AS115" s="685"/>
      <c r="AT115" s="507"/>
      <c r="AU115" s="509"/>
      <c r="AV115" s="509"/>
      <c r="AW115" s="507"/>
      <c r="AX115" s="685"/>
      <c r="AZ115" s="375" t="e">
        <f t="shared" si="90"/>
        <v>#N/A</v>
      </c>
      <c r="BA115" s="710"/>
    </row>
    <row r="116" spans="2:53">
      <c r="B116" s="680"/>
      <c r="C116" s="348">
        <v>10</v>
      </c>
      <c r="D116" s="352"/>
      <c r="E116" s="352"/>
      <c r="F116" s="352"/>
      <c r="G116" s="181"/>
      <c r="H116" s="692"/>
      <c r="I116" s="363" t="str">
        <f t="shared" si="87"/>
        <v>-</v>
      </c>
      <c r="J116" s="363" t="str">
        <f t="shared" si="88"/>
        <v>-</v>
      </c>
      <c r="K116" s="199" t="str">
        <f t="shared" si="89"/>
        <v>-</v>
      </c>
      <c r="L116" s="634"/>
      <c r="M116" s="349" t="e">
        <f>RANK(K116, K$107:$K$121)</f>
        <v>#VALUE!</v>
      </c>
      <c r="N116" s="652"/>
      <c r="O116" s="652"/>
      <c r="P116" s="507"/>
      <c r="Q116" s="509"/>
      <c r="R116" s="509"/>
      <c r="S116" s="507"/>
      <c r="T116" s="685"/>
      <c r="U116" s="507"/>
      <c r="V116" s="509"/>
      <c r="W116" s="509"/>
      <c r="X116" s="507"/>
      <c r="Y116" s="685"/>
      <c r="Z116" s="507"/>
      <c r="AA116" s="509"/>
      <c r="AB116" s="509"/>
      <c r="AC116" s="507"/>
      <c r="AD116" s="685"/>
      <c r="AE116" s="507"/>
      <c r="AF116" s="509"/>
      <c r="AG116" s="509"/>
      <c r="AH116" s="507"/>
      <c r="AI116" s="685"/>
      <c r="AJ116" s="507"/>
      <c r="AK116" s="509"/>
      <c r="AL116" s="509"/>
      <c r="AM116" s="507"/>
      <c r="AN116" s="685"/>
      <c r="AO116" s="507"/>
      <c r="AP116" s="509"/>
      <c r="AQ116" s="509"/>
      <c r="AR116" s="507"/>
      <c r="AS116" s="685"/>
      <c r="AT116" s="507"/>
      <c r="AU116" s="509"/>
      <c r="AV116" s="509"/>
      <c r="AW116" s="507"/>
      <c r="AX116" s="685"/>
      <c r="AZ116" s="375" t="e">
        <f t="shared" si="90"/>
        <v>#N/A</v>
      </c>
      <c r="BA116" s="710"/>
    </row>
    <row r="117" spans="2:53">
      <c r="B117" s="680"/>
      <c r="C117" s="348">
        <v>11</v>
      </c>
      <c r="D117" s="352"/>
      <c r="E117" s="352"/>
      <c r="F117" s="352"/>
      <c r="G117" s="181"/>
      <c r="H117" s="692"/>
      <c r="I117" s="363" t="str">
        <f t="shared" si="87"/>
        <v>-</v>
      </c>
      <c r="J117" s="363" t="str">
        <f t="shared" si="88"/>
        <v>-</v>
      </c>
      <c r="K117" s="199" t="str">
        <f t="shared" si="89"/>
        <v>-</v>
      </c>
      <c r="L117" s="634"/>
      <c r="M117" s="349" t="e">
        <f>RANK(K117, K$107:$K$121)</f>
        <v>#VALUE!</v>
      </c>
      <c r="N117" s="652"/>
      <c r="O117" s="652"/>
      <c r="P117" s="507"/>
      <c r="Q117" s="509"/>
      <c r="R117" s="509"/>
      <c r="S117" s="507"/>
      <c r="T117" s="685"/>
      <c r="U117" s="507"/>
      <c r="V117" s="509"/>
      <c r="W117" s="509"/>
      <c r="X117" s="507"/>
      <c r="Y117" s="685"/>
      <c r="Z117" s="507"/>
      <c r="AA117" s="509"/>
      <c r="AB117" s="509"/>
      <c r="AC117" s="507"/>
      <c r="AD117" s="685"/>
      <c r="AE117" s="507"/>
      <c r="AF117" s="509"/>
      <c r="AG117" s="509"/>
      <c r="AH117" s="507"/>
      <c r="AI117" s="685"/>
      <c r="AJ117" s="507"/>
      <c r="AK117" s="509"/>
      <c r="AL117" s="509"/>
      <c r="AM117" s="507"/>
      <c r="AN117" s="685"/>
      <c r="AO117" s="507"/>
      <c r="AP117" s="509"/>
      <c r="AQ117" s="509"/>
      <c r="AR117" s="507"/>
      <c r="AS117" s="685"/>
      <c r="AT117" s="507"/>
      <c r="AU117" s="509"/>
      <c r="AV117" s="509"/>
      <c r="AW117" s="507"/>
      <c r="AX117" s="685"/>
      <c r="AZ117" s="375" t="e">
        <f t="shared" si="90"/>
        <v>#N/A</v>
      </c>
      <c r="BA117" s="710"/>
    </row>
    <row r="118" spans="2:53">
      <c r="B118" s="680"/>
      <c r="C118" s="348">
        <v>12</v>
      </c>
      <c r="D118" s="352"/>
      <c r="E118" s="352"/>
      <c r="F118" s="352"/>
      <c r="G118" s="181"/>
      <c r="H118" s="692"/>
      <c r="I118" s="363" t="str">
        <f t="shared" si="87"/>
        <v>-</v>
      </c>
      <c r="J118" s="363" t="str">
        <f t="shared" si="88"/>
        <v>-</v>
      </c>
      <c r="K118" s="199" t="str">
        <f t="shared" si="89"/>
        <v>-</v>
      </c>
      <c r="L118" s="634"/>
      <c r="M118" s="349" t="e">
        <f>RANK(K118, K$107:$K$121)</f>
        <v>#VALUE!</v>
      </c>
      <c r="N118" s="652"/>
      <c r="O118" s="652"/>
      <c r="P118" s="507"/>
      <c r="Q118" s="509"/>
      <c r="R118" s="509"/>
      <c r="S118" s="507"/>
      <c r="T118" s="685"/>
      <c r="U118" s="507"/>
      <c r="V118" s="509"/>
      <c r="W118" s="509"/>
      <c r="X118" s="507"/>
      <c r="Y118" s="685"/>
      <c r="Z118" s="507"/>
      <c r="AA118" s="509"/>
      <c r="AB118" s="509"/>
      <c r="AC118" s="507"/>
      <c r="AD118" s="685"/>
      <c r="AE118" s="507"/>
      <c r="AF118" s="509"/>
      <c r="AG118" s="509"/>
      <c r="AH118" s="507"/>
      <c r="AI118" s="685"/>
      <c r="AJ118" s="507"/>
      <c r="AK118" s="509"/>
      <c r="AL118" s="509"/>
      <c r="AM118" s="507"/>
      <c r="AN118" s="685"/>
      <c r="AO118" s="507"/>
      <c r="AP118" s="509"/>
      <c r="AQ118" s="509"/>
      <c r="AR118" s="507"/>
      <c r="AS118" s="685"/>
      <c r="AT118" s="507"/>
      <c r="AU118" s="509"/>
      <c r="AV118" s="509"/>
      <c r="AW118" s="507"/>
      <c r="AX118" s="685"/>
      <c r="AZ118" s="375" t="e">
        <f t="shared" si="90"/>
        <v>#N/A</v>
      </c>
      <c r="BA118" s="710"/>
    </row>
    <row r="119" spans="2:53">
      <c r="B119" s="680"/>
      <c r="C119" s="348">
        <v>13</v>
      </c>
      <c r="D119" s="352"/>
      <c r="E119" s="352"/>
      <c r="F119" s="352"/>
      <c r="G119" s="181"/>
      <c r="H119" s="692"/>
      <c r="I119" s="363" t="str">
        <f t="shared" si="87"/>
        <v>-</v>
      </c>
      <c r="J119" s="363" t="str">
        <f t="shared" si="88"/>
        <v>-</v>
      </c>
      <c r="K119" s="199" t="str">
        <f t="shared" si="89"/>
        <v>-</v>
      </c>
      <c r="L119" s="634"/>
      <c r="M119" s="349" t="e">
        <f>RANK(K119, K$107:$K$121)</f>
        <v>#VALUE!</v>
      </c>
      <c r="N119" s="652"/>
      <c r="O119" s="652"/>
      <c r="P119" s="507"/>
      <c r="Q119" s="509"/>
      <c r="R119" s="509"/>
      <c r="S119" s="507"/>
      <c r="T119" s="685"/>
      <c r="U119" s="507"/>
      <c r="V119" s="509"/>
      <c r="W119" s="509"/>
      <c r="X119" s="507"/>
      <c r="Y119" s="685"/>
      <c r="Z119" s="507"/>
      <c r="AA119" s="509"/>
      <c r="AB119" s="509"/>
      <c r="AC119" s="507"/>
      <c r="AD119" s="685"/>
      <c r="AE119" s="507"/>
      <c r="AF119" s="509"/>
      <c r="AG119" s="509"/>
      <c r="AH119" s="507"/>
      <c r="AI119" s="685"/>
      <c r="AJ119" s="507"/>
      <c r="AK119" s="509"/>
      <c r="AL119" s="509"/>
      <c r="AM119" s="507"/>
      <c r="AN119" s="685"/>
      <c r="AO119" s="507"/>
      <c r="AP119" s="509"/>
      <c r="AQ119" s="509"/>
      <c r="AR119" s="507"/>
      <c r="AS119" s="685"/>
      <c r="AT119" s="507"/>
      <c r="AU119" s="509"/>
      <c r="AV119" s="509"/>
      <c r="AW119" s="507"/>
      <c r="AX119" s="685"/>
      <c r="AZ119" s="375" t="e">
        <f t="shared" si="90"/>
        <v>#N/A</v>
      </c>
      <c r="BA119" s="710"/>
    </row>
    <row r="120" spans="2:53">
      <c r="B120" s="680"/>
      <c r="C120" s="348">
        <v>14</v>
      </c>
      <c r="D120" s="352"/>
      <c r="E120" s="352"/>
      <c r="F120" s="352"/>
      <c r="G120" s="181"/>
      <c r="H120" s="692"/>
      <c r="I120" s="363" t="str">
        <f t="shared" si="87"/>
        <v>-</v>
      </c>
      <c r="J120" s="363" t="str">
        <f t="shared" si="88"/>
        <v>-</v>
      </c>
      <c r="K120" s="199" t="str">
        <f t="shared" si="89"/>
        <v>-</v>
      </c>
      <c r="L120" s="634"/>
      <c r="M120" s="349" t="e">
        <f>RANK(K120, K$107:$K$121)</f>
        <v>#VALUE!</v>
      </c>
      <c r="N120" s="652"/>
      <c r="O120" s="652"/>
      <c r="P120" s="507"/>
      <c r="Q120" s="509"/>
      <c r="R120" s="509"/>
      <c r="S120" s="507"/>
      <c r="T120" s="685"/>
      <c r="U120" s="507"/>
      <c r="V120" s="509"/>
      <c r="W120" s="509"/>
      <c r="X120" s="507"/>
      <c r="Y120" s="685"/>
      <c r="Z120" s="507"/>
      <c r="AA120" s="509"/>
      <c r="AB120" s="509"/>
      <c r="AC120" s="507"/>
      <c r="AD120" s="685"/>
      <c r="AE120" s="507"/>
      <c r="AF120" s="509"/>
      <c r="AG120" s="509"/>
      <c r="AH120" s="507"/>
      <c r="AI120" s="685"/>
      <c r="AJ120" s="507"/>
      <c r="AK120" s="509"/>
      <c r="AL120" s="509"/>
      <c r="AM120" s="507"/>
      <c r="AN120" s="685"/>
      <c r="AO120" s="507"/>
      <c r="AP120" s="509"/>
      <c r="AQ120" s="509"/>
      <c r="AR120" s="507"/>
      <c r="AS120" s="685"/>
      <c r="AT120" s="507"/>
      <c r="AU120" s="509"/>
      <c r="AV120" s="509"/>
      <c r="AW120" s="507"/>
      <c r="AX120" s="685"/>
      <c r="AZ120" s="375" t="e">
        <f t="shared" si="90"/>
        <v>#N/A</v>
      </c>
      <c r="BA120" s="710"/>
    </row>
    <row r="121" spans="2:53">
      <c r="B121" s="680"/>
      <c r="C121" s="348">
        <v>15</v>
      </c>
      <c r="D121" s="352"/>
      <c r="E121" s="352"/>
      <c r="F121" s="352"/>
      <c r="G121" s="352"/>
      <c r="H121" s="696"/>
      <c r="I121" s="363" t="str">
        <f t="shared" si="87"/>
        <v>-</v>
      </c>
      <c r="J121" s="363" t="str">
        <f t="shared" si="88"/>
        <v>-</v>
      </c>
      <c r="K121" s="199" t="str">
        <f t="shared" si="89"/>
        <v>-</v>
      </c>
      <c r="L121" s="635"/>
      <c r="M121" s="349" t="e">
        <f>RANK(K121, K$107:$K$121)</f>
        <v>#VALUE!</v>
      </c>
      <c r="N121" s="652"/>
      <c r="O121" s="652"/>
      <c r="P121" s="507"/>
      <c r="Q121" s="509"/>
      <c r="R121" s="509"/>
      <c r="S121" s="507"/>
      <c r="T121" s="685"/>
      <c r="U121" s="507"/>
      <c r="V121" s="509"/>
      <c r="W121" s="509"/>
      <c r="X121" s="507"/>
      <c r="Y121" s="685"/>
      <c r="Z121" s="507"/>
      <c r="AA121" s="509"/>
      <c r="AB121" s="509"/>
      <c r="AC121" s="507"/>
      <c r="AD121" s="685"/>
      <c r="AE121" s="507"/>
      <c r="AF121" s="509"/>
      <c r="AG121" s="509"/>
      <c r="AH121" s="507"/>
      <c r="AI121" s="685"/>
      <c r="AJ121" s="507"/>
      <c r="AK121" s="509"/>
      <c r="AL121" s="509"/>
      <c r="AM121" s="507"/>
      <c r="AN121" s="685"/>
      <c r="AO121" s="507"/>
      <c r="AP121" s="509"/>
      <c r="AQ121" s="509"/>
      <c r="AR121" s="507"/>
      <c r="AS121" s="685"/>
      <c r="AT121" s="507"/>
      <c r="AU121" s="509"/>
      <c r="AV121" s="509"/>
      <c r="AW121" s="507"/>
      <c r="AX121" s="685"/>
      <c r="AZ121" s="375" t="e">
        <f t="shared" si="90"/>
        <v>#N/A</v>
      </c>
      <c r="BA121" s="710"/>
    </row>
    <row r="123" spans="2:53" ht="15.75">
      <c r="B123" s="686" t="s">
        <v>472</v>
      </c>
      <c r="C123" s="687"/>
      <c r="D123" s="687"/>
      <c r="E123" s="687"/>
      <c r="F123" s="687"/>
      <c r="G123" s="687"/>
      <c r="H123" s="688"/>
      <c r="I123" s="307"/>
      <c r="J123" s="307"/>
      <c r="K123" s="307"/>
      <c r="L123" s="307"/>
      <c r="M123" s="308"/>
    </row>
    <row r="124" spans="2:53" ht="15.75">
      <c r="B124" s="689"/>
      <c r="C124" s="689"/>
      <c r="D124" s="689"/>
      <c r="E124" s="689"/>
      <c r="F124" s="689"/>
      <c r="G124" s="689"/>
      <c r="H124" s="689"/>
      <c r="I124" s="309"/>
      <c r="J124" s="309"/>
      <c r="K124" s="309"/>
      <c r="L124" s="309"/>
      <c r="M124" s="310"/>
    </row>
    <row r="125" spans="2:53">
      <c r="B125" s="652" t="s">
        <v>473</v>
      </c>
      <c r="C125" s="652" t="s">
        <v>474</v>
      </c>
      <c r="D125" s="652"/>
      <c r="E125" s="652" t="s">
        <v>475</v>
      </c>
      <c r="F125" s="652"/>
      <c r="G125" s="652"/>
      <c r="H125" s="668" t="s">
        <v>476</v>
      </c>
      <c r="I125" s="690" t="s">
        <v>477</v>
      </c>
      <c r="J125" s="690"/>
      <c r="K125" s="690"/>
      <c r="L125" s="704" t="s">
        <v>476</v>
      </c>
      <c r="M125" s="707" t="s">
        <v>478</v>
      </c>
    </row>
    <row r="126" spans="2:53">
      <c r="B126" s="652"/>
      <c r="C126" s="652"/>
      <c r="D126" s="652"/>
      <c r="E126" s="652" t="s">
        <v>479</v>
      </c>
      <c r="F126" s="652"/>
      <c r="G126" s="652"/>
      <c r="H126" s="669"/>
      <c r="I126" s="690" t="s">
        <v>479</v>
      </c>
      <c r="J126" s="690"/>
      <c r="K126" s="690"/>
      <c r="L126" s="705"/>
      <c r="M126" s="708"/>
    </row>
    <row r="127" spans="2:53">
      <c r="B127" s="652"/>
      <c r="C127" s="652"/>
      <c r="D127" s="652"/>
      <c r="E127" s="304" t="s">
        <v>480</v>
      </c>
      <c r="F127" s="304" t="s">
        <v>481</v>
      </c>
      <c r="G127" s="304" t="s">
        <v>482</v>
      </c>
      <c r="H127" s="670"/>
      <c r="I127" s="311" t="s">
        <v>480</v>
      </c>
      <c r="J127" s="311" t="s">
        <v>481</v>
      </c>
      <c r="K127" s="311" t="s">
        <v>482</v>
      </c>
      <c r="L127" s="706"/>
      <c r="M127" s="709"/>
    </row>
    <row r="128" spans="2:53">
      <c r="B128" s="695" t="s">
        <v>484</v>
      </c>
      <c r="C128" s="303">
        <v>1</v>
      </c>
      <c r="D128" s="225"/>
      <c r="E128" s="181"/>
      <c r="F128" s="303"/>
      <c r="G128" s="306"/>
      <c r="H128" s="698" t="e">
        <f>AVERAGE(G128:G142)</f>
        <v>#DIV/0!</v>
      </c>
      <c r="I128" s="198" t="e">
        <f t="shared" ref="I128:K134" si="92">AVERAGEIF($D$7:$D$121,$D128,I$7:I$121)</f>
        <v>#DIV/0!</v>
      </c>
      <c r="J128" s="198" t="e">
        <f t="shared" si="92"/>
        <v>#DIV/0!</v>
      </c>
      <c r="K128" s="198" t="e">
        <f>AVERAGEIF($D$7:$D$121,$D128,K$7:K$121)</f>
        <v>#DIV/0!</v>
      </c>
      <c r="L128" s="701" t="e">
        <f>AVERAGE(K128:K142)</f>
        <v>#DIV/0!</v>
      </c>
      <c r="M128" s="198" t="e">
        <f>RANK(K128, K$128:$K$142)</f>
        <v>#DIV/0!</v>
      </c>
    </row>
    <row r="129" spans="2:39">
      <c r="B129" s="660"/>
      <c r="C129" s="303">
        <v>2</v>
      </c>
      <c r="D129" s="225"/>
      <c r="E129" s="181"/>
      <c r="F129" s="303"/>
      <c r="G129" s="306"/>
      <c r="H129" s="699"/>
      <c r="I129" s="198" t="e">
        <f t="shared" si="92"/>
        <v>#DIV/0!</v>
      </c>
      <c r="J129" s="198" t="e">
        <f t="shared" si="92"/>
        <v>#DIV/0!</v>
      </c>
      <c r="K129" s="198" t="e">
        <f t="shared" si="92"/>
        <v>#DIV/0!</v>
      </c>
      <c r="L129" s="702"/>
      <c r="M129" s="198" t="e">
        <f>RANK(K129, K$128:$K$142)</f>
        <v>#DIV/0!</v>
      </c>
      <c r="N129" s="107"/>
      <c r="O129" s="107"/>
      <c r="P129" s="107"/>
      <c r="Q129" s="107"/>
      <c r="R129" s="107"/>
      <c r="S129" s="107"/>
      <c r="T129" s="107"/>
      <c r="X129" s="107"/>
      <c r="AC129" s="107"/>
      <c r="AH129" s="107"/>
      <c r="AM129" s="107"/>
    </row>
    <row r="130" spans="2:39">
      <c r="B130" s="660"/>
      <c r="C130" s="303">
        <v>3</v>
      </c>
      <c r="D130" s="225"/>
      <c r="E130" s="181"/>
      <c r="F130" s="303"/>
      <c r="G130" s="306"/>
      <c r="H130" s="699"/>
      <c r="I130" s="198" t="e">
        <f t="shared" si="92"/>
        <v>#DIV/0!</v>
      </c>
      <c r="J130" s="198" t="e">
        <f t="shared" si="92"/>
        <v>#DIV/0!</v>
      </c>
      <c r="K130" s="198" t="e">
        <f t="shared" si="92"/>
        <v>#DIV/0!</v>
      </c>
      <c r="L130" s="702"/>
      <c r="M130" s="198" t="e">
        <f>RANK(K130, K$128:$K$142)</f>
        <v>#DIV/0!</v>
      </c>
      <c r="N130" s="107"/>
      <c r="O130" s="107"/>
      <c r="P130" s="107"/>
      <c r="Q130" s="107"/>
      <c r="R130" s="107"/>
      <c r="S130" s="107"/>
      <c r="T130" s="107"/>
      <c r="X130" s="107"/>
      <c r="AC130" s="107"/>
      <c r="AH130" s="107"/>
      <c r="AM130" s="107"/>
    </row>
    <row r="131" spans="2:39">
      <c r="B131" s="660"/>
      <c r="C131" s="303">
        <v>4</v>
      </c>
      <c r="D131" s="225"/>
      <c r="E131" s="181"/>
      <c r="F131" s="303"/>
      <c r="G131" s="306"/>
      <c r="H131" s="699"/>
      <c r="I131" s="198" t="e">
        <f t="shared" si="92"/>
        <v>#DIV/0!</v>
      </c>
      <c r="J131" s="198" t="e">
        <f t="shared" si="92"/>
        <v>#DIV/0!</v>
      </c>
      <c r="K131" s="198" t="e">
        <f t="shared" si="92"/>
        <v>#DIV/0!</v>
      </c>
      <c r="L131" s="702"/>
      <c r="M131" s="198" t="e">
        <f>RANK(K131, K$128:$K$142)</f>
        <v>#DIV/0!</v>
      </c>
      <c r="N131" s="107"/>
      <c r="O131" s="107"/>
      <c r="P131" s="107"/>
      <c r="Q131" s="107"/>
      <c r="R131" s="107"/>
      <c r="S131" s="107"/>
      <c r="T131" s="107"/>
      <c r="X131" s="107"/>
      <c r="AC131" s="107"/>
      <c r="AH131" s="107"/>
      <c r="AM131" s="107"/>
    </row>
    <row r="132" spans="2:39">
      <c r="B132" s="660"/>
      <c r="C132" s="303">
        <v>5</v>
      </c>
      <c r="D132" s="225"/>
      <c r="E132" s="181"/>
      <c r="F132" s="303"/>
      <c r="G132" s="306"/>
      <c r="H132" s="699"/>
      <c r="I132" s="198" t="e">
        <f t="shared" si="92"/>
        <v>#DIV/0!</v>
      </c>
      <c r="J132" s="198" t="e">
        <f t="shared" si="92"/>
        <v>#DIV/0!</v>
      </c>
      <c r="K132" s="198" t="e">
        <f t="shared" si="92"/>
        <v>#DIV/0!</v>
      </c>
      <c r="L132" s="702"/>
      <c r="M132" s="198" t="e">
        <f>RANK(K132, K$128:$K$142)</f>
        <v>#DIV/0!</v>
      </c>
      <c r="N132" s="107"/>
      <c r="O132" s="107"/>
      <c r="P132" s="107"/>
      <c r="Q132" s="107"/>
      <c r="R132" s="107"/>
      <c r="S132" s="107"/>
      <c r="T132" s="107"/>
      <c r="X132" s="107"/>
      <c r="AC132" s="107"/>
      <c r="AH132" s="107"/>
      <c r="AM132" s="107"/>
    </row>
    <row r="133" spans="2:39">
      <c r="B133" s="660"/>
      <c r="C133" s="303">
        <v>6</v>
      </c>
      <c r="D133" s="312"/>
      <c r="E133" s="181"/>
      <c r="F133" s="303"/>
      <c r="G133" s="306"/>
      <c r="H133" s="699"/>
      <c r="I133" s="198" t="e">
        <f t="shared" si="92"/>
        <v>#DIV/0!</v>
      </c>
      <c r="J133" s="198" t="e">
        <f t="shared" si="92"/>
        <v>#DIV/0!</v>
      </c>
      <c r="K133" s="198" t="e">
        <f t="shared" si="92"/>
        <v>#DIV/0!</v>
      </c>
      <c r="L133" s="702"/>
      <c r="M133" s="198" t="e">
        <f>RANK(K133, K$128:$K$142)</f>
        <v>#DIV/0!</v>
      </c>
      <c r="N133" s="107"/>
      <c r="O133" s="107"/>
      <c r="P133" s="107"/>
      <c r="Q133" s="107"/>
      <c r="R133" s="107"/>
      <c r="S133" s="107"/>
      <c r="T133" s="107"/>
      <c r="X133" s="107"/>
      <c r="AC133" s="107"/>
      <c r="AH133" s="107"/>
      <c r="AM133" s="107"/>
    </row>
    <row r="134" spans="2:39">
      <c r="B134" s="660"/>
      <c r="C134" s="303">
        <v>7</v>
      </c>
      <c r="D134" s="225"/>
      <c r="E134" s="181"/>
      <c r="F134" s="303"/>
      <c r="G134" s="306"/>
      <c r="H134" s="699"/>
      <c r="I134" s="198" t="e">
        <f t="shared" si="92"/>
        <v>#DIV/0!</v>
      </c>
      <c r="J134" s="198" t="e">
        <f t="shared" si="92"/>
        <v>#DIV/0!</v>
      </c>
      <c r="K134" s="198" t="e">
        <f t="shared" si="92"/>
        <v>#DIV/0!</v>
      </c>
      <c r="L134" s="702"/>
      <c r="M134" s="198" t="e">
        <f>RANK(K134, K$128:$K$142)</f>
        <v>#DIV/0!</v>
      </c>
      <c r="N134" s="107"/>
      <c r="O134" s="107"/>
      <c r="P134" s="107"/>
      <c r="Q134" s="107"/>
      <c r="R134" s="107"/>
      <c r="S134" s="107"/>
      <c r="T134" s="107"/>
      <c r="X134" s="107"/>
      <c r="AC134" s="107"/>
      <c r="AH134" s="107"/>
      <c r="AM134" s="107"/>
    </row>
    <row r="135" spans="2:39">
      <c r="B135" s="660"/>
      <c r="C135" s="303">
        <v>8</v>
      </c>
      <c r="D135" s="225"/>
      <c r="E135" s="181"/>
      <c r="F135" s="303"/>
      <c r="G135" s="306"/>
      <c r="H135" s="699"/>
      <c r="I135" s="198"/>
      <c r="J135" s="198"/>
      <c r="K135" s="198"/>
      <c r="L135" s="702"/>
      <c r="M135" s="198" t="e">
        <f>RANK(K135, K$128:$K$142)</f>
        <v>#DIV/0!</v>
      </c>
      <c r="N135" s="107"/>
      <c r="O135" s="107"/>
      <c r="P135" s="107"/>
      <c r="Q135" s="107"/>
      <c r="R135" s="107"/>
      <c r="S135" s="107"/>
      <c r="T135" s="107"/>
      <c r="X135" s="107"/>
      <c r="AC135" s="107"/>
      <c r="AH135" s="107"/>
      <c r="AM135" s="107"/>
    </row>
    <row r="136" spans="2:39">
      <c r="B136" s="660"/>
      <c r="C136" s="303">
        <v>9</v>
      </c>
      <c r="D136" s="225"/>
      <c r="E136" s="303"/>
      <c r="F136" s="303"/>
      <c r="G136" s="303"/>
      <c r="H136" s="699"/>
      <c r="I136" s="198"/>
      <c r="J136" s="198"/>
      <c r="K136" s="198"/>
      <c r="L136" s="702"/>
      <c r="M136" s="198" t="e">
        <f>RANK(K136, K$128:$K$142)</f>
        <v>#DIV/0!</v>
      </c>
      <c r="N136" s="107"/>
      <c r="O136" s="107"/>
      <c r="P136" s="107"/>
      <c r="Q136" s="107"/>
      <c r="R136" s="107"/>
      <c r="S136" s="107"/>
      <c r="T136" s="107"/>
      <c r="X136" s="107"/>
      <c r="AC136" s="107"/>
      <c r="AH136" s="107"/>
      <c r="AM136" s="107"/>
    </row>
    <row r="137" spans="2:39">
      <c r="B137" s="660"/>
      <c r="C137" s="303">
        <v>10</v>
      </c>
      <c r="D137" s="225"/>
      <c r="E137" s="303"/>
      <c r="F137" s="303"/>
      <c r="G137" s="303"/>
      <c r="H137" s="699"/>
      <c r="I137" s="198"/>
      <c r="J137" s="198"/>
      <c r="K137" s="198"/>
      <c r="L137" s="702"/>
      <c r="M137" s="198" t="e">
        <f>RANK(K137, K$128:$K$142)</f>
        <v>#DIV/0!</v>
      </c>
      <c r="N137" s="107"/>
      <c r="O137" s="107"/>
      <c r="P137" s="107"/>
      <c r="Q137" s="107"/>
      <c r="R137" s="107"/>
      <c r="S137" s="107"/>
      <c r="T137" s="107"/>
      <c r="X137" s="107"/>
      <c r="AC137" s="107"/>
      <c r="AH137" s="107"/>
      <c r="AM137" s="107"/>
    </row>
    <row r="138" spans="2:39">
      <c r="B138" s="660"/>
      <c r="C138" s="303">
        <v>11</v>
      </c>
      <c r="D138" s="225"/>
      <c r="E138" s="303"/>
      <c r="F138" s="303"/>
      <c r="G138" s="303"/>
      <c r="H138" s="699"/>
      <c r="I138" s="198"/>
      <c r="J138" s="198"/>
      <c r="K138" s="198"/>
      <c r="L138" s="702"/>
      <c r="M138" s="198" t="e">
        <f>RANK(K138, K$128:$K$142)</f>
        <v>#DIV/0!</v>
      </c>
      <c r="N138" s="107"/>
      <c r="O138" s="107"/>
      <c r="P138" s="107"/>
      <c r="Q138" s="107"/>
      <c r="R138" s="107"/>
      <c r="S138" s="107"/>
      <c r="T138" s="107"/>
      <c r="X138" s="107"/>
      <c r="AC138" s="107"/>
      <c r="AH138" s="107"/>
      <c r="AM138" s="107"/>
    </row>
    <row r="139" spans="2:39">
      <c r="B139" s="660"/>
      <c r="C139" s="303">
        <v>12</v>
      </c>
      <c r="D139" s="225"/>
      <c r="E139" s="303"/>
      <c r="F139" s="303"/>
      <c r="G139" s="303"/>
      <c r="H139" s="699"/>
      <c r="I139" s="198"/>
      <c r="J139" s="198"/>
      <c r="K139" s="198"/>
      <c r="L139" s="702"/>
      <c r="M139" s="198" t="e">
        <f>RANK(K139, K$128:$K$142)</f>
        <v>#DIV/0!</v>
      </c>
      <c r="N139" s="107"/>
      <c r="O139" s="107"/>
      <c r="P139" s="107"/>
      <c r="Q139" s="107"/>
      <c r="R139" s="107"/>
      <c r="S139" s="107"/>
      <c r="T139" s="107"/>
      <c r="X139" s="107"/>
      <c r="AC139" s="107"/>
      <c r="AH139" s="107"/>
      <c r="AM139" s="107"/>
    </row>
    <row r="140" spans="2:39">
      <c r="B140" s="660"/>
      <c r="C140" s="303">
        <v>13</v>
      </c>
      <c r="D140" s="225"/>
      <c r="E140" s="303"/>
      <c r="F140" s="303"/>
      <c r="G140" s="303"/>
      <c r="H140" s="699"/>
      <c r="I140" s="198"/>
      <c r="J140" s="198"/>
      <c r="K140" s="198"/>
      <c r="L140" s="702"/>
      <c r="M140" s="198" t="e">
        <f>RANK(K140, K$128:$K$142)</f>
        <v>#DIV/0!</v>
      </c>
      <c r="N140" s="107"/>
      <c r="O140" s="107"/>
      <c r="P140" s="107"/>
      <c r="Q140" s="107"/>
      <c r="R140" s="107"/>
      <c r="S140" s="107"/>
      <c r="T140" s="107"/>
      <c r="X140" s="107"/>
      <c r="AC140" s="107"/>
      <c r="AH140" s="107"/>
      <c r="AM140" s="107"/>
    </row>
    <row r="141" spans="2:39">
      <c r="B141" s="660"/>
      <c r="C141" s="303">
        <v>14</v>
      </c>
      <c r="D141" s="225"/>
      <c r="E141" s="303"/>
      <c r="F141" s="303"/>
      <c r="G141" s="303"/>
      <c r="H141" s="699"/>
      <c r="I141" s="198"/>
      <c r="J141" s="198"/>
      <c r="K141" s="198"/>
      <c r="L141" s="702"/>
      <c r="M141" s="198" t="e">
        <f>RANK(K141, K$128:$K$142)</f>
        <v>#DIV/0!</v>
      </c>
      <c r="N141" s="107"/>
      <c r="O141" s="107"/>
      <c r="P141" s="107"/>
      <c r="Q141" s="107"/>
      <c r="R141" s="107"/>
      <c r="S141" s="107"/>
      <c r="T141" s="107"/>
      <c r="X141" s="107"/>
      <c r="AC141" s="107"/>
      <c r="AH141" s="107"/>
      <c r="AM141" s="107"/>
    </row>
    <row r="142" spans="2:39">
      <c r="B142" s="660"/>
      <c r="C142" s="303">
        <v>15</v>
      </c>
      <c r="D142" s="225"/>
      <c r="E142" s="303"/>
      <c r="F142" s="303"/>
      <c r="G142" s="303"/>
      <c r="H142" s="700"/>
      <c r="I142" s="198"/>
      <c r="J142" s="198"/>
      <c r="K142" s="198"/>
      <c r="L142" s="703"/>
      <c r="M142" s="198" t="e">
        <f>RANK(K142, K$128:$K$142)</f>
        <v>#DIV/0!</v>
      </c>
      <c r="N142" s="107"/>
      <c r="O142" s="107"/>
      <c r="P142" s="107"/>
      <c r="Q142" s="107"/>
      <c r="R142" s="107"/>
      <c r="S142" s="107"/>
      <c r="T142" s="107"/>
      <c r="X142" s="107"/>
      <c r="AC142" s="107"/>
      <c r="AH142" s="107"/>
      <c r="AM142" s="107"/>
    </row>
  </sheetData>
  <mergeCells count="380">
    <mergeCell ref="BA87:BA101"/>
    <mergeCell ref="BA104:BA106"/>
    <mergeCell ref="BA107:BA121"/>
    <mergeCell ref="BA4:BA6"/>
    <mergeCell ref="BA7:BA21"/>
    <mergeCell ref="BA24:BA26"/>
    <mergeCell ref="BA27:BA41"/>
    <mergeCell ref="BA44:BA46"/>
    <mergeCell ref="BA47:BA61"/>
    <mergeCell ref="BA64:BA66"/>
    <mergeCell ref="BA67:BA81"/>
    <mergeCell ref="BA84:BA86"/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Y84:Y86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AY27:AY4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A142"/>
  <sheetViews>
    <sheetView topLeftCell="A25" zoomScale="40" zoomScaleNormal="40" workbookViewId="0">
      <pane xSplit="15" topLeftCell="P1" activePane="topRight" state="frozen"/>
      <selection activeCell="P6" sqref="P6"/>
      <selection pane="topRight" activeCell="D87" sqref="D87:H101"/>
    </sheetView>
  </sheetViews>
  <sheetFormatPr defaultColWidth="8.85546875" defaultRowHeight="12.75"/>
  <cols>
    <col min="1" max="1" width="5.5703125" style="107" customWidth="1"/>
    <col min="2" max="2" width="12.42578125" style="107" customWidth="1"/>
    <col min="3" max="3" width="8.85546875" style="106"/>
    <col min="4" max="4" width="26.42578125" style="106" customWidth="1"/>
    <col min="5" max="7" width="8.42578125" style="106" customWidth="1"/>
    <col min="8" max="8" width="11.140625" style="106" bestFit="1" customWidth="1"/>
    <col min="9" max="12" width="11.140625" style="106" customWidth="1"/>
    <col min="13" max="13" width="13.5703125" style="106" customWidth="1"/>
    <col min="14" max="14" width="9.85546875" style="106" customWidth="1"/>
    <col min="15" max="15" width="7.140625" style="106" customWidth="1"/>
    <col min="16" max="18" width="12.85546875" style="106" customWidth="1"/>
    <col min="19" max="19" width="5.42578125" style="106" customWidth="1"/>
    <col min="20" max="20" width="12.85546875" style="106" customWidth="1"/>
    <col min="21" max="23" width="12.85546875" style="107" customWidth="1"/>
    <col min="24" max="24" width="5.42578125" style="106" customWidth="1"/>
    <col min="25" max="28" width="12.85546875" style="107" customWidth="1"/>
    <col min="29" max="29" width="5.42578125" style="106" customWidth="1"/>
    <col min="30" max="30" width="12.85546875" style="107" customWidth="1"/>
    <col min="31" max="33" width="12.5703125" style="107" customWidth="1"/>
    <col min="34" max="34" width="5.42578125" style="106" customWidth="1"/>
    <col min="35" max="35" width="13" style="107" customWidth="1"/>
    <col min="36" max="38" width="12.5703125" style="107" customWidth="1"/>
    <col min="39" max="39" width="5.42578125" style="106" customWidth="1"/>
    <col min="40" max="40" width="13" style="107" customWidth="1"/>
    <col min="41" max="43" width="13.140625" style="107" customWidth="1"/>
    <col min="44" max="44" width="5.42578125" style="107" customWidth="1"/>
    <col min="45" max="48" width="13.140625" style="107" customWidth="1"/>
    <col min="49" max="49" width="5.42578125" style="107" customWidth="1"/>
    <col min="50" max="50" width="13.140625" style="107" customWidth="1"/>
    <col min="51" max="51" width="8.85546875" style="107"/>
    <col min="52" max="52" width="5.42578125" style="107" customWidth="1"/>
    <col min="53" max="53" width="13.140625" style="107" customWidth="1"/>
    <col min="54" max="16384" width="8.85546875" style="107"/>
  </cols>
  <sheetData>
    <row r="1" spans="1:53" ht="24">
      <c r="A1" s="75"/>
      <c r="B1" s="220" t="s">
        <v>313</v>
      </c>
      <c r="C1" s="219">
        <f>AVERAGE(L7,L27,L47,L67,L87,L107)</f>
        <v>235.16397851804476</v>
      </c>
    </row>
    <row r="2" spans="1:53" ht="15.75">
      <c r="A2" s="81"/>
      <c r="B2" s="664" t="s">
        <v>162</v>
      </c>
      <c r="C2" s="664"/>
      <c r="D2" s="664"/>
      <c r="E2" s="664"/>
      <c r="F2" s="664"/>
      <c r="G2" s="664"/>
      <c r="H2" s="664"/>
      <c r="I2" s="284"/>
      <c r="J2" s="284"/>
      <c r="K2" s="284"/>
      <c r="L2" s="284"/>
      <c r="M2" s="196"/>
      <c r="N2" s="653" t="s">
        <v>156</v>
      </c>
      <c r="O2" s="653" t="s">
        <v>155</v>
      </c>
      <c r="P2" s="659">
        <v>46231</v>
      </c>
      <c r="Q2" s="660"/>
      <c r="R2" s="660"/>
      <c r="S2" s="660"/>
      <c r="T2" s="660"/>
      <c r="U2" s="656">
        <f>P2+1</f>
        <v>46232</v>
      </c>
      <c r="V2" s="657"/>
      <c r="W2" s="657"/>
      <c r="X2" s="657"/>
      <c r="Y2" s="658"/>
      <c r="Z2" s="656">
        <f>U2+1</f>
        <v>46233</v>
      </c>
      <c r="AA2" s="657"/>
      <c r="AB2" s="657"/>
      <c r="AC2" s="657"/>
      <c r="AD2" s="658"/>
      <c r="AE2" s="656">
        <f>Z2+1</f>
        <v>46234</v>
      </c>
      <c r="AF2" s="657"/>
      <c r="AG2" s="657"/>
      <c r="AH2" s="657"/>
      <c r="AI2" s="658"/>
      <c r="AJ2" s="656">
        <f>AE2+1</f>
        <v>46235</v>
      </c>
      <c r="AK2" s="657"/>
      <c r="AL2" s="657"/>
      <c r="AM2" s="657"/>
      <c r="AN2" s="658"/>
      <c r="AO2" s="656">
        <f>AJ2+1</f>
        <v>46236</v>
      </c>
      <c r="AP2" s="657"/>
      <c r="AQ2" s="657"/>
      <c r="AR2" s="657"/>
      <c r="AS2" s="658"/>
      <c r="AT2" s="656">
        <f>AO2+1</f>
        <v>46237</v>
      </c>
      <c r="AU2" s="657"/>
      <c r="AV2" s="657"/>
      <c r="AW2" s="657"/>
      <c r="AX2" s="658"/>
    </row>
    <row r="3" spans="1:53" ht="15.75">
      <c r="A3" s="81"/>
      <c r="B3" s="697"/>
      <c r="C3" s="697"/>
      <c r="D3" s="697"/>
      <c r="E3" s="697"/>
      <c r="F3" s="697"/>
      <c r="G3" s="697"/>
      <c r="H3" s="697"/>
      <c r="I3" s="285"/>
      <c r="J3" s="285"/>
      <c r="K3" s="285"/>
      <c r="L3" s="285"/>
      <c r="M3" s="197"/>
      <c r="N3" s="655"/>
      <c r="O3" s="655"/>
      <c r="P3" s="659" t="s">
        <v>158</v>
      </c>
      <c r="Q3" s="660"/>
      <c r="R3" s="660"/>
      <c r="S3" s="660"/>
      <c r="T3" s="660"/>
      <c r="U3" s="659" t="s">
        <v>114</v>
      </c>
      <c r="V3" s="660"/>
      <c r="W3" s="660"/>
      <c r="X3" s="660"/>
      <c r="Y3" s="660"/>
      <c r="Z3" s="659" t="s">
        <v>159</v>
      </c>
      <c r="AA3" s="660"/>
      <c r="AB3" s="660"/>
      <c r="AC3" s="660"/>
      <c r="AD3" s="660"/>
      <c r="AE3" s="659" t="s">
        <v>157</v>
      </c>
      <c r="AF3" s="660"/>
      <c r="AG3" s="660"/>
      <c r="AH3" s="660"/>
      <c r="AI3" s="660"/>
      <c r="AJ3" s="659" t="s">
        <v>160</v>
      </c>
      <c r="AK3" s="660"/>
      <c r="AL3" s="660"/>
      <c r="AM3" s="660"/>
      <c r="AN3" s="660"/>
      <c r="AO3" s="659" t="s">
        <v>115</v>
      </c>
      <c r="AP3" s="660"/>
      <c r="AQ3" s="660"/>
      <c r="AR3" s="660"/>
      <c r="AS3" s="660"/>
      <c r="AT3" s="659" t="s">
        <v>161</v>
      </c>
      <c r="AU3" s="660"/>
      <c r="AV3" s="660"/>
      <c r="AW3" s="660"/>
      <c r="AX3" s="660"/>
    </row>
    <row r="4" spans="1:53" ht="14.25">
      <c r="A4" s="81"/>
      <c r="B4" s="652" t="s">
        <v>154</v>
      </c>
      <c r="C4" s="652" t="s">
        <v>379</v>
      </c>
      <c r="D4" s="652"/>
      <c r="E4" s="652" t="s">
        <v>370</v>
      </c>
      <c r="F4" s="652"/>
      <c r="G4" s="652"/>
      <c r="H4" s="668" t="s">
        <v>366</v>
      </c>
      <c r="I4" s="652" t="s">
        <v>371</v>
      </c>
      <c r="J4" s="652"/>
      <c r="K4" s="652"/>
      <c r="L4" s="668" t="s">
        <v>366</v>
      </c>
      <c r="M4" s="653" t="s">
        <v>367</v>
      </c>
      <c r="N4" s="652"/>
      <c r="O4" s="652" t="s">
        <v>372</v>
      </c>
      <c r="P4" s="649" t="s">
        <v>368</v>
      </c>
      <c r="Q4" s="650"/>
      <c r="R4" s="650"/>
      <c r="S4" s="651"/>
      <c r="T4" s="652" t="s">
        <v>366</v>
      </c>
      <c r="U4" s="649" t="s">
        <v>368</v>
      </c>
      <c r="V4" s="650"/>
      <c r="W4" s="650"/>
      <c r="X4" s="651"/>
      <c r="Y4" s="652" t="s">
        <v>366</v>
      </c>
      <c r="Z4" s="649" t="s">
        <v>368</v>
      </c>
      <c r="AA4" s="650"/>
      <c r="AB4" s="650"/>
      <c r="AC4" s="651"/>
      <c r="AD4" s="652" t="s">
        <v>366</v>
      </c>
      <c r="AE4" s="649" t="s">
        <v>368</v>
      </c>
      <c r="AF4" s="650"/>
      <c r="AG4" s="650"/>
      <c r="AH4" s="651"/>
      <c r="AI4" s="652" t="s">
        <v>366</v>
      </c>
      <c r="AJ4" s="649" t="s">
        <v>368</v>
      </c>
      <c r="AK4" s="650"/>
      <c r="AL4" s="650"/>
      <c r="AM4" s="651"/>
      <c r="AN4" s="652" t="s">
        <v>366</v>
      </c>
      <c r="AO4" s="649" t="s">
        <v>368</v>
      </c>
      <c r="AP4" s="650"/>
      <c r="AQ4" s="650"/>
      <c r="AR4" s="651"/>
      <c r="AS4" s="652" t="s">
        <v>366</v>
      </c>
      <c r="AT4" s="649" t="s">
        <v>368</v>
      </c>
      <c r="AU4" s="650"/>
      <c r="AV4" s="650"/>
      <c r="AW4" s="651"/>
      <c r="AX4" s="652" t="s">
        <v>366</v>
      </c>
      <c r="BA4" s="652" t="s">
        <v>366</v>
      </c>
    </row>
    <row r="5" spans="1:53" ht="14.25">
      <c r="A5" s="81"/>
      <c r="B5" s="652"/>
      <c r="C5" s="652"/>
      <c r="D5" s="652"/>
      <c r="E5" s="652" t="s">
        <v>373</v>
      </c>
      <c r="F5" s="652"/>
      <c r="G5" s="652"/>
      <c r="H5" s="669"/>
      <c r="I5" s="652" t="s">
        <v>373</v>
      </c>
      <c r="J5" s="652"/>
      <c r="K5" s="652"/>
      <c r="L5" s="669"/>
      <c r="M5" s="654"/>
      <c r="N5" s="652"/>
      <c r="O5" s="652"/>
      <c r="P5" s="649" t="s">
        <v>374</v>
      </c>
      <c r="Q5" s="650"/>
      <c r="R5" s="650"/>
      <c r="S5" s="651"/>
      <c r="T5" s="652"/>
      <c r="U5" s="649" t="s">
        <v>374</v>
      </c>
      <c r="V5" s="650"/>
      <c r="W5" s="650"/>
      <c r="X5" s="651"/>
      <c r="Y5" s="652"/>
      <c r="Z5" s="649" t="s">
        <v>374</v>
      </c>
      <c r="AA5" s="650"/>
      <c r="AB5" s="650"/>
      <c r="AC5" s="651"/>
      <c r="AD5" s="652"/>
      <c r="AE5" s="649" t="s">
        <v>374</v>
      </c>
      <c r="AF5" s="650"/>
      <c r="AG5" s="650"/>
      <c r="AH5" s="651"/>
      <c r="AI5" s="652"/>
      <c r="AJ5" s="649" t="s">
        <v>374</v>
      </c>
      <c r="AK5" s="650"/>
      <c r="AL5" s="650"/>
      <c r="AM5" s="651"/>
      <c r="AN5" s="652"/>
      <c r="AO5" s="649" t="s">
        <v>374</v>
      </c>
      <c r="AP5" s="650"/>
      <c r="AQ5" s="650"/>
      <c r="AR5" s="651"/>
      <c r="AS5" s="652"/>
      <c r="AT5" s="649" t="s">
        <v>374</v>
      </c>
      <c r="AU5" s="650"/>
      <c r="AV5" s="650"/>
      <c r="AW5" s="651"/>
      <c r="AX5" s="652"/>
      <c r="BA5" s="652"/>
    </row>
    <row r="6" spans="1:53" ht="14.25">
      <c r="A6" s="79"/>
      <c r="B6" s="652"/>
      <c r="C6" s="652"/>
      <c r="D6" s="652"/>
      <c r="E6" s="529" t="s">
        <v>375</v>
      </c>
      <c r="F6" s="529" t="s">
        <v>376</v>
      </c>
      <c r="G6" s="529" t="s">
        <v>377</v>
      </c>
      <c r="H6" s="670"/>
      <c r="I6" s="529" t="s">
        <v>375</v>
      </c>
      <c r="J6" s="529" t="s">
        <v>376</v>
      </c>
      <c r="K6" s="529" t="s">
        <v>377</v>
      </c>
      <c r="L6" s="670"/>
      <c r="M6" s="655"/>
      <c r="N6" s="652"/>
      <c r="O6" s="652"/>
      <c r="P6" s="529" t="s">
        <v>375</v>
      </c>
      <c r="Q6" s="529" t="s">
        <v>376</v>
      </c>
      <c r="R6" s="529" t="s">
        <v>377</v>
      </c>
      <c r="S6" s="529" t="s">
        <v>367</v>
      </c>
      <c r="T6" s="652"/>
      <c r="U6" s="529" t="s">
        <v>375</v>
      </c>
      <c r="V6" s="529" t="s">
        <v>376</v>
      </c>
      <c r="W6" s="529" t="s">
        <v>377</v>
      </c>
      <c r="X6" s="529" t="s">
        <v>367</v>
      </c>
      <c r="Y6" s="652"/>
      <c r="Z6" s="529" t="s">
        <v>375</v>
      </c>
      <c r="AA6" s="529" t="s">
        <v>376</v>
      </c>
      <c r="AB6" s="529" t="s">
        <v>377</v>
      </c>
      <c r="AC6" s="529" t="s">
        <v>367</v>
      </c>
      <c r="AD6" s="652"/>
      <c r="AE6" s="529" t="s">
        <v>375</v>
      </c>
      <c r="AF6" s="529" t="s">
        <v>376</v>
      </c>
      <c r="AG6" s="529" t="s">
        <v>377</v>
      </c>
      <c r="AH6" s="529" t="s">
        <v>367</v>
      </c>
      <c r="AI6" s="652"/>
      <c r="AJ6" s="529" t="s">
        <v>375</v>
      </c>
      <c r="AK6" s="529" t="s">
        <v>376</v>
      </c>
      <c r="AL6" s="529" t="s">
        <v>377</v>
      </c>
      <c r="AM6" s="529" t="s">
        <v>367</v>
      </c>
      <c r="AN6" s="652"/>
      <c r="AO6" s="529" t="s">
        <v>375</v>
      </c>
      <c r="AP6" s="529" t="s">
        <v>376</v>
      </c>
      <c r="AQ6" s="529" t="s">
        <v>377</v>
      </c>
      <c r="AR6" s="529" t="s">
        <v>367</v>
      </c>
      <c r="AS6" s="652"/>
      <c r="AT6" s="529" t="s">
        <v>375</v>
      </c>
      <c r="AU6" s="529" t="s">
        <v>376</v>
      </c>
      <c r="AV6" s="529" t="s">
        <v>377</v>
      </c>
      <c r="AW6" s="529" t="s">
        <v>367</v>
      </c>
      <c r="AX6" s="652"/>
      <c r="AZ6" s="367" t="s">
        <v>367</v>
      </c>
      <c r="BA6" s="652"/>
    </row>
    <row r="7" spans="1:53" ht="14.25">
      <c r="A7" s="81"/>
      <c r="B7" s="695" t="s">
        <v>530</v>
      </c>
      <c r="C7" s="533">
        <v>1</v>
      </c>
      <c r="D7" s="351" t="s">
        <v>358</v>
      </c>
      <c r="E7" s="510">
        <v>4</v>
      </c>
      <c r="F7" s="510">
        <v>2000</v>
      </c>
      <c r="G7" s="510">
        <v>500</v>
      </c>
      <c r="H7" s="691">
        <f>AVERAGE(G7:G21)</f>
        <v>265.00582010582008</v>
      </c>
      <c r="I7" s="534">
        <f t="shared" ref="I7:I20" si="0">IFERROR(AVERAGE(P7,U7,Z7,AE7,AJ7,AO7,AT7),"-")</f>
        <v>5</v>
      </c>
      <c r="J7" s="534">
        <f t="shared" ref="J7:J20" si="1">IFERROR(AVERAGE(Q7,V7,AA7,AF7,AK7,AP7,AU7),"-")</f>
        <v>2073.8516746411483</v>
      </c>
      <c r="K7" s="199">
        <f t="shared" ref="K7:K20" si="2">IFERROR(AVERAGE(R7,W7,AB7,AG7,AL7,AQ7,AV7),"-")</f>
        <v>414.77033492822966</v>
      </c>
      <c r="L7" s="633">
        <f>IFERROR(AVERAGE(K7:K21),"-")</f>
        <v>233.41385329510766</v>
      </c>
      <c r="M7" s="510">
        <f>RANK(K7, K$7:$K$21)</f>
        <v>1</v>
      </c>
      <c r="N7" s="652"/>
      <c r="O7" s="652"/>
      <c r="P7" s="530"/>
      <c r="Q7" s="531"/>
      <c r="R7" s="531"/>
      <c r="S7" s="530"/>
      <c r="T7" s="685"/>
      <c r="U7" s="530"/>
      <c r="V7" s="531"/>
      <c r="W7" s="531"/>
      <c r="X7" s="555"/>
      <c r="Y7" s="685"/>
      <c r="Z7" s="530"/>
      <c r="AA7" s="531"/>
      <c r="AB7" s="531"/>
      <c r="AC7" s="555"/>
      <c r="AD7" s="685"/>
      <c r="AE7" s="530"/>
      <c r="AF7" s="531"/>
      <c r="AG7" s="531"/>
      <c r="AH7" s="555"/>
      <c r="AI7" s="685"/>
      <c r="AJ7" s="530">
        <v>5</v>
      </c>
      <c r="AK7" s="531">
        <v>2044.7368421052638</v>
      </c>
      <c r="AL7" s="531">
        <v>408.94736842105277</v>
      </c>
      <c r="AM7" s="555">
        <f>RANK(AL7, AL$7:AL$21)</f>
        <v>2</v>
      </c>
      <c r="AN7" s="685">
        <f t="shared" ref="AN7" si="3">AVERAGE(AL7:AL21)</f>
        <v>235.18671633276674</v>
      </c>
      <c r="AO7" s="530">
        <v>5</v>
      </c>
      <c r="AP7" s="531">
        <v>2097.8181818181815</v>
      </c>
      <c r="AQ7" s="531">
        <v>419.56363636363631</v>
      </c>
      <c r="AR7" s="555">
        <f>RANK(AQ7, AQ$7:AQ$21)</f>
        <v>1</v>
      </c>
      <c r="AS7" s="685">
        <f t="shared" ref="AS7" si="4">AVERAGE(AQ7:AQ21)</f>
        <v>231.18353615208514</v>
      </c>
      <c r="AT7" s="530">
        <v>5</v>
      </c>
      <c r="AU7" s="531">
        <v>2079.0000000000005</v>
      </c>
      <c r="AV7" s="531">
        <v>415.80000000000007</v>
      </c>
      <c r="AW7" s="555">
        <f>RANK(AV7, AV$7:AV$21)</f>
        <v>1</v>
      </c>
      <c r="AX7" s="685">
        <f t="shared" ref="AX7" si="5">AVERAGE(AV7:AV21)</f>
        <v>233.87130740047107</v>
      </c>
      <c r="AZ7" s="369" t="e">
        <f t="shared" ref="AZ7:AZ21" si="6">RANK(AY7, AY$7:AY$21)</f>
        <v>#N/A</v>
      </c>
      <c r="BA7" s="710" t="e">
        <f t="shared" ref="BA7" si="7">AVERAGE(AY7:AY21)</f>
        <v>#DIV/0!</v>
      </c>
    </row>
    <row r="8" spans="1:53" ht="15" customHeight="1">
      <c r="A8" s="81"/>
      <c r="B8" s="680"/>
      <c r="C8" s="533">
        <v>2</v>
      </c>
      <c r="D8" s="351" t="s">
        <v>428</v>
      </c>
      <c r="E8" s="510">
        <v>4</v>
      </c>
      <c r="F8" s="510">
        <v>2000</v>
      </c>
      <c r="G8" s="510">
        <v>500</v>
      </c>
      <c r="H8" s="692"/>
      <c r="I8" s="534">
        <f t="shared" si="0"/>
        <v>5</v>
      </c>
      <c r="J8" s="534">
        <f t="shared" si="1"/>
        <v>2068.8666666666663</v>
      </c>
      <c r="K8" s="199">
        <f t="shared" si="2"/>
        <v>413.77333333333326</v>
      </c>
      <c r="L8" s="634"/>
      <c r="M8" s="510">
        <f>RANK(K8, K$7:$K$21)</f>
        <v>2</v>
      </c>
      <c r="N8" s="652"/>
      <c r="O8" s="652"/>
      <c r="P8" s="530"/>
      <c r="Q8" s="531"/>
      <c r="R8" s="531"/>
      <c r="S8" s="555"/>
      <c r="T8" s="685"/>
      <c r="U8" s="530"/>
      <c r="V8" s="531"/>
      <c r="W8" s="531"/>
      <c r="X8" s="555"/>
      <c r="Y8" s="685"/>
      <c r="Z8" s="530"/>
      <c r="AA8" s="531"/>
      <c r="AB8" s="531"/>
      <c r="AC8" s="555"/>
      <c r="AD8" s="685"/>
      <c r="AE8" s="530"/>
      <c r="AF8" s="531"/>
      <c r="AG8" s="531"/>
      <c r="AH8" s="555"/>
      <c r="AI8" s="685"/>
      <c r="AJ8" s="530">
        <v>5</v>
      </c>
      <c r="AK8" s="531">
        <v>2075.0000000000005</v>
      </c>
      <c r="AL8" s="531">
        <v>415.00000000000011</v>
      </c>
      <c r="AM8" s="555">
        <f t="shared" ref="AM8:AM21" si="8">RANK(AL8, AL$7:AL$21)</f>
        <v>1</v>
      </c>
      <c r="AN8" s="685"/>
      <c r="AO8" s="530">
        <v>5</v>
      </c>
      <c r="AP8" s="531">
        <v>2055.599999999999</v>
      </c>
      <c r="AQ8" s="531">
        <v>411.11999999999978</v>
      </c>
      <c r="AR8" s="555">
        <f t="shared" ref="AR8:AR21" si="9">RANK(AQ8, AQ$7:AQ$21)</f>
        <v>2</v>
      </c>
      <c r="AS8" s="685"/>
      <c r="AT8" s="530">
        <v>5</v>
      </c>
      <c r="AU8" s="531">
        <v>2075.9999999999995</v>
      </c>
      <c r="AV8" s="531">
        <v>415.19999999999993</v>
      </c>
      <c r="AW8" s="555">
        <f t="shared" ref="AW8:AW21" si="10">RANK(AV8, AV$7:AV$21)</f>
        <v>2</v>
      </c>
      <c r="AX8" s="685"/>
      <c r="AZ8" s="369" t="e">
        <f t="shared" si="6"/>
        <v>#N/A</v>
      </c>
      <c r="BA8" s="710"/>
    </row>
    <row r="9" spans="1:53" ht="14.25">
      <c r="A9" s="81"/>
      <c r="B9" s="680"/>
      <c r="C9" s="533">
        <v>3</v>
      </c>
      <c r="D9" s="351" t="s">
        <v>359</v>
      </c>
      <c r="E9" s="510">
        <v>12</v>
      </c>
      <c r="F9" s="510">
        <v>2118</v>
      </c>
      <c r="G9" s="510">
        <v>176.5</v>
      </c>
      <c r="H9" s="692"/>
      <c r="I9" s="534">
        <f t="shared" si="0"/>
        <v>12</v>
      </c>
      <c r="J9" s="534">
        <f t="shared" si="1"/>
        <v>2006.7207133730253</v>
      </c>
      <c r="K9" s="199">
        <f t="shared" si="2"/>
        <v>167.22672611441877</v>
      </c>
      <c r="L9" s="634"/>
      <c r="M9" s="510">
        <f>RANK(K9, K$7:$K$21)</f>
        <v>6</v>
      </c>
      <c r="N9" s="652"/>
      <c r="O9" s="652"/>
      <c r="P9" s="530"/>
      <c r="Q9" s="531"/>
      <c r="R9" s="531"/>
      <c r="S9" s="555"/>
      <c r="T9" s="685"/>
      <c r="U9" s="530"/>
      <c r="V9" s="531"/>
      <c r="W9" s="531"/>
      <c r="X9" s="555"/>
      <c r="Y9" s="685"/>
      <c r="Z9" s="530"/>
      <c r="AA9" s="531"/>
      <c r="AB9" s="531"/>
      <c r="AC9" s="555"/>
      <c r="AD9" s="685"/>
      <c r="AE9" s="530"/>
      <c r="AF9" s="531"/>
      <c r="AG9" s="531"/>
      <c r="AH9" s="555"/>
      <c r="AI9" s="685"/>
      <c r="AJ9" s="530">
        <v>12</v>
      </c>
      <c r="AK9" s="531">
        <v>2014.6666666666665</v>
      </c>
      <c r="AL9" s="531">
        <v>167.88888888888889</v>
      </c>
      <c r="AM9" s="555">
        <f t="shared" si="8"/>
        <v>6</v>
      </c>
      <c r="AN9" s="685"/>
      <c r="AO9" s="530">
        <v>12</v>
      </c>
      <c r="AP9" s="531">
        <v>1978.0327868852453</v>
      </c>
      <c r="AQ9" s="531">
        <v>164.83606557377044</v>
      </c>
      <c r="AR9" s="555">
        <f t="shared" si="9"/>
        <v>6</v>
      </c>
      <c r="AS9" s="685"/>
      <c r="AT9" s="530">
        <v>12</v>
      </c>
      <c r="AU9" s="531">
        <v>2027.4626865671644</v>
      </c>
      <c r="AV9" s="531">
        <v>168.95522388059703</v>
      </c>
      <c r="AW9" s="555">
        <f t="shared" si="10"/>
        <v>6</v>
      </c>
      <c r="AX9" s="685"/>
      <c r="AZ9" s="369" t="e">
        <f t="shared" si="6"/>
        <v>#N/A</v>
      </c>
      <c r="BA9" s="710"/>
    </row>
    <row r="10" spans="1:53" ht="14.25">
      <c r="A10" s="81"/>
      <c r="B10" s="680"/>
      <c r="C10" s="533">
        <v>4</v>
      </c>
      <c r="D10" s="351" t="s">
        <v>572</v>
      </c>
      <c r="E10" s="510">
        <v>13</v>
      </c>
      <c r="F10" s="510">
        <v>2250</v>
      </c>
      <c r="G10" s="510">
        <v>173.1</v>
      </c>
      <c r="H10" s="692"/>
      <c r="I10" s="534">
        <f t="shared" si="0"/>
        <v>13</v>
      </c>
      <c r="J10" s="534">
        <f t="shared" si="1"/>
        <v>2099.1165501165506</v>
      </c>
      <c r="K10" s="199">
        <f t="shared" si="2"/>
        <v>161.47050385511929</v>
      </c>
      <c r="L10" s="634"/>
      <c r="M10" s="510">
        <f>RANK(K10, K$7:$K$21)</f>
        <v>7</v>
      </c>
      <c r="N10" s="652"/>
      <c r="O10" s="652"/>
      <c r="P10" s="530"/>
      <c r="Q10" s="531"/>
      <c r="R10" s="531"/>
      <c r="S10" s="555"/>
      <c r="T10" s="685"/>
      <c r="U10" s="530"/>
      <c r="V10" s="531"/>
      <c r="W10" s="531"/>
      <c r="X10" s="555"/>
      <c r="Y10" s="685"/>
      <c r="Z10" s="530"/>
      <c r="AA10" s="531"/>
      <c r="AB10" s="531"/>
      <c r="AC10" s="555"/>
      <c r="AD10" s="685"/>
      <c r="AE10" s="530"/>
      <c r="AF10" s="531"/>
      <c r="AG10" s="531"/>
      <c r="AH10" s="555"/>
      <c r="AI10" s="685"/>
      <c r="AJ10" s="530">
        <v>13</v>
      </c>
      <c r="AK10" s="531">
        <v>2093.0769230769242</v>
      </c>
      <c r="AL10" s="531">
        <v>161.00591715976341</v>
      </c>
      <c r="AM10" s="555">
        <f t="shared" si="8"/>
        <v>7</v>
      </c>
      <c r="AN10" s="685"/>
      <c r="AO10" s="530">
        <v>13</v>
      </c>
      <c r="AP10" s="531">
        <v>2102.9999999999995</v>
      </c>
      <c r="AQ10" s="531">
        <v>161.76923076923075</v>
      </c>
      <c r="AR10" s="555">
        <f t="shared" si="9"/>
        <v>7</v>
      </c>
      <c r="AS10" s="685"/>
      <c r="AT10" s="530">
        <v>13</v>
      </c>
      <c r="AU10" s="531">
        <v>2101.2727272727284</v>
      </c>
      <c r="AV10" s="531">
        <v>161.63636363636371</v>
      </c>
      <c r="AW10" s="555">
        <f t="shared" si="10"/>
        <v>7</v>
      </c>
      <c r="AX10" s="685"/>
      <c r="AZ10" s="369" t="e">
        <f t="shared" si="6"/>
        <v>#N/A</v>
      </c>
      <c r="BA10" s="710"/>
    </row>
    <row r="11" spans="1:53" ht="14.25">
      <c r="A11" s="81"/>
      <c r="B11" s="680"/>
      <c r="C11" s="533">
        <v>5</v>
      </c>
      <c r="D11" s="351" t="s">
        <v>360</v>
      </c>
      <c r="E11" s="510">
        <v>13</v>
      </c>
      <c r="F11" s="510">
        <v>2250</v>
      </c>
      <c r="G11" s="510">
        <v>173.1</v>
      </c>
      <c r="H11" s="692"/>
      <c r="I11" s="534">
        <f t="shared" si="0"/>
        <v>13</v>
      </c>
      <c r="J11" s="534">
        <f t="shared" si="1"/>
        <v>2075.8918053777211</v>
      </c>
      <c r="K11" s="199">
        <f t="shared" si="2"/>
        <v>159.68398502905544</v>
      </c>
      <c r="L11" s="634"/>
      <c r="M11" s="510">
        <f>RANK(K11, K$7:$K$21)</f>
        <v>8</v>
      </c>
      <c r="N11" s="652"/>
      <c r="O11" s="652"/>
      <c r="P11" s="530"/>
      <c r="Q11" s="531"/>
      <c r="R11" s="531"/>
      <c r="S11" s="555"/>
      <c r="T11" s="685"/>
      <c r="U11" s="530"/>
      <c r="V11" s="531"/>
      <c r="W11" s="531"/>
      <c r="X11" s="555"/>
      <c r="Y11" s="685"/>
      <c r="Z11" s="530"/>
      <c r="AA11" s="531"/>
      <c r="AB11" s="531"/>
      <c r="AC11" s="555"/>
      <c r="AD11" s="685"/>
      <c r="AE11" s="530"/>
      <c r="AF11" s="531"/>
      <c r="AG11" s="531"/>
      <c r="AH11" s="555"/>
      <c r="AI11" s="685"/>
      <c r="AJ11" s="530">
        <v>13</v>
      </c>
      <c r="AK11" s="531">
        <v>2074.5</v>
      </c>
      <c r="AL11" s="531">
        <v>159.57692307692307</v>
      </c>
      <c r="AM11" s="555">
        <f t="shared" si="8"/>
        <v>8</v>
      </c>
      <c r="AN11" s="685"/>
      <c r="AO11" s="530">
        <v>13</v>
      </c>
      <c r="AP11" s="531">
        <v>2074.090909090909</v>
      </c>
      <c r="AQ11" s="531">
        <v>159.54545454545453</v>
      </c>
      <c r="AR11" s="555">
        <f t="shared" si="9"/>
        <v>8</v>
      </c>
      <c r="AS11" s="685"/>
      <c r="AT11" s="530">
        <v>13</v>
      </c>
      <c r="AU11" s="531">
        <v>2079.0845070422538</v>
      </c>
      <c r="AV11" s="531">
        <v>159.92957746478876</v>
      </c>
      <c r="AW11" s="555">
        <f t="shared" si="10"/>
        <v>8</v>
      </c>
      <c r="AX11" s="685"/>
      <c r="AZ11" s="369" t="e">
        <f t="shared" si="6"/>
        <v>#N/A</v>
      </c>
      <c r="BA11" s="710"/>
    </row>
    <row r="12" spans="1:53" ht="14.25">
      <c r="A12" s="81"/>
      <c r="B12" s="680"/>
      <c r="C12" s="533">
        <v>6</v>
      </c>
      <c r="D12" s="351" t="s">
        <v>361</v>
      </c>
      <c r="E12" s="510">
        <v>10</v>
      </c>
      <c r="F12" s="510">
        <v>2769</v>
      </c>
      <c r="G12" s="510">
        <v>276.89999999999998</v>
      </c>
      <c r="H12" s="692"/>
      <c r="I12" s="534">
        <f t="shared" si="0"/>
        <v>10</v>
      </c>
      <c r="J12" s="534">
        <f t="shared" si="1"/>
        <v>2249.9844384345565</v>
      </c>
      <c r="K12" s="199">
        <f t="shared" si="2"/>
        <v>224.99844384345568</v>
      </c>
      <c r="L12" s="634"/>
      <c r="M12" s="510">
        <f>RANK(K12, K$7:$K$21)</f>
        <v>4</v>
      </c>
      <c r="N12" s="652"/>
      <c r="O12" s="652"/>
      <c r="P12" s="530"/>
      <c r="Q12" s="531"/>
      <c r="R12" s="531"/>
      <c r="S12" s="555"/>
      <c r="T12" s="685"/>
      <c r="U12" s="530"/>
      <c r="V12" s="531"/>
      <c r="W12" s="531"/>
      <c r="X12" s="555"/>
      <c r="Y12" s="685"/>
      <c r="Z12" s="530"/>
      <c r="AA12" s="531"/>
      <c r="AB12" s="531"/>
      <c r="AC12" s="555"/>
      <c r="AD12" s="685"/>
      <c r="AE12" s="530"/>
      <c r="AF12" s="531"/>
      <c r="AG12" s="531"/>
      <c r="AH12" s="555"/>
      <c r="AI12" s="685"/>
      <c r="AJ12" s="530">
        <v>10</v>
      </c>
      <c r="AK12" s="531">
        <v>2381.1834319526624</v>
      </c>
      <c r="AL12" s="531">
        <v>238.11834319526625</v>
      </c>
      <c r="AM12" s="555">
        <f t="shared" si="8"/>
        <v>4</v>
      </c>
      <c r="AN12" s="685"/>
      <c r="AO12" s="530">
        <v>10</v>
      </c>
      <c r="AP12" s="531">
        <v>2072.0869565217395</v>
      </c>
      <c r="AQ12" s="531">
        <v>207.20869565217396</v>
      </c>
      <c r="AR12" s="555">
        <f t="shared" si="9"/>
        <v>4</v>
      </c>
      <c r="AS12" s="685"/>
      <c r="AT12" s="530">
        <v>10</v>
      </c>
      <c r="AU12" s="531">
        <v>2296.6829268292677</v>
      </c>
      <c r="AV12" s="531">
        <v>229.66829268292676</v>
      </c>
      <c r="AW12" s="555">
        <f t="shared" si="10"/>
        <v>4</v>
      </c>
      <c r="AX12" s="685"/>
      <c r="AZ12" s="369" t="e">
        <f t="shared" si="6"/>
        <v>#N/A</v>
      </c>
      <c r="BA12" s="710"/>
    </row>
    <row r="13" spans="1:53" ht="14.25">
      <c r="A13" s="81"/>
      <c r="B13" s="680"/>
      <c r="C13" s="533">
        <v>7</v>
      </c>
      <c r="D13" s="351" t="s">
        <v>691</v>
      </c>
      <c r="E13" s="510">
        <v>11</v>
      </c>
      <c r="F13" s="510">
        <v>2250</v>
      </c>
      <c r="G13" s="510">
        <v>204.5</v>
      </c>
      <c r="H13" s="692"/>
      <c r="I13" s="534">
        <f t="shared" si="0"/>
        <v>11</v>
      </c>
      <c r="J13" s="534">
        <f t="shared" si="1"/>
        <v>2173.419984882843</v>
      </c>
      <c r="K13" s="199">
        <f t="shared" si="2"/>
        <v>197.58363498934935</v>
      </c>
      <c r="L13" s="634"/>
      <c r="M13" s="510">
        <f>RANK(K13, K$7:$K$21)</f>
        <v>5</v>
      </c>
      <c r="N13" s="652"/>
      <c r="O13" s="652"/>
      <c r="P13" s="530"/>
      <c r="Q13" s="531"/>
      <c r="R13" s="531"/>
      <c r="S13" s="555"/>
      <c r="T13" s="685"/>
      <c r="U13" s="530"/>
      <c r="V13" s="531"/>
      <c r="W13" s="531"/>
      <c r="X13" s="555"/>
      <c r="Y13" s="685"/>
      <c r="Z13" s="530"/>
      <c r="AA13" s="531"/>
      <c r="AB13" s="531"/>
      <c r="AC13" s="555"/>
      <c r="AD13" s="685"/>
      <c r="AE13" s="530"/>
      <c r="AF13" s="531"/>
      <c r="AG13" s="531"/>
      <c r="AH13" s="555"/>
      <c r="AI13" s="685"/>
      <c r="AJ13" s="530">
        <v>11</v>
      </c>
      <c r="AK13" s="531">
        <v>2195.0400000000004</v>
      </c>
      <c r="AL13" s="531">
        <v>199.54909090909095</v>
      </c>
      <c r="AM13" s="555">
        <f t="shared" si="8"/>
        <v>5</v>
      </c>
      <c r="AN13" s="685"/>
      <c r="AO13" s="530">
        <v>11</v>
      </c>
      <c r="AP13" s="531">
        <v>2128.7755102040824</v>
      </c>
      <c r="AQ13" s="531">
        <v>193.52504638218932</v>
      </c>
      <c r="AR13" s="555">
        <f t="shared" si="9"/>
        <v>5</v>
      </c>
      <c r="AS13" s="685"/>
      <c r="AT13" s="530">
        <v>11</v>
      </c>
      <c r="AU13" s="531">
        <v>2196.4444444444457</v>
      </c>
      <c r="AV13" s="531">
        <v>199.67676767676778</v>
      </c>
      <c r="AW13" s="555">
        <f t="shared" si="10"/>
        <v>5</v>
      </c>
      <c r="AX13" s="685"/>
      <c r="AZ13" s="369" t="e">
        <f t="shared" si="6"/>
        <v>#N/A</v>
      </c>
      <c r="BA13" s="710"/>
    </row>
    <row r="14" spans="1:53" ht="14.25">
      <c r="A14" s="81"/>
      <c r="B14" s="680"/>
      <c r="C14" s="533">
        <v>8</v>
      </c>
      <c r="D14" s="351" t="s">
        <v>357</v>
      </c>
      <c r="E14" s="510">
        <v>18</v>
      </c>
      <c r="F14" s="510">
        <v>1200</v>
      </c>
      <c r="G14" s="510">
        <v>66.666666666666671</v>
      </c>
      <c r="H14" s="692"/>
      <c r="I14" s="534">
        <f t="shared" si="0"/>
        <v>18.666666666666668</v>
      </c>
      <c r="J14" s="534">
        <f t="shared" si="1"/>
        <v>1218.5815190586904</v>
      </c>
      <c r="K14" s="199">
        <f t="shared" si="2"/>
        <v>65.320892166181892</v>
      </c>
      <c r="L14" s="634"/>
      <c r="M14" s="510">
        <f>RANK(K14, K$7:$K$21)</f>
        <v>9</v>
      </c>
      <c r="N14" s="652"/>
      <c r="O14" s="652"/>
      <c r="P14" s="530"/>
      <c r="Q14" s="531"/>
      <c r="R14" s="531"/>
      <c r="S14" s="555"/>
      <c r="T14" s="685"/>
      <c r="U14" s="530"/>
      <c r="V14" s="531"/>
      <c r="W14" s="531"/>
      <c r="X14" s="555"/>
      <c r="Y14" s="685"/>
      <c r="Z14" s="530"/>
      <c r="AA14" s="531"/>
      <c r="AB14" s="531"/>
      <c r="AC14" s="555"/>
      <c r="AD14" s="685"/>
      <c r="AE14" s="530"/>
      <c r="AF14" s="531"/>
      <c r="AG14" s="531"/>
      <c r="AH14" s="555"/>
      <c r="AI14" s="685"/>
      <c r="AJ14" s="530">
        <v>18</v>
      </c>
      <c r="AK14" s="531">
        <v>1215.8333333333323</v>
      </c>
      <c r="AL14" s="531">
        <v>67.546296296296248</v>
      </c>
      <c r="AM14" s="555">
        <f t="shared" si="8"/>
        <v>9</v>
      </c>
      <c r="AN14" s="685"/>
      <c r="AO14" s="530">
        <v>19</v>
      </c>
      <c r="AP14" s="531">
        <v>1218.9473684210527</v>
      </c>
      <c r="AQ14" s="531">
        <v>64.15512465373962</v>
      </c>
      <c r="AR14" s="555">
        <f t="shared" si="9"/>
        <v>9</v>
      </c>
      <c r="AS14" s="685"/>
      <c r="AT14" s="530">
        <v>19</v>
      </c>
      <c r="AU14" s="531">
        <v>1220.9638554216863</v>
      </c>
      <c r="AV14" s="531">
        <v>64.261255548509808</v>
      </c>
      <c r="AW14" s="555">
        <f t="shared" si="10"/>
        <v>9</v>
      </c>
      <c r="AX14" s="685"/>
      <c r="AZ14" s="369" t="e">
        <f t="shared" si="6"/>
        <v>#N/A</v>
      </c>
      <c r="BA14" s="710"/>
    </row>
    <row r="15" spans="1:53" ht="14.25">
      <c r="A15" s="81"/>
      <c r="B15" s="680"/>
      <c r="C15" s="533">
        <v>9</v>
      </c>
      <c r="D15" s="351" t="s">
        <v>704</v>
      </c>
      <c r="E15" s="510">
        <v>7</v>
      </c>
      <c r="F15" s="510">
        <v>2200</v>
      </c>
      <c r="G15" s="510">
        <v>314.28571428571428</v>
      </c>
      <c r="H15" s="692"/>
      <c r="I15" s="534">
        <f t="shared" si="0"/>
        <v>7</v>
      </c>
      <c r="J15" s="534">
        <f t="shared" si="1"/>
        <v>2071.2777777777769</v>
      </c>
      <c r="K15" s="199">
        <f t="shared" si="2"/>
        <v>295.89682539682531</v>
      </c>
      <c r="L15" s="634"/>
      <c r="M15" s="510">
        <f>RANK(K15, K$7:$K$21)</f>
        <v>3</v>
      </c>
      <c r="N15" s="652"/>
      <c r="O15" s="652"/>
      <c r="P15" s="530"/>
      <c r="Q15" s="531"/>
      <c r="R15" s="531"/>
      <c r="S15" s="555"/>
      <c r="T15" s="685"/>
      <c r="U15" s="530"/>
      <c r="V15" s="531"/>
      <c r="W15" s="531"/>
      <c r="X15" s="555"/>
      <c r="Y15" s="685"/>
      <c r="Z15" s="530"/>
      <c r="AA15" s="531"/>
      <c r="AB15" s="531"/>
      <c r="AC15" s="555"/>
      <c r="AD15" s="685"/>
      <c r="AE15" s="530"/>
      <c r="AF15" s="531"/>
      <c r="AG15" s="531"/>
      <c r="AH15" s="555"/>
      <c r="AI15" s="685"/>
      <c r="AJ15" s="530">
        <v>7</v>
      </c>
      <c r="AK15" s="531">
        <v>2093.3333333333317</v>
      </c>
      <c r="AL15" s="531">
        <v>299.04761904761881</v>
      </c>
      <c r="AM15" s="555">
        <f t="shared" si="8"/>
        <v>3</v>
      </c>
      <c r="AN15" s="685"/>
      <c r="AO15" s="530">
        <v>7</v>
      </c>
      <c r="AP15" s="531">
        <v>2092.5000000000005</v>
      </c>
      <c r="AQ15" s="531">
        <v>298.9285714285715</v>
      </c>
      <c r="AR15" s="555">
        <f t="shared" si="9"/>
        <v>3</v>
      </c>
      <c r="AS15" s="685"/>
      <c r="AT15" s="530">
        <v>7</v>
      </c>
      <c r="AU15" s="531">
        <v>2027.9999999999991</v>
      </c>
      <c r="AV15" s="531">
        <v>289.71428571428561</v>
      </c>
      <c r="AW15" s="555">
        <f t="shared" si="10"/>
        <v>3</v>
      </c>
      <c r="AX15" s="685"/>
      <c r="AZ15" s="369" t="e">
        <f t="shared" si="6"/>
        <v>#N/A</v>
      </c>
      <c r="BA15" s="710"/>
    </row>
    <row r="16" spans="1:53" ht="14.25">
      <c r="A16" s="81"/>
      <c r="B16" s="680"/>
      <c r="C16" s="533">
        <v>10</v>
      </c>
      <c r="D16" s="351"/>
      <c r="E16" s="510"/>
      <c r="F16" s="510"/>
      <c r="G16" s="510"/>
      <c r="H16" s="692"/>
      <c r="I16" s="534" t="str">
        <f t="shared" si="0"/>
        <v>-</v>
      </c>
      <c r="J16" s="534" t="str">
        <f t="shared" si="1"/>
        <v>-</v>
      </c>
      <c r="K16" s="199" t="str">
        <f t="shared" si="2"/>
        <v>-</v>
      </c>
      <c r="L16" s="634"/>
      <c r="M16" s="510" t="e">
        <f>RANK(K16, K$7:$K$21)</f>
        <v>#VALUE!</v>
      </c>
      <c r="N16" s="652"/>
      <c r="O16" s="652"/>
      <c r="P16" s="530"/>
      <c r="Q16" s="531"/>
      <c r="R16" s="531"/>
      <c r="S16" s="555"/>
      <c r="T16" s="685"/>
      <c r="U16" s="530"/>
      <c r="V16" s="531"/>
      <c r="W16" s="531"/>
      <c r="X16" s="555"/>
      <c r="Y16" s="685"/>
      <c r="Z16" s="530"/>
      <c r="AA16" s="531"/>
      <c r="AB16" s="531"/>
      <c r="AC16" s="555"/>
      <c r="AD16" s="685"/>
      <c r="AE16" s="530"/>
      <c r="AF16" s="531"/>
      <c r="AG16" s="531"/>
      <c r="AH16" s="555"/>
      <c r="AI16" s="685"/>
      <c r="AJ16" s="530" t="s">
        <v>585</v>
      </c>
      <c r="AK16" s="531" t="s">
        <v>585</v>
      </c>
      <c r="AL16" s="531" t="s">
        <v>585</v>
      </c>
      <c r="AM16" s="555" t="e">
        <f t="shared" si="8"/>
        <v>#VALUE!</v>
      </c>
      <c r="AN16" s="685"/>
      <c r="AO16" s="530" t="s">
        <v>585</v>
      </c>
      <c r="AP16" s="531" t="s">
        <v>585</v>
      </c>
      <c r="AQ16" s="531" t="s">
        <v>585</v>
      </c>
      <c r="AR16" s="555" t="e">
        <f t="shared" si="9"/>
        <v>#VALUE!</v>
      </c>
      <c r="AS16" s="685"/>
      <c r="AT16" s="530" t="s">
        <v>585</v>
      </c>
      <c r="AU16" s="531" t="s">
        <v>585</v>
      </c>
      <c r="AV16" s="531" t="s">
        <v>585</v>
      </c>
      <c r="AW16" s="555" t="e">
        <f t="shared" si="10"/>
        <v>#VALUE!</v>
      </c>
      <c r="AX16" s="685"/>
      <c r="AZ16" s="369" t="e">
        <f t="shared" si="6"/>
        <v>#N/A</v>
      </c>
      <c r="BA16" s="710"/>
    </row>
    <row r="17" spans="2:53">
      <c r="B17" s="680"/>
      <c r="C17" s="533">
        <v>11</v>
      </c>
      <c r="D17" s="351"/>
      <c r="E17" s="510"/>
      <c r="F17" s="510"/>
      <c r="G17" s="510"/>
      <c r="H17" s="692"/>
      <c r="I17" s="534" t="str">
        <f t="shared" si="0"/>
        <v>-</v>
      </c>
      <c r="J17" s="534" t="str">
        <f t="shared" si="1"/>
        <v>-</v>
      </c>
      <c r="K17" s="199" t="str">
        <f t="shared" si="2"/>
        <v>-</v>
      </c>
      <c r="L17" s="634"/>
      <c r="M17" s="510" t="e">
        <f>RANK(K17, K$7:$K$21)</f>
        <v>#VALUE!</v>
      </c>
      <c r="N17" s="652"/>
      <c r="O17" s="652"/>
      <c r="P17" s="530"/>
      <c r="Q17" s="531"/>
      <c r="R17" s="531"/>
      <c r="S17" s="555"/>
      <c r="T17" s="685"/>
      <c r="U17" s="530"/>
      <c r="V17" s="531"/>
      <c r="W17" s="531"/>
      <c r="X17" s="555"/>
      <c r="Y17" s="685"/>
      <c r="Z17" s="530"/>
      <c r="AA17" s="531"/>
      <c r="AB17" s="531"/>
      <c r="AC17" s="555"/>
      <c r="AD17" s="685"/>
      <c r="AE17" s="530"/>
      <c r="AF17" s="531"/>
      <c r="AG17" s="531"/>
      <c r="AH17" s="555"/>
      <c r="AI17" s="685"/>
      <c r="AJ17" s="530" t="s">
        <v>585</v>
      </c>
      <c r="AK17" s="531" t="s">
        <v>585</v>
      </c>
      <c r="AL17" s="531" t="s">
        <v>585</v>
      </c>
      <c r="AM17" s="555" t="e">
        <f t="shared" si="8"/>
        <v>#VALUE!</v>
      </c>
      <c r="AN17" s="685"/>
      <c r="AO17" s="530" t="s">
        <v>585</v>
      </c>
      <c r="AP17" s="531" t="s">
        <v>585</v>
      </c>
      <c r="AQ17" s="531" t="s">
        <v>585</v>
      </c>
      <c r="AR17" s="555" t="e">
        <f t="shared" si="9"/>
        <v>#VALUE!</v>
      </c>
      <c r="AS17" s="685"/>
      <c r="AT17" s="530" t="s">
        <v>585</v>
      </c>
      <c r="AU17" s="531" t="s">
        <v>585</v>
      </c>
      <c r="AV17" s="531" t="s">
        <v>585</v>
      </c>
      <c r="AW17" s="555" t="e">
        <f t="shared" si="10"/>
        <v>#VALUE!</v>
      </c>
      <c r="AX17" s="685"/>
      <c r="AZ17" s="369" t="e">
        <f t="shared" si="6"/>
        <v>#N/A</v>
      </c>
      <c r="BA17" s="710"/>
    </row>
    <row r="18" spans="2:53">
      <c r="B18" s="680"/>
      <c r="C18" s="533">
        <v>12</v>
      </c>
      <c r="D18" s="351"/>
      <c r="E18" s="510"/>
      <c r="F18" s="510"/>
      <c r="G18" s="510"/>
      <c r="H18" s="692"/>
      <c r="I18" s="534" t="str">
        <f t="shared" si="0"/>
        <v>-</v>
      </c>
      <c r="J18" s="534" t="str">
        <f t="shared" si="1"/>
        <v>-</v>
      </c>
      <c r="K18" s="199" t="str">
        <f t="shared" si="2"/>
        <v>-</v>
      </c>
      <c r="L18" s="634"/>
      <c r="M18" s="510" t="e">
        <f>RANK(K18, K$7:$K$21)</f>
        <v>#VALUE!</v>
      </c>
      <c r="N18" s="652"/>
      <c r="O18" s="652"/>
      <c r="P18" s="530"/>
      <c r="Q18" s="531"/>
      <c r="R18" s="531"/>
      <c r="S18" s="555"/>
      <c r="T18" s="685"/>
      <c r="U18" s="530"/>
      <c r="V18" s="531"/>
      <c r="W18" s="531"/>
      <c r="X18" s="555"/>
      <c r="Y18" s="685"/>
      <c r="Z18" s="530"/>
      <c r="AA18" s="531"/>
      <c r="AB18" s="531"/>
      <c r="AC18" s="555"/>
      <c r="AD18" s="685"/>
      <c r="AE18" s="530"/>
      <c r="AF18" s="531"/>
      <c r="AG18" s="531"/>
      <c r="AH18" s="555"/>
      <c r="AI18" s="685"/>
      <c r="AJ18" s="530" t="s">
        <v>585</v>
      </c>
      <c r="AK18" s="531" t="s">
        <v>585</v>
      </c>
      <c r="AL18" s="531" t="s">
        <v>585</v>
      </c>
      <c r="AM18" s="555" t="e">
        <f t="shared" si="8"/>
        <v>#VALUE!</v>
      </c>
      <c r="AN18" s="685"/>
      <c r="AO18" s="530" t="s">
        <v>585</v>
      </c>
      <c r="AP18" s="531" t="s">
        <v>585</v>
      </c>
      <c r="AQ18" s="531" t="s">
        <v>585</v>
      </c>
      <c r="AR18" s="555" t="e">
        <f t="shared" si="9"/>
        <v>#VALUE!</v>
      </c>
      <c r="AS18" s="685"/>
      <c r="AT18" s="530" t="s">
        <v>585</v>
      </c>
      <c r="AU18" s="531" t="s">
        <v>585</v>
      </c>
      <c r="AV18" s="531" t="s">
        <v>585</v>
      </c>
      <c r="AW18" s="555" t="e">
        <f t="shared" si="10"/>
        <v>#VALUE!</v>
      </c>
      <c r="AX18" s="685"/>
      <c r="AZ18" s="369" t="e">
        <f t="shared" si="6"/>
        <v>#N/A</v>
      </c>
      <c r="BA18" s="710"/>
    </row>
    <row r="19" spans="2:53">
      <c r="B19" s="680"/>
      <c r="C19" s="533">
        <v>13</v>
      </c>
      <c r="D19" s="351"/>
      <c r="E19" s="510"/>
      <c r="F19" s="510"/>
      <c r="G19" s="510"/>
      <c r="H19" s="692"/>
      <c r="I19" s="534" t="str">
        <f t="shared" si="0"/>
        <v>-</v>
      </c>
      <c r="J19" s="534" t="str">
        <f t="shared" si="1"/>
        <v>-</v>
      </c>
      <c r="K19" s="199" t="str">
        <f t="shared" si="2"/>
        <v>-</v>
      </c>
      <c r="L19" s="634"/>
      <c r="M19" s="510" t="e">
        <f>RANK(K19, K$7:$K$21)</f>
        <v>#VALUE!</v>
      </c>
      <c r="N19" s="652"/>
      <c r="O19" s="652"/>
      <c r="P19" s="530"/>
      <c r="Q19" s="531"/>
      <c r="R19" s="531"/>
      <c r="S19" s="555"/>
      <c r="T19" s="685"/>
      <c r="U19" s="530"/>
      <c r="V19" s="531"/>
      <c r="W19" s="531"/>
      <c r="X19" s="555"/>
      <c r="Y19" s="685"/>
      <c r="Z19" s="530"/>
      <c r="AA19" s="531"/>
      <c r="AB19" s="531"/>
      <c r="AC19" s="555"/>
      <c r="AD19" s="685"/>
      <c r="AE19" s="530"/>
      <c r="AF19" s="531"/>
      <c r="AG19" s="531"/>
      <c r="AH19" s="555"/>
      <c r="AI19" s="685"/>
      <c r="AJ19" s="530" t="s">
        <v>585</v>
      </c>
      <c r="AK19" s="531" t="s">
        <v>585</v>
      </c>
      <c r="AL19" s="531" t="s">
        <v>585</v>
      </c>
      <c r="AM19" s="555" t="e">
        <f t="shared" si="8"/>
        <v>#VALUE!</v>
      </c>
      <c r="AN19" s="685"/>
      <c r="AO19" s="530" t="s">
        <v>585</v>
      </c>
      <c r="AP19" s="531" t="s">
        <v>585</v>
      </c>
      <c r="AQ19" s="531" t="s">
        <v>585</v>
      </c>
      <c r="AR19" s="555" t="e">
        <f t="shared" si="9"/>
        <v>#VALUE!</v>
      </c>
      <c r="AS19" s="685"/>
      <c r="AT19" s="530" t="s">
        <v>585</v>
      </c>
      <c r="AU19" s="531" t="s">
        <v>585</v>
      </c>
      <c r="AV19" s="531" t="s">
        <v>585</v>
      </c>
      <c r="AW19" s="555" t="e">
        <f t="shared" si="10"/>
        <v>#VALUE!</v>
      </c>
      <c r="AX19" s="685"/>
      <c r="AZ19" s="369" t="e">
        <f t="shared" si="6"/>
        <v>#N/A</v>
      </c>
      <c r="BA19" s="710"/>
    </row>
    <row r="20" spans="2:53">
      <c r="B20" s="680"/>
      <c r="C20" s="533">
        <v>14</v>
      </c>
      <c r="D20" s="351"/>
      <c r="E20" s="510"/>
      <c r="F20" s="510"/>
      <c r="G20" s="510"/>
      <c r="H20" s="692"/>
      <c r="I20" s="534" t="str">
        <f t="shared" si="0"/>
        <v>-</v>
      </c>
      <c r="J20" s="534" t="str">
        <f t="shared" si="1"/>
        <v>-</v>
      </c>
      <c r="K20" s="199" t="str">
        <f t="shared" si="2"/>
        <v>-</v>
      </c>
      <c r="L20" s="634"/>
      <c r="M20" s="510" t="e">
        <f>RANK(K20, K$7:$K$21)</f>
        <v>#VALUE!</v>
      </c>
      <c r="N20" s="652"/>
      <c r="O20" s="652"/>
      <c r="P20" s="530"/>
      <c r="Q20" s="531"/>
      <c r="R20" s="531"/>
      <c r="S20" s="555"/>
      <c r="T20" s="685"/>
      <c r="U20" s="530"/>
      <c r="V20" s="531"/>
      <c r="W20" s="531"/>
      <c r="X20" s="555"/>
      <c r="Y20" s="685"/>
      <c r="Z20" s="530"/>
      <c r="AA20" s="531"/>
      <c r="AB20" s="531"/>
      <c r="AC20" s="555"/>
      <c r="AD20" s="685"/>
      <c r="AE20" s="530"/>
      <c r="AF20" s="531"/>
      <c r="AG20" s="531"/>
      <c r="AH20" s="555"/>
      <c r="AI20" s="685"/>
      <c r="AJ20" s="530" t="s">
        <v>585</v>
      </c>
      <c r="AK20" s="531" t="s">
        <v>585</v>
      </c>
      <c r="AL20" s="531" t="s">
        <v>585</v>
      </c>
      <c r="AM20" s="555" t="e">
        <f t="shared" si="8"/>
        <v>#VALUE!</v>
      </c>
      <c r="AN20" s="685"/>
      <c r="AO20" s="530" t="s">
        <v>585</v>
      </c>
      <c r="AP20" s="531" t="s">
        <v>585</v>
      </c>
      <c r="AQ20" s="531" t="s">
        <v>585</v>
      </c>
      <c r="AR20" s="555" t="e">
        <f t="shared" si="9"/>
        <v>#VALUE!</v>
      </c>
      <c r="AS20" s="685"/>
      <c r="AT20" s="530" t="s">
        <v>585</v>
      </c>
      <c r="AU20" s="531" t="s">
        <v>585</v>
      </c>
      <c r="AV20" s="531" t="s">
        <v>585</v>
      </c>
      <c r="AW20" s="555" t="e">
        <f t="shared" si="10"/>
        <v>#VALUE!</v>
      </c>
      <c r="AX20" s="685"/>
      <c r="AZ20" s="369" t="e">
        <f t="shared" si="6"/>
        <v>#N/A</v>
      </c>
      <c r="BA20" s="710"/>
    </row>
    <row r="21" spans="2:53">
      <c r="B21" s="680"/>
      <c r="C21" s="533">
        <v>15</v>
      </c>
      <c r="D21" s="351"/>
      <c r="E21" s="510"/>
      <c r="F21" s="510"/>
      <c r="G21" s="510"/>
      <c r="H21" s="696"/>
      <c r="I21" s="510"/>
      <c r="J21" s="510"/>
      <c r="K21" s="536"/>
      <c r="L21" s="635"/>
      <c r="M21" s="510" t="e">
        <f>RANK(K21, K$7:$K$21)</f>
        <v>#N/A</v>
      </c>
      <c r="N21" s="652"/>
      <c r="O21" s="652"/>
      <c r="P21" s="530"/>
      <c r="Q21" s="531"/>
      <c r="R21" s="531"/>
      <c r="S21" s="555"/>
      <c r="T21" s="685"/>
      <c r="U21" s="530"/>
      <c r="V21" s="531"/>
      <c r="W21" s="531"/>
      <c r="X21" s="555"/>
      <c r="Y21" s="685"/>
      <c r="Z21" s="530"/>
      <c r="AA21" s="531"/>
      <c r="AB21" s="531"/>
      <c r="AC21" s="555"/>
      <c r="AD21" s="685"/>
      <c r="AE21" s="530"/>
      <c r="AF21" s="531"/>
      <c r="AG21" s="531"/>
      <c r="AH21" s="555"/>
      <c r="AI21" s="685"/>
      <c r="AJ21" s="530" t="s">
        <v>585</v>
      </c>
      <c r="AK21" s="531" t="s">
        <v>585</v>
      </c>
      <c r="AL21" s="531" t="s">
        <v>585</v>
      </c>
      <c r="AM21" s="555" t="e">
        <f t="shared" si="8"/>
        <v>#VALUE!</v>
      </c>
      <c r="AN21" s="685"/>
      <c r="AO21" s="530" t="s">
        <v>585</v>
      </c>
      <c r="AP21" s="531" t="s">
        <v>585</v>
      </c>
      <c r="AQ21" s="531" t="s">
        <v>585</v>
      </c>
      <c r="AR21" s="555" t="e">
        <f t="shared" si="9"/>
        <v>#VALUE!</v>
      </c>
      <c r="AS21" s="685"/>
      <c r="AT21" s="530" t="s">
        <v>585</v>
      </c>
      <c r="AU21" s="531" t="s">
        <v>585</v>
      </c>
      <c r="AV21" s="531" t="s">
        <v>585</v>
      </c>
      <c r="AW21" s="555" t="e">
        <f t="shared" si="10"/>
        <v>#VALUE!</v>
      </c>
      <c r="AX21" s="685"/>
      <c r="AZ21" s="369" t="e">
        <f t="shared" si="6"/>
        <v>#N/A</v>
      </c>
      <c r="BA21" s="710"/>
    </row>
    <row r="22" spans="2:53" ht="15.75">
      <c r="B22" s="677" t="s">
        <v>162</v>
      </c>
      <c r="C22" s="678"/>
      <c r="D22" s="678"/>
      <c r="E22" s="678"/>
      <c r="F22" s="678"/>
      <c r="G22" s="678"/>
      <c r="H22" s="678"/>
      <c r="I22" s="202"/>
      <c r="J22" s="202"/>
      <c r="K22" s="202"/>
      <c r="L22" s="202"/>
      <c r="M22" s="203"/>
      <c r="N22" s="653" t="s">
        <v>156</v>
      </c>
      <c r="O22" s="653" t="s">
        <v>105</v>
      </c>
      <c r="P22" s="659">
        <f>P2+7</f>
        <v>46238</v>
      </c>
      <c r="Q22" s="660"/>
      <c r="R22" s="660"/>
      <c r="S22" s="660"/>
      <c r="T22" s="660"/>
      <c r="U22" s="656">
        <f>P22+1</f>
        <v>46239</v>
      </c>
      <c r="V22" s="657"/>
      <c r="W22" s="657"/>
      <c r="X22" s="657"/>
      <c r="Y22" s="658"/>
      <c r="Z22" s="656">
        <f>U22+1</f>
        <v>46240</v>
      </c>
      <c r="AA22" s="657"/>
      <c r="AB22" s="657"/>
      <c r="AC22" s="657"/>
      <c r="AD22" s="658"/>
      <c r="AE22" s="656">
        <f>Z22+1</f>
        <v>46241</v>
      </c>
      <c r="AF22" s="657"/>
      <c r="AG22" s="657"/>
      <c r="AH22" s="657"/>
      <c r="AI22" s="658"/>
      <c r="AJ22" s="656">
        <f>AE22+1</f>
        <v>46242</v>
      </c>
      <c r="AK22" s="657"/>
      <c r="AL22" s="657"/>
      <c r="AM22" s="657"/>
      <c r="AN22" s="658"/>
      <c r="AO22" s="656">
        <f>AJ22+1</f>
        <v>46243</v>
      </c>
      <c r="AP22" s="657"/>
      <c r="AQ22" s="657"/>
      <c r="AR22" s="657"/>
      <c r="AS22" s="658"/>
      <c r="AT22" s="656">
        <f>AO22+1</f>
        <v>46244</v>
      </c>
      <c r="AU22" s="657"/>
      <c r="AV22" s="657"/>
      <c r="AW22" s="657"/>
      <c r="AX22" s="658"/>
    </row>
    <row r="23" spans="2:53" ht="15.75">
      <c r="B23" s="667"/>
      <c r="C23" s="667"/>
      <c r="D23" s="667"/>
      <c r="E23" s="667"/>
      <c r="F23" s="667"/>
      <c r="G23" s="667"/>
      <c r="H23" s="667"/>
      <c r="I23" s="204"/>
      <c r="J23" s="204"/>
      <c r="K23" s="204"/>
      <c r="L23" s="204"/>
      <c r="M23" s="205"/>
      <c r="N23" s="655"/>
      <c r="O23" s="655"/>
      <c r="P23" s="659" t="s">
        <v>317</v>
      </c>
      <c r="Q23" s="660"/>
      <c r="R23" s="660"/>
      <c r="S23" s="660"/>
      <c r="T23" s="660"/>
      <c r="U23" s="659" t="s">
        <v>318</v>
      </c>
      <c r="V23" s="660"/>
      <c r="W23" s="660"/>
      <c r="X23" s="660"/>
      <c r="Y23" s="660"/>
      <c r="Z23" s="659" t="s">
        <v>319</v>
      </c>
      <c r="AA23" s="660"/>
      <c r="AB23" s="660"/>
      <c r="AC23" s="660"/>
      <c r="AD23" s="660"/>
      <c r="AE23" s="659" t="s">
        <v>320</v>
      </c>
      <c r="AF23" s="660"/>
      <c r="AG23" s="660"/>
      <c r="AH23" s="660"/>
      <c r="AI23" s="660"/>
      <c r="AJ23" s="659" t="s">
        <v>321</v>
      </c>
      <c r="AK23" s="660"/>
      <c r="AL23" s="660"/>
      <c r="AM23" s="660"/>
      <c r="AN23" s="660"/>
      <c r="AO23" s="659" t="s">
        <v>322</v>
      </c>
      <c r="AP23" s="660"/>
      <c r="AQ23" s="660"/>
      <c r="AR23" s="660"/>
      <c r="AS23" s="660"/>
      <c r="AT23" s="659" t="s">
        <v>323</v>
      </c>
      <c r="AU23" s="660"/>
      <c r="AV23" s="660"/>
      <c r="AW23" s="660"/>
      <c r="AX23" s="660"/>
    </row>
    <row r="24" spans="2:53">
      <c r="B24" s="652" t="s">
        <v>369</v>
      </c>
      <c r="C24" s="652" t="s">
        <v>379</v>
      </c>
      <c r="D24" s="652"/>
      <c r="E24" s="652" t="s">
        <v>370</v>
      </c>
      <c r="F24" s="652"/>
      <c r="G24" s="652"/>
      <c r="H24" s="668" t="s">
        <v>366</v>
      </c>
      <c r="I24" s="652" t="s">
        <v>371</v>
      </c>
      <c r="J24" s="652"/>
      <c r="K24" s="652"/>
      <c r="L24" s="668" t="s">
        <v>366</v>
      </c>
      <c r="M24" s="653" t="s">
        <v>367</v>
      </c>
      <c r="N24" s="652"/>
      <c r="O24" s="652" t="s">
        <v>372</v>
      </c>
      <c r="P24" s="649" t="s">
        <v>368</v>
      </c>
      <c r="Q24" s="650"/>
      <c r="R24" s="650"/>
      <c r="S24" s="651"/>
      <c r="T24" s="652" t="s">
        <v>366</v>
      </c>
      <c r="U24" s="649" t="s">
        <v>368</v>
      </c>
      <c r="V24" s="650"/>
      <c r="W24" s="650"/>
      <c r="X24" s="651"/>
      <c r="Y24" s="652" t="s">
        <v>366</v>
      </c>
      <c r="Z24" s="649" t="s">
        <v>368</v>
      </c>
      <c r="AA24" s="650"/>
      <c r="AB24" s="650"/>
      <c r="AC24" s="651"/>
      <c r="AD24" s="652" t="s">
        <v>366</v>
      </c>
      <c r="AE24" s="649" t="s">
        <v>368</v>
      </c>
      <c r="AF24" s="650"/>
      <c r="AG24" s="650"/>
      <c r="AH24" s="651"/>
      <c r="AI24" s="652" t="s">
        <v>366</v>
      </c>
      <c r="AJ24" s="649" t="s">
        <v>368</v>
      </c>
      <c r="AK24" s="650"/>
      <c r="AL24" s="650"/>
      <c r="AM24" s="651"/>
      <c r="AN24" s="652" t="s">
        <v>366</v>
      </c>
      <c r="AO24" s="649" t="s">
        <v>368</v>
      </c>
      <c r="AP24" s="650"/>
      <c r="AQ24" s="650"/>
      <c r="AR24" s="651"/>
      <c r="AS24" s="652" t="s">
        <v>366</v>
      </c>
      <c r="AT24" s="649" t="s">
        <v>368</v>
      </c>
      <c r="AU24" s="650"/>
      <c r="AV24" s="650"/>
      <c r="AW24" s="651"/>
      <c r="AX24" s="652" t="s">
        <v>366</v>
      </c>
      <c r="BA24" s="652" t="s">
        <v>547</v>
      </c>
    </row>
    <row r="25" spans="2:53">
      <c r="B25" s="652"/>
      <c r="C25" s="652"/>
      <c r="D25" s="652"/>
      <c r="E25" s="652" t="s">
        <v>373</v>
      </c>
      <c r="F25" s="652"/>
      <c r="G25" s="652"/>
      <c r="H25" s="669"/>
      <c r="I25" s="652" t="s">
        <v>373</v>
      </c>
      <c r="J25" s="652"/>
      <c r="K25" s="652"/>
      <c r="L25" s="669"/>
      <c r="M25" s="654"/>
      <c r="N25" s="652"/>
      <c r="O25" s="652"/>
      <c r="P25" s="649" t="s">
        <v>374</v>
      </c>
      <c r="Q25" s="650"/>
      <c r="R25" s="650"/>
      <c r="S25" s="651"/>
      <c r="T25" s="652"/>
      <c r="U25" s="649" t="s">
        <v>374</v>
      </c>
      <c r="V25" s="650"/>
      <c r="W25" s="650"/>
      <c r="X25" s="651"/>
      <c r="Y25" s="652"/>
      <c r="Z25" s="649" t="s">
        <v>374</v>
      </c>
      <c r="AA25" s="650"/>
      <c r="AB25" s="650"/>
      <c r="AC25" s="651"/>
      <c r="AD25" s="652"/>
      <c r="AE25" s="649" t="s">
        <v>374</v>
      </c>
      <c r="AF25" s="650"/>
      <c r="AG25" s="650"/>
      <c r="AH25" s="651"/>
      <c r="AI25" s="652"/>
      <c r="AJ25" s="649" t="s">
        <v>374</v>
      </c>
      <c r="AK25" s="650"/>
      <c r="AL25" s="650"/>
      <c r="AM25" s="651"/>
      <c r="AN25" s="652"/>
      <c r="AO25" s="649" t="s">
        <v>374</v>
      </c>
      <c r="AP25" s="650"/>
      <c r="AQ25" s="650"/>
      <c r="AR25" s="651"/>
      <c r="AS25" s="652"/>
      <c r="AT25" s="649" t="s">
        <v>374</v>
      </c>
      <c r="AU25" s="650"/>
      <c r="AV25" s="650"/>
      <c r="AW25" s="651"/>
      <c r="AX25" s="652"/>
      <c r="BA25" s="652"/>
    </row>
    <row r="26" spans="2:53">
      <c r="B26" s="652"/>
      <c r="C26" s="652"/>
      <c r="D26" s="652"/>
      <c r="E26" s="378" t="s">
        <v>375</v>
      </c>
      <c r="F26" s="378" t="s">
        <v>376</v>
      </c>
      <c r="G26" s="378" t="s">
        <v>377</v>
      </c>
      <c r="H26" s="670"/>
      <c r="I26" s="378" t="s">
        <v>375</v>
      </c>
      <c r="J26" s="378" t="s">
        <v>376</v>
      </c>
      <c r="K26" s="378" t="s">
        <v>377</v>
      </c>
      <c r="L26" s="670"/>
      <c r="M26" s="655"/>
      <c r="N26" s="652"/>
      <c r="O26" s="652"/>
      <c r="P26" s="378" t="s">
        <v>375</v>
      </c>
      <c r="Q26" s="378" t="s">
        <v>376</v>
      </c>
      <c r="R26" s="378" t="s">
        <v>377</v>
      </c>
      <c r="S26" s="378" t="s">
        <v>367</v>
      </c>
      <c r="T26" s="652"/>
      <c r="U26" s="378" t="s">
        <v>375</v>
      </c>
      <c r="V26" s="378" t="s">
        <v>376</v>
      </c>
      <c r="W26" s="378" t="s">
        <v>377</v>
      </c>
      <c r="X26" s="378" t="s">
        <v>367</v>
      </c>
      <c r="Y26" s="652"/>
      <c r="Z26" s="378" t="s">
        <v>375</v>
      </c>
      <c r="AA26" s="378" t="s">
        <v>376</v>
      </c>
      <c r="AB26" s="378" t="s">
        <v>377</v>
      </c>
      <c r="AC26" s="378" t="s">
        <v>367</v>
      </c>
      <c r="AD26" s="652"/>
      <c r="AE26" s="378" t="s">
        <v>375</v>
      </c>
      <c r="AF26" s="378" t="s">
        <v>376</v>
      </c>
      <c r="AG26" s="378" t="s">
        <v>377</v>
      </c>
      <c r="AH26" s="378" t="s">
        <v>367</v>
      </c>
      <c r="AI26" s="652"/>
      <c r="AJ26" s="378" t="s">
        <v>375</v>
      </c>
      <c r="AK26" s="378" t="s">
        <v>376</v>
      </c>
      <c r="AL26" s="378" t="s">
        <v>377</v>
      </c>
      <c r="AM26" s="378" t="s">
        <v>367</v>
      </c>
      <c r="AN26" s="652"/>
      <c r="AO26" s="378" t="s">
        <v>375</v>
      </c>
      <c r="AP26" s="378" t="s">
        <v>376</v>
      </c>
      <c r="AQ26" s="378" t="s">
        <v>377</v>
      </c>
      <c r="AR26" s="378" t="s">
        <v>367</v>
      </c>
      <c r="AS26" s="652"/>
      <c r="AT26" s="378" t="s">
        <v>375</v>
      </c>
      <c r="AU26" s="378" t="s">
        <v>376</v>
      </c>
      <c r="AV26" s="378" t="s">
        <v>377</v>
      </c>
      <c r="AW26" s="378" t="s">
        <v>367</v>
      </c>
      <c r="AX26" s="652"/>
      <c r="AZ26" s="367" t="s">
        <v>367</v>
      </c>
      <c r="BA26" s="652"/>
    </row>
    <row r="27" spans="2:53">
      <c r="B27" s="695" t="s">
        <v>378</v>
      </c>
      <c r="C27" s="380">
        <v>1</v>
      </c>
      <c r="D27" s="351" t="s">
        <v>358</v>
      </c>
      <c r="E27" s="510">
        <v>4</v>
      </c>
      <c r="F27" s="510">
        <v>2000</v>
      </c>
      <c r="G27" s="510">
        <v>500</v>
      </c>
      <c r="H27" s="691">
        <f>AVERAGE(G27:G41)</f>
        <v>265.00582010582008</v>
      </c>
      <c r="I27" s="381">
        <f t="shared" ref="I27:I40" si="11">IFERROR(AVERAGE(P27,U27,Z27,AE27,AJ27,AO27,AT27),"-")</f>
        <v>5</v>
      </c>
      <c r="J27" s="381">
        <f t="shared" ref="J27:J40" si="12">IFERROR(AVERAGE(Q27,V27,AA27,AF27,AK27,AP27,AU27),"-")</f>
        <v>2158.7565663557702</v>
      </c>
      <c r="K27" s="199">
        <f t="shared" ref="K27:K40" si="13">IFERROR(AVERAGE(R27,W27,AB27,AG27,AL27,AQ27,AV27),"-")</f>
        <v>431.75131327115412</v>
      </c>
      <c r="L27" s="633">
        <f>IFERROR(AVERAGE(K27:K41),"-")</f>
        <v>237.82164800993075</v>
      </c>
      <c r="M27" s="384">
        <f>RANK(K27, K$27:$K$41)</f>
        <v>1</v>
      </c>
      <c r="N27" s="652"/>
      <c r="O27" s="652"/>
      <c r="P27" s="552">
        <v>5</v>
      </c>
      <c r="Q27" s="553">
        <v>2101.1538461538471</v>
      </c>
      <c r="R27" s="553">
        <v>420.2307692307694</v>
      </c>
      <c r="S27" s="552">
        <f t="shared" ref="S27:S41" si="14">RANK(R27, R$27:R$41)</f>
        <v>2</v>
      </c>
      <c r="T27" s="661">
        <f t="shared" ref="T27" si="15">AVERAGE(R27:R41)</f>
        <v>236.34892597029159</v>
      </c>
      <c r="U27" s="552">
        <v>5</v>
      </c>
      <c r="V27" s="553">
        <v>2128.0851063829791</v>
      </c>
      <c r="W27" s="553">
        <v>425.61702127659584</v>
      </c>
      <c r="X27" s="552">
        <f t="shared" ref="X27:X41" si="16">RANK(W27, W$27:W$41)</f>
        <v>1</v>
      </c>
      <c r="Y27" s="661">
        <f t="shared" ref="Y27" si="17">AVERAGE(W27:W41)</f>
        <v>236.21494625462458</v>
      </c>
      <c r="Z27" s="552">
        <v>5</v>
      </c>
      <c r="AA27" s="553">
        <v>2184.5454545454545</v>
      </c>
      <c r="AB27" s="553">
        <v>436.90909090909088</v>
      </c>
      <c r="AC27" s="552">
        <f t="shared" ref="AC27:AC41" si="18">RANK(AB27, AB$27:AB$41)</f>
        <v>1</v>
      </c>
      <c r="AD27" s="661">
        <f t="shared" ref="AD27" si="19">AVERAGE(AB27:AB41)</f>
        <v>238.63842969344103</v>
      </c>
      <c r="AE27" s="552">
        <v>5</v>
      </c>
      <c r="AF27" s="553">
        <v>2194.2857142857147</v>
      </c>
      <c r="AG27" s="553">
        <v>438.85714285714295</v>
      </c>
      <c r="AH27" s="552">
        <f t="shared" ref="AH27:AH41" si="20">RANK(AG27, AG$27:AG$41)</f>
        <v>1</v>
      </c>
      <c r="AI27" s="661">
        <f t="shared" ref="AI27" si="21">AVERAGE(AG27:AG41)</f>
        <v>236.3192049850532</v>
      </c>
      <c r="AJ27" s="552">
        <v>5</v>
      </c>
      <c r="AK27" s="553">
        <v>2154.8571428571431</v>
      </c>
      <c r="AL27" s="553">
        <v>430.97142857142865</v>
      </c>
      <c r="AM27" s="552">
        <f t="shared" ref="AM27:AM41" si="22">RANK(AL27, AL$27:AL$41)</f>
        <v>2</v>
      </c>
      <c r="AN27" s="661">
        <f t="shared" ref="AN27" si="23">AVERAGE(AL27:AL41)</f>
        <v>238.28524480718008</v>
      </c>
      <c r="AO27" s="552">
        <v>5</v>
      </c>
      <c r="AP27" s="553">
        <v>2184.2307692307704</v>
      </c>
      <c r="AQ27" s="553">
        <v>436.8461538461541</v>
      </c>
      <c r="AR27" s="552">
        <f t="shared" ref="AR27:AR41" si="24">RANK(AQ27, AQ$27:AQ$41)</f>
        <v>1</v>
      </c>
      <c r="AS27" s="661">
        <f t="shared" ref="AS27" si="25">AVERAGE(AQ27:AQ41)</f>
        <v>240.2247003453293</v>
      </c>
      <c r="AT27" s="552">
        <v>5</v>
      </c>
      <c r="AU27" s="553">
        <v>2164.1379310344828</v>
      </c>
      <c r="AV27" s="553">
        <v>432.82758620689657</v>
      </c>
      <c r="AW27" s="552">
        <f t="shared" ref="AW27:AW41" si="26">RANK(AV27, AV$27:AV$41)</f>
        <v>2</v>
      </c>
      <c r="AX27" s="661">
        <f t="shared" ref="AX27" si="27">AVERAGE(AV27:AV41)</f>
        <v>248.61934587541347</v>
      </c>
      <c r="AZ27" s="368" t="e">
        <f t="shared" ref="AZ27:AZ41" si="28">RANK(AY27, AY$27:AY$41)</f>
        <v>#N/A</v>
      </c>
      <c r="BA27" s="661" t="e">
        <f t="shared" ref="BA27" si="29">AVERAGE(AY27:AY41)</f>
        <v>#DIV/0!</v>
      </c>
    </row>
    <row r="28" spans="2:53">
      <c r="B28" s="660"/>
      <c r="C28" s="380">
        <v>2</v>
      </c>
      <c r="D28" s="351" t="s">
        <v>428</v>
      </c>
      <c r="E28" s="510">
        <v>4</v>
      </c>
      <c r="F28" s="510">
        <v>2000</v>
      </c>
      <c r="G28" s="510">
        <v>500</v>
      </c>
      <c r="H28" s="692"/>
      <c r="I28" s="381">
        <f t="shared" si="11"/>
        <v>5</v>
      </c>
      <c r="J28" s="381">
        <f t="shared" si="12"/>
        <v>2154.8474528924462</v>
      </c>
      <c r="K28" s="199">
        <f t="shared" si="13"/>
        <v>430.96949057848923</v>
      </c>
      <c r="L28" s="634"/>
      <c r="M28" s="387">
        <f>RANK(K28, K$27:$K$41)</f>
        <v>2</v>
      </c>
      <c r="N28" s="652"/>
      <c r="O28" s="652"/>
      <c r="P28" s="552">
        <v>5</v>
      </c>
      <c r="Q28" s="553">
        <v>2149.5652173913045</v>
      </c>
      <c r="R28" s="553">
        <v>429.91304347826087</v>
      </c>
      <c r="S28" s="552">
        <f t="shared" si="14"/>
        <v>1</v>
      </c>
      <c r="T28" s="662"/>
      <c r="U28" s="552">
        <v>5</v>
      </c>
      <c r="V28" s="553">
        <v>2101.3333333333335</v>
      </c>
      <c r="W28" s="553">
        <v>420.26666666666671</v>
      </c>
      <c r="X28" s="552">
        <f t="shared" si="16"/>
        <v>2</v>
      </c>
      <c r="Y28" s="662"/>
      <c r="Z28" s="552">
        <v>5</v>
      </c>
      <c r="AA28" s="553">
        <v>2178.1395348837204</v>
      </c>
      <c r="AB28" s="553">
        <v>435.6279069767441</v>
      </c>
      <c r="AC28" s="552">
        <f t="shared" si="18"/>
        <v>2</v>
      </c>
      <c r="AD28" s="662"/>
      <c r="AE28" s="552">
        <v>5</v>
      </c>
      <c r="AF28" s="553">
        <v>2139.428571428572</v>
      </c>
      <c r="AG28" s="553">
        <v>427.88571428571441</v>
      </c>
      <c r="AH28" s="552">
        <f t="shared" si="20"/>
        <v>2</v>
      </c>
      <c r="AI28" s="662"/>
      <c r="AJ28" s="552">
        <v>5</v>
      </c>
      <c r="AK28" s="553">
        <v>2173.7142857142862</v>
      </c>
      <c r="AL28" s="553">
        <v>434.74285714285725</v>
      </c>
      <c r="AM28" s="552">
        <f t="shared" si="22"/>
        <v>1</v>
      </c>
      <c r="AN28" s="662"/>
      <c r="AO28" s="552">
        <v>5</v>
      </c>
      <c r="AP28" s="553">
        <v>2170.2127659574471</v>
      </c>
      <c r="AQ28" s="553">
        <v>434.04255319148945</v>
      </c>
      <c r="AR28" s="552">
        <f t="shared" si="24"/>
        <v>2</v>
      </c>
      <c r="AS28" s="662"/>
      <c r="AT28" s="552">
        <v>5</v>
      </c>
      <c r="AU28" s="553">
        <v>2171.538461538461</v>
      </c>
      <c r="AV28" s="553">
        <v>434.30769230769221</v>
      </c>
      <c r="AW28" s="552">
        <f t="shared" si="26"/>
        <v>1</v>
      </c>
      <c r="AX28" s="662"/>
      <c r="AZ28" s="368" t="e">
        <f t="shared" si="28"/>
        <v>#N/A</v>
      </c>
      <c r="BA28" s="662"/>
    </row>
    <row r="29" spans="2:53">
      <c r="B29" s="660"/>
      <c r="C29" s="380">
        <v>3</v>
      </c>
      <c r="D29" s="351" t="s">
        <v>359</v>
      </c>
      <c r="E29" s="510">
        <v>12</v>
      </c>
      <c r="F29" s="510">
        <v>2118</v>
      </c>
      <c r="G29" s="510">
        <v>176.5</v>
      </c>
      <c r="H29" s="692"/>
      <c r="I29" s="381">
        <f t="shared" si="11"/>
        <v>12</v>
      </c>
      <c r="J29" s="381">
        <f t="shared" si="12"/>
        <v>1914.3118694286222</v>
      </c>
      <c r="K29" s="199">
        <f t="shared" si="13"/>
        <v>159.52598911905187</v>
      </c>
      <c r="L29" s="634"/>
      <c r="M29" s="387">
        <f>RANK(K29, K$27:$K$41)</f>
        <v>7</v>
      </c>
      <c r="N29" s="652"/>
      <c r="O29" s="652"/>
      <c r="P29" s="552">
        <v>12</v>
      </c>
      <c r="Q29" s="553">
        <v>1935.9999999999991</v>
      </c>
      <c r="R29" s="553">
        <v>161.33333333333326</v>
      </c>
      <c r="S29" s="552">
        <f t="shared" si="14"/>
        <v>7</v>
      </c>
      <c r="T29" s="662"/>
      <c r="U29" s="552">
        <v>12</v>
      </c>
      <c r="V29" s="553">
        <v>1945.7142857142858</v>
      </c>
      <c r="W29" s="553">
        <v>162.14285714285714</v>
      </c>
      <c r="X29" s="552">
        <f t="shared" si="16"/>
        <v>7</v>
      </c>
      <c r="Y29" s="662"/>
      <c r="Z29" s="552">
        <v>12</v>
      </c>
      <c r="AA29" s="553">
        <v>1875.1764705882351</v>
      </c>
      <c r="AB29" s="553">
        <v>156.26470588235293</v>
      </c>
      <c r="AC29" s="552">
        <f t="shared" si="18"/>
        <v>7</v>
      </c>
      <c r="AD29" s="662"/>
      <c r="AE29" s="552">
        <v>12</v>
      </c>
      <c r="AF29" s="553">
        <v>1897.9591836734699</v>
      </c>
      <c r="AG29" s="553">
        <v>158.1632653061225</v>
      </c>
      <c r="AH29" s="552">
        <f t="shared" si="20"/>
        <v>7</v>
      </c>
      <c r="AI29" s="662"/>
      <c r="AJ29" s="552">
        <v>12</v>
      </c>
      <c r="AK29" s="553">
        <v>1897.0212765957449</v>
      </c>
      <c r="AL29" s="553">
        <v>158.08510638297875</v>
      </c>
      <c r="AM29" s="552">
        <f t="shared" si="22"/>
        <v>7</v>
      </c>
      <c r="AN29" s="662"/>
      <c r="AO29" s="552">
        <v>12</v>
      </c>
      <c r="AP29" s="553">
        <v>1933.9999999999991</v>
      </c>
      <c r="AQ29" s="553">
        <v>161.1666666666666</v>
      </c>
      <c r="AR29" s="552">
        <f t="shared" si="24"/>
        <v>7</v>
      </c>
      <c r="AS29" s="662"/>
      <c r="AT29" s="552" t="s">
        <v>585</v>
      </c>
      <c r="AU29" s="553" t="s">
        <v>585</v>
      </c>
      <c r="AV29" s="553" t="s">
        <v>585</v>
      </c>
      <c r="AW29" s="552" t="e">
        <f t="shared" si="26"/>
        <v>#VALUE!</v>
      </c>
      <c r="AX29" s="662"/>
      <c r="AZ29" s="368" t="e">
        <f t="shared" si="28"/>
        <v>#N/A</v>
      </c>
      <c r="BA29" s="662"/>
    </row>
    <row r="30" spans="2:53">
      <c r="B30" s="660"/>
      <c r="C30" s="380">
        <v>4</v>
      </c>
      <c r="D30" s="351" t="s">
        <v>572</v>
      </c>
      <c r="E30" s="510">
        <v>13</v>
      </c>
      <c r="F30" s="510">
        <v>2250</v>
      </c>
      <c r="G30" s="510">
        <v>173.1</v>
      </c>
      <c r="H30" s="692"/>
      <c r="I30" s="381">
        <f t="shared" si="11"/>
        <v>13</v>
      </c>
      <c r="J30" s="381">
        <f t="shared" si="12"/>
        <v>2037.8146701045009</v>
      </c>
      <c r="K30" s="199">
        <f t="shared" si="13"/>
        <v>156.75497462342315</v>
      </c>
      <c r="L30" s="634"/>
      <c r="M30" s="387">
        <f>RANK(K30, K$27:$K$41)</f>
        <v>8</v>
      </c>
      <c r="N30" s="652"/>
      <c r="O30" s="652"/>
      <c r="P30" s="552">
        <v>13</v>
      </c>
      <c r="Q30" s="553">
        <v>2070.5373134328361</v>
      </c>
      <c r="R30" s="553">
        <v>159.27210103329509</v>
      </c>
      <c r="S30" s="552">
        <f t="shared" si="14"/>
        <v>8</v>
      </c>
      <c r="T30" s="662"/>
      <c r="U30" s="552">
        <v>13</v>
      </c>
      <c r="V30" s="553">
        <v>2062.9000000000005</v>
      </c>
      <c r="W30" s="553">
        <v>158.68461538461543</v>
      </c>
      <c r="X30" s="552">
        <f t="shared" si="16"/>
        <v>8</v>
      </c>
      <c r="Y30" s="662"/>
      <c r="Z30" s="552">
        <v>13</v>
      </c>
      <c r="AA30" s="553">
        <v>1992.4615384615395</v>
      </c>
      <c r="AB30" s="553">
        <v>153.26627218934919</v>
      </c>
      <c r="AC30" s="552">
        <f t="shared" si="18"/>
        <v>8</v>
      </c>
      <c r="AD30" s="662"/>
      <c r="AE30" s="552">
        <v>13</v>
      </c>
      <c r="AF30" s="553">
        <v>2010.7894736842113</v>
      </c>
      <c r="AG30" s="553">
        <v>154.67611336032394</v>
      </c>
      <c r="AH30" s="552">
        <f t="shared" si="20"/>
        <v>8</v>
      </c>
      <c r="AI30" s="662"/>
      <c r="AJ30" s="552">
        <v>13</v>
      </c>
      <c r="AK30" s="553">
        <v>2013.9759036144571</v>
      </c>
      <c r="AL30" s="553">
        <v>154.92122335495824</v>
      </c>
      <c r="AM30" s="552">
        <f t="shared" si="22"/>
        <v>8</v>
      </c>
      <c r="AN30" s="662"/>
      <c r="AO30" s="552">
        <v>13</v>
      </c>
      <c r="AP30" s="553">
        <v>2056.1538461538466</v>
      </c>
      <c r="AQ30" s="553">
        <v>158.16568047337282</v>
      </c>
      <c r="AR30" s="552">
        <f t="shared" si="24"/>
        <v>8</v>
      </c>
      <c r="AS30" s="662"/>
      <c r="AT30" s="552">
        <v>13</v>
      </c>
      <c r="AU30" s="553">
        <v>2057.8846153846157</v>
      </c>
      <c r="AV30" s="553">
        <v>158.29881656804736</v>
      </c>
      <c r="AW30" s="552">
        <f t="shared" si="26"/>
        <v>7</v>
      </c>
      <c r="AX30" s="662"/>
      <c r="AZ30" s="368" t="e">
        <f t="shared" si="28"/>
        <v>#N/A</v>
      </c>
      <c r="BA30" s="662"/>
    </row>
    <row r="31" spans="2:53">
      <c r="B31" s="660"/>
      <c r="C31" s="380">
        <v>5</v>
      </c>
      <c r="D31" s="351" t="s">
        <v>360</v>
      </c>
      <c r="E31" s="510">
        <v>13</v>
      </c>
      <c r="F31" s="510">
        <v>2250</v>
      </c>
      <c r="G31" s="510">
        <v>173.1</v>
      </c>
      <c r="H31" s="692"/>
      <c r="I31" s="381">
        <f t="shared" si="11"/>
        <v>13</v>
      </c>
      <c r="J31" s="381">
        <f t="shared" si="12"/>
        <v>2210.856017800364</v>
      </c>
      <c r="K31" s="199">
        <f t="shared" si="13"/>
        <v>170.06584752310491</v>
      </c>
      <c r="L31" s="634"/>
      <c r="M31" s="387">
        <f>RANK(K31, K$27:$K$41)</f>
        <v>6</v>
      </c>
      <c r="N31" s="652"/>
      <c r="O31" s="652"/>
      <c r="P31" s="552">
        <v>13</v>
      </c>
      <c r="Q31" s="553">
        <v>2154.1935483870971</v>
      </c>
      <c r="R31" s="553">
        <v>165.7071960297767</v>
      </c>
      <c r="S31" s="552">
        <f t="shared" si="14"/>
        <v>6</v>
      </c>
      <c r="T31" s="662"/>
      <c r="U31" s="552">
        <v>13</v>
      </c>
      <c r="V31" s="553">
        <v>2177.8571428571422</v>
      </c>
      <c r="W31" s="553">
        <v>167.52747252747247</v>
      </c>
      <c r="X31" s="552">
        <f t="shared" si="16"/>
        <v>6</v>
      </c>
      <c r="Y31" s="662"/>
      <c r="Z31" s="552">
        <v>13</v>
      </c>
      <c r="AA31" s="553">
        <v>2245.8227848101278</v>
      </c>
      <c r="AB31" s="553">
        <v>172.7555988315483</v>
      </c>
      <c r="AC31" s="552">
        <f t="shared" si="18"/>
        <v>6</v>
      </c>
      <c r="AD31" s="662"/>
      <c r="AE31" s="552">
        <v>13</v>
      </c>
      <c r="AF31" s="553">
        <v>2224.5454545454545</v>
      </c>
      <c r="AG31" s="553">
        <v>171.11888111888112</v>
      </c>
      <c r="AH31" s="552">
        <f t="shared" si="20"/>
        <v>6</v>
      </c>
      <c r="AI31" s="662"/>
      <c r="AJ31" s="552">
        <v>13</v>
      </c>
      <c r="AK31" s="553">
        <v>2229.2957746478878</v>
      </c>
      <c r="AL31" s="553">
        <v>171.48429035752983</v>
      </c>
      <c r="AM31" s="552">
        <f t="shared" si="22"/>
        <v>6</v>
      </c>
      <c r="AN31" s="662"/>
      <c r="AO31" s="552">
        <v>13</v>
      </c>
      <c r="AP31" s="553">
        <v>2229.677419354839</v>
      </c>
      <c r="AQ31" s="553">
        <v>171.51364764267993</v>
      </c>
      <c r="AR31" s="552">
        <f t="shared" si="24"/>
        <v>6</v>
      </c>
      <c r="AS31" s="662"/>
      <c r="AT31" s="552">
        <v>13</v>
      </c>
      <c r="AU31" s="553">
        <v>2214.5999999999976</v>
      </c>
      <c r="AV31" s="553">
        <v>170.35384615384598</v>
      </c>
      <c r="AW31" s="552">
        <f t="shared" si="26"/>
        <v>6</v>
      </c>
      <c r="AX31" s="662"/>
      <c r="AZ31" s="368" t="e">
        <f t="shared" si="28"/>
        <v>#N/A</v>
      </c>
      <c r="BA31" s="662"/>
    </row>
    <row r="32" spans="2:53">
      <c r="B32" s="660"/>
      <c r="C32" s="380">
        <v>6</v>
      </c>
      <c r="D32" s="351" t="s">
        <v>361</v>
      </c>
      <c r="E32" s="510">
        <v>10</v>
      </c>
      <c r="F32" s="510">
        <v>2769</v>
      </c>
      <c r="G32" s="510">
        <v>276.89999999999998</v>
      </c>
      <c r="H32" s="692"/>
      <c r="I32" s="381">
        <f t="shared" si="11"/>
        <v>10</v>
      </c>
      <c r="J32" s="381">
        <f t="shared" si="12"/>
        <v>2451.9945272565783</v>
      </c>
      <c r="K32" s="199">
        <f t="shared" si="13"/>
        <v>245.19945272565789</v>
      </c>
      <c r="L32" s="634"/>
      <c r="M32" s="387">
        <f>RANK(K32, K$27:$K$41)</f>
        <v>4</v>
      </c>
      <c r="N32" s="652"/>
      <c r="O32" s="652"/>
      <c r="P32" s="552">
        <v>10</v>
      </c>
      <c r="Q32" s="553">
        <v>2386.045454545454</v>
      </c>
      <c r="R32" s="553">
        <v>238.60454545454542</v>
      </c>
      <c r="S32" s="552">
        <f t="shared" si="14"/>
        <v>4</v>
      </c>
      <c r="T32" s="662"/>
      <c r="U32" s="552">
        <v>10</v>
      </c>
      <c r="V32" s="553">
        <v>2415.349999999999</v>
      </c>
      <c r="W32" s="553">
        <v>241.53499999999991</v>
      </c>
      <c r="X32" s="552">
        <f t="shared" si="16"/>
        <v>4</v>
      </c>
      <c r="Y32" s="662"/>
      <c r="Z32" s="552">
        <v>10</v>
      </c>
      <c r="AA32" s="553">
        <v>2464.6829268292672</v>
      </c>
      <c r="AB32" s="553">
        <v>246.46829268292672</v>
      </c>
      <c r="AC32" s="552">
        <f t="shared" si="18"/>
        <v>4</v>
      </c>
      <c r="AD32" s="662"/>
      <c r="AE32" s="552">
        <v>10</v>
      </c>
      <c r="AF32" s="553">
        <v>2469.8048780487793</v>
      </c>
      <c r="AG32" s="553">
        <v>246.98048780487792</v>
      </c>
      <c r="AH32" s="552">
        <f t="shared" si="20"/>
        <v>4</v>
      </c>
      <c r="AI32" s="662"/>
      <c r="AJ32" s="552">
        <v>10</v>
      </c>
      <c r="AK32" s="553">
        <v>2485.4117647058829</v>
      </c>
      <c r="AL32" s="553">
        <v>248.54117647058828</v>
      </c>
      <c r="AM32" s="552">
        <f t="shared" si="22"/>
        <v>4</v>
      </c>
      <c r="AN32" s="662"/>
      <c r="AO32" s="552">
        <v>10</v>
      </c>
      <c r="AP32" s="553">
        <v>2461.9999999999995</v>
      </c>
      <c r="AQ32" s="553">
        <v>246.19999999999996</v>
      </c>
      <c r="AR32" s="552">
        <f t="shared" si="24"/>
        <v>4</v>
      </c>
      <c r="AS32" s="662"/>
      <c r="AT32" s="552">
        <v>10</v>
      </c>
      <c r="AU32" s="553">
        <v>2480.6666666666674</v>
      </c>
      <c r="AV32" s="553">
        <v>248.06666666666675</v>
      </c>
      <c r="AW32" s="552">
        <f t="shared" si="26"/>
        <v>4</v>
      </c>
      <c r="AX32" s="662"/>
      <c r="AZ32" s="368" t="e">
        <f t="shared" si="28"/>
        <v>#N/A</v>
      </c>
      <c r="BA32" s="662"/>
    </row>
    <row r="33" spans="2:53">
      <c r="B33" s="660"/>
      <c r="C33" s="380">
        <v>7</v>
      </c>
      <c r="D33" s="351" t="s">
        <v>691</v>
      </c>
      <c r="E33" s="510">
        <v>11</v>
      </c>
      <c r="F33" s="510">
        <v>2250</v>
      </c>
      <c r="G33" s="510">
        <v>204.5</v>
      </c>
      <c r="H33" s="692"/>
      <c r="I33" s="381">
        <f t="shared" si="11"/>
        <v>11</v>
      </c>
      <c r="J33" s="381">
        <f t="shared" si="12"/>
        <v>2227.4724260858188</v>
      </c>
      <c r="K33" s="199">
        <f t="shared" si="13"/>
        <v>202.497493280529</v>
      </c>
      <c r="L33" s="634"/>
      <c r="M33" s="387">
        <f>RANK(K33, K$27:$K$41)</f>
        <v>5</v>
      </c>
      <c r="N33" s="652"/>
      <c r="O33" s="652"/>
      <c r="P33" s="552">
        <v>11</v>
      </c>
      <c r="Q33" s="553">
        <v>2210.3999999999996</v>
      </c>
      <c r="R33" s="553">
        <v>200.94545454545451</v>
      </c>
      <c r="S33" s="552">
        <f t="shared" si="14"/>
        <v>5</v>
      </c>
      <c r="T33" s="662"/>
      <c r="U33" s="552">
        <v>11</v>
      </c>
      <c r="V33" s="553">
        <v>2224.6153846153857</v>
      </c>
      <c r="W33" s="553">
        <v>202.23776223776233</v>
      </c>
      <c r="X33" s="552">
        <f t="shared" si="16"/>
        <v>5</v>
      </c>
      <c r="Y33" s="662"/>
      <c r="Z33" s="552">
        <v>11</v>
      </c>
      <c r="AA33" s="553">
        <v>2216.90625</v>
      </c>
      <c r="AB33" s="553">
        <v>201.53693181818181</v>
      </c>
      <c r="AC33" s="552">
        <f t="shared" si="18"/>
        <v>5</v>
      </c>
      <c r="AD33" s="662"/>
      <c r="AE33" s="552">
        <v>11</v>
      </c>
      <c r="AF33" s="553">
        <v>2242.1904761904761</v>
      </c>
      <c r="AG33" s="553">
        <v>203.83549783549782</v>
      </c>
      <c r="AH33" s="552">
        <f t="shared" si="20"/>
        <v>5</v>
      </c>
      <c r="AI33" s="662"/>
      <c r="AJ33" s="552">
        <v>11</v>
      </c>
      <c r="AK33" s="553">
        <v>2238.599999999999</v>
      </c>
      <c r="AL33" s="553">
        <v>203.50909090909082</v>
      </c>
      <c r="AM33" s="552">
        <f t="shared" si="22"/>
        <v>5</v>
      </c>
      <c r="AN33" s="662"/>
      <c r="AO33" s="552">
        <v>11</v>
      </c>
      <c r="AP33" s="553">
        <v>2248.1333333333337</v>
      </c>
      <c r="AQ33" s="553">
        <v>204.3757575757576</v>
      </c>
      <c r="AR33" s="552">
        <f t="shared" si="24"/>
        <v>5</v>
      </c>
      <c r="AS33" s="662"/>
      <c r="AT33" s="552">
        <v>11</v>
      </c>
      <c r="AU33" s="553">
        <v>2211.4615384615395</v>
      </c>
      <c r="AV33" s="553">
        <v>201.04195804195814</v>
      </c>
      <c r="AW33" s="552">
        <f t="shared" si="26"/>
        <v>5</v>
      </c>
      <c r="AX33" s="662"/>
      <c r="AZ33" s="368" t="e">
        <f t="shared" si="28"/>
        <v>#N/A</v>
      </c>
      <c r="BA33" s="662"/>
    </row>
    <row r="34" spans="2:53">
      <c r="B34" s="660"/>
      <c r="C34" s="380">
        <v>8</v>
      </c>
      <c r="D34" s="351" t="s">
        <v>357</v>
      </c>
      <c r="E34" s="510">
        <v>18</v>
      </c>
      <c r="F34" s="510">
        <v>1200</v>
      </c>
      <c r="G34" s="510">
        <v>66.666666666666671</v>
      </c>
      <c r="H34" s="692"/>
      <c r="I34" s="381">
        <f t="shared" si="11"/>
        <v>18.142857142857142</v>
      </c>
      <c r="J34" s="381">
        <f t="shared" si="12"/>
        <v>1125.6501674726328</v>
      </c>
      <c r="K34" s="199">
        <f t="shared" si="13"/>
        <v>62.020156592546279</v>
      </c>
      <c r="L34" s="634"/>
      <c r="M34" s="387">
        <f>RANK(K34, K$27:$K$41)</f>
        <v>9</v>
      </c>
      <c r="N34" s="652"/>
      <c r="O34" s="652"/>
      <c r="P34" s="552">
        <v>19</v>
      </c>
      <c r="Q34" s="553">
        <v>1235.2173913043478</v>
      </c>
      <c r="R34" s="553">
        <v>65.011441647597252</v>
      </c>
      <c r="S34" s="552">
        <f t="shared" si="14"/>
        <v>9</v>
      </c>
      <c r="T34" s="662"/>
      <c r="U34" s="552">
        <v>18</v>
      </c>
      <c r="V34" s="553">
        <v>1119.7590361445777</v>
      </c>
      <c r="W34" s="553">
        <v>62.208835341365429</v>
      </c>
      <c r="X34" s="552">
        <f t="shared" si="16"/>
        <v>9</v>
      </c>
      <c r="Y34" s="662"/>
      <c r="Z34" s="552">
        <v>18</v>
      </c>
      <c r="AA34" s="553">
        <v>1117.0786516853932</v>
      </c>
      <c r="AB34" s="553">
        <v>62.059925093632955</v>
      </c>
      <c r="AC34" s="552">
        <f t="shared" si="18"/>
        <v>9</v>
      </c>
      <c r="AD34" s="662"/>
      <c r="AE34" s="552">
        <v>18</v>
      </c>
      <c r="AF34" s="553">
        <v>1094.1176470588223</v>
      </c>
      <c r="AG34" s="553">
        <v>60.784313725490129</v>
      </c>
      <c r="AH34" s="552">
        <f t="shared" si="20"/>
        <v>9</v>
      </c>
      <c r="AI34" s="662"/>
      <c r="AJ34" s="552">
        <v>18</v>
      </c>
      <c r="AK34" s="553">
        <v>1089.4736842105256</v>
      </c>
      <c r="AL34" s="553">
        <v>60.526315789473642</v>
      </c>
      <c r="AM34" s="552">
        <f t="shared" si="22"/>
        <v>9</v>
      </c>
      <c r="AN34" s="662"/>
      <c r="AO34" s="552">
        <v>18</v>
      </c>
      <c r="AP34" s="553">
        <v>1096.5714285714291</v>
      </c>
      <c r="AQ34" s="553">
        <v>60.920634920634953</v>
      </c>
      <c r="AR34" s="552">
        <f t="shared" si="24"/>
        <v>9</v>
      </c>
      <c r="AS34" s="662"/>
      <c r="AT34" s="552">
        <v>18</v>
      </c>
      <c r="AU34" s="553">
        <v>1127.3333333333333</v>
      </c>
      <c r="AV34" s="553">
        <v>62.629629629629626</v>
      </c>
      <c r="AW34" s="552">
        <f t="shared" si="26"/>
        <v>8</v>
      </c>
      <c r="AX34" s="662"/>
      <c r="AZ34" s="368" t="e">
        <f t="shared" si="28"/>
        <v>#N/A</v>
      </c>
      <c r="BA34" s="662"/>
    </row>
    <row r="35" spans="2:53">
      <c r="B35" s="660"/>
      <c r="C35" s="380">
        <v>9</v>
      </c>
      <c r="D35" s="351" t="s">
        <v>704</v>
      </c>
      <c r="E35" s="510">
        <v>7</v>
      </c>
      <c r="F35" s="510">
        <v>2200</v>
      </c>
      <c r="G35" s="510">
        <v>314.28571428571428</v>
      </c>
      <c r="H35" s="692"/>
      <c r="I35" s="381">
        <f t="shared" si="11"/>
        <v>7</v>
      </c>
      <c r="J35" s="381">
        <f t="shared" si="12"/>
        <v>1971.2708006279427</v>
      </c>
      <c r="K35" s="199">
        <f t="shared" si="13"/>
        <v>281.61011437542038</v>
      </c>
      <c r="L35" s="634"/>
      <c r="M35" s="387">
        <f>RANK(K35, K$27:$K$41)</f>
        <v>3</v>
      </c>
      <c r="N35" s="652"/>
      <c r="O35" s="652"/>
      <c r="P35" s="552">
        <v>7</v>
      </c>
      <c r="Q35" s="553">
        <v>2002.8571428571424</v>
      </c>
      <c r="R35" s="553">
        <v>286.12244897959175</v>
      </c>
      <c r="S35" s="552">
        <f t="shared" si="14"/>
        <v>3</v>
      </c>
      <c r="T35" s="662"/>
      <c r="U35" s="552">
        <v>7</v>
      </c>
      <c r="V35" s="553">
        <v>2000.0000000000005</v>
      </c>
      <c r="W35" s="553">
        <v>285.71428571428578</v>
      </c>
      <c r="X35" s="552">
        <f t="shared" si="16"/>
        <v>3</v>
      </c>
      <c r="Y35" s="662"/>
      <c r="Z35" s="552">
        <v>7</v>
      </c>
      <c r="AA35" s="553">
        <v>1979.9999999999991</v>
      </c>
      <c r="AB35" s="553">
        <v>282.85714285714272</v>
      </c>
      <c r="AC35" s="552">
        <f t="shared" si="18"/>
        <v>3</v>
      </c>
      <c r="AD35" s="662"/>
      <c r="AE35" s="552">
        <v>7</v>
      </c>
      <c r="AF35" s="553">
        <v>1851.9999999999966</v>
      </c>
      <c r="AG35" s="553">
        <v>264.5714285714281</v>
      </c>
      <c r="AH35" s="552">
        <f t="shared" si="20"/>
        <v>3</v>
      </c>
      <c r="AI35" s="662"/>
      <c r="AJ35" s="552">
        <v>7</v>
      </c>
      <c r="AK35" s="553">
        <v>1972.5000000000068</v>
      </c>
      <c r="AL35" s="553">
        <v>281.78571428571524</v>
      </c>
      <c r="AM35" s="552">
        <f t="shared" si="22"/>
        <v>3</v>
      </c>
      <c r="AN35" s="662"/>
      <c r="AO35" s="552">
        <v>7</v>
      </c>
      <c r="AP35" s="553">
        <v>2021.5384615384564</v>
      </c>
      <c r="AQ35" s="553">
        <v>288.79120879120808</v>
      </c>
      <c r="AR35" s="552">
        <f t="shared" si="24"/>
        <v>3</v>
      </c>
      <c r="AS35" s="662"/>
      <c r="AT35" s="552">
        <v>7</v>
      </c>
      <c r="AU35" s="553">
        <v>1969.9999999999973</v>
      </c>
      <c r="AV35" s="553">
        <v>281.42857142857105</v>
      </c>
      <c r="AW35" s="552">
        <f t="shared" si="26"/>
        <v>3</v>
      </c>
      <c r="AX35" s="662"/>
      <c r="AZ35" s="368" t="e">
        <f t="shared" si="28"/>
        <v>#N/A</v>
      </c>
      <c r="BA35" s="662"/>
    </row>
    <row r="36" spans="2:53">
      <c r="B36" s="660"/>
      <c r="C36" s="380">
        <v>10</v>
      </c>
      <c r="D36" s="351"/>
      <c r="E36" s="510"/>
      <c r="F36" s="510"/>
      <c r="G36" s="510"/>
      <c r="H36" s="692"/>
      <c r="I36" s="381" t="str">
        <f t="shared" si="11"/>
        <v>-</v>
      </c>
      <c r="J36" s="381" t="str">
        <f t="shared" si="12"/>
        <v>-</v>
      </c>
      <c r="K36" s="199" t="str">
        <f t="shared" si="13"/>
        <v>-</v>
      </c>
      <c r="L36" s="634"/>
      <c r="M36" s="387" t="e">
        <f>RANK(K36, K$27:$K$41)</f>
        <v>#VALUE!</v>
      </c>
      <c r="N36" s="652"/>
      <c r="O36" s="652"/>
      <c r="P36" s="552" t="s">
        <v>585</v>
      </c>
      <c r="Q36" s="553" t="s">
        <v>585</v>
      </c>
      <c r="R36" s="553" t="s">
        <v>585</v>
      </c>
      <c r="S36" s="552" t="e">
        <f t="shared" si="14"/>
        <v>#VALUE!</v>
      </c>
      <c r="T36" s="662"/>
      <c r="U36" s="552" t="s">
        <v>585</v>
      </c>
      <c r="V36" s="553" t="s">
        <v>585</v>
      </c>
      <c r="W36" s="553" t="s">
        <v>585</v>
      </c>
      <c r="X36" s="552" t="e">
        <f t="shared" si="16"/>
        <v>#VALUE!</v>
      </c>
      <c r="Y36" s="662"/>
      <c r="Z36" s="552" t="s">
        <v>585</v>
      </c>
      <c r="AA36" s="553" t="s">
        <v>585</v>
      </c>
      <c r="AB36" s="553" t="s">
        <v>585</v>
      </c>
      <c r="AC36" s="552" t="e">
        <f t="shared" si="18"/>
        <v>#VALUE!</v>
      </c>
      <c r="AD36" s="662"/>
      <c r="AE36" s="552" t="s">
        <v>585</v>
      </c>
      <c r="AF36" s="553" t="s">
        <v>585</v>
      </c>
      <c r="AG36" s="553" t="s">
        <v>585</v>
      </c>
      <c r="AH36" s="552" t="e">
        <f t="shared" si="20"/>
        <v>#VALUE!</v>
      </c>
      <c r="AI36" s="662"/>
      <c r="AJ36" s="552" t="s">
        <v>585</v>
      </c>
      <c r="AK36" s="553" t="s">
        <v>585</v>
      </c>
      <c r="AL36" s="553" t="s">
        <v>585</v>
      </c>
      <c r="AM36" s="552" t="e">
        <f t="shared" si="22"/>
        <v>#VALUE!</v>
      </c>
      <c r="AN36" s="662"/>
      <c r="AO36" s="552" t="s">
        <v>585</v>
      </c>
      <c r="AP36" s="553" t="s">
        <v>585</v>
      </c>
      <c r="AQ36" s="553" t="s">
        <v>585</v>
      </c>
      <c r="AR36" s="552" t="e">
        <f t="shared" si="24"/>
        <v>#VALUE!</v>
      </c>
      <c r="AS36" s="662"/>
      <c r="AT36" s="552" t="s">
        <v>585</v>
      </c>
      <c r="AU36" s="553" t="s">
        <v>585</v>
      </c>
      <c r="AV36" s="553" t="s">
        <v>585</v>
      </c>
      <c r="AW36" s="552" t="e">
        <f t="shared" si="26"/>
        <v>#VALUE!</v>
      </c>
      <c r="AX36" s="662"/>
      <c r="AZ36" s="368" t="e">
        <f t="shared" si="28"/>
        <v>#N/A</v>
      </c>
      <c r="BA36" s="662"/>
    </row>
    <row r="37" spans="2:53">
      <c r="B37" s="660"/>
      <c r="C37" s="380">
        <v>11</v>
      </c>
      <c r="D37" s="351"/>
      <c r="E37" s="510"/>
      <c r="F37" s="510"/>
      <c r="G37" s="510"/>
      <c r="H37" s="692"/>
      <c r="I37" s="381" t="str">
        <f t="shared" si="11"/>
        <v>-</v>
      </c>
      <c r="J37" s="381" t="str">
        <f t="shared" si="12"/>
        <v>-</v>
      </c>
      <c r="K37" s="199" t="str">
        <f t="shared" si="13"/>
        <v>-</v>
      </c>
      <c r="L37" s="634"/>
      <c r="M37" s="387" t="e">
        <f>RANK(K37, K$27:$K$41)</f>
        <v>#VALUE!</v>
      </c>
      <c r="N37" s="652"/>
      <c r="O37" s="652"/>
      <c r="P37" s="552" t="s">
        <v>585</v>
      </c>
      <c r="Q37" s="553" t="s">
        <v>585</v>
      </c>
      <c r="R37" s="553" t="s">
        <v>585</v>
      </c>
      <c r="S37" s="552" t="e">
        <f t="shared" si="14"/>
        <v>#VALUE!</v>
      </c>
      <c r="T37" s="662"/>
      <c r="U37" s="552" t="s">
        <v>585</v>
      </c>
      <c r="V37" s="553" t="s">
        <v>585</v>
      </c>
      <c r="W37" s="553" t="s">
        <v>585</v>
      </c>
      <c r="X37" s="552" t="e">
        <f t="shared" si="16"/>
        <v>#VALUE!</v>
      </c>
      <c r="Y37" s="662"/>
      <c r="Z37" s="552" t="s">
        <v>585</v>
      </c>
      <c r="AA37" s="553" t="s">
        <v>585</v>
      </c>
      <c r="AB37" s="553" t="s">
        <v>585</v>
      </c>
      <c r="AC37" s="552" t="e">
        <f t="shared" si="18"/>
        <v>#VALUE!</v>
      </c>
      <c r="AD37" s="662"/>
      <c r="AE37" s="552" t="s">
        <v>585</v>
      </c>
      <c r="AF37" s="553" t="s">
        <v>585</v>
      </c>
      <c r="AG37" s="553" t="s">
        <v>585</v>
      </c>
      <c r="AH37" s="552" t="e">
        <f t="shared" si="20"/>
        <v>#VALUE!</v>
      </c>
      <c r="AI37" s="662"/>
      <c r="AJ37" s="552" t="s">
        <v>585</v>
      </c>
      <c r="AK37" s="553" t="s">
        <v>585</v>
      </c>
      <c r="AL37" s="553" t="s">
        <v>585</v>
      </c>
      <c r="AM37" s="552" t="e">
        <f t="shared" si="22"/>
        <v>#VALUE!</v>
      </c>
      <c r="AN37" s="662"/>
      <c r="AO37" s="552" t="s">
        <v>585</v>
      </c>
      <c r="AP37" s="553" t="s">
        <v>585</v>
      </c>
      <c r="AQ37" s="553" t="s">
        <v>585</v>
      </c>
      <c r="AR37" s="552" t="e">
        <f t="shared" si="24"/>
        <v>#VALUE!</v>
      </c>
      <c r="AS37" s="662"/>
      <c r="AT37" s="552" t="s">
        <v>585</v>
      </c>
      <c r="AU37" s="553" t="s">
        <v>585</v>
      </c>
      <c r="AV37" s="553" t="s">
        <v>585</v>
      </c>
      <c r="AW37" s="552" t="e">
        <f t="shared" si="26"/>
        <v>#VALUE!</v>
      </c>
      <c r="AX37" s="662"/>
      <c r="AZ37" s="368" t="e">
        <f t="shared" si="28"/>
        <v>#N/A</v>
      </c>
      <c r="BA37" s="662"/>
    </row>
    <row r="38" spans="2:53">
      <c r="B38" s="660"/>
      <c r="C38" s="380">
        <v>12</v>
      </c>
      <c r="D38" s="351"/>
      <c r="E38" s="510"/>
      <c r="F38" s="510"/>
      <c r="G38" s="510"/>
      <c r="H38" s="692"/>
      <c r="I38" s="381" t="str">
        <f t="shared" si="11"/>
        <v>-</v>
      </c>
      <c r="J38" s="381" t="str">
        <f t="shared" si="12"/>
        <v>-</v>
      </c>
      <c r="K38" s="199" t="str">
        <f t="shared" si="13"/>
        <v>-</v>
      </c>
      <c r="L38" s="634"/>
      <c r="M38" s="387" t="e">
        <f>RANK(K38, K$27:$K$41)</f>
        <v>#VALUE!</v>
      </c>
      <c r="N38" s="652"/>
      <c r="O38" s="652"/>
      <c r="P38" s="552" t="s">
        <v>585</v>
      </c>
      <c r="Q38" s="553" t="s">
        <v>585</v>
      </c>
      <c r="R38" s="553" t="s">
        <v>585</v>
      </c>
      <c r="S38" s="552" t="e">
        <f t="shared" si="14"/>
        <v>#VALUE!</v>
      </c>
      <c r="T38" s="662"/>
      <c r="U38" s="552" t="s">
        <v>585</v>
      </c>
      <c r="V38" s="553" t="s">
        <v>585</v>
      </c>
      <c r="W38" s="553" t="s">
        <v>585</v>
      </c>
      <c r="X38" s="552" t="e">
        <f t="shared" si="16"/>
        <v>#VALUE!</v>
      </c>
      <c r="Y38" s="662"/>
      <c r="Z38" s="552" t="s">
        <v>585</v>
      </c>
      <c r="AA38" s="553" t="s">
        <v>585</v>
      </c>
      <c r="AB38" s="553" t="s">
        <v>585</v>
      </c>
      <c r="AC38" s="552" t="e">
        <f t="shared" si="18"/>
        <v>#VALUE!</v>
      </c>
      <c r="AD38" s="662"/>
      <c r="AE38" s="552" t="s">
        <v>585</v>
      </c>
      <c r="AF38" s="553" t="s">
        <v>585</v>
      </c>
      <c r="AG38" s="553" t="s">
        <v>585</v>
      </c>
      <c r="AH38" s="552" t="e">
        <f t="shared" si="20"/>
        <v>#VALUE!</v>
      </c>
      <c r="AI38" s="662"/>
      <c r="AJ38" s="552" t="s">
        <v>585</v>
      </c>
      <c r="AK38" s="553" t="s">
        <v>585</v>
      </c>
      <c r="AL38" s="553" t="s">
        <v>585</v>
      </c>
      <c r="AM38" s="552" t="e">
        <f t="shared" si="22"/>
        <v>#VALUE!</v>
      </c>
      <c r="AN38" s="662"/>
      <c r="AO38" s="552" t="s">
        <v>585</v>
      </c>
      <c r="AP38" s="553" t="s">
        <v>585</v>
      </c>
      <c r="AQ38" s="553" t="s">
        <v>585</v>
      </c>
      <c r="AR38" s="552" t="e">
        <f t="shared" si="24"/>
        <v>#VALUE!</v>
      </c>
      <c r="AS38" s="662"/>
      <c r="AT38" s="552" t="s">
        <v>585</v>
      </c>
      <c r="AU38" s="553" t="s">
        <v>585</v>
      </c>
      <c r="AV38" s="553" t="s">
        <v>585</v>
      </c>
      <c r="AW38" s="552" t="e">
        <f t="shared" si="26"/>
        <v>#VALUE!</v>
      </c>
      <c r="AX38" s="662"/>
      <c r="AZ38" s="368" t="e">
        <f t="shared" si="28"/>
        <v>#N/A</v>
      </c>
      <c r="BA38" s="662"/>
    </row>
    <row r="39" spans="2:53">
      <c r="B39" s="660"/>
      <c r="C39" s="380">
        <v>13</v>
      </c>
      <c r="D39" s="351"/>
      <c r="E39" s="510"/>
      <c r="F39" s="510"/>
      <c r="G39" s="510"/>
      <c r="H39" s="692"/>
      <c r="I39" s="381" t="str">
        <f t="shared" si="11"/>
        <v>-</v>
      </c>
      <c r="J39" s="381" t="str">
        <f t="shared" si="12"/>
        <v>-</v>
      </c>
      <c r="K39" s="199" t="str">
        <f t="shared" si="13"/>
        <v>-</v>
      </c>
      <c r="L39" s="634"/>
      <c r="M39" s="387" t="e">
        <f>RANK(K39, K$27:$K$41)</f>
        <v>#VALUE!</v>
      </c>
      <c r="N39" s="652"/>
      <c r="O39" s="652"/>
      <c r="P39" s="552" t="s">
        <v>585</v>
      </c>
      <c r="Q39" s="553" t="s">
        <v>585</v>
      </c>
      <c r="R39" s="553" t="s">
        <v>585</v>
      </c>
      <c r="S39" s="552" t="e">
        <f t="shared" si="14"/>
        <v>#VALUE!</v>
      </c>
      <c r="T39" s="662"/>
      <c r="U39" s="552" t="s">
        <v>585</v>
      </c>
      <c r="V39" s="553" t="s">
        <v>585</v>
      </c>
      <c r="W39" s="553" t="s">
        <v>585</v>
      </c>
      <c r="X39" s="552" t="e">
        <f t="shared" si="16"/>
        <v>#VALUE!</v>
      </c>
      <c r="Y39" s="662"/>
      <c r="Z39" s="552" t="s">
        <v>585</v>
      </c>
      <c r="AA39" s="553" t="s">
        <v>585</v>
      </c>
      <c r="AB39" s="553" t="s">
        <v>585</v>
      </c>
      <c r="AC39" s="552" t="e">
        <f t="shared" si="18"/>
        <v>#VALUE!</v>
      </c>
      <c r="AD39" s="662"/>
      <c r="AE39" s="552" t="s">
        <v>585</v>
      </c>
      <c r="AF39" s="553" t="s">
        <v>585</v>
      </c>
      <c r="AG39" s="553" t="s">
        <v>585</v>
      </c>
      <c r="AH39" s="552" t="e">
        <f t="shared" si="20"/>
        <v>#VALUE!</v>
      </c>
      <c r="AI39" s="662"/>
      <c r="AJ39" s="552" t="s">
        <v>585</v>
      </c>
      <c r="AK39" s="553" t="s">
        <v>585</v>
      </c>
      <c r="AL39" s="553" t="s">
        <v>585</v>
      </c>
      <c r="AM39" s="552" t="e">
        <f t="shared" si="22"/>
        <v>#VALUE!</v>
      </c>
      <c r="AN39" s="662"/>
      <c r="AO39" s="552" t="s">
        <v>585</v>
      </c>
      <c r="AP39" s="553" t="s">
        <v>585</v>
      </c>
      <c r="AQ39" s="553" t="s">
        <v>585</v>
      </c>
      <c r="AR39" s="552" t="e">
        <f t="shared" si="24"/>
        <v>#VALUE!</v>
      </c>
      <c r="AS39" s="662"/>
      <c r="AT39" s="552" t="s">
        <v>585</v>
      </c>
      <c r="AU39" s="553" t="s">
        <v>585</v>
      </c>
      <c r="AV39" s="553" t="s">
        <v>585</v>
      </c>
      <c r="AW39" s="552" t="e">
        <f t="shared" si="26"/>
        <v>#VALUE!</v>
      </c>
      <c r="AX39" s="662"/>
      <c r="AZ39" s="368" t="e">
        <f t="shared" si="28"/>
        <v>#N/A</v>
      </c>
      <c r="BA39" s="662"/>
    </row>
    <row r="40" spans="2:53">
      <c r="B40" s="660"/>
      <c r="C40" s="380">
        <v>14</v>
      </c>
      <c r="D40" s="351"/>
      <c r="E40" s="510"/>
      <c r="F40" s="510"/>
      <c r="G40" s="510"/>
      <c r="H40" s="692"/>
      <c r="I40" s="381" t="str">
        <f t="shared" si="11"/>
        <v>-</v>
      </c>
      <c r="J40" s="381" t="str">
        <f t="shared" si="12"/>
        <v>-</v>
      </c>
      <c r="K40" s="199" t="str">
        <f t="shared" si="13"/>
        <v>-</v>
      </c>
      <c r="L40" s="634"/>
      <c r="M40" s="387" t="e">
        <f>RANK(K40, K$27:$K$41)</f>
        <v>#VALUE!</v>
      </c>
      <c r="N40" s="652"/>
      <c r="O40" s="652"/>
      <c r="P40" s="552" t="s">
        <v>585</v>
      </c>
      <c r="Q40" s="553" t="s">
        <v>585</v>
      </c>
      <c r="R40" s="553" t="s">
        <v>585</v>
      </c>
      <c r="S40" s="552" t="e">
        <f t="shared" si="14"/>
        <v>#VALUE!</v>
      </c>
      <c r="T40" s="662"/>
      <c r="U40" s="552" t="s">
        <v>585</v>
      </c>
      <c r="V40" s="553" t="s">
        <v>585</v>
      </c>
      <c r="W40" s="553" t="s">
        <v>585</v>
      </c>
      <c r="X40" s="552" t="e">
        <f t="shared" si="16"/>
        <v>#VALUE!</v>
      </c>
      <c r="Y40" s="662"/>
      <c r="Z40" s="552" t="s">
        <v>585</v>
      </c>
      <c r="AA40" s="553" t="s">
        <v>585</v>
      </c>
      <c r="AB40" s="553" t="s">
        <v>585</v>
      </c>
      <c r="AC40" s="552" t="e">
        <f t="shared" si="18"/>
        <v>#VALUE!</v>
      </c>
      <c r="AD40" s="662"/>
      <c r="AE40" s="552" t="s">
        <v>585</v>
      </c>
      <c r="AF40" s="553" t="s">
        <v>585</v>
      </c>
      <c r="AG40" s="553" t="s">
        <v>585</v>
      </c>
      <c r="AH40" s="552" t="e">
        <f t="shared" si="20"/>
        <v>#VALUE!</v>
      </c>
      <c r="AI40" s="662"/>
      <c r="AJ40" s="552" t="s">
        <v>585</v>
      </c>
      <c r="AK40" s="553" t="s">
        <v>585</v>
      </c>
      <c r="AL40" s="553" t="s">
        <v>585</v>
      </c>
      <c r="AM40" s="552" t="e">
        <f t="shared" si="22"/>
        <v>#VALUE!</v>
      </c>
      <c r="AN40" s="662"/>
      <c r="AO40" s="552" t="s">
        <v>585</v>
      </c>
      <c r="AP40" s="553" t="s">
        <v>585</v>
      </c>
      <c r="AQ40" s="553" t="s">
        <v>585</v>
      </c>
      <c r="AR40" s="552" t="e">
        <f t="shared" si="24"/>
        <v>#VALUE!</v>
      </c>
      <c r="AS40" s="662"/>
      <c r="AT40" s="552" t="s">
        <v>585</v>
      </c>
      <c r="AU40" s="553" t="s">
        <v>585</v>
      </c>
      <c r="AV40" s="553" t="s">
        <v>585</v>
      </c>
      <c r="AW40" s="552" t="e">
        <f t="shared" si="26"/>
        <v>#VALUE!</v>
      </c>
      <c r="AX40" s="662"/>
      <c r="AZ40" s="368" t="e">
        <f t="shared" si="28"/>
        <v>#N/A</v>
      </c>
      <c r="BA40" s="662"/>
    </row>
    <row r="41" spans="2:53">
      <c r="B41" s="660"/>
      <c r="C41" s="380">
        <v>15</v>
      </c>
      <c r="D41" s="351"/>
      <c r="E41" s="510"/>
      <c r="F41" s="510"/>
      <c r="G41" s="510"/>
      <c r="H41" s="696"/>
      <c r="I41" s="384"/>
      <c r="J41" s="384"/>
      <c r="K41" s="382"/>
      <c r="L41" s="635"/>
      <c r="M41" s="387" t="e">
        <f>RANK(K41, K$27:$K$41)</f>
        <v>#N/A</v>
      </c>
      <c r="N41" s="652"/>
      <c r="O41" s="652"/>
      <c r="P41" s="552" t="s">
        <v>585</v>
      </c>
      <c r="Q41" s="553" t="s">
        <v>585</v>
      </c>
      <c r="R41" s="553" t="s">
        <v>585</v>
      </c>
      <c r="S41" s="552" t="e">
        <f t="shared" si="14"/>
        <v>#VALUE!</v>
      </c>
      <c r="T41" s="663"/>
      <c r="U41" s="552" t="s">
        <v>585</v>
      </c>
      <c r="V41" s="553" t="s">
        <v>585</v>
      </c>
      <c r="W41" s="553" t="s">
        <v>585</v>
      </c>
      <c r="X41" s="552" t="e">
        <f t="shared" si="16"/>
        <v>#VALUE!</v>
      </c>
      <c r="Y41" s="663"/>
      <c r="Z41" s="552" t="s">
        <v>585</v>
      </c>
      <c r="AA41" s="553" t="s">
        <v>585</v>
      </c>
      <c r="AB41" s="553" t="s">
        <v>585</v>
      </c>
      <c r="AC41" s="552" t="e">
        <f t="shared" si="18"/>
        <v>#VALUE!</v>
      </c>
      <c r="AD41" s="663"/>
      <c r="AE41" s="552" t="s">
        <v>585</v>
      </c>
      <c r="AF41" s="553" t="s">
        <v>585</v>
      </c>
      <c r="AG41" s="553" t="s">
        <v>585</v>
      </c>
      <c r="AH41" s="552" t="e">
        <f t="shared" si="20"/>
        <v>#VALUE!</v>
      </c>
      <c r="AI41" s="663"/>
      <c r="AJ41" s="552" t="s">
        <v>585</v>
      </c>
      <c r="AK41" s="553" t="s">
        <v>585</v>
      </c>
      <c r="AL41" s="553" t="s">
        <v>585</v>
      </c>
      <c r="AM41" s="552" t="e">
        <f t="shared" si="22"/>
        <v>#VALUE!</v>
      </c>
      <c r="AN41" s="663"/>
      <c r="AO41" s="552" t="s">
        <v>585</v>
      </c>
      <c r="AP41" s="553" t="s">
        <v>585</v>
      </c>
      <c r="AQ41" s="553" t="s">
        <v>585</v>
      </c>
      <c r="AR41" s="552" t="e">
        <f t="shared" si="24"/>
        <v>#VALUE!</v>
      </c>
      <c r="AS41" s="663"/>
      <c r="AT41" s="552" t="s">
        <v>585</v>
      </c>
      <c r="AU41" s="553" t="s">
        <v>585</v>
      </c>
      <c r="AV41" s="553" t="s">
        <v>585</v>
      </c>
      <c r="AW41" s="552" t="e">
        <f t="shared" si="26"/>
        <v>#VALUE!</v>
      </c>
      <c r="AX41" s="663"/>
      <c r="AZ41" s="368" t="e">
        <f t="shared" si="28"/>
        <v>#N/A</v>
      </c>
      <c r="BA41" s="663"/>
    </row>
    <row r="42" spans="2:53" ht="15.75">
      <c r="B42" s="677" t="s">
        <v>162</v>
      </c>
      <c r="C42" s="678"/>
      <c r="D42" s="678"/>
      <c r="E42" s="678"/>
      <c r="F42" s="678"/>
      <c r="G42" s="678"/>
      <c r="H42" s="678"/>
      <c r="I42" s="207"/>
      <c r="J42" s="202"/>
      <c r="K42" s="207"/>
      <c r="L42" s="207"/>
      <c r="M42" s="203"/>
      <c r="N42" s="653" t="s">
        <v>156</v>
      </c>
      <c r="O42" s="653" t="s">
        <v>105</v>
      </c>
      <c r="P42" s="659">
        <f>P22+7</f>
        <v>46245</v>
      </c>
      <c r="Q42" s="660"/>
      <c r="R42" s="660"/>
      <c r="S42" s="660"/>
      <c r="T42" s="660"/>
      <c r="U42" s="656">
        <f>P42+1</f>
        <v>46246</v>
      </c>
      <c r="V42" s="657"/>
      <c r="W42" s="657"/>
      <c r="X42" s="657"/>
      <c r="Y42" s="658"/>
      <c r="Z42" s="656">
        <f>U42+1</f>
        <v>46247</v>
      </c>
      <c r="AA42" s="657"/>
      <c r="AB42" s="657"/>
      <c r="AC42" s="657"/>
      <c r="AD42" s="658"/>
      <c r="AE42" s="656">
        <f>Z42+1</f>
        <v>46248</v>
      </c>
      <c r="AF42" s="657"/>
      <c r="AG42" s="657"/>
      <c r="AH42" s="657"/>
      <c r="AI42" s="658"/>
      <c r="AJ42" s="656">
        <f>AE42+1</f>
        <v>46249</v>
      </c>
      <c r="AK42" s="657"/>
      <c r="AL42" s="657"/>
      <c r="AM42" s="657"/>
      <c r="AN42" s="658"/>
      <c r="AO42" s="656">
        <f>AJ42+1</f>
        <v>46250</v>
      </c>
      <c r="AP42" s="657"/>
      <c r="AQ42" s="657"/>
      <c r="AR42" s="657"/>
      <c r="AS42" s="658"/>
      <c r="AT42" s="656">
        <f>AO42+1</f>
        <v>46251</v>
      </c>
      <c r="AU42" s="657"/>
      <c r="AV42" s="657"/>
      <c r="AW42" s="657"/>
      <c r="AX42" s="658"/>
    </row>
    <row r="43" spans="2:53" ht="15.75">
      <c r="B43" s="667"/>
      <c r="C43" s="667"/>
      <c r="D43" s="667"/>
      <c r="E43" s="667"/>
      <c r="F43" s="667"/>
      <c r="G43" s="667"/>
      <c r="H43" s="667"/>
      <c r="I43" s="204"/>
      <c r="J43" s="204"/>
      <c r="K43" s="204"/>
      <c r="L43" s="204"/>
      <c r="M43" s="205"/>
      <c r="N43" s="655"/>
      <c r="O43" s="655"/>
      <c r="P43" s="659" t="s">
        <v>317</v>
      </c>
      <c r="Q43" s="660"/>
      <c r="R43" s="660"/>
      <c r="S43" s="660"/>
      <c r="T43" s="660"/>
      <c r="U43" s="659" t="s">
        <v>318</v>
      </c>
      <c r="V43" s="660"/>
      <c r="W43" s="660"/>
      <c r="X43" s="660"/>
      <c r="Y43" s="660"/>
      <c r="Z43" s="659" t="s">
        <v>319</v>
      </c>
      <c r="AA43" s="660"/>
      <c r="AB43" s="660"/>
      <c r="AC43" s="660"/>
      <c r="AD43" s="660"/>
      <c r="AE43" s="659" t="s">
        <v>320</v>
      </c>
      <c r="AF43" s="660"/>
      <c r="AG43" s="660"/>
      <c r="AH43" s="660"/>
      <c r="AI43" s="660"/>
      <c r="AJ43" s="659" t="s">
        <v>321</v>
      </c>
      <c r="AK43" s="660"/>
      <c r="AL43" s="660"/>
      <c r="AM43" s="660"/>
      <c r="AN43" s="660"/>
      <c r="AO43" s="659" t="s">
        <v>322</v>
      </c>
      <c r="AP43" s="660"/>
      <c r="AQ43" s="660"/>
      <c r="AR43" s="660"/>
      <c r="AS43" s="660"/>
      <c r="AT43" s="659" t="s">
        <v>323</v>
      </c>
      <c r="AU43" s="660"/>
      <c r="AV43" s="660"/>
      <c r="AW43" s="660"/>
      <c r="AX43" s="660"/>
    </row>
    <row r="44" spans="2:53">
      <c r="B44" s="652" t="s">
        <v>369</v>
      </c>
      <c r="C44" s="652" t="s">
        <v>379</v>
      </c>
      <c r="D44" s="652"/>
      <c r="E44" s="652" t="s">
        <v>370</v>
      </c>
      <c r="F44" s="652"/>
      <c r="G44" s="652"/>
      <c r="H44" s="668" t="s">
        <v>366</v>
      </c>
      <c r="I44" s="652" t="s">
        <v>371</v>
      </c>
      <c r="J44" s="652"/>
      <c r="K44" s="652"/>
      <c r="L44" s="668" t="s">
        <v>366</v>
      </c>
      <c r="M44" s="653" t="s">
        <v>367</v>
      </c>
      <c r="N44" s="652"/>
      <c r="O44" s="652" t="s">
        <v>372</v>
      </c>
      <c r="P44" s="649" t="s">
        <v>368</v>
      </c>
      <c r="Q44" s="650"/>
      <c r="R44" s="650"/>
      <c r="S44" s="651"/>
      <c r="T44" s="652" t="s">
        <v>366</v>
      </c>
      <c r="U44" s="649" t="s">
        <v>368</v>
      </c>
      <c r="V44" s="650"/>
      <c r="W44" s="650"/>
      <c r="X44" s="651"/>
      <c r="Y44" s="652" t="s">
        <v>366</v>
      </c>
      <c r="Z44" s="649" t="s">
        <v>368</v>
      </c>
      <c r="AA44" s="650"/>
      <c r="AB44" s="650"/>
      <c r="AC44" s="651"/>
      <c r="AD44" s="652" t="s">
        <v>366</v>
      </c>
      <c r="AE44" s="649" t="s">
        <v>368</v>
      </c>
      <c r="AF44" s="650"/>
      <c r="AG44" s="650"/>
      <c r="AH44" s="651"/>
      <c r="AI44" s="652" t="s">
        <v>366</v>
      </c>
      <c r="AJ44" s="649" t="s">
        <v>368</v>
      </c>
      <c r="AK44" s="650"/>
      <c r="AL44" s="650"/>
      <c r="AM44" s="651"/>
      <c r="AN44" s="652" t="s">
        <v>366</v>
      </c>
      <c r="AO44" s="649" t="s">
        <v>368</v>
      </c>
      <c r="AP44" s="650"/>
      <c r="AQ44" s="650"/>
      <c r="AR44" s="651"/>
      <c r="AS44" s="652" t="s">
        <v>366</v>
      </c>
      <c r="AT44" s="649" t="s">
        <v>368</v>
      </c>
      <c r="AU44" s="650"/>
      <c r="AV44" s="650"/>
      <c r="AW44" s="651"/>
      <c r="AX44" s="652" t="s">
        <v>366</v>
      </c>
      <c r="BA44" s="652" t="s">
        <v>366</v>
      </c>
    </row>
    <row r="45" spans="2:53">
      <c r="B45" s="652"/>
      <c r="C45" s="652"/>
      <c r="D45" s="652"/>
      <c r="E45" s="652" t="s">
        <v>373</v>
      </c>
      <c r="F45" s="652"/>
      <c r="G45" s="652"/>
      <c r="H45" s="669"/>
      <c r="I45" s="652" t="s">
        <v>373</v>
      </c>
      <c r="J45" s="652"/>
      <c r="K45" s="652"/>
      <c r="L45" s="669"/>
      <c r="M45" s="654"/>
      <c r="N45" s="652"/>
      <c r="O45" s="652"/>
      <c r="P45" s="649" t="s">
        <v>374</v>
      </c>
      <c r="Q45" s="650"/>
      <c r="R45" s="650"/>
      <c r="S45" s="651"/>
      <c r="T45" s="652"/>
      <c r="U45" s="649" t="s">
        <v>374</v>
      </c>
      <c r="V45" s="650"/>
      <c r="W45" s="650"/>
      <c r="X45" s="651"/>
      <c r="Y45" s="652"/>
      <c r="Z45" s="649" t="s">
        <v>374</v>
      </c>
      <c r="AA45" s="650"/>
      <c r="AB45" s="650"/>
      <c r="AC45" s="651"/>
      <c r="AD45" s="652"/>
      <c r="AE45" s="649" t="s">
        <v>374</v>
      </c>
      <c r="AF45" s="650"/>
      <c r="AG45" s="650"/>
      <c r="AH45" s="651"/>
      <c r="AI45" s="652"/>
      <c r="AJ45" s="649" t="s">
        <v>374</v>
      </c>
      <c r="AK45" s="650"/>
      <c r="AL45" s="650"/>
      <c r="AM45" s="651"/>
      <c r="AN45" s="652"/>
      <c r="AO45" s="649" t="s">
        <v>374</v>
      </c>
      <c r="AP45" s="650"/>
      <c r="AQ45" s="650"/>
      <c r="AR45" s="651"/>
      <c r="AS45" s="652"/>
      <c r="AT45" s="649" t="s">
        <v>374</v>
      </c>
      <c r="AU45" s="650"/>
      <c r="AV45" s="650"/>
      <c r="AW45" s="651"/>
      <c r="AX45" s="652"/>
      <c r="BA45" s="652"/>
    </row>
    <row r="46" spans="2:53">
      <c r="B46" s="652"/>
      <c r="C46" s="652"/>
      <c r="D46" s="652"/>
      <c r="E46" s="378" t="s">
        <v>375</v>
      </c>
      <c r="F46" s="378" t="s">
        <v>376</v>
      </c>
      <c r="G46" s="378" t="s">
        <v>377</v>
      </c>
      <c r="H46" s="670"/>
      <c r="I46" s="378" t="s">
        <v>375</v>
      </c>
      <c r="J46" s="378" t="s">
        <v>376</v>
      </c>
      <c r="K46" s="378" t="s">
        <v>377</v>
      </c>
      <c r="L46" s="670"/>
      <c r="M46" s="655"/>
      <c r="N46" s="652"/>
      <c r="O46" s="652"/>
      <c r="P46" s="378" t="s">
        <v>375</v>
      </c>
      <c r="Q46" s="378" t="s">
        <v>376</v>
      </c>
      <c r="R46" s="378" t="s">
        <v>377</v>
      </c>
      <c r="S46" s="378" t="s">
        <v>367</v>
      </c>
      <c r="T46" s="652"/>
      <c r="U46" s="378" t="s">
        <v>375</v>
      </c>
      <c r="V46" s="378" t="s">
        <v>376</v>
      </c>
      <c r="W46" s="378" t="s">
        <v>377</v>
      </c>
      <c r="X46" s="378" t="s">
        <v>367</v>
      </c>
      <c r="Y46" s="652"/>
      <c r="Z46" s="378" t="s">
        <v>375</v>
      </c>
      <c r="AA46" s="378" t="s">
        <v>376</v>
      </c>
      <c r="AB46" s="378" t="s">
        <v>377</v>
      </c>
      <c r="AC46" s="378" t="s">
        <v>367</v>
      </c>
      <c r="AD46" s="652"/>
      <c r="AE46" s="378" t="s">
        <v>375</v>
      </c>
      <c r="AF46" s="378" t="s">
        <v>376</v>
      </c>
      <c r="AG46" s="378" t="s">
        <v>377</v>
      </c>
      <c r="AH46" s="378" t="s">
        <v>367</v>
      </c>
      <c r="AI46" s="652"/>
      <c r="AJ46" s="378" t="s">
        <v>375</v>
      </c>
      <c r="AK46" s="378" t="s">
        <v>376</v>
      </c>
      <c r="AL46" s="378" t="s">
        <v>377</v>
      </c>
      <c r="AM46" s="378" t="s">
        <v>367</v>
      </c>
      <c r="AN46" s="652"/>
      <c r="AO46" s="378" t="s">
        <v>375</v>
      </c>
      <c r="AP46" s="378" t="s">
        <v>376</v>
      </c>
      <c r="AQ46" s="378" t="s">
        <v>377</v>
      </c>
      <c r="AR46" s="378" t="s">
        <v>367</v>
      </c>
      <c r="AS46" s="652"/>
      <c r="AT46" s="378" t="s">
        <v>375</v>
      </c>
      <c r="AU46" s="378" t="s">
        <v>376</v>
      </c>
      <c r="AV46" s="378" t="s">
        <v>377</v>
      </c>
      <c r="AW46" s="378" t="s">
        <v>367</v>
      </c>
      <c r="AX46" s="652"/>
      <c r="AZ46" s="367" t="s">
        <v>560</v>
      </c>
      <c r="BA46" s="652"/>
    </row>
    <row r="47" spans="2:53">
      <c r="B47" s="695" t="s">
        <v>378</v>
      </c>
      <c r="C47" s="380">
        <v>1</v>
      </c>
      <c r="D47" s="351" t="s">
        <v>358</v>
      </c>
      <c r="E47" s="510">
        <v>4</v>
      </c>
      <c r="F47" s="510">
        <v>2000</v>
      </c>
      <c r="G47" s="510">
        <v>500</v>
      </c>
      <c r="H47" s="691">
        <f>AVERAGE(G47:G61)</f>
        <v>276.06904761904764</v>
      </c>
      <c r="I47" s="381">
        <f t="shared" ref="I47:I60" si="30">IFERROR(AVERAGE(P47,U47,Z47,AE47,AJ47,AO47,AT47),"-")</f>
        <v>5</v>
      </c>
      <c r="J47" s="381">
        <f t="shared" ref="J47:J60" si="31">IFERROR(AVERAGE(Q47,V47,AA47,AF47,AK47,AP47,AU47),"-")</f>
        <v>2105.7488307753115</v>
      </c>
      <c r="K47" s="199">
        <f t="shared" ref="K47:K60" si="32">IFERROR(AVERAGE(R47,W47,AB47,AG47,AL47,AQ47,AV47),"-")</f>
        <v>421.14976615506237</v>
      </c>
      <c r="L47" s="633">
        <f>IFERROR(AVERAGE(K47:K55),"-")</f>
        <v>239.42922442491036</v>
      </c>
      <c r="M47" s="418">
        <f>RANK(K47, K$47:$K$61)</f>
        <v>1</v>
      </c>
      <c r="N47" s="652"/>
      <c r="O47" s="652"/>
      <c r="P47" s="555">
        <v>5</v>
      </c>
      <c r="Q47" s="559">
        <v>2085.8823529411775</v>
      </c>
      <c r="R47" s="559">
        <v>417.17647058823547</v>
      </c>
      <c r="S47" s="555">
        <f t="shared" ref="S47:S61" si="33">RANK(R47, R$47:R$61)</f>
        <v>2</v>
      </c>
      <c r="T47" s="661">
        <f t="shared" ref="T47" si="34">AVERAGE(R47:R61)</f>
        <v>239.5802259059322</v>
      </c>
      <c r="U47" s="555">
        <v>5</v>
      </c>
      <c r="V47" s="559">
        <v>2100.0000000000005</v>
      </c>
      <c r="W47" s="559">
        <v>420.00000000000011</v>
      </c>
      <c r="X47" s="555">
        <f t="shared" ref="X47:X61" si="35">RANK(W47, W$47:W$61)</f>
        <v>2</v>
      </c>
      <c r="Y47" s="661">
        <f t="shared" ref="Y47" si="36">AVERAGE(W47:W61)</f>
        <v>239.50712147376299</v>
      </c>
      <c r="Z47" s="555">
        <v>5</v>
      </c>
      <c r="AA47" s="559">
        <v>2119.1489361702129</v>
      </c>
      <c r="AB47" s="559">
        <v>423.82978723404256</v>
      </c>
      <c r="AC47" s="555">
        <f t="shared" ref="AC47:AC61" si="37">RANK(AB47, AB$47:AB$61)</f>
        <v>2</v>
      </c>
      <c r="AD47" s="661">
        <f t="shared" ref="AD47" si="38">AVERAGE(AB47:AB61)</f>
        <v>240.09981027026811</v>
      </c>
      <c r="AE47" s="555">
        <v>5</v>
      </c>
      <c r="AF47" s="559">
        <v>2088.9473684210534</v>
      </c>
      <c r="AG47" s="559">
        <v>417.78947368421069</v>
      </c>
      <c r="AH47" s="555">
        <f t="shared" ref="AH47:AH61" si="39">RANK(AG47, AG$47:AG$61)</f>
        <v>2</v>
      </c>
      <c r="AI47" s="661">
        <f t="shared" ref="AI47" si="40">AVERAGE(AG47:AG61)</f>
        <v>239.36835529048116</v>
      </c>
      <c r="AJ47" s="555">
        <v>5</v>
      </c>
      <c r="AK47" s="559">
        <v>2117.3684210526326</v>
      </c>
      <c r="AL47" s="559">
        <v>423.47368421052653</v>
      </c>
      <c r="AM47" s="555">
        <f t="shared" ref="AM47:AM61" si="41">RANK(AL47, AL$47:AL$61)</f>
        <v>1</v>
      </c>
      <c r="AN47" s="661">
        <f t="shared" ref="AN47" si="42">AVERAGE(AL47:AL61)</f>
        <v>238.32360363421313</v>
      </c>
      <c r="AO47" s="555">
        <v>5</v>
      </c>
      <c r="AP47" s="559">
        <v>2137.894736842105</v>
      </c>
      <c r="AQ47" s="559">
        <v>427.57894736842098</v>
      </c>
      <c r="AR47" s="555">
        <f t="shared" ref="AR47:AR61" si="43">RANK(AQ47, AQ$47:AQ$61)</f>
        <v>1</v>
      </c>
      <c r="AS47" s="661">
        <f t="shared" ref="AS47" si="44">AVERAGE(AQ47:AQ61)</f>
        <v>239.40586130303444</v>
      </c>
      <c r="AT47" s="555">
        <v>5</v>
      </c>
      <c r="AU47" s="559">
        <v>2091.0000000000005</v>
      </c>
      <c r="AV47" s="559">
        <v>418.2000000000001</v>
      </c>
      <c r="AW47" s="555">
        <f t="shared" ref="AW47:AW61" si="45">RANK(AV47, AV$47:AV$61)</f>
        <v>2</v>
      </c>
      <c r="AX47" s="661">
        <f t="shared" ref="AX47" si="46">AVERAGE(AV47:AV61)</f>
        <v>239.71959309668065</v>
      </c>
      <c r="AZ47" s="368" t="e">
        <f t="shared" ref="AZ47:AZ61" si="47">RANK(AY47, AY$47:AY$61)</f>
        <v>#N/A</v>
      </c>
      <c r="BA47" s="661" t="e">
        <f t="shared" ref="BA47" si="48">AVERAGE(AY47:AY61)</f>
        <v>#DIV/0!</v>
      </c>
    </row>
    <row r="48" spans="2:53">
      <c r="B48" s="660"/>
      <c r="C48" s="380">
        <v>2</v>
      </c>
      <c r="D48" s="351" t="s">
        <v>428</v>
      </c>
      <c r="E48" s="510">
        <v>4</v>
      </c>
      <c r="F48" s="510">
        <v>2000</v>
      </c>
      <c r="G48" s="510">
        <v>500</v>
      </c>
      <c r="H48" s="692"/>
      <c r="I48" s="381">
        <f t="shared" si="30"/>
        <v>5</v>
      </c>
      <c r="J48" s="381">
        <f t="shared" si="31"/>
        <v>2105.2406979670409</v>
      </c>
      <c r="K48" s="199">
        <f t="shared" si="32"/>
        <v>421.04813959340811</v>
      </c>
      <c r="L48" s="634"/>
      <c r="M48" s="418">
        <f>RANK(K48, K$47:$K$61)</f>
        <v>2</v>
      </c>
      <c r="N48" s="652"/>
      <c r="O48" s="652"/>
      <c r="P48" s="555">
        <v>5</v>
      </c>
      <c r="Q48" s="559">
        <v>2094.782608695652</v>
      </c>
      <c r="R48" s="559">
        <v>418.95652173913038</v>
      </c>
      <c r="S48" s="555">
        <f t="shared" si="33"/>
        <v>1</v>
      </c>
      <c r="T48" s="662"/>
      <c r="U48" s="555">
        <v>5</v>
      </c>
      <c r="V48" s="559">
        <v>2113.3333333333335</v>
      </c>
      <c r="W48" s="559">
        <v>422.66666666666669</v>
      </c>
      <c r="X48" s="555">
        <f t="shared" si="35"/>
        <v>1</v>
      </c>
      <c r="Y48" s="662"/>
      <c r="Z48" s="555">
        <v>5</v>
      </c>
      <c r="AA48" s="559">
        <v>2120.8695652173915</v>
      </c>
      <c r="AB48" s="559">
        <v>424.17391304347831</v>
      </c>
      <c r="AC48" s="555">
        <f t="shared" si="37"/>
        <v>1</v>
      </c>
      <c r="AD48" s="662"/>
      <c r="AE48" s="555">
        <v>5</v>
      </c>
      <c r="AF48" s="559">
        <v>2112.9729729729738</v>
      </c>
      <c r="AG48" s="559">
        <v>422.59459459459475</v>
      </c>
      <c r="AH48" s="555">
        <f t="shared" si="39"/>
        <v>1</v>
      </c>
      <c r="AI48" s="662"/>
      <c r="AJ48" s="555">
        <v>5</v>
      </c>
      <c r="AK48" s="559">
        <v>2078.9189189189196</v>
      </c>
      <c r="AL48" s="559">
        <v>415.78378378378392</v>
      </c>
      <c r="AM48" s="555">
        <f t="shared" si="41"/>
        <v>2</v>
      </c>
      <c r="AN48" s="662"/>
      <c r="AO48" s="555">
        <v>5</v>
      </c>
      <c r="AP48" s="559">
        <v>2122.3529411764698</v>
      </c>
      <c r="AQ48" s="559">
        <v>424.47058823529397</v>
      </c>
      <c r="AR48" s="555">
        <f t="shared" si="43"/>
        <v>2</v>
      </c>
      <c r="AS48" s="662"/>
      <c r="AT48" s="555">
        <v>5</v>
      </c>
      <c r="AU48" s="559">
        <v>2093.454545454545</v>
      </c>
      <c r="AV48" s="559">
        <v>418.69090909090903</v>
      </c>
      <c r="AW48" s="555">
        <f t="shared" si="45"/>
        <v>1</v>
      </c>
      <c r="AX48" s="662"/>
      <c r="AZ48" s="368" t="e">
        <f t="shared" si="47"/>
        <v>#N/A</v>
      </c>
      <c r="BA48" s="662"/>
    </row>
    <row r="49" spans="2:53">
      <c r="B49" s="660"/>
      <c r="C49" s="380">
        <v>3</v>
      </c>
      <c r="D49" s="351" t="s">
        <v>572</v>
      </c>
      <c r="E49" s="510">
        <v>13</v>
      </c>
      <c r="F49" s="510">
        <v>2250</v>
      </c>
      <c r="G49" s="510">
        <v>173.1</v>
      </c>
      <c r="H49" s="692"/>
      <c r="I49" s="381">
        <f t="shared" si="30"/>
        <v>13</v>
      </c>
      <c r="J49" s="381">
        <f t="shared" si="31"/>
        <v>2121.8205395203508</v>
      </c>
      <c r="K49" s="199">
        <f t="shared" si="32"/>
        <v>163.21696457848853</v>
      </c>
      <c r="L49" s="634"/>
      <c r="M49" s="418">
        <f>RANK(K49, K$47:$K$61)</f>
        <v>7</v>
      </c>
      <c r="N49" s="652"/>
      <c r="O49" s="652"/>
      <c r="P49" s="555">
        <v>13</v>
      </c>
      <c r="Q49" s="559">
        <v>2091.2238805970146</v>
      </c>
      <c r="R49" s="559">
        <v>160.86337543053958</v>
      </c>
      <c r="S49" s="555">
        <f t="shared" si="33"/>
        <v>7</v>
      </c>
      <c r="T49" s="662"/>
      <c r="U49" s="555">
        <v>13</v>
      </c>
      <c r="V49" s="559">
        <v>2137.5</v>
      </c>
      <c r="W49" s="559">
        <v>164.42307692307693</v>
      </c>
      <c r="X49" s="555">
        <f t="shared" si="35"/>
        <v>7</v>
      </c>
      <c r="Y49" s="662"/>
      <c r="Z49" s="555">
        <v>13</v>
      </c>
      <c r="AA49" s="559">
        <v>2104.8837209302333</v>
      </c>
      <c r="AB49" s="559">
        <v>161.91413237924871</v>
      </c>
      <c r="AC49" s="555">
        <f t="shared" si="37"/>
        <v>7</v>
      </c>
      <c r="AD49" s="662"/>
      <c r="AE49" s="555">
        <v>13</v>
      </c>
      <c r="AF49" s="559">
        <v>2162.3999999999996</v>
      </c>
      <c r="AG49" s="559">
        <v>166.3384615384615</v>
      </c>
      <c r="AH49" s="555">
        <f t="shared" si="39"/>
        <v>7</v>
      </c>
      <c r="AI49" s="662"/>
      <c r="AJ49" s="555">
        <v>13</v>
      </c>
      <c r="AK49" s="559">
        <v>2133.75</v>
      </c>
      <c r="AL49" s="559">
        <v>164.13461538461539</v>
      </c>
      <c r="AM49" s="555">
        <f t="shared" si="41"/>
        <v>7</v>
      </c>
      <c r="AN49" s="662"/>
      <c r="AO49" s="555">
        <v>13</v>
      </c>
      <c r="AP49" s="559">
        <v>2096.1290322580639</v>
      </c>
      <c r="AQ49" s="559">
        <v>161.24069478908183</v>
      </c>
      <c r="AR49" s="555">
        <f t="shared" si="43"/>
        <v>7</v>
      </c>
      <c r="AS49" s="662"/>
      <c r="AT49" s="555">
        <v>13</v>
      </c>
      <c r="AU49" s="559">
        <v>2126.8571428571436</v>
      </c>
      <c r="AV49" s="559">
        <v>163.60439560439565</v>
      </c>
      <c r="AW49" s="555">
        <f t="shared" si="45"/>
        <v>7</v>
      </c>
      <c r="AX49" s="662"/>
      <c r="AZ49" s="368" t="e">
        <f t="shared" si="47"/>
        <v>#N/A</v>
      </c>
      <c r="BA49" s="662"/>
    </row>
    <row r="50" spans="2:53">
      <c r="B50" s="660"/>
      <c r="C50" s="380">
        <v>4</v>
      </c>
      <c r="D50" s="351" t="s">
        <v>360</v>
      </c>
      <c r="E50" s="510">
        <v>13</v>
      </c>
      <c r="F50" s="510">
        <v>2250</v>
      </c>
      <c r="G50" s="510">
        <v>173.1</v>
      </c>
      <c r="H50" s="692"/>
      <c r="I50" s="381">
        <f t="shared" si="30"/>
        <v>13</v>
      </c>
      <c r="J50" s="381">
        <f t="shared" si="31"/>
        <v>2201.2257455637673</v>
      </c>
      <c r="K50" s="199">
        <f t="shared" si="32"/>
        <v>169.32505735105903</v>
      </c>
      <c r="L50" s="634"/>
      <c r="M50" s="418">
        <f>RANK(K50, K$47:$K$61)</f>
        <v>6</v>
      </c>
      <c r="N50" s="652"/>
      <c r="O50" s="652"/>
      <c r="P50" s="555">
        <v>13</v>
      </c>
      <c r="Q50" s="559">
        <v>2187.3333333333335</v>
      </c>
      <c r="R50" s="559">
        <v>168.25641025641028</v>
      </c>
      <c r="S50" s="555">
        <f t="shared" si="33"/>
        <v>6</v>
      </c>
      <c r="T50" s="662"/>
      <c r="U50" s="555">
        <v>13</v>
      </c>
      <c r="V50" s="559">
        <v>2196.9767441860463</v>
      </c>
      <c r="W50" s="559">
        <v>168.99821109123434</v>
      </c>
      <c r="X50" s="555">
        <f t="shared" si="35"/>
        <v>6</v>
      </c>
      <c r="Y50" s="662"/>
      <c r="Z50" s="555">
        <v>13</v>
      </c>
      <c r="AA50" s="559">
        <v>2186.0240963855413</v>
      </c>
      <c r="AB50" s="559">
        <v>168.15569972196471</v>
      </c>
      <c r="AC50" s="555">
        <f t="shared" si="37"/>
        <v>6</v>
      </c>
      <c r="AD50" s="662"/>
      <c r="AE50" s="555">
        <v>13</v>
      </c>
      <c r="AF50" s="559">
        <v>2216.6197183098593</v>
      </c>
      <c r="AG50" s="559">
        <v>170.5092091007584</v>
      </c>
      <c r="AH50" s="555">
        <f t="shared" si="39"/>
        <v>6</v>
      </c>
      <c r="AI50" s="662"/>
      <c r="AJ50" s="555">
        <v>13</v>
      </c>
      <c r="AK50" s="559">
        <v>2198.1081081081093</v>
      </c>
      <c r="AL50" s="559">
        <v>169.08523908523918</v>
      </c>
      <c r="AM50" s="555">
        <f t="shared" si="41"/>
        <v>6</v>
      </c>
      <c r="AN50" s="662"/>
      <c r="AO50" s="555">
        <v>13</v>
      </c>
      <c r="AP50" s="559">
        <v>2216.2105263157896</v>
      </c>
      <c r="AQ50" s="559">
        <v>170.47773279352228</v>
      </c>
      <c r="AR50" s="555">
        <f t="shared" si="43"/>
        <v>6</v>
      </c>
      <c r="AS50" s="662"/>
      <c r="AT50" s="555">
        <v>13</v>
      </c>
      <c r="AU50" s="559">
        <v>2207.3076923076915</v>
      </c>
      <c r="AV50" s="559">
        <v>169.79289940828397</v>
      </c>
      <c r="AW50" s="555">
        <f t="shared" si="45"/>
        <v>6</v>
      </c>
      <c r="AX50" s="662"/>
      <c r="AZ50" s="368" t="e">
        <f t="shared" si="47"/>
        <v>#N/A</v>
      </c>
      <c r="BA50" s="662"/>
    </row>
    <row r="51" spans="2:53">
      <c r="B51" s="660"/>
      <c r="C51" s="380">
        <v>5</v>
      </c>
      <c r="D51" s="351" t="s">
        <v>361</v>
      </c>
      <c r="E51" s="510">
        <v>10</v>
      </c>
      <c r="F51" s="510">
        <v>2769</v>
      </c>
      <c r="G51" s="510">
        <v>276.89999999999998</v>
      </c>
      <c r="H51" s="692"/>
      <c r="I51" s="381">
        <f t="shared" si="30"/>
        <v>10</v>
      </c>
      <c r="J51" s="381">
        <f t="shared" si="31"/>
        <v>2415.237439420473</v>
      </c>
      <c r="K51" s="199">
        <f t="shared" si="32"/>
        <v>241.52374394204728</v>
      </c>
      <c r="L51" s="634"/>
      <c r="M51" s="418">
        <f>RANK(K51, K$47:$K$61)</f>
        <v>4</v>
      </c>
      <c r="N51" s="652"/>
      <c r="O51" s="652"/>
      <c r="P51" s="555">
        <v>10</v>
      </c>
      <c r="Q51" s="559">
        <v>2416.2711864406779</v>
      </c>
      <c r="R51" s="559">
        <v>241.62711864406779</v>
      </c>
      <c r="S51" s="555">
        <f t="shared" si="33"/>
        <v>4</v>
      </c>
      <c r="T51" s="662"/>
      <c r="U51" s="555">
        <v>10</v>
      </c>
      <c r="V51" s="559">
        <v>2414.666666666667</v>
      </c>
      <c r="W51" s="559">
        <v>241.4666666666667</v>
      </c>
      <c r="X51" s="555">
        <f t="shared" si="35"/>
        <v>4</v>
      </c>
      <c r="Y51" s="662"/>
      <c r="Z51" s="555">
        <v>10</v>
      </c>
      <c r="AA51" s="559">
        <v>2394.5121951219517</v>
      </c>
      <c r="AB51" s="559">
        <v>239.45121951219517</v>
      </c>
      <c r="AC51" s="555">
        <f t="shared" si="37"/>
        <v>4</v>
      </c>
      <c r="AD51" s="662"/>
      <c r="AE51" s="555">
        <v>10</v>
      </c>
      <c r="AF51" s="559">
        <v>2401.2676056338032</v>
      </c>
      <c r="AG51" s="559">
        <v>240.12676056338032</v>
      </c>
      <c r="AH51" s="555">
        <f t="shared" si="39"/>
        <v>4</v>
      </c>
      <c r="AI51" s="662"/>
      <c r="AJ51" s="555">
        <v>10</v>
      </c>
      <c r="AK51" s="559">
        <v>2430.8982035928148</v>
      </c>
      <c r="AL51" s="559">
        <v>243.08982035928148</v>
      </c>
      <c r="AM51" s="555">
        <f t="shared" si="41"/>
        <v>3</v>
      </c>
      <c r="AN51" s="662"/>
      <c r="AO51" s="555">
        <v>10</v>
      </c>
      <c r="AP51" s="559">
        <v>2429.546218487395</v>
      </c>
      <c r="AQ51" s="559">
        <v>242.95462184873949</v>
      </c>
      <c r="AR51" s="555">
        <f t="shared" si="43"/>
        <v>3</v>
      </c>
      <c r="AS51" s="662"/>
      <c r="AT51" s="555">
        <v>10</v>
      </c>
      <c r="AU51" s="559">
        <v>2419.5</v>
      </c>
      <c r="AV51" s="559">
        <v>241.95</v>
      </c>
      <c r="AW51" s="555">
        <f t="shared" si="45"/>
        <v>4</v>
      </c>
      <c r="AX51" s="662"/>
      <c r="AZ51" s="368" t="e">
        <f t="shared" si="47"/>
        <v>#N/A</v>
      </c>
      <c r="BA51" s="662"/>
    </row>
    <row r="52" spans="2:53">
      <c r="B52" s="660"/>
      <c r="C52" s="380">
        <v>6</v>
      </c>
      <c r="D52" s="351" t="s">
        <v>691</v>
      </c>
      <c r="E52" s="510">
        <v>11</v>
      </c>
      <c r="F52" s="510">
        <v>2250</v>
      </c>
      <c r="G52" s="510">
        <v>204.5</v>
      </c>
      <c r="H52" s="692"/>
      <c r="I52" s="381">
        <f t="shared" si="30"/>
        <v>11</v>
      </c>
      <c r="J52" s="381">
        <f t="shared" si="31"/>
        <v>2109.691876225394</v>
      </c>
      <c r="K52" s="199">
        <f t="shared" si="32"/>
        <v>191.79017056594489</v>
      </c>
      <c r="L52" s="634"/>
      <c r="M52" s="418">
        <f>RANK(K52, K$47:$K$61)</f>
        <v>5</v>
      </c>
      <c r="N52" s="652"/>
      <c r="O52" s="652"/>
      <c r="P52" s="555">
        <v>11</v>
      </c>
      <c r="Q52" s="559">
        <v>2132.4705882352937</v>
      </c>
      <c r="R52" s="559">
        <v>193.86096256684488</v>
      </c>
      <c r="S52" s="555">
        <f t="shared" si="33"/>
        <v>5</v>
      </c>
      <c r="T52" s="662"/>
      <c r="U52" s="555">
        <v>11</v>
      </c>
      <c r="V52" s="559">
        <v>2123.9310344827595</v>
      </c>
      <c r="W52" s="559">
        <v>193.08463949843269</v>
      </c>
      <c r="X52" s="555">
        <f t="shared" si="35"/>
        <v>5</v>
      </c>
      <c r="Y52" s="662"/>
      <c r="Z52" s="555">
        <v>11</v>
      </c>
      <c r="AA52" s="559">
        <v>2112.5783132530114</v>
      </c>
      <c r="AB52" s="559">
        <v>192.05257393209195</v>
      </c>
      <c r="AC52" s="555">
        <f t="shared" si="37"/>
        <v>5</v>
      </c>
      <c r="AD52" s="662"/>
      <c r="AE52" s="555">
        <v>11</v>
      </c>
      <c r="AF52" s="559">
        <v>2138.9577464788727</v>
      </c>
      <c r="AG52" s="559">
        <v>194.45070422535207</v>
      </c>
      <c r="AH52" s="555">
        <f t="shared" si="39"/>
        <v>5</v>
      </c>
      <c r="AI52" s="662"/>
      <c r="AJ52" s="555">
        <v>11</v>
      </c>
      <c r="AK52" s="559">
        <v>2089.2857142857147</v>
      </c>
      <c r="AL52" s="559">
        <v>189.93506493506496</v>
      </c>
      <c r="AM52" s="555">
        <f t="shared" si="41"/>
        <v>5</v>
      </c>
      <c r="AN52" s="662"/>
      <c r="AO52" s="555">
        <v>11</v>
      </c>
      <c r="AP52" s="559">
        <v>2075.4947368421049</v>
      </c>
      <c r="AQ52" s="559">
        <v>188.68133971291863</v>
      </c>
      <c r="AR52" s="555">
        <f t="shared" si="43"/>
        <v>5</v>
      </c>
      <c r="AS52" s="662"/>
      <c r="AT52" s="555">
        <v>11</v>
      </c>
      <c r="AU52" s="559">
        <v>2095.1249999999995</v>
      </c>
      <c r="AV52" s="559">
        <v>190.46590909090904</v>
      </c>
      <c r="AW52" s="555">
        <f t="shared" si="45"/>
        <v>5</v>
      </c>
      <c r="AX52" s="662"/>
      <c r="AZ52" s="368" t="e">
        <f t="shared" si="47"/>
        <v>#N/A</v>
      </c>
      <c r="BA52" s="662"/>
    </row>
    <row r="53" spans="2:53">
      <c r="B53" s="660"/>
      <c r="C53" s="380">
        <v>7</v>
      </c>
      <c r="D53" s="351" t="s">
        <v>357</v>
      </c>
      <c r="E53" s="510">
        <v>18</v>
      </c>
      <c r="F53" s="510">
        <v>1200</v>
      </c>
      <c r="G53" s="510">
        <v>66.666666666666671</v>
      </c>
      <c r="H53" s="692"/>
      <c r="I53" s="381">
        <f t="shared" si="30"/>
        <v>18.428571428571427</v>
      </c>
      <c r="J53" s="381">
        <f t="shared" si="31"/>
        <v>1150.8537750488231</v>
      </c>
      <c r="K53" s="199">
        <f t="shared" si="32"/>
        <v>62.434304161286484</v>
      </c>
      <c r="L53" s="634"/>
      <c r="M53" s="418">
        <f>RANK(K53, K$47:$K$61)</f>
        <v>8</v>
      </c>
      <c r="N53" s="652"/>
      <c r="O53" s="652"/>
      <c r="P53" s="555">
        <v>19</v>
      </c>
      <c r="Q53" s="559">
        <v>1203.2608695652175</v>
      </c>
      <c r="R53" s="559">
        <v>63.329519450800923</v>
      </c>
      <c r="S53" s="555">
        <f t="shared" si="33"/>
        <v>8</v>
      </c>
      <c r="T53" s="662"/>
      <c r="U53" s="555">
        <v>19</v>
      </c>
      <c r="V53" s="559">
        <v>1202.2222222222219</v>
      </c>
      <c r="W53" s="559">
        <v>63.274853801169577</v>
      </c>
      <c r="X53" s="555">
        <f t="shared" si="35"/>
        <v>8</v>
      </c>
      <c r="Y53" s="662"/>
      <c r="Z53" s="555">
        <v>19</v>
      </c>
      <c r="AA53" s="559">
        <v>1190.3448275862067</v>
      </c>
      <c r="AB53" s="559">
        <v>62.64972776769509</v>
      </c>
      <c r="AC53" s="555">
        <f t="shared" si="37"/>
        <v>8</v>
      </c>
      <c r="AD53" s="662"/>
      <c r="AE53" s="555">
        <v>18</v>
      </c>
      <c r="AF53" s="559">
        <v>1102.1917808219171</v>
      </c>
      <c r="AG53" s="559">
        <v>61.232876712328725</v>
      </c>
      <c r="AH53" s="555">
        <f t="shared" si="39"/>
        <v>8</v>
      </c>
      <c r="AI53" s="662"/>
      <c r="AJ53" s="555">
        <v>18</v>
      </c>
      <c r="AK53" s="559">
        <v>1121.5999999999992</v>
      </c>
      <c r="AL53" s="559">
        <v>62.311111111111067</v>
      </c>
      <c r="AM53" s="555">
        <f t="shared" si="41"/>
        <v>8</v>
      </c>
      <c r="AN53" s="662"/>
      <c r="AO53" s="555">
        <v>18</v>
      </c>
      <c r="AP53" s="559">
        <v>1112.7777777777783</v>
      </c>
      <c r="AQ53" s="559">
        <v>61.820987654321016</v>
      </c>
      <c r="AR53" s="555">
        <f t="shared" si="43"/>
        <v>8</v>
      </c>
      <c r="AS53" s="662"/>
      <c r="AT53" s="555">
        <v>18</v>
      </c>
      <c r="AU53" s="559">
        <v>1123.5789473684213</v>
      </c>
      <c r="AV53" s="559">
        <v>62.421052631578959</v>
      </c>
      <c r="AW53" s="555">
        <f t="shared" si="45"/>
        <v>8</v>
      </c>
      <c r="AX53" s="662"/>
      <c r="AZ53" s="368" t="e">
        <f t="shared" si="47"/>
        <v>#N/A</v>
      </c>
      <c r="BA53" s="662"/>
    </row>
    <row r="54" spans="2:53">
      <c r="B54" s="660"/>
      <c r="C54" s="380">
        <v>8</v>
      </c>
      <c r="D54" s="351" t="s">
        <v>704</v>
      </c>
      <c r="E54" s="510">
        <v>7</v>
      </c>
      <c r="F54" s="510">
        <v>2200</v>
      </c>
      <c r="G54" s="510">
        <v>314.28571428571428</v>
      </c>
      <c r="H54" s="692"/>
      <c r="I54" s="381">
        <f t="shared" si="30"/>
        <v>7</v>
      </c>
      <c r="J54" s="381">
        <f t="shared" si="31"/>
        <v>1714.6195433639043</v>
      </c>
      <c r="K54" s="199">
        <f t="shared" si="32"/>
        <v>244.94564905198632</v>
      </c>
      <c r="L54" s="634"/>
      <c r="M54" s="418">
        <f>RANK(K54, K$47:$K$61)</f>
        <v>3</v>
      </c>
      <c r="N54" s="652"/>
      <c r="O54" s="652"/>
      <c r="P54" s="555">
        <v>7</v>
      </c>
      <c r="Q54" s="559">
        <v>1767.9999999999968</v>
      </c>
      <c r="R54" s="559">
        <v>252.57142857142813</v>
      </c>
      <c r="S54" s="555">
        <f t="shared" si="33"/>
        <v>3</v>
      </c>
      <c r="T54" s="662"/>
      <c r="U54" s="555">
        <v>7</v>
      </c>
      <c r="V54" s="559">
        <v>1694.9999999999977</v>
      </c>
      <c r="W54" s="559">
        <v>242.14285714285683</v>
      </c>
      <c r="X54" s="555">
        <f t="shared" si="35"/>
        <v>3</v>
      </c>
      <c r="Y54" s="662"/>
      <c r="Z54" s="555">
        <v>7</v>
      </c>
      <c r="AA54" s="559">
        <v>1739.9999999999977</v>
      </c>
      <c r="AB54" s="559">
        <v>248.57142857142824</v>
      </c>
      <c r="AC54" s="555">
        <f t="shared" si="37"/>
        <v>3</v>
      </c>
      <c r="AD54" s="662"/>
      <c r="AE54" s="555">
        <v>7</v>
      </c>
      <c r="AF54" s="559">
        <v>1693.3333333333392</v>
      </c>
      <c r="AG54" s="559">
        <v>241.90476190476275</v>
      </c>
      <c r="AH54" s="555">
        <f t="shared" si="39"/>
        <v>3</v>
      </c>
      <c r="AI54" s="662"/>
      <c r="AJ54" s="555">
        <v>7</v>
      </c>
      <c r="AK54" s="559">
        <v>1671.4285714285775</v>
      </c>
      <c r="AL54" s="559">
        <v>238.77551020408251</v>
      </c>
      <c r="AM54" s="555">
        <f t="shared" si="41"/>
        <v>4</v>
      </c>
      <c r="AN54" s="662"/>
      <c r="AO54" s="555">
        <v>7</v>
      </c>
      <c r="AP54" s="559">
        <v>1666.1538461538416</v>
      </c>
      <c r="AQ54" s="559">
        <v>238.02197802197739</v>
      </c>
      <c r="AR54" s="555">
        <f t="shared" si="43"/>
        <v>4</v>
      </c>
      <c r="AS54" s="662"/>
      <c r="AT54" s="555">
        <v>7</v>
      </c>
      <c r="AU54" s="559">
        <v>1768.4210526315776</v>
      </c>
      <c r="AV54" s="559">
        <v>252.63157894736824</v>
      </c>
      <c r="AW54" s="555">
        <f t="shared" si="45"/>
        <v>3</v>
      </c>
      <c r="AX54" s="662"/>
      <c r="AZ54" s="368" t="e">
        <f t="shared" si="47"/>
        <v>#N/A</v>
      </c>
      <c r="BA54" s="662"/>
    </row>
    <row r="55" spans="2:53">
      <c r="B55" s="660"/>
      <c r="C55" s="380">
        <v>9</v>
      </c>
      <c r="D55" s="351"/>
      <c r="E55" s="510"/>
      <c r="F55" s="510"/>
      <c r="G55" s="510"/>
      <c r="H55" s="692"/>
      <c r="I55" s="381" t="str">
        <f t="shared" si="30"/>
        <v>-</v>
      </c>
      <c r="J55" s="381" t="str">
        <f t="shared" si="31"/>
        <v>-</v>
      </c>
      <c r="K55" s="199" t="str">
        <f t="shared" si="32"/>
        <v>-</v>
      </c>
      <c r="L55" s="634"/>
      <c r="M55" s="418" t="e">
        <f>RANK(K55, K$47:$K$61)</f>
        <v>#VALUE!</v>
      </c>
      <c r="N55" s="652"/>
      <c r="O55" s="652"/>
      <c r="P55" s="555" t="s">
        <v>585</v>
      </c>
      <c r="Q55" s="559" t="s">
        <v>585</v>
      </c>
      <c r="R55" s="559" t="s">
        <v>585</v>
      </c>
      <c r="S55" s="555" t="e">
        <f t="shared" si="33"/>
        <v>#VALUE!</v>
      </c>
      <c r="T55" s="662"/>
      <c r="U55" s="555" t="s">
        <v>585</v>
      </c>
      <c r="V55" s="559" t="s">
        <v>585</v>
      </c>
      <c r="W55" s="559" t="s">
        <v>585</v>
      </c>
      <c r="X55" s="555" t="e">
        <f t="shared" si="35"/>
        <v>#VALUE!</v>
      </c>
      <c r="Y55" s="662"/>
      <c r="Z55" s="555" t="s">
        <v>585</v>
      </c>
      <c r="AA55" s="559" t="s">
        <v>585</v>
      </c>
      <c r="AB55" s="559" t="s">
        <v>585</v>
      </c>
      <c r="AC55" s="555" t="e">
        <f t="shared" si="37"/>
        <v>#VALUE!</v>
      </c>
      <c r="AD55" s="662"/>
      <c r="AE55" s="555" t="s">
        <v>585</v>
      </c>
      <c r="AF55" s="559" t="s">
        <v>585</v>
      </c>
      <c r="AG55" s="559" t="s">
        <v>585</v>
      </c>
      <c r="AH55" s="555" t="e">
        <f t="shared" si="39"/>
        <v>#VALUE!</v>
      </c>
      <c r="AI55" s="662"/>
      <c r="AJ55" s="555" t="s">
        <v>585</v>
      </c>
      <c r="AK55" s="559" t="s">
        <v>585</v>
      </c>
      <c r="AL55" s="559" t="s">
        <v>585</v>
      </c>
      <c r="AM55" s="555" t="e">
        <f t="shared" si="41"/>
        <v>#VALUE!</v>
      </c>
      <c r="AN55" s="662"/>
      <c r="AO55" s="555" t="s">
        <v>585</v>
      </c>
      <c r="AP55" s="559" t="s">
        <v>585</v>
      </c>
      <c r="AQ55" s="559" t="s">
        <v>585</v>
      </c>
      <c r="AR55" s="555" t="e">
        <f t="shared" si="43"/>
        <v>#VALUE!</v>
      </c>
      <c r="AS55" s="662"/>
      <c r="AT55" s="555" t="s">
        <v>585</v>
      </c>
      <c r="AU55" s="559" t="s">
        <v>585</v>
      </c>
      <c r="AV55" s="559" t="s">
        <v>585</v>
      </c>
      <c r="AW55" s="555" t="e">
        <f t="shared" si="45"/>
        <v>#VALUE!</v>
      </c>
      <c r="AX55" s="662"/>
      <c r="AZ55" s="368" t="e">
        <f t="shared" si="47"/>
        <v>#N/A</v>
      </c>
      <c r="BA55" s="662"/>
    </row>
    <row r="56" spans="2:53">
      <c r="B56" s="660"/>
      <c r="C56" s="380">
        <v>10</v>
      </c>
      <c r="D56" s="351"/>
      <c r="E56" s="510"/>
      <c r="F56" s="510"/>
      <c r="G56" s="510"/>
      <c r="H56" s="692"/>
      <c r="I56" s="381" t="str">
        <f t="shared" si="30"/>
        <v>-</v>
      </c>
      <c r="J56" s="381" t="str">
        <f t="shared" si="31"/>
        <v>-</v>
      </c>
      <c r="K56" s="199" t="str">
        <f t="shared" si="32"/>
        <v>-</v>
      </c>
      <c r="L56" s="634"/>
      <c r="M56" s="418" t="e">
        <f>RANK(K56, K$47:$K$61)</f>
        <v>#VALUE!</v>
      </c>
      <c r="N56" s="652"/>
      <c r="O56" s="652"/>
      <c r="P56" s="555" t="s">
        <v>585</v>
      </c>
      <c r="Q56" s="559" t="s">
        <v>585</v>
      </c>
      <c r="R56" s="559" t="s">
        <v>585</v>
      </c>
      <c r="S56" s="555" t="e">
        <f t="shared" si="33"/>
        <v>#VALUE!</v>
      </c>
      <c r="T56" s="662"/>
      <c r="U56" s="555" t="s">
        <v>585</v>
      </c>
      <c r="V56" s="559" t="s">
        <v>585</v>
      </c>
      <c r="W56" s="559" t="s">
        <v>585</v>
      </c>
      <c r="X56" s="555" t="e">
        <f t="shared" si="35"/>
        <v>#VALUE!</v>
      </c>
      <c r="Y56" s="662"/>
      <c r="Z56" s="555" t="s">
        <v>585</v>
      </c>
      <c r="AA56" s="559" t="s">
        <v>585</v>
      </c>
      <c r="AB56" s="559" t="s">
        <v>585</v>
      </c>
      <c r="AC56" s="555" t="e">
        <f t="shared" si="37"/>
        <v>#VALUE!</v>
      </c>
      <c r="AD56" s="662"/>
      <c r="AE56" s="555" t="s">
        <v>585</v>
      </c>
      <c r="AF56" s="559" t="s">
        <v>585</v>
      </c>
      <c r="AG56" s="559" t="s">
        <v>585</v>
      </c>
      <c r="AH56" s="555" t="e">
        <f t="shared" si="39"/>
        <v>#VALUE!</v>
      </c>
      <c r="AI56" s="662"/>
      <c r="AJ56" s="555" t="s">
        <v>585</v>
      </c>
      <c r="AK56" s="559" t="s">
        <v>585</v>
      </c>
      <c r="AL56" s="559" t="s">
        <v>585</v>
      </c>
      <c r="AM56" s="555" t="e">
        <f t="shared" si="41"/>
        <v>#VALUE!</v>
      </c>
      <c r="AN56" s="662"/>
      <c r="AO56" s="555" t="s">
        <v>585</v>
      </c>
      <c r="AP56" s="559" t="s">
        <v>585</v>
      </c>
      <c r="AQ56" s="559" t="s">
        <v>585</v>
      </c>
      <c r="AR56" s="555" t="e">
        <f t="shared" si="43"/>
        <v>#VALUE!</v>
      </c>
      <c r="AS56" s="662"/>
      <c r="AT56" s="555" t="s">
        <v>585</v>
      </c>
      <c r="AU56" s="559" t="s">
        <v>585</v>
      </c>
      <c r="AV56" s="559" t="s">
        <v>585</v>
      </c>
      <c r="AW56" s="555" t="e">
        <f t="shared" si="45"/>
        <v>#VALUE!</v>
      </c>
      <c r="AX56" s="662"/>
      <c r="AZ56" s="368" t="e">
        <f t="shared" si="47"/>
        <v>#N/A</v>
      </c>
      <c r="BA56" s="662"/>
    </row>
    <row r="57" spans="2:53">
      <c r="B57" s="660"/>
      <c r="C57" s="380">
        <v>11</v>
      </c>
      <c r="D57" s="351"/>
      <c r="E57" s="510"/>
      <c r="F57" s="510"/>
      <c r="G57" s="510"/>
      <c r="H57" s="692"/>
      <c r="I57" s="381" t="str">
        <f t="shared" si="30"/>
        <v>-</v>
      </c>
      <c r="J57" s="381" t="str">
        <f t="shared" si="31"/>
        <v>-</v>
      </c>
      <c r="K57" s="199" t="str">
        <f t="shared" si="32"/>
        <v>-</v>
      </c>
      <c r="L57" s="634"/>
      <c r="M57" s="418" t="e">
        <f>RANK(K57, K$47:$K$61)</f>
        <v>#VALUE!</v>
      </c>
      <c r="N57" s="652"/>
      <c r="O57" s="652"/>
      <c r="P57" s="555" t="s">
        <v>585</v>
      </c>
      <c r="Q57" s="559" t="s">
        <v>585</v>
      </c>
      <c r="R57" s="559" t="s">
        <v>585</v>
      </c>
      <c r="S57" s="555" t="e">
        <f t="shared" si="33"/>
        <v>#VALUE!</v>
      </c>
      <c r="T57" s="662"/>
      <c r="U57" s="555" t="s">
        <v>585</v>
      </c>
      <c r="V57" s="559" t="s">
        <v>585</v>
      </c>
      <c r="W57" s="559" t="s">
        <v>585</v>
      </c>
      <c r="X57" s="555" t="e">
        <f t="shared" si="35"/>
        <v>#VALUE!</v>
      </c>
      <c r="Y57" s="662"/>
      <c r="Z57" s="555" t="s">
        <v>585</v>
      </c>
      <c r="AA57" s="559" t="s">
        <v>585</v>
      </c>
      <c r="AB57" s="559" t="s">
        <v>585</v>
      </c>
      <c r="AC57" s="555" t="e">
        <f t="shared" si="37"/>
        <v>#VALUE!</v>
      </c>
      <c r="AD57" s="662"/>
      <c r="AE57" s="555" t="s">
        <v>585</v>
      </c>
      <c r="AF57" s="559" t="s">
        <v>585</v>
      </c>
      <c r="AG57" s="559" t="s">
        <v>585</v>
      </c>
      <c r="AH57" s="555" t="e">
        <f t="shared" si="39"/>
        <v>#VALUE!</v>
      </c>
      <c r="AI57" s="662"/>
      <c r="AJ57" s="555" t="s">
        <v>585</v>
      </c>
      <c r="AK57" s="559" t="s">
        <v>585</v>
      </c>
      <c r="AL57" s="559" t="s">
        <v>585</v>
      </c>
      <c r="AM57" s="555" t="e">
        <f t="shared" si="41"/>
        <v>#VALUE!</v>
      </c>
      <c r="AN57" s="662"/>
      <c r="AO57" s="555" t="s">
        <v>585</v>
      </c>
      <c r="AP57" s="559" t="s">
        <v>585</v>
      </c>
      <c r="AQ57" s="559" t="s">
        <v>585</v>
      </c>
      <c r="AR57" s="555" t="e">
        <f t="shared" si="43"/>
        <v>#VALUE!</v>
      </c>
      <c r="AS57" s="662"/>
      <c r="AT57" s="555" t="s">
        <v>585</v>
      </c>
      <c r="AU57" s="559" t="s">
        <v>585</v>
      </c>
      <c r="AV57" s="559" t="s">
        <v>585</v>
      </c>
      <c r="AW57" s="555" t="e">
        <f t="shared" si="45"/>
        <v>#VALUE!</v>
      </c>
      <c r="AX57" s="662"/>
      <c r="AZ57" s="368" t="e">
        <f t="shared" si="47"/>
        <v>#N/A</v>
      </c>
      <c r="BA57" s="662"/>
    </row>
    <row r="58" spans="2:53">
      <c r="B58" s="660"/>
      <c r="C58" s="380">
        <v>12</v>
      </c>
      <c r="D58" s="351"/>
      <c r="E58" s="510"/>
      <c r="F58" s="510"/>
      <c r="G58" s="510"/>
      <c r="H58" s="692"/>
      <c r="I58" s="381" t="str">
        <f t="shared" si="30"/>
        <v>-</v>
      </c>
      <c r="J58" s="381" t="str">
        <f t="shared" si="31"/>
        <v>-</v>
      </c>
      <c r="K58" s="199" t="str">
        <f t="shared" si="32"/>
        <v>-</v>
      </c>
      <c r="L58" s="634"/>
      <c r="M58" s="418" t="e">
        <f>RANK(K58, K$47:$K$61)</f>
        <v>#VALUE!</v>
      </c>
      <c r="N58" s="652"/>
      <c r="O58" s="652"/>
      <c r="P58" s="555" t="s">
        <v>585</v>
      </c>
      <c r="Q58" s="559" t="s">
        <v>585</v>
      </c>
      <c r="R58" s="559" t="s">
        <v>585</v>
      </c>
      <c r="S58" s="555" t="e">
        <f t="shared" si="33"/>
        <v>#VALUE!</v>
      </c>
      <c r="T58" s="662"/>
      <c r="U58" s="555" t="s">
        <v>585</v>
      </c>
      <c r="V58" s="559" t="s">
        <v>585</v>
      </c>
      <c r="W58" s="559" t="s">
        <v>585</v>
      </c>
      <c r="X58" s="555" t="e">
        <f t="shared" si="35"/>
        <v>#VALUE!</v>
      </c>
      <c r="Y58" s="662"/>
      <c r="Z58" s="555" t="s">
        <v>585</v>
      </c>
      <c r="AA58" s="559" t="s">
        <v>585</v>
      </c>
      <c r="AB58" s="559" t="s">
        <v>585</v>
      </c>
      <c r="AC58" s="555" t="e">
        <f t="shared" si="37"/>
        <v>#VALUE!</v>
      </c>
      <c r="AD58" s="662"/>
      <c r="AE58" s="555" t="s">
        <v>585</v>
      </c>
      <c r="AF58" s="559" t="s">
        <v>585</v>
      </c>
      <c r="AG58" s="559" t="s">
        <v>585</v>
      </c>
      <c r="AH58" s="555" t="e">
        <f t="shared" si="39"/>
        <v>#VALUE!</v>
      </c>
      <c r="AI58" s="662"/>
      <c r="AJ58" s="555" t="s">
        <v>585</v>
      </c>
      <c r="AK58" s="559" t="s">
        <v>585</v>
      </c>
      <c r="AL58" s="559" t="s">
        <v>585</v>
      </c>
      <c r="AM58" s="555" t="e">
        <f t="shared" si="41"/>
        <v>#VALUE!</v>
      </c>
      <c r="AN58" s="662"/>
      <c r="AO58" s="555" t="s">
        <v>585</v>
      </c>
      <c r="AP58" s="559" t="s">
        <v>585</v>
      </c>
      <c r="AQ58" s="559" t="s">
        <v>585</v>
      </c>
      <c r="AR58" s="555" t="e">
        <f t="shared" si="43"/>
        <v>#VALUE!</v>
      </c>
      <c r="AS58" s="662"/>
      <c r="AT58" s="555" t="s">
        <v>585</v>
      </c>
      <c r="AU58" s="559" t="s">
        <v>585</v>
      </c>
      <c r="AV58" s="559" t="s">
        <v>585</v>
      </c>
      <c r="AW58" s="555" t="e">
        <f t="shared" si="45"/>
        <v>#VALUE!</v>
      </c>
      <c r="AX58" s="662"/>
      <c r="AZ58" s="368" t="e">
        <f t="shared" si="47"/>
        <v>#N/A</v>
      </c>
      <c r="BA58" s="662"/>
    </row>
    <row r="59" spans="2:53">
      <c r="B59" s="660"/>
      <c r="C59" s="380">
        <v>13</v>
      </c>
      <c r="D59" s="351"/>
      <c r="E59" s="510"/>
      <c r="F59" s="510"/>
      <c r="G59" s="510"/>
      <c r="H59" s="692"/>
      <c r="I59" s="381" t="str">
        <f t="shared" si="30"/>
        <v>-</v>
      </c>
      <c r="J59" s="381" t="str">
        <f t="shared" si="31"/>
        <v>-</v>
      </c>
      <c r="K59" s="199" t="str">
        <f t="shared" si="32"/>
        <v>-</v>
      </c>
      <c r="L59" s="634"/>
      <c r="M59" s="418" t="e">
        <f>RANK(K59, K$47:$K$61)</f>
        <v>#VALUE!</v>
      </c>
      <c r="N59" s="652"/>
      <c r="O59" s="652"/>
      <c r="P59" s="555" t="s">
        <v>585</v>
      </c>
      <c r="Q59" s="559" t="s">
        <v>585</v>
      </c>
      <c r="R59" s="559" t="s">
        <v>585</v>
      </c>
      <c r="S59" s="555" t="e">
        <f t="shared" si="33"/>
        <v>#VALUE!</v>
      </c>
      <c r="T59" s="662"/>
      <c r="U59" s="555" t="s">
        <v>585</v>
      </c>
      <c r="V59" s="559" t="s">
        <v>585</v>
      </c>
      <c r="W59" s="559" t="s">
        <v>585</v>
      </c>
      <c r="X59" s="555" t="e">
        <f t="shared" si="35"/>
        <v>#VALUE!</v>
      </c>
      <c r="Y59" s="662"/>
      <c r="Z59" s="555" t="s">
        <v>585</v>
      </c>
      <c r="AA59" s="559" t="s">
        <v>585</v>
      </c>
      <c r="AB59" s="559" t="s">
        <v>585</v>
      </c>
      <c r="AC59" s="555" t="e">
        <f t="shared" si="37"/>
        <v>#VALUE!</v>
      </c>
      <c r="AD59" s="662"/>
      <c r="AE59" s="555" t="s">
        <v>585</v>
      </c>
      <c r="AF59" s="559" t="s">
        <v>585</v>
      </c>
      <c r="AG59" s="559" t="s">
        <v>585</v>
      </c>
      <c r="AH59" s="555" t="e">
        <f t="shared" si="39"/>
        <v>#VALUE!</v>
      </c>
      <c r="AI59" s="662"/>
      <c r="AJ59" s="555" t="s">
        <v>585</v>
      </c>
      <c r="AK59" s="559" t="s">
        <v>585</v>
      </c>
      <c r="AL59" s="559" t="s">
        <v>585</v>
      </c>
      <c r="AM59" s="555" t="e">
        <f t="shared" si="41"/>
        <v>#VALUE!</v>
      </c>
      <c r="AN59" s="662"/>
      <c r="AO59" s="555" t="s">
        <v>585</v>
      </c>
      <c r="AP59" s="559" t="s">
        <v>585</v>
      </c>
      <c r="AQ59" s="559" t="s">
        <v>585</v>
      </c>
      <c r="AR59" s="555" t="e">
        <f t="shared" si="43"/>
        <v>#VALUE!</v>
      </c>
      <c r="AS59" s="662"/>
      <c r="AT59" s="555" t="s">
        <v>585</v>
      </c>
      <c r="AU59" s="559" t="s">
        <v>585</v>
      </c>
      <c r="AV59" s="559" t="s">
        <v>585</v>
      </c>
      <c r="AW59" s="555" t="e">
        <f t="shared" si="45"/>
        <v>#VALUE!</v>
      </c>
      <c r="AX59" s="662"/>
      <c r="AZ59" s="368" t="e">
        <f t="shared" si="47"/>
        <v>#N/A</v>
      </c>
      <c r="BA59" s="662"/>
    </row>
    <row r="60" spans="2:53">
      <c r="B60" s="660"/>
      <c r="C60" s="380">
        <v>14</v>
      </c>
      <c r="D60" s="351"/>
      <c r="E60" s="510"/>
      <c r="F60" s="510"/>
      <c r="G60" s="510"/>
      <c r="H60" s="692"/>
      <c r="I60" s="381" t="str">
        <f t="shared" si="30"/>
        <v>-</v>
      </c>
      <c r="J60" s="381" t="str">
        <f t="shared" si="31"/>
        <v>-</v>
      </c>
      <c r="K60" s="199" t="str">
        <f t="shared" si="32"/>
        <v>-</v>
      </c>
      <c r="L60" s="634"/>
      <c r="M60" s="418" t="e">
        <f>RANK(K60, K$47:$K$61)</f>
        <v>#VALUE!</v>
      </c>
      <c r="N60" s="652"/>
      <c r="O60" s="652"/>
      <c r="P60" s="555" t="s">
        <v>585</v>
      </c>
      <c r="Q60" s="559" t="s">
        <v>585</v>
      </c>
      <c r="R60" s="559" t="s">
        <v>585</v>
      </c>
      <c r="S60" s="555" t="e">
        <f t="shared" si="33"/>
        <v>#VALUE!</v>
      </c>
      <c r="T60" s="662"/>
      <c r="U60" s="555" t="s">
        <v>585</v>
      </c>
      <c r="V60" s="559" t="s">
        <v>585</v>
      </c>
      <c r="W60" s="559" t="s">
        <v>585</v>
      </c>
      <c r="X60" s="555" t="e">
        <f t="shared" si="35"/>
        <v>#VALUE!</v>
      </c>
      <c r="Y60" s="662"/>
      <c r="Z60" s="555" t="s">
        <v>585</v>
      </c>
      <c r="AA60" s="559" t="s">
        <v>585</v>
      </c>
      <c r="AB60" s="559" t="s">
        <v>585</v>
      </c>
      <c r="AC60" s="555" t="e">
        <f t="shared" si="37"/>
        <v>#VALUE!</v>
      </c>
      <c r="AD60" s="662"/>
      <c r="AE60" s="555" t="s">
        <v>585</v>
      </c>
      <c r="AF60" s="559" t="s">
        <v>585</v>
      </c>
      <c r="AG60" s="559" t="s">
        <v>585</v>
      </c>
      <c r="AH60" s="555" t="e">
        <f t="shared" si="39"/>
        <v>#VALUE!</v>
      </c>
      <c r="AI60" s="662"/>
      <c r="AJ60" s="555" t="s">
        <v>585</v>
      </c>
      <c r="AK60" s="559" t="s">
        <v>585</v>
      </c>
      <c r="AL60" s="559" t="s">
        <v>585</v>
      </c>
      <c r="AM60" s="555" t="e">
        <f t="shared" si="41"/>
        <v>#VALUE!</v>
      </c>
      <c r="AN60" s="662"/>
      <c r="AO60" s="555" t="s">
        <v>585</v>
      </c>
      <c r="AP60" s="559" t="s">
        <v>585</v>
      </c>
      <c r="AQ60" s="559" t="s">
        <v>585</v>
      </c>
      <c r="AR60" s="555" t="e">
        <f t="shared" si="43"/>
        <v>#VALUE!</v>
      </c>
      <c r="AS60" s="662"/>
      <c r="AT60" s="555" t="s">
        <v>585</v>
      </c>
      <c r="AU60" s="559" t="s">
        <v>585</v>
      </c>
      <c r="AV60" s="559" t="s">
        <v>585</v>
      </c>
      <c r="AW60" s="555" t="e">
        <f t="shared" si="45"/>
        <v>#VALUE!</v>
      </c>
      <c r="AX60" s="662"/>
      <c r="AZ60" s="368" t="e">
        <f t="shared" si="47"/>
        <v>#N/A</v>
      </c>
      <c r="BA60" s="662"/>
    </row>
    <row r="61" spans="2:53">
      <c r="B61" s="660"/>
      <c r="C61" s="380">
        <v>15</v>
      </c>
      <c r="D61" s="351"/>
      <c r="E61" s="510"/>
      <c r="F61" s="510"/>
      <c r="G61" s="510"/>
      <c r="H61" s="696"/>
      <c r="I61" s="384"/>
      <c r="J61" s="384"/>
      <c r="K61" s="382"/>
      <c r="L61" s="635"/>
      <c r="M61" s="418" t="e">
        <f>RANK(K61, K$47:$K$61)</f>
        <v>#N/A</v>
      </c>
      <c r="N61" s="652"/>
      <c r="O61" s="652"/>
      <c r="P61" s="555" t="s">
        <v>585</v>
      </c>
      <c r="Q61" s="559" t="s">
        <v>585</v>
      </c>
      <c r="R61" s="559" t="s">
        <v>585</v>
      </c>
      <c r="S61" s="555" t="e">
        <f t="shared" si="33"/>
        <v>#VALUE!</v>
      </c>
      <c r="T61" s="663"/>
      <c r="U61" s="555" t="s">
        <v>585</v>
      </c>
      <c r="V61" s="559" t="s">
        <v>585</v>
      </c>
      <c r="W61" s="559" t="s">
        <v>585</v>
      </c>
      <c r="X61" s="555" t="e">
        <f t="shared" si="35"/>
        <v>#VALUE!</v>
      </c>
      <c r="Y61" s="663"/>
      <c r="Z61" s="555" t="s">
        <v>585</v>
      </c>
      <c r="AA61" s="559" t="s">
        <v>585</v>
      </c>
      <c r="AB61" s="559" t="s">
        <v>585</v>
      </c>
      <c r="AC61" s="555" t="e">
        <f t="shared" si="37"/>
        <v>#VALUE!</v>
      </c>
      <c r="AD61" s="663"/>
      <c r="AE61" s="555" t="s">
        <v>585</v>
      </c>
      <c r="AF61" s="559" t="s">
        <v>585</v>
      </c>
      <c r="AG61" s="559" t="s">
        <v>585</v>
      </c>
      <c r="AH61" s="555" t="e">
        <f t="shared" si="39"/>
        <v>#VALUE!</v>
      </c>
      <c r="AI61" s="663"/>
      <c r="AJ61" s="555" t="s">
        <v>585</v>
      </c>
      <c r="AK61" s="559" t="s">
        <v>585</v>
      </c>
      <c r="AL61" s="559" t="s">
        <v>585</v>
      </c>
      <c r="AM61" s="555" t="e">
        <f t="shared" si="41"/>
        <v>#VALUE!</v>
      </c>
      <c r="AN61" s="663"/>
      <c r="AO61" s="555" t="s">
        <v>585</v>
      </c>
      <c r="AP61" s="559" t="s">
        <v>585</v>
      </c>
      <c r="AQ61" s="559" t="s">
        <v>585</v>
      </c>
      <c r="AR61" s="555" t="e">
        <f t="shared" si="43"/>
        <v>#VALUE!</v>
      </c>
      <c r="AS61" s="663"/>
      <c r="AT61" s="555" t="s">
        <v>585</v>
      </c>
      <c r="AU61" s="559" t="s">
        <v>585</v>
      </c>
      <c r="AV61" s="559" t="s">
        <v>585</v>
      </c>
      <c r="AW61" s="555" t="e">
        <f t="shared" si="45"/>
        <v>#VALUE!</v>
      </c>
      <c r="AX61" s="663"/>
      <c r="AZ61" s="368" t="e">
        <f t="shared" si="47"/>
        <v>#N/A</v>
      </c>
      <c r="BA61" s="663"/>
    </row>
    <row r="62" spans="2:53" ht="15.75">
      <c r="B62" s="664" t="s">
        <v>162</v>
      </c>
      <c r="C62" s="665"/>
      <c r="D62" s="665"/>
      <c r="E62" s="665"/>
      <c r="F62" s="665"/>
      <c r="G62" s="665"/>
      <c r="H62" s="666"/>
      <c r="I62" s="207"/>
      <c r="J62" s="207"/>
      <c r="K62" s="207"/>
      <c r="L62" s="207"/>
      <c r="M62" s="206"/>
      <c r="N62" s="653" t="s">
        <v>156</v>
      </c>
      <c r="O62" s="653" t="s">
        <v>105</v>
      </c>
      <c r="P62" s="659">
        <f>P42+7</f>
        <v>46252</v>
      </c>
      <c r="Q62" s="660"/>
      <c r="R62" s="660"/>
      <c r="S62" s="660"/>
      <c r="T62" s="660"/>
      <c r="U62" s="656">
        <f>P62+1</f>
        <v>46253</v>
      </c>
      <c r="V62" s="657"/>
      <c r="W62" s="657"/>
      <c r="X62" s="657"/>
      <c r="Y62" s="658"/>
      <c r="Z62" s="656">
        <f>U62+1</f>
        <v>46254</v>
      </c>
      <c r="AA62" s="657"/>
      <c r="AB62" s="657"/>
      <c r="AC62" s="657"/>
      <c r="AD62" s="658"/>
      <c r="AE62" s="656">
        <f>Z62+1</f>
        <v>46255</v>
      </c>
      <c r="AF62" s="657"/>
      <c r="AG62" s="657"/>
      <c r="AH62" s="657"/>
      <c r="AI62" s="658"/>
      <c r="AJ62" s="656">
        <f>AE62+1</f>
        <v>46256</v>
      </c>
      <c r="AK62" s="657"/>
      <c r="AL62" s="657"/>
      <c r="AM62" s="657"/>
      <c r="AN62" s="658"/>
      <c r="AO62" s="656">
        <f>AJ62+1</f>
        <v>46257</v>
      </c>
      <c r="AP62" s="657"/>
      <c r="AQ62" s="657"/>
      <c r="AR62" s="657"/>
      <c r="AS62" s="658"/>
      <c r="AT62" s="656">
        <f>AO62+1</f>
        <v>46258</v>
      </c>
      <c r="AU62" s="657"/>
      <c r="AV62" s="657"/>
      <c r="AW62" s="657"/>
      <c r="AX62" s="658"/>
    </row>
    <row r="63" spans="2:53" ht="15.75">
      <c r="B63" s="667"/>
      <c r="C63" s="667"/>
      <c r="D63" s="667"/>
      <c r="E63" s="667"/>
      <c r="F63" s="667"/>
      <c r="G63" s="667"/>
      <c r="H63" s="667"/>
      <c r="I63" s="204"/>
      <c r="J63" s="204"/>
      <c r="K63" s="204"/>
      <c r="L63" s="204"/>
      <c r="M63" s="205"/>
      <c r="N63" s="655"/>
      <c r="O63" s="655"/>
      <c r="P63" s="659" t="s">
        <v>317</v>
      </c>
      <c r="Q63" s="660"/>
      <c r="R63" s="660"/>
      <c r="S63" s="660"/>
      <c r="T63" s="660"/>
      <c r="U63" s="659" t="s">
        <v>318</v>
      </c>
      <c r="V63" s="660"/>
      <c r="W63" s="660"/>
      <c r="X63" s="660"/>
      <c r="Y63" s="660"/>
      <c r="Z63" s="659" t="s">
        <v>319</v>
      </c>
      <c r="AA63" s="660"/>
      <c r="AB63" s="660"/>
      <c r="AC63" s="660"/>
      <c r="AD63" s="660"/>
      <c r="AE63" s="659" t="s">
        <v>320</v>
      </c>
      <c r="AF63" s="660"/>
      <c r="AG63" s="660"/>
      <c r="AH63" s="660"/>
      <c r="AI63" s="660"/>
      <c r="AJ63" s="659" t="s">
        <v>321</v>
      </c>
      <c r="AK63" s="660"/>
      <c r="AL63" s="660"/>
      <c r="AM63" s="660"/>
      <c r="AN63" s="660"/>
      <c r="AO63" s="659" t="s">
        <v>322</v>
      </c>
      <c r="AP63" s="660"/>
      <c r="AQ63" s="660"/>
      <c r="AR63" s="660"/>
      <c r="AS63" s="660"/>
      <c r="AT63" s="659" t="s">
        <v>323</v>
      </c>
      <c r="AU63" s="660"/>
      <c r="AV63" s="660"/>
      <c r="AW63" s="660"/>
      <c r="AX63" s="660"/>
    </row>
    <row r="64" spans="2:53">
      <c r="B64" s="652" t="s">
        <v>369</v>
      </c>
      <c r="C64" s="652" t="s">
        <v>379</v>
      </c>
      <c r="D64" s="652"/>
      <c r="E64" s="652" t="s">
        <v>370</v>
      </c>
      <c r="F64" s="652"/>
      <c r="G64" s="652"/>
      <c r="H64" s="668" t="s">
        <v>366</v>
      </c>
      <c r="I64" s="652" t="s">
        <v>371</v>
      </c>
      <c r="J64" s="652"/>
      <c r="K64" s="652"/>
      <c r="L64" s="668" t="s">
        <v>366</v>
      </c>
      <c r="M64" s="653" t="s">
        <v>367</v>
      </c>
      <c r="N64" s="652"/>
      <c r="O64" s="652" t="s">
        <v>372</v>
      </c>
      <c r="P64" s="649" t="s">
        <v>368</v>
      </c>
      <c r="Q64" s="650"/>
      <c r="R64" s="650"/>
      <c r="S64" s="651"/>
      <c r="T64" s="652" t="s">
        <v>366</v>
      </c>
      <c r="U64" s="649" t="s">
        <v>368</v>
      </c>
      <c r="V64" s="650"/>
      <c r="W64" s="650"/>
      <c r="X64" s="651"/>
      <c r="Y64" s="652" t="s">
        <v>366</v>
      </c>
      <c r="Z64" s="649" t="s">
        <v>368</v>
      </c>
      <c r="AA64" s="650"/>
      <c r="AB64" s="650"/>
      <c r="AC64" s="651"/>
      <c r="AD64" s="652" t="s">
        <v>366</v>
      </c>
      <c r="AE64" s="649" t="s">
        <v>368</v>
      </c>
      <c r="AF64" s="650"/>
      <c r="AG64" s="650"/>
      <c r="AH64" s="651"/>
      <c r="AI64" s="652" t="s">
        <v>366</v>
      </c>
      <c r="AJ64" s="649" t="s">
        <v>368</v>
      </c>
      <c r="AK64" s="650"/>
      <c r="AL64" s="650"/>
      <c r="AM64" s="651"/>
      <c r="AN64" s="652" t="s">
        <v>366</v>
      </c>
      <c r="AO64" s="649" t="s">
        <v>368</v>
      </c>
      <c r="AP64" s="650"/>
      <c r="AQ64" s="650"/>
      <c r="AR64" s="651"/>
      <c r="AS64" s="652" t="s">
        <v>366</v>
      </c>
      <c r="AT64" s="649" t="s">
        <v>368</v>
      </c>
      <c r="AU64" s="650"/>
      <c r="AV64" s="650"/>
      <c r="AW64" s="651"/>
      <c r="AX64" s="652" t="s">
        <v>366</v>
      </c>
      <c r="BA64" s="652" t="s">
        <v>366</v>
      </c>
    </row>
    <row r="65" spans="2:53">
      <c r="B65" s="652"/>
      <c r="C65" s="652"/>
      <c r="D65" s="652"/>
      <c r="E65" s="652" t="s">
        <v>373</v>
      </c>
      <c r="F65" s="652"/>
      <c r="G65" s="652"/>
      <c r="H65" s="669"/>
      <c r="I65" s="652" t="s">
        <v>373</v>
      </c>
      <c r="J65" s="652"/>
      <c r="K65" s="652"/>
      <c r="L65" s="669"/>
      <c r="M65" s="654"/>
      <c r="N65" s="652"/>
      <c r="O65" s="652"/>
      <c r="P65" s="649" t="s">
        <v>374</v>
      </c>
      <c r="Q65" s="650"/>
      <c r="R65" s="650"/>
      <c r="S65" s="651"/>
      <c r="T65" s="652"/>
      <c r="U65" s="649" t="s">
        <v>374</v>
      </c>
      <c r="V65" s="650"/>
      <c r="W65" s="650"/>
      <c r="X65" s="651"/>
      <c r="Y65" s="652"/>
      <c r="Z65" s="649" t="s">
        <v>374</v>
      </c>
      <c r="AA65" s="650"/>
      <c r="AB65" s="650"/>
      <c r="AC65" s="651"/>
      <c r="AD65" s="652"/>
      <c r="AE65" s="649" t="s">
        <v>374</v>
      </c>
      <c r="AF65" s="650"/>
      <c r="AG65" s="650"/>
      <c r="AH65" s="651"/>
      <c r="AI65" s="652"/>
      <c r="AJ65" s="649" t="s">
        <v>374</v>
      </c>
      <c r="AK65" s="650"/>
      <c r="AL65" s="650"/>
      <c r="AM65" s="651"/>
      <c r="AN65" s="652"/>
      <c r="AO65" s="649" t="s">
        <v>374</v>
      </c>
      <c r="AP65" s="650"/>
      <c r="AQ65" s="650"/>
      <c r="AR65" s="651"/>
      <c r="AS65" s="652"/>
      <c r="AT65" s="649" t="s">
        <v>374</v>
      </c>
      <c r="AU65" s="650"/>
      <c r="AV65" s="650"/>
      <c r="AW65" s="651"/>
      <c r="AX65" s="652"/>
      <c r="BA65" s="652"/>
    </row>
    <row r="66" spans="2:53">
      <c r="B66" s="652"/>
      <c r="C66" s="652"/>
      <c r="D66" s="652"/>
      <c r="E66" s="378" t="s">
        <v>375</v>
      </c>
      <c r="F66" s="378" t="s">
        <v>376</v>
      </c>
      <c r="G66" s="378" t="s">
        <v>377</v>
      </c>
      <c r="H66" s="670"/>
      <c r="I66" s="378" t="s">
        <v>375</v>
      </c>
      <c r="J66" s="378" t="s">
        <v>376</v>
      </c>
      <c r="K66" s="378" t="s">
        <v>377</v>
      </c>
      <c r="L66" s="670"/>
      <c r="M66" s="655"/>
      <c r="N66" s="652"/>
      <c r="O66" s="652"/>
      <c r="P66" s="378" t="s">
        <v>375</v>
      </c>
      <c r="Q66" s="378" t="s">
        <v>376</v>
      </c>
      <c r="R66" s="378" t="s">
        <v>377</v>
      </c>
      <c r="S66" s="378" t="s">
        <v>367</v>
      </c>
      <c r="T66" s="652"/>
      <c r="U66" s="378" t="s">
        <v>375</v>
      </c>
      <c r="V66" s="378" t="s">
        <v>376</v>
      </c>
      <c r="W66" s="378" t="s">
        <v>377</v>
      </c>
      <c r="X66" s="378" t="s">
        <v>367</v>
      </c>
      <c r="Y66" s="652"/>
      <c r="Z66" s="378" t="s">
        <v>375</v>
      </c>
      <c r="AA66" s="378" t="s">
        <v>376</v>
      </c>
      <c r="AB66" s="378" t="s">
        <v>377</v>
      </c>
      <c r="AC66" s="378" t="s">
        <v>367</v>
      </c>
      <c r="AD66" s="652"/>
      <c r="AE66" s="378" t="s">
        <v>375</v>
      </c>
      <c r="AF66" s="378" t="s">
        <v>376</v>
      </c>
      <c r="AG66" s="378" t="s">
        <v>377</v>
      </c>
      <c r="AH66" s="378" t="s">
        <v>367</v>
      </c>
      <c r="AI66" s="652"/>
      <c r="AJ66" s="378" t="s">
        <v>375</v>
      </c>
      <c r="AK66" s="378" t="s">
        <v>376</v>
      </c>
      <c r="AL66" s="378" t="s">
        <v>377</v>
      </c>
      <c r="AM66" s="378" t="s">
        <v>367</v>
      </c>
      <c r="AN66" s="652"/>
      <c r="AO66" s="378" t="s">
        <v>375</v>
      </c>
      <c r="AP66" s="378" t="s">
        <v>376</v>
      </c>
      <c r="AQ66" s="378" t="s">
        <v>377</v>
      </c>
      <c r="AR66" s="378" t="s">
        <v>367</v>
      </c>
      <c r="AS66" s="652"/>
      <c r="AT66" s="378" t="s">
        <v>375</v>
      </c>
      <c r="AU66" s="378" t="s">
        <v>376</v>
      </c>
      <c r="AV66" s="378" t="s">
        <v>377</v>
      </c>
      <c r="AW66" s="378" t="s">
        <v>367</v>
      </c>
      <c r="AX66" s="652"/>
      <c r="AZ66" s="367" t="s">
        <v>367</v>
      </c>
      <c r="BA66" s="652"/>
    </row>
    <row r="67" spans="2:53">
      <c r="B67" s="695" t="s">
        <v>378</v>
      </c>
      <c r="C67" s="380">
        <v>1</v>
      </c>
      <c r="D67" s="351" t="s">
        <v>358</v>
      </c>
      <c r="E67" s="510">
        <v>4</v>
      </c>
      <c r="F67" s="510">
        <v>2000</v>
      </c>
      <c r="G67" s="510">
        <v>500</v>
      </c>
      <c r="H67" s="691">
        <f>AVERAGE(G67:G81)</f>
        <v>268.12198172198174</v>
      </c>
      <c r="I67" s="381">
        <f t="shared" ref="I67:I80" si="49">IFERROR(AVERAGE(P67,U67,Z67,AE67,AJ67,AO67,AT67),"-")</f>
        <v>5</v>
      </c>
      <c r="J67" s="381">
        <f t="shared" ref="J67:J80" si="50">IFERROR(AVERAGE(Q67,V67,AA67,AF67,AK67,AP67,AU67),"-")</f>
        <v>2079.5349737274469</v>
      </c>
      <c r="K67" s="199">
        <f t="shared" ref="K67:K80" si="51">IFERROR(AVERAGE(R67,W67,AB67,AG67,AL67,AQ67,AV67),"-")</f>
        <v>415.90699474548944</v>
      </c>
      <c r="L67" s="633">
        <f>IFERROR(AVERAGE(K67:K81),"-")</f>
        <v>232.55157262736651</v>
      </c>
      <c r="M67" s="384">
        <f>RANK(K67, K$67:$K$81)</f>
        <v>1</v>
      </c>
      <c r="N67" s="652"/>
      <c r="O67" s="652"/>
      <c r="P67" s="560">
        <v>5</v>
      </c>
      <c r="Q67" s="562">
        <v>2051.1111111111109</v>
      </c>
      <c r="R67" s="562">
        <v>410.22222222222217</v>
      </c>
      <c r="S67" s="560">
        <f t="shared" ref="S67:S81" si="52">RANK(R67, R$67:R$81)</f>
        <v>1</v>
      </c>
      <c r="T67" s="661">
        <f t="shared" ref="T67" si="53">AVERAGE(R67:R81)</f>
        <v>230.65297527954237</v>
      </c>
      <c r="U67" s="560">
        <v>5</v>
      </c>
      <c r="V67" s="562">
        <v>2088.260869565217</v>
      </c>
      <c r="W67" s="562">
        <v>417.65217391304338</v>
      </c>
      <c r="X67" s="560">
        <f t="shared" ref="X67:X81" si="54">RANK(W67, W$67:W$81)</f>
        <v>1</v>
      </c>
      <c r="Y67" s="661">
        <f t="shared" ref="Y67" si="55">AVERAGE(W67:W81)</f>
        <v>231.96526795832946</v>
      </c>
      <c r="Z67" s="560">
        <v>5</v>
      </c>
      <c r="AA67" s="562">
        <v>2070.6976744186045</v>
      </c>
      <c r="AB67" s="562">
        <v>414.1395348837209</v>
      </c>
      <c r="AC67" s="560">
        <f t="shared" ref="AC67:AC81" si="56">RANK(AB67, AB$67:AB$81)</f>
        <v>2</v>
      </c>
      <c r="AD67" s="661">
        <f t="shared" ref="AD67" si="57">AVERAGE(AB67:AB81)</f>
        <v>232.39549128671175</v>
      </c>
      <c r="AE67" s="560">
        <v>5</v>
      </c>
      <c r="AF67" s="562">
        <v>2107.2727272727275</v>
      </c>
      <c r="AG67" s="562">
        <v>421.4545454545455</v>
      </c>
      <c r="AH67" s="560">
        <f t="shared" ref="AH67:AH81" si="58">RANK(AG67, AG$67:AG$81)</f>
        <v>1</v>
      </c>
      <c r="AI67" s="661">
        <f t="shared" ref="AI67" si="59">AVERAGE(AG67:AG81)</f>
        <v>231.02296525635742</v>
      </c>
      <c r="AJ67" s="560">
        <v>5</v>
      </c>
      <c r="AK67" s="562">
        <v>2028.3333333333339</v>
      </c>
      <c r="AL67" s="562">
        <v>405.6666666666668</v>
      </c>
      <c r="AM67" s="560">
        <f t="shared" ref="AM67:AM81" si="60">RANK(AL67, AL$67:AL$81)</f>
        <v>2</v>
      </c>
      <c r="AN67" s="661">
        <f t="shared" ref="AN67" si="61">AVERAGE(AL67:AL81)</f>
        <v>232.30686490069061</v>
      </c>
      <c r="AO67" s="560">
        <v>5</v>
      </c>
      <c r="AP67" s="562">
        <v>2116.1538461538457</v>
      </c>
      <c r="AQ67" s="562">
        <v>423.23076923076917</v>
      </c>
      <c r="AR67" s="560">
        <f t="shared" ref="AR67:AR81" si="62">RANK(AQ67, AQ$67:AQ$81)</f>
        <v>1</v>
      </c>
      <c r="AS67" s="661">
        <f t="shared" ref="AS67" si="63">AVERAGE(AQ67:AQ81)</f>
        <v>234.11810946109802</v>
      </c>
      <c r="AT67" s="560">
        <v>5</v>
      </c>
      <c r="AU67" s="562">
        <v>2094.9152542372885</v>
      </c>
      <c r="AV67" s="562">
        <v>418.98305084745772</v>
      </c>
      <c r="AW67" s="560">
        <f t="shared" ref="AW67:AW81" si="64">RANK(AV67, AV$67:AV$81)</f>
        <v>1</v>
      </c>
      <c r="AX67" s="661">
        <f t="shared" ref="AX67" si="65">AVERAGE(AV67:AV81)</f>
        <v>235.39933424883591</v>
      </c>
      <c r="AZ67" s="368" t="e">
        <f t="shared" ref="AZ67:AZ81" si="66">RANK(AY67, AY$67:AY$81)</f>
        <v>#N/A</v>
      </c>
      <c r="BA67" s="661" t="e">
        <f t="shared" ref="BA67" si="67">AVERAGE(AY67:AY81)</f>
        <v>#DIV/0!</v>
      </c>
    </row>
    <row r="68" spans="2:53">
      <c r="B68" s="660"/>
      <c r="C68" s="380">
        <v>2</v>
      </c>
      <c r="D68" s="351" t="s">
        <v>428</v>
      </c>
      <c r="E68" s="510">
        <v>4</v>
      </c>
      <c r="F68" s="510">
        <v>2000</v>
      </c>
      <c r="G68" s="510">
        <v>500</v>
      </c>
      <c r="H68" s="692"/>
      <c r="I68" s="381">
        <f t="shared" si="49"/>
        <v>5</v>
      </c>
      <c r="J68" s="381">
        <f t="shared" si="50"/>
        <v>2068.6540405836076</v>
      </c>
      <c r="K68" s="199">
        <f t="shared" si="51"/>
        <v>413.73080811672156</v>
      </c>
      <c r="L68" s="634"/>
      <c r="M68" s="384">
        <f>RANK(K68, K$67:$K$81)</f>
        <v>2</v>
      </c>
      <c r="N68" s="652"/>
      <c r="O68" s="652"/>
      <c r="P68" s="560">
        <v>5</v>
      </c>
      <c r="Q68" s="562">
        <v>2032.5000000000005</v>
      </c>
      <c r="R68" s="562">
        <v>406.50000000000011</v>
      </c>
      <c r="S68" s="560">
        <f t="shared" si="52"/>
        <v>2</v>
      </c>
      <c r="T68" s="662"/>
      <c r="U68" s="560">
        <v>5</v>
      </c>
      <c r="V68" s="562">
        <v>2085.3658536585358</v>
      </c>
      <c r="W68" s="562">
        <v>417.07317073170714</v>
      </c>
      <c r="X68" s="560">
        <f t="shared" si="54"/>
        <v>2</v>
      </c>
      <c r="Y68" s="662"/>
      <c r="Z68" s="560">
        <v>5</v>
      </c>
      <c r="AA68" s="562">
        <v>2091.818181818182</v>
      </c>
      <c r="AB68" s="562">
        <v>418.36363636363637</v>
      </c>
      <c r="AC68" s="560">
        <f t="shared" si="56"/>
        <v>1</v>
      </c>
      <c r="AD68" s="662"/>
      <c r="AE68" s="560">
        <v>5</v>
      </c>
      <c r="AF68" s="562">
        <v>2043.4285714285718</v>
      </c>
      <c r="AG68" s="562">
        <v>408.68571428571437</v>
      </c>
      <c r="AH68" s="560">
        <f t="shared" si="58"/>
        <v>2</v>
      </c>
      <c r="AI68" s="662"/>
      <c r="AJ68" s="560">
        <v>5</v>
      </c>
      <c r="AK68" s="562">
        <v>2072.5714285714289</v>
      </c>
      <c r="AL68" s="562">
        <v>414.51428571428579</v>
      </c>
      <c r="AM68" s="560">
        <f t="shared" si="60"/>
        <v>1</v>
      </c>
      <c r="AN68" s="662"/>
      <c r="AO68" s="560">
        <v>5</v>
      </c>
      <c r="AP68" s="562">
        <v>2086.5306122448983</v>
      </c>
      <c r="AQ68" s="562">
        <v>417.30612244897964</v>
      </c>
      <c r="AR68" s="560">
        <f t="shared" si="62"/>
        <v>2</v>
      </c>
      <c r="AS68" s="662"/>
      <c r="AT68" s="560">
        <v>5</v>
      </c>
      <c r="AU68" s="562">
        <v>2068.363636363636</v>
      </c>
      <c r="AV68" s="562">
        <v>413.67272727272723</v>
      </c>
      <c r="AW68" s="560">
        <f t="shared" si="64"/>
        <v>2</v>
      </c>
      <c r="AX68" s="662"/>
      <c r="AZ68" s="368" t="e">
        <f t="shared" si="66"/>
        <v>#N/A</v>
      </c>
      <c r="BA68" s="662"/>
    </row>
    <row r="69" spans="2:53">
      <c r="B69" s="660"/>
      <c r="C69" s="380">
        <v>3</v>
      </c>
      <c r="D69" s="351" t="s">
        <v>572</v>
      </c>
      <c r="E69" s="510">
        <v>13</v>
      </c>
      <c r="F69" s="510">
        <v>2250</v>
      </c>
      <c r="G69" s="510">
        <v>173.1</v>
      </c>
      <c r="H69" s="692"/>
      <c r="I69" s="381">
        <f t="shared" si="49"/>
        <v>13</v>
      </c>
      <c r="J69" s="381">
        <f t="shared" si="50"/>
        <v>2114.1061558618562</v>
      </c>
      <c r="K69" s="199">
        <f t="shared" si="51"/>
        <v>162.62355045091201</v>
      </c>
      <c r="L69" s="634"/>
      <c r="M69" s="384">
        <f>RANK(K69, K$67:$K$81)</f>
        <v>7</v>
      </c>
      <c r="N69" s="652"/>
      <c r="O69" s="652"/>
      <c r="P69" s="560">
        <v>13</v>
      </c>
      <c r="Q69" s="562">
        <v>2083.0746268656717</v>
      </c>
      <c r="R69" s="562">
        <v>160.23650975889782</v>
      </c>
      <c r="S69" s="560">
        <f t="shared" si="52"/>
        <v>8</v>
      </c>
      <c r="T69" s="662"/>
      <c r="U69" s="560">
        <v>13</v>
      </c>
      <c r="V69" s="562">
        <v>2083.9024390243908</v>
      </c>
      <c r="W69" s="562">
        <v>160.30018761726083</v>
      </c>
      <c r="X69" s="560">
        <f t="shared" si="54"/>
        <v>8</v>
      </c>
      <c r="Y69" s="662"/>
      <c r="Z69" s="560">
        <v>13</v>
      </c>
      <c r="AA69" s="562">
        <v>2055.9036144578317</v>
      </c>
      <c r="AB69" s="562">
        <v>158.14643188137168</v>
      </c>
      <c r="AC69" s="560">
        <f t="shared" si="56"/>
        <v>8</v>
      </c>
      <c r="AD69" s="662"/>
      <c r="AE69" s="560">
        <v>13</v>
      </c>
      <c r="AF69" s="562">
        <v>2115.7894736842113</v>
      </c>
      <c r="AG69" s="562">
        <v>162.75303643724703</v>
      </c>
      <c r="AH69" s="560">
        <f t="shared" si="58"/>
        <v>7</v>
      </c>
      <c r="AI69" s="662"/>
      <c r="AJ69" s="560">
        <v>13</v>
      </c>
      <c r="AK69" s="562">
        <v>2113.5999999999995</v>
      </c>
      <c r="AL69" s="562">
        <v>162.58461538461535</v>
      </c>
      <c r="AM69" s="560">
        <f t="shared" si="60"/>
        <v>7</v>
      </c>
      <c r="AN69" s="662"/>
      <c r="AO69" s="560">
        <v>13</v>
      </c>
      <c r="AP69" s="562">
        <v>2172.3913043478256</v>
      </c>
      <c r="AQ69" s="562">
        <v>167.10702341137119</v>
      </c>
      <c r="AR69" s="560">
        <f t="shared" si="62"/>
        <v>7</v>
      </c>
      <c r="AS69" s="662"/>
      <c r="AT69" s="560">
        <v>13</v>
      </c>
      <c r="AU69" s="562">
        <v>2174.0816326530612</v>
      </c>
      <c r="AV69" s="562">
        <v>167.23704866562008</v>
      </c>
      <c r="AW69" s="560">
        <f t="shared" si="64"/>
        <v>7</v>
      </c>
      <c r="AX69" s="662"/>
      <c r="AZ69" s="368" t="e">
        <f t="shared" si="66"/>
        <v>#N/A</v>
      </c>
      <c r="BA69" s="662"/>
    </row>
    <row r="70" spans="2:53">
      <c r="B70" s="660"/>
      <c r="C70" s="380">
        <v>4</v>
      </c>
      <c r="D70" s="351" t="s">
        <v>360</v>
      </c>
      <c r="E70" s="510">
        <v>13</v>
      </c>
      <c r="F70" s="510">
        <v>2250</v>
      </c>
      <c r="G70" s="510">
        <v>173.1</v>
      </c>
      <c r="H70" s="692"/>
      <c r="I70" s="381">
        <f t="shared" si="49"/>
        <v>13</v>
      </c>
      <c r="J70" s="381">
        <f t="shared" si="50"/>
        <v>2114.0104472082139</v>
      </c>
      <c r="K70" s="199">
        <f t="shared" si="51"/>
        <v>162.6161882467857</v>
      </c>
      <c r="L70" s="634"/>
      <c r="M70" s="384">
        <f>RANK(K70, K$67:$K$81)</f>
        <v>8</v>
      </c>
      <c r="N70" s="652"/>
      <c r="O70" s="652"/>
      <c r="P70" s="560">
        <v>13</v>
      </c>
      <c r="Q70" s="562">
        <v>2099.9999999999995</v>
      </c>
      <c r="R70" s="562">
        <v>161.53846153846149</v>
      </c>
      <c r="S70" s="560">
        <f t="shared" si="52"/>
        <v>7</v>
      </c>
      <c r="T70" s="662"/>
      <c r="U70" s="560">
        <v>13</v>
      </c>
      <c r="V70" s="562">
        <v>2108.5714285714289</v>
      </c>
      <c r="W70" s="562">
        <v>162.19780219780222</v>
      </c>
      <c r="X70" s="560">
        <f t="shared" si="54"/>
        <v>7</v>
      </c>
      <c r="Y70" s="662"/>
      <c r="Z70" s="560">
        <v>13</v>
      </c>
      <c r="AA70" s="562">
        <v>2091.8518518518522</v>
      </c>
      <c r="AB70" s="562">
        <v>160.91168091168095</v>
      </c>
      <c r="AC70" s="560">
        <f t="shared" si="56"/>
        <v>7</v>
      </c>
      <c r="AD70" s="662"/>
      <c r="AE70" s="560">
        <v>13</v>
      </c>
      <c r="AF70" s="562">
        <v>2114.3283582089553</v>
      </c>
      <c r="AG70" s="562">
        <v>162.64064293915041</v>
      </c>
      <c r="AH70" s="560">
        <f t="shared" si="58"/>
        <v>8</v>
      </c>
      <c r="AI70" s="662"/>
      <c r="AJ70" s="560">
        <v>13</v>
      </c>
      <c r="AK70" s="562">
        <v>2090.5263157894733</v>
      </c>
      <c r="AL70" s="562">
        <v>160.80971659919027</v>
      </c>
      <c r="AM70" s="560">
        <f t="shared" si="60"/>
        <v>8</v>
      </c>
      <c r="AN70" s="662"/>
      <c r="AO70" s="560">
        <v>13</v>
      </c>
      <c r="AP70" s="562">
        <v>2139.5876288659792</v>
      </c>
      <c r="AQ70" s="562">
        <v>164.58366375892149</v>
      </c>
      <c r="AR70" s="560">
        <f t="shared" si="62"/>
        <v>8</v>
      </c>
      <c r="AS70" s="662"/>
      <c r="AT70" s="560">
        <v>13</v>
      </c>
      <c r="AU70" s="562">
        <v>2153.2075471698117</v>
      </c>
      <c r="AV70" s="562">
        <v>165.6313497822932</v>
      </c>
      <c r="AW70" s="560">
        <f t="shared" si="64"/>
        <v>8</v>
      </c>
      <c r="AX70" s="662"/>
      <c r="AZ70" s="368" t="e">
        <f t="shared" si="66"/>
        <v>#N/A</v>
      </c>
      <c r="BA70" s="662"/>
    </row>
    <row r="71" spans="2:53">
      <c r="B71" s="660"/>
      <c r="C71" s="380">
        <v>5</v>
      </c>
      <c r="D71" s="351" t="s">
        <v>361</v>
      </c>
      <c r="E71" s="510">
        <v>10</v>
      </c>
      <c r="F71" s="510">
        <v>2769</v>
      </c>
      <c r="G71" s="510">
        <v>276.89999999999998</v>
      </c>
      <c r="H71" s="692"/>
      <c r="I71" s="381">
        <f t="shared" si="49"/>
        <v>10</v>
      </c>
      <c r="J71" s="381">
        <f t="shared" si="50"/>
        <v>2531.6666807384058</v>
      </c>
      <c r="K71" s="199">
        <f t="shared" si="51"/>
        <v>253.16666807384058</v>
      </c>
      <c r="L71" s="634"/>
      <c r="M71" s="384">
        <f>RANK(K71, K$67:$K$81)</f>
        <v>3</v>
      </c>
      <c r="N71" s="652"/>
      <c r="O71" s="652"/>
      <c r="P71" s="560">
        <v>10</v>
      </c>
      <c r="Q71" s="562">
        <v>2519.6721311475403</v>
      </c>
      <c r="R71" s="562">
        <v>251.96721311475403</v>
      </c>
      <c r="S71" s="560">
        <f t="shared" si="52"/>
        <v>3</v>
      </c>
      <c r="T71" s="662"/>
      <c r="U71" s="560">
        <v>10</v>
      </c>
      <c r="V71" s="562">
        <v>2518.9221556886228</v>
      </c>
      <c r="W71" s="562">
        <v>251.89221556886227</v>
      </c>
      <c r="X71" s="560">
        <f t="shared" si="54"/>
        <v>3</v>
      </c>
      <c r="Y71" s="662"/>
      <c r="Z71" s="560">
        <v>10</v>
      </c>
      <c r="AA71" s="562">
        <v>2514.7200000000003</v>
      </c>
      <c r="AB71" s="562">
        <v>251.47200000000004</v>
      </c>
      <c r="AC71" s="560">
        <f t="shared" si="56"/>
        <v>3</v>
      </c>
      <c r="AD71" s="662"/>
      <c r="AE71" s="560">
        <v>10</v>
      </c>
      <c r="AF71" s="562">
        <v>2520.521739130435</v>
      </c>
      <c r="AG71" s="562">
        <v>252.0521739130435</v>
      </c>
      <c r="AH71" s="560">
        <f t="shared" si="58"/>
        <v>3</v>
      </c>
      <c r="AI71" s="662"/>
      <c r="AJ71" s="560">
        <v>10</v>
      </c>
      <c r="AK71" s="562">
        <v>2517.5172413793107</v>
      </c>
      <c r="AL71" s="562">
        <v>251.75172413793106</v>
      </c>
      <c r="AM71" s="560">
        <f t="shared" si="60"/>
        <v>4</v>
      </c>
      <c r="AN71" s="662"/>
      <c r="AO71" s="560">
        <v>10</v>
      </c>
      <c r="AP71" s="562">
        <v>2572.6153846153861</v>
      </c>
      <c r="AQ71" s="562">
        <v>257.26153846153863</v>
      </c>
      <c r="AR71" s="560">
        <f t="shared" si="62"/>
        <v>3</v>
      </c>
      <c r="AS71" s="662"/>
      <c r="AT71" s="560">
        <v>10</v>
      </c>
      <c r="AU71" s="562">
        <v>2557.6981132075462</v>
      </c>
      <c r="AV71" s="562">
        <v>255.76981132075463</v>
      </c>
      <c r="AW71" s="560">
        <f t="shared" si="64"/>
        <v>3</v>
      </c>
      <c r="AX71" s="662"/>
      <c r="AZ71" s="368" t="e">
        <f t="shared" si="66"/>
        <v>#N/A</v>
      </c>
      <c r="BA71" s="662"/>
    </row>
    <row r="72" spans="2:53">
      <c r="B72" s="660"/>
      <c r="C72" s="380">
        <v>6</v>
      </c>
      <c r="D72" s="351" t="s">
        <v>691</v>
      </c>
      <c r="E72" s="510">
        <v>11</v>
      </c>
      <c r="F72" s="510">
        <v>2250</v>
      </c>
      <c r="G72" s="510">
        <v>204.5</v>
      </c>
      <c r="H72" s="692"/>
      <c r="I72" s="381">
        <f t="shared" si="49"/>
        <v>11</v>
      </c>
      <c r="J72" s="381">
        <f t="shared" si="50"/>
        <v>2068.7030834879752</v>
      </c>
      <c r="K72" s="199">
        <f t="shared" si="51"/>
        <v>188.06391668072501</v>
      </c>
      <c r="L72" s="634"/>
      <c r="M72" s="384">
        <f>RANK(K72, K$67:$K$81)</f>
        <v>6</v>
      </c>
      <c r="N72" s="652"/>
      <c r="O72" s="652"/>
      <c r="P72" s="560">
        <v>11</v>
      </c>
      <c r="Q72" s="562">
        <v>2060.4230769230767</v>
      </c>
      <c r="R72" s="562">
        <v>187.3111888111888</v>
      </c>
      <c r="S72" s="560">
        <f t="shared" si="52"/>
        <v>6</v>
      </c>
      <c r="T72" s="662"/>
      <c r="U72" s="560">
        <v>11</v>
      </c>
      <c r="V72" s="562">
        <v>2046.2242990654208</v>
      </c>
      <c r="W72" s="562">
        <v>186.02039082412918</v>
      </c>
      <c r="X72" s="560">
        <f t="shared" si="54"/>
        <v>6</v>
      </c>
      <c r="Y72" s="662"/>
      <c r="Z72" s="560">
        <v>11</v>
      </c>
      <c r="AA72" s="562">
        <v>2065.4374999999995</v>
      </c>
      <c r="AB72" s="562">
        <v>187.76704545454541</v>
      </c>
      <c r="AC72" s="560">
        <f t="shared" si="56"/>
        <v>6</v>
      </c>
      <c r="AD72" s="662"/>
      <c r="AE72" s="560">
        <v>11</v>
      </c>
      <c r="AF72" s="562">
        <v>2095.5140186915887</v>
      </c>
      <c r="AG72" s="562">
        <v>190.50127442650808</v>
      </c>
      <c r="AH72" s="560">
        <f t="shared" si="58"/>
        <v>6</v>
      </c>
      <c r="AI72" s="662"/>
      <c r="AJ72" s="560">
        <v>11</v>
      </c>
      <c r="AK72" s="562">
        <v>2072.3437499999995</v>
      </c>
      <c r="AL72" s="562">
        <v>188.39488636363632</v>
      </c>
      <c r="AM72" s="560">
        <f t="shared" si="60"/>
        <v>6</v>
      </c>
      <c r="AN72" s="662"/>
      <c r="AO72" s="560">
        <v>11</v>
      </c>
      <c r="AP72" s="562">
        <v>2045.6948275862067</v>
      </c>
      <c r="AQ72" s="562">
        <v>185.97225705329151</v>
      </c>
      <c r="AR72" s="560">
        <f t="shared" si="62"/>
        <v>6</v>
      </c>
      <c r="AS72" s="662"/>
      <c r="AT72" s="560">
        <v>11</v>
      </c>
      <c r="AU72" s="562">
        <v>2095.2841121495326</v>
      </c>
      <c r="AV72" s="562">
        <v>190.48037383177569</v>
      </c>
      <c r="AW72" s="560">
        <f t="shared" si="64"/>
        <v>6</v>
      </c>
      <c r="AX72" s="662"/>
      <c r="AZ72" s="368" t="e">
        <f t="shared" si="66"/>
        <v>#N/A</v>
      </c>
      <c r="BA72" s="662"/>
    </row>
    <row r="73" spans="2:53">
      <c r="B73" s="660"/>
      <c r="C73" s="380">
        <v>7</v>
      </c>
      <c r="D73" s="351" t="s">
        <v>357</v>
      </c>
      <c r="E73" s="510">
        <v>18</v>
      </c>
      <c r="F73" s="510">
        <v>1200</v>
      </c>
      <c r="G73" s="510">
        <v>66.666666666666671</v>
      </c>
      <c r="H73" s="692"/>
      <c r="I73" s="381">
        <f t="shared" si="49"/>
        <v>18</v>
      </c>
      <c r="J73" s="381">
        <f t="shared" si="50"/>
        <v>1113.9767758718074</v>
      </c>
      <c r="K73" s="199">
        <f t="shared" si="51"/>
        <v>61.88759865954485</v>
      </c>
      <c r="L73" s="634"/>
      <c r="M73" s="384">
        <f>RANK(K73, K$67:$K$81)</f>
        <v>9</v>
      </c>
      <c r="N73" s="652"/>
      <c r="O73" s="652"/>
      <c r="P73" s="560">
        <v>18</v>
      </c>
      <c r="Q73" s="562">
        <v>1118.4466019417482</v>
      </c>
      <c r="R73" s="562">
        <v>62.135922330097124</v>
      </c>
      <c r="S73" s="560">
        <f t="shared" si="52"/>
        <v>9</v>
      </c>
      <c r="T73" s="662"/>
      <c r="U73" s="560">
        <v>18</v>
      </c>
      <c r="V73" s="562">
        <v>1113.1034482758619</v>
      </c>
      <c r="W73" s="562">
        <v>61.839080459770102</v>
      </c>
      <c r="X73" s="560">
        <f t="shared" si="54"/>
        <v>9</v>
      </c>
      <c r="Y73" s="662"/>
      <c r="Z73" s="560">
        <v>18</v>
      </c>
      <c r="AA73" s="562">
        <v>1115.2173913043478</v>
      </c>
      <c r="AB73" s="562">
        <v>61.95652173913043</v>
      </c>
      <c r="AC73" s="560">
        <f t="shared" si="56"/>
        <v>9</v>
      </c>
      <c r="AD73" s="662"/>
      <c r="AE73" s="560">
        <v>18</v>
      </c>
      <c r="AF73" s="562">
        <v>1121.9047619047631</v>
      </c>
      <c r="AG73" s="562">
        <v>62.328042328042393</v>
      </c>
      <c r="AH73" s="560">
        <f t="shared" si="58"/>
        <v>9</v>
      </c>
      <c r="AI73" s="662"/>
      <c r="AJ73" s="560">
        <v>18</v>
      </c>
      <c r="AK73" s="562">
        <v>1110.3999999999992</v>
      </c>
      <c r="AL73" s="562">
        <v>61.68888888888884</v>
      </c>
      <c r="AM73" s="560">
        <f t="shared" si="60"/>
        <v>9</v>
      </c>
      <c r="AN73" s="662"/>
      <c r="AO73" s="560">
        <v>18</v>
      </c>
      <c r="AP73" s="562">
        <v>1120.4494382022472</v>
      </c>
      <c r="AQ73" s="562">
        <v>62.247191011235955</v>
      </c>
      <c r="AR73" s="560">
        <f t="shared" si="62"/>
        <v>9</v>
      </c>
      <c r="AS73" s="662"/>
      <c r="AT73" s="560">
        <v>18</v>
      </c>
      <c r="AU73" s="562">
        <v>1098.3157894736844</v>
      </c>
      <c r="AV73" s="562">
        <v>61.01754385964913</v>
      </c>
      <c r="AW73" s="560">
        <f t="shared" si="64"/>
        <v>9</v>
      </c>
      <c r="AX73" s="662"/>
      <c r="AZ73" s="368" t="e">
        <f t="shared" si="66"/>
        <v>#N/A</v>
      </c>
      <c r="BA73" s="662"/>
    </row>
    <row r="74" spans="2:53">
      <c r="B74" s="660"/>
      <c r="C74" s="380">
        <v>8</v>
      </c>
      <c r="D74" s="351" t="s">
        <v>704</v>
      </c>
      <c r="E74" s="510">
        <v>7</v>
      </c>
      <c r="F74" s="510">
        <v>2200</v>
      </c>
      <c r="G74" s="510">
        <v>314.28571428571428</v>
      </c>
      <c r="H74" s="692"/>
      <c r="I74" s="381">
        <f t="shared" si="49"/>
        <v>7</v>
      </c>
      <c r="J74" s="381">
        <f t="shared" si="50"/>
        <v>1694.1700680272122</v>
      </c>
      <c r="K74" s="199">
        <f t="shared" si="51"/>
        <v>242.02429543245884</v>
      </c>
      <c r="L74" s="634"/>
      <c r="M74" s="384">
        <f>RANK(K74, K$67:$K$81)</f>
        <v>4</v>
      </c>
      <c r="N74" s="652"/>
      <c r="O74" s="652"/>
      <c r="P74" s="560">
        <v>7</v>
      </c>
      <c r="Q74" s="562">
        <v>1709.9999999999993</v>
      </c>
      <c r="R74" s="562">
        <v>244.28571428571419</v>
      </c>
      <c r="S74" s="560">
        <f t="shared" si="52"/>
        <v>4</v>
      </c>
      <c r="T74" s="662"/>
      <c r="U74" s="560">
        <v>7</v>
      </c>
      <c r="V74" s="562">
        <v>1673.9999999999995</v>
      </c>
      <c r="W74" s="562">
        <v>239.14285714285708</v>
      </c>
      <c r="X74" s="560">
        <f t="shared" si="54"/>
        <v>4</v>
      </c>
      <c r="Y74" s="662"/>
      <c r="Z74" s="560">
        <v>7</v>
      </c>
      <c r="AA74" s="562">
        <v>1733.3333333333319</v>
      </c>
      <c r="AB74" s="562">
        <v>247.61904761904742</v>
      </c>
      <c r="AC74" s="560">
        <f t="shared" si="56"/>
        <v>4</v>
      </c>
      <c r="AD74" s="662"/>
      <c r="AE74" s="560">
        <v>7</v>
      </c>
      <c r="AF74" s="562">
        <v>1584.0000000000057</v>
      </c>
      <c r="AG74" s="562">
        <v>226.2857142857151</v>
      </c>
      <c r="AH74" s="560">
        <f t="shared" si="58"/>
        <v>4</v>
      </c>
      <c r="AI74" s="662"/>
      <c r="AJ74" s="560">
        <v>7</v>
      </c>
      <c r="AK74" s="562">
        <v>1770.0000000000064</v>
      </c>
      <c r="AL74" s="562">
        <v>252.85714285714377</v>
      </c>
      <c r="AM74" s="560">
        <f t="shared" si="60"/>
        <v>3</v>
      </c>
      <c r="AN74" s="662"/>
      <c r="AO74" s="560">
        <v>7</v>
      </c>
      <c r="AP74" s="562">
        <v>1634.999999999998</v>
      </c>
      <c r="AQ74" s="562">
        <v>233.57142857142827</v>
      </c>
      <c r="AR74" s="560">
        <f t="shared" si="62"/>
        <v>4</v>
      </c>
      <c r="AS74" s="662"/>
      <c r="AT74" s="560">
        <v>7</v>
      </c>
      <c r="AU74" s="562">
        <v>1752.8571428571443</v>
      </c>
      <c r="AV74" s="562">
        <v>250.40816326530631</v>
      </c>
      <c r="AW74" s="560">
        <f t="shared" si="64"/>
        <v>4</v>
      </c>
      <c r="AX74" s="662"/>
      <c r="AZ74" s="368" t="e">
        <f t="shared" si="66"/>
        <v>#N/A</v>
      </c>
      <c r="BA74" s="662"/>
    </row>
    <row r="75" spans="2:53">
      <c r="B75" s="660"/>
      <c r="C75" s="380">
        <v>9</v>
      </c>
      <c r="D75" s="351" t="s">
        <v>760</v>
      </c>
      <c r="E75" s="510">
        <v>11</v>
      </c>
      <c r="F75" s="510">
        <v>2250</v>
      </c>
      <c r="G75" s="510">
        <v>204.54545454545453</v>
      </c>
      <c r="H75" s="692"/>
      <c r="I75" s="381">
        <f t="shared" si="49"/>
        <v>11</v>
      </c>
      <c r="J75" s="381">
        <f t="shared" si="50"/>
        <v>2122.3854656380272</v>
      </c>
      <c r="K75" s="199">
        <f t="shared" si="51"/>
        <v>192.9441332398207</v>
      </c>
      <c r="L75" s="634"/>
      <c r="M75" s="384">
        <f>RANK(K75, K$67:$K$81)</f>
        <v>5</v>
      </c>
      <c r="N75" s="652"/>
      <c r="O75" s="652"/>
      <c r="P75" s="560">
        <v>11</v>
      </c>
      <c r="Q75" s="562">
        <v>2108.4749999999999</v>
      </c>
      <c r="R75" s="562">
        <v>191.67954545454543</v>
      </c>
      <c r="S75" s="560">
        <f t="shared" si="52"/>
        <v>5</v>
      </c>
      <c r="T75" s="662"/>
      <c r="U75" s="560">
        <v>11</v>
      </c>
      <c r="V75" s="562">
        <v>2107.2648648648646</v>
      </c>
      <c r="W75" s="562">
        <v>191.56953316953314</v>
      </c>
      <c r="X75" s="560">
        <f t="shared" si="54"/>
        <v>5</v>
      </c>
      <c r="Y75" s="662"/>
      <c r="Z75" s="560">
        <v>11</v>
      </c>
      <c r="AA75" s="562">
        <v>2103.0187499999993</v>
      </c>
      <c r="AB75" s="562">
        <v>191.18352272727267</v>
      </c>
      <c r="AC75" s="560">
        <f t="shared" si="56"/>
        <v>5</v>
      </c>
      <c r="AD75" s="662"/>
      <c r="AE75" s="560">
        <v>11</v>
      </c>
      <c r="AF75" s="562">
        <v>2117.5609756097556</v>
      </c>
      <c r="AG75" s="562">
        <v>192.50554323725052</v>
      </c>
      <c r="AH75" s="560">
        <f t="shared" si="58"/>
        <v>5</v>
      </c>
      <c r="AI75" s="662"/>
      <c r="AJ75" s="560">
        <v>11</v>
      </c>
      <c r="AK75" s="562">
        <v>2117.4324324324321</v>
      </c>
      <c r="AL75" s="562">
        <v>192.49385749385746</v>
      </c>
      <c r="AM75" s="560">
        <f t="shared" si="60"/>
        <v>5</v>
      </c>
      <c r="AN75" s="662"/>
      <c r="AO75" s="560">
        <v>11</v>
      </c>
      <c r="AP75" s="562">
        <v>2153.6129032258073</v>
      </c>
      <c r="AQ75" s="562">
        <v>195.78299120234612</v>
      </c>
      <c r="AR75" s="560">
        <f t="shared" si="62"/>
        <v>5</v>
      </c>
      <c r="AS75" s="662"/>
      <c r="AT75" s="560">
        <v>11</v>
      </c>
      <c r="AU75" s="562">
        <v>2149.3333333333326</v>
      </c>
      <c r="AV75" s="562">
        <v>195.39393939393932</v>
      </c>
      <c r="AW75" s="560">
        <f t="shared" si="64"/>
        <v>5</v>
      </c>
      <c r="AX75" s="662"/>
      <c r="AZ75" s="368" t="e">
        <f t="shared" si="66"/>
        <v>#N/A</v>
      </c>
      <c r="BA75" s="662"/>
    </row>
    <row r="76" spans="2:53">
      <c r="B76" s="660"/>
      <c r="C76" s="380">
        <v>10</v>
      </c>
      <c r="D76" s="351"/>
      <c r="E76" s="510"/>
      <c r="F76" s="510"/>
      <c r="G76" s="510"/>
      <c r="H76" s="692"/>
      <c r="I76" s="381" t="str">
        <f t="shared" si="49"/>
        <v>-</v>
      </c>
      <c r="J76" s="381" t="str">
        <f t="shared" si="50"/>
        <v>-</v>
      </c>
      <c r="K76" s="199" t="str">
        <f t="shared" si="51"/>
        <v>-</v>
      </c>
      <c r="L76" s="634"/>
      <c r="M76" s="384" t="e">
        <f>RANK(K76, K$67:$K$81)</f>
        <v>#VALUE!</v>
      </c>
      <c r="N76" s="652"/>
      <c r="O76" s="652"/>
      <c r="P76" s="560" t="s">
        <v>585</v>
      </c>
      <c r="Q76" s="562" t="s">
        <v>585</v>
      </c>
      <c r="R76" s="562" t="s">
        <v>585</v>
      </c>
      <c r="S76" s="560" t="e">
        <f t="shared" si="52"/>
        <v>#VALUE!</v>
      </c>
      <c r="T76" s="662"/>
      <c r="U76" s="560" t="s">
        <v>585</v>
      </c>
      <c r="V76" s="562" t="s">
        <v>585</v>
      </c>
      <c r="W76" s="562" t="s">
        <v>585</v>
      </c>
      <c r="X76" s="560" t="e">
        <f t="shared" si="54"/>
        <v>#VALUE!</v>
      </c>
      <c r="Y76" s="662"/>
      <c r="Z76" s="560" t="s">
        <v>585</v>
      </c>
      <c r="AA76" s="562" t="s">
        <v>585</v>
      </c>
      <c r="AB76" s="562" t="s">
        <v>585</v>
      </c>
      <c r="AC76" s="560" t="e">
        <f t="shared" si="56"/>
        <v>#VALUE!</v>
      </c>
      <c r="AD76" s="662"/>
      <c r="AE76" s="560" t="s">
        <v>585</v>
      </c>
      <c r="AF76" s="562" t="s">
        <v>585</v>
      </c>
      <c r="AG76" s="562" t="s">
        <v>585</v>
      </c>
      <c r="AH76" s="560" t="e">
        <f t="shared" si="58"/>
        <v>#VALUE!</v>
      </c>
      <c r="AI76" s="662"/>
      <c r="AJ76" s="560" t="s">
        <v>585</v>
      </c>
      <c r="AK76" s="562" t="s">
        <v>585</v>
      </c>
      <c r="AL76" s="562" t="s">
        <v>585</v>
      </c>
      <c r="AM76" s="560" t="e">
        <f t="shared" si="60"/>
        <v>#VALUE!</v>
      </c>
      <c r="AN76" s="662"/>
      <c r="AO76" s="560" t="s">
        <v>585</v>
      </c>
      <c r="AP76" s="562" t="s">
        <v>585</v>
      </c>
      <c r="AQ76" s="562" t="s">
        <v>585</v>
      </c>
      <c r="AR76" s="560" t="e">
        <f t="shared" si="62"/>
        <v>#VALUE!</v>
      </c>
      <c r="AS76" s="662"/>
      <c r="AT76" s="560" t="s">
        <v>585</v>
      </c>
      <c r="AU76" s="562" t="s">
        <v>585</v>
      </c>
      <c r="AV76" s="562" t="s">
        <v>585</v>
      </c>
      <c r="AW76" s="560" t="e">
        <f t="shared" si="64"/>
        <v>#VALUE!</v>
      </c>
      <c r="AX76" s="662"/>
      <c r="AZ76" s="368" t="e">
        <f t="shared" si="66"/>
        <v>#N/A</v>
      </c>
      <c r="BA76" s="662"/>
    </row>
    <row r="77" spans="2:53">
      <c r="B77" s="660"/>
      <c r="C77" s="380">
        <v>11</v>
      </c>
      <c r="D77" s="351"/>
      <c r="E77" s="510"/>
      <c r="F77" s="510"/>
      <c r="G77" s="510"/>
      <c r="H77" s="692"/>
      <c r="I77" s="381" t="str">
        <f t="shared" si="49"/>
        <v>-</v>
      </c>
      <c r="J77" s="381" t="str">
        <f t="shared" si="50"/>
        <v>-</v>
      </c>
      <c r="K77" s="199" t="str">
        <f t="shared" si="51"/>
        <v>-</v>
      </c>
      <c r="L77" s="634"/>
      <c r="M77" s="384" t="e">
        <f>RANK(K77, K$67:$K$81)</f>
        <v>#VALUE!</v>
      </c>
      <c r="N77" s="652"/>
      <c r="O77" s="652"/>
      <c r="P77" s="560" t="s">
        <v>585</v>
      </c>
      <c r="Q77" s="562" t="s">
        <v>585</v>
      </c>
      <c r="R77" s="562" t="s">
        <v>585</v>
      </c>
      <c r="S77" s="560" t="e">
        <f t="shared" si="52"/>
        <v>#VALUE!</v>
      </c>
      <c r="T77" s="662"/>
      <c r="U77" s="560" t="s">
        <v>585</v>
      </c>
      <c r="V77" s="562" t="s">
        <v>585</v>
      </c>
      <c r="W77" s="562" t="s">
        <v>585</v>
      </c>
      <c r="X77" s="560" t="e">
        <f t="shared" si="54"/>
        <v>#VALUE!</v>
      </c>
      <c r="Y77" s="662"/>
      <c r="Z77" s="560" t="s">
        <v>585</v>
      </c>
      <c r="AA77" s="562" t="s">
        <v>585</v>
      </c>
      <c r="AB77" s="562" t="s">
        <v>585</v>
      </c>
      <c r="AC77" s="560" t="e">
        <f t="shared" si="56"/>
        <v>#VALUE!</v>
      </c>
      <c r="AD77" s="662"/>
      <c r="AE77" s="560" t="s">
        <v>585</v>
      </c>
      <c r="AF77" s="562" t="s">
        <v>585</v>
      </c>
      <c r="AG77" s="562" t="s">
        <v>585</v>
      </c>
      <c r="AH77" s="560" t="e">
        <f t="shared" si="58"/>
        <v>#VALUE!</v>
      </c>
      <c r="AI77" s="662"/>
      <c r="AJ77" s="560" t="s">
        <v>585</v>
      </c>
      <c r="AK77" s="562" t="s">
        <v>585</v>
      </c>
      <c r="AL77" s="562" t="s">
        <v>585</v>
      </c>
      <c r="AM77" s="560" t="e">
        <f t="shared" si="60"/>
        <v>#VALUE!</v>
      </c>
      <c r="AN77" s="662"/>
      <c r="AO77" s="560" t="s">
        <v>585</v>
      </c>
      <c r="AP77" s="562" t="s">
        <v>585</v>
      </c>
      <c r="AQ77" s="562" t="s">
        <v>585</v>
      </c>
      <c r="AR77" s="560" t="e">
        <f t="shared" si="62"/>
        <v>#VALUE!</v>
      </c>
      <c r="AS77" s="662"/>
      <c r="AT77" s="560" t="s">
        <v>585</v>
      </c>
      <c r="AU77" s="562" t="s">
        <v>585</v>
      </c>
      <c r="AV77" s="562" t="s">
        <v>585</v>
      </c>
      <c r="AW77" s="560" t="e">
        <f t="shared" si="64"/>
        <v>#VALUE!</v>
      </c>
      <c r="AX77" s="662"/>
      <c r="AZ77" s="368" t="e">
        <f t="shared" si="66"/>
        <v>#N/A</v>
      </c>
      <c r="BA77" s="662"/>
    </row>
    <row r="78" spans="2:53">
      <c r="B78" s="660"/>
      <c r="C78" s="380">
        <v>12</v>
      </c>
      <c r="D78" s="351"/>
      <c r="E78" s="510"/>
      <c r="F78" s="510"/>
      <c r="G78" s="510"/>
      <c r="H78" s="692"/>
      <c r="I78" s="381" t="str">
        <f t="shared" si="49"/>
        <v>-</v>
      </c>
      <c r="J78" s="381" t="str">
        <f t="shared" si="50"/>
        <v>-</v>
      </c>
      <c r="K78" s="199" t="str">
        <f t="shared" si="51"/>
        <v>-</v>
      </c>
      <c r="L78" s="634"/>
      <c r="M78" s="384" t="e">
        <f>RANK(K78, K$67:$K$81)</f>
        <v>#VALUE!</v>
      </c>
      <c r="N78" s="652"/>
      <c r="O78" s="652"/>
      <c r="P78" s="560" t="s">
        <v>585</v>
      </c>
      <c r="Q78" s="562" t="s">
        <v>585</v>
      </c>
      <c r="R78" s="562" t="s">
        <v>585</v>
      </c>
      <c r="S78" s="560" t="e">
        <f t="shared" si="52"/>
        <v>#VALUE!</v>
      </c>
      <c r="T78" s="662"/>
      <c r="U78" s="560" t="s">
        <v>585</v>
      </c>
      <c r="V78" s="562" t="s">
        <v>585</v>
      </c>
      <c r="W78" s="562" t="s">
        <v>585</v>
      </c>
      <c r="X78" s="560" t="e">
        <f t="shared" si="54"/>
        <v>#VALUE!</v>
      </c>
      <c r="Y78" s="662"/>
      <c r="Z78" s="560" t="s">
        <v>585</v>
      </c>
      <c r="AA78" s="562" t="s">
        <v>585</v>
      </c>
      <c r="AB78" s="562" t="s">
        <v>585</v>
      </c>
      <c r="AC78" s="560" t="e">
        <f t="shared" si="56"/>
        <v>#VALUE!</v>
      </c>
      <c r="AD78" s="662"/>
      <c r="AE78" s="560" t="s">
        <v>585</v>
      </c>
      <c r="AF78" s="562" t="s">
        <v>585</v>
      </c>
      <c r="AG78" s="562" t="s">
        <v>585</v>
      </c>
      <c r="AH78" s="560" t="e">
        <f t="shared" si="58"/>
        <v>#VALUE!</v>
      </c>
      <c r="AI78" s="662"/>
      <c r="AJ78" s="560" t="s">
        <v>585</v>
      </c>
      <c r="AK78" s="562" t="s">
        <v>585</v>
      </c>
      <c r="AL78" s="562" t="s">
        <v>585</v>
      </c>
      <c r="AM78" s="560" t="e">
        <f t="shared" si="60"/>
        <v>#VALUE!</v>
      </c>
      <c r="AN78" s="662"/>
      <c r="AO78" s="560" t="s">
        <v>585</v>
      </c>
      <c r="AP78" s="562" t="s">
        <v>585</v>
      </c>
      <c r="AQ78" s="562" t="s">
        <v>585</v>
      </c>
      <c r="AR78" s="560" t="e">
        <f t="shared" si="62"/>
        <v>#VALUE!</v>
      </c>
      <c r="AS78" s="662"/>
      <c r="AT78" s="560" t="s">
        <v>585</v>
      </c>
      <c r="AU78" s="562" t="s">
        <v>585</v>
      </c>
      <c r="AV78" s="562" t="s">
        <v>585</v>
      </c>
      <c r="AW78" s="560" t="e">
        <f t="shared" si="64"/>
        <v>#VALUE!</v>
      </c>
      <c r="AX78" s="662"/>
      <c r="AZ78" s="368" t="e">
        <f t="shared" si="66"/>
        <v>#N/A</v>
      </c>
      <c r="BA78" s="662"/>
    </row>
    <row r="79" spans="2:53">
      <c r="B79" s="660"/>
      <c r="C79" s="380">
        <v>13</v>
      </c>
      <c r="D79" s="351"/>
      <c r="E79" s="510"/>
      <c r="F79" s="510"/>
      <c r="G79" s="510"/>
      <c r="H79" s="692"/>
      <c r="I79" s="381" t="str">
        <f t="shared" si="49"/>
        <v>-</v>
      </c>
      <c r="J79" s="381" t="str">
        <f t="shared" si="50"/>
        <v>-</v>
      </c>
      <c r="K79" s="199" t="str">
        <f t="shared" si="51"/>
        <v>-</v>
      </c>
      <c r="L79" s="634"/>
      <c r="M79" s="384" t="e">
        <f>RANK(K79, K$67:$K$81)</f>
        <v>#VALUE!</v>
      </c>
      <c r="N79" s="652"/>
      <c r="O79" s="652"/>
      <c r="P79" s="560" t="s">
        <v>585</v>
      </c>
      <c r="Q79" s="562" t="s">
        <v>585</v>
      </c>
      <c r="R79" s="562" t="s">
        <v>585</v>
      </c>
      <c r="S79" s="560" t="e">
        <f t="shared" si="52"/>
        <v>#VALUE!</v>
      </c>
      <c r="T79" s="662"/>
      <c r="U79" s="560" t="s">
        <v>585</v>
      </c>
      <c r="V79" s="562" t="s">
        <v>585</v>
      </c>
      <c r="W79" s="562" t="s">
        <v>585</v>
      </c>
      <c r="X79" s="560" t="e">
        <f t="shared" si="54"/>
        <v>#VALUE!</v>
      </c>
      <c r="Y79" s="662"/>
      <c r="Z79" s="560" t="s">
        <v>585</v>
      </c>
      <c r="AA79" s="562" t="s">
        <v>585</v>
      </c>
      <c r="AB79" s="562" t="s">
        <v>585</v>
      </c>
      <c r="AC79" s="560" t="e">
        <f t="shared" si="56"/>
        <v>#VALUE!</v>
      </c>
      <c r="AD79" s="662"/>
      <c r="AE79" s="560" t="s">
        <v>585</v>
      </c>
      <c r="AF79" s="562" t="s">
        <v>585</v>
      </c>
      <c r="AG79" s="562" t="s">
        <v>585</v>
      </c>
      <c r="AH79" s="560" t="e">
        <f t="shared" si="58"/>
        <v>#VALUE!</v>
      </c>
      <c r="AI79" s="662"/>
      <c r="AJ79" s="560" t="s">
        <v>585</v>
      </c>
      <c r="AK79" s="562" t="s">
        <v>585</v>
      </c>
      <c r="AL79" s="562" t="s">
        <v>585</v>
      </c>
      <c r="AM79" s="560" t="e">
        <f t="shared" si="60"/>
        <v>#VALUE!</v>
      </c>
      <c r="AN79" s="662"/>
      <c r="AO79" s="560" t="s">
        <v>585</v>
      </c>
      <c r="AP79" s="562" t="s">
        <v>585</v>
      </c>
      <c r="AQ79" s="562" t="s">
        <v>585</v>
      </c>
      <c r="AR79" s="560" t="e">
        <f t="shared" si="62"/>
        <v>#VALUE!</v>
      </c>
      <c r="AS79" s="662"/>
      <c r="AT79" s="560" t="s">
        <v>585</v>
      </c>
      <c r="AU79" s="562" t="s">
        <v>585</v>
      </c>
      <c r="AV79" s="562" t="s">
        <v>585</v>
      </c>
      <c r="AW79" s="560" t="e">
        <f t="shared" si="64"/>
        <v>#VALUE!</v>
      </c>
      <c r="AX79" s="662"/>
      <c r="AZ79" s="368" t="e">
        <f t="shared" si="66"/>
        <v>#N/A</v>
      </c>
      <c r="BA79" s="662"/>
    </row>
    <row r="80" spans="2:53">
      <c r="B80" s="660"/>
      <c r="C80" s="380">
        <v>14</v>
      </c>
      <c r="D80" s="351"/>
      <c r="E80" s="510"/>
      <c r="F80" s="510"/>
      <c r="G80" s="510"/>
      <c r="H80" s="692"/>
      <c r="I80" s="381" t="str">
        <f t="shared" si="49"/>
        <v>-</v>
      </c>
      <c r="J80" s="381" t="str">
        <f t="shared" si="50"/>
        <v>-</v>
      </c>
      <c r="K80" s="199" t="str">
        <f t="shared" si="51"/>
        <v>-</v>
      </c>
      <c r="L80" s="634"/>
      <c r="M80" s="384" t="e">
        <f>RANK(K80, K$67:$K$81)</f>
        <v>#VALUE!</v>
      </c>
      <c r="N80" s="652"/>
      <c r="O80" s="652"/>
      <c r="P80" s="560" t="s">
        <v>585</v>
      </c>
      <c r="Q80" s="562" t="s">
        <v>585</v>
      </c>
      <c r="R80" s="562" t="s">
        <v>585</v>
      </c>
      <c r="S80" s="560" t="e">
        <f t="shared" si="52"/>
        <v>#VALUE!</v>
      </c>
      <c r="T80" s="662"/>
      <c r="U80" s="560" t="s">
        <v>585</v>
      </c>
      <c r="V80" s="562" t="s">
        <v>585</v>
      </c>
      <c r="W80" s="562" t="s">
        <v>585</v>
      </c>
      <c r="X80" s="560" t="e">
        <f t="shared" si="54"/>
        <v>#VALUE!</v>
      </c>
      <c r="Y80" s="662"/>
      <c r="Z80" s="560" t="s">
        <v>585</v>
      </c>
      <c r="AA80" s="562" t="s">
        <v>585</v>
      </c>
      <c r="AB80" s="562" t="s">
        <v>585</v>
      </c>
      <c r="AC80" s="560" t="e">
        <f t="shared" si="56"/>
        <v>#VALUE!</v>
      </c>
      <c r="AD80" s="662"/>
      <c r="AE80" s="560" t="s">
        <v>585</v>
      </c>
      <c r="AF80" s="562" t="s">
        <v>585</v>
      </c>
      <c r="AG80" s="562" t="s">
        <v>585</v>
      </c>
      <c r="AH80" s="560" t="e">
        <f t="shared" si="58"/>
        <v>#VALUE!</v>
      </c>
      <c r="AI80" s="662"/>
      <c r="AJ80" s="560" t="s">
        <v>585</v>
      </c>
      <c r="AK80" s="562" t="s">
        <v>585</v>
      </c>
      <c r="AL80" s="562" t="s">
        <v>585</v>
      </c>
      <c r="AM80" s="560" t="e">
        <f t="shared" si="60"/>
        <v>#VALUE!</v>
      </c>
      <c r="AN80" s="662"/>
      <c r="AO80" s="560" t="s">
        <v>585</v>
      </c>
      <c r="AP80" s="562" t="s">
        <v>585</v>
      </c>
      <c r="AQ80" s="562" t="s">
        <v>585</v>
      </c>
      <c r="AR80" s="560" t="e">
        <f t="shared" si="62"/>
        <v>#VALUE!</v>
      </c>
      <c r="AS80" s="662"/>
      <c r="AT80" s="560" t="s">
        <v>585</v>
      </c>
      <c r="AU80" s="562" t="s">
        <v>585</v>
      </c>
      <c r="AV80" s="562" t="s">
        <v>585</v>
      </c>
      <c r="AW80" s="560" t="e">
        <f t="shared" si="64"/>
        <v>#VALUE!</v>
      </c>
      <c r="AX80" s="662"/>
      <c r="AZ80" s="368" t="e">
        <f t="shared" si="66"/>
        <v>#N/A</v>
      </c>
      <c r="BA80" s="662"/>
    </row>
    <row r="81" spans="2:53">
      <c r="B81" s="660"/>
      <c r="C81" s="380">
        <v>15</v>
      </c>
      <c r="D81" s="351"/>
      <c r="E81" s="510"/>
      <c r="F81" s="510"/>
      <c r="G81" s="510"/>
      <c r="H81" s="696"/>
      <c r="I81" s="384"/>
      <c r="J81" s="384"/>
      <c r="K81" s="382"/>
      <c r="L81" s="635"/>
      <c r="M81" s="384" t="e">
        <f>RANK(K81, K$67:$K$81)</f>
        <v>#N/A</v>
      </c>
      <c r="N81" s="652"/>
      <c r="O81" s="652"/>
      <c r="P81" s="560" t="s">
        <v>585</v>
      </c>
      <c r="Q81" s="562" t="s">
        <v>585</v>
      </c>
      <c r="R81" s="562" t="s">
        <v>585</v>
      </c>
      <c r="S81" s="560" t="e">
        <f t="shared" si="52"/>
        <v>#VALUE!</v>
      </c>
      <c r="T81" s="663"/>
      <c r="U81" s="560" t="s">
        <v>585</v>
      </c>
      <c r="V81" s="562" t="s">
        <v>585</v>
      </c>
      <c r="W81" s="562" t="s">
        <v>585</v>
      </c>
      <c r="X81" s="560" t="e">
        <f t="shared" si="54"/>
        <v>#VALUE!</v>
      </c>
      <c r="Y81" s="663"/>
      <c r="Z81" s="560" t="s">
        <v>585</v>
      </c>
      <c r="AA81" s="562" t="s">
        <v>585</v>
      </c>
      <c r="AB81" s="562" t="s">
        <v>585</v>
      </c>
      <c r="AC81" s="560" t="e">
        <f t="shared" si="56"/>
        <v>#VALUE!</v>
      </c>
      <c r="AD81" s="663"/>
      <c r="AE81" s="560" t="s">
        <v>585</v>
      </c>
      <c r="AF81" s="562" t="s">
        <v>585</v>
      </c>
      <c r="AG81" s="562" t="s">
        <v>585</v>
      </c>
      <c r="AH81" s="560" t="e">
        <f t="shared" si="58"/>
        <v>#VALUE!</v>
      </c>
      <c r="AI81" s="663"/>
      <c r="AJ81" s="560" t="s">
        <v>585</v>
      </c>
      <c r="AK81" s="562" t="s">
        <v>585</v>
      </c>
      <c r="AL81" s="562" t="s">
        <v>585</v>
      </c>
      <c r="AM81" s="560" t="e">
        <f t="shared" si="60"/>
        <v>#VALUE!</v>
      </c>
      <c r="AN81" s="663"/>
      <c r="AO81" s="560" t="s">
        <v>585</v>
      </c>
      <c r="AP81" s="562" t="s">
        <v>585</v>
      </c>
      <c r="AQ81" s="562" t="s">
        <v>585</v>
      </c>
      <c r="AR81" s="560" t="e">
        <f t="shared" si="62"/>
        <v>#VALUE!</v>
      </c>
      <c r="AS81" s="663"/>
      <c r="AT81" s="560" t="s">
        <v>585</v>
      </c>
      <c r="AU81" s="562" t="s">
        <v>585</v>
      </c>
      <c r="AV81" s="562" t="s">
        <v>585</v>
      </c>
      <c r="AW81" s="560" t="e">
        <f t="shared" si="64"/>
        <v>#VALUE!</v>
      </c>
      <c r="AX81" s="663"/>
      <c r="AZ81" s="368" t="e">
        <f t="shared" si="66"/>
        <v>#N/A</v>
      </c>
      <c r="BA81" s="663"/>
    </row>
    <row r="82" spans="2:53" ht="15.75">
      <c r="B82" s="664" t="s">
        <v>162</v>
      </c>
      <c r="C82" s="665"/>
      <c r="D82" s="665"/>
      <c r="E82" s="665"/>
      <c r="F82" s="665"/>
      <c r="G82" s="665"/>
      <c r="H82" s="666"/>
      <c r="I82" s="207"/>
      <c r="J82" s="207"/>
      <c r="K82" s="207"/>
      <c r="L82" s="207"/>
      <c r="M82" s="206"/>
      <c r="N82" s="653" t="s">
        <v>156</v>
      </c>
      <c r="O82" s="653" t="s">
        <v>105</v>
      </c>
      <c r="P82" s="659">
        <f>P62+7</f>
        <v>46259</v>
      </c>
      <c r="Q82" s="660"/>
      <c r="R82" s="660"/>
      <c r="S82" s="660"/>
      <c r="T82" s="660"/>
      <c r="U82" s="656">
        <f>P82+1</f>
        <v>46260</v>
      </c>
      <c r="V82" s="657"/>
      <c r="W82" s="657"/>
      <c r="X82" s="657"/>
      <c r="Y82" s="658"/>
      <c r="Z82" s="656">
        <f>U82+1</f>
        <v>46261</v>
      </c>
      <c r="AA82" s="657"/>
      <c r="AB82" s="657"/>
      <c r="AC82" s="657"/>
      <c r="AD82" s="658"/>
      <c r="AE82" s="656">
        <f>Z82+1</f>
        <v>46262</v>
      </c>
      <c r="AF82" s="657"/>
      <c r="AG82" s="657"/>
      <c r="AH82" s="657"/>
      <c r="AI82" s="658"/>
      <c r="AJ82" s="656">
        <f>AE82+1</f>
        <v>46263</v>
      </c>
      <c r="AK82" s="657"/>
      <c r="AL82" s="657"/>
      <c r="AM82" s="657"/>
      <c r="AN82" s="658"/>
      <c r="AO82" s="656">
        <f>AJ82+1</f>
        <v>46264</v>
      </c>
      <c r="AP82" s="657"/>
      <c r="AQ82" s="657"/>
      <c r="AR82" s="657"/>
      <c r="AS82" s="658"/>
      <c r="AT82" s="656">
        <f>AO82+1</f>
        <v>46265</v>
      </c>
      <c r="AU82" s="657"/>
      <c r="AV82" s="657"/>
      <c r="AW82" s="657"/>
      <c r="AX82" s="658"/>
    </row>
    <row r="83" spans="2:53" ht="15.75">
      <c r="B83" s="667"/>
      <c r="C83" s="667"/>
      <c r="D83" s="667"/>
      <c r="E83" s="667"/>
      <c r="F83" s="667"/>
      <c r="G83" s="667"/>
      <c r="H83" s="667"/>
      <c r="I83" s="204"/>
      <c r="J83" s="204"/>
      <c r="K83" s="204"/>
      <c r="L83" s="204"/>
      <c r="M83" s="205"/>
      <c r="N83" s="655"/>
      <c r="O83" s="655"/>
      <c r="P83" s="659" t="s">
        <v>317</v>
      </c>
      <c r="Q83" s="660"/>
      <c r="R83" s="660"/>
      <c r="S83" s="660"/>
      <c r="T83" s="660"/>
      <c r="U83" s="659" t="s">
        <v>318</v>
      </c>
      <c r="V83" s="660"/>
      <c r="W83" s="660"/>
      <c r="X83" s="660"/>
      <c r="Y83" s="660"/>
      <c r="Z83" s="659" t="s">
        <v>319</v>
      </c>
      <c r="AA83" s="660"/>
      <c r="AB83" s="660"/>
      <c r="AC83" s="660"/>
      <c r="AD83" s="660"/>
      <c r="AE83" s="659" t="s">
        <v>320</v>
      </c>
      <c r="AF83" s="660"/>
      <c r="AG83" s="660"/>
      <c r="AH83" s="660"/>
      <c r="AI83" s="660"/>
      <c r="AJ83" s="659" t="s">
        <v>321</v>
      </c>
      <c r="AK83" s="660"/>
      <c r="AL83" s="660"/>
      <c r="AM83" s="660"/>
      <c r="AN83" s="660"/>
      <c r="AO83" s="659" t="s">
        <v>322</v>
      </c>
      <c r="AP83" s="660"/>
      <c r="AQ83" s="660"/>
      <c r="AR83" s="660"/>
      <c r="AS83" s="660"/>
      <c r="AT83" s="659" t="s">
        <v>323</v>
      </c>
      <c r="AU83" s="660"/>
      <c r="AV83" s="660"/>
      <c r="AW83" s="660"/>
      <c r="AX83" s="660"/>
    </row>
    <row r="84" spans="2:53">
      <c r="B84" s="652" t="s">
        <v>389</v>
      </c>
      <c r="C84" s="652" t="s">
        <v>379</v>
      </c>
      <c r="D84" s="652"/>
      <c r="E84" s="652" t="s">
        <v>370</v>
      </c>
      <c r="F84" s="652"/>
      <c r="G84" s="652"/>
      <c r="H84" s="668" t="s">
        <v>366</v>
      </c>
      <c r="I84" s="652" t="s">
        <v>371</v>
      </c>
      <c r="J84" s="652"/>
      <c r="K84" s="652"/>
      <c r="L84" s="668" t="s">
        <v>366</v>
      </c>
      <c r="M84" s="653" t="s">
        <v>367</v>
      </c>
      <c r="N84" s="652"/>
      <c r="O84" s="652" t="s">
        <v>372</v>
      </c>
      <c r="P84" s="649" t="s">
        <v>368</v>
      </c>
      <c r="Q84" s="650"/>
      <c r="R84" s="650"/>
      <c r="S84" s="651"/>
      <c r="T84" s="652" t="s">
        <v>366</v>
      </c>
      <c r="U84" s="649" t="s">
        <v>368</v>
      </c>
      <c r="V84" s="650"/>
      <c r="W84" s="650"/>
      <c r="X84" s="651"/>
      <c r="Y84" s="652" t="s">
        <v>366</v>
      </c>
      <c r="Z84" s="649" t="s">
        <v>368</v>
      </c>
      <c r="AA84" s="650"/>
      <c r="AB84" s="650"/>
      <c r="AC84" s="651"/>
      <c r="AD84" s="652" t="s">
        <v>366</v>
      </c>
      <c r="AE84" s="649" t="s">
        <v>368</v>
      </c>
      <c r="AF84" s="650"/>
      <c r="AG84" s="650"/>
      <c r="AH84" s="651"/>
      <c r="AI84" s="652" t="s">
        <v>366</v>
      </c>
      <c r="AJ84" s="649" t="s">
        <v>368</v>
      </c>
      <c r="AK84" s="650"/>
      <c r="AL84" s="650"/>
      <c r="AM84" s="651"/>
      <c r="AN84" s="652" t="s">
        <v>366</v>
      </c>
      <c r="AO84" s="649" t="s">
        <v>368</v>
      </c>
      <c r="AP84" s="650"/>
      <c r="AQ84" s="650"/>
      <c r="AR84" s="651"/>
      <c r="AS84" s="652" t="s">
        <v>366</v>
      </c>
      <c r="AT84" s="649" t="s">
        <v>368</v>
      </c>
      <c r="AU84" s="650"/>
      <c r="AV84" s="650"/>
      <c r="AW84" s="651"/>
      <c r="AX84" s="652" t="s">
        <v>366</v>
      </c>
      <c r="BA84" s="652" t="s">
        <v>366</v>
      </c>
    </row>
    <row r="85" spans="2:53">
      <c r="B85" s="652"/>
      <c r="C85" s="652"/>
      <c r="D85" s="652"/>
      <c r="E85" s="652" t="s">
        <v>373</v>
      </c>
      <c r="F85" s="652"/>
      <c r="G85" s="652"/>
      <c r="H85" s="669"/>
      <c r="I85" s="652" t="s">
        <v>373</v>
      </c>
      <c r="J85" s="652"/>
      <c r="K85" s="652"/>
      <c r="L85" s="669"/>
      <c r="M85" s="654"/>
      <c r="N85" s="652"/>
      <c r="O85" s="652"/>
      <c r="P85" s="649" t="s">
        <v>374</v>
      </c>
      <c r="Q85" s="650"/>
      <c r="R85" s="650"/>
      <c r="S85" s="651"/>
      <c r="T85" s="652"/>
      <c r="U85" s="649" t="s">
        <v>374</v>
      </c>
      <c r="V85" s="650"/>
      <c r="W85" s="650"/>
      <c r="X85" s="651"/>
      <c r="Y85" s="652"/>
      <c r="Z85" s="649" t="s">
        <v>374</v>
      </c>
      <c r="AA85" s="650"/>
      <c r="AB85" s="650"/>
      <c r="AC85" s="651"/>
      <c r="AD85" s="652"/>
      <c r="AE85" s="649" t="s">
        <v>374</v>
      </c>
      <c r="AF85" s="650"/>
      <c r="AG85" s="650"/>
      <c r="AH85" s="651"/>
      <c r="AI85" s="652"/>
      <c r="AJ85" s="649" t="s">
        <v>374</v>
      </c>
      <c r="AK85" s="650"/>
      <c r="AL85" s="650"/>
      <c r="AM85" s="651"/>
      <c r="AN85" s="652"/>
      <c r="AO85" s="649" t="s">
        <v>374</v>
      </c>
      <c r="AP85" s="650"/>
      <c r="AQ85" s="650"/>
      <c r="AR85" s="651"/>
      <c r="AS85" s="652"/>
      <c r="AT85" s="649" t="s">
        <v>374</v>
      </c>
      <c r="AU85" s="650"/>
      <c r="AV85" s="650"/>
      <c r="AW85" s="651"/>
      <c r="AX85" s="652"/>
      <c r="BA85" s="652"/>
    </row>
    <row r="86" spans="2:53">
      <c r="B86" s="652"/>
      <c r="C86" s="652"/>
      <c r="D86" s="652"/>
      <c r="E86" s="378" t="s">
        <v>375</v>
      </c>
      <c r="F86" s="378" t="s">
        <v>376</v>
      </c>
      <c r="G86" s="378" t="s">
        <v>377</v>
      </c>
      <c r="H86" s="670"/>
      <c r="I86" s="378" t="s">
        <v>375</v>
      </c>
      <c r="J86" s="378" t="s">
        <v>376</v>
      </c>
      <c r="K86" s="378" t="s">
        <v>377</v>
      </c>
      <c r="L86" s="670"/>
      <c r="M86" s="655"/>
      <c r="N86" s="652"/>
      <c r="O86" s="652"/>
      <c r="P86" s="378" t="s">
        <v>375</v>
      </c>
      <c r="Q86" s="378" t="s">
        <v>376</v>
      </c>
      <c r="R86" s="378" t="s">
        <v>377</v>
      </c>
      <c r="S86" s="378" t="s">
        <v>367</v>
      </c>
      <c r="T86" s="652"/>
      <c r="U86" s="378" t="s">
        <v>375</v>
      </c>
      <c r="V86" s="378" t="s">
        <v>376</v>
      </c>
      <c r="W86" s="378" t="s">
        <v>377</v>
      </c>
      <c r="X86" s="378" t="s">
        <v>367</v>
      </c>
      <c r="Y86" s="652"/>
      <c r="Z86" s="378" t="s">
        <v>375</v>
      </c>
      <c r="AA86" s="378" t="s">
        <v>376</v>
      </c>
      <c r="AB86" s="378" t="s">
        <v>377</v>
      </c>
      <c r="AC86" s="378" t="s">
        <v>367</v>
      </c>
      <c r="AD86" s="652"/>
      <c r="AE86" s="378" t="s">
        <v>375</v>
      </c>
      <c r="AF86" s="378" t="s">
        <v>376</v>
      </c>
      <c r="AG86" s="378" t="s">
        <v>377</v>
      </c>
      <c r="AH86" s="378" t="s">
        <v>367</v>
      </c>
      <c r="AI86" s="652"/>
      <c r="AJ86" s="378" t="s">
        <v>375</v>
      </c>
      <c r="AK86" s="378" t="s">
        <v>376</v>
      </c>
      <c r="AL86" s="378" t="s">
        <v>377</v>
      </c>
      <c r="AM86" s="378" t="s">
        <v>367</v>
      </c>
      <c r="AN86" s="652"/>
      <c r="AO86" s="378" t="s">
        <v>375</v>
      </c>
      <c r="AP86" s="378" t="s">
        <v>376</v>
      </c>
      <c r="AQ86" s="378" t="s">
        <v>377</v>
      </c>
      <c r="AR86" s="378" t="s">
        <v>367</v>
      </c>
      <c r="AS86" s="652"/>
      <c r="AT86" s="378" t="s">
        <v>375</v>
      </c>
      <c r="AU86" s="378" t="s">
        <v>376</v>
      </c>
      <c r="AV86" s="378" t="s">
        <v>377</v>
      </c>
      <c r="AW86" s="378" t="s">
        <v>367</v>
      </c>
      <c r="AX86" s="652"/>
      <c r="AZ86" s="367" t="s">
        <v>367</v>
      </c>
      <c r="BA86" s="652"/>
    </row>
    <row r="87" spans="2:53">
      <c r="B87" s="695" t="s">
        <v>403</v>
      </c>
      <c r="C87" s="380">
        <v>1</v>
      </c>
      <c r="D87" s="351" t="s">
        <v>358</v>
      </c>
      <c r="E87" s="510">
        <v>4</v>
      </c>
      <c r="F87" s="510">
        <v>2000</v>
      </c>
      <c r="G87" s="510">
        <v>500</v>
      </c>
      <c r="H87" s="691">
        <f>AVERAGE(G87:G101)</f>
        <v>268.12198172198174</v>
      </c>
      <c r="I87" s="381">
        <f t="shared" ref="I87:I100" si="68">IFERROR(AVERAGE(P87,U87,Z87,AE87,AJ87,AO87,AT87),"-")</f>
        <v>5</v>
      </c>
      <c r="J87" s="381">
        <f t="shared" ref="J87:J100" si="69">IFERROR(AVERAGE(Q87,V87,AA87,AF87,AK87,AP87,AU87),"-")</f>
        <v>2078.8341105126196</v>
      </c>
      <c r="K87" s="199">
        <f t="shared" ref="K87:K100" si="70">IFERROR(AVERAGE(R87,W87,AB87,AG87,AL87,AQ87,AV87),"-")</f>
        <v>415.76682210252392</v>
      </c>
      <c r="L87" s="633">
        <f>IFERROR(AVERAGE(K87:K101),"-")</f>
        <v>232.60359423290868</v>
      </c>
      <c r="M87" s="384">
        <f>RANK(K87, K$87:$K$101)</f>
        <v>2</v>
      </c>
      <c r="N87" s="652"/>
      <c r="O87" s="652"/>
      <c r="P87" s="571">
        <v>5</v>
      </c>
      <c r="Q87" s="573">
        <v>2101.224489795919</v>
      </c>
      <c r="R87" s="573">
        <v>420.24489795918379</v>
      </c>
      <c r="S87" s="571">
        <f t="shared" ref="S87:S101" si="71">RANK(R87, R$87:R$101)</f>
        <v>1</v>
      </c>
      <c r="T87" s="685">
        <f t="shared" ref="T87" si="72">AVERAGE(R87:R101)</f>
        <v>233.08806816102086</v>
      </c>
      <c r="U87" s="571">
        <v>5</v>
      </c>
      <c r="V87" s="573">
        <v>2071.3636363636365</v>
      </c>
      <c r="W87" s="573">
        <v>414.27272727272731</v>
      </c>
      <c r="X87" s="571">
        <f t="shared" ref="X87:X101" si="73">RANK(W87, W$87:W$101)</f>
        <v>1</v>
      </c>
      <c r="Y87" s="685">
        <f t="shared" ref="Y87" si="74">AVERAGE(W87:W101)</f>
        <v>230.65655379485895</v>
      </c>
      <c r="Z87" s="571">
        <v>5</v>
      </c>
      <c r="AA87" s="573">
        <v>2065.3333333333335</v>
      </c>
      <c r="AB87" s="573">
        <v>413.06666666666672</v>
      </c>
      <c r="AC87" s="571">
        <f t="shared" ref="AC87:AC101" si="75">RANK(AB87, AB$87:AB$101)</f>
        <v>2</v>
      </c>
      <c r="AD87" s="685">
        <f t="shared" ref="AD87" si="76">AVERAGE(AB87:AB101)</f>
        <v>231.10331595849101</v>
      </c>
      <c r="AE87" s="571">
        <v>5</v>
      </c>
      <c r="AF87" s="573">
        <v>2047.0588235294117</v>
      </c>
      <c r="AG87" s="573">
        <v>409.41176470588232</v>
      </c>
      <c r="AH87" s="571">
        <f t="shared" ref="AH87:AH101" si="77">RANK(AG87, AG$87:AG$101)</f>
        <v>2</v>
      </c>
      <c r="AI87" s="685">
        <f t="shared" ref="AI87" si="78">AVERAGE(AG87:AG101)</f>
        <v>231.11081228469922</v>
      </c>
      <c r="AJ87" s="571">
        <v>5</v>
      </c>
      <c r="AK87" s="573">
        <v>2112.0000000000005</v>
      </c>
      <c r="AL87" s="573">
        <v>422.40000000000009</v>
      </c>
      <c r="AM87" s="571">
        <f t="shared" ref="AM87:AM101" si="79">RANK(AL87, AL$87:AL$101)</f>
        <v>1</v>
      </c>
      <c r="AN87" s="685">
        <f t="shared" ref="AN87" si="80">AVERAGE(AL87:AL101)</f>
        <v>231.3726244950951</v>
      </c>
      <c r="AO87" s="571">
        <v>5</v>
      </c>
      <c r="AP87" s="573">
        <v>2077.3584905660373</v>
      </c>
      <c r="AQ87" s="573">
        <v>415.47169811320748</v>
      </c>
      <c r="AR87" s="571">
        <f t="shared" ref="AR87:AR101" si="81">RANK(AQ87, AQ$87:AQ$101)</f>
        <v>2</v>
      </c>
      <c r="AS87" s="685">
        <f t="shared" ref="AS87" si="82">AVERAGE(AQ87:AQ101)</f>
        <v>232.414125130608</v>
      </c>
      <c r="AT87" s="571">
        <v>5</v>
      </c>
      <c r="AU87" s="573">
        <v>2077.5</v>
      </c>
      <c r="AV87" s="573">
        <v>415.5</v>
      </c>
      <c r="AW87" s="571">
        <f t="shared" ref="AW87:AW101" si="83">RANK(AV87, AV$87:AV$101)</f>
        <v>2</v>
      </c>
      <c r="AX87" s="685">
        <f t="shared" ref="AX87" si="84">AVERAGE(AV87:AV101)</f>
        <v>231.03506154537769</v>
      </c>
      <c r="AZ87" s="368" t="e">
        <f t="shared" ref="AZ87:AZ101" si="85">RANK(AY87, AY$87:AY$101)</f>
        <v>#N/A</v>
      </c>
      <c r="BA87" s="685" t="e">
        <f t="shared" ref="BA87" si="86">AVERAGE(AY87:AY101)</f>
        <v>#DIV/0!</v>
      </c>
    </row>
    <row r="88" spans="2:53">
      <c r="B88" s="660"/>
      <c r="C88" s="380">
        <v>2</v>
      </c>
      <c r="D88" s="351" t="s">
        <v>428</v>
      </c>
      <c r="E88" s="510">
        <v>4</v>
      </c>
      <c r="F88" s="510">
        <v>2000</v>
      </c>
      <c r="G88" s="510">
        <v>500</v>
      </c>
      <c r="H88" s="692"/>
      <c r="I88" s="381">
        <f t="shared" si="68"/>
        <v>5</v>
      </c>
      <c r="J88" s="381">
        <f t="shared" si="69"/>
        <v>2082.4040343410093</v>
      </c>
      <c r="K88" s="199">
        <f t="shared" si="70"/>
        <v>416.4808068682018</v>
      </c>
      <c r="L88" s="634"/>
      <c r="M88" s="422">
        <f>RANK(K88, K$87:$K$101)</f>
        <v>1</v>
      </c>
      <c r="N88" s="652"/>
      <c r="O88" s="652"/>
      <c r="P88" s="571">
        <v>5</v>
      </c>
      <c r="Q88" s="573">
        <v>2078.666666666667</v>
      </c>
      <c r="R88" s="573">
        <v>415.73333333333341</v>
      </c>
      <c r="S88" s="571">
        <f t="shared" si="71"/>
        <v>2</v>
      </c>
      <c r="T88" s="685"/>
      <c r="U88" s="571">
        <v>5</v>
      </c>
      <c r="V88" s="573">
        <v>2057.1428571428569</v>
      </c>
      <c r="W88" s="573">
        <v>411.42857142857139</v>
      </c>
      <c r="X88" s="571">
        <f t="shared" si="73"/>
        <v>2</v>
      </c>
      <c r="Y88" s="685"/>
      <c r="Z88" s="571">
        <v>5</v>
      </c>
      <c r="AA88" s="573">
        <v>2086.4999999999991</v>
      </c>
      <c r="AB88" s="573">
        <v>417.29999999999984</v>
      </c>
      <c r="AC88" s="571">
        <f t="shared" si="75"/>
        <v>1</v>
      </c>
      <c r="AD88" s="685"/>
      <c r="AE88" s="571">
        <v>5</v>
      </c>
      <c r="AF88" s="573">
        <v>2083.6363636363635</v>
      </c>
      <c r="AG88" s="573">
        <v>416.72727272727269</v>
      </c>
      <c r="AH88" s="571">
        <f t="shared" si="77"/>
        <v>1</v>
      </c>
      <c r="AI88" s="685"/>
      <c r="AJ88" s="571">
        <v>5</v>
      </c>
      <c r="AK88" s="573">
        <v>2055.8823529411766</v>
      </c>
      <c r="AL88" s="573">
        <v>411.1764705882353</v>
      </c>
      <c r="AM88" s="571">
        <f t="shared" si="79"/>
        <v>2</v>
      </c>
      <c r="AN88" s="685"/>
      <c r="AO88" s="571">
        <v>5</v>
      </c>
      <c r="AP88" s="573">
        <v>2115.0000000000005</v>
      </c>
      <c r="AQ88" s="573">
        <v>423.00000000000011</v>
      </c>
      <c r="AR88" s="571">
        <f t="shared" si="81"/>
        <v>1</v>
      </c>
      <c r="AS88" s="685"/>
      <c r="AT88" s="571">
        <v>5</v>
      </c>
      <c r="AU88" s="573">
        <v>2099.9999999999995</v>
      </c>
      <c r="AV88" s="573">
        <v>419.99999999999989</v>
      </c>
      <c r="AW88" s="571">
        <f t="shared" si="83"/>
        <v>1</v>
      </c>
      <c r="AX88" s="685"/>
      <c r="AZ88" s="368" t="e">
        <f t="shared" si="85"/>
        <v>#N/A</v>
      </c>
      <c r="BA88" s="685"/>
    </row>
    <row r="89" spans="2:53">
      <c r="B89" s="660"/>
      <c r="C89" s="380">
        <v>3</v>
      </c>
      <c r="D89" s="351" t="s">
        <v>572</v>
      </c>
      <c r="E89" s="510">
        <v>13</v>
      </c>
      <c r="F89" s="510">
        <v>2250</v>
      </c>
      <c r="G89" s="510">
        <v>173.1</v>
      </c>
      <c r="H89" s="692"/>
      <c r="I89" s="381">
        <f t="shared" si="68"/>
        <v>13</v>
      </c>
      <c r="J89" s="381">
        <f t="shared" si="69"/>
        <v>2153.1030000585279</v>
      </c>
      <c r="K89" s="199">
        <f t="shared" si="70"/>
        <v>165.62330769680986</v>
      </c>
      <c r="L89" s="634"/>
      <c r="M89" s="422">
        <f>RANK(K89, K$87:$K$101)</f>
        <v>7</v>
      </c>
      <c r="N89" s="652"/>
      <c r="O89" s="652"/>
      <c r="P89" s="571">
        <v>13</v>
      </c>
      <c r="Q89" s="573">
        <v>2162.6666666666665</v>
      </c>
      <c r="R89" s="573">
        <v>166.35897435897434</v>
      </c>
      <c r="S89" s="571">
        <f t="shared" si="71"/>
        <v>7</v>
      </c>
      <c r="T89" s="685"/>
      <c r="U89" s="571">
        <v>13</v>
      </c>
      <c r="V89" s="573">
        <v>2167.7647058823536</v>
      </c>
      <c r="W89" s="573">
        <v>166.7511312217195</v>
      </c>
      <c r="X89" s="571">
        <f t="shared" si="73"/>
        <v>6</v>
      </c>
      <c r="Y89" s="685"/>
      <c r="Z89" s="571">
        <v>13</v>
      </c>
      <c r="AA89" s="573">
        <v>2158.5542168674692</v>
      </c>
      <c r="AB89" s="573">
        <v>166.0426320667284</v>
      </c>
      <c r="AC89" s="571">
        <f t="shared" si="75"/>
        <v>7</v>
      </c>
      <c r="AD89" s="685"/>
      <c r="AE89" s="571">
        <v>13</v>
      </c>
      <c r="AF89" s="573">
        <v>2134.6478873239439</v>
      </c>
      <c r="AG89" s="573">
        <v>164.20368364030338</v>
      </c>
      <c r="AH89" s="571">
        <f t="shared" si="77"/>
        <v>7</v>
      </c>
      <c r="AI89" s="685"/>
      <c r="AJ89" s="571">
        <v>13</v>
      </c>
      <c r="AK89" s="573">
        <v>2151.428571428572</v>
      </c>
      <c r="AL89" s="573">
        <v>165.49450549450555</v>
      </c>
      <c r="AM89" s="571">
        <f t="shared" si="79"/>
        <v>7</v>
      </c>
      <c r="AN89" s="685"/>
      <c r="AO89" s="571">
        <v>13</v>
      </c>
      <c r="AP89" s="573">
        <v>2152.5773195876295</v>
      </c>
      <c r="AQ89" s="573">
        <v>165.58287073750995</v>
      </c>
      <c r="AR89" s="571">
        <f t="shared" si="81"/>
        <v>7</v>
      </c>
      <c r="AS89" s="685"/>
      <c r="AT89" s="571">
        <v>13</v>
      </c>
      <c r="AU89" s="573">
        <v>2144.0816326530612</v>
      </c>
      <c r="AV89" s="573">
        <v>164.92935635792779</v>
      </c>
      <c r="AW89" s="571">
        <f t="shared" si="83"/>
        <v>6</v>
      </c>
      <c r="AX89" s="685"/>
      <c r="AZ89" s="368" t="e">
        <f t="shared" si="85"/>
        <v>#N/A</v>
      </c>
      <c r="BA89" s="685"/>
    </row>
    <row r="90" spans="2:53">
      <c r="B90" s="660"/>
      <c r="C90" s="380">
        <v>4</v>
      </c>
      <c r="D90" s="351" t="s">
        <v>360</v>
      </c>
      <c r="E90" s="510">
        <v>13</v>
      </c>
      <c r="F90" s="510">
        <v>2250</v>
      </c>
      <c r="G90" s="510">
        <v>173.1</v>
      </c>
      <c r="H90" s="692"/>
      <c r="I90" s="381">
        <f t="shared" si="68"/>
        <v>13</v>
      </c>
      <c r="J90" s="381">
        <f t="shared" si="69"/>
        <v>2151.7103555984718</v>
      </c>
      <c r="K90" s="199">
        <f t="shared" si="70"/>
        <v>165.51618119988242</v>
      </c>
      <c r="L90" s="634"/>
      <c r="M90" s="422">
        <f>RANK(K90, K$87:$K$101)</f>
        <v>8</v>
      </c>
      <c r="N90" s="652"/>
      <c r="O90" s="652"/>
      <c r="P90" s="571">
        <v>13</v>
      </c>
      <c r="Q90" s="573">
        <v>2138.901098901099</v>
      </c>
      <c r="R90" s="573">
        <v>164.53085376162301</v>
      </c>
      <c r="S90" s="571">
        <f t="shared" si="71"/>
        <v>8</v>
      </c>
      <c r="T90" s="685"/>
      <c r="U90" s="571">
        <v>13</v>
      </c>
      <c r="V90" s="573">
        <v>2150.7142857142862</v>
      </c>
      <c r="W90" s="573">
        <v>165.43956043956047</v>
      </c>
      <c r="X90" s="571">
        <f t="shared" si="73"/>
        <v>7</v>
      </c>
      <c r="Y90" s="685"/>
      <c r="Z90" s="571">
        <v>13</v>
      </c>
      <c r="AA90" s="573">
        <v>2175.9036144578304</v>
      </c>
      <c r="AB90" s="573">
        <v>167.3772011121408</v>
      </c>
      <c r="AC90" s="571">
        <f t="shared" si="75"/>
        <v>6</v>
      </c>
      <c r="AD90" s="685"/>
      <c r="AE90" s="571">
        <v>13</v>
      </c>
      <c r="AF90" s="573">
        <v>2160.8823529411766</v>
      </c>
      <c r="AG90" s="573">
        <v>166.22171945701359</v>
      </c>
      <c r="AH90" s="571">
        <f t="shared" si="77"/>
        <v>6</v>
      </c>
      <c r="AI90" s="685"/>
      <c r="AJ90" s="571">
        <v>13</v>
      </c>
      <c r="AK90" s="573">
        <v>2181.8918918918912</v>
      </c>
      <c r="AL90" s="573">
        <v>167.83783783783778</v>
      </c>
      <c r="AM90" s="571">
        <f t="shared" si="79"/>
        <v>6</v>
      </c>
      <c r="AN90" s="685"/>
      <c r="AO90" s="571">
        <v>13</v>
      </c>
      <c r="AP90" s="573">
        <v>2164.9999999999995</v>
      </c>
      <c r="AQ90" s="573">
        <v>166.53846153846149</v>
      </c>
      <c r="AR90" s="571">
        <f t="shared" si="81"/>
        <v>6</v>
      </c>
      <c r="AS90" s="685"/>
      <c r="AT90" s="571">
        <v>13</v>
      </c>
      <c r="AU90" s="573">
        <v>2088.6792452830191</v>
      </c>
      <c r="AV90" s="573">
        <v>160.66763425253993</v>
      </c>
      <c r="AW90" s="571">
        <f t="shared" si="83"/>
        <v>7</v>
      </c>
      <c r="AX90" s="685"/>
      <c r="AZ90" s="368" t="e">
        <f t="shared" si="85"/>
        <v>#N/A</v>
      </c>
      <c r="BA90" s="685"/>
    </row>
    <row r="91" spans="2:53">
      <c r="B91" s="660"/>
      <c r="C91" s="380">
        <v>5</v>
      </c>
      <c r="D91" s="351" t="s">
        <v>361</v>
      </c>
      <c r="E91" s="510">
        <v>10</v>
      </c>
      <c r="F91" s="510">
        <v>2769</v>
      </c>
      <c r="G91" s="510">
        <v>276.89999999999998</v>
      </c>
      <c r="H91" s="692"/>
      <c r="I91" s="381">
        <f t="shared" si="68"/>
        <v>10</v>
      </c>
      <c r="J91" s="381">
        <f t="shared" si="69"/>
        <v>2422.2397014163739</v>
      </c>
      <c r="K91" s="199">
        <f t="shared" si="70"/>
        <v>242.22397014163741</v>
      </c>
      <c r="L91" s="634"/>
      <c r="M91" s="422">
        <f>RANK(K91, K$87:$K$101)</f>
        <v>4</v>
      </c>
      <c r="N91" s="652"/>
      <c r="O91" s="652"/>
      <c r="P91" s="571">
        <v>10</v>
      </c>
      <c r="Q91" s="573">
        <v>2417.4339622641505</v>
      </c>
      <c r="R91" s="573">
        <v>241.74339622641506</v>
      </c>
      <c r="S91" s="571">
        <f t="shared" si="71"/>
        <v>4</v>
      </c>
      <c r="T91" s="685"/>
      <c r="U91" s="571">
        <v>10</v>
      </c>
      <c r="V91" s="573">
        <v>2421</v>
      </c>
      <c r="W91" s="573">
        <v>242.1</v>
      </c>
      <c r="X91" s="571">
        <f t="shared" si="73"/>
        <v>3</v>
      </c>
      <c r="Y91" s="685"/>
      <c r="Z91" s="571">
        <v>10</v>
      </c>
      <c r="AA91" s="573">
        <v>2430.7999999999997</v>
      </c>
      <c r="AB91" s="573">
        <v>243.07999999999998</v>
      </c>
      <c r="AC91" s="571">
        <f t="shared" si="75"/>
        <v>3</v>
      </c>
      <c r="AD91" s="685"/>
      <c r="AE91" s="571">
        <v>10</v>
      </c>
      <c r="AF91" s="573">
        <v>2433.3913043478265</v>
      </c>
      <c r="AG91" s="573">
        <v>243.33913043478265</v>
      </c>
      <c r="AH91" s="571">
        <f t="shared" si="77"/>
        <v>3</v>
      </c>
      <c r="AI91" s="685"/>
      <c r="AJ91" s="571">
        <v>10</v>
      </c>
      <c r="AK91" s="573">
        <v>2423.4725274725274</v>
      </c>
      <c r="AL91" s="573">
        <v>242.34725274725275</v>
      </c>
      <c r="AM91" s="571">
        <f t="shared" si="79"/>
        <v>3</v>
      </c>
      <c r="AN91" s="685"/>
      <c r="AO91" s="571">
        <v>10</v>
      </c>
      <c r="AP91" s="573">
        <v>2424.9729729729743</v>
      </c>
      <c r="AQ91" s="573">
        <v>242.49729729729742</v>
      </c>
      <c r="AR91" s="571">
        <f t="shared" si="81"/>
        <v>3</v>
      </c>
      <c r="AS91" s="685"/>
      <c r="AT91" s="571">
        <v>10</v>
      </c>
      <c r="AU91" s="573">
        <v>2404.6071428571422</v>
      </c>
      <c r="AV91" s="573">
        <v>240.46071428571423</v>
      </c>
      <c r="AW91" s="571">
        <f t="shared" si="83"/>
        <v>3</v>
      </c>
      <c r="AX91" s="685"/>
      <c r="AZ91" s="368" t="e">
        <f t="shared" si="85"/>
        <v>#N/A</v>
      </c>
      <c r="BA91" s="685"/>
    </row>
    <row r="92" spans="2:53">
      <c r="B92" s="660"/>
      <c r="C92" s="380">
        <v>6</v>
      </c>
      <c r="D92" s="351" t="s">
        <v>691</v>
      </c>
      <c r="E92" s="510">
        <v>11</v>
      </c>
      <c r="F92" s="510">
        <v>2250</v>
      </c>
      <c r="G92" s="510">
        <v>204.5</v>
      </c>
      <c r="H92" s="692"/>
      <c r="I92" s="381">
        <f t="shared" si="68"/>
        <v>11</v>
      </c>
      <c r="J92" s="381">
        <f t="shared" si="69"/>
        <v>2076.261484798682</v>
      </c>
      <c r="K92" s="199">
        <f t="shared" si="70"/>
        <v>188.7510440726075</v>
      </c>
      <c r="L92" s="634"/>
      <c r="M92" s="422">
        <f>RANK(K92, K$87:$K$101)</f>
        <v>6</v>
      </c>
      <c r="N92" s="652"/>
      <c r="O92" s="652"/>
      <c r="P92" s="571">
        <v>11</v>
      </c>
      <c r="Q92" s="573">
        <v>2087.25</v>
      </c>
      <c r="R92" s="573">
        <v>189.75</v>
      </c>
      <c r="S92" s="571">
        <f t="shared" si="71"/>
        <v>6</v>
      </c>
      <c r="T92" s="685"/>
      <c r="U92" s="571">
        <v>11</v>
      </c>
      <c r="V92" s="573">
        <v>2074.54128440367</v>
      </c>
      <c r="W92" s="573">
        <v>188.59466221851545</v>
      </c>
      <c r="X92" s="571">
        <f t="shared" si="73"/>
        <v>5</v>
      </c>
      <c r="Y92" s="685"/>
      <c r="Z92" s="571">
        <v>11</v>
      </c>
      <c r="AA92" s="573">
        <v>2051.4818181818182</v>
      </c>
      <c r="AB92" s="573">
        <v>186.49834710743801</v>
      </c>
      <c r="AC92" s="571">
        <f t="shared" si="75"/>
        <v>5</v>
      </c>
      <c r="AD92" s="685"/>
      <c r="AE92" s="571">
        <v>11</v>
      </c>
      <c r="AF92" s="573">
        <v>2103.792592592592</v>
      </c>
      <c r="AG92" s="573">
        <v>191.25387205387199</v>
      </c>
      <c r="AH92" s="571">
        <f t="shared" si="77"/>
        <v>5</v>
      </c>
      <c r="AI92" s="685"/>
      <c r="AJ92" s="571">
        <v>11</v>
      </c>
      <c r="AK92" s="573">
        <v>2036.9519999999991</v>
      </c>
      <c r="AL92" s="573">
        <v>185.17745454545445</v>
      </c>
      <c r="AM92" s="571">
        <f t="shared" si="79"/>
        <v>5</v>
      </c>
      <c r="AN92" s="685"/>
      <c r="AO92" s="571">
        <v>11</v>
      </c>
      <c r="AP92" s="573">
        <v>2084.9555555555553</v>
      </c>
      <c r="AQ92" s="573">
        <v>189.54141414141412</v>
      </c>
      <c r="AR92" s="571">
        <f t="shared" si="81"/>
        <v>5</v>
      </c>
      <c r="AS92" s="685"/>
      <c r="AT92" s="571">
        <v>11</v>
      </c>
      <c r="AU92" s="573">
        <v>2094.8571428571422</v>
      </c>
      <c r="AV92" s="573">
        <v>190.44155844155839</v>
      </c>
      <c r="AW92" s="571">
        <f t="shared" si="83"/>
        <v>5</v>
      </c>
      <c r="AX92" s="685"/>
      <c r="AZ92" s="368" t="e">
        <f t="shared" si="85"/>
        <v>#N/A</v>
      </c>
      <c r="BA92" s="685"/>
    </row>
    <row r="93" spans="2:53">
      <c r="B93" s="660"/>
      <c r="C93" s="380">
        <v>7</v>
      </c>
      <c r="D93" s="351" t="s">
        <v>357</v>
      </c>
      <c r="E93" s="510">
        <v>18</v>
      </c>
      <c r="F93" s="510">
        <v>1200</v>
      </c>
      <c r="G93" s="510">
        <v>66.666666666666671</v>
      </c>
      <c r="H93" s="692"/>
      <c r="I93" s="381">
        <f t="shared" si="68"/>
        <v>18</v>
      </c>
      <c r="J93" s="381">
        <f t="shared" si="69"/>
        <v>1095.8052415615073</v>
      </c>
      <c r="K93" s="199">
        <f t="shared" si="70"/>
        <v>60.878068975639295</v>
      </c>
      <c r="L93" s="634"/>
      <c r="M93" s="422">
        <f>RANK(K93, K$87:$K$101)</f>
        <v>9</v>
      </c>
      <c r="N93" s="652"/>
      <c r="O93" s="652"/>
      <c r="P93" s="571">
        <v>18</v>
      </c>
      <c r="Q93" s="573">
        <v>1094.4000000000003</v>
      </c>
      <c r="R93" s="573">
        <v>60.800000000000018</v>
      </c>
      <c r="S93" s="571">
        <f t="shared" si="71"/>
        <v>9</v>
      </c>
      <c r="T93" s="685"/>
      <c r="U93" s="571">
        <v>18</v>
      </c>
      <c r="V93" s="573">
        <v>1094</v>
      </c>
      <c r="W93" s="573">
        <v>60.777777777777779</v>
      </c>
      <c r="X93" s="571">
        <f t="shared" si="73"/>
        <v>8</v>
      </c>
      <c r="Y93" s="685"/>
      <c r="Z93" s="571">
        <v>18</v>
      </c>
      <c r="AA93" s="573">
        <v>1092.391304347826</v>
      </c>
      <c r="AB93" s="573">
        <v>60.688405797101446</v>
      </c>
      <c r="AC93" s="571">
        <f t="shared" si="75"/>
        <v>8</v>
      </c>
      <c r="AD93" s="685"/>
      <c r="AE93" s="571">
        <v>18</v>
      </c>
      <c r="AF93" s="573">
        <v>1097.6470588235281</v>
      </c>
      <c r="AG93" s="573">
        <v>60.980392156862678</v>
      </c>
      <c r="AH93" s="571">
        <f t="shared" si="77"/>
        <v>8</v>
      </c>
      <c r="AI93" s="685"/>
      <c r="AJ93" s="571">
        <v>18</v>
      </c>
      <c r="AK93" s="573">
        <v>1095.1999999999991</v>
      </c>
      <c r="AL93" s="573">
        <v>60.844444444444399</v>
      </c>
      <c r="AM93" s="571">
        <f t="shared" si="79"/>
        <v>8</v>
      </c>
      <c r="AN93" s="685"/>
      <c r="AO93" s="571">
        <v>18</v>
      </c>
      <c r="AP93" s="573">
        <v>1101.3461538461545</v>
      </c>
      <c r="AQ93" s="573">
        <v>61.185897435897473</v>
      </c>
      <c r="AR93" s="571">
        <f t="shared" si="81"/>
        <v>8</v>
      </c>
      <c r="AS93" s="685"/>
      <c r="AT93" s="571">
        <v>18</v>
      </c>
      <c r="AU93" s="573">
        <v>1095.6521739130435</v>
      </c>
      <c r="AV93" s="573">
        <v>60.869565217391305</v>
      </c>
      <c r="AW93" s="571">
        <f t="shared" si="83"/>
        <v>8</v>
      </c>
      <c r="AX93" s="685"/>
      <c r="AZ93" s="368" t="e">
        <f t="shared" si="85"/>
        <v>#N/A</v>
      </c>
      <c r="BA93" s="685"/>
    </row>
    <row r="94" spans="2:53">
      <c r="B94" s="660"/>
      <c r="C94" s="380">
        <v>8</v>
      </c>
      <c r="D94" s="351" t="s">
        <v>704</v>
      </c>
      <c r="E94" s="510">
        <v>7</v>
      </c>
      <c r="F94" s="510">
        <v>2200</v>
      </c>
      <c r="G94" s="510">
        <v>314.28571428571428</v>
      </c>
      <c r="H94" s="692"/>
      <c r="I94" s="381">
        <f t="shared" si="68"/>
        <v>7</v>
      </c>
      <c r="J94" s="381">
        <f t="shared" si="69"/>
        <v>1697.1428571428535</v>
      </c>
      <c r="K94" s="199">
        <f t="shared" si="70"/>
        <v>242.44897959183621</v>
      </c>
      <c r="L94" s="634"/>
      <c r="M94" s="422">
        <f>RANK(K94, K$87:$K$101)</f>
        <v>3</v>
      </c>
      <c r="N94" s="652"/>
      <c r="O94" s="652"/>
      <c r="P94" s="571">
        <v>7</v>
      </c>
      <c r="Q94" s="573">
        <v>1697.1428571428535</v>
      </c>
      <c r="R94" s="573">
        <v>242.44897959183621</v>
      </c>
      <c r="S94" s="571">
        <f t="shared" si="71"/>
        <v>3</v>
      </c>
      <c r="T94" s="685"/>
      <c r="U94" s="571" t="s">
        <v>585</v>
      </c>
      <c r="V94" s="573" t="s">
        <v>585</v>
      </c>
      <c r="W94" s="573" t="s">
        <v>585</v>
      </c>
      <c r="X94" s="571" t="e">
        <f t="shared" si="73"/>
        <v>#VALUE!</v>
      </c>
      <c r="Y94" s="685"/>
      <c r="Z94" s="571" t="s">
        <v>585</v>
      </c>
      <c r="AA94" s="573" t="s">
        <v>585</v>
      </c>
      <c r="AB94" s="573" t="s">
        <v>585</v>
      </c>
      <c r="AC94" s="571" t="e">
        <f t="shared" si="75"/>
        <v>#VALUE!</v>
      </c>
      <c r="AD94" s="685"/>
      <c r="AE94" s="571" t="s">
        <v>585</v>
      </c>
      <c r="AF94" s="573" t="s">
        <v>585</v>
      </c>
      <c r="AG94" s="573" t="s">
        <v>585</v>
      </c>
      <c r="AH94" s="571" t="e">
        <f t="shared" si="77"/>
        <v>#VALUE!</v>
      </c>
      <c r="AI94" s="685"/>
      <c r="AJ94" s="571" t="s">
        <v>585</v>
      </c>
      <c r="AK94" s="573" t="s">
        <v>585</v>
      </c>
      <c r="AL94" s="573" t="s">
        <v>585</v>
      </c>
      <c r="AM94" s="571" t="e">
        <f t="shared" si="79"/>
        <v>#VALUE!</v>
      </c>
      <c r="AN94" s="685"/>
      <c r="AO94" s="571" t="s">
        <v>585</v>
      </c>
      <c r="AP94" s="573" t="s">
        <v>585</v>
      </c>
      <c r="AQ94" s="573" t="s">
        <v>585</v>
      </c>
      <c r="AR94" s="571" t="e">
        <f t="shared" si="81"/>
        <v>#VALUE!</v>
      </c>
      <c r="AS94" s="685"/>
      <c r="AT94" s="571" t="s">
        <v>585</v>
      </c>
      <c r="AU94" s="573" t="s">
        <v>585</v>
      </c>
      <c r="AV94" s="573" t="s">
        <v>585</v>
      </c>
      <c r="AW94" s="571" t="e">
        <f t="shared" si="83"/>
        <v>#VALUE!</v>
      </c>
      <c r="AX94" s="685"/>
      <c r="AZ94" s="368" t="e">
        <f t="shared" si="85"/>
        <v>#N/A</v>
      </c>
      <c r="BA94" s="685"/>
    </row>
    <row r="95" spans="2:53">
      <c r="B95" s="660"/>
      <c r="C95" s="380">
        <v>9</v>
      </c>
      <c r="D95" s="351" t="s">
        <v>760</v>
      </c>
      <c r="E95" s="510">
        <v>11</v>
      </c>
      <c r="F95" s="510">
        <v>2250</v>
      </c>
      <c r="G95" s="510">
        <v>204.54545454545453</v>
      </c>
      <c r="H95" s="692"/>
      <c r="I95" s="381">
        <f t="shared" si="68"/>
        <v>11</v>
      </c>
      <c r="J95" s="381">
        <f t="shared" si="69"/>
        <v>2153.1748419174332</v>
      </c>
      <c r="K95" s="199">
        <f t="shared" si="70"/>
        <v>195.74316744703941</v>
      </c>
      <c r="L95" s="634"/>
      <c r="M95" s="422">
        <f>RANK(K95, K$87:$K$101)</f>
        <v>5</v>
      </c>
      <c r="N95" s="652"/>
      <c r="O95" s="652"/>
      <c r="P95" s="571">
        <v>11</v>
      </c>
      <c r="Q95" s="573">
        <v>2158.0039603960404</v>
      </c>
      <c r="R95" s="573">
        <v>196.18217821782184</v>
      </c>
      <c r="S95" s="571">
        <f t="shared" si="71"/>
        <v>5</v>
      </c>
      <c r="T95" s="685"/>
      <c r="U95" s="571">
        <v>11</v>
      </c>
      <c r="V95" s="573">
        <v>2154.7679999999996</v>
      </c>
      <c r="W95" s="573">
        <v>195.88799999999995</v>
      </c>
      <c r="X95" s="571">
        <f t="shared" si="73"/>
        <v>4</v>
      </c>
      <c r="Y95" s="685"/>
      <c r="Z95" s="571">
        <v>11</v>
      </c>
      <c r="AA95" s="573">
        <v>2142.5060240963849</v>
      </c>
      <c r="AB95" s="573">
        <v>194.77327491785317</v>
      </c>
      <c r="AC95" s="571">
        <f t="shared" si="75"/>
        <v>4</v>
      </c>
      <c r="AD95" s="685"/>
      <c r="AE95" s="571">
        <v>11</v>
      </c>
      <c r="AF95" s="573">
        <v>2164.2352941176464</v>
      </c>
      <c r="AG95" s="573">
        <v>196.74866310160422</v>
      </c>
      <c r="AH95" s="571">
        <f t="shared" si="77"/>
        <v>4</v>
      </c>
      <c r="AI95" s="685"/>
      <c r="AJ95" s="571">
        <v>11</v>
      </c>
      <c r="AK95" s="573">
        <v>2152.7333333333331</v>
      </c>
      <c r="AL95" s="573">
        <v>195.70303030303029</v>
      </c>
      <c r="AM95" s="571">
        <f t="shared" si="79"/>
        <v>4</v>
      </c>
      <c r="AN95" s="685"/>
      <c r="AO95" s="571">
        <v>11</v>
      </c>
      <c r="AP95" s="573">
        <v>2150.4489795918371</v>
      </c>
      <c r="AQ95" s="573">
        <v>195.4953617810761</v>
      </c>
      <c r="AR95" s="571">
        <f t="shared" si="81"/>
        <v>4</v>
      </c>
      <c r="AS95" s="685"/>
      <c r="AT95" s="571">
        <v>11</v>
      </c>
      <c r="AU95" s="573">
        <v>2149.5283018867913</v>
      </c>
      <c r="AV95" s="573">
        <v>195.41166380789011</v>
      </c>
      <c r="AW95" s="571">
        <f t="shared" si="83"/>
        <v>4</v>
      </c>
      <c r="AX95" s="685"/>
      <c r="AZ95" s="368" t="e">
        <f t="shared" si="85"/>
        <v>#N/A</v>
      </c>
      <c r="BA95" s="685"/>
    </row>
    <row r="96" spans="2:53">
      <c r="B96" s="660"/>
      <c r="C96" s="380">
        <v>10</v>
      </c>
      <c r="D96" s="351"/>
      <c r="E96" s="510"/>
      <c r="F96" s="510"/>
      <c r="G96" s="510"/>
      <c r="H96" s="692"/>
      <c r="I96" s="381" t="str">
        <f t="shared" si="68"/>
        <v>-</v>
      </c>
      <c r="J96" s="381" t="str">
        <f t="shared" si="69"/>
        <v>-</v>
      </c>
      <c r="K96" s="199" t="str">
        <f t="shared" si="70"/>
        <v>-</v>
      </c>
      <c r="L96" s="634"/>
      <c r="M96" s="422" t="e">
        <f>RANK(K96, K$87:$K$101)</f>
        <v>#VALUE!</v>
      </c>
      <c r="N96" s="652"/>
      <c r="O96" s="652"/>
      <c r="P96" s="571" t="s">
        <v>585</v>
      </c>
      <c r="Q96" s="573" t="s">
        <v>585</v>
      </c>
      <c r="R96" s="573" t="s">
        <v>585</v>
      </c>
      <c r="S96" s="571" t="e">
        <f t="shared" si="71"/>
        <v>#VALUE!</v>
      </c>
      <c r="T96" s="685"/>
      <c r="U96" s="571" t="s">
        <v>585</v>
      </c>
      <c r="V96" s="573" t="s">
        <v>585</v>
      </c>
      <c r="W96" s="573" t="s">
        <v>585</v>
      </c>
      <c r="X96" s="571" t="e">
        <f t="shared" si="73"/>
        <v>#VALUE!</v>
      </c>
      <c r="Y96" s="685"/>
      <c r="Z96" s="571" t="s">
        <v>585</v>
      </c>
      <c r="AA96" s="573" t="s">
        <v>585</v>
      </c>
      <c r="AB96" s="573" t="s">
        <v>585</v>
      </c>
      <c r="AC96" s="571" t="e">
        <f t="shared" si="75"/>
        <v>#VALUE!</v>
      </c>
      <c r="AD96" s="685"/>
      <c r="AE96" s="571" t="s">
        <v>585</v>
      </c>
      <c r="AF96" s="573" t="s">
        <v>585</v>
      </c>
      <c r="AG96" s="573" t="s">
        <v>585</v>
      </c>
      <c r="AH96" s="571" t="e">
        <f t="shared" si="77"/>
        <v>#VALUE!</v>
      </c>
      <c r="AI96" s="685"/>
      <c r="AJ96" s="571" t="s">
        <v>585</v>
      </c>
      <c r="AK96" s="573" t="s">
        <v>585</v>
      </c>
      <c r="AL96" s="573" t="s">
        <v>585</v>
      </c>
      <c r="AM96" s="571" t="e">
        <f t="shared" si="79"/>
        <v>#VALUE!</v>
      </c>
      <c r="AN96" s="685"/>
      <c r="AO96" s="571" t="s">
        <v>585</v>
      </c>
      <c r="AP96" s="573" t="s">
        <v>585</v>
      </c>
      <c r="AQ96" s="573" t="s">
        <v>585</v>
      </c>
      <c r="AR96" s="571" t="e">
        <f t="shared" si="81"/>
        <v>#VALUE!</v>
      </c>
      <c r="AS96" s="685"/>
      <c r="AT96" s="571" t="s">
        <v>585</v>
      </c>
      <c r="AU96" s="573" t="s">
        <v>585</v>
      </c>
      <c r="AV96" s="573" t="s">
        <v>585</v>
      </c>
      <c r="AW96" s="571" t="e">
        <f t="shared" si="83"/>
        <v>#VALUE!</v>
      </c>
      <c r="AX96" s="685"/>
      <c r="AZ96" s="368" t="e">
        <f t="shared" si="85"/>
        <v>#N/A</v>
      </c>
      <c r="BA96" s="685"/>
    </row>
    <row r="97" spans="2:53">
      <c r="B97" s="660"/>
      <c r="C97" s="380">
        <v>11</v>
      </c>
      <c r="D97" s="351"/>
      <c r="E97" s="510"/>
      <c r="F97" s="510"/>
      <c r="G97" s="510"/>
      <c r="H97" s="692"/>
      <c r="I97" s="381" t="str">
        <f t="shared" si="68"/>
        <v>-</v>
      </c>
      <c r="J97" s="381" t="str">
        <f t="shared" si="69"/>
        <v>-</v>
      </c>
      <c r="K97" s="199" t="str">
        <f t="shared" si="70"/>
        <v>-</v>
      </c>
      <c r="L97" s="634"/>
      <c r="M97" s="422" t="e">
        <f>RANK(K97, K$87:$K$101)</f>
        <v>#VALUE!</v>
      </c>
      <c r="N97" s="652"/>
      <c r="O97" s="652"/>
      <c r="P97" s="571" t="s">
        <v>585</v>
      </c>
      <c r="Q97" s="573" t="s">
        <v>585</v>
      </c>
      <c r="R97" s="573" t="s">
        <v>585</v>
      </c>
      <c r="S97" s="571" t="e">
        <f t="shared" si="71"/>
        <v>#VALUE!</v>
      </c>
      <c r="T97" s="685"/>
      <c r="U97" s="571" t="s">
        <v>585</v>
      </c>
      <c r="V97" s="573" t="s">
        <v>585</v>
      </c>
      <c r="W97" s="573" t="s">
        <v>585</v>
      </c>
      <c r="X97" s="571" t="e">
        <f t="shared" si="73"/>
        <v>#VALUE!</v>
      </c>
      <c r="Y97" s="685"/>
      <c r="Z97" s="571" t="s">
        <v>585</v>
      </c>
      <c r="AA97" s="573" t="s">
        <v>585</v>
      </c>
      <c r="AB97" s="573" t="s">
        <v>585</v>
      </c>
      <c r="AC97" s="571" t="e">
        <f t="shared" si="75"/>
        <v>#VALUE!</v>
      </c>
      <c r="AD97" s="685"/>
      <c r="AE97" s="571" t="s">
        <v>585</v>
      </c>
      <c r="AF97" s="573" t="s">
        <v>585</v>
      </c>
      <c r="AG97" s="573" t="s">
        <v>585</v>
      </c>
      <c r="AH97" s="571" t="e">
        <f t="shared" si="77"/>
        <v>#VALUE!</v>
      </c>
      <c r="AI97" s="685"/>
      <c r="AJ97" s="571" t="s">
        <v>585</v>
      </c>
      <c r="AK97" s="573" t="s">
        <v>585</v>
      </c>
      <c r="AL97" s="573" t="s">
        <v>585</v>
      </c>
      <c r="AM97" s="571" t="e">
        <f t="shared" si="79"/>
        <v>#VALUE!</v>
      </c>
      <c r="AN97" s="685"/>
      <c r="AO97" s="571" t="s">
        <v>585</v>
      </c>
      <c r="AP97" s="573" t="s">
        <v>585</v>
      </c>
      <c r="AQ97" s="573" t="s">
        <v>585</v>
      </c>
      <c r="AR97" s="571" t="e">
        <f t="shared" si="81"/>
        <v>#VALUE!</v>
      </c>
      <c r="AS97" s="685"/>
      <c r="AT97" s="571" t="s">
        <v>585</v>
      </c>
      <c r="AU97" s="573" t="s">
        <v>585</v>
      </c>
      <c r="AV97" s="573" t="s">
        <v>585</v>
      </c>
      <c r="AW97" s="571" t="e">
        <f t="shared" si="83"/>
        <v>#VALUE!</v>
      </c>
      <c r="AX97" s="685"/>
      <c r="AZ97" s="368" t="e">
        <f t="shared" si="85"/>
        <v>#N/A</v>
      </c>
      <c r="BA97" s="685"/>
    </row>
    <row r="98" spans="2:53">
      <c r="B98" s="660"/>
      <c r="C98" s="380">
        <v>12</v>
      </c>
      <c r="D98" s="351"/>
      <c r="E98" s="510"/>
      <c r="F98" s="510"/>
      <c r="G98" s="510"/>
      <c r="H98" s="692"/>
      <c r="I98" s="381" t="str">
        <f t="shared" si="68"/>
        <v>-</v>
      </c>
      <c r="J98" s="381" t="str">
        <f t="shared" si="69"/>
        <v>-</v>
      </c>
      <c r="K98" s="199" t="str">
        <f t="shared" si="70"/>
        <v>-</v>
      </c>
      <c r="L98" s="634"/>
      <c r="M98" s="422" t="e">
        <f>RANK(K98, K$87:$K$101)</f>
        <v>#VALUE!</v>
      </c>
      <c r="N98" s="652"/>
      <c r="O98" s="652"/>
      <c r="P98" s="571" t="s">
        <v>585</v>
      </c>
      <c r="Q98" s="573" t="s">
        <v>585</v>
      </c>
      <c r="R98" s="573" t="s">
        <v>585</v>
      </c>
      <c r="S98" s="571" t="e">
        <f t="shared" si="71"/>
        <v>#VALUE!</v>
      </c>
      <c r="T98" s="685"/>
      <c r="U98" s="571" t="s">
        <v>585</v>
      </c>
      <c r="V98" s="573" t="s">
        <v>585</v>
      </c>
      <c r="W98" s="573" t="s">
        <v>585</v>
      </c>
      <c r="X98" s="571" t="e">
        <f t="shared" si="73"/>
        <v>#VALUE!</v>
      </c>
      <c r="Y98" s="685"/>
      <c r="Z98" s="571" t="s">
        <v>585</v>
      </c>
      <c r="AA98" s="573" t="s">
        <v>585</v>
      </c>
      <c r="AB98" s="573" t="s">
        <v>585</v>
      </c>
      <c r="AC98" s="571" t="e">
        <f t="shared" si="75"/>
        <v>#VALUE!</v>
      </c>
      <c r="AD98" s="685"/>
      <c r="AE98" s="571" t="s">
        <v>585</v>
      </c>
      <c r="AF98" s="573" t="s">
        <v>585</v>
      </c>
      <c r="AG98" s="573" t="s">
        <v>585</v>
      </c>
      <c r="AH98" s="571" t="e">
        <f t="shared" si="77"/>
        <v>#VALUE!</v>
      </c>
      <c r="AI98" s="685"/>
      <c r="AJ98" s="571" t="s">
        <v>585</v>
      </c>
      <c r="AK98" s="573" t="s">
        <v>585</v>
      </c>
      <c r="AL98" s="573" t="s">
        <v>585</v>
      </c>
      <c r="AM98" s="571" t="e">
        <f t="shared" si="79"/>
        <v>#VALUE!</v>
      </c>
      <c r="AN98" s="685"/>
      <c r="AO98" s="571" t="s">
        <v>585</v>
      </c>
      <c r="AP98" s="573" t="s">
        <v>585</v>
      </c>
      <c r="AQ98" s="573" t="s">
        <v>585</v>
      </c>
      <c r="AR98" s="571" t="e">
        <f t="shared" si="81"/>
        <v>#VALUE!</v>
      </c>
      <c r="AS98" s="685"/>
      <c r="AT98" s="571" t="s">
        <v>585</v>
      </c>
      <c r="AU98" s="573" t="s">
        <v>585</v>
      </c>
      <c r="AV98" s="573" t="s">
        <v>585</v>
      </c>
      <c r="AW98" s="571" t="e">
        <f t="shared" si="83"/>
        <v>#VALUE!</v>
      </c>
      <c r="AX98" s="685"/>
      <c r="AZ98" s="368" t="e">
        <f t="shared" si="85"/>
        <v>#N/A</v>
      </c>
      <c r="BA98" s="685"/>
    </row>
    <row r="99" spans="2:53">
      <c r="B99" s="660"/>
      <c r="C99" s="380">
        <v>13</v>
      </c>
      <c r="D99" s="351"/>
      <c r="E99" s="510"/>
      <c r="F99" s="510"/>
      <c r="G99" s="510"/>
      <c r="H99" s="692"/>
      <c r="I99" s="381" t="str">
        <f t="shared" si="68"/>
        <v>-</v>
      </c>
      <c r="J99" s="381" t="str">
        <f t="shared" si="69"/>
        <v>-</v>
      </c>
      <c r="K99" s="199" t="str">
        <f t="shared" si="70"/>
        <v>-</v>
      </c>
      <c r="L99" s="634"/>
      <c r="M99" s="422" t="e">
        <f>RANK(K99, K$87:$K$101)</f>
        <v>#VALUE!</v>
      </c>
      <c r="N99" s="652"/>
      <c r="O99" s="652"/>
      <c r="P99" s="571" t="s">
        <v>585</v>
      </c>
      <c r="Q99" s="573" t="s">
        <v>585</v>
      </c>
      <c r="R99" s="573" t="s">
        <v>585</v>
      </c>
      <c r="S99" s="571" t="e">
        <f t="shared" si="71"/>
        <v>#VALUE!</v>
      </c>
      <c r="T99" s="685"/>
      <c r="U99" s="571" t="s">
        <v>585</v>
      </c>
      <c r="V99" s="573" t="s">
        <v>585</v>
      </c>
      <c r="W99" s="573" t="s">
        <v>585</v>
      </c>
      <c r="X99" s="571" t="e">
        <f t="shared" si="73"/>
        <v>#VALUE!</v>
      </c>
      <c r="Y99" s="685"/>
      <c r="Z99" s="571" t="s">
        <v>585</v>
      </c>
      <c r="AA99" s="573" t="s">
        <v>585</v>
      </c>
      <c r="AB99" s="573" t="s">
        <v>585</v>
      </c>
      <c r="AC99" s="571" t="e">
        <f t="shared" si="75"/>
        <v>#VALUE!</v>
      </c>
      <c r="AD99" s="685"/>
      <c r="AE99" s="571" t="s">
        <v>585</v>
      </c>
      <c r="AF99" s="573" t="s">
        <v>585</v>
      </c>
      <c r="AG99" s="573" t="s">
        <v>585</v>
      </c>
      <c r="AH99" s="571" t="e">
        <f t="shared" si="77"/>
        <v>#VALUE!</v>
      </c>
      <c r="AI99" s="685"/>
      <c r="AJ99" s="571" t="s">
        <v>585</v>
      </c>
      <c r="AK99" s="573" t="s">
        <v>585</v>
      </c>
      <c r="AL99" s="573" t="s">
        <v>585</v>
      </c>
      <c r="AM99" s="571" t="e">
        <f t="shared" si="79"/>
        <v>#VALUE!</v>
      </c>
      <c r="AN99" s="685"/>
      <c r="AO99" s="571" t="s">
        <v>585</v>
      </c>
      <c r="AP99" s="573" t="s">
        <v>585</v>
      </c>
      <c r="AQ99" s="573" t="s">
        <v>585</v>
      </c>
      <c r="AR99" s="571" t="e">
        <f t="shared" si="81"/>
        <v>#VALUE!</v>
      </c>
      <c r="AS99" s="685"/>
      <c r="AT99" s="571" t="s">
        <v>585</v>
      </c>
      <c r="AU99" s="573" t="s">
        <v>585</v>
      </c>
      <c r="AV99" s="573" t="s">
        <v>585</v>
      </c>
      <c r="AW99" s="571" t="e">
        <f t="shared" si="83"/>
        <v>#VALUE!</v>
      </c>
      <c r="AX99" s="685"/>
      <c r="AZ99" s="368" t="e">
        <f t="shared" si="85"/>
        <v>#N/A</v>
      </c>
      <c r="BA99" s="685"/>
    </row>
    <row r="100" spans="2:53">
      <c r="B100" s="660"/>
      <c r="C100" s="380">
        <v>14</v>
      </c>
      <c r="D100" s="351"/>
      <c r="E100" s="510"/>
      <c r="F100" s="510"/>
      <c r="G100" s="510"/>
      <c r="H100" s="692"/>
      <c r="I100" s="381" t="str">
        <f t="shared" si="68"/>
        <v>-</v>
      </c>
      <c r="J100" s="381" t="str">
        <f t="shared" si="69"/>
        <v>-</v>
      </c>
      <c r="K100" s="199" t="str">
        <f t="shared" si="70"/>
        <v>-</v>
      </c>
      <c r="L100" s="634"/>
      <c r="M100" s="422" t="e">
        <f>RANK(K100, K$87:$K$101)</f>
        <v>#VALUE!</v>
      </c>
      <c r="N100" s="652"/>
      <c r="O100" s="652"/>
      <c r="P100" s="571" t="s">
        <v>585</v>
      </c>
      <c r="Q100" s="573" t="s">
        <v>585</v>
      </c>
      <c r="R100" s="573" t="s">
        <v>585</v>
      </c>
      <c r="S100" s="571" t="e">
        <f t="shared" si="71"/>
        <v>#VALUE!</v>
      </c>
      <c r="T100" s="685"/>
      <c r="U100" s="571" t="s">
        <v>585</v>
      </c>
      <c r="V100" s="573" t="s">
        <v>585</v>
      </c>
      <c r="W100" s="573" t="s">
        <v>585</v>
      </c>
      <c r="X100" s="571" t="e">
        <f t="shared" si="73"/>
        <v>#VALUE!</v>
      </c>
      <c r="Y100" s="685"/>
      <c r="Z100" s="571" t="s">
        <v>585</v>
      </c>
      <c r="AA100" s="573" t="s">
        <v>585</v>
      </c>
      <c r="AB100" s="573" t="s">
        <v>585</v>
      </c>
      <c r="AC100" s="571" t="e">
        <f t="shared" si="75"/>
        <v>#VALUE!</v>
      </c>
      <c r="AD100" s="685"/>
      <c r="AE100" s="571" t="s">
        <v>585</v>
      </c>
      <c r="AF100" s="573" t="s">
        <v>585</v>
      </c>
      <c r="AG100" s="573" t="s">
        <v>585</v>
      </c>
      <c r="AH100" s="571" t="e">
        <f t="shared" si="77"/>
        <v>#VALUE!</v>
      </c>
      <c r="AI100" s="685"/>
      <c r="AJ100" s="571" t="s">
        <v>585</v>
      </c>
      <c r="AK100" s="573" t="s">
        <v>585</v>
      </c>
      <c r="AL100" s="573" t="s">
        <v>585</v>
      </c>
      <c r="AM100" s="571" t="e">
        <f t="shared" si="79"/>
        <v>#VALUE!</v>
      </c>
      <c r="AN100" s="685"/>
      <c r="AO100" s="571" t="s">
        <v>585</v>
      </c>
      <c r="AP100" s="573" t="s">
        <v>585</v>
      </c>
      <c r="AQ100" s="573" t="s">
        <v>585</v>
      </c>
      <c r="AR100" s="571" t="e">
        <f t="shared" si="81"/>
        <v>#VALUE!</v>
      </c>
      <c r="AS100" s="685"/>
      <c r="AT100" s="571" t="s">
        <v>585</v>
      </c>
      <c r="AU100" s="573" t="s">
        <v>585</v>
      </c>
      <c r="AV100" s="573" t="s">
        <v>585</v>
      </c>
      <c r="AW100" s="571" t="e">
        <f t="shared" si="83"/>
        <v>#VALUE!</v>
      </c>
      <c r="AX100" s="685"/>
      <c r="AZ100" s="368" t="e">
        <f t="shared" si="85"/>
        <v>#N/A</v>
      </c>
      <c r="BA100" s="685"/>
    </row>
    <row r="101" spans="2:53">
      <c r="B101" s="660"/>
      <c r="C101" s="380">
        <v>15</v>
      </c>
      <c r="D101" s="351"/>
      <c r="E101" s="510"/>
      <c r="F101" s="510"/>
      <c r="G101" s="510"/>
      <c r="H101" s="696"/>
      <c r="I101" s="384"/>
      <c r="J101" s="384"/>
      <c r="K101" s="382"/>
      <c r="L101" s="635"/>
      <c r="M101" s="422" t="e">
        <f>RANK(K101, K$87:$K$101)</f>
        <v>#N/A</v>
      </c>
      <c r="N101" s="652"/>
      <c r="O101" s="652"/>
      <c r="P101" s="571" t="s">
        <v>585</v>
      </c>
      <c r="Q101" s="573" t="s">
        <v>585</v>
      </c>
      <c r="R101" s="573" t="s">
        <v>585</v>
      </c>
      <c r="S101" s="571" t="e">
        <f t="shared" si="71"/>
        <v>#VALUE!</v>
      </c>
      <c r="T101" s="685"/>
      <c r="U101" s="571" t="s">
        <v>585</v>
      </c>
      <c r="V101" s="573" t="s">
        <v>585</v>
      </c>
      <c r="W101" s="573" t="s">
        <v>585</v>
      </c>
      <c r="X101" s="571" t="e">
        <f t="shared" si="73"/>
        <v>#VALUE!</v>
      </c>
      <c r="Y101" s="685"/>
      <c r="Z101" s="571" t="s">
        <v>585</v>
      </c>
      <c r="AA101" s="573" t="s">
        <v>585</v>
      </c>
      <c r="AB101" s="573" t="s">
        <v>585</v>
      </c>
      <c r="AC101" s="571" t="e">
        <f t="shared" si="75"/>
        <v>#VALUE!</v>
      </c>
      <c r="AD101" s="685"/>
      <c r="AE101" s="571" t="s">
        <v>585</v>
      </c>
      <c r="AF101" s="573" t="s">
        <v>585</v>
      </c>
      <c r="AG101" s="573" t="s">
        <v>585</v>
      </c>
      <c r="AH101" s="571" t="e">
        <f t="shared" si="77"/>
        <v>#VALUE!</v>
      </c>
      <c r="AI101" s="685"/>
      <c r="AJ101" s="571" t="s">
        <v>585</v>
      </c>
      <c r="AK101" s="573" t="s">
        <v>585</v>
      </c>
      <c r="AL101" s="573" t="s">
        <v>585</v>
      </c>
      <c r="AM101" s="571" t="e">
        <f t="shared" si="79"/>
        <v>#VALUE!</v>
      </c>
      <c r="AN101" s="685"/>
      <c r="AO101" s="571" t="s">
        <v>585</v>
      </c>
      <c r="AP101" s="573" t="s">
        <v>585</v>
      </c>
      <c r="AQ101" s="573" t="s">
        <v>585</v>
      </c>
      <c r="AR101" s="571" t="e">
        <f t="shared" si="81"/>
        <v>#VALUE!</v>
      </c>
      <c r="AS101" s="685"/>
      <c r="AT101" s="571" t="s">
        <v>585</v>
      </c>
      <c r="AU101" s="573" t="s">
        <v>585</v>
      </c>
      <c r="AV101" s="573" t="s">
        <v>585</v>
      </c>
      <c r="AW101" s="571" t="e">
        <f t="shared" si="83"/>
        <v>#VALUE!</v>
      </c>
      <c r="AX101" s="685"/>
      <c r="AZ101" s="368" t="e">
        <f t="shared" si="85"/>
        <v>#N/A</v>
      </c>
      <c r="BA101" s="685"/>
    </row>
    <row r="102" spans="2:53" ht="15.75">
      <c r="B102" s="664" t="s">
        <v>162</v>
      </c>
      <c r="C102" s="665"/>
      <c r="D102" s="665"/>
      <c r="E102" s="665"/>
      <c r="F102" s="665"/>
      <c r="G102" s="665"/>
      <c r="H102" s="666"/>
      <c r="I102" s="207"/>
      <c r="J102" s="207"/>
      <c r="K102" s="207"/>
      <c r="L102" s="207"/>
      <c r="M102" s="206"/>
      <c r="N102" s="653" t="s">
        <v>156</v>
      </c>
      <c r="O102" s="653" t="s">
        <v>105</v>
      </c>
      <c r="P102" s="659">
        <f>P82+7</f>
        <v>46266</v>
      </c>
      <c r="Q102" s="660"/>
      <c r="R102" s="660"/>
      <c r="S102" s="660"/>
      <c r="T102" s="660"/>
      <c r="U102" s="656">
        <f>P102+1</f>
        <v>46267</v>
      </c>
      <c r="V102" s="657"/>
      <c r="W102" s="657"/>
      <c r="X102" s="657"/>
      <c r="Y102" s="658"/>
      <c r="Z102" s="656">
        <f>U102+1</f>
        <v>46268</v>
      </c>
      <c r="AA102" s="657"/>
      <c r="AB102" s="657"/>
      <c r="AC102" s="657"/>
      <c r="AD102" s="658"/>
      <c r="AE102" s="656">
        <f>Z102+1</f>
        <v>46269</v>
      </c>
      <c r="AF102" s="657"/>
      <c r="AG102" s="657"/>
      <c r="AH102" s="657"/>
      <c r="AI102" s="658"/>
      <c r="AJ102" s="656">
        <f>AE102+1</f>
        <v>46270</v>
      </c>
      <c r="AK102" s="657"/>
      <c r="AL102" s="657"/>
      <c r="AM102" s="657"/>
      <c r="AN102" s="658"/>
      <c r="AO102" s="656">
        <f>AJ102+1</f>
        <v>46271</v>
      </c>
      <c r="AP102" s="657"/>
      <c r="AQ102" s="657"/>
      <c r="AR102" s="657"/>
      <c r="AS102" s="658"/>
      <c r="AT102" s="656">
        <f>AO102+1</f>
        <v>46272</v>
      </c>
      <c r="AU102" s="657"/>
      <c r="AV102" s="657"/>
      <c r="AW102" s="657"/>
      <c r="AX102" s="658"/>
    </row>
    <row r="103" spans="2:53" ht="15.75">
      <c r="B103" s="667"/>
      <c r="C103" s="667"/>
      <c r="D103" s="667"/>
      <c r="E103" s="667"/>
      <c r="F103" s="667"/>
      <c r="G103" s="667"/>
      <c r="H103" s="667"/>
      <c r="I103" s="204"/>
      <c r="J103" s="204"/>
      <c r="K103" s="204"/>
      <c r="L103" s="204"/>
      <c r="M103" s="205"/>
      <c r="N103" s="655"/>
      <c r="O103" s="655"/>
      <c r="P103" s="659" t="s">
        <v>158</v>
      </c>
      <c r="Q103" s="660"/>
      <c r="R103" s="660"/>
      <c r="S103" s="660"/>
      <c r="T103" s="660"/>
      <c r="U103" s="659" t="s">
        <v>114</v>
      </c>
      <c r="V103" s="660"/>
      <c r="W103" s="660"/>
      <c r="X103" s="660"/>
      <c r="Y103" s="660"/>
      <c r="Z103" s="659" t="s">
        <v>159</v>
      </c>
      <c r="AA103" s="660"/>
      <c r="AB103" s="660"/>
      <c r="AC103" s="660"/>
      <c r="AD103" s="660"/>
      <c r="AE103" s="659" t="s">
        <v>157</v>
      </c>
      <c r="AF103" s="660"/>
      <c r="AG103" s="660"/>
      <c r="AH103" s="660"/>
      <c r="AI103" s="660"/>
      <c r="AJ103" s="659" t="s">
        <v>160</v>
      </c>
      <c r="AK103" s="660"/>
      <c r="AL103" s="660"/>
      <c r="AM103" s="660"/>
      <c r="AN103" s="660"/>
      <c r="AO103" s="659" t="s">
        <v>115</v>
      </c>
      <c r="AP103" s="660"/>
      <c r="AQ103" s="660"/>
      <c r="AR103" s="660"/>
      <c r="AS103" s="660"/>
      <c r="AT103" s="659" t="s">
        <v>161</v>
      </c>
      <c r="AU103" s="660"/>
      <c r="AV103" s="660"/>
      <c r="AW103" s="660"/>
      <c r="AX103" s="660"/>
    </row>
    <row r="104" spans="2:53">
      <c r="B104" s="652" t="s">
        <v>516</v>
      </c>
      <c r="C104" s="652" t="s">
        <v>517</v>
      </c>
      <c r="D104" s="652"/>
      <c r="E104" s="652" t="s">
        <v>518</v>
      </c>
      <c r="F104" s="652"/>
      <c r="G104" s="652"/>
      <c r="H104" s="668" t="s">
        <v>519</v>
      </c>
      <c r="I104" s="652" t="s">
        <v>520</v>
      </c>
      <c r="J104" s="652"/>
      <c r="K104" s="652"/>
      <c r="L104" s="668" t="s">
        <v>366</v>
      </c>
      <c r="M104" s="653" t="s">
        <v>521</v>
      </c>
      <c r="N104" s="652"/>
      <c r="O104" s="652" t="s">
        <v>522</v>
      </c>
      <c r="P104" s="649" t="s">
        <v>523</v>
      </c>
      <c r="Q104" s="650"/>
      <c r="R104" s="650"/>
      <c r="S104" s="651"/>
      <c r="T104" s="652" t="s">
        <v>519</v>
      </c>
      <c r="U104" s="649" t="s">
        <v>523</v>
      </c>
      <c r="V104" s="650"/>
      <c r="W104" s="650"/>
      <c r="X104" s="651"/>
      <c r="Y104" s="652" t="s">
        <v>519</v>
      </c>
      <c r="Z104" s="649" t="s">
        <v>523</v>
      </c>
      <c r="AA104" s="650"/>
      <c r="AB104" s="650"/>
      <c r="AC104" s="651"/>
      <c r="AD104" s="652" t="s">
        <v>519</v>
      </c>
      <c r="AE104" s="649" t="s">
        <v>523</v>
      </c>
      <c r="AF104" s="650"/>
      <c r="AG104" s="650"/>
      <c r="AH104" s="651"/>
      <c r="AI104" s="652" t="s">
        <v>519</v>
      </c>
      <c r="AJ104" s="649" t="s">
        <v>523</v>
      </c>
      <c r="AK104" s="650"/>
      <c r="AL104" s="650"/>
      <c r="AM104" s="651"/>
      <c r="AN104" s="652" t="s">
        <v>519</v>
      </c>
      <c r="AO104" s="649" t="s">
        <v>523</v>
      </c>
      <c r="AP104" s="650"/>
      <c r="AQ104" s="650"/>
      <c r="AR104" s="651"/>
      <c r="AS104" s="652" t="s">
        <v>519</v>
      </c>
      <c r="AT104" s="649" t="s">
        <v>523</v>
      </c>
      <c r="AU104" s="650"/>
      <c r="AV104" s="650"/>
      <c r="AW104" s="651"/>
      <c r="AX104" s="652" t="s">
        <v>519</v>
      </c>
      <c r="BA104" s="652" t="s">
        <v>366</v>
      </c>
    </row>
    <row r="105" spans="2:53">
      <c r="B105" s="652"/>
      <c r="C105" s="652"/>
      <c r="D105" s="652"/>
      <c r="E105" s="652" t="s">
        <v>524</v>
      </c>
      <c r="F105" s="652"/>
      <c r="G105" s="652"/>
      <c r="H105" s="669"/>
      <c r="I105" s="652" t="s">
        <v>524</v>
      </c>
      <c r="J105" s="652"/>
      <c r="K105" s="652"/>
      <c r="L105" s="669"/>
      <c r="M105" s="654"/>
      <c r="N105" s="652"/>
      <c r="O105" s="652"/>
      <c r="P105" s="649" t="s">
        <v>525</v>
      </c>
      <c r="Q105" s="650"/>
      <c r="R105" s="650"/>
      <c r="S105" s="651"/>
      <c r="T105" s="652"/>
      <c r="U105" s="649" t="s">
        <v>525</v>
      </c>
      <c r="V105" s="650"/>
      <c r="W105" s="650"/>
      <c r="X105" s="651"/>
      <c r="Y105" s="652"/>
      <c r="Z105" s="649" t="s">
        <v>525</v>
      </c>
      <c r="AA105" s="650"/>
      <c r="AB105" s="650"/>
      <c r="AC105" s="651"/>
      <c r="AD105" s="652"/>
      <c r="AE105" s="649" t="s">
        <v>525</v>
      </c>
      <c r="AF105" s="650"/>
      <c r="AG105" s="650"/>
      <c r="AH105" s="651"/>
      <c r="AI105" s="652"/>
      <c r="AJ105" s="649" t="s">
        <v>525</v>
      </c>
      <c r="AK105" s="650"/>
      <c r="AL105" s="650"/>
      <c r="AM105" s="651"/>
      <c r="AN105" s="652"/>
      <c r="AO105" s="649" t="s">
        <v>525</v>
      </c>
      <c r="AP105" s="650"/>
      <c r="AQ105" s="650"/>
      <c r="AR105" s="651"/>
      <c r="AS105" s="652"/>
      <c r="AT105" s="649" t="s">
        <v>525</v>
      </c>
      <c r="AU105" s="650"/>
      <c r="AV105" s="650"/>
      <c r="AW105" s="651"/>
      <c r="AX105" s="652"/>
      <c r="BA105" s="652"/>
    </row>
    <row r="106" spans="2:53">
      <c r="B106" s="652"/>
      <c r="C106" s="652"/>
      <c r="D106" s="652"/>
      <c r="E106" s="345" t="s">
        <v>526</v>
      </c>
      <c r="F106" s="345" t="s">
        <v>527</v>
      </c>
      <c r="G106" s="345" t="s">
        <v>528</v>
      </c>
      <c r="H106" s="670"/>
      <c r="I106" s="345" t="s">
        <v>526</v>
      </c>
      <c r="J106" s="345" t="s">
        <v>527</v>
      </c>
      <c r="K106" s="345" t="s">
        <v>528</v>
      </c>
      <c r="L106" s="670"/>
      <c r="M106" s="655"/>
      <c r="N106" s="652"/>
      <c r="O106" s="652"/>
      <c r="P106" s="345" t="s">
        <v>526</v>
      </c>
      <c r="Q106" s="345" t="s">
        <v>527</v>
      </c>
      <c r="R106" s="345" t="s">
        <v>528</v>
      </c>
      <c r="S106" s="345" t="s">
        <v>521</v>
      </c>
      <c r="T106" s="652"/>
      <c r="U106" s="345" t="s">
        <v>526</v>
      </c>
      <c r="V106" s="345" t="s">
        <v>527</v>
      </c>
      <c r="W106" s="345" t="s">
        <v>528</v>
      </c>
      <c r="X106" s="345" t="s">
        <v>521</v>
      </c>
      <c r="Y106" s="652"/>
      <c r="Z106" s="345" t="s">
        <v>526</v>
      </c>
      <c r="AA106" s="345" t="s">
        <v>527</v>
      </c>
      <c r="AB106" s="345" t="s">
        <v>528</v>
      </c>
      <c r="AC106" s="345" t="s">
        <v>521</v>
      </c>
      <c r="AD106" s="652"/>
      <c r="AE106" s="345" t="s">
        <v>526</v>
      </c>
      <c r="AF106" s="345" t="s">
        <v>527</v>
      </c>
      <c r="AG106" s="345" t="s">
        <v>528</v>
      </c>
      <c r="AH106" s="345" t="s">
        <v>521</v>
      </c>
      <c r="AI106" s="652"/>
      <c r="AJ106" s="345" t="s">
        <v>526</v>
      </c>
      <c r="AK106" s="345" t="s">
        <v>527</v>
      </c>
      <c r="AL106" s="345" t="s">
        <v>528</v>
      </c>
      <c r="AM106" s="345" t="s">
        <v>521</v>
      </c>
      <c r="AN106" s="652"/>
      <c r="AO106" s="345" t="s">
        <v>526</v>
      </c>
      <c r="AP106" s="345" t="s">
        <v>527</v>
      </c>
      <c r="AQ106" s="345" t="s">
        <v>528</v>
      </c>
      <c r="AR106" s="345" t="s">
        <v>521</v>
      </c>
      <c r="AS106" s="652"/>
      <c r="AT106" s="345" t="s">
        <v>526</v>
      </c>
      <c r="AU106" s="345" t="s">
        <v>527</v>
      </c>
      <c r="AV106" s="345" t="s">
        <v>528</v>
      </c>
      <c r="AW106" s="345" t="s">
        <v>521</v>
      </c>
      <c r="AX106" s="652"/>
      <c r="AZ106" s="367" t="s">
        <v>521</v>
      </c>
      <c r="BA106" s="652"/>
    </row>
    <row r="107" spans="2:53">
      <c r="B107" s="695" t="s">
        <v>530</v>
      </c>
      <c r="C107" s="348">
        <v>1</v>
      </c>
      <c r="D107" s="351"/>
      <c r="E107" s="349"/>
      <c r="F107" s="349"/>
      <c r="G107" s="349"/>
      <c r="H107" s="691" t="e">
        <f>AVERAGE(G107:G121)</f>
        <v>#DIV/0!</v>
      </c>
      <c r="I107" s="363" t="str">
        <f t="shared" ref="I107:I120" si="87">IFERROR(AVERAGE(P107,U107,Z107,AE107,AJ107,AO107,AT107),"-")</f>
        <v>-</v>
      </c>
      <c r="J107" s="363" t="str">
        <f t="shared" ref="J107:J120" si="88">IFERROR(AVERAGE(Q107,V107,AA107,AF107,AK107,AP107,AU107),"-")</f>
        <v>-</v>
      </c>
      <c r="K107" s="199" t="str">
        <f t="shared" ref="K107:K120" si="89">IFERROR(AVERAGE(R107,W107,AB107,AG107,AL107,AQ107,AV107),"-")</f>
        <v>-</v>
      </c>
      <c r="L107" s="633" t="str">
        <f>IFERROR(AVERAGE(K107:K121),"-")</f>
        <v>-</v>
      </c>
      <c r="M107" s="349" t="e">
        <f>RANK(K107, K$107:$K$121)</f>
        <v>#VALUE!</v>
      </c>
      <c r="N107" s="652"/>
      <c r="O107" s="652"/>
      <c r="P107" s="507"/>
      <c r="Q107" s="509"/>
      <c r="R107" s="509"/>
      <c r="S107" s="507"/>
      <c r="T107" s="685"/>
      <c r="U107" s="507"/>
      <c r="V107" s="509"/>
      <c r="W107" s="509"/>
      <c r="X107" s="507"/>
      <c r="Y107" s="685"/>
      <c r="Z107" s="507"/>
      <c r="AA107" s="509"/>
      <c r="AB107" s="509"/>
      <c r="AC107" s="507"/>
      <c r="AD107" s="685"/>
      <c r="AE107" s="507"/>
      <c r="AF107" s="509"/>
      <c r="AG107" s="509"/>
      <c r="AH107" s="507"/>
      <c r="AI107" s="685"/>
      <c r="AJ107" s="507"/>
      <c r="AK107" s="509"/>
      <c r="AL107" s="509"/>
      <c r="AM107" s="507"/>
      <c r="AN107" s="685"/>
      <c r="AO107" s="507"/>
      <c r="AP107" s="509"/>
      <c r="AQ107" s="509"/>
      <c r="AR107" s="507"/>
      <c r="AS107" s="685"/>
      <c r="AT107" s="507"/>
      <c r="AU107" s="509"/>
      <c r="AV107" s="509"/>
      <c r="AW107" s="507"/>
      <c r="AX107" s="685"/>
      <c r="AZ107" s="369" t="e">
        <f t="shared" ref="AZ107:AZ121" si="90">RANK(AY107, AY$67:AY$81)</f>
        <v>#N/A</v>
      </c>
      <c r="BA107" s="710" t="e">
        <f t="shared" ref="BA107" si="91">AVERAGE(AY107:AY121)</f>
        <v>#DIV/0!</v>
      </c>
    </row>
    <row r="108" spans="2:53">
      <c r="B108" s="680"/>
      <c r="C108" s="348">
        <v>2</v>
      </c>
      <c r="D108" s="351"/>
      <c r="E108" s="349"/>
      <c r="F108" s="349"/>
      <c r="G108" s="349"/>
      <c r="H108" s="692"/>
      <c r="I108" s="363" t="str">
        <f t="shared" si="87"/>
        <v>-</v>
      </c>
      <c r="J108" s="363" t="str">
        <f t="shared" si="88"/>
        <v>-</v>
      </c>
      <c r="K108" s="199" t="str">
        <f t="shared" si="89"/>
        <v>-</v>
      </c>
      <c r="L108" s="634"/>
      <c r="M108" s="510" t="e">
        <f>RANK(K108, K$107:$K$121)</f>
        <v>#VALUE!</v>
      </c>
      <c r="N108" s="652"/>
      <c r="O108" s="652"/>
      <c r="P108" s="507"/>
      <c r="Q108" s="509"/>
      <c r="R108" s="509"/>
      <c r="S108" s="507"/>
      <c r="T108" s="685"/>
      <c r="U108" s="507"/>
      <c r="V108" s="509"/>
      <c r="W108" s="509"/>
      <c r="X108" s="507"/>
      <c r="Y108" s="685"/>
      <c r="Z108" s="507"/>
      <c r="AA108" s="509"/>
      <c r="AB108" s="509"/>
      <c r="AC108" s="507"/>
      <c r="AD108" s="685"/>
      <c r="AE108" s="507"/>
      <c r="AF108" s="509"/>
      <c r="AG108" s="509"/>
      <c r="AH108" s="507"/>
      <c r="AI108" s="685"/>
      <c r="AJ108" s="507"/>
      <c r="AK108" s="509"/>
      <c r="AL108" s="509"/>
      <c r="AM108" s="507"/>
      <c r="AN108" s="685"/>
      <c r="AO108" s="507"/>
      <c r="AP108" s="509"/>
      <c r="AQ108" s="509"/>
      <c r="AR108" s="507"/>
      <c r="AS108" s="685"/>
      <c r="AT108" s="507"/>
      <c r="AU108" s="509"/>
      <c r="AV108" s="509"/>
      <c r="AW108" s="507"/>
      <c r="AX108" s="685"/>
      <c r="AZ108" s="369" t="e">
        <f t="shared" si="90"/>
        <v>#N/A</v>
      </c>
      <c r="BA108" s="710"/>
    </row>
    <row r="109" spans="2:53">
      <c r="B109" s="680"/>
      <c r="C109" s="348">
        <v>3</v>
      </c>
      <c r="D109" s="351"/>
      <c r="E109" s="349"/>
      <c r="F109" s="349"/>
      <c r="G109" s="349"/>
      <c r="H109" s="692"/>
      <c r="I109" s="363" t="str">
        <f t="shared" si="87"/>
        <v>-</v>
      </c>
      <c r="J109" s="363" t="str">
        <f t="shared" si="88"/>
        <v>-</v>
      </c>
      <c r="K109" s="199" t="str">
        <f t="shared" si="89"/>
        <v>-</v>
      </c>
      <c r="L109" s="634"/>
      <c r="M109" s="510" t="e">
        <f>RANK(K109, K$107:$K$121)</f>
        <v>#VALUE!</v>
      </c>
      <c r="N109" s="652"/>
      <c r="O109" s="652"/>
      <c r="P109" s="507"/>
      <c r="Q109" s="509"/>
      <c r="R109" s="509"/>
      <c r="S109" s="507"/>
      <c r="T109" s="685"/>
      <c r="U109" s="507"/>
      <c r="V109" s="509"/>
      <c r="W109" s="509"/>
      <c r="X109" s="507"/>
      <c r="Y109" s="685"/>
      <c r="Z109" s="507"/>
      <c r="AA109" s="509"/>
      <c r="AB109" s="509"/>
      <c r="AC109" s="507"/>
      <c r="AD109" s="685"/>
      <c r="AE109" s="507"/>
      <c r="AF109" s="509"/>
      <c r="AG109" s="509"/>
      <c r="AH109" s="507"/>
      <c r="AI109" s="685"/>
      <c r="AJ109" s="507"/>
      <c r="AK109" s="509"/>
      <c r="AL109" s="509"/>
      <c r="AM109" s="507"/>
      <c r="AN109" s="685"/>
      <c r="AO109" s="507"/>
      <c r="AP109" s="509"/>
      <c r="AQ109" s="509"/>
      <c r="AR109" s="507"/>
      <c r="AS109" s="685"/>
      <c r="AT109" s="507"/>
      <c r="AU109" s="509"/>
      <c r="AV109" s="509"/>
      <c r="AW109" s="507"/>
      <c r="AX109" s="685"/>
      <c r="AZ109" s="369" t="e">
        <f t="shared" si="90"/>
        <v>#N/A</v>
      </c>
      <c r="BA109" s="710"/>
    </row>
    <row r="110" spans="2:53">
      <c r="B110" s="680"/>
      <c r="C110" s="348">
        <v>4</v>
      </c>
      <c r="D110" s="351"/>
      <c r="E110" s="349"/>
      <c r="F110" s="349"/>
      <c r="G110" s="349"/>
      <c r="H110" s="692"/>
      <c r="I110" s="363" t="str">
        <f t="shared" si="87"/>
        <v>-</v>
      </c>
      <c r="J110" s="363" t="str">
        <f t="shared" si="88"/>
        <v>-</v>
      </c>
      <c r="K110" s="199" t="str">
        <f t="shared" si="89"/>
        <v>-</v>
      </c>
      <c r="L110" s="634"/>
      <c r="M110" s="510" t="e">
        <f>RANK(K110, K$107:$K$121)</f>
        <v>#VALUE!</v>
      </c>
      <c r="N110" s="652"/>
      <c r="O110" s="652"/>
      <c r="P110" s="507"/>
      <c r="Q110" s="509"/>
      <c r="R110" s="509"/>
      <c r="S110" s="507"/>
      <c r="T110" s="685"/>
      <c r="U110" s="507"/>
      <c r="V110" s="509"/>
      <c r="W110" s="509"/>
      <c r="X110" s="507"/>
      <c r="Y110" s="685"/>
      <c r="Z110" s="507"/>
      <c r="AA110" s="509"/>
      <c r="AB110" s="509"/>
      <c r="AC110" s="507"/>
      <c r="AD110" s="685"/>
      <c r="AE110" s="507"/>
      <c r="AF110" s="509"/>
      <c r="AG110" s="509"/>
      <c r="AH110" s="507"/>
      <c r="AI110" s="685"/>
      <c r="AJ110" s="507"/>
      <c r="AK110" s="509"/>
      <c r="AL110" s="509"/>
      <c r="AM110" s="507"/>
      <c r="AN110" s="685"/>
      <c r="AO110" s="507"/>
      <c r="AP110" s="509"/>
      <c r="AQ110" s="509"/>
      <c r="AR110" s="507"/>
      <c r="AS110" s="685"/>
      <c r="AT110" s="507"/>
      <c r="AU110" s="509"/>
      <c r="AV110" s="509"/>
      <c r="AW110" s="507"/>
      <c r="AX110" s="685"/>
      <c r="AZ110" s="369" t="e">
        <f t="shared" si="90"/>
        <v>#N/A</v>
      </c>
      <c r="BA110" s="710"/>
    </row>
    <row r="111" spans="2:53">
      <c r="B111" s="680"/>
      <c r="C111" s="348">
        <v>5</v>
      </c>
      <c r="D111" s="351"/>
      <c r="E111" s="349"/>
      <c r="F111" s="349"/>
      <c r="G111" s="349"/>
      <c r="H111" s="692"/>
      <c r="I111" s="363" t="str">
        <f t="shared" si="87"/>
        <v>-</v>
      </c>
      <c r="J111" s="363" t="str">
        <f t="shared" si="88"/>
        <v>-</v>
      </c>
      <c r="K111" s="199" t="str">
        <f t="shared" si="89"/>
        <v>-</v>
      </c>
      <c r="L111" s="634"/>
      <c r="M111" s="510" t="e">
        <f>RANK(K111, K$107:$K$121)</f>
        <v>#VALUE!</v>
      </c>
      <c r="N111" s="652"/>
      <c r="O111" s="652"/>
      <c r="P111" s="507"/>
      <c r="Q111" s="509"/>
      <c r="R111" s="509"/>
      <c r="S111" s="507"/>
      <c r="T111" s="685"/>
      <c r="U111" s="507"/>
      <c r="V111" s="509"/>
      <c r="W111" s="509"/>
      <c r="X111" s="507"/>
      <c r="Y111" s="685"/>
      <c r="Z111" s="507"/>
      <c r="AA111" s="509"/>
      <c r="AB111" s="509"/>
      <c r="AC111" s="507"/>
      <c r="AD111" s="685"/>
      <c r="AE111" s="507"/>
      <c r="AF111" s="509"/>
      <c r="AG111" s="509"/>
      <c r="AH111" s="507"/>
      <c r="AI111" s="685"/>
      <c r="AJ111" s="507"/>
      <c r="AK111" s="509"/>
      <c r="AL111" s="509"/>
      <c r="AM111" s="507"/>
      <c r="AN111" s="685"/>
      <c r="AO111" s="507"/>
      <c r="AP111" s="509"/>
      <c r="AQ111" s="509"/>
      <c r="AR111" s="507"/>
      <c r="AS111" s="685"/>
      <c r="AT111" s="507"/>
      <c r="AU111" s="509"/>
      <c r="AV111" s="509"/>
      <c r="AW111" s="507"/>
      <c r="AX111" s="685"/>
      <c r="AZ111" s="369" t="e">
        <f t="shared" si="90"/>
        <v>#N/A</v>
      </c>
      <c r="BA111" s="710"/>
    </row>
    <row r="112" spans="2:53">
      <c r="B112" s="680"/>
      <c r="C112" s="348">
        <v>6</v>
      </c>
      <c r="D112" s="351"/>
      <c r="E112" s="349"/>
      <c r="F112" s="349"/>
      <c r="G112" s="349"/>
      <c r="H112" s="692"/>
      <c r="I112" s="363" t="str">
        <f t="shared" si="87"/>
        <v>-</v>
      </c>
      <c r="J112" s="363" t="str">
        <f t="shared" si="88"/>
        <v>-</v>
      </c>
      <c r="K112" s="199" t="str">
        <f t="shared" si="89"/>
        <v>-</v>
      </c>
      <c r="L112" s="634"/>
      <c r="M112" s="510" t="e">
        <f>RANK(K112, K$107:$K$121)</f>
        <v>#VALUE!</v>
      </c>
      <c r="N112" s="652"/>
      <c r="O112" s="652"/>
      <c r="P112" s="507"/>
      <c r="Q112" s="509"/>
      <c r="R112" s="509"/>
      <c r="S112" s="507"/>
      <c r="T112" s="685"/>
      <c r="U112" s="507"/>
      <c r="V112" s="509"/>
      <c r="W112" s="509"/>
      <c r="X112" s="507"/>
      <c r="Y112" s="685"/>
      <c r="Z112" s="507"/>
      <c r="AA112" s="509"/>
      <c r="AB112" s="509"/>
      <c r="AC112" s="507"/>
      <c r="AD112" s="685"/>
      <c r="AE112" s="507"/>
      <c r="AF112" s="509"/>
      <c r="AG112" s="509"/>
      <c r="AH112" s="507"/>
      <c r="AI112" s="685"/>
      <c r="AJ112" s="507"/>
      <c r="AK112" s="509"/>
      <c r="AL112" s="509"/>
      <c r="AM112" s="507"/>
      <c r="AN112" s="685"/>
      <c r="AO112" s="507"/>
      <c r="AP112" s="509"/>
      <c r="AQ112" s="509"/>
      <c r="AR112" s="507"/>
      <c r="AS112" s="685"/>
      <c r="AT112" s="507"/>
      <c r="AU112" s="509"/>
      <c r="AV112" s="509"/>
      <c r="AW112" s="507"/>
      <c r="AX112" s="685"/>
      <c r="AZ112" s="369" t="e">
        <f t="shared" si="90"/>
        <v>#N/A</v>
      </c>
      <c r="BA112" s="710"/>
    </row>
    <row r="113" spans="2:53">
      <c r="B113" s="680"/>
      <c r="C113" s="348">
        <v>7</v>
      </c>
      <c r="D113" s="351"/>
      <c r="E113" s="349"/>
      <c r="F113" s="349"/>
      <c r="G113" s="349"/>
      <c r="H113" s="692"/>
      <c r="I113" s="363" t="str">
        <f t="shared" si="87"/>
        <v>-</v>
      </c>
      <c r="J113" s="363" t="str">
        <f t="shared" si="88"/>
        <v>-</v>
      </c>
      <c r="K113" s="199" t="str">
        <f t="shared" si="89"/>
        <v>-</v>
      </c>
      <c r="L113" s="634"/>
      <c r="M113" s="510" t="e">
        <f>RANK(K113, K$107:$K$121)</f>
        <v>#VALUE!</v>
      </c>
      <c r="N113" s="652"/>
      <c r="O113" s="652"/>
      <c r="P113" s="507"/>
      <c r="Q113" s="509"/>
      <c r="R113" s="509"/>
      <c r="S113" s="507"/>
      <c r="T113" s="685"/>
      <c r="U113" s="507"/>
      <c r="V113" s="509"/>
      <c r="W113" s="509"/>
      <c r="X113" s="507"/>
      <c r="Y113" s="685"/>
      <c r="Z113" s="507"/>
      <c r="AA113" s="509"/>
      <c r="AB113" s="509"/>
      <c r="AC113" s="507"/>
      <c r="AD113" s="685"/>
      <c r="AE113" s="507"/>
      <c r="AF113" s="509"/>
      <c r="AG113" s="509"/>
      <c r="AH113" s="507"/>
      <c r="AI113" s="685"/>
      <c r="AJ113" s="507"/>
      <c r="AK113" s="509"/>
      <c r="AL113" s="509"/>
      <c r="AM113" s="507"/>
      <c r="AN113" s="685"/>
      <c r="AO113" s="507"/>
      <c r="AP113" s="509"/>
      <c r="AQ113" s="509"/>
      <c r="AR113" s="507"/>
      <c r="AS113" s="685"/>
      <c r="AT113" s="507"/>
      <c r="AU113" s="509"/>
      <c r="AV113" s="509"/>
      <c r="AW113" s="507"/>
      <c r="AX113" s="685"/>
      <c r="AZ113" s="369" t="e">
        <f t="shared" si="90"/>
        <v>#N/A</v>
      </c>
      <c r="BA113" s="710"/>
    </row>
    <row r="114" spans="2:53">
      <c r="B114" s="680"/>
      <c r="C114" s="348">
        <v>8</v>
      </c>
      <c r="D114" s="351"/>
      <c r="E114" s="349"/>
      <c r="F114" s="349"/>
      <c r="G114" s="349"/>
      <c r="H114" s="692"/>
      <c r="I114" s="363" t="str">
        <f t="shared" si="87"/>
        <v>-</v>
      </c>
      <c r="J114" s="363" t="str">
        <f t="shared" si="88"/>
        <v>-</v>
      </c>
      <c r="K114" s="199" t="str">
        <f t="shared" si="89"/>
        <v>-</v>
      </c>
      <c r="L114" s="634"/>
      <c r="M114" s="510" t="e">
        <f>RANK(K114, K$107:$K$121)</f>
        <v>#VALUE!</v>
      </c>
      <c r="N114" s="652"/>
      <c r="O114" s="652"/>
      <c r="P114" s="507"/>
      <c r="Q114" s="509"/>
      <c r="R114" s="509"/>
      <c r="S114" s="507"/>
      <c r="T114" s="685"/>
      <c r="U114" s="507"/>
      <c r="V114" s="509"/>
      <c r="W114" s="509"/>
      <c r="X114" s="507"/>
      <c r="Y114" s="685"/>
      <c r="Z114" s="507"/>
      <c r="AA114" s="509"/>
      <c r="AB114" s="509"/>
      <c r="AC114" s="507"/>
      <c r="AD114" s="685"/>
      <c r="AE114" s="507"/>
      <c r="AF114" s="509"/>
      <c r="AG114" s="509"/>
      <c r="AH114" s="507"/>
      <c r="AI114" s="685"/>
      <c r="AJ114" s="507"/>
      <c r="AK114" s="509"/>
      <c r="AL114" s="509"/>
      <c r="AM114" s="507"/>
      <c r="AN114" s="685"/>
      <c r="AO114" s="507"/>
      <c r="AP114" s="509"/>
      <c r="AQ114" s="509"/>
      <c r="AR114" s="507"/>
      <c r="AS114" s="685"/>
      <c r="AT114" s="507"/>
      <c r="AU114" s="509"/>
      <c r="AV114" s="509"/>
      <c r="AW114" s="507"/>
      <c r="AX114" s="685"/>
      <c r="AZ114" s="369" t="e">
        <f t="shared" si="90"/>
        <v>#N/A</v>
      </c>
      <c r="BA114" s="710"/>
    </row>
    <row r="115" spans="2:53">
      <c r="B115" s="680"/>
      <c r="C115" s="348">
        <v>9</v>
      </c>
      <c r="D115" s="351"/>
      <c r="E115" s="349"/>
      <c r="F115" s="349"/>
      <c r="G115" s="349"/>
      <c r="H115" s="692"/>
      <c r="I115" s="363" t="str">
        <f t="shared" si="87"/>
        <v>-</v>
      </c>
      <c r="J115" s="363" t="str">
        <f t="shared" si="88"/>
        <v>-</v>
      </c>
      <c r="K115" s="199" t="str">
        <f t="shared" si="89"/>
        <v>-</v>
      </c>
      <c r="L115" s="634"/>
      <c r="M115" s="510" t="e">
        <f>RANK(K115, K$107:$K$121)</f>
        <v>#VALUE!</v>
      </c>
      <c r="N115" s="652"/>
      <c r="O115" s="652"/>
      <c r="P115" s="507"/>
      <c r="Q115" s="509"/>
      <c r="R115" s="509"/>
      <c r="S115" s="507"/>
      <c r="T115" s="685"/>
      <c r="U115" s="507"/>
      <c r="V115" s="509"/>
      <c r="W115" s="509"/>
      <c r="X115" s="507"/>
      <c r="Y115" s="685"/>
      <c r="Z115" s="507"/>
      <c r="AA115" s="509"/>
      <c r="AB115" s="509"/>
      <c r="AC115" s="507"/>
      <c r="AD115" s="685"/>
      <c r="AE115" s="507"/>
      <c r="AF115" s="509"/>
      <c r="AG115" s="509"/>
      <c r="AH115" s="507"/>
      <c r="AI115" s="685"/>
      <c r="AJ115" s="507"/>
      <c r="AK115" s="509"/>
      <c r="AL115" s="509"/>
      <c r="AM115" s="507"/>
      <c r="AN115" s="685"/>
      <c r="AO115" s="507"/>
      <c r="AP115" s="509"/>
      <c r="AQ115" s="509"/>
      <c r="AR115" s="507"/>
      <c r="AS115" s="685"/>
      <c r="AT115" s="507"/>
      <c r="AU115" s="509"/>
      <c r="AV115" s="509"/>
      <c r="AW115" s="507"/>
      <c r="AX115" s="685"/>
      <c r="AZ115" s="369" t="e">
        <f t="shared" si="90"/>
        <v>#N/A</v>
      </c>
      <c r="BA115" s="710"/>
    </row>
    <row r="116" spans="2:53">
      <c r="B116" s="680"/>
      <c r="C116" s="348">
        <v>10</v>
      </c>
      <c r="D116" s="351"/>
      <c r="E116" s="349"/>
      <c r="F116" s="349"/>
      <c r="G116" s="349"/>
      <c r="H116" s="692"/>
      <c r="I116" s="363" t="str">
        <f t="shared" si="87"/>
        <v>-</v>
      </c>
      <c r="J116" s="363" t="str">
        <f t="shared" si="88"/>
        <v>-</v>
      </c>
      <c r="K116" s="199" t="str">
        <f t="shared" si="89"/>
        <v>-</v>
      </c>
      <c r="L116" s="634"/>
      <c r="M116" s="510" t="e">
        <f>RANK(K116, K$107:$K$121)</f>
        <v>#VALUE!</v>
      </c>
      <c r="N116" s="652"/>
      <c r="O116" s="652"/>
      <c r="P116" s="507"/>
      <c r="Q116" s="509"/>
      <c r="R116" s="509"/>
      <c r="S116" s="507"/>
      <c r="T116" s="685"/>
      <c r="U116" s="507"/>
      <c r="V116" s="509"/>
      <c r="W116" s="509"/>
      <c r="X116" s="507"/>
      <c r="Y116" s="685"/>
      <c r="Z116" s="507"/>
      <c r="AA116" s="509"/>
      <c r="AB116" s="509"/>
      <c r="AC116" s="507"/>
      <c r="AD116" s="685"/>
      <c r="AE116" s="507"/>
      <c r="AF116" s="509"/>
      <c r="AG116" s="509"/>
      <c r="AH116" s="507"/>
      <c r="AI116" s="685"/>
      <c r="AJ116" s="507"/>
      <c r="AK116" s="509"/>
      <c r="AL116" s="509"/>
      <c r="AM116" s="507"/>
      <c r="AN116" s="685"/>
      <c r="AO116" s="507"/>
      <c r="AP116" s="509"/>
      <c r="AQ116" s="509"/>
      <c r="AR116" s="507"/>
      <c r="AS116" s="685"/>
      <c r="AT116" s="507"/>
      <c r="AU116" s="509"/>
      <c r="AV116" s="509"/>
      <c r="AW116" s="507"/>
      <c r="AX116" s="685"/>
      <c r="AZ116" s="369" t="e">
        <f t="shared" si="90"/>
        <v>#N/A</v>
      </c>
      <c r="BA116" s="710"/>
    </row>
    <row r="117" spans="2:53">
      <c r="B117" s="680"/>
      <c r="C117" s="348">
        <v>11</v>
      </c>
      <c r="D117" s="351"/>
      <c r="E117" s="349"/>
      <c r="F117" s="349"/>
      <c r="G117" s="349"/>
      <c r="H117" s="692"/>
      <c r="I117" s="363" t="str">
        <f t="shared" si="87"/>
        <v>-</v>
      </c>
      <c r="J117" s="363" t="str">
        <f t="shared" si="88"/>
        <v>-</v>
      </c>
      <c r="K117" s="199" t="str">
        <f t="shared" si="89"/>
        <v>-</v>
      </c>
      <c r="L117" s="634"/>
      <c r="M117" s="510" t="e">
        <f>RANK(K117, K$107:$K$121)</f>
        <v>#VALUE!</v>
      </c>
      <c r="N117" s="652"/>
      <c r="O117" s="652"/>
      <c r="P117" s="507"/>
      <c r="Q117" s="509"/>
      <c r="R117" s="509"/>
      <c r="S117" s="507"/>
      <c r="T117" s="685"/>
      <c r="U117" s="507"/>
      <c r="V117" s="509"/>
      <c r="W117" s="509"/>
      <c r="X117" s="507"/>
      <c r="Y117" s="685"/>
      <c r="Z117" s="507"/>
      <c r="AA117" s="509"/>
      <c r="AB117" s="509"/>
      <c r="AC117" s="507"/>
      <c r="AD117" s="685"/>
      <c r="AE117" s="507"/>
      <c r="AF117" s="509"/>
      <c r="AG117" s="509"/>
      <c r="AH117" s="507"/>
      <c r="AI117" s="685"/>
      <c r="AJ117" s="507"/>
      <c r="AK117" s="509"/>
      <c r="AL117" s="509"/>
      <c r="AM117" s="507"/>
      <c r="AN117" s="685"/>
      <c r="AO117" s="507"/>
      <c r="AP117" s="509"/>
      <c r="AQ117" s="509"/>
      <c r="AR117" s="507"/>
      <c r="AS117" s="685"/>
      <c r="AT117" s="507"/>
      <c r="AU117" s="509"/>
      <c r="AV117" s="509"/>
      <c r="AW117" s="507"/>
      <c r="AX117" s="685"/>
      <c r="AZ117" s="369" t="e">
        <f t="shared" si="90"/>
        <v>#N/A</v>
      </c>
      <c r="BA117" s="710"/>
    </row>
    <row r="118" spans="2:53">
      <c r="B118" s="680"/>
      <c r="C118" s="348">
        <v>12</v>
      </c>
      <c r="D118" s="351"/>
      <c r="E118" s="349"/>
      <c r="F118" s="349"/>
      <c r="G118" s="349"/>
      <c r="H118" s="692"/>
      <c r="I118" s="363" t="str">
        <f t="shared" si="87"/>
        <v>-</v>
      </c>
      <c r="J118" s="363" t="str">
        <f t="shared" si="88"/>
        <v>-</v>
      </c>
      <c r="K118" s="199" t="str">
        <f t="shared" si="89"/>
        <v>-</v>
      </c>
      <c r="L118" s="634"/>
      <c r="M118" s="510" t="e">
        <f>RANK(K118, K$107:$K$121)</f>
        <v>#VALUE!</v>
      </c>
      <c r="N118" s="652"/>
      <c r="O118" s="652"/>
      <c r="P118" s="507"/>
      <c r="Q118" s="509"/>
      <c r="R118" s="509"/>
      <c r="S118" s="507"/>
      <c r="T118" s="685"/>
      <c r="U118" s="507"/>
      <c r="V118" s="509"/>
      <c r="W118" s="509"/>
      <c r="X118" s="507"/>
      <c r="Y118" s="685"/>
      <c r="Z118" s="507"/>
      <c r="AA118" s="509"/>
      <c r="AB118" s="509"/>
      <c r="AC118" s="507"/>
      <c r="AD118" s="685"/>
      <c r="AE118" s="507"/>
      <c r="AF118" s="509"/>
      <c r="AG118" s="509"/>
      <c r="AH118" s="507"/>
      <c r="AI118" s="685"/>
      <c r="AJ118" s="507"/>
      <c r="AK118" s="509"/>
      <c r="AL118" s="509"/>
      <c r="AM118" s="507"/>
      <c r="AN118" s="685"/>
      <c r="AO118" s="507"/>
      <c r="AP118" s="509"/>
      <c r="AQ118" s="509"/>
      <c r="AR118" s="507"/>
      <c r="AS118" s="685"/>
      <c r="AT118" s="507"/>
      <c r="AU118" s="509"/>
      <c r="AV118" s="509"/>
      <c r="AW118" s="507"/>
      <c r="AX118" s="685"/>
      <c r="AZ118" s="369" t="e">
        <f t="shared" si="90"/>
        <v>#N/A</v>
      </c>
      <c r="BA118" s="710"/>
    </row>
    <row r="119" spans="2:53">
      <c r="B119" s="680"/>
      <c r="C119" s="348">
        <v>13</v>
      </c>
      <c r="D119" s="351"/>
      <c r="E119" s="349"/>
      <c r="F119" s="349"/>
      <c r="G119" s="349"/>
      <c r="H119" s="692"/>
      <c r="I119" s="363" t="str">
        <f t="shared" si="87"/>
        <v>-</v>
      </c>
      <c r="J119" s="363" t="str">
        <f t="shared" si="88"/>
        <v>-</v>
      </c>
      <c r="K119" s="199" t="str">
        <f t="shared" si="89"/>
        <v>-</v>
      </c>
      <c r="L119" s="634"/>
      <c r="M119" s="510" t="e">
        <f>RANK(K119, K$107:$K$121)</f>
        <v>#VALUE!</v>
      </c>
      <c r="N119" s="652"/>
      <c r="O119" s="652"/>
      <c r="P119" s="507"/>
      <c r="Q119" s="509"/>
      <c r="R119" s="509"/>
      <c r="S119" s="507"/>
      <c r="T119" s="685"/>
      <c r="U119" s="507"/>
      <c r="V119" s="509"/>
      <c r="W119" s="509"/>
      <c r="X119" s="507"/>
      <c r="Y119" s="685"/>
      <c r="Z119" s="507"/>
      <c r="AA119" s="509"/>
      <c r="AB119" s="509"/>
      <c r="AC119" s="507"/>
      <c r="AD119" s="685"/>
      <c r="AE119" s="507"/>
      <c r="AF119" s="509"/>
      <c r="AG119" s="509"/>
      <c r="AH119" s="507"/>
      <c r="AI119" s="685"/>
      <c r="AJ119" s="507"/>
      <c r="AK119" s="509"/>
      <c r="AL119" s="509"/>
      <c r="AM119" s="507"/>
      <c r="AN119" s="685"/>
      <c r="AO119" s="507"/>
      <c r="AP119" s="509"/>
      <c r="AQ119" s="509"/>
      <c r="AR119" s="507"/>
      <c r="AS119" s="685"/>
      <c r="AT119" s="507"/>
      <c r="AU119" s="509"/>
      <c r="AV119" s="509"/>
      <c r="AW119" s="507"/>
      <c r="AX119" s="685"/>
      <c r="AZ119" s="369" t="e">
        <f t="shared" si="90"/>
        <v>#N/A</v>
      </c>
      <c r="BA119" s="710"/>
    </row>
    <row r="120" spans="2:53">
      <c r="B120" s="680"/>
      <c r="C120" s="348">
        <v>14</v>
      </c>
      <c r="D120" s="351"/>
      <c r="E120" s="349"/>
      <c r="F120" s="349"/>
      <c r="G120" s="349"/>
      <c r="H120" s="692"/>
      <c r="I120" s="363" t="str">
        <f t="shared" si="87"/>
        <v>-</v>
      </c>
      <c r="J120" s="363" t="str">
        <f t="shared" si="88"/>
        <v>-</v>
      </c>
      <c r="K120" s="199" t="str">
        <f t="shared" si="89"/>
        <v>-</v>
      </c>
      <c r="L120" s="634"/>
      <c r="M120" s="510" t="e">
        <f>RANK(K120, K$107:$K$121)</f>
        <v>#VALUE!</v>
      </c>
      <c r="N120" s="652"/>
      <c r="O120" s="652"/>
      <c r="P120" s="507"/>
      <c r="Q120" s="509"/>
      <c r="R120" s="509"/>
      <c r="S120" s="507"/>
      <c r="T120" s="685"/>
      <c r="U120" s="507"/>
      <c r="V120" s="509"/>
      <c r="W120" s="509"/>
      <c r="X120" s="507"/>
      <c r="Y120" s="685"/>
      <c r="Z120" s="507"/>
      <c r="AA120" s="509"/>
      <c r="AB120" s="509"/>
      <c r="AC120" s="507"/>
      <c r="AD120" s="685"/>
      <c r="AE120" s="507"/>
      <c r="AF120" s="509"/>
      <c r="AG120" s="509"/>
      <c r="AH120" s="507"/>
      <c r="AI120" s="685"/>
      <c r="AJ120" s="507"/>
      <c r="AK120" s="509"/>
      <c r="AL120" s="509"/>
      <c r="AM120" s="507"/>
      <c r="AN120" s="685"/>
      <c r="AO120" s="507"/>
      <c r="AP120" s="509"/>
      <c r="AQ120" s="509"/>
      <c r="AR120" s="507"/>
      <c r="AS120" s="685"/>
      <c r="AT120" s="507"/>
      <c r="AU120" s="509"/>
      <c r="AV120" s="509"/>
      <c r="AW120" s="507"/>
      <c r="AX120" s="685"/>
      <c r="AZ120" s="369" t="e">
        <f t="shared" si="90"/>
        <v>#N/A</v>
      </c>
      <c r="BA120" s="710"/>
    </row>
    <row r="121" spans="2:53">
      <c r="B121" s="680"/>
      <c r="C121" s="348">
        <v>15</v>
      </c>
      <c r="D121" s="351"/>
      <c r="E121" s="349"/>
      <c r="F121" s="349"/>
      <c r="G121" s="349"/>
      <c r="H121" s="696"/>
      <c r="I121" s="366"/>
      <c r="J121" s="366"/>
      <c r="K121" s="364"/>
      <c r="L121" s="635"/>
      <c r="M121" s="510" t="e">
        <f>RANK(K121, K$107:$K$121)</f>
        <v>#N/A</v>
      </c>
      <c r="N121" s="652"/>
      <c r="O121" s="652"/>
      <c r="P121" s="507"/>
      <c r="Q121" s="509"/>
      <c r="R121" s="509"/>
      <c r="S121" s="507"/>
      <c r="T121" s="685"/>
      <c r="U121" s="507"/>
      <c r="V121" s="509"/>
      <c r="W121" s="509"/>
      <c r="X121" s="507"/>
      <c r="Y121" s="685"/>
      <c r="Z121" s="507"/>
      <c r="AA121" s="509"/>
      <c r="AB121" s="509"/>
      <c r="AC121" s="507"/>
      <c r="AD121" s="685"/>
      <c r="AE121" s="507"/>
      <c r="AF121" s="509"/>
      <c r="AG121" s="509"/>
      <c r="AH121" s="507"/>
      <c r="AI121" s="685"/>
      <c r="AJ121" s="507"/>
      <c r="AK121" s="509"/>
      <c r="AL121" s="509"/>
      <c r="AM121" s="507"/>
      <c r="AN121" s="685"/>
      <c r="AO121" s="507"/>
      <c r="AP121" s="509"/>
      <c r="AQ121" s="509"/>
      <c r="AR121" s="507"/>
      <c r="AS121" s="685"/>
      <c r="AT121" s="507"/>
      <c r="AU121" s="509"/>
      <c r="AV121" s="509"/>
      <c r="AW121" s="507"/>
      <c r="AX121" s="685"/>
      <c r="AZ121" s="369" t="e">
        <f t="shared" si="90"/>
        <v>#N/A</v>
      </c>
      <c r="BA121" s="710"/>
    </row>
    <row r="123" spans="2:53" ht="15.75">
      <c r="B123" s="686" t="s">
        <v>485</v>
      </c>
      <c r="C123" s="687"/>
      <c r="D123" s="687"/>
      <c r="E123" s="687"/>
      <c r="F123" s="687"/>
      <c r="G123" s="687"/>
      <c r="H123" s="688"/>
      <c r="I123" s="307"/>
      <c r="J123" s="307"/>
      <c r="K123" s="307"/>
      <c r="L123" s="307"/>
      <c r="M123" s="308"/>
    </row>
    <row r="124" spans="2:53" ht="15.75">
      <c r="B124" s="689"/>
      <c r="C124" s="689"/>
      <c r="D124" s="689"/>
      <c r="E124" s="689"/>
      <c r="F124" s="689"/>
      <c r="G124" s="689"/>
      <c r="H124" s="689"/>
      <c r="I124" s="309"/>
      <c r="J124" s="309"/>
      <c r="K124" s="309"/>
      <c r="L124" s="309"/>
      <c r="M124" s="310"/>
    </row>
    <row r="125" spans="2:53">
      <c r="B125" s="652" t="s">
        <v>154</v>
      </c>
      <c r="C125" s="652" t="s">
        <v>379</v>
      </c>
      <c r="D125" s="652"/>
      <c r="E125" s="652" t="s">
        <v>370</v>
      </c>
      <c r="F125" s="652"/>
      <c r="G125" s="652"/>
      <c r="H125" s="668" t="s">
        <v>366</v>
      </c>
      <c r="I125" s="690" t="s">
        <v>371</v>
      </c>
      <c r="J125" s="690"/>
      <c r="K125" s="690"/>
      <c r="L125" s="704" t="s">
        <v>366</v>
      </c>
      <c r="M125" s="707" t="s">
        <v>367</v>
      </c>
    </row>
    <row r="126" spans="2:53">
      <c r="B126" s="652"/>
      <c r="C126" s="652"/>
      <c r="D126" s="652"/>
      <c r="E126" s="652" t="s">
        <v>373</v>
      </c>
      <c r="F126" s="652"/>
      <c r="G126" s="652"/>
      <c r="H126" s="669"/>
      <c r="I126" s="690" t="s">
        <v>373</v>
      </c>
      <c r="J126" s="690"/>
      <c r="K126" s="690"/>
      <c r="L126" s="705"/>
      <c r="M126" s="708"/>
    </row>
    <row r="127" spans="2:53">
      <c r="B127" s="652"/>
      <c r="C127" s="652"/>
      <c r="D127" s="652"/>
      <c r="E127" s="304" t="s">
        <v>375</v>
      </c>
      <c r="F127" s="304" t="s">
        <v>376</v>
      </c>
      <c r="G127" s="304" t="s">
        <v>377</v>
      </c>
      <c r="H127" s="670"/>
      <c r="I127" s="311" t="s">
        <v>375</v>
      </c>
      <c r="J127" s="311" t="s">
        <v>376</v>
      </c>
      <c r="K127" s="311" t="s">
        <v>377</v>
      </c>
      <c r="L127" s="706"/>
      <c r="M127" s="709"/>
    </row>
    <row r="128" spans="2:53">
      <c r="B128" s="695" t="s">
        <v>378</v>
      </c>
      <c r="C128" s="303">
        <v>1</v>
      </c>
      <c r="D128" s="225"/>
      <c r="E128" s="181"/>
      <c r="F128" s="303"/>
      <c r="G128" s="306"/>
      <c r="H128" s="698" t="e">
        <f>AVERAGE(G128:G142)</f>
        <v>#DIV/0!</v>
      </c>
      <c r="I128" s="198" t="e">
        <f t="shared" ref="I128:J138" si="92">AVERAGEIF($D$7:$D$121,$D128,I$7:I$121)</f>
        <v>#DIV/0!</v>
      </c>
      <c r="J128" s="198" t="e">
        <f t="shared" si="92"/>
        <v>#DIV/0!</v>
      </c>
      <c r="K128" s="198" t="e">
        <f t="shared" ref="K128:K138" si="93">AVERAGEIF($D$7:$D$121,$D128,K$7:K$121)</f>
        <v>#DIV/0!</v>
      </c>
      <c r="L128" s="701" t="e">
        <f>AVERAGE(K128:K142)</f>
        <v>#DIV/0!</v>
      </c>
      <c r="M128" s="198" t="e">
        <f>RANK(K128, K$128:$K$142)</f>
        <v>#DIV/0!</v>
      </c>
    </row>
    <row r="129" spans="2:39">
      <c r="B129" s="660"/>
      <c r="C129" s="303">
        <v>2</v>
      </c>
      <c r="D129" s="225"/>
      <c r="E129" s="181"/>
      <c r="F129" s="303"/>
      <c r="G129" s="306"/>
      <c r="H129" s="699"/>
      <c r="I129" s="198" t="e">
        <f t="shared" si="92"/>
        <v>#DIV/0!</v>
      </c>
      <c r="J129" s="198" t="e">
        <f t="shared" si="92"/>
        <v>#DIV/0!</v>
      </c>
      <c r="K129" s="198" t="e">
        <f t="shared" si="93"/>
        <v>#DIV/0!</v>
      </c>
      <c r="L129" s="702"/>
      <c r="M129" s="198" t="e">
        <f>RANK(K129, K$128:$K$142)</f>
        <v>#DIV/0!</v>
      </c>
      <c r="N129" s="107"/>
      <c r="O129" s="107"/>
      <c r="P129" s="107"/>
      <c r="Q129" s="107"/>
      <c r="R129" s="107"/>
      <c r="S129" s="107"/>
      <c r="T129" s="107"/>
      <c r="X129" s="107"/>
      <c r="AC129" s="107"/>
      <c r="AH129" s="107"/>
      <c r="AM129" s="107"/>
    </row>
    <row r="130" spans="2:39">
      <c r="B130" s="660"/>
      <c r="C130" s="303">
        <v>3</v>
      </c>
      <c r="D130" s="225"/>
      <c r="E130" s="181"/>
      <c r="F130" s="303"/>
      <c r="G130" s="306"/>
      <c r="H130" s="699"/>
      <c r="I130" s="198" t="e">
        <f t="shared" si="92"/>
        <v>#DIV/0!</v>
      </c>
      <c r="J130" s="198" t="e">
        <f t="shared" si="92"/>
        <v>#DIV/0!</v>
      </c>
      <c r="K130" s="198" t="e">
        <f t="shared" si="93"/>
        <v>#DIV/0!</v>
      </c>
      <c r="L130" s="702"/>
      <c r="M130" s="198" t="e">
        <f>RANK(K130, K$128:$K$142)</f>
        <v>#DIV/0!</v>
      </c>
      <c r="N130" s="107"/>
      <c r="O130" s="107"/>
      <c r="P130" s="107"/>
      <c r="Q130" s="107"/>
      <c r="R130" s="107"/>
      <c r="S130" s="107"/>
      <c r="T130" s="107"/>
      <c r="X130" s="107"/>
      <c r="AC130" s="107"/>
      <c r="AH130" s="107"/>
      <c r="AM130" s="107"/>
    </row>
    <row r="131" spans="2:39">
      <c r="B131" s="660"/>
      <c r="C131" s="303">
        <v>4</v>
      </c>
      <c r="D131" s="225"/>
      <c r="E131" s="181"/>
      <c r="F131" s="303"/>
      <c r="G131" s="306"/>
      <c r="H131" s="699"/>
      <c r="I131" s="198" t="e">
        <f t="shared" si="92"/>
        <v>#DIV/0!</v>
      </c>
      <c r="J131" s="198" t="e">
        <f t="shared" si="92"/>
        <v>#DIV/0!</v>
      </c>
      <c r="K131" s="198" t="e">
        <f t="shared" si="93"/>
        <v>#DIV/0!</v>
      </c>
      <c r="L131" s="702"/>
      <c r="M131" s="198" t="e">
        <f>RANK(K131, K$128:$K$142)</f>
        <v>#DIV/0!</v>
      </c>
      <c r="N131" s="107"/>
      <c r="O131" s="107"/>
      <c r="P131" s="107"/>
      <c r="Q131" s="107"/>
      <c r="R131" s="107"/>
      <c r="S131" s="107"/>
      <c r="T131" s="107"/>
      <c r="X131" s="107"/>
      <c r="AC131" s="107"/>
      <c r="AH131" s="107"/>
      <c r="AM131" s="107"/>
    </row>
    <row r="132" spans="2:39">
      <c r="B132" s="660"/>
      <c r="C132" s="303">
        <v>5</v>
      </c>
      <c r="D132" s="225"/>
      <c r="E132" s="181"/>
      <c r="F132" s="303"/>
      <c r="G132" s="306"/>
      <c r="H132" s="699"/>
      <c r="I132" s="198" t="e">
        <f t="shared" si="92"/>
        <v>#DIV/0!</v>
      </c>
      <c r="J132" s="198" t="e">
        <f t="shared" si="92"/>
        <v>#DIV/0!</v>
      </c>
      <c r="K132" s="198" t="e">
        <f t="shared" si="93"/>
        <v>#DIV/0!</v>
      </c>
      <c r="L132" s="702"/>
      <c r="M132" s="198" t="e">
        <f>RANK(K132, K$128:$K$142)</f>
        <v>#DIV/0!</v>
      </c>
      <c r="N132" s="107"/>
      <c r="O132" s="107"/>
      <c r="P132" s="107"/>
      <c r="Q132" s="107"/>
      <c r="R132" s="107"/>
      <c r="S132" s="107"/>
      <c r="T132" s="107"/>
      <c r="X132" s="107"/>
      <c r="AC132" s="107"/>
      <c r="AH132" s="107"/>
      <c r="AM132" s="107"/>
    </row>
    <row r="133" spans="2:39">
      <c r="B133" s="660"/>
      <c r="C133" s="303">
        <v>6</v>
      </c>
      <c r="D133" s="312"/>
      <c r="E133" s="181"/>
      <c r="F133" s="303"/>
      <c r="G133" s="306"/>
      <c r="H133" s="699"/>
      <c r="I133" s="198" t="e">
        <f t="shared" si="92"/>
        <v>#DIV/0!</v>
      </c>
      <c r="J133" s="198" t="e">
        <f t="shared" si="92"/>
        <v>#DIV/0!</v>
      </c>
      <c r="K133" s="198" t="e">
        <f t="shared" si="93"/>
        <v>#DIV/0!</v>
      </c>
      <c r="L133" s="702"/>
      <c r="M133" s="198" t="e">
        <f>RANK(K133, K$128:$K$142)</f>
        <v>#DIV/0!</v>
      </c>
      <c r="N133" s="107"/>
      <c r="O133" s="107"/>
      <c r="P133" s="107"/>
      <c r="Q133" s="107"/>
      <c r="R133" s="107"/>
      <c r="S133" s="107"/>
      <c r="T133" s="107"/>
      <c r="X133" s="107"/>
      <c r="AC133" s="107"/>
      <c r="AH133" s="107"/>
      <c r="AM133" s="107"/>
    </row>
    <row r="134" spans="2:39">
      <c r="B134" s="660"/>
      <c r="C134" s="303">
        <v>7</v>
      </c>
      <c r="D134" s="225"/>
      <c r="E134" s="181"/>
      <c r="F134" s="303"/>
      <c r="G134" s="306"/>
      <c r="H134" s="699"/>
      <c r="I134" s="198" t="e">
        <f t="shared" si="92"/>
        <v>#DIV/0!</v>
      </c>
      <c r="J134" s="198" t="e">
        <f t="shared" si="92"/>
        <v>#DIV/0!</v>
      </c>
      <c r="K134" s="198" t="e">
        <f t="shared" si="93"/>
        <v>#DIV/0!</v>
      </c>
      <c r="L134" s="702"/>
      <c r="M134" s="198" t="e">
        <f>RANK(K134, K$128:$K$142)</f>
        <v>#DIV/0!</v>
      </c>
      <c r="N134" s="107"/>
      <c r="O134" s="107"/>
      <c r="P134" s="107"/>
      <c r="Q134" s="107"/>
      <c r="R134" s="107"/>
      <c r="S134" s="107"/>
      <c r="T134" s="107"/>
      <c r="X134" s="107"/>
      <c r="AC134" s="107"/>
      <c r="AH134" s="107"/>
      <c r="AM134" s="107"/>
    </row>
    <row r="135" spans="2:39">
      <c r="B135" s="660"/>
      <c r="C135" s="303">
        <v>8</v>
      </c>
      <c r="D135" s="225"/>
      <c r="E135" s="181"/>
      <c r="F135" s="303"/>
      <c r="G135" s="306"/>
      <c r="H135" s="699"/>
      <c r="I135" s="198" t="e">
        <f t="shared" si="92"/>
        <v>#DIV/0!</v>
      </c>
      <c r="J135" s="198" t="e">
        <f t="shared" si="92"/>
        <v>#DIV/0!</v>
      </c>
      <c r="K135" s="198" t="e">
        <f t="shared" si="93"/>
        <v>#DIV/0!</v>
      </c>
      <c r="L135" s="702"/>
      <c r="M135" s="198" t="e">
        <f>RANK(K135, K$128:$K$142)</f>
        <v>#DIV/0!</v>
      </c>
      <c r="N135" s="107"/>
      <c r="O135" s="107"/>
      <c r="P135" s="107"/>
      <c r="Q135" s="107"/>
      <c r="R135" s="107"/>
      <c r="S135" s="107"/>
      <c r="T135" s="107"/>
      <c r="X135" s="107"/>
      <c r="AC135" s="107"/>
      <c r="AH135" s="107"/>
      <c r="AM135" s="107"/>
    </row>
    <row r="136" spans="2:39">
      <c r="B136" s="660"/>
      <c r="C136" s="303">
        <v>9</v>
      </c>
      <c r="D136" s="225"/>
      <c r="E136" s="303"/>
      <c r="F136" s="303"/>
      <c r="G136" s="303"/>
      <c r="H136" s="699"/>
      <c r="I136" s="198" t="e">
        <f t="shared" si="92"/>
        <v>#DIV/0!</v>
      </c>
      <c r="J136" s="198" t="e">
        <f t="shared" si="92"/>
        <v>#DIV/0!</v>
      </c>
      <c r="K136" s="198" t="e">
        <f t="shared" si="93"/>
        <v>#DIV/0!</v>
      </c>
      <c r="L136" s="702"/>
      <c r="M136" s="198" t="e">
        <f>RANK(K136, K$128:$K$142)</f>
        <v>#DIV/0!</v>
      </c>
      <c r="N136" s="107"/>
      <c r="O136" s="107"/>
      <c r="P136" s="107"/>
      <c r="Q136" s="107"/>
      <c r="R136" s="107"/>
      <c r="S136" s="107"/>
      <c r="T136" s="107"/>
      <c r="X136" s="107"/>
      <c r="AC136" s="107"/>
      <c r="AH136" s="107"/>
      <c r="AM136" s="107"/>
    </row>
    <row r="137" spans="2:39">
      <c r="B137" s="660"/>
      <c r="C137" s="303">
        <v>10</v>
      </c>
      <c r="D137" s="225"/>
      <c r="E137" s="303"/>
      <c r="F137" s="303"/>
      <c r="G137" s="303"/>
      <c r="H137" s="699"/>
      <c r="I137" s="198" t="e">
        <f t="shared" si="92"/>
        <v>#DIV/0!</v>
      </c>
      <c r="J137" s="198" t="e">
        <f t="shared" si="92"/>
        <v>#DIV/0!</v>
      </c>
      <c r="K137" s="198" t="e">
        <f t="shared" si="93"/>
        <v>#DIV/0!</v>
      </c>
      <c r="L137" s="702"/>
      <c r="M137" s="198" t="e">
        <f>RANK(K137, K$128:$K$142)</f>
        <v>#DIV/0!</v>
      </c>
      <c r="N137" s="107"/>
      <c r="O137" s="107"/>
      <c r="P137" s="107"/>
      <c r="Q137" s="107"/>
      <c r="R137" s="107"/>
      <c r="S137" s="107"/>
      <c r="T137" s="107"/>
      <c r="X137" s="107"/>
      <c r="AC137" s="107"/>
      <c r="AH137" s="107"/>
      <c r="AM137" s="107"/>
    </row>
    <row r="138" spans="2:39">
      <c r="B138" s="660"/>
      <c r="C138" s="303">
        <v>11</v>
      </c>
      <c r="D138" s="225"/>
      <c r="E138" s="303"/>
      <c r="F138" s="303"/>
      <c r="G138" s="303"/>
      <c r="H138" s="699"/>
      <c r="I138" s="198" t="e">
        <f t="shared" si="92"/>
        <v>#DIV/0!</v>
      </c>
      <c r="J138" s="198" t="e">
        <f t="shared" si="92"/>
        <v>#DIV/0!</v>
      </c>
      <c r="K138" s="198" t="e">
        <f t="shared" si="93"/>
        <v>#DIV/0!</v>
      </c>
      <c r="L138" s="702"/>
      <c r="M138" s="198" t="e">
        <f>RANK(K138, K$128:$K$142)</f>
        <v>#DIV/0!</v>
      </c>
      <c r="N138" s="107"/>
      <c r="O138" s="107"/>
      <c r="P138" s="107"/>
      <c r="Q138" s="107"/>
      <c r="R138" s="107"/>
      <c r="S138" s="107"/>
      <c r="T138" s="107"/>
      <c r="X138" s="107"/>
      <c r="AC138" s="107"/>
      <c r="AH138" s="107"/>
      <c r="AM138" s="107"/>
    </row>
    <row r="139" spans="2:39">
      <c r="B139" s="660"/>
      <c r="C139" s="303">
        <v>12</v>
      </c>
      <c r="D139" s="225"/>
      <c r="E139" s="303"/>
      <c r="F139" s="303"/>
      <c r="G139" s="303"/>
      <c r="H139" s="699"/>
      <c r="I139" s="198"/>
      <c r="J139" s="198"/>
      <c r="K139" s="198"/>
      <c r="L139" s="702"/>
      <c r="M139" s="198" t="e">
        <f>RANK(K139, K$128:$K$142)</f>
        <v>#DIV/0!</v>
      </c>
      <c r="N139" s="107"/>
      <c r="O139" s="107"/>
      <c r="P139" s="107"/>
      <c r="Q139" s="107"/>
      <c r="R139" s="107"/>
      <c r="S139" s="107"/>
      <c r="T139" s="107"/>
      <c r="X139" s="107"/>
      <c r="AC139" s="107"/>
      <c r="AH139" s="107"/>
      <c r="AM139" s="107"/>
    </row>
    <row r="140" spans="2:39">
      <c r="B140" s="660"/>
      <c r="C140" s="303">
        <v>13</v>
      </c>
      <c r="D140" s="225"/>
      <c r="E140" s="303"/>
      <c r="F140" s="303"/>
      <c r="G140" s="303"/>
      <c r="H140" s="699"/>
      <c r="I140" s="198"/>
      <c r="J140" s="198"/>
      <c r="K140" s="198"/>
      <c r="L140" s="702"/>
      <c r="M140" s="198" t="e">
        <f>RANK(K140, K$128:$K$142)</f>
        <v>#DIV/0!</v>
      </c>
      <c r="N140" s="107"/>
      <c r="O140" s="107"/>
      <c r="P140" s="107"/>
      <c r="Q140" s="107"/>
      <c r="R140" s="107"/>
      <c r="S140" s="107"/>
      <c r="T140" s="107"/>
      <c r="X140" s="107"/>
      <c r="AC140" s="107"/>
      <c r="AH140" s="107"/>
      <c r="AM140" s="107"/>
    </row>
    <row r="141" spans="2:39">
      <c r="B141" s="660"/>
      <c r="C141" s="303">
        <v>14</v>
      </c>
      <c r="D141" s="225"/>
      <c r="E141" s="303"/>
      <c r="F141" s="303"/>
      <c r="G141" s="303"/>
      <c r="H141" s="699"/>
      <c r="I141" s="198"/>
      <c r="J141" s="198"/>
      <c r="K141" s="198"/>
      <c r="L141" s="702"/>
      <c r="M141" s="198" t="e">
        <f>RANK(K141, K$128:$K$142)</f>
        <v>#DIV/0!</v>
      </c>
      <c r="N141" s="107"/>
      <c r="O141" s="107"/>
      <c r="P141" s="107"/>
      <c r="Q141" s="107"/>
      <c r="R141" s="107"/>
      <c r="S141" s="107"/>
      <c r="T141" s="107"/>
      <c r="X141" s="107"/>
      <c r="AC141" s="107"/>
      <c r="AH141" s="107"/>
      <c r="AM141" s="107"/>
    </row>
    <row r="142" spans="2:39">
      <c r="B142" s="660"/>
      <c r="C142" s="303">
        <v>15</v>
      </c>
      <c r="D142" s="225"/>
      <c r="E142" s="303"/>
      <c r="F142" s="303"/>
      <c r="G142" s="303"/>
      <c r="H142" s="700"/>
      <c r="I142" s="198"/>
      <c r="J142" s="198"/>
      <c r="K142" s="198"/>
      <c r="L142" s="703"/>
      <c r="M142" s="198" t="e">
        <f>RANK(K142, K$128:$K$142)</f>
        <v>#DIV/0!</v>
      </c>
      <c r="N142" s="107"/>
      <c r="O142" s="107"/>
      <c r="P142" s="107"/>
      <c r="Q142" s="107"/>
      <c r="R142" s="107"/>
      <c r="S142" s="107"/>
      <c r="T142" s="107"/>
      <c r="X142" s="107"/>
      <c r="AC142" s="107"/>
      <c r="AH142" s="107"/>
      <c r="AM142" s="107"/>
    </row>
  </sheetData>
  <mergeCells count="379"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BA87:BA101"/>
    <mergeCell ref="BA104:BA106"/>
    <mergeCell ref="BA107:BA121"/>
    <mergeCell ref="BA7:BA21"/>
    <mergeCell ref="BA4:BA6"/>
    <mergeCell ref="BA24:BA26"/>
    <mergeCell ref="BA27:BA41"/>
    <mergeCell ref="BA44:BA46"/>
    <mergeCell ref="BA47:BA61"/>
    <mergeCell ref="BA64:BA66"/>
    <mergeCell ref="BA67:BA81"/>
    <mergeCell ref="BA84:BA86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A142"/>
  <sheetViews>
    <sheetView topLeftCell="A37" zoomScale="50" zoomScaleNormal="50" workbookViewId="0">
      <pane xSplit="15" topLeftCell="U1" activePane="topRight" state="frozen"/>
      <selection activeCell="P6" sqref="P6"/>
      <selection pane="topRight" activeCell="H87" sqref="H87:H101"/>
    </sheetView>
  </sheetViews>
  <sheetFormatPr defaultColWidth="8.85546875" defaultRowHeight="12.75"/>
  <cols>
    <col min="1" max="1" width="5.5703125" style="107" customWidth="1"/>
    <col min="2" max="2" width="12.42578125" style="107" customWidth="1"/>
    <col min="3" max="3" width="8.85546875" style="106"/>
    <col min="4" max="4" width="26.42578125" style="106" customWidth="1"/>
    <col min="5" max="7" width="8.42578125" style="106" customWidth="1"/>
    <col min="8" max="8" width="11.140625" style="106" bestFit="1" customWidth="1"/>
    <col min="9" max="12" width="11.140625" style="106" customWidth="1"/>
    <col min="13" max="13" width="13.5703125" style="106" customWidth="1"/>
    <col min="14" max="14" width="9.85546875" style="106" customWidth="1"/>
    <col min="15" max="15" width="7.140625" style="106" customWidth="1"/>
    <col min="16" max="18" width="12.85546875" style="106" customWidth="1"/>
    <col min="19" max="19" width="5.42578125" style="106" customWidth="1"/>
    <col min="20" max="20" width="12.85546875" style="106" customWidth="1"/>
    <col min="21" max="23" width="12.85546875" style="107" customWidth="1"/>
    <col min="24" max="24" width="5.42578125" style="106" customWidth="1"/>
    <col min="25" max="28" width="12.85546875" style="107" customWidth="1"/>
    <col min="29" max="29" width="5.42578125" style="106" customWidth="1"/>
    <col min="30" max="30" width="12.85546875" style="107" customWidth="1"/>
    <col min="31" max="33" width="12.5703125" style="107" customWidth="1"/>
    <col min="34" max="34" width="5.42578125" style="106" customWidth="1"/>
    <col min="35" max="35" width="13" style="107" customWidth="1"/>
    <col min="36" max="38" width="12.5703125" style="107" customWidth="1"/>
    <col min="39" max="39" width="5.42578125" style="106" customWidth="1"/>
    <col min="40" max="40" width="13" style="107" customWidth="1"/>
    <col min="41" max="43" width="13.140625" style="107" customWidth="1"/>
    <col min="44" max="44" width="5.42578125" style="107" customWidth="1"/>
    <col min="45" max="48" width="13.140625" style="107" customWidth="1"/>
    <col min="49" max="49" width="5.42578125" style="107" customWidth="1"/>
    <col min="50" max="50" width="13.140625" style="107" customWidth="1"/>
    <col min="51" max="51" width="8.85546875" style="107"/>
    <col min="52" max="52" width="5.42578125" style="107" customWidth="1"/>
    <col min="53" max="53" width="13.140625" style="107" customWidth="1"/>
    <col min="54" max="16384" width="8.85546875" style="107"/>
  </cols>
  <sheetData>
    <row r="1" spans="1:53" ht="24">
      <c r="A1" s="75"/>
      <c r="B1" s="220" t="s">
        <v>313</v>
      </c>
      <c r="C1" s="219">
        <f>AVERAGE(L7,L27,L47,L67,L87,L107)</f>
        <v>149.22745576310135</v>
      </c>
    </row>
    <row r="2" spans="1:53" ht="15.75">
      <c r="A2" s="81"/>
      <c r="B2" s="664" t="s">
        <v>162</v>
      </c>
      <c r="C2" s="664"/>
      <c r="D2" s="664"/>
      <c r="E2" s="664"/>
      <c r="F2" s="664"/>
      <c r="G2" s="664"/>
      <c r="H2" s="664"/>
      <c r="I2" s="284"/>
      <c r="J2" s="284"/>
      <c r="K2" s="284"/>
      <c r="L2" s="284"/>
      <c r="M2" s="196"/>
      <c r="N2" s="653" t="s">
        <v>156</v>
      </c>
      <c r="O2" s="653" t="s">
        <v>155</v>
      </c>
      <c r="P2" s="659">
        <v>46231</v>
      </c>
      <c r="Q2" s="660"/>
      <c r="R2" s="660"/>
      <c r="S2" s="660"/>
      <c r="T2" s="660"/>
      <c r="U2" s="656">
        <f>P2+1</f>
        <v>46232</v>
      </c>
      <c r="V2" s="657"/>
      <c r="W2" s="657"/>
      <c r="X2" s="657"/>
      <c r="Y2" s="658"/>
      <c r="Z2" s="656">
        <f>U2+1</f>
        <v>46233</v>
      </c>
      <c r="AA2" s="657"/>
      <c r="AB2" s="657"/>
      <c r="AC2" s="657"/>
      <c r="AD2" s="658"/>
      <c r="AE2" s="656">
        <f>Z2+1</f>
        <v>46234</v>
      </c>
      <c r="AF2" s="657"/>
      <c r="AG2" s="657"/>
      <c r="AH2" s="657"/>
      <c r="AI2" s="658"/>
      <c r="AJ2" s="656">
        <f>AE2+1</f>
        <v>46235</v>
      </c>
      <c r="AK2" s="657"/>
      <c r="AL2" s="657"/>
      <c r="AM2" s="657"/>
      <c r="AN2" s="658"/>
      <c r="AO2" s="656">
        <f>AJ2+1</f>
        <v>46236</v>
      </c>
      <c r="AP2" s="657"/>
      <c r="AQ2" s="657"/>
      <c r="AR2" s="657"/>
      <c r="AS2" s="658"/>
      <c r="AT2" s="656">
        <f>AO2+1</f>
        <v>46237</v>
      </c>
      <c r="AU2" s="657"/>
      <c r="AV2" s="657"/>
      <c r="AW2" s="657"/>
      <c r="AX2" s="658"/>
    </row>
    <row r="3" spans="1:53" ht="15.75">
      <c r="A3" s="81"/>
      <c r="B3" s="697"/>
      <c r="C3" s="697"/>
      <c r="D3" s="697"/>
      <c r="E3" s="697"/>
      <c r="F3" s="697"/>
      <c r="G3" s="697"/>
      <c r="H3" s="697"/>
      <c r="I3" s="285"/>
      <c r="J3" s="285"/>
      <c r="K3" s="285"/>
      <c r="L3" s="285"/>
      <c r="M3" s="197"/>
      <c r="N3" s="655"/>
      <c r="O3" s="655"/>
      <c r="P3" s="659" t="s">
        <v>158</v>
      </c>
      <c r="Q3" s="660"/>
      <c r="R3" s="660"/>
      <c r="S3" s="660"/>
      <c r="T3" s="660"/>
      <c r="U3" s="659" t="s">
        <v>114</v>
      </c>
      <c r="V3" s="660"/>
      <c r="W3" s="660"/>
      <c r="X3" s="660"/>
      <c r="Y3" s="660"/>
      <c r="Z3" s="659" t="s">
        <v>159</v>
      </c>
      <c r="AA3" s="660"/>
      <c r="AB3" s="660"/>
      <c r="AC3" s="660"/>
      <c r="AD3" s="660"/>
      <c r="AE3" s="659" t="s">
        <v>157</v>
      </c>
      <c r="AF3" s="660"/>
      <c r="AG3" s="660"/>
      <c r="AH3" s="660"/>
      <c r="AI3" s="660"/>
      <c r="AJ3" s="659" t="s">
        <v>160</v>
      </c>
      <c r="AK3" s="660"/>
      <c r="AL3" s="660"/>
      <c r="AM3" s="660"/>
      <c r="AN3" s="660"/>
      <c r="AO3" s="659" t="s">
        <v>115</v>
      </c>
      <c r="AP3" s="660"/>
      <c r="AQ3" s="660"/>
      <c r="AR3" s="660"/>
      <c r="AS3" s="660"/>
      <c r="AT3" s="659" t="s">
        <v>161</v>
      </c>
      <c r="AU3" s="660"/>
      <c r="AV3" s="660"/>
      <c r="AW3" s="660"/>
      <c r="AX3" s="660"/>
    </row>
    <row r="4" spans="1:53" ht="14.25">
      <c r="A4" s="81"/>
      <c r="B4" s="652" t="s">
        <v>389</v>
      </c>
      <c r="C4" s="652" t="s">
        <v>379</v>
      </c>
      <c r="D4" s="652"/>
      <c r="E4" s="652" t="s">
        <v>370</v>
      </c>
      <c r="F4" s="652"/>
      <c r="G4" s="652"/>
      <c r="H4" s="668" t="s">
        <v>366</v>
      </c>
      <c r="I4" s="636" t="s">
        <v>371</v>
      </c>
      <c r="J4" s="636"/>
      <c r="K4" s="636"/>
      <c r="L4" s="637" t="s">
        <v>366</v>
      </c>
      <c r="M4" s="643" t="s">
        <v>367</v>
      </c>
      <c r="N4" s="652"/>
      <c r="O4" s="652" t="s">
        <v>372</v>
      </c>
      <c r="P4" s="649" t="s">
        <v>368</v>
      </c>
      <c r="Q4" s="650"/>
      <c r="R4" s="650"/>
      <c r="S4" s="651"/>
      <c r="T4" s="652" t="s">
        <v>366</v>
      </c>
      <c r="U4" s="649" t="s">
        <v>368</v>
      </c>
      <c r="V4" s="650"/>
      <c r="W4" s="650"/>
      <c r="X4" s="651"/>
      <c r="Y4" s="652" t="s">
        <v>366</v>
      </c>
      <c r="Z4" s="649" t="s">
        <v>368</v>
      </c>
      <c r="AA4" s="650"/>
      <c r="AB4" s="650"/>
      <c r="AC4" s="651"/>
      <c r="AD4" s="652" t="s">
        <v>366</v>
      </c>
      <c r="AE4" s="649" t="s">
        <v>368</v>
      </c>
      <c r="AF4" s="650"/>
      <c r="AG4" s="650"/>
      <c r="AH4" s="651"/>
      <c r="AI4" s="652" t="s">
        <v>366</v>
      </c>
      <c r="AJ4" s="649" t="s">
        <v>368</v>
      </c>
      <c r="AK4" s="650"/>
      <c r="AL4" s="650"/>
      <c r="AM4" s="651"/>
      <c r="AN4" s="652" t="s">
        <v>366</v>
      </c>
      <c r="AO4" s="649" t="s">
        <v>368</v>
      </c>
      <c r="AP4" s="650"/>
      <c r="AQ4" s="650"/>
      <c r="AR4" s="651"/>
      <c r="AS4" s="652" t="s">
        <v>366</v>
      </c>
      <c r="AT4" s="649" t="s">
        <v>368</v>
      </c>
      <c r="AU4" s="650"/>
      <c r="AV4" s="650"/>
      <c r="AW4" s="651"/>
      <c r="AX4" s="652" t="s">
        <v>366</v>
      </c>
      <c r="BA4" s="652" t="s">
        <v>366</v>
      </c>
    </row>
    <row r="5" spans="1:53" ht="14.25">
      <c r="A5" s="81"/>
      <c r="B5" s="652"/>
      <c r="C5" s="652"/>
      <c r="D5" s="652"/>
      <c r="E5" s="652" t="s">
        <v>373</v>
      </c>
      <c r="F5" s="652"/>
      <c r="G5" s="652"/>
      <c r="H5" s="669"/>
      <c r="I5" s="636" t="s">
        <v>373</v>
      </c>
      <c r="J5" s="636"/>
      <c r="K5" s="636"/>
      <c r="L5" s="638"/>
      <c r="M5" s="644"/>
      <c r="N5" s="652"/>
      <c r="O5" s="652"/>
      <c r="P5" s="649" t="s">
        <v>374</v>
      </c>
      <c r="Q5" s="650"/>
      <c r="R5" s="650"/>
      <c r="S5" s="651"/>
      <c r="T5" s="652"/>
      <c r="U5" s="649" t="s">
        <v>374</v>
      </c>
      <c r="V5" s="650"/>
      <c r="W5" s="650"/>
      <c r="X5" s="651"/>
      <c r="Y5" s="652"/>
      <c r="Z5" s="649" t="s">
        <v>374</v>
      </c>
      <c r="AA5" s="650"/>
      <c r="AB5" s="650"/>
      <c r="AC5" s="651"/>
      <c r="AD5" s="652"/>
      <c r="AE5" s="649" t="s">
        <v>374</v>
      </c>
      <c r="AF5" s="650"/>
      <c r="AG5" s="650"/>
      <c r="AH5" s="651"/>
      <c r="AI5" s="652"/>
      <c r="AJ5" s="649" t="s">
        <v>374</v>
      </c>
      <c r="AK5" s="650"/>
      <c r="AL5" s="650"/>
      <c r="AM5" s="651"/>
      <c r="AN5" s="652"/>
      <c r="AO5" s="649" t="s">
        <v>374</v>
      </c>
      <c r="AP5" s="650"/>
      <c r="AQ5" s="650"/>
      <c r="AR5" s="651"/>
      <c r="AS5" s="652"/>
      <c r="AT5" s="649" t="s">
        <v>374</v>
      </c>
      <c r="AU5" s="650"/>
      <c r="AV5" s="650"/>
      <c r="AW5" s="651"/>
      <c r="AX5" s="652"/>
      <c r="BA5" s="652"/>
    </row>
    <row r="6" spans="1:53" ht="14.25">
      <c r="A6" s="79"/>
      <c r="B6" s="652"/>
      <c r="C6" s="652"/>
      <c r="D6" s="652"/>
      <c r="E6" s="529" t="s">
        <v>375</v>
      </c>
      <c r="F6" s="529" t="s">
        <v>376</v>
      </c>
      <c r="G6" s="529" t="s">
        <v>377</v>
      </c>
      <c r="H6" s="670"/>
      <c r="I6" s="528" t="s">
        <v>375</v>
      </c>
      <c r="J6" s="528" t="s">
        <v>376</v>
      </c>
      <c r="K6" s="528" t="s">
        <v>377</v>
      </c>
      <c r="L6" s="639"/>
      <c r="M6" s="645"/>
      <c r="N6" s="652"/>
      <c r="O6" s="652"/>
      <c r="P6" s="529" t="s">
        <v>375</v>
      </c>
      <c r="Q6" s="529" t="s">
        <v>376</v>
      </c>
      <c r="R6" s="529" t="s">
        <v>377</v>
      </c>
      <c r="S6" s="529" t="s">
        <v>367</v>
      </c>
      <c r="T6" s="652"/>
      <c r="U6" s="529" t="s">
        <v>375</v>
      </c>
      <c r="V6" s="529" t="s">
        <v>376</v>
      </c>
      <c r="W6" s="529" t="s">
        <v>377</v>
      </c>
      <c r="X6" s="529" t="s">
        <v>367</v>
      </c>
      <c r="Y6" s="652"/>
      <c r="Z6" s="529" t="s">
        <v>375</v>
      </c>
      <c r="AA6" s="529" t="s">
        <v>376</v>
      </c>
      <c r="AB6" s="529" t="s">
        <v>377</v>
      </c>
      <c r="AC6" s="529" t="s">
        <v>367</v>
      </c>
      <c r="AD6" s="652"/>
      <c r="AE6" s="529" t="s">
        <v>375</v>
      </c>
      <c r="AF6" s="529" t="s">
        <v>376</v>
      </c>
      <c r="AG6" s="529" t="s">
        <v>377</v>
      </c>
      <c r="AH6" s="529" t="s">
        <v>367</v>
      </c>
      <c r="AI6" s="652"/>
      <c r="AJ6" s="529" t="s">
        <v>375</v>
      </c>
      <c r="AK6" s="529" t="s">
        <v>376</v>
      </c>
      <c r="AL6" s="529" t="s">
        <v>377</v>
      </c>
      <c r="AM6" s="529" t="s">
        <v>367</v>
      </c>
      <c r="AN6" s="652"/>
      <c r="AO6" s="529" t="s">
        <v>375</v>
      </c>
      <c r="AP6" s="529" t="s">
        <v>376</v>
      </c>
      <c r="AQ6" s="529" t="s">
        <v>377</v>
      </c>
      <c r="AR6" s="529" t="s">
        <v>367</v>
      </c>
      <c r="AS6" s="652"/>
      <c r="AT6" s="529" t="s">
        <v>375</v>
      </c>
      <c r="AU6" s="529" t="s">
        <v>376</v>
      </c>
      <c r="AV6" s="529" t="s">
        <v>377</v>
      </c>
      <c r="AW6" s="529" t="s">
        <v>367</v>
      </c>
      <c r="AX6" s="652"/>
      <c r="AZ6" s="367" t="s">
        <v>367</v>
      </c>
      <c r="BA6" s="652"/>
    </row>
    <row r="7" spans="1:53" ht="14.25">
      <c r="A7" s="81"/>
      <c r="B7" s="652" t="s">
        <v>404</v>
      </c>
      <c r="C7" s="530">
        <v>1</v>
      </c>
      <c r="D7" s="225" t="s">
        <v>692</v>
      </c>
      <c r="E7" s="531">
        <v>15</v>
      </c>
      <c r="F7" s="530">
        <v>2000</v>
      </c>
      <c r="G7" s="532">
        <v>100</v>
      </c>
      <c r="H7" s="698">
        <f>AVERAGE(G7:G21)</f>
        <v>100</v>
      </c>
      <c r="I7" s="534">
        <f t="shared" ref="I7:I20" si="0">IFERROR(AVERAGE(P7,U7,Z7,AE7,AJ7,AO7,AT7),"-")</f>
        <v>13</v>
      </c>
      <c r="J7" s="534">
        <f t="shared" ref="J7:J20" si="1">IFERROR(AVERAGE(Q7,V7,AA7,AF7,AK7,AP7,AU7),"-")</f>
        <v>2045.8333333333346</v>
      </c>
      <c r="K7" s="199">
        <f t="shared" ref="K7:K20" si="2">IFERROR(AVERAGE(R7,W7,AB7,AG7,AL7,AQ7,AV7),"-")</f>
        <v>157.37179487179498</v>
      </c>
      <c r="L7" s="633">
        <f>IFERROR(AVERAGE(K7:K21),"-")</f>
        <v>152.60531135531141</v>
      </c>
      <c r="M7" s="535">
        <f>RANK(K7, K$7:$K$21)</f>
        <v>1</v>
      </c>
      <c r="N7" s="652"/>
      <c r="O7" s="652"/>
      <c r="P7" s="530"/>
      <c r="Q7" s="531"/>
      <c r="R7" s="531"/>
      <c r="S7" s="530"/>
      <c r="T7" s="685"/>
      <c r="U7" s="530"/>
      <c r="V7" s="531"/>
      <c r="W7" s="531"/>
      <c r="X7" s="555"/>
      <c r="Y7" s="685"/>
      <c r="Z7" s="530"/>
      <c r="AA7" s="531"/>
      <c r="AB7" s="531"/>
      <c r="AC7" s="555"/>
      <c r="AD7" s="685"/>
      <c r="AE7" s="530"/>
      <c r="AF7" s="531"/>
      <c r="AG7" s="531"/>
      <c r="AH7" s="555"/>
      <c r="AI7" s="685" t="e">
        <f t="shared" ref="AI7" si="3">AVERAGE(AG7:AG21)</f>
        <v>#DIV/0!</v>
      </c>
      <c r="AJ7" s="530">
        <v>13</v>
      </c>
      <c r="AK7" s="531">
        <v>2105.9999999999991</v>
      </c>
      <c r="AL7" s="531">
        <v>161.99999999999994</v>
      </c>
      <c r="AM7" s="555">
        <f>RANK(AL7, AL$7:AL$21)</f>
        <v>1</v>
      </c>
      <c r="AN7" s="685">
        <f t="shared" ref="AN7" si="4">AVERAGE(AL7:AL21)</f>
        <v>153.69230769230779</v>
      </c>
      <c r="AO7" s="530">
        <v>13</v>
      </c>
      <c r="AP7" s="531">
        <v>2032.0000000000018</v>
      </c>
      <c r="AQ7" s="531">
        <v>156.30769230769243</v>
      </c>
      <c r="AR7" s="555">
        <f>RANK(AQ7, AQ$7:AQ$21)</f>
        <v>1</v>
      </c>
      <c r="AS7" s="685">
        <f t="shared" ref="AS7" si="5">AVERAGE(AQ7:AQ21)</f>
        <v>153.07692307692309</v>
      </c>
      <c r="AT7" s="530">
        <v>13</v>
      </c>
      <c r="AU7" s="531">
        <v>1999.5000000000032</v>
      </c>
      <c r="AV7" s="531">
        <v>153.80769230769255</v>
      </c>
      <c r="AW7" s="555">
        <f>RANK(AV7, AV$7:AV$21)</f>
        <v>1</v>
      </c>
      <c r="AX7" s="685">
        <f t="shared" ref="AX7" si="6">AVERAGE(AV7:AV21)</f>
        <v>151.04670329670336</v>
      </c>
      <c r="AZ7" s="368" t="e">
        <f t="shared" ref="AZ7:AZ21" si="7">RANK(AY7, AY$7:AY$21)</f>
        <v>#N/A</v>
      </c>
      <c r="BA7" s="685" t="e">
        <f t="shared" ref="BA7" si="8">AVERAGE(AY7:AY21)</f>
        <v>#DIV/0!</v>
      </c>
    </row>
    <row r="8" spans="1:53" ht="15" customHeight="1">
      <c r="A8" s="81"/>
      <c r="B8" s="660"/>
      <c r="C8" s="530">
        <v>2</v>
      </c>
      <c r="D8" s="225" t="s">
        <v>702</v>
      </c>
      <c r="E8" s="531">
        <v>13</v>
      </c>
      <c r="F8" s="530">
        <v>2000</v>
      </c>
      <c r="G8" s="532">
        <v>100</v>
      </c>
      <c r="H8" s="699"/>
      <c r="I8" s="534">
        <f t="shared" si="0"/>
        <v>13</v>
      </c>
      <c r="J8" s="534">
        <f t="shared" si="1"/>
        <v>1921.9047619047622</v>
      </c>
      <c r="K8" s="199">
        <f t="shared" si="2"/>
        <v>147.83882783882785</v>
      </c>
      <c r="L8" s="634"/>
      <c r="M8" s="558">
        <f>RANK(K8, K$7:$K$21)</f>
        <v>2</v>
      </c>
      <c r="N8" s="652"/>
      <c r="O8" s="652"/>
      <c r="P8" s="530"/>
      <c r="Q8" s="531"/>
      <c r="R8" s="531"/>
      <c r="S8" s="555"/>
      <c r="T8" s="685"/>
      <c r="U8" s="530"/>
      <c r="V8" s="531"/>
      <c r="W8" s="531"/>
      <c r="X8" s="555"/>
      <c r="Y8" s="685"/>
      <c r="Z8" s="530"/>
      <c r="AA8" s="531"/>
      <c r="AB8" s="531"/>
      <c r="AC8" s="555"/>
      <c r="AD8" s="685"/>
      <c r="AE8" s="530"/>
      <c r="AF8" s="531"/>
      <c r="AG8" s="531"/>
      <c r="AH8" s="555"/>
      <c r="AI8" s="685"/>
      <c r="AJ8" s="530">
        <v>13</v>
      </c>
      <c r="AK8" s="531">
        <v>1890.000000000003</v>
      </c>
      <c r="AL8" s="531">
        <v>145.38461538461561</v>
      </c>
      <c r="AM8" s="555">
        <f t="shared" ref="AM8:AM21" si="9">RANK(AL8, AL$7:AL$21)</f>
        <v>2</v>
      </c>
      <c r="AN8" s="685"/>
      <c r="AO8" s="530">
        <v>13</v>
      </c>
      <c r="AP8" s="531">
        <v>1947.9999999999993</v>
      </c>
      <c r="AQ8" s="531">
        <v>149.84615384615378</v>
      </c>
      <c r="AR8" s="555">
        <f t="shared" ref="AR8:AR21" si="10">RANK(AQ8, AQ$7:AQ$21)</f>
        <v>2</v>
      </c>
      <c r="AS8" s="685"/>
      <c r="AT8" s="530">
        <v>13</v>
      </c>
      <c r="AU8" s="531">
        <v>1927.714285714284</v>
      </c>
      <c r="AV8" s="531">
        <v>148.28571428571416</v>
      </c>
      <c r="AW8" s="555">
        <f t="shared" ref="AW8:AW21" si="11">RANK(AV8, AV$7:AV$21)</f>
        <v>2</v>
      </c>
      <c r="AX8" s="685"/>
      <c r="AZ8" s="368" t="e">
        <f t="shared" si="7"/>
        <v>#N/A</v>
      </c>
      <c r="BA8" s="685"/>
    </row>
    <row r="9" spans="1:53" ht="14.25">
      <c r="A9" s="81"/>
      <c r="B9" s="660"/>
      <c r="C9" s="530">
        <v>3</v>
      </c>
      <c r="D9" s="225"/>
      <c r="E9" s="531"/>
      <c r="F9" s="530"/>
      <c r="G9" s="532"/>
      <c r="H9" s="699"/>
      <c r="I9" s="534" t="str">
        <f t="shared" si="0"/>
        <v>-</v>
      </c>
      <c r="J9" s="534" t="str">
        <f t="shared" si="1"/>
        <v>-</v>
      </c>
      <c r="K9" s="199" t="str">
        <f t="shared" si="2"/>
        <v>-</v>
      </c>
      <c r="L9" s="634"/>
      <c r="M9" s="558" t="e">
        <f>RANK(K9, K$7:$K$21)</f>
        <v>#VALUE!</v>
      </c>
      <c r="N9" s="652"/>
      <c r="O9" s="652"/>
      <c r="P9" s="530"/>
      <c r="Q9" s="531"/>
      <c r="R9" s="531"/>
      <c r="S9" s="555"/>
      <c r="T9" s="685"/>
      <c r="U9" s="530"/>
      <c r="V9" s="531"/>
      <c r="W9" s="531"/>
      <c r="X9" s="555"/>
      <c r="Y9" s="685"/>
      <c r="Z9" s="530"/>
      <c r="AA9" s="531"/>
      <c r="AB9" s="531"/>
      <c r="AC9" s="555"/>
      <c r="AD9" s="685"/>
      <c r="AE9" s="530"/>
      <c r="AF9" s="531"/>
      <c r="AG9" s="531"/>
      <c r="AH9" s="555"/>
      <c r="AI9" s="685"/>
      <c r="AJ9" s="530" t="s">
        <v>585</v>
      </c>
      <c r="AK9" s="531" t="s">
        <v>585</v>
      </c>
      <c r="AL9" s="531" t="s">
        <v>585</v>
      </c>
      <c r="AM9" s="555" t="e">
        <f t="shared" si="9"/>
        <v>#VALUE!</v>
      </c>
      <c r="AN9" s="685"/>
      <c r="AO9" s="530" t="s">
        <v>585</v>
      </c>
      <c r="AP9" s="531" t="s">
        <v>585</v>
      </c>
      <c r="AQ9" s="531" t="s">
        <v>585</v>
      </c>
      <c r="AR9" s="555" t="e">
        <f t="shared" si="10"/>
        <v>#VALUE!</v>
      </c>
      <c r="AS9" s="685"/>
      <c r="AT9" s="530" t="s">
        <v>585</v>
      </c>
      <c r="AU9" s="531" t="s">
        <v>585</v>
      </c>
      <c r="AV9" s="531" t="s">
        <v>585</v>
      </c>
      <c r="AW9" s="555" t="e">
        <f t="shared" si="11"/>
        <v>#VALUE!</v>
      </c>
      <c r="AX9" s="685"/>
      <c r="AZ9" s="368" t="e">
        <f t="shared" si="7"/>
        <v>#N/A</v>
      </c>
      <c r="BA9" s="685"/>
    </row>
    <row r="10" spans="1:53" ht="14.25">
      <c r="A10" s="81"/>
      <c r="B10" s="660"/>
      <c r="C10" s="530">
        <v>4</v>
      </c>
      <c r="D10" s="225"/>
      <c r="E10" s="531"/>
      <c r="F10" s="530"/>
      <c r="G10" s="532"/>
      <c r="H10" s="699"/>
      <c r="I10" s="534" t="str">
        <f t="shared" si="0"/>
        <v>-</v>
      </c>
      <c r="J10" s="534" t="str">
        <f t="shared" si="1"/>
        <v>-</v>
      </c>
      <c r="K10" s="199" t="str">
        <f t="shared" si="2"/>
        <v>-</v>
      </c>
      <c r="L10" s="634"/>
      <c r="M10" s="558" t="e">
        <f>RANK(K10, K$7:$K$21)</f>
        <v>#VALUE!</v>
      </c>
      <c r="N10" s="652"/>
      <c r="O10" s="652"/>
      <c r="P10" s="530"/>
      <c r="Q10" s="531"/>
      <c r="R10" s="531"/>
      <c r="S10" s="555"/>
      <c r="T10" s="685"/>
      <c r="U10" s="530"/>
      <c r="V10" s="531"/>
      <c r="W10" s="531"/>
      <c r="X10" s="555"/>
      <c r="Y10" s="685"/>
      <c r="Z10" s="530"/>
      <c r="AA10" s="531"/>
      <c r="AB10" s="531"/>
      <c r="AC10" s="555"/>
      <c r="AD10" s="685"/>
      <c r="AE10" s="530"/>
      <c r="AF10" s="531"/>
      <c r="AG10" s="531"/>
      <c r="AH10" s="555"/>
      <c r="AI10" s="685"/>
      <c r="AJ10" s="530" t="s">
        <v>585</v>
      </c>
      <c r="AK10" s="531" t="s">
        <v>585</v>
      </c>
      <c r="AL10" s="531" t="s">
        <v>585</v>
      </c>
      <c r="AM10" s="555" t="e">
        <f t="shared" si="9"/>
        <v>#VALUE!</v>
      </c>
      <c r="AN10" s="685"/>
      <c r="AO10" s="530" t="s">
        <v>585</v>
      </c>
      <c r="AP10" s="531" t="s">
        <v>585</v>
      </c>
      <c r="AQ10" s="531" t="s">
        <v>585</v>
      </c>
      <c r="AR10" s="555" t="e">
        <f t="shared" si="10"/>
        <v>#VALUE!</v>
      </c>
      <c r="AS10" s="685"/>
      <c r="AT10" s="530" t="s">
        <v>585</v>
      </c>
      <c r="AU10" s="531" t="s">
        <v>585</v>
      </c>
      <c r="AV10" s="531" t="s">
        <v>585</v>
      </c>
      <c r="AW10" s="555" t="e">
        <f t="shared" si="11"/>
        <v>#VALUE!</v>
      </c>
      <c r="AX10" s="685"/>
      <c r="AZ10" s="368" t="e">
        <f t="shared" si="7"/>
        <v>#N/A</v>
      </c>
      <c r="BA10" s="685"/>
    </row>
    <row r="11" spans="1:53" ht="14.25">
      <c r="A11" s="81"/>
      <c r="B11" s="660"/>
      <c r="C11" s="530">
        <v>5</v>
      </c>
      <c r="D11" s="225"/>
      <c r="E11" s="531"/>
      <c r="F11" s="530"/>
      <c r="G11" s="532"/>
      <c r="H11" s="699"/>
      <c r="I11" s="534" t="str">
        <f t="shared" si="0"/>
        <v>-</v>
      </c>
      <c r="J11" s="534" t="str">
        <f t="shared" si="1"/>
        <v>-</v>
      </c>
      <c r="K11" s="199" t="str">
        <f t="shared" si="2"/>
        <v>-</v>
      </c>
      <c r="L11" s="634"/>
      <c r="M11" s="558" t="e">
        <f>RANK(K11, K$7:$K$21)</f>
        <v>#VALUE!</v>
      </c>
      <c r="N11" s="652"/>
      <c r="O11" s="652"/>
      <c r="P11" s="530"/>
      <c r="Q11" s="531"/>
      <c r="R11" s="531"/>
      <c r="S11" s="555"/>
      <c r="T11" s="685"/>
      <c r="U11" s="530"/>
      <c r="V11" s="531"/>
      <c r="W11" s="531"/>
      <c r="X11" s="555"/>
      <c r="Y11" s="685"/>
      <c r="Z11" s="530"/>
      <c r="AA11" s="531"/>
      <c r="AB11" s="531"/>
      <c r="AC11" s="555"/>
      <c r="AD11" s="685"/>
      <c r="AE11" s="530"/>
      <c r="AF11" s="531"/>
      <c r="AG11" s="531"/>
      <c r="AH11" s="555"/>
      <c r="AI11" s="685"/>
      <c r="AJ11" s="530" t="s">
        <v>585</v>
      </c>
      <c r="AK11" s="531" t="s">
        <v>585</v>
      </c>
      <c r="AL11" s="531" t="s">
        <v>585</v>
      </c>
      <c r="AM11" s="555" t="e">
        <f t="shared" si="9"/>
        <v>#VALUE!</v>
      </c>
      <c r="AN11" s="685"/>
      <c r="AO11" s="530" t="s">
        <v>585</v>
      </c>
      <c r="AP11" s="531" t="s">
        <v>585</v>
      </c>
      <c r="AQ11" s="531" t="s">
        <v>585</v>
      </c>
      <c r="AR11" s="555" t="e">
        <f t="shared" si="10"/>
        <v>#VALUE!</v>
      </c>
      <c r="AS11" s="685"/>
      <c r="AT11" s="530" t="s">
        <v>585</v>
      </c>
      <c r="AU11" s="531" t="s">
        <v>585</v>
      </c>
      <c r="AV11" s="531" t="s">
        <v>585</v>
      </c>
      <c r="AW11" s="555" t="e">
        <f t="shared" si="11"/>
        <v>#VALUE!</v>
      </c>
      <c r="AX11" s="685"/>
      <c r="AZ11" s="368" t="e">
        <f t="shared" si="7"/>
        <v>#N/A</v>
      </c>
      <c r="BA11" s="685"/>
    </row>
    <row r="12" spans="1:53" ht="14.25">
      <c r="A12" s="81"/>
      <c r="B12" s="660"/>
      <c r="C12" s="530">
        <v>6</v>
      </c>
      <c r="D12" s="225"/>
      <c r="E12" s="531"/>
      <c r="F12" s="530"/>
      <c r="G12" s="532"/>
      <c r="H12" s="699"/>
      <c r="I12" s="534" t="str">
        <f t="shared" si="0"/>
        <v>-</v>
      </c>
      <c r="J12" s="534" t="str">
        <f t="shared" si="1"/>
        <v>-</v>
      </c>
      <c r="K12" s="199" t="str">
        <f t="shared" si="2"/>
        <v>-</v>
      </c>
      <c r="L12" s="634"/>
      <c r="M12" s="558" t="e">
        <f>RANK(K12, K$7:$K$21)</f>
        <v>#VALUE!</v>
      </c>
      <c r="N12" s="652"/>
      <c r="O12" s="652"/>
      <c r="P12" s="530"/>
      <c r="Q12" s="531"/>
      <c r="R12" s="531"/>
      <c r="S12" s="555"/>
      <c r="T12" s="685"/>
      <c r="U12" s="530"/>
      <c r="V12" s="531"/>
      <c r="W12" s="531"/>
      <c r="X12" s="555"/>
      <c r="Y12" s="685"/>
      <c r="Z12" s="530"/>
      <c r="AA12" s="531"/>
      <c r="AB12" s="531"/>
      <c r="AC12" s="555"/>
      <c r="AD12" s="685"/>
      <c r="AE12" s="530"/>
      <c r="AF12" s="531"/>
      <c r="AG12" s="531"/>
      <c r="AH12" s="555"/>
      <c r="AI12" s="685"/>
      <c r="AJ12" s="530" t="s">
        <v>585</v>
      </c>
      <c r="AK12" s="531" t="s">
        <v>585</v>
      </c>
      <c r="AL12" s="531" t="s">
        <v>585</v>
      </c>
      <c r="AM12" s="555" t="e">
        <f t="shared" si="9"/>
        <v>#VALUE!</v>
      </c>
      <c r="AN12" s="685"/>
      <c r="AO12" s="530" t="s">
        <v>585</v>
      </c>
      <c r="AP12" s="531" t="s">
        <v>585</v>
      </c>
      <c r="AQ12" s="531" t="s">
        <v>585</v>
      </c>
      <c r="AR12" s="555" t="e">
        <f t="shared" si="10"/>
        <v>#VALUE!</v>
      </c>
      <c r="AS12" s="685"/>
      <c r="AT12" s="530" t="s">
        <v>585</v>
      </c>
      <c r="AU12" s="531" t="s">
        <v>585</v>
      </c>
      <c r="AV12" s="531" t="s">
        <v>585</v>
      </c>
      <c r="AW12" s="555" t="e">
        <f t="shared" si="11"/>
        <v>#VALUE!</v>
      </c>
      <c r="AX12" s="685"/>
      <c r="AZ12" s="368" t="e">
        <f t="shared" si="7"/>
        <v>#N/A</v>
      </c>
      <c r="BA12" s="685"/>
    </row>
    <row r="13" spans="1:53" ht="14.25">
      <c r="A13" s="81"/>
      <c r="B13" s="660"/>
      <c r="C13" s="530">
        <v>7</v>
      </c>
      <c r="D13" s="225"/>
      <c r="E13" s="531"/>
      <c r="F13" s="530"/>
      <c r="G13" s="532"/>
      <c r="H13" s="699"/>
      <c r="I13" s="534" t="str">
        <f t="shared" si="0"/>
        <v>-</v>
      </c>
      <c r="J13" s="534" t="str">
        <f t="shared" si="1"/>
        <v>-</v>
      </c>
      <c r="K13" s="199" t="str">
        <f t="shared" si="2"/>
        <v>-</v>
      </c>
      <c r="L13" s="634"/>
      <c r="M13" s="558" t="e">
        <f>RANK(K13, K$7:$K$21)</f>
        <v>#VALUE!</v>
      </c>
      <c r="N13" s="652"/>
      <c r="O13" s="652"/>
      <c r="P13" s="530"/>
      <c r="Q13" s="531"/>
      <c r="R13" s="531"/>
      <c r="S13" s="555"/>
      <c r="T13" s="685"/>
      <c r="U13" s="530"/>
      <c r="V13" s="531"/>
      <c r="W13" s="531"/>
      <c r="X13" s="555"/>
      <c r="Y13" s="685"/>
      <c r="Z13" s="530"/>
      <c r="AA13" s="531"/>
      <c r="AB13" s="531"/>
      <c r="AC13" s="555"/>
      <c r="AD13" s="685"/>
      <c r="AE13" s="530"/>
      <c r="AF13" s="531"/>
      <c r="AG13" s="531"/>
      <c r="AH13" s="555"/>
      <c r="AI13" s="685"/>
      <c r="AJ13" s="530" t="s">
        <v>585</v>
      </c>
      <c r="AK13" s="531" t="s">
        <v>585</v>
      </c>
      <c r="AL13" s="531" t="s">
        <v>585</v>
      </c>
      <c r="AM13" s="555" t="e">
        <f t="shared" si="9"/>
        <v>#VALUE!</v>
      </c>
      <c r="AN13" s="685"/>
      <c r="AO13" s="530" t="s">
        <v>585</v>
      </c>
      <c r="AP13" s="531" t="s">
        <v>585</v>
      </c>
      <c r="AQ13" s="531" t="s">
        <v>585</v>
      </c>
      <c r="AR13" s="555" t="e">
        <f t="shared" si="10"/>
        <v>#VALUE!</v>
      </c>
      <c r="AS13" s="685"/>
      <c r="AT13" s="530" t="s">
        <v>585</v>
      </c>
      <c r="AU13" s="531" t="s">
        <v>585</v>
      </c>
      <c r="AV13" s="531" t="s">
        <v>585</v>
      </c>
      <c r="AW13" s="555" t="e">
        <f t="shared" si="11"/>
        <v>#VALUE!</v>
      </c>
      <c r="AX13" s="685"/>
      <c r="AZ13" s="368" t="e">
        <f t="shared" si="7"/>
        <v>#N/A</v>
      </c>
      <c r="BA13" s="685"/>
    </row>
    <row r="14" spans="1:53" ht="14.25">
      <c r="A14" s="81"/>
      <c r="B14" s="660"/>
      <c r="C14" s="530">
        <v>8</v>
      </c>
      <c r="D14" s="225"/>
      <c r="E14" s="531"/>
      <c r="F14" s="530"/>
      <c r="G14" s="532"/>
      <c r="H14" s="699"/>
      <c r="I14" s="534" t="str">
        <f t="shared" si="0"/>
        <v>-</v>
      </c>
      <c r="J14" s="534" t="str">
        <f t="shared" si="1"/>
        <v>-</v>
      </c>
      <c r="K14" s="199" t="str">
        <f t="shared" si="2"/>
        <v>-</v>
      </c>
      <c r="L14" s="634"/>
      <c r="M14" s="558" t="e">
        <f>RANK(K14, K$7:$K$21)</f>
        <v>#VALUE!</v>
      </c>
      <c r="N14" s="652"/>
      <c r="O14" s="652"/>
      <c r="P14" s="530"/>
      <c r="Q14" s="531"/>
      <c r="R14" s="531"/>
      <c r="S14" s="555"/>
      <c r="T14" s="685"/>
      <c r="U14" s="530"/>
      <c r="V14" s="531"/>
      <c r="W14" s="531"/>
      <c r="X14" s="555"/>
      <c r="Y14" s="685"/>
      <c r="Z14" s="530"/>
      <c r="AA14" s="531"/>
      <c r="AB14" s="531"/>
      <c r="AC14" s="555"/>
      <c r="AD14" s="685"/>
      <c r="AE14" s="530"/>
      <c r="AF14" s="531"/>
      <c r="AG14" s="531"/>
      <c r="AH14" s="555"/>
      <c r="AI14" s="685"/>
      <c r="AJ14" s="530" t="s">
        <v>585</v>
      </c>
      <c r="AK14" s="531" t="s">
        <v>585</v>
      </c>
      <c r="AL14" s="531" t="s">
        <v>585</v>
      </c>
      <c r="AM14" s="555" t="e">
        <f t="shared" si="9"/>
        <v>#VALUE!</v>
      </c>
      <c r="AN14" s="685"/>
      <c r="AO14" s="530" t="s">
        <v>585</v>
      </c>
      <c r="AP14" s="531" t="s">
        <v>585</v>
      </c>
      <c r="AQ14" s="531" t="s">
        <v>585</v>
      </c>
      <c r="AR14" s="555" t="e">
        <f t="shared" si="10"/>
        <v>#VALUE!</v>
      </c>
      <c r="AS14" s="685"/>
      <c r="AT14" s="530" t="s">
        <v>585</v>
      </c>
      <c r="AU14" s="531" t="s">
        <v>585</v>
      </c>
      <c r="AV14" s="531" t="s">
        <v>585</v>
      </c>
      <c r="AW14" s="555" t="e">
        <f t="shared" si="11"/>
        <v>#VALUE!</v>
      </c>
      <c r="AX14" s="685"/>
      <c r="AZ14" s="368" t="e">
        <f t="shared" si="7"/>
        <v>#N/A</v>
      </c>
      <c r="BA14" s="685"/>
    </row>
    <row r="15" spans="1:53" ht="14.25">
      <c r="A15" s="81"/>
      <c r="B15" s="660"/>
      <c r="C15" s="530">
        <v>9</v>
      </c>
      <c r="D15" s="225"/>
      <c r="E15" s="531"/>
      <c r="F15" s="530"/>
      <c r="G15" s="532"/>
      <c r="H15" s="699"/>
      <c r="I15" s="534" t="str">
        <f t="shared" si="0"/>
        <v>-</v>
      </c>
      <c r="J15" s="534" t="str">
        <f t="shared" si="1"/>
        <v>-</v>
      </c>
      <c r="K15" s="199" t="str">
        <f t="shared" si="2"/>
        <v>-</v>
      </c>
      <c r="L15" s="634"/>
      <c r="M15" s="558" t="e">
        <f>RANK(K15, K$7:$K$21)</f>
        <v>#VALUE!</v>
      </c>
      <c r="N15" s="652"/>
      <c r="O15" s="652"/>
      <c r="P15" s="530"/>
      <c r="Q15" s="531"/>
      <c r="R15" s="531"/>
      <c r="S15" s="555"/>
      <c r="T15" s="685"/>
      <c r="U15" s="530"/>
      <c r="V15" s="531"/>
      <c r="W15" s="531"/>
      <c r="X15" s="555"/>
      <c r="Y15" s="685"/>
      <c r="Z15" s="530"/>
      <c r="AA15" s="531"/>
      <c r="AB15" s="531"/>
      <c r="AC15" s="555"/>
      <c r="AD15" s="685"/>
      <c r="AE15" s="530"/>
      <c r="AF15" s="531"/>
      <c r="AG15" s="531"/>
      <c r="AH15" s="555"/>
      <c r="AI15" s="685"/>
      <c r="AJ15" s="530" t="s">
        <v>585</v>
      </c>
      <c r="AK15" s="531" t="s">
        <v>585</v>
      </c>
      <c r="AL15" s="531" t="s">
        <v>585</v>
      </c>
      <c r="AM15" s="555" t="e">
        <f t="shared" si="9"/>
        <v>#VALUE!</v>
      </c>
      <c r="AN15" s="685"/>
      <c r="AO15" s="530" t="s">
        <v>585</v>
      </c>
      <c r="AP15" s="531" t="s">
        <v>585</v>
      </c>
      <c r="AQ15" s="531" t="s">
        <v>585</v>
      </c>
      <c r="AR15" s="555" t="e">
        <f t="shared" si="10"/>
        <v>#VALUE!</v>
      </c>
      <c r="AS15" s="685"/>
      <c r="AT15" s="530" t="s">
        <v>585</v>
      </c>
      <c r="AU15" s="531" t="s">
        <v>585</v>
      </c>
      <c r="AV15" s="531" t="s">
        <v>585</v>
      </c>
      <c r="AW15" s="555" t="e">
        <f t="shared" si="11"/>
        <v>#VALUE!</v>
      </c>
      <c r="AX15" s="685"/>
      <c r="AZ15" s="368" t="e">
        <f t="shared" si="7"/>
        <v>#N/A</v>
      </c>
      <c r="BA15" s="685"/>
    </row>
    <row r="16" spans="1:53" ht="14.25">
      <c r="A16" s="81"/>
      <c r="B16" s="660"/>
      <c r="C16" s="530">
        <v>10</v>
      </c>
      <c r="D16" s="225"/>
      <c r="E16" s="531"/>
      <c r="F16" s="530"/>
      <c r="G16" s="532"/>
      <c r="H16" s="699"/>
      <c r="I16" s="534" t="str">
        <f t="shared" si="0"/>
        <v>-</v>
      </c>
      <c r="J16" s="534" t="str">
        <f t="shared" si="1"/>
        <v>-</v>
      </c>
      <c r="K16" s="199" t="str">
        <f t="shared" si="2"/>
        <v>-</v>
      </c>
      <c r="L16" s="634"/>
      <c r="M16" s="558" t="e">
        <f>RANK(K16, K$7:$K$21)</f>
        <v>#VALUE!</v>
      </c>
      <c r="N16" s="652"/>
      <c r="O16" s="652"/>
      <c r="P16" s="530"/>
      <c r="Q16" s="531"/>
      <c r="R16" s="531"/>
      <c r="S16" s="555"/>
      <c r="T16" s="685"/>
      <c r="U16" s="530"/>
      <c r="V16" s="531"/>
      <c r="W16" s="531"/>
      <c r="X16" s="555"/>
      <c r="Y16" s="685"/>
      <c r="Z16" s="530"/>
      <c r="AA16" s="531"/>
      <c r="AB16" s="531"/>
      <c r="AC16" s="555"/>
      <c r="AD16" s="685"/>
      <c r="AE16" s="530"/>
      <c r="AF16" s="531"/>
      <c r="AG16" s="531"/>
      <c r="AH16" s="555"/>
      <c r="AI16" s="685"/>
      <c r="AJ16" s="530" t="s">
        <v>585</v>
      </c>
      <c r="AK16" s="531" t="s">
        <v>585</v>
      </c>
      <c r="AL16" s="531" t="s">
        <v>585</v>
      </c>
      <c r="AM16" s="555" t="e">
        <f t="shared" si="9"/>
        <v>#VALUE!</v>
      </c>
      <c r="AN16" s="685"/>
      <c r="AO16" s="530" t="s">
        <v>585</v>
      </c>
      <c r="AP16" s="531" t="s">
        <v>585</v>
      </c>
      <c r="AQ16" s="531" t="s">
        <v>585</v>
      </c>
      <c r="AR16" s="555" t="e">
        <f t="shared" si="10"/>
        <v>#VALUE!</v>
      </c>
      <c r="AS16" s="685"/>
      <c r="AT16" s="530" t="s">
        <v>585</v>
      </c>
      <c r="AU16" s="531" t="s">
        <v>585</v>
      </c>
      <c r="AV16" s="531" t="s">
        <v>585</v>
      </c>
      <c r="AW16" s="555" t="e">
        <f t="shared" si="11"/>
        <v>#VALUE!</v>
      </c>
      <c r="AX16" s="685"/>
      <c r="AZ16" s="368" t="e">
        <f t="shared" si="7"/>
        <v>#N/A</v>
      </c>
      <c r="BA16" s="685"/>
    </row>
    <row r="17" spans="2:53">
      <c r="B17" s="660"/>
      <c r="C17" s="530">
        <v>11</v>
      </c>
      <c r="D17" s="225"/>
      <c r="E17" s="531"/>
      <c r="F17" s="530"/>
      <c r="G17" s="532"/>
      <c r="H17" s="699"/>
      <c r="I17" s="534" t="str">
        <f t="shared" si="0"/>
        <v>-</v>
      </c>
      <c r="J17" s="534" t="str">
        <f t="shared" si="1"/>
        <v>-</v>
      </c>
      <c r="K17" s="199" t="str">
        <f t="shared" si="2"/>
        <v>-</v>
      </c>
      <c r="L17" s="634"/>
      <c r="M17" s="558" t="e">
        <f>RANK(K17, K$7:$K$21)</f>
        <v>#VALUE!</v>
      </c>
      <c r="N17" s="652"/>
      <c r="O17" s="652"/>
      <c r="P17" s="530"/>
      <c r="Q17" s="531"/>
      <c r="R17" s="531"/>
      <c r="S17" s="555"/>
      <c r="T17" s="685"/>
      <c r="U17" s="530"/>
      <c r="V17" s="531"/>
      <c r="W17" s="531"/>
      <c r="X17" s="555"/>
      <c r="Y17" s="685"/>
      <c r="Z17" s="530"/>
      <c r="AA17" s="531"/>
      <c r="AB17" s="531"/>
      <c r="AC17" s="555"/>
      <c r="AD17" s="685"/>
      <c r="AE17" s="530"/>
      <c r="AF17" s="531"/>
      <c r="AG17" s="531"/>
      <c r="AH17" s="555"/>
      <c r="AI17" s="685"/>
      <c r="AJ17" s="530" t="s">
        <v>585</v>
      </c>
      <c r="AK17" s="531" t="s">
        <v>585</v>
      </c>
      <c r="AL17" s="531" t="s">
        <v>585</v>
      </c>
      <c r="AM17" s="555" t="e">
        <f t="shared" si="9"/>
        <v>#VALUE!</v>
      </c>
      <c r="AN17" s="685"/>
      <c r="AO17" s="530" t="s">
        <v>585</v>
      </c>
      <c r="AP17" s="531" t="s">
        <v>585</v>
      </c>
      <c r="AQ17" s="531" t="s">
        <v>585</v>
      </c>
      <c r="AR17" s="555" t="e">
        <f t="shared" si="10"/>
        <v>#VALUE!</v>
      </c>
      <c r="AS17" s="685"/>
      <c r="AT17" s="530" t="s">
        <v>585</v>
      </c>
      <c r="AU17" s="531" t="s">
        <v>585</v>
      </c>
      <c r="AV17" s="531" t="s">
        <v>585</v>
      </c>
      <c r="AW17" s="555" t="e">
        <f t="shared" si="11"/>
        <v>#VALUE!</v>
      </c>
      <c r="AX17" s="685"/>
      <c r="AZ17" s="368" t="e">
        <f t="shared" si="7"/>
        <v>#N/A</v>
      </c>
      <c r="BA17" s="685"/>
    </row>
    <row r="18" spans="2:53">
      <c r="B18" s="660"/>
      <c r="C18" s="530">
        <v>12</v>
      </c>
      <c r="D18" s="225"/>
      <c r="E18" s="531"/>
      <c r="F18" s="530"/>
      <c r="G18" s="532"/>
      <c r="H18" s="699"/>
      <c r="I18" s="534" t="str">
        <f t="shared" si="0"/>
        <v>-</v>
      </c>
      <c r="J18" s="534" t="str">
        <f t="shared" si="1"/>
        <v>-</v>
      </c>
      <c r="K18" s="199" t="str">
        <f t="shared" si="2"/>
        <v>-</v>
      </c>
      <c r="L18" s="634"/>
      <c r="M18" s="558" t="e">
        <f>RANK(K18, K$7:$K$21)</f>
        <v>#VALUE!</v>
      </c>
      <c r="N18" s="652"/>
      <c r="O18" s="652"/>
      <c r="P18" s="530"/>
      <c r="Q18" s="531"/>
      <c r="R18" s="531"/>
      <c r="S18" s="555"/>
      <c r="T18" s="685"/>
      <c r="U18" s="530"/>
      <c r="V18" s="531"/>
      <c r="W18" s="531"/>
      <c r="X18" s="555"/>
      <c r="Y18" s="685"/>
      <c r="Z18" s="530"/>
      <c r="AA18" s="531"/>
      <c r="AB18" s="531"/>
      <c r="AC18" s="555"/>
      <c r="AD18" s="685"/>
      <c r="AE18" s="530"/>
      <c r="AF18" s="531"/>
      <c r="AG18" s="531"/>
      <c r="AH18" s="555"/>
      <c r="AI18" s="685"/>
      <c r="AJ18" s="530" t="s">
        <v>585</v>
      </c>
      <c r="AK18" s="531" t="s">
        <v>585</v>
      </c>
      <c r="AL18" s="531" t="s">
        <v>585</v>
      </c>
      <c r="AM18" s="555" t="e">
        <f t="shared" si="9"/>
        <v>#VALUE!</v>
      </c>
      <c r="AN18" s="685"/>
      <c r="AO18" s="530" t="s">
        <v>585</v>
      </c>
      <c r="AP18" s="531" t="s">
        <v>585</v>
      </c>
      <c r="AQ18" s="531" t="s">
        <v>585</v>
      </c>
      <c r="AR18" s="555" t="e">
        <f t="shared" si="10"/>
        <v>#VALUE!</v>
      </c>
      <c r="AS18" s="685"/>
      <c r="AT18" s="530" t="s">
        <v>585</v>
      </c>
      <c r="AU18" s="531" t="s">
        <v>585</v>
      </c>
      <c r="AV18" s="531" t="s">
        <v>585</v>
      </c>
      <c r="AW18" s="555" t="e">
        <f t="shared" si="11"/>
        <v>#VALUE!</v>
      </c>
      <c r="AX18" s="685"/>
      <c r="AZ18" s="368" t="e">
        <f t="shared" si="7"/>
        <v>#N/A</v>
      </c>
      <c r="BA18" s="685"/>
    </row>
    <row r="19" spans="2:53">
      <c r="B19" s="660"/>
      <c r="C19" s="530">
        <v>13</v>
      </c>
      <c r="D19" s="225"/>
      <c r="E19" s="531"/>
      <c r="F19" s="530"/>
      <c r="G19" s="532"/>
      <c r="H19" s="699"/>
      <c r="I19" s="534" t="str">
        <f t="shared" si="0"/>
        <v>-</v>
      </c>
      <c r="J19" s="534" t="str">
        <f t="shared" si="1"/>
        <v>-</v>
      </c>
      <c r="K19" s="199" t="str">
        <f t="shared" si="2"/>
        <v>-</v>
      </c>
      <c r="L19" s="634"/>
      <c r="M19" s="558" t="e">
        <f>RANK(K19, K$7:$K$21)</f>
        <v>#VALUE!</v>
      </c>
      <c r="N19" s="652"/>
      <c r="O19" s="652"/>
      <c r="P19" s="530"/>
      <c r="Q19" s="531"/>
      <c r="R19" s="531"/>
      <c r="S19" s="555"/>
      <c r="T19" s="685"/>
      <c r="U19" s="530"/>
      <c r="V19" s="531"/>
      <c r="W19" s="531"/>
      <c r="X19" s="555"/>
      <c r="Y19" s="685"/>
      <c r="Z19" s="530"/>
      <c r="AA19" s="531"/>
      <c r="AB19" s="531"/>
      <c r="AC19" s="555"/>
      <c r="AD19" s="685"/>
      <c r="AE19" s="530"/>
      <c r="AF19" s="531"/>
      <c r="AG19" s="531"/>
      <c r="AH19" s="555"/>
      <c r="AI19" s="685"/>
      <c r="AJ19" s="530" t="s">
        <v>585</v>
      </c>
      <c r="AK19" s="531" t="s">
        <v>585</v>
      </c>
      <c r="AL19" s="531" t="s">
        <v>585</v>
      </c>
      <c r="AM19" s="555" t="e">
        <f t="shared" si="9"/>
        <v>#VALUE!</v>
      </c>
      <c r="AN19" s="685"/>
      <c r="AO19" s="530" t="s">
        <v>585</v>
      </c>
      <c r="AP19" s="531" t="s">
        <v>585</v>
      </c>
      <c r="AQ19" s="531" t="s">
        <v>585</v>
      </c>
      <c r="AR19" s="555" t="e">
        <f t="shared" si="10"/>
        <v>#VALUE!</v>
      </c>
      <c r="AS19" s="685"/>
      <c r="AT19" s="530" t="s">
        <v>585</v>
      </c>
      <c r="AU19" s="531" t="s">
        <v>585</v>
      </c>
      <c r="AV19" s="531" t="s">
        <v>585</v>
      </c>
      <c r="AW19" s="555" t="e">
        <f t="shared" si="11"/>
        <v>#VALUE!</v>
      </c>
      <c r="AX19" s="685"/>
      <c r="AZ19" s="368" t="e">
        <f t="shared" si="7"/>
        <v>#N/A</v>
      </c>
      <c r="BA19" s="685"/>
    </row>
    <row r="20" spans="2:53">
      <c r="B20" s="660"/>
      <c r="C20" s="530">
        <v>14</v>
      </c>
      <c r="D20" s="225"/>
      <c r="E20" s="531"/>
      <c r="F20" s="530"/>
      <c r="G20" s="532"/>
      <c r="H20" s="699"/>
      <c r="I20" s="534" t="str">
        <f t="shared" si="0"/>
        <v>-</v>
      </c>
      <c r="J20" s="534" t="str">
        <f t="shared" si="1"/>
        <v>-</v>
      </c>
      <c r="K20" s="199" t="str">
        <f t="shared" si="2"/>
        <v>-</v>
      </c>
      <c r="L20" s="634"/>
      <c r="M20" s="558" t="e">
        <f>RANK(K20, K$7:$K$21)</f>
        <v>#VALUE!</v>
      </c>
      <c r="N20" s="652"/>
      <c r="O20" s="652"/>
      <c r="P20" s="530"/>
      <c r="Q20" s="531"/>
      <c r="R20" s="531"/>
      <c r="S20" s="555"/>
      <c r="T20" s="685"/>
      <c r="U20" s="530"/>
      <c r="V20" s="531"/>
      <c r="W20" s="531"/>
      <c r="X20" s="555"/>
      <c r="Y20" s="685"/>
      <c r="Z20" s="530"/>
      <c r="AA20" s="531"/>
      <c r="AB20" s="531"/>
      <c r="AC20" s="555"/>
      <c r="AD20" s="685"/>
      <c r="AE20" s="530"/>
      <c r="AF20" s="531"/>
      <c r="AG20" s="531"/>
      <c r="AH20" s="555"/>
      <c r="AI20" s="685"/>
      <c r="AJ20" s="530" t="s">
        <v>585</v>
      </c>
      <c r="AK20" s="531" t="s">
        <v>585</v>
      </c>
      <c r="AL20" s="531" t="s">
        <v>585</v>
      </c>
      <c r="AM20" s="555" t="e">
        <f t="shared" si="9"/>
        <v>#VALUE!</v>
      </c>
      <c r="AN20" s="685"/>
      <c r="AO20" s="530" t="s">
        <v>585</v>
      </c>
      <c r="AP20" s="531" t="s">
        <v>585</v>
      </c>
      <c r="AQ20" s="531" t="s">
        <v>585</v>
      </c>
      <c r="AR20" s="555" t="e">
        <f t="shared" si="10"/>
        <v>#VALUE!</v>
      </c>
      <c r="AS20" s="685"/>
      <c r="AT20" s="530" t="s">
        <v>585</v>
      </c>
      <c r="AU20" s="531" t="s">
        <v>585</v>
      </c>
      <c r="AV20" s="531" t="s">
        <v>585</v>
      </c>
      <c r="AW20" s="555" t="e">
        <f t="shared" si="11"/>
        <v>#VALUE!</v>
      </c>
      <c r="AX20" s="685"/>
      <c r="AZ20" s="368" t="e">
        <f t="shared" si="7"/>
        <v>#N/A</v>
      </c>
      <c r="BA20" s="685"/>
    </row>
    <row r="21" spans="2:53">
      <c r="B21" s="660"/>
      <c r="C21" s="530">
        <v>15</v>
      </c>
      <c r="D21" s="225"/>
      <c r="E21" s="531"/>
      <c r="F21" s="530"/>
      <c r="G21" s="532"/>
      <c r="H21" s="700"/>
      <c r="I21" s="201"/>
      <c r="J21" s="201"/>
      <c r="K21" s="201"/>
      <c r="L21" s="635"/>
      <c r="M21" s="558" t="e">
        <f>RANK(K21, K$7:$K$21)</f>
        <v>#N/A</v>
      </c>
      <c r="N21" s="652"/>
      <c r="O21" s="652"/>
      <c r="P21" s="530"/>
      <c r="Q21" s="531"/>
      <c r="R21" s="531"/>
      <c r="S21" s="555"/>
      <c r="T21" s="685"/>
      <c r="U21" s="530"/>
      <c r="V21" s="531"/>
      <c r="W21" s="531"/>
      <c r="X21" s="555"/>
      <c r="Y21" s="685"/>
      <c r="Z21" s="530"/>
      <c r="AA21" s="531"/>
      <c r="AB21" s="531"/>
      <c r="AC21" s="555"/>
      <c r="AD21" s="685"/>
      <c r="AE21" s="530"/>
      <c r="AF21" s="531"/>
      <c r="AG21" s="531"/>
      <c r="AH21" s="555"/>
      <c r="AI21" s="685"/>
      <c r="AJ21" s="530" t="s">
        <v>585</v>
      </c>
      <c r="AK21" s="531" t="s">
        <v>585</v>
      </c>
      <c r="AL21" s="531" t="s">
        <v>585</v>
      </c>
      <c r="AM21" s="555" t="e">
        <f t="shared" si="9"/>
        <v>#VALUE!</v>
      </c>
      <c r="AN21" s="685"/>
      <c r="AO21" s="530" t="s">
        <v>585</v>
      </c>
      <c r="AP21" s="531" t="s">
        <v>585</v>
      </c>
      <c r="AQ21" s="531" t="s">
        <v>585</v>
      </c>
      <c r="AR21" s="555" t="e">
        <f t="shared" si="10"/>
        <v>#VALUE!</v>
      </c>
      <c r="AS21" s="685"/>
      <c r="AT21" s="530" t="s">
        <v>585</v>
      </c>
      <c r="AU21" s="531" t="s">
        <v>585</v>
      </c>
      <c r="AV21" s="531" t="s">
        <v>585</v>
      </c>
      <c r="AW21" s="555" t="e">
        <f t="shared" si="11"/>
        <v>#VALUE!</v>
      </c>
      <c r="AX21" s="685"/>
      <c r="AZ21" s="368" t="e">
        <f t="shared" si="7"/>
        <v>#N/A</v>
      </c>
      <c r="BA21" s="685"/>
    </row>
    <row r="22" spans="2:53" ht="15.75">
      <c r="B22" s="677" t="s">
        <v>162</v>
      </c>
      <c r="C22" s="678"/>
      <c r="D22" s="678"/>
      <c r="E22" s="678"/>
      <c r="F22" s="678"/>
      <c r="G22" s="678"/>
      <c r="H22" s="678"/>
      <c r="I22" s="202"/>
      <c r="J22" s="202"/>
      <c r="K22" s="202"/>
      <c r="L22" s="202"/>
      <c r="M22" s="203"/>
      <c r="N22" s="653" t="s">
        <v>156</v>
      </c>
      <c r="O22" s="653" t="s">
        <v>105</v>
      </c>
      <c r="P22" s="659">
        <f>P2+7</f>
        <v>46238</v>
      </c>
      <c r="Q22" s="660"/>
      <c r="R22" s="660"/>
      <c r="S22" s="660"/>
      <c r="T22" s="660"/>
      <c r="U22" s="656">
        <f>P22+1</f>
        <v>46239</v>
      </c>
      <c r="V22" s="657"/>
      <c r="W22" s="657"/>
      <c r="X22" s="657"/>
      <c r="Y22" s="658"/>
      <c r="Z22" s="656">
        <f>U22+1</f>
        <v>46240</v>
      </c>
      <c r="AA22" s="657"/>
      <c r="AB22" s="657"/>
      <c r="AC22" s="657"/>
      <c r="AD22" s="658"/>
      <c r="AE22" s="656">
        <f>Z22+1</f>
        <v>46241</v>
      </c>
      <c r="AF22" s="657"/>
      <c r="AG22" s="657"/>
      <c r="AH22" s="657"/>
      <c r="AI22" s="658"/>
      <c r="AJ22" s="656">
        <f>AE22+1</f>
        <v>46242</v>
      </c>
      <c r="AK22" s="657"/>
      <c r="AL22" s="657"/>
      <c r="AM22" s="657"/>
      <c r="AN22" s="658"/>
      <c r="AO22" s="656">
        <f>AJ22+1</f>
        <v>46243</v>
      </c>
      <c r="AP22" s="657"/>
      <c r="AQ22" s="657"/>
      <c r="AR22" s="657"/>
      <c r="AS22" s="658"/>
      <c r="AT22" s="656">
        <f>AO22+1</f>
        <v>46244</v>
      </c>
      <c r="AU22" s="657"/>
      <c r="AV22" s="657"/>
      <c r="AW22" s="657"/>
      <c r="AX22" s="658"/>
    </row>
    <row r="23" spans="2:53" ht="15.75">
      <c r="B23" s="667"/>
      <c r="C23" s="667"/>
      <c r="D23" s="667"/>
      <c r="E23" s="667"/>
      <c r="F23" s="667"/>
      <c r="G23" s="667"/>
      <c r="H23" s="667"/>
      <c r="I23" s="204"/>
      <c r="J23" s="204"/>
      <c r="K23" s="204"/>
      <c r="L23" s="204"/>
      <c r="M23" s="205"/>
      <c r="N23" s="655"/>
      <c r="O23" s="655"/>
      <c r="P23" s="659" t="s">
        <v>317</v>
      </c>
      <c r="Q23" s="660"/>
      <c r="R23" s="660"/>
      <c r="S23" s="660"/>
      <c r="T23" s="660"/>
      <c r="U23" s="659" t="s">
        <v>318</v>
      </c>
      <c r="V23" s="660"/>
      <c r="W23" s="660"/>
      <c r="X23" s="660"/>
      <c r="Y23" s="660"/>
      <c r="Z23" s="659" t="s">
        <v>319</v>
      </c>
      <c r="AA23" s="660"/>
      <c r="AB23" s="660"/>
      <c r="AC23" s="660"/>
      <c r="AD23" s="660"/>
      <c r="AE23" s="659" t="s">
        <v>320</v>
      </c>
      <c r="AF23" s="660"/>
      <c r="AG23" s="660"/>
      <c r="AH23" s="660"/>
      <c r="AI23" s="660"/>
      <c r="AJ23" s="659" t="s">
        <v>321</v>
      </c>
      <c r="AK23" s="660"/>
      <c r="AL23" s="660"/>
      <c r="AM23" s="660"/>
      <c r="AN23" s="660"/>
      <c r="AO23" s="659" t="s">
        <v>322</v>
      </c>
      <c r="AP23" s="660"/>
      <c r="AQ23" s="660"/>
      <c r="AR23" s="660"/>
      <c r="AS23" s="660"/>
      <c r="AT23" s="659" t="s">
        <v>323</v>
      </c>
      <c r="AU23" s="660"/>
      <c r="AV23" s="660"/>
      <c r="AW23" s="660"/>
      <c r="AX23" s="660"/>
    </row>
    <row r="24" spans="2:53">
      <c r="B24" s="652" t="s">
        <v>154</v>
      </c>
      <c r="C24" s="652" t="s">
        <v>379</v>
      </c>
      <c r="D24" s="652"/>
      <c r="E24" s="652" t="s">
        <v>370</v>
      </c>
      <c r="F24" s="652"/>
      <c r="G24" s="652"/>
      <c r="H24" s="668" t="s">
        <v>366</v>
      </c>
      <c r="I24" s="636" t="s">
        <v>371</v>
      </c>
      <c r="J24" s="636"/>
      <c r="K24" s="636"/>
      <c r="L24" s="637" t="s">
        <v>366</v>
      </c>
      <c r="M24" s="643" t="s">
        <v>367</v>
      </c>
      <c r="N24" s="652"/>
      <c r="O24" s="652" t="s">
        <v>372</v>
      </c>
      <c r="P24" s="649" t="s">
        <v>368</v>
      </c>
      <c r="Q24" s="650"/>
      <c r="R24" s="650"/>
      <c r="S24" s="651"/>
      <c r="T24" s="652" t="s">
        <v>366</v>
      </c>
      <c r="U24" s="649" t="s">
        <v>368</v>
      </c>
      <c r="V24" s="650"/>
      <c r="W24" s="650"/>
      <c r="X24" s="651"/>
      <c r="Y24" s="652" t="s">
        <v>366</v>
      </c>
      <c r="Z24" s="649" t="s">
        <v>368</v>
      </c>
      <c r="AA24" s="650"/>
      <c r="AB24" s="650"/>
      <c r="AC24" s="651"/>
      <c r="AD24" s="652" t="s">
        <v>366</v>
      </c>
      <c r="AE24" s="649" t="s">
        <v>368</v>
      </c>
      <c r="AF24" s="650"/>
      <c r="AG24" s="650"/>
      <c r="AH24" s="651"/>
      <c r="AI24" s="652" t="s">
        <v>366</v>
      </c>
      <c r="AJ24" s="649" t="s">
        <v>368</v>
      </c>
      <c r="AK24" s="650"/>
      <c r="AL24" s="650"/>
      <c r="AM24" s="651"/>
      <c r="AN24" s="652" t="s">
        <v>366</v>
      </c>
      <c r="AO24" s="649" t="s">
        <v>368</v>
      </c>
      <c r="AP24" s="650"/>
      <c r="AQ24" s="650"/>
      <c r="AR24" s="651"/>
      <c r="AS24" s="652" t="s">
        <v>366</v>
      </c>
      <c r="AT24" s="649" t="s">
        <v>368</v>
      </c>
      <c r="AU24" s="650"/>
      <c r="AV24" s="650"/>
      <c r="AW24" s="651"/>
      <c r="AX24" s="652" t="s">
        <v>366</v>
      </c>
      <c r="BA24" s="652" t="s">
        <v>366</v>
      </c>
    </row>
    <row r="25" spans="2:53">
      <c r="B25" s="652"/>
      <c r="C25" s="652"/>
      <c r="D25" s="652"/>
      <c r="E25" s="652" t="s">
        <v>373</v>
      </c>
      <c r="F25" s="652"/>
      <c r="G25" s="652"/>
      <c r="H25" s="669"/>
      <c r="I25" s="636" t="s">
        <v>373</v>
      </c>
      <c r="J25" s="636"/>
      <c r="K25" s="636"/>
      <c r="L25" s="638"/>
      <c r="M25" s="644"/>
      <c r="N25" s="652"/>
      <c r="O25" s="652"/>
      <c r="P25" s="649" t="s">
        <v>374</v>
      </c>
      <c r="Q25" s="650"/>
      <c r="R25" s="650"/>
      <c r="S25" s="651"/>
      <c r="T25" s="652"/>
      <c r="U25" s="649" t="s">
        <v>374</v>
      </c>
      <c r="V25" s="650"/>
      <c r="W25" s="650"/>
      <c r="X25" s="651"/>
      <c r="Y25" s="652"/>
      <c r="Z25" s="649" t="s">
        <v>374</v>
      </c>
      <c r="AA25" s="650"/>
      <c r="AB25" s="650"/>
      <c r="AC25" s="651"/>
      <c r="AD25" s="652"/>
      <c r="AE25" s="649" t="s">
        <v>374</v>
      </c>
      <c r="AF25" s="650"/>
      <c r="AG25" s="650"/>
      <c r="AH25" s="651"/>
      <c r="AI25" s="652"/>
      <c r="AJ25" s="649" t="s">
        <v>374</v>
      </c>
      <c r="AK25" s="650"/>
      <c r="AL25" s="650"/>
      <c r="AM25" s="651"/>
      <c r="AN25" s="652"/>
      <c r="AO25" s="649" t="s">
        <v>374</v>
      </c>
      <c r="AP25" s="650"/>
      <c r="AQ25" s="650"/>
      <c r="AR25" s="651"/>
      <c r="AS25" s="652"/>
      <c r="AT25" s="649" t="s">
        <v>374</v>
      </c>
      <c r="AU25" s="650"/>
      <c r="AV25" s="650"/>
      <c r="AW25" s="651"/>
      <c r="AX25" s="652"/>
      <c r="BA25" s="652"/>
    </row>
    <row r="26" spans="2:53">
      <c r="B26" s="652"/>
      <c r="C26" s="652"/>
      <c r="D26" s="652"/>
      <c r="E26" s="378" t="s">
        <v>375</v>
      </c>
      <c r="F26" s="378" t="s">
        <v>376</v>
      </c>
      <c r="G26" s="378" t="s">
        <v>377</v>
      </c>
      <c r="H26" s="670"/>
      <c r="I26" s="377" t="s">
        <v>375</v>
      </c>
      <c r="J26" s="377" t="s">
        <v>376</v>
      </c>
      <c r="K26" s="377" t="s">
        <v>377</v>
      </c>
      <c r="L26" s="639"/>
      <c r="M26" s="645"/>
      <c r="N26" s="652"/>
      <c r="O26" s="652"/>
      <c r="P26" s="378" t="s">
        <v>375</v>
      </c>
      <c r="Q26" s="378" t="s">
        <v>376</v>
      </c>
      <c r="R26" s="378" t="s">
        <v>377</v>
      </c>
      <c r="S26" s="378" t="s">
        <v>367</v>
      </c>
      <c r="T26" s="652"/>
      <c r="U26" s="378" t="s">
        <v>375</v>
      </c>
      <c r="V26" s="378" t="s">
        <v>376</v>
      </c>
      <c r="W26" s="378" t="s">
        <v>377</v>
      </c>
      <c r="X26" s="378" t="s">
        <v>367</v>
      </c>
      <c r="Y26" s="652"/>
      <c r="Z26" s="378" t="s">
        <v>375</v>
      </c>
      <c r="AA26" s="378" t="s">
        <v>376</v>
      </c>
      <c r="AB26" s="378" t="s">
        <v>377</v>
      </c>
      <c r="AC26" s="378" t="s">
        <v>367</v>
      </c>
      <c r="AD26" s="652"/>
      <c r="AE26" s="378" t="s">
        <v>375</v>
      </c>
      <c r="AF26" s="378" t="s">
        <v>376</v>
      </c>
      <c r="AG26" s="378" t="s">
        <v>377</v>
      </c>
      <c r="AH26" s="378" t="s">
        <v>367</v>
      </c>
      <c r="AI26" s="652"/>
      <c r="AJ26" s="378" t="s">
        <v>375</v>
      </c>
      <c r="AK26" s="378" t="s">
        <v>376</v>
      </c>
      <c r="AL26" s="378" t="s">
        <v>377</v>
      </c>
      <c r="AM26" s="378" t="s">
        <v>367</v>
      </c>
      <c r="AN26" s="652"/>
      <c r="AO26" s="378" t="s">
        <v>375</v>
      </c>
      <c r="AP26" s="378" t="s">
        <v>376</v>
      </c>
      <c r="AQ26" s="378" t="s">
        <v>377</v>
      </c>
      <c r="AR26" s="378" t="s">
        <v>367</v>
      </c>
      <c r="AS26" s="652"/>
      <c r="AT26" s="378" t="s">
        <v>375</v>
      </c>
      <c r="AU26" s="378" t="s">
        <v>376</v>
      </c>
      <c r="AV26" s="378" t="s">
        <v>377</v>
      </c>
      <c r="AW26" s="378" t="s">
        <v>367</v>
      </c>
      <c r="AX26" s="652"/>
      <c r="AZ26" s="367" t="s">
        <v>367</v>
      </c>
      <c r="BA26" s="652"/>
    </row>
    <row r="27" spans="2:53">
      <c r="B27" s="652" t="s">
        <v>380</v>
      </c>
      <c r="C27" s="379">
        <v>1</v>
      </c>
      <c r="D27" s="225" t="s">
        <v>692</v>
      </c>
      <c r="E27" s="531">
        <v>15</v>
      </c>
      <c r="F27" s="530">
        <v>2000</v>
      </c>
      <c r="G27" s="532">
        <v>100</v>
      </c>
      <c r="H27" s="698">
        <f>AVERAGE(G27:G41)</f>
        <v>100</v>
      </c>
      <c r="I27" s="381">
        <f t="shared" ref="I27:I40" si="12">IFERROR(AVERAGE(P27,U27,Z27,AE27,AJ27,AO27,AT27),"-")</f>
        <v>13</v>
      </c>
      <c r="J27" s="381">
        <f t="shared" ref="J27:J40" si="13">IFERROR(AVERAGE(Q27,V27,AA27,AF27,AK27,AP27,AU27),"-")</f>
        <v>1877.151020408163</v>
      </c>
      <c r="K27" s="199">
        <f t="shared" ref="K27:K40" si="14">IFERROR(AVERAGE(R27,W27,AB27,AG27,AL27,AQ27,AV27),"-")</f>
        <v>144.39623233908947</v>
      </c>
      <c r="L27" s="633">
        <f>IFERROR(AVERAGE(K27:K41),"-")</f>
        <v>146.88061059819302</v>
      </c>
      <c r="M27" s="383">
        <f>RANK(K27, K$24:$K$41)</f>
        <v>2</v>
      </c>
      <c r="N27" s="652"/>
      <c r="O27" s="652"/>
      <c r="P27" s="552">
        <v>13</v>
      </c>
      <c r="Q27" s="553">
        <v>1937.9999999999964</v>
      </c>
      <c r="R27" s="553">
        <v>149.07692307692281</v>
      </c>
      <c r="S27" s="552">
        <f t="shared" ref="S27:S41" si="15">RANK(R27, R$27:R$41)</f>
        <v>1</v>
      </c>
      <c r="T27" s="661">
        <f t="shared" ref="T27" si="16">AVERAGE(R27:R41)</f>
        <v>148.92307692307674</v>
      </c>
      <c r="U27" s="552">
        <v>13</v>
      </c>
      <c r="V27" s="553">
        <v>1831.9999999999966</v>
      </c>
      <c r="W27" s="553">
        <v>140.92307692307665</v>
      </c>
      <c r="X27" s="552">
        <f t="shared" ref="X27:X41" si="17">RANK(W27, W$27:W$41)</f>
        <v>2</v>
      </c>
      <c r="Y27" s="661">
        <f t="shared" ref="Y27" si="18">AVERAGE(W27:W41)</f>
        <v>146.23776223776201</v>
      </c>
      <c r="Z27" s="552">
        <v>13</v>
      </c>
      <c r="AA27" s="553">
        <v>2029.9999999999964</v>
      </c>
      <c r="AB27" s="553">
        <v>156.15384615384588</v>
      </c>
      <c r="AC27" s="552">
        <f t="shared" ref="AC27:AC41" si="19">RANK(AB27, AB$27:AB$41)</f>
        <v>1</v>
      </c>
      <c r="AD27" s="661">
        <f t="shared" ref="AD27" si="20">AVERAGE(AB27:AB41)</f>
        <v>155.4307692307691</v>
      </c>
      <c r="AE27" s="552">
        <v>13</v>
      </c>
      <c r="AF27" s="553">
        <v>1877.9999999999993</v>
      </c>
      <c r="AG27" s="553">
        <v>144.4615384615384</v>
      </c>
      <c r="AH27" s="552">
        <f t="shared" ref="AH27:AH41" si="21">RANK(AG27, AG$27:AG$41)</f>
        <v>2</v>
      </c>
      <c r="AI27" s="661">
        <f t="shared" ref="AI27" si="22">AVERAGE(AG27:AG41)</f>
        <v>146.82692307692304</v>
      </c>
      <c r="AJ27" s="552">
        <v>13</v>
      </c>
      <c r="AK27" s="553">
        <v>1620.0000000000057</v>
      </c>
      <c r="AL27" s="553">
        <v>124.61538461538505</v>
      </c>
      <c r="AM27" s="552">
        <f t="shared" ref="AM27:AM41" si="23">RANK(AL27, AL$27:AL$41)</f>
        <v>2</v>
      </c>
      <c r="AN27" s="661">
        <f t="shared" ref="AN27" si="24">AVERAGE(AL27:AL41)</f>
        <v>133.44230769230802</v>
      </c>
      <c r="AO27" s="552">
        <v>13</v>
      </c>
      <c r="AP27" s="553">
        <v>1963.2000000000071</v>
      </c>
      <c r="AQ27" s="553">
        <v>151.01538461538516</v>
      </c>
      <c r="AR27" s="552">
        <f t="shared" ref="AR27:AR41" si="25">RANK(AQ27, AQ$27:AQ$41)</f>
        <v>1</v>
      </c>
      <c r="AS27" s="661">
        <f t="shared" ref="AS27" si="26">AVERAGE(AQ27:AQ41)</f>
        <v>149.31188811188844</v>
      </c>
      <c r="AT27" s="552">
        <v>13</v>
      </c>
      <c r="AU27" s="553">
        <v>1878.8571428571408</v>
      </c>
      <c r="AV27" s="553">
        <v>144.52747252747238</v>
      </c>
      <c r="AW27" s="552">
        <f t="shared" ref="AW27:AW41" si="27">RANK(AV27, AV$27:AV$41)</f>
        <v>2</v>
      </c>
      <c r="AX27" s="661">
        <f t="shared" ref="AX27" si="28">AVERAGE(AV27:AV41)</f>
        <v>147.99154691462377</v>
      </c>
      <c r="AZ27" s="368" t="e">
        <f t="shared" ref="AZ27:AZ41" si="29">RANK(AY27, AY$27:AY$41)</f>
        <v>#N/A</v>
      </c>
      <c r="BA27" s="661" t="e">
        <f t="shared" ref="BA27" si="30">AVERAGE(AY27:AY41)</f>
        <v>#DIV/0!</v>
      </c>
    </row>
    <row r="28" spans="2:53">
      <c r="B28" s="660"/>
      <c r="C28" s="379">
        <v>2</v>
      </c>
      <c r="D28" s="225" t="s">
        <v>702</v>
      </c>
      <c r="E28" s="531">
        <v>13</v>
      </c>
      <c r="F28" s="530">
        <v>2000</v>
      </c>
      <c r="G28" s="532">
        <v>100</v>
      </c>
      <c r="H28" s="699"/>
      <c r="I28" s="381">
        <f t="shared" si="12"/>
        <v>13</v>
      </c>
      <c r="J28" s="381">
        <f t="shared" si="13"/>
        <v>1941.7448551448554</v>
      </c>
      <c r="K28" s="199">
        <f t="shared" si="14"/>
        <v>149.36498885729657</v>
      </c>
      <c r="L28" s="634"/>
      <c r="M28" s="386">
        <f>RANK(K28, K$24:$K$41)</f>
        <v>1</v>
      </c>
      <c r="N28" s="652"/>
      <c r="O28" s="652"/>
      <c r="P28" s="552">
        <v>13</v>
      </c>
      <c r="Q28" s="553">
        <v>1933.9999999999991</v>
      </c>
      <c r="R28" s="553">
        <v>148.76923076923069</v>
      </c>
      <c r="S28" s="552">
        <f t="shared" si="15"/>
        <v>2</v>
      </c>
      <c r="T28" s="662"/>
      <c r="U28" s="552">
        <v>13</v>
      </c>
      <c r="V28" s="553">
        <v>1970.1818181818164</v>
      </c>
      <c r="W28" s="553">
        <v>151.5524475524474</v>
      </c>
      <c r="X28" s="552">
        <f t="shared" si="17"/>
        <v>1</v>
      </c>
      <c r="Y28" s="662"/>
      <c r="Z28" s="552">
        <v>13</v>
      </c>
      <c r="AA28" s="553">
        <v>2011.2000000000007</v>
      </c>
      <c r="AB28" s="553">
        <v>154.70769230769235</v>
      </c>
      <c r="AC28" s="552">
        <f t="shared" si="19"/>
        <v>2</v>
      </c>
      <c r="AD28" s="662"/>
      <c r="AE28" s="552">
        <v>13</v>
      </c>
      <c r="AF28" s="553">
        <v>1939.4999999999993</v>
      </c>
      <c r="AG28" s="553">
        <v>149.19230769230765</v>
      </c>
      <c r="AH28" s="552">
        <f t="shared" si="21"/>
        <v>1</v>
      </c>
      <c r="AI28" s="662"/>
      <c r="AJ28" s="552">
        <v>13</v>
      </c>
      <c r="AK28" s="553">
        <v>1849.500000000003</v>
      </c>
      <c r="AL28" s="553">
        <v>142.269230769231</v>
      </c>
      <c r="AM28" s="552">
        <f t="shared" si="23"/>
        <v>1</v>
      </c>
      <c r="AN28" s="662"/>
      <c r="AO28" s="552">
        <v>13</v>
      </c>
      <c r="AP28" s="553">
        <v>1918.9090909090921</v>
      </c>
      <c r="AQ28" s="553">
        <v>147.60839160839171</v>
      </c>
      <c r="AR28" s="552">
        <f t="shared" si="25"/>
        <v>2</v>
      </c>
      <c r="AS28" s="662"/>
      <c r="AT28" s="552">
        <v>13</v>
      </c>
      <c r="AU28" s="553">
        <v>1968.9230769230765</v>
      </c>
      <c r="AV28" s="553">
        <v>151.45562130177512</v>
      </c>
      <c r="AW28" s="552">
        <f t="shared" si="27"/>
        <v>1</v>
      </c>
      <c r="AX28" s="662"/>
      <c r="AZ28" s="368" t="e">
        <f t="shared" si="29"/>
        <v>#N/A</v>
      </c>
      <c r="BA28" s="662"/>
    </row>
    <row r="29" spans="2:53">
      <c r="B29" s="660"/>
      <c r="C29" s="379">
        <v>3</v>
      </c>
      <c r="D29" s="225"/>
      <c r="E29" s="531"/>
      <c r="F29" s="530"/>
      <c r="G29" s="532"/>
      <c r="H29" s="699"/>
      <c r="I29" s="381" t="str">
        <f t="shared" si="12"/>
        <v>-</v>
      </c>
      <c r="J29" s="381" t="str">
        <f t="shared" si="13"/>
        <v>-</v>
      </c>
      <c r="K29" s="199" t="str">
        <f t="shared" si="14"/>
        <v>-</v>
      </c>
      <c r="L29" s="634"/>
      <c r="M29" s="386" t="e">
        <f>RANK(K29, K$24:$K$41)</f>
        <v>#VALUE!</v>
      </c>
      <c r="N29" s="652"/>
      <c r="O29" s="652"/>
      <c r="P29" s="552" t="s">
        <v>585</v>
      </c>
      <c r="Q29" s="553" t="s">
        <v>585</v>
      </c>
      <c r="R29" s="553" t="s">
        <v>585</v>
      </c>
      <c r="S29" s="552" t="e">
        <f t="shared" si="15"/>
        <v>#VALUE!</v>
      </c>
      <c r="T29" s="662"/>
      <c r="U29" s="552" t="s">
        <v>585</v>
      </c>
      <c r="V29" s="553" t="s">
        <v>585</v>
      </c>
      <c r="W29" s="553" t="s">
        <v>585</v>
      </c>
      <c r="X29" s="552" t="e">
        <f t="shared" si="17"/>
        <v>#VALUE!</v>
      </c>
      <c r="Y29" s="662"/>
      <c r="Z29" s="552" t="s">
        <v>585</v>
      </c>
      <c r="AA29" s="553" t="s">
        <v>585</v>
      </c>
      <c r="AB29" s="553" t="s">
        <v>585</v>
      </c>
      <c r="AC29" s="552" t="e">
        <f t="shared" si="19"/>
        <v>#VALUE!</v>
      </c>
      <c r="AD29" s="662"/>
      <c r="AE29" s="552" t="s">
        <v>585</v>
      </c>
      <c r="AF29" s="553" t="s">
        <v>585</v>
      </c>
      <c r="AG29" s="553" t="s">
        <v>585</v>
      </c>
      <c r="AH29" s="552" t="e">
        <f t="shared" si="21"/>
        <v>#VALUE!</v>
      </c>
      <c r="AI29" s="662"/>
      <c r="AJ29" s="552" t="s">
        <v>585</v>
      </c>
      <c r="AK29" s="553" t="s">
        <v>585</v>
      </c>
      <c r="AL29" s="553" t="s">
        <v>585</v>
      </c>
      <c r="AM29" s="552" t="e">
        <f t="shared" si="23"/>
        <v>#VALUE!</v>
      </c>
      <c r="AN29" s="662"/>
      <c r="AO29" s="552" t="s">
        <v>585</v>
      </c>
      <c r="AP29" s="553" t="s">
        <v>585</v>
      </c>
      <c r="AQ29" s="553" t="s">
        <v>585</v>
      </c>
      <c r="AR29" s="552" t="e">
        <f t="shared" si="25"/>
        <v>#VALUE!</v>
      </c>
      <c r="AS29" s="662"/>
      <c r="AT29" s="552" t="s">
        <v>585</v>
      </c>
      <c r="AU29" s="553" t="s">
        <v>585</v>
      </c>
      <c r="AV29" s="553" t="s">
        <v>585</v>
      </c>
      <c r="AW29" s="552" t="e">
        <f t="shared" si="27"/>
        <v>#VALUE!</v>
      </c>
      <c r="AX29" s="662"/>
      <c r="AZ29" s="368" t="e">
        <f t="shared" si="29"/>
        <v>#N/A</v>
      </c>
      <c r="BA29" s="662"/>
    </row>
    <row r="30" spans="2:53">
      <c r="B30" s="660"/>
      <c r="C30" s="379">
        <v>4</v>
      </c>
      <c r="D30" s="225"/>
      <c r="E30" s="531"/>
      <c r="F30" s="530"/>
      <c r="G30" s="532"/>
      <c r="H30" s="699"/>
      <c r="I30" s="381" t="str">
        <f t="shared" si="12"/>
        <v>-</v>
      </c>
      <c r="J30" s="381" t="str">
        <f t="shared" si="13"/>
        <v>-</v>
      </c>
      <c r="K30" s="199" t="str">
        <f t="shared" si="14"/>
        <v>-</v>
      </c>
      <c r="L30" s="634"/>
      <c r="M30" s="386" t="e">
        <f>RANK(K30, K$24:$K$41)</f>
        <v>#VALUE!</v>
      </c>
      <c r="N30" s="652"/>
      <c r="O30" s="652"/>
      <c r="P30" s="552" t="s">
        <v>585</v>
      </c>
      <c r="Q30" s="553" t="s">
        <v>585</v>
      </c>
      <c r="R30" s="553" t="s">
        <v>585</v>
      </c>
      <c r="S30" s="552" t="e">
        <f t="shared" si="15"/>
        <v>#VALUE!</v>
      </c>
      <c r="T30" s="662"/>
      <c r="U30" s="552" t="s">
        <v>585</v>
      </c>
      <c r="V30" s="553" t="s">
        <v>585</v>
      </c>
      <c r="W30" s="553" t="s">
        <v>585</v>
      </c>
      <c r="X30" s="552" t="e">
        <f t="shared" si="17"/>
        <v>#VALUE!</v>
      </c>
      <c r="Y30" s="662"/>
      <c r="Z30" s="552" t="s">
        <v>585</v>
      </c>
      <c r="AA30" s="553" t="s">
        <v>585</v>
      </c>
      <c r="AB30" s="553" t="s">
        <v>585</v>
      </c>
      <c r="AC30" s="552" t="e">
        <f t="shared" si="19"/>
        <v>#VALUE!</v>
      </c>
      <c r="AD30" s="662"/>
      <c r="AE30" s="552" t="s">
        <v>585</v>
      </c>
      <c r="AF30" s="553" t="s">
        <v>585</v>
      </c>
      <c r="AG30" s="553" t="s">
        <v>585</v>
      </c>
      <c r="AH30" s="552" t="e">
        <f t="shared" si="21"/>
        <v>#VALUE!</v>
      </c>
      <c r="AI30" s="662"/>
      <c r="AJ30" s="552" t="s">
        <v>585</v>
      </c>
      <c r="AK30" s="553" t="s">
        <v>585</v>
      </c>
      <c r="AL30" s="553" t="s">
        <v>585</v>
      </c>
      <c r="AM30" s="552" t="e">
        <f t="shared" si="23"/>
        <v>#VALUE!</v>
      </c>
      <c r="AN30" s="662"/>
      <c r="AO30" s="552" t="s">
        <v>585</v>
      </c>
      <c r="AP30" s="553" t="s">
        <v>585</v>
      </c>
      <c r="AQ30" s="553" t="s">
        <v>585</v>
      </c>
      <c r="AR30" s="552" t="e">
        <f t="shared" si="25"/>
        <v>#VALUE!</v>
      </c>
      <c r="AS30" s="662"/>
      <c r="AT30" s="552" t="s">
        <v>585</v>
      </c>
      <c r="AU30" s="553" t="s">
        <v>585</v>
      </c>
      <c r="AV30" s="553" t="s">
        <v>585</v>
      </c>
      <c r="AW30" s="552" t="e">
        <f t="shared" si="27"/>
        <v>#VALUE!</v>
      </c>
      <c r="AX30" s="662"/>
      <c r="AZ30" s="368" t="e">
        <f t="shared" si="29"/>
        <v>#N/A</v>
      </c>
      <c r="BA30" s="662"/>
    </row>
    <row r="31" spans="2:53">
      <c r="B31" s="660"/>
      <c r="C31" s="379">
        <v>5</v>
      </c>
      <c r="D31" s="225"/>
      <c r="E31" s="531"/>
      <c r="F31" s="530"/>
      <c r="G31" s="532"/>
      <c r="H31" s="699"/>
      <c r="I31" s="381" t="str">
        <f t="shared" si="12"/>
        <v>-</v>
      </c>
      <c r="J31" s="381" t="str">
        <f t="shared" si="13"/>
        <v>-</v>
      </c>
      <c r="K31" s="199" t="str">
        <f t="shared" si="14"/>
        <v>-</v>
      </c>
      <c r="L31" s="634"/>
      <c r="M31" s="386" t="e">
        <f>RANK(K31, K$24:$K$41)</f>
        <v>#VALUE!</v>
      </c>
      <c r="N31" s="652"/>
      <c r="O31" s="652"/>
      <c r="P31" s="552" t="s">
        <v>585</v>
      </c>
      <c r="Q31" s="553" t="s">
        <v>585</v>
      </c>
      <c r="R31" s="553" t="s">
        <v>585</v>
      </c>
      <c r="S31" s="552" t="e">
        <f t="shared" si="15"/>
        <v>#VALUE!</v>
      </c>
      <c r="T31" s="662"/>
      <c r="U31" s="552" t="s">
        <v>585</v>
      </c>
      <c r="V31" s="553" t="s">
        <v>585</v>
      </c>
      <c r="W31" s="553" t="s">
        <v>585</v>
      </c>
      <c r="X31" s="552" t="e">
        <f t="shared" si="17"/>
        <v>#VALUE!</v>
      </c>
      <c r="Y31" s="662"/>
      <c r="Z31" s="552" t="s">
        <v>585</v>
      </c>
      <c r="AA31" s="553" t="s">
        <v>585</v>
      </c>
      <c r="AB31" s="553" t="s">
        <v>585</v>
      </c>
      <c r="AC31" s="552" t="e">
        <f t="shared" si="19"/>
        <v>#VALUE!</v>
      </c>
      <c r="AD31" s="662"/>
      <c r="AE31" s="552" t="s">
        <v>585</v>
      </c>
      <c r="AF31" s="553" t="s">
        <v>585</v>
      </c>
      <c r="AG31" s="553" t="s">
        <v>585</v>
      </c>
      <c r="AH31" s="552" t="e">
        <f t="shared" si="21"/>
        <v>#VALUE!</v>
      </c>
      <c r="AI31" s="662"/>
      <c r="AJ31" s="552" t="s">
        <v>585</v>
      </c>
      <c r="AK31" s="553" t="s">
        <v>585</v>
      </c>
      <c r="AL31" s="553" t="s">
        <v>585</v>
      </c>
      <c r="AM31" s="552" t="e">
        <f t="shared" si="23"/>
        <v>#VALUE!</v>
      </c>
      <c r="AN31" s="662"/>
      <c r="AO31" s="552" t="s">
        <v>585</v>
      </c>
      <c r="AP31" s="553" t="s">
        <v>585</v>
      </c>
      <c r="AQ31" s="553" t="s">
        <v>585</v>
      </c>
      <c r="AR31" s="552" t="e">
        <f t="shared" si="25"/>
        <v>#VALUE!</v>
      </c>
      <c r="AS31" s="662"/>
      <c r="AT31" s="552" t="s">
        <v>585</v>
      </c>
      <c r="AU31" s="553" t="s">
        <v>585</v>
      </c>
      <c r="AV31" s="553" t="s">
        <v>585</v>
      </c>
      <c r="AW31" s="552" t="e">
        <f t="shared" si="27"/>
        <v>#VALUE!</v>
      </c>
      <c r="AX31" s="662"/>
      <c r="AZ31" s="368" t="e">
        <f t="shared" si="29"/>
        <v>#N/A</v>
      </c>
      <c r="BA31" s="662"/>
    </row>
    <row r="32" spans="2:53">
      <c r="B32" s="660"/>
      <c r="C32" s="379">
        <v>6</v>
      </c>
      <c r="D32" s="225"/>
      <c r="E32" s="531"/>
      <c r="F32" s="530"/>
      <c r="G32" s="532"/>
      <c r="H32" s="699"/>
      <c r="I32" s="381" t="str">
        <f t="shared" si="12"/>
        <v>-</v>
      </c>
      <c r="J32" s="381" t="str">
        <f t="shared" si="13"/>
        <v>-</v>
      </c>
      <c r="K32" s="199" t="str">
        <f t="shared" si="14"/>
        <v>-</v>
      </c>
      <c r="L32" s="634"/>
      <c r="M32" s="386" t="e">
        <f>RANK(K32, K$24:$K$41)</f>
        <v>#VALUE!</v>
      </c>
      <c r="N32" s="652"/>
      <c r="O32" s="652"/>
      <c r="P32" s="552" t="s">
        <v>585</v>
      </c>
      <c r="Q32" s="553" t="s">
        <v>585</v>
      </c>
      <c r="R32" s="553" t="s">
        <v>585</v>
      </c>
      <c r="S32" s="552" t="e">
        <f t="shared" si="15"/>
        <v>#VALUE!</v>
      </c>
      <c r="T32" s="662"/>
      <c r="U32" s="552" t="s">
        <v>585</v>
      </c>
      <c r="V32" s="553" t="s">
        <v>585</v>
      </c>
      <c r="W32" s="553" t="s">
        <v>585</v>
      </c>
      <c r="X32" s="552" t="e">
        <f t="shared" si="17"/>
        <v>#VALUE!</v>
      </c>
      <c r="Y32" s="662"/>
      <c r="Z32" s="552" t="s">
        <v>585</v>
      </c>
      <c r="AA32" s="553" t="s">
        <v>585</v>
      </c>
      <c r="AB32" s="553" t="s">
        <v>585</v>
      </c>
      <c r="AC32" s="552" t="e">
        <f t="shared" si="19"/>
        <v>#VALUE!</v>
      </c>
      <c r="AD32" s="662"/>
      <c r="AE32" s="552" t="s">
        <v>585</v>
      </c>
      <c r="AF32" s="553" t="s">
        <v>585</v>
      </c>
      <c r="AG32" s="553" t="s">
        <v>585</v>
      </c>
      <c r="AH32" s="552" t="e">
        <f t="shared" si="21"/>
        <v>#VALUE!</v>
      </c>
      <c r="AI32" s="662"/>
      <c r="AJ32" s="552" t="s">
        <v>585</v>
      </c>
      <c r="AK32" s="553" t="s">
        <v>585</v>
      </c>
      <c r="AL32" s="553" t="s">
        <v>585</v>
      </c>
      <c r="AM32" s="552" t="e">
        <f t="shared" si="23"/>
        <v>#VALUE!</v>
      </c>
      <c r="AN32" s="662"/>
      <c r="AO32" s="552" t="s">
        <v>585</v>
      </c>
      <c r="AP32" s="553" t="s">
        <v>585</v>
      </c>
      <c r="AQ32" s="553" t="s">
        <v>585</v>
      </c>
      <c r="AR32" s="552" t="e">
        <f t="shared" si="25"/>
        <v>#VALUE!</v>
      </c>
      <c r="AS32" s="662"/>
      <c r="AT32" s="552" t="s">
        <v>585</v>
      </c>
      <c r="AU32" s="553" t="s">
        <v>585</v>
      </c>
      <c r="AV32" s="553" t="s">
        <v>585</v>
      </c>
      <c r="AW32" s="552" t="e">
        <f t="shared" si="27"/>
        <v>#VALUE!</v>
      </c>
      <c r="AX32" s="662"/>
      <c r="AZ32" s="368" t="e">
        <f t="shared" si="29"/>
        <v>#N/A</v>
      </c>
      <c r="BA32" s="662"/>
    </row>
    <row r="33" spans="2:53">
      <c r="B33" s="660"/>
      <c r="C33" s="379">
        <v>7</v>
      </c>
      <c r="D33" s="225"/>
      <c r="E33" s="531"/>
      <c r="F33" s="530"/>
      <c r="G33" s="532"/>
      <c r="H33" s="699"/>
      <c r="I33" s="381" t="str">
        <f t="shared" si="12"/>
        <v>-</v>
      </c>
      <c r="J33" s="381" t="str">
        <f t="shared" si="13"/>
        <v>-</v>
      </c>
      <c r="K33" s="199" t="str">
        <f t="shared" si="14"/>
        <v>-</v>
      </c>
      <c r="L33" s="634"/>
      <c r="M33" s="386" t="e">
        <f>RANK(K33, K$24:$K$41)</f>
        <v>#VALUE!</v>
      </c>
      <c r="N33" s="652"/>
      <c r="O33" s="652"/>
      <c r="P33" s="552" t="s">
        <v>585</v>
      </c>
      <c r="Q33" s="553" t="s">
        <v>585</v>
      </c>
      <c r="R33" s="553" t="s">
        <v>585</v>
      </c>
      <c r="S33" s="552" t="e">
        <f t="shared" si="15"/>
        <v>#VALUE!</v>
      </c>
      <c r="T33" s="662"/>
      <c r="U33" s="552" t="s">
        <v>585</v>
      </c>
      <c r="V33" s="553" t="s">
        <v>585</v>
      </c>
      <c r="W33" s="553" t="s">
        <v>585</v>
      </c>
      <c r="X33" s="552" t="e">
        <f t="shared" si="17"/>
        <v>#VALUE!</v>
      </c>
      <c r="Y33" s="662"/>
      <c r="Z33" s="552" t="s">
        <v>585</v>
      </c>
      <c r="AA33" s="553" t="s">
        <v>585</v>
      </c>
      <c r="AB33" s="553" t="s">
        <v>585</v>
      </c>
      <c r="AC33" s="552" t="e">
        <f t="shared" si="19"/>
        <v>#VALUE!</v>
      </c>
      <c r="AD33" s="662"/>
      <c r="AE33" s="552" t="s">
        <v>585</v>
      </c>
      <c r="AF33" s="553" t="s">
        <v>585</v>
      </c>
      <c r="AG33" s="553" t="s">
        <v>585</v>
      </c>
      <c r="AH33" s="552" t="e">
        <f t="shared" si="21"/>
        <v>#VALUE!</v>
      </c>
      <c r="AI33" s="662"/>
      <c r="AJ33" s="552" t="s">
        <v>585</v>
      </c>
      <c r="AK33" s="553" t="s">
        <v>585</v>
      </c>
      <c r="AL33" s="553" t="s">
        <v>585</v>
      </c>
      <c r="AM33" s="552" t="e">
        <f t="shared" si="23"/>
        <v>#VALUE!</v>
      </c>
      <c r="AN33" s="662"/>
      <c r="AO33" s="552" t="s">
        <v>585</v>
      </c>
      <c r="AP33" s="553" t="s">
        <v>585</v>
      </c>
      <c r="AQ33" s="553" t="s">
        <v>585</v>
      </c>
      <c r="AR33" s="552" t="e">
        <f t="shared" si="25"/>
        <v>#VALUE!</v>
      </c>
      <c r="AS33" s="662"/>
      <c r="AT33" s="552" t="s">
        <v>585</v>
      </c>
      <c r="AU33" s="553" t="s">
        <v>585</v>
      </c>
      <c r="AV33" s="553" t="s">
        <v>585</v>
      </c>
      <c r="AW33" s="552" t="e">
        <f t="shared" si="27"/>
        <v>#VALUE!</v>
      </c>
      <c r="AX33" s="662"/>
      <c r="AZ33" s="368" t="e">
        <f t="shared" si="29"/>
        <v>#N/A</v>
      </c>
      <c r="BA33" s="662"/>
    </row>
    <row r="34" spans="2:53">
      <c r="B34" s="660"/>
      <c r="C34" s="379">
        <v>8</v>
      </c>
      <c r="D34" s="225"/>
      <c r="E34" s="531"/>
      <c r="F34" s="530"/>
      <c r="G34" s="532"/>
      <c r="H34" s="699"/>
      <c r="I34" s="381" t="str">
        <f t="shared" si="12"/>
        <v>-</v>
      </c>
      <c r="J34" s="381" t="str">
        <f t="shared" si="13"/>
        <v>-</v>
      </c>
      <c r="K34" s="199" t="str">
        <f t="shared" si="14"/>
        <v>-</v>
      </c>
      <c r="L34" s="634"/>
      <c r="M34" s="386" t="e">
        <f>RANK(K34, K$24:$K$41)</f>
        <v>#VALUE!</v>
      </c>
      <c r="N34" s="652"/>
      <c r="O34" s="652"/>
      <c r="P34" s="552" t="s">
        <v>585</v>
      </c>
      <c r="Q34" s="553" t="s">
        <v>585</v>
      </c>
      <c r="R34" s="553" t="s">
        <v>585</v>
      </c>
      <c r="S34" s="552" t="e">
        <f t="shared" si="15"/>
        <v>#VALUE!</v>
      </c>
      <c r="T34" s="662"/>
      <c r="U34" s="552" t="s">
        <v>585</v>
      </c>
      <c r="V34" s="553" t="s">
        <v>585</v>
      </c>
      <c r="W34" s="553" t="s">
        <v>585</v>
      </c>
      <c r="X34" s="552" t="e">
        <f t="shared" si="17"/>
        <v>#VALUE!</v>
      </c>
      <c r="Y34" s="662"/>
      <c r="Z34" s="552" t="s">
        <v>585</v>
      </c>
      <c r="AA34" s="553" t="s">
        <v>585</v>
      </c>
      <c r="AB34" s="553" t="s">
        <v>585</v>
      </c>
      <c r="AC34" s="552" t="e">
        <f t="shared" si="19"/>
        <v>#VALUE!</v>
      </c>
      <c r="AD34" s="662"/>
      <c r="AE34" s="552" t="s">
        <v>585</v>
      </c>
      <c r="AF34" s="553" t="s">
        <v>585</v>
      </c>
      <c r="AG34" s="553" t="s">
        <v>585</v>
      </c>
      <c r="AH34" s="552" t="e">
        <f t="shared" si="21"/>
        <v>#VALUE!</v>
      </c>
      <c r="AI34" s="662"/>
      <c r="AJ34" s="552" t="s">
        <v>585</v>
      </c>
      <c r="AK34" s="553" t="s">
        <v>585</v>
      </c>
      <c r="AL34" s="553" t="s">
        <v>585</v>
      </c>
      <c r="AM34" s="552" t="e">
        <f t="shared" si="23"/>
        <v>#VALUE!</v>
      </c>
      <c r="AN34" s="662"/>
      <c r="AO34" s="552" t="s">
        <v>585</v>
      </c>
      <c r="AP34" s="553" t="s">
        <v>585</v>
      </c>
      <c r="AQ34" s="553" t="s">
        <v>585</v>
      </c>
      <c r="AR34" s="552" t="e">
        <f t="shared" si="25"/>
        <v>#VALUE!</v>
      </c>
      <c r="AS34" s="662"/>
      <c r="AT34" s="552" t="s">
        <v>585</v>
      </c>
      <c r="AU34" s="553" t="s">
        <v>585</v>
      </c>
      <c r="AV34" s="553" t="s">
        <v>585</v>
      </c>
      <c r="AW34" s="552" t="e">
        <f t="shared" si="27"/>
        <v>#VALUE!</v>
      </c>
      <c r="AX34" s="662"/>
      <c r="AZ34" s="368" t="e">
        <f t="shared" si="29"/>
        <v>#N/A</v>
      </c>
      <c r="BA34" s="662"/>
    </row>
    <row r="35" spans="2:53">
      <c r="B35" s="660"/>
      <c r="C35" s="379">
        <v>9</v>
      </c>
      <c r="D35" s="225"/>
      <c r="E35" s="531"/>
      <c r="F35" s="530"/>
      <c r="G35" s="532"/>
      <c r="H35" s="699"/>
      <c r="I35" s="381" t="str">
        <f t="shared" si="12"/>
        <v>-</v>
      </c>
      <c r="J35" s="381" t="str">
        <f t="shared" si="13"/>
        <v>-</v>
      </c>
      <c r="K35" s="199" t="str">
        <f t="shared" si="14"/>
        <v>-</v>
      </c>
      <c r="L35" s="634"/>
      <c r="M35" s="386" t="e">
        <f>RANK(K35, K$24:$K$41)</f>
        <v>#VALUE!</v>
      </c>
      <c r="N35" s="652"/>
      <c r="O35" s="652"/>
      <c r="P35" s="552" t="s">
        <v>585</v>
      </c>
      <c r="Q35" s="553" t="s">
        <v>585</v>
      </c>
      <c r="R35" s="553" t="s">
        <v>585</v>
      </c>
      <c r="S35" s="552" t="e">
        <f t="shared" si="15"/>
        <v>#VALUE!</v>
      </c>
      <c r="T35" s="662"/>
      <c r="U35" s="552" t="s">
        <v>585</v>
      </c>
      <c r="V35" s="553" t="s">
        <v>585</v>
      </c>
      <c r="W35" s="553" t="s">
        <v>585</v>
      </c>
      <c r="X35" s="552" t="e">
        <f t="shared" si="17"/>
        <v>#VALUE!</v>
      </c>
      <c r="Y35" s="662"/>
      <c r="Z35" s="552" t="s">
        <v>585</v>
      </c>
      <c r="AA35" s="553" t="s">
        <v>585</v>
      </c>
      <c r="AB35" s="553" t="s">
        <v>585</v>
      </c>
      <c r="AC35" s="552" t="e">
        <f t="shared" si="19"/>
        <v>#VALUE!</v>
      </c>
      <c r="AD35" s="662"/>
      <c r="AE35" s="552" t="s">
        <v>585</v>
      </c>
      <c r="AF35" s="553" t="s">
        <v>585</v>
      </c>
      <c r="AG35" s="553" t="s">
        <v>585</v>
      </c>
      <c r="AH35" s="552" t="e">
        <f t="shared" si="21"/>
        <v>#VALUE!</v>
      </c>
      <c r="AI35" s="662"/>
      <c r="AJ35" s="552" t="s">
        <v>585</v>
      </c>
      <c r="AK35" s="553" t="s">
        <v>585</v>
      </c>
      <c r="AL35" s="553" t="s">
        <v>585</v>
      </c>
      <c r="AM35" s="552" t="e">
        <f t="shared" si="23"/>
        <v>#VALUE!</v>
      </c>
      <c r="AN35" s="662"/>
      <c r="AO35" s="552" t="s">
        <v>585</v>
      </c>
      <c r="AP35" s="553" t="s">
        <v>585</v>
      </c>
      <c r="AQ35" s="553" t="s">
        <v>585</v>
      </c>
      <c r="AR35" s="552" t="e">
        <f t="shared" si="25"/>
        <v>#VALUE!</v>
      </c>
      <c r="AS35" s="662"/>
      <c r="AT35" s="552" t="s">
        <v>585</v>
      </c>
      <c r="AU35" s="553" t="s">
        <v>585</v>
      </c>
      <c r="AV35" s="553" t="s">
        <v>585</v>
      </c>
      <c r="AW35" s="552" t="e">
        <f t="shared" si="27"/>
        <v>#VALUE!</v>
      </c>
      <c r="AX35" s="662"/>
      <c r="AZ35" s="368" t="e">
        <f t="shared" si="29"/>
        <v>#N/A</v>
      </c>
      <c r="BA35" s="662"/>
    </row>
    <row r="36" spans="2:53">
      <c r="B36" s="660"/>
      <c r="C36" s="379">
        <v>10</v>
      </c>
      <c r="D36" s="225"/>
      <c r="E36" s="531"/>
      <c r="F36" s="530"/>
      <c r="G36" s="532"/>
      <c r="H36" s="699"/>
      <c r="I36" s="381" t="str">
        <f t="shared" si="12"/>
        <v>-</v>
      </c>
      <c r="J36" s="381" t="str">
        <f t="shared" si="13"/>
        <v>-</v>
      </c>
      <c r="K36" s="199" t="str">
        <f t="shared" si="14"/>
        <v>-</v>
      </c>
      <c r="L36" s="634"/>
      <c r="M36" s="386" t="e">
        <f>RANK(K36, K$24:$K$41)</f>
        <v>#VALUE!</v>
      </c>
      <c r="N36" s="652"/>
      <c r="O36" s="652"/>
      <c r="P36" s="552" t="s">
        <v>585</v>
      </c>
      <c r="Q36" s="553" t="s">
        <v>585</v>
      </c>
      <c r="R36" s="553" t="s">
        <v>585</v>
      </c>
      <c r="S36" s="552" t="e">
        <f t="shared" si="15"/>
        <v>#VALUE!</v>
      </c>
      <c r="T36" s="662"/>
      <c r="U36" s="552" t="s">
        <v>585</v>
      </c>
      <c r="V36" s="553" t="s">
        <v>585</v>
      </c>
      <c r="W36" s="553" t="s">
        <v>585</v>
      </c>
      <c r="X36" s="552" t="e">
        <f t="shared" si="17"/>
        <v>#VALUE!</v>
      </c>
      <c r="Y36" s="662"/>
      <c r="Z36" s="552" t="s">
        <v>585</v>
      </c>
      <c r="AA36" s="553" t="s">
        <v>585</v>
      </c>
      <c r="AB36" s="553" t="s">
        <v>585</v>
      </c>
      <c r="AC36" s="552" t="e">
        <f t="shared" si="19"/>
        <v>#VALUE!</v>
      </c>
      <c r="AD36" s="662"/>
      <c r="AE36" s="552" t="s">
        <v>585</v>
      </c>
      <c r="AF36" s="553" t="s">
        <v>585</v>
      </c>
      <c r="AG36" s="553" t="s">
        <v>585</v>
      </c>
      <c r="AH36" s="552" t="e">
        <f t="shared" si="21"/>
        <v>#VALUE!</v>
      </c>
      <c r="AI36" s="662"/>
      <c r="AJ36" s="552" t="s">
        <v>585</v>
      </c>
      <c r="AK36" s="553" t="s">
        <v>585</v>
      </c>
      <c r="AL36" s="553" t="s">
        <v>585</v>
      </c>
      <c r="AM36" s="552" t="e">
        <f t="shared" si="23"/>
        <v>#VALUE!</v>
      </c>
      <c r="AN36" s="662"/>
      <c r="AO36" s="552" t="s">
        <v>585</v>
      </c>
      <c r="AP36" s="553" t="s">
        <v>585</v>
      </c>
      <c r="AQ36" s="553" t="s">
        <v>585</v>
      </c>
      <c r="AR36" s="552" t="e">
        <f t="shared" si="25"/>
        <v>#VALUE!</v>
      </c>
      <c r="AS36" s="662"/>
      <c r="AT36" s="552" t="s">
        <v>585</v>
      </c>
      <c r="AU36" s="553" t="s">
        <v>585</v>
      </c>
      <c r="AV36" s="553" t="s">
        <v>585</v>
      </c>
      <c r="AW36" s="552" t="e">
        <f t="shared" si="27"/>
        <v>#VALUE!</v>
      </c>
      <c r="AX36" s="662"/>
      <c r="AZ36" s="368" t="e">
        <f t="shared" si="29"/>
        <v>#N/A</v>
      </c>
      <c r="BA36" s="662"/>
    </row>
    <row r="37" spans="2:53">
      <c r="B37" s="660"/>
      <c r="C37" s="379">
        <v>11</v>
      </c>
      <c r="D37" s="225"/>
      <c r="E37" s="531"/>
      <c r="F37" s="530"/>
      <c r="G37" s="532"/>
      <c r="H37" s="699"/>
      <c r="I37" s="381" t="str">
        <f t="shared" si="12"/>
        <v>-</v>
      </c>
      <c r="J37" s="381" t="str">
        <f t="shared" si="13"/>
        <v>-</v>
      </c>
      <c r="K37" s="199" t="str">
        <f t="shared" si="14"/>
        <v>-</v>
      </c>
      <c r="L37" s="634"/>
      <c r="M37" s="386" t="e">
        <f>RANK(K37, K$24:$K$41)</f>
        <v>#VALUE!</v>
      </c>
      <c r="N37" s="652"/>
      <c r="O37" s="652"/>
      <c r="P37" s="552" t="s">
        <v>585</v>
      </c>
      <c r="Q37" s="553" t="s">
        <v>585</v>
      </c>
      <c r="R37" s="553" t="s">
        <v>585</v>
      </c>
      <c r="S37" s="552" t="e">
        <f t="shared" si="15"/>
        <v>#VALUE!</v>
      </c>
      <c r="T37" s="662"/>
      <c r="U37" s="552" t="s">
        <v>585</v>
      </c>
      <c r="V37" s="553" t="s">
        <v>585</v>
      </c>
      <c r="W37" s="553" t="s">
        <v>585</v>
      </c>
      <c r="X37" s="552" t="e">
        <f t="shared" si="17"/>
        <v>#VALUE!</v>
      </c>
      <c r="Y37" s="662"/>
      <c r="Z37" s="552" t="s">
        <v>585</v>
      </c>
      <c r="AA37" s="553" t="s">
        <v>585</v>
      </c>
      <c r="AB37" s="553" t="s">
        <v>585</v>
      </c>
      <c r="AC37" s="552" t="e">
        <f t="shared" si="19"/>
        <v>#VALUE!</v>
      </c>
      <c r="AD37" s="662"/>
      <c r="AE37" s="552" t="s">
        <v>585</v>
      </c>
      <c r="AF37" s="553" t="s">
        <v>585</v>
      </c>
      <c r="AG37" s="553" t="s">
        <v>585</v>
      </c>
      <c r="AH37" s="552" t="e">
        <f t="shared" si="21"/>
        <v>#VALUE!</v>
      </c>
      <c r="AI37" s="662"/>
      <c r="AJ37" s="552" t="s">
        <v>585</v>
      </c>
      <c r="AK37" s="553" t="s">
        <v>585</v>
      </c>
      <c r="AL37" s="553" t="s">
        <v>585</v>
      </c>
      <c r="AM37" s="552" t="e">
        <f t="shared" si="23"/>
        <v>#VALUE!</v>
      </c>
      <c r="AN37" s="662"/>
      <c r="AO37" s="552" t="s">
        <v>585</v>
      </c>
      <c r="AP37" s="553" t="s">
        <v>585</v>
      </c>
      <c r="AQ37" s="553" t="s">
        <v>585</v>
      </c>
      <c r="AR37" s="552" t="e">
        <f t="shared" si="25"/>
        <v>#VALUE!</v>
      </c>
      <c r="AS37" s="662"/>
      <c r="AT37" s="552" t="s">
        <v>585</v>
      </c>
      <c r="AU37" s="553" t="s">
        <v>585</v>
      </c>
      <c r="AV37" s="553" t="s">
        <v>585</v>
      </c>
      <c r="AW37" s="552" t="e">
        <f t="shared" si="27"/>
        <v>#VALUE!</v>
      </c>
      <c r="AX37" s="662"/>
      <c r="AZ37" s="368" t="e">
        <f t="shared" si="29"/>
        <v>#N/A</v>
      </c>
      <c r="BA37" s="662"/>
    </row>
    <row r="38" spans="2:53">
      <c r="B38" s="660"/>
      <c r="C38" s="379">
        <v>12</v>
      </c>
      <c r="D38" s="225"/>
      <c r="E38" s="531"/>
      <c r="F38" s="530"/>
      <c r="G38" s="532"/>
      <c r="H38" s="699"/>
      <c r="I38" s="381" t="str">
        <f t="shared" si="12"/>
        <v>-</v>
      </c>
      <c r="J38" s="381" t="str">
        <f t="shared" si="13"/>
        <v>-</v>
      </c>
      <c r="K38" s="199" t="str">
        <f t="shared" si="14"/>
        <v>-</v>
      </c>
      <c r="L38" s="634"/>
      <c r="M38" s="386" t="e">
        <f>RANK(K38, K$24:$K$41)</f>
        <v>#VALUE!</v>
      </c>
      <c r="N38" s="652"/>
      <c r="O38" s="652"/>
      <c r="P38" s="552" t="s">
        <v>585</v>
      </c>
      <c r="Q38" s="553" t="s">
        <v>585</v>
      </c>
      <c r="R38" s="553" t="s">
        <v>585</v>
      </c>
      <c r="S38" s="552" t="e">
        <f t="shared" si="15"/>
        <v>#VALUE!</v>
      </c>
      <c r="T38" s="662"/>
      <c r="U38" s="552" t="s">
        <v>585</v>
      </c>
      <c r="V38" s="553" t="s">
        <v>585</v>
      </c>
      <c r="W38" s="553" t="s">
        <v>585</v>
      </c>
      <c r="X38" s="552" t="e">
        <f t="shared" si="17"/>
        <v>#VALUE!</v>
      </c>
      <c r="Y38" s="662"/>
      <c r="Z38" s="552" t="s">
        <v>585</v>
      </c>
      <c r="AA38" s="553" t="s">
        <v>585</v>
      </c>
      <c r="AB38" s="553" t="s">
        <v>585</v>
      </c>
      <c r="AC38" s="552" t="e">
        <f t="shared" si="19"/>
        <v>#VALUE!</v>
      </c>
      <c r="AD38" s="662"/>
      <c r="AE38" s="552" t="s">
        <v>585</v>
      </c>
      <c r="AF38" s="553" t="s">
        <v>585</v>
      </c>
      <c r="AG38" s="553" t="s">
        <v>585</v>
      </c>
      <c r="AH38" s="552" t="e">
        <f t="shared" si="21"/>
        <v>#VALUE!</v>
      </c>
      <c r="AI38" s="662"/>
      <c r="AJ38" s="552" t="s">
        <v>585</v>
      </c>
      <c r="AK38" s="553" t="s">
        <v>585</v>
      </c>
      <c r="AL38" s="553" t="s">
        <v>585</v>
      </c>
      <c r="AM38" s="552" t="e">
        <f t="shared" si="23"/>
        <v>#VALUE!</v>
      </c>
      <c r="AN38" s="662"/>
      <c r="AO38" s="552" t="s">
        <v>585</v>
      </c>
      <c r="AP38" s="553" t="s">
        <v>585</v>
      </c>
      <c r="AQ38" s="553" t="s">
        <v>585</v>
      </c>
      <c r="AR38" s="552" t="e">
        <f t="shared" si="25"/>
        <v>#VALUE!</v>
      </c>
      <c r="AS38" s="662"/>
      <c r="AT38" s="552" t="s">
        <v>585</v>
      </c>
      <c r="AU38" s="553" t="s">
        <v>585</v>
      </c>
      <c r="AV38" s="553" t="s">
        <v>585</v>
      </c>
      <c r="AW38" s="552" t="e">
        <f t="shared" si="27"/>
        <v>#VALUE!</v>
      </c>
      <c r="AX38" s="662"/>
      <c r="AZ38" s="368" t="e">
        <f t="shared" si="29"/>
        <v>#N/A</v>
      </c>
      <c r="BA38" s="662"/>
    </row>
    <row r="39" spans="2:53">
      <c r="B39" s="660"/>
      <c r="C39" s="379">
        <v>13</v>
      </c>
      <c r="D39" s="225"/>
      <c r="E39" s="531"/>
      <c r="F39" s="530"/>
      <c r="G39" s="532"/>
      <c r="H39" s="699"/>
      <c r="I39" s="381" t="str">
        <f t="shared" si="12"/>
        <v>-</v>
      </c>
      <c r="J39" s="381" t="str">
        <f t="shared" si="13"/>
        <v>-</v>
      </c>
      <c r="K39" s="199" t="str">
        <f t="shared" si="14"/>
        <v>-</v>
      </c>
      <c r="L39" s="634"/>
      <c r="M39" s="386" t="e">
        <f>RANK(K39, K$24:$K$41)</f>
        <v>#VALUE!</v>
      </c>
      <c r="N39" s="652"/>
      <c r="O39" s="652"/>
      <c r="P39" s="552" t="s">
        <v>585</v>
      </c>
      <c r="Q39" s="553" t="s">
        <v>585</v>
      </c>
      <c r="R39" s="553" t="s">
        <v>585</v>
      </c>
      <c r="S39" s="552" t="e">
        <f t="shared" si="15"/>
        <v>#VALUE!</v>
      </c>
      <c r="T39" s="662"/>
      <c r="U39" s="552" t="s">
        <v>585</v>
      </c>
      <c r="V39" s="553" t="s">
        <v>585</v>
      </c>
      <c r="W39" s="553" t="s">
        <v>585</v>
      </c>
      <c r="X39" s="552" t="e">
        <f t="shared" si="17"/>
        <v>#VALUE!</v>
      </c>
      <c r="Y39" s="662"/>
      <c r="Z39" s="552" t="s">
        <v>585</v>
      </c>
      <c r="AA39" s="553" t="s">
        <v>585</v>
      </c>
      <c r="AB39" s="553" t="s">
        <v>585</v>
      </c>
      <c r="AC39" s="552" t="e">
        <f t="shared" si="19"/>
        <v>#VALUE!</v>
      </c>
      <c r="AD39" s="662"/>
      <c r="AE39" s="552" t="s">
        <v>585</v>
      </c>
      <c r="AF39" s="553" t="s">
        <v>585</v>
      </c>
      <c r="AG39" s="553" t="s">
        <v>585</v>
      </c>
      <c r="AH39" s="552" t="e">
        <f t="shared" si="21"/>
        <v>#VALUE!</v>
      </c>
      <c r="AI39" s="662"/>
      <c r="AJ39" s="552" t="s">
        <v>585</v>
      </c>
      <c r="AK39" s="553" t="s">
        <v>585</v>
      </c>
      <c r="AL39" s="553" t="s">
        <v>585</v>
      </c>
      <c r="AM39" s="552" t="e">
        <f t="shared" si="23"/>
        <v>#VALUE!</v>
      </c>
      <c r="AN39" s="662"/>
      <c r="AO39" s="552" t="s">
        <v>585</v>
      </c>
      <c r="AP39" s="553" t="s">
        <v>585</v>
      </c>
      <c r="AQ39" s="553" t="s">
        <v>585</v>
      </c>
      <c r="AR39" s="552" t="e">
        <f t="shared" si="25"/>
        <v>#VALUE!</v>
      </c>
      <c r="AS39" s="662"/>
      <c r="AT39" s="552" t="s">
        <v>585</v>
      </c>
      <c r="AU39" s="553" t="s">
        <v>585</v>
      </c>
      <c r="AV39" s="553" t="s">
        <v>585</v>
      </c>
      <c r="AW39" s="552" t="e">
        <f t="shared" si="27"/>
        <v>#VALUE!</v>
      </c>
      <c r="AX39" s="662"/>
      <c r="AZ39" s="368" t="e">
        <f t="shared" si="29"/>
        <v>#N/A</v>
      </c>
      <c r="BA39" s="662"/>
    </row>
    <row r="40" spans="2:53">
      <c r="B40" s="660"/>
      <c r="C40" s="379">
        <v>14</v>
      </c>
      <c r="D40" s="225"/>
      <c r="E40" s="531"/>
      <c r="F40" s="530"/>
      <c r="G40" s="532"/>
      <c r="H40" s="699"/>
      <c r="I40" s="381" t="str">
        <f t="shared" si="12"/>
        <v>-</v>
      </c>
      <c r="J40" s="381" t="str">
        <f t="shared" si="13"/>
        <v>-</v>
      </c>
      <c r="K40" s="199" t="str">
        <f t="shared" si="14"/>
        <v>-</v>
      </c>
      <c r="L40" s="634"/>
      <c r="M40" s="386" t="e">
        <f>RANK(K40, K$24:$K$41)</f>
        <v>#VALUE!</v>
      </c>
      <c r="N40" s="652"/>
      <c r="O40" s="652"/>
      <c r="P40" s="552" t="s">
        <v>585</v>
      </c>
      <c r="Q40" s="553" t="s">
        <v>585</v>
      </c>
      <c r="R40" s="553" t="s">
        <v>585</v>
      </c>
      <c r="S40" s="552" t="e">
        <f t="shared" si="15"/>
        <v>#VALUE!</v>
      </c>
      <c r="T40" s="662"/>
      <c r="U40" s="552" t="s">
        <v>585</v>
      </c>
      <c r="V40" s="553" t="s">
        <v>585</v>
      </c>
      <c r="W40" s="553" t="s">
        <v>585</v>
      </c>
      <c r="X40" s="552" t="e">
        <f t="shared" si="17"/>
        <v>#VALUE!</v>
      </c>
      <c r="Y40" s="662"/>
      <c r="Z40" s="552" t="s">
        <v>585</v>
      </c>
      <c r="AA40" s="553" t="s">
        <v>585</v>
      </c>
      <c r="AB40" s="553" t="s">
        <v>585</v>
      </c>
      <c r="AC40" s="552" t="e">
        <f t="shared" si="19"/>
        <v>#VALUE!</v>
      </c>
      <c r="AD40" s="662"/>
      <c r="AE40" s="552" t="s">
        <v>585</v>
      </c>
      <c r="AF40" s="553" t="s">
        <v>585</v>
      </c>
      <c r="AG40" s="553" t="s">
        <v>585</v>
      </c>
      <c r="AH40" s="552" t="e">
        <f t="shared" si="21"/>
        <v>#VALUE!</v>
      </c>
      <c r="AI40" s="662"/>
      <c r="AJ40" s="552" t="s">
        <v>585</v>
      </c>
      <c r="AK40" s="553" t="s">
        <v>585</v>
      </c>
      <c r="AL40" s="553" t="s">
        <v>585</v>
      </c>
      <c r="AM40" s="552" t="e">
        <f t="shared" si="23"/>
        <v>#VALUE!</v>
      </c>
      <c r="AN40" s="662"/>
      <c r="AO40" s="552" t="s">
        <v>585</v>
      </c>
      <c r="AP40" s="553" t="s">
        <v>585</v>
      </c>
      <c r="AQ40" s="553" t="s">
        <v>585</v>
      </c>
      <c r="AR40" s="552" t="e">
        <f t="shared" si="25"/>
        <v>#VALUE!</v>
      </c>
      <c r="AS40" s="662"/>
      <c r="AT40" s="552" t="s">
        <v>585</v>
      </c>
      <c r="AU40" s="553" t="s">
        <v>585</v>
      </c>
      <c r="AV40" s="553" t="s">
        <v>585</v>
      </c>
      <c r="AW40" s="552" t="e">
        <f t="shared" si="27"/>
        <v>#VALUE!</v>
      </c>
      <c r="AX40" s="662"/>
      <c r="AZ40" s="368" t="e">
        <f t="shared" si="29"/>
        <v>#N/A</v>
      </c>
      <c r="BA40" s="662"/>
    </row>
    <row r="41" spans="2:53">
      <c r="B41" s="660"/>
      <c r="C41" s="379">
        <v>15</v>
      </c>
      <c r="D41" s="225"/>
      <c r="E41" s="531"/>
      <c r="F41" s="530"/>
      <c r="G41" s="532"/>
      <c r="H41" s="700"/>
      <c r="I41" s="201"/>
      <c r="J41" s="201"/>
      <c r="K41" s="201"/>
      <c r="L41" s="635"/>
      <c r="M41" s="385" t="e">
        <f>RANK(K41, K$24:$K$41)</f>
        <v>#N/A</v>
      </c>
      <c r="N41" s="652"/>
      <c r="O41" s="652"/>
      <c r="P41" s="552" t="s">
        <v>585</v>
      </c>
      <c r="Q41" s="553" t="s">
        <v>585</v>
      </c>
      <c r="R41" s="553" t="s">
        <v>585</v>
      </c>
      <c r="S41" s="552" t="e">
        <f t="shared" si="15"/>
        <v>#VALUE!</v>
      </c>
      <c r="T41" s="663"/>
      <c r="U41" s="552" t="s">
        <v>585</v>
      </c>
      <c r="V41" s="553" t="s">
        <v>585</v>
      </c>
      <c r="W41" s="553" t="s">
        <v>585</v>
      </c>
      <c r="X41" s="552" t="e">
        <f t="shared" si="17"/>
        <v>#VALUE!</v>
      </c>
      <c r="Y41" s="663"/>
      <c r="Z41" s="552" t="s">
        <v>585</v>
      </c>
      <c r="AA41" s="553" t="s">
        <v>585</v>
      </c>
      <c r="AB41" s="553" t="s">
        <v>585</v>
      </c>
      <c r="AC41" s="552" t="e">
        <f t="shared" si="19"/>
        <v>#VALUE!</v>
      </c>
      <c r="AD41" s="663"/>
      <c r="AE41" s="552" t="s">
        <v>585</v>
      </c>
      <c r="AF41" s="553" t="s">
        <v>585</v>
      </c>
      <c r="AG41" s="553" t="s">
        <v>585</v>
      </c>
      <c r="AH41" s="552" t="e">
        <f t="shared" si="21"/>
        <v>#VALUE!</v>
      </c>
      <c r="AI41" s="663"/>
      <c r="AJ41" s="552" t="s">
        <v>585</v>
      </c>
      <c r="AK41" s="553" t="s">
        <v>585</v>
      </c>
      <c r="AL41" s="553" t="s">
        <v>585</v>
      </c>
      <c r="AM41" s="552" t="e">
        <f t="shared" si="23"/>
        <v>#VALUE!</v>
      </c>
      <c r="AN41" s="663"/>
      <c r="AO41" s="552" t="s">
        <v>585</v>
      </c>
      <c r="AP41" s="553" t="s">
        <v>585</v>
      </c>
      <c r="AQ41" s="553" t="s">
        <v>585</v>
      </c>
      <c r="AR41" s="552" t="e">
        <f t="shared" si="25"/>
        <v>#VALUE!</v>
      </c>
      <c r="AS41" s="663"/>
      <c r="AT41" s="552" t="s">
        <v>585</v>
      </c>
      <c r="AU41" s="553" t="s">
        <v>585</v>
      </c>
      <c r="AV41" s="553" t="s">
        <v>585</v>
      </c>
      <c r="AW41" s="552" t="e">
        <f t="shared" si="27"/>
        <v>#VALUE!</v>
      </c>
      <c r="AX41" s="663"/>
      <c r="AZ41" s="368" t="e">
        <f t="shared" si="29"/>
        <v>#N/A</v>
      </c>
      <c r="BA41" s="663"/>
    </row>
    <row r="42" spans="2:53" ht="15.75">
      <c r="B42" s="677" t="s">
        <v>162</v>
      </c>
      <c r="C42" s="678"/>
      <c r="D42" s="678"/>
      <c r="E42" s="678"/>
      <c r="F42" s="678"/>
      <c r="G42" s="678"/>
      <c r="H42" s="678"/>
      <c r="I42" s="207"/>
      <c r="J42" s="202"/>
      <c r="K42" s="207"/>
      <c r="L42" s="207"/>
      <c r="M42" s="203"/>
      <c r="N42" s="653" t="s">
        <v>156</v>
      </c>
      <c r="O42" s="653" t="s">
        <v>105</v>
      </c>
      <c r="P42" s="659">
        <f>P22+7</f>
        <v>46245</v>
      </c>
      <c r="Q42" s="660"/>
      <c r="R42" s="660"/>
      <c r="S42" s="660"/>
      <c r="T42" s="660"/>
      <c r="U42" s="656">
        <f>P42+1</f>
        <v>46246</v>
      </c>
      <c r="V42" s="657"/>
      <c r="W42" s="657"/>
      <c r="X42" s="657"/>
      <c r="Y42" s="658"/>
      <c r="Z42" s="656">
        <f>U42+1</f>
        <v>46247</v>
      </c>
      <c r="AA42" s="657"/>
      <c r="AB42" s="657"/>
      <c r="AC42" s="657"/>
      <c r="AD42" s="658"/>
      <c r="AE42" s="656">
        <f>Z42+1</f>
        <v>46248</v>
      </c>
      <c r="AF42" s="657"/>
      <c r="AG42" s="657"/>
      <c r="AH42" s="657"/>
      <c r="AI42" s="658"/>
      <c r="AJ42" s="656">
        <f>AE42+1</f>
        <v>46249</v>
      </c>
      <c r="AK42" s="657"/>
      <c r="AL42" s="657"/>
      <c r="AM42" s="657"/>
      <c r="AN42" s="658"/>
      <c r="AO42" s="656">
        <f>AJ42+1</f>
        <v>46250</v>
      </c>
      <c r="AP42" s="657"/>
      <c r="AQ42" s="657"/>
      <c r="AR42" s="657"/>
      <c r="AS42" s="658"/>
      <c r="AT42" s="656">
        <f>AO42+1</f>
        <v>46251</v>
      </c>
      <c r="AU42" s="657"/>
      <c r="AV42" s="657"/>
      <c r="AW42" s="657"/>
      <c r="AX42" s="658"/>
    </row>
    <row r="43" spans="2:53" ht="15.75">
      <c r="B43" s="667"/>
      <c r="C43" s="667"/>
      <c r="D43" s="667"/>
      <c r="E43" s="667"/>
      <c r="F43" s="667"/>
      <c r="G43" s="667"/>
      <c r="H43" s="667"/>
      <c r="I43" s="204"/>
      <c r="J43" s="204"/>
      <c r="K43" s="204"/>
      <c r="L43" s="204"/>
      <c r="M43" s="205"/>
      <c r="N43" s="655"/>
      <c r="O43" s="655"/>
      <c r="P43" s="659" t="s">
        <v>317</v>
      </c>
      <c r="Q43" s="660"/>
      <c r="R43" s="660"/>
      <c r="S43" s="660"/>
      <c r="T43" s="660"/>
      <c r="U43" s="659" t="s">
        <v>318</v>
      </c>
      <c r="V43" s="660"/>
      <c r="W43" s="660"/>
      <c r="X43" s="660"/>
      <c r="Y43" s="660"/>
      <c r="Z43" s="659" t="s">
        <v>319</v>
      </c>
      <c r="AA43" s="660"/>
      <c r="AB43" s="660"/>
      <c r="AC43" s="660"/>
      <c r="AD43" s="660"/>
      <c r="AE43" s="659" t="s">
        <v>320</v>
      </c>
      <c r="AF43" s="660"/>
      <c r="AG43" s="660"/>
      <c r="AH43" s="660"/>
      <c r="AI43" s="660"/>
      <c r="AJ43" s="659" t="s">
        <v>321</v>
      </c>
      <c r="AK43" s="660"/>
      <c r="AL43" s="660"/>
      <c r="AM43" s="660"/>
      <c r="AN43" s="660"/>
      <c r="AO43" s="659" t="s">
        <v>322</v>
      </c>
      <c r="AP43" s="660"/>
      <c r="AQ43" s="660"/>
      <c r="AR43" s="660"/>
      <c r="AS43" s="660"/>
      <c r="AT43" s="659" t="s">
        <v>323</v>
      </c>
      <c r="AU43" s="660"/>
      <c r="AV43" s="660"/>
      <c r="AW43" s="660"/>
      <c r="AX43" s="660"/>
    </row>
    <row r="44" spans="2:53">
      <c r="B44" s="652" t="s">
        <v>453</v>
      </c>
      <c r="C44" s="652" t="s">
        <v>379</v>
      </c>
      <c r="D44" s="652"/>
      <c r="E44" s="652" t="s">
        <v>370</v>
      </c>
      <c r="F44" s="652"/>
      <c r="G44" s="652"/>
      <c r="H44" s="668" t="s">
        <v>366</v>
      </c>
      <c r="I44" s="636" t="s">
        <v>371</v>
      </c>
      <c r="J44" s="636"/>
      <c r="K44" s="636"/>
      <c r="L44" s="637" t="s">
        <v>366</v>
      </c>
      <c r="M44" s="643" t="s">
        <v>367</v>
      </c>
      <c r="N44" s="652"/>
      <c r="O44" s="652" t="s">
        <v>372</v>
      </c>
      <c r="P44" s="649" t="s">
        <v>368</v>
      </c>
      <c r="Q44" s="650"/>
      <c r="R44" s="650"/>
      <c r="S44" s="651"/>
      <c r="T44" s="652" t="s">
        <v>366</v>
      </c>
      <c r="U44" s="649" t="s">
        <v>368</v>
      </c>
      <c r="V44" s="650"/>
      <c r="W44" s="650"/>
      <c r="X44" s="651"/>
      <c r="Y44" s="652" t="s">
        <v>366</v>
      </c>
      <c r="Z44" s="649" t="s">
        <v>368</v>
      </c>
      <c r="AA44" s="650"/>
      <c r="AB44" s="650"/>
      <c r="AC44" s="651"/>
      <c r="AD44" s="652" t="s">
        <v>366</v>
      </c>
      <c r="AE44" s="649" t="s">
        <v>368</v>
      </c>
      <c r="AF44" s="650"/>
      <c r="AG44" s="650"/>
      <c r="AH44" s="651"/>
      <c r="AI44" s="652" t="s">
        <v>366</v>
      </c>
      <c r="AJ44" s="649" t="s">
        <v>368</v>
      </c>
      <c r="AK44" s="650"/>
      <c r="AL44" s="650"/>
      <c r="AM44" s="651"/>
      <c r="AN44" s="652" t="s">
        <v>366</v>
      </c>
      <c r="AO44" s="649" t="s">
        <v>368</v>
      </c>
      <c r="AP44" s="650"/>
      <c r="AQ44" s="650"/>
      <c r="AR44" s="651"/>
      <c r="AS44" s="652" t="s">
        <v>366</v>
      </c>
      <c r="AT44" s="649" t="s">
        <v>368</v>
      </c>
      <c r="AU44" s="650"/>
      <c r="AV44" s="650"/>
      <c r="AW44" s="651"/>
      <c r="AX44" s="652" t="s">
        <v>366</v>
      </c>
      <c r="BA44" s="652" t="s">
        <v>366</v>
      </c>
    </row>
    <row r="45" spans="2:53">
      <c r="B45" s="652"/>
      <c r="C45" s="652"/>
      <c r="D45" s="652"/>
      <c r="E45" s="652" t="s">
        <v>373</v>
      </c>
      <c r="F45" s="652"/>
      <c r="G45" s="652"/>
      <c r="H45" s="669"/>
      <c r="I45" s="636" t="s">
        <v>373</v>
      </c>
      <c r="J45" s="636"/>
      <c r="K45" s="636"/>
      <c r="L45" s="638"/>
      <c r="M45" s="644"/>
      <c r="N45" s="652"/>
      <c r="O45" s="652"/>
      <c r="P45" s="649" t="s">
        <v>374</v>
      </c>
      <c r="Q45" s="650"/>
      <c r="R45" s="650"/>
      <c r="S45" s="651"/>
      <c r="T45" s="652"/>
      <c r="U45" s="649" t="s">
        <v>374</v>
      </c>
      <c r="V45" s="650"/>
      <c r="W45" s="650"/>
      <c r="X45" s="651"/>
      <c r="Y45" s="652"/>
      <c r="Z45" s="649" t="s">
        <v>374</v>
      </c>
      <c r="AA45" s="650"/>
      <c r="AB45" s="650"/>
      <c r="AC45" s="651"/>
      <c r="AD45" s="652"/>
      <c r="AE45" s="649" t="s">
        <v>374</v>
      </c>
      <c r="AF45" s="650"/>
      <c r="AG45" s="650"/>
      <c r="AH45" s="651"/>
      <c r="AI45" s="652"/>
      <c r="AJ45" s="649" t="s">
        <v>374</v>
      </c>
      <c r="AK45" s="650"/>
      <c r="AL45" s="650"/>
      <c r="AM45" s="651"/>
      <c r="AN45" s="652"/>
      <c r="AO45" s="649" t="s">
        <v>374</v>
      </c>
      <c r="AP45" s="650"/>
      <c r="AQ45" s="650"/>
      <c r="AR45" s="651"/>
      <c r="AS45" s="652"/>
      <c r="AT45" s="649" t="s">
        <v>374</v>
      </c>
      <c r="AU45" s="650"/>
      <c r="AV45" s="650"/>
      <c r="AW45" s="651"/>
      <c r="AX45" s="652"/>
      <c r="BA45" s="652"/>
    </row>
    <row r="46" spans="2:53">
      <c r="B46" s="652"/>
      <c r="C46" s="652"/>
      <c r="D46" s="652"/>
      <c r="E46" s="378" t="s">
        <v>375</v>
      </c>
      <c r="F46" s="378" t="s">
        <v>376</v>
      </c>
      <c r="G46" s="378" t="s">
        <v>377</v>
      </c>
      <c r="H46" s="670"/>
      <c r="I46" s="377" t="s">
        <v>375</v>
      </c>
      <c r="J46" s="377" t="s">
        <v>376</v>
      </c>
      <c r="K46" s="377" t="s">
        <v>377</v>
      </c>
      <c r="L46" s="639"/>
      <c r="M46" s="645"/>
      <c r="N46" s="652"/>
      <c r="O46" s="652"/>
      <c r="P46" s="378" t="s">
        <v>375</v>
      </c>
      <c r="Q46" s="378" t="s">
        <v>376</v>
      </c>
      <c r="R46" s="378" t="s">
        <v>377</v>
      </c>
      <c r="S46" s="378" t="s">
        <v>367</v>
      </c>
      <c r="T46" s="652"/>
      <c r="U46" s="378" t="s">
        <v>375</v>
      </c>
      <c r="V46" s="378" t="s">
        <v>376</v>
      </c>
      <c r="W46" s="378" t="s">
        <v>377</v>
      </c>
      <c r="X46" s="378" t="s">
        <v>367</v>
      </c>
      <c r="Y46" s="652"/>
      <c r="Z46" s="378" t="s">
        <v>375</v>
      </c>
      <c r="AA46" s="378" t="s">
        <v>376</v>
      </c>
      <c r="AB46" s="378" t="s">
        <v>377</v>
      </c>
      <c r="AC46" s="378" t="s">
        <v>367</v>
      </c>
      <c r="AD46" s="652"/>
      <c r="AE46" s="378" t="s">
        <v>375</v>
      </c>
      <c r="AF46" s="378" t="s">
        <v>376</v>
      </c>
      <c r="AG46" s="378" t="s">
        <v>377</v>
      </c>
      <c r="AH46" s="378" t="s">
        <v>367</v>
      </c>
      <c r="AI46" s="652"/>
      <c r="AJ46" s="378" t="s">
        <v>375</v>
      </c>
      <c r="AK46" s="378" t="s">
        <v>376</v>
      </c>
      <c r="AL46" s="378" t="s">
        <v>377</v>
      </c>
      <c r="AM46" s="378" t="s">
        <v>367</v>
      </c>
      <c r="AN46" s="652"/>
      <c r="AO46" s="378" t="s">
        <v>375</v>
      </c>
      <c r="AP46" s="378" t="s">
        <v>376</v>
      </c>
      <c r="AQ46" s="378" t="s">
        <v>377</v>
      </c>
      <c r="AR46" s="378" t="s">
        <v>367</v>
      </c>
      <c r="AS46" s="652"/>
      <c r="AT46" s="378" t="s">
        <v>375</v>
      </c>
      <c r="AU46" s="378" t="s">
        <v>376</v>
      </c>
      <c r="AV46" s="378" t="s">
        <v>377</v>
      </c>
      <c r="AW46" s="378" t="s">
        <v>367</v>
      </c>
      <c r="AX46" s="652"/>
      <c r="AZ46" s="367" t="s">
        <v>367</v>
      </c>
      <c r="BA46" s="652"/>
    </row>
    <row r="47" spans="2:53">
      <c r="B47" s="652" t="s">
        <v>466</v>
      </c>
      <c r="C47" s="379">
        <v>1</v>
      </c>
      <c r="D47" s="225" t="s">
        <v>692</v>
      </c>
      <c r="E47" s="531">
        <v>15</v>
      </c>
      <c r="F47" s="530">
        <v>2000</v>
      </c>
      <c r="G47" s="532">
        <v>100</v>
      </c>
      <c r="H47" s="698">
        <f>AVERAGE(G47:G61)</f>
        <v>100</v>
      </c>
      <c r="I47" s="381">
        <f t="shared" ref="I47:I60" si="31">IFERROR(AVERAGE(P47,U47,Z47,AE47,AJ47,AO47,AT47),"-")</f>
        <v>13</v>
      </c>
      <c r="J47" s="381">
        <f t="shared" ref="J47:J60" si="32">IFERROR(AVERAGE(Q47,V47,AA47,AF47,AK47,AP47,AU47),"-")</f>
        <v>1888.599999999999</v>
      </c>
      <c r="K47" s="199">
        <f t="shared" ref="K47:K60" si="33">IFERROR(AVERAGE(R47,W47,AB47,AG47,AL47,AQ47,AV47),"-")</f>
        <v>145.276923076923</v>
      </c>
      <c r="L47" s="633">
        <f>IFERROR(AVERAGE(K47:K61),"-")</f>
        <v>147.65659340659343</v>
      </c>
      <c r="M47" s="383">
        <f>RANK(K47, K$47:$K$61)</f>
        <v>2</v>
      </c>
      <c r="N47" s="652"/>
      <c r="O47" s="652"/>
      <c r="P47" s="555">
        <v>13</v>
      </c>
      <c r="Q47" s="559">
        <v>1848.0000000000005</v>
      </c>
      <c r="R47" s="559">
        <v>142.15384615384619</v>
      </c>
      <c r="S47" s="555">
        <f t="shared" ref="S47:S61" si="34">RANK(R47, R$47:R$61)</f>
        <v>2</v>
      </c>
      <c r="T47" s="661">
        <f t="shared" ref="T47" si="35">AVERAGE(R47:R61)</f>
        <v>150.27692307692325</v>
      </c>
      <c r="U47" s="555">
        <v>13</v>
      </c>
      <c r="V47" s="559">
        <v>2219.9999999999991</v>
      </c>
      <c r="W47" s="559">
        <v>170.76923076923069</v>
      </c>
      <c r="X47" s="555">
        <f t="shared" ref="X47:X61" si="36">RANK(W47, W$47:W$61)</f>
        <v>1</v>
      </c>
      <c r="Y47" s="661">
        <f t="shared" ref="Y47" si="37">AVERAGE(W47:W61)</f>
        <v>158.07692307692318</v>
      </c>
      <c r="Z47" s="555">
        <v>13</v>
      </c>
      <c r="AA47" s="559">
        <v>1934.4000000000005</v>
      </c>
      <c r="AB47" s="559">
        <v>148.80000000000004</v>
      </c>
      <c r="AC47" s="555">
        <f t="shared" ref="AC47:AC61" si="38">RANK(AB47, AB$47:AB$61)</f>
        <v>1</v>
      </c>
      <c r="AD47" s="661">
        <f t="shared" ref="AD47" si="39">AVERAGE(AB47:AB61)</f>
        <v>148.15384615384619</v>
      </c>
      <c r="AE47" s="555">
        <v>13</v>
      </c>
      <c r="AF47" s="559">
        <v>2111.9999999999964</v>
      </c>
      <c r="AG47" s="559">
        <v>162.46153846153817</v>
      </c>
      <c r="AH47" s="555">
        <f t="shared" ref="AH47:AH61" si="40">RANK(AG47, AG$47:AG$61)</f>
        <v>1</v>
      </c>
      <c r="AI47" s="661">
        <f t="shared" ref="AI47" si="41">AVERAGE(AG47:AG61)</f>
        <v>153.51923076923072</v>
      </c>
      <c r="AJ47" s="555">
        <v>13</v>
      </c>
      <c r="AK47" s="559">
        <v>1108.8000000000002</v>
      </c>
      <c r="AL47" s="559">
        <v>85.292307692307702</v>
      </c>
      <c r="AM47" s="555">
        <f t="shared" ref="AM47:AM61" si="42">RANK(AL47, AL$47:AL$61)</f>
        <v>2</v>
      </c>
      <c r="AN47" s="661">
        <f t="shared" ref="AN47" si="43">AVERAGE(AL47:AL61)</f>
        <v>121.68461538461536</v>
      </c>
      <c r="AO47" s="555">
        <v>13</v>
      </c>
      <c r="AP47" s="559">
        <v>2102.9999999999995</v>
      </c>
      <c r="AQ47" s="559">
        <v>161.76923076923075</v>
      </c>
      <c r="AR47" s="555">
        <f t="shared" ref="AR47:AR61" si="44">RANK(AQ47, AQ$47:AQ$61)</f>
        <v>1</v>
      </c>
      <c r="AS47" s="661">
        <f t="shared" ref="AS47" si="45">AVERAGE(AQ47:AQ61)</f>
        <v>148.99999999999994</v>
      </c>
      <c r="AT47" s="555">
        <v>13</v>
      </c>
      <c r="AU47" s="559">
        <v>1893.9999999999966</v>
      </c>
      <c r="AV47" s="559">
        <v>145.69230769230742</v>
      </c>
      <c r="AW47" s="555">
        <f t="shared" ref="AW47:AW61" si="46">RANK(AV47, AV$47:AV$61)</f>
        <v>2</v>
      </c>
      <c r="AX47" s="661">
        <f t="shared" ref="AX47" si="47">AVERAGE(AV47:AV61)</f>
        <v>152.8846153846153</v>
      </c>
      <c r="AZ47" s="368" t="e">
        <f t="shared" ref="AZ47:AZ61" si="48">RANK(AY47, AY$47:AY$61)</f>
        <v>#N/A</v>
      </c>
      <c r="BA47" s="661" t="e">
        <f t="shared" ref="BA47" si="49">AVERAGE(AY47:AY61)</f>
        <v>#DIV/0!</v>
      </c>
    </row>
    <row r="48" spans="2:53">
      <c r="B48" s="660"/>
      <c r="C48" s="379">
        <v>2</v>
      </c>
      <c r="D48" s="225" t="s">
        <v>702</v>
      </c>
      <c r="E48" s="531">
        <v>13</v>
      </c>
      <c r="F48" s="530">
        <v>2000</v>
      </c>
      <c r="G48" s="532">
        <v>100</v>
      </c>
      <c r="H48" s="699"/>
      <c r="I48" s="381">
        <f t="shared" si="31"/>
        <v>13</v>
      </c>
      <c r="J48" s="381">
        <f t="shared" si="32"/>
        <v>1950.4714285714304</v>
      </c>
      <c r="K48" s="199">
        <f t="shared" si="33"/>
        <v>150.03626373626386</v>
      </c>
      <c r="L48" s="634"/>
      <c r="M48" s="417">
        <f>RANK(K48, K$47:$K$61)</f>
        <v>1</v>
      </c>
      <c r="N48" s="652"/>
      <c r="O48" s="652"/>
      <c r="P48" s="555">
        <v>13</v>
      </c>
      <c r="Q48" s="559">
        <v>2059.2000000000044</v>
      </c>
      <c r="R48" s="559">
        <v>158.40000000000035</v>
      </c>
      <c r="S48" s="555">
        <f t="shared" si="34"/>
        <v>1</v>
      </c>
      <c r="T48" s="662"/>
      <c r="U48" s="555">
        <v>13</v>
      </c>
      <c r="V48" s="559">
        <v>1890.0000000000039</v>
      </c>
      <c r="W48" s="559">
        <v>145.38461538461567</v>
      </c>
      <c r="X48" s="555">
        <f t="shared" si="36"/>
        <v>2</v>
      </c>
      <c r="Y48" s="662"/>
      <c r="Z48" s="555">
        <v>13</v>
      </c>
      <c r="AA48" s="559">
        <v>1917.6000000000004</v>
      </c>
      <c r="AB48" s="559">
        <v>147.50769230769234</v>
      </c>
      <c r="AC48" s="555">
        <f t="shared" si="38"/>
        <v>2</v>
      </c>
      <c r="AD48" s="662"/>
      <c r="AE48" s="555">
        <v>13</v>
      </c>
      <c r="AF48" s="559">
        <v>1879.500000000003</v>
      </c>
      <c r="AG48" s="559">
        <v>144.57692307692329</v>
      </c>
      <c r="AH48" s="555">
        <f t="shared" si="40"/>
        <v>2</v>
      </c>
      <c r="AI48" s="662"/>
      <c r="AJ48" s="555">
        <v>13</v>
      </c>
      <c r="AK48" s="559">
        <v>2054.9999999999991</v>
      </c>
      <c r="AL48" s="559">
        <v>158.07692307692301</v>
      </c>
      <c r="AM48" s="555">
        <f t="shared" si="42"/>
        <v>1</v>
      </c>
      <c r="AN48" s="662"/>
      <c r="AO48" s="555">
        <v>13</v>
      </c>
      <c r="AP48" s="559">
        <v>1770.9999999999991</v>
      </c>
      <c r="AQ48" s="559">
        <v>136.23076923076917</v>
      </c>
      <c r="AR48" s="555">
        <f t="shared" si="44"/>
        <v>2</v>
      </c>
      <c r="AS48" s="662"/>
      <c r="AT48" s="555">
        <v>13</v>
      </c>
      <c r="AU48" s="559">
        <v>2081.0000000000018</v>
      </c>
      <c r="AV48" s="559">
        <v>160.07692307692321</v>
      </c>
      <c r="AW48" s="555">
        <f t="shared" si="46"/>
        <v>1</v>
      </c>
      <c r="AX48" s="662"/>
      <c r="AZ48" s="368" t="e">
        <f t="shared" si="48"/>
        <v>#N/A</v>
      </c>
      <c r="BA48" s="662"/>
    </row>
    <row r="49" spans="2:53">
      <c r="B49" s="660"/>
      <c r="C49" s="379">
        <v>3</v>
      </c>
      <c r="D49" s="225"/>
      <c r="E49" s="531"/>
      <c r="F49" s="530"/>
      <c r="G49" s="532"/>
      <c r="H49" s="699"/>
      <c r="I49" s="381" t="str">
        <f t="shared" si="31"/>
        <v>-</v>
      </c>
      <c r="J49" s="381" t="str">
        <f t="shared" si="32"/>
        <v>-</v>
      </c>
      <c r="K49" s="199" t="str">
        <f t="shared" si="33"/>
        <v>-</v>
      </c>
      <c r="L49" s="634"/>
      <c r="M49" s="417" t="e">
        <f>RANK(K49, K$47:$K$61)</f>
        <v>#VALUE!</v>
      </c>
      <c r="N49" s="652"/>
      <c r="O49" s="652"/>
      <c r="P49" s="555" t="s">
        <v>585</v>
      </c>
      <c r="Q49" s="559" t="s">
        <v>585</v>
      </c>
      <c r="R49" s="559" t="s">
        <v>585</v>
      </c>
      <c r="S49" s="555" t="e">
        <f t="shared" si="34"/>
        <v>#VALUE!</v>
      </c>
      <c r="T49" s="662"/>
      <c r="U49" s="555" t="s">
        <v>585</v>
      </c>
      <c r="V49" s="559" t="s">
        <v>585</v>
      </c>
      <c r="W49" s="559" t="s">
        <v>585</v>
      </c>
      <c r="X49" s="555" t="e">
        <f t="shared" si="36"/>
        <v>#VALUE!</v>
      </c>
      <c r="Y49" s="662"/>
      <c r="Z49" s="555" t="s">
        <v>585</v>
      </c>
      <c r="AA49" s="559" t="s">
        <v>585</v>
      </c>
      <c r="AB49" s="559" t="s">
        <v>585</v>
      </c>
      <c r="AC49" s="555" t="e">
        <f t="shared" si="38"/>
        <v>#VALUE!</v>
      </c>
      <c r="AD49" s="662"/>
      <c r="AE49" s="555" t="s">
        <v>585</v>
      </c>
      <c r="AF49" s="559" t="s">
        <v>585</v>
      </c>
      <c r="AG49" s="559" t="s">
        <v>585</v>
      </c>
      <c r="AH49" s="555" t="e">
        <f t="shared" si="40"/>
        <v>#VALUE!</v>
      </c>
      <c r="AI49" s="662"/>
      <c r="AJ49" s="555" t="s">
        <v>585</v>
      </c>
      <c r="AK49" s="559" t="s">
        <v>585</v>
      </c>
      <c r="AL49" s="559" t="s">
        <v>585</v>
      </c>
      <c r="AM49" s="555" t="e">
        <f t="shared" si="42"/>
        <v>#VALUE!</v>
      </c>
      <c r="AN49" s="662"/>
      <c r="AO49" s="555" t="s">
        <v>585</v>
      </c>
      <c r="AP49" s="559" t="s">
        <v>585</v>
      </c>
      <c r="AQ49" s="559" t="s">
        <v>585</v>
      </c>
      <c r="AR49" s="555" t="e">
        <f t="shared" si="44"/>
        <v>#VALUE!</v>
      </c>
      <c r="AS49" s="662"/>
      <c r="AT49" s="555" t="s">
        <v>585</v>
      </c>
      <c r="AU49" s="559" t="s">
        <v>585</v>
      </c>
      <c r="AV49" s="559" t="s">
        <v>585</v>
      </c>
      <c r="AW49" s="555" t="e">
        <f t="shared" si="46"/>
        <v>#VALUE!</v>
      </c>
      <c r="AX49" s="662"/>
      <c r="AZ49" s="368" t="e">
        <f t="shared" si="48"/>
        <v>#N/A</v>
      </c>
      <c r="BA49" s="662"/>
    </row>
    <row r="50" spans="2:53">
      <c r="B50" s="660"/>
      <c r="C50" s="379">
        <v>4</v>
      </c>
      <c r="D50" s="225"/>
      <c r="E50" s="531"/>
      <c r="F50" s="530"/>
      <c r="G50" s="532"/>
      <c r="H50" s="699"/>
      <c r="I50" s="381" t="str">
        <f t="shared" si="31"/>
        <v>-</v>
      </c>
      <c r="J50" s="381" t="str">
        <f t="shared" si="32"/>
        <v>-</v>
      </c>
      <c r="K50" s="199" t="str">
        <f t="shared" si="33"/>
        <v>-</v>
      </c>
      <c r="L50" s="634"/>
      <c r="M50" s="417" t="e">
        <f>RANK(K50, K$47:$K$61)</f>
        <v>#VALUE!</v>
      </c>
      <c r="N50" s="652"/>
      <c r="O50" s="652"/>
      <c r="P50" s="555" t="s">
        <v>585</v>
      </c>
      <c r="Q50" s="559" t="s">
        <v>585</v>
      </c>
      <c r="R50" s="559" t="s">
        <v>585</v>
      </c>
      <c r="S50" s="555" t="e">
        <f t="shared" si="34"/>
        <v>#VALUE!</v>
      </c>
      <c r="T50" s="662"/>
      <c r="U50" s="555" t="s">
        <v>585</v>
      </c>
      <c r="V50" s="559" t="s">
        <v>585</v>
      </c>
      <c r="W50" s="559" t="s">
        <v>585</v>
      </c>
      <c r="X50" s="555" t="e">
        <f t="shared" si="36"/>
        <v>#VALUE!</v>
      </c>
      <c r="Y50" s="662"/>
      <c r="Z50" s="555" t="s">
        <v>585</v>
      </c>
      <c r="AA50" s="559" t="s">
        <v>585</v>
      </c>
      <c r="AB50" s="559" t="s">
        <v>585</v>
      </c>
      <c r="AC50" s="555" t="e">
        <f t="shared" si="38"/>
        <v>#VALUE!</v>
      </c>
      <c r="AD50" s="662"/>
      <c r="AE50" s="555" t="s">
        <v>585</v>
      </c>
      <c r="AF50" s="559" t="s">
        <v>585</v>
      </c>
      <c r="AG50" s="559" t="s">
        <v>585</v>
      </c>
      <c r="AH50" s="555" t="e">
        <f t="shared" si="40"/>
        <v>#VALUE!</v>
      </c>
      <c r="AI50" s="662"/>
      <c r="AJ50" s="555" t="s">
        <v>585</v>
      </c>
      <c r="AK50" s="559" t="s">
        <v>585</v>
      </c>
      <c r="AL50" s="559" t="s">
        <v>585</v>
      </c>
      <c r="AM50" s="555" t="e">
        <f t="shared" si="42"/>
        <v>#VALUE!</v>
      </c>
      <c r="AN50" s="662"/>
      <c r="AO50" s="555" t="s">
        <v>585</v>
      </c>
      <c r="AP50" s="559" t="s">
        <v>585</v>
      </c>
      <c r="AQ50" s="559" t="s">
        <v>585</v>
      </c>
      <c r="AR50" s="555" t="e">
        <f t="shared" si="44"/>
        <v>#VALUE!</v>
      </c>
      <c r="AS50" s="662"/>
      <c r="AT50" s="555" t="s">
        <v>585</v>
      </c>
      <c r="AU50" s="559" t="s">
        <v>585</v>
      </c>
      <c r="AV50" s="559" t="s">
        <v>585</v>
      </c>
      <c r="AW50" s="555" t="e">
        <f t="shared" si="46"/>
        <v>#VALUE!</v>
      </c>
      <c r="AX50" s="662"/>
      <c r="AZ50" s="368" t="e">
        <f t="shared" si="48"/>
        <v>#N/A</v>
      </c>
      <c r="BA50" s="662"/>
    </row>
    <row r="51" spans="2:53">
      <c r="B51" s="660"/>
      <c r="C51" s="379">
        <v>5</v>
      </c>
      <c r="D51" s="225"/>
      <c r="E51" s="531"/>
      <c r="F51" s="530"/>
      <c r="G51" s="532"/>
      <c r="H51" s="699"/>
      <c r="I51" s="381" t="str">
        <f t="shared" si="31"/>
        <v>-</v>
      </c>
      <c r="J51" s="381" t="str">
        <f t="shared" si="32"/>
        <v>-</v>
      </c>
      <c r="K51" s="199" t="str">
        <f t="shared" si="33"/>
        <v>-</v>
      </c>
      <c r="L51" s="634"/>
      <c r="M51" s="417" t="e">
        <f>RANK(K51, K$47:$K$61)</f>
        <v>#VALUE!</v>
      </c>
      <c r="N51" s="652"/>
      <c r="O51" s="652"/>
      <c r="P51" s="555" t="s">
        <v>585</v>
      </c>
      <c r="Q51" s="559" t="s">
        <v>585</v>
      </c>
      <c r="R51" s="559" t="s">
        <v>585</v>
      </c>
      <c r="S51" s="555" t="e">
        <f t="shared" si="34"/>
        <v>#VALUE!</v>
      </c>
      <c r="T51" s="662"/>
      <c r="U51" s="555" t="s">
        <v>585</v>
      </c>
      <c r="V51" s="559" t="s">
        <v>585</v>
      </c>
      <c r="W51" s="559" t="s">
        <v>585</v>
      </c>
      <c r="X51" s="555" t="e">
        <f t="shared" si="36"/>
        <v>#VALUE!</v>
      </c>
      <c r="Y51" s="662"/>
      <c r="Z51" s="555" t="s">
        <v>585</v>
      </c>
      <c r="AA51" s="559" t="s">
        <v>585</v>
      </c>
      <c r="AB51" s="559" t="s">
        <v>585</v>
      </c>
      <c r="AC51" s="555" t="e">
        <f t="shared" si="38"/>
        <v>#VALUE!</v>
      </c>
      <c r="AD51" s="662"/>
      <c r="AE51" s="555" t="s">
        <v>585</v>
      </c>
      <c r="AF51" s="559" t="s">
        <v>585</v>
      </c>
      <c r="AG51" s="559" t="s">
        <v>585</v>
      </c>
      <c r="AH51" s="555" t="e">
        <f t="shared" si="40"/>
        <v>#VALUE!</v>
      </c>
      <c r="AI51" s="662"/>
      <c r="AJ51" s="555" t="s">
        <v>585</v>
      </c>
      <c r="AK51" s="559" t="s">
        <v>585</v>
      </c>
      <c r="AL51" s="559" t="s">
        <v>585</v>
      </c>
      <c r="AM51" s="555" t="e">
        <f t="shared" si="42"/>
        <v>#VALUE!</v>
      </c>
      <c r="AN51" s="662"/>
      <c r="AO51" s="555" t="s">
        <v>585</v>
      </c>
      <c r="AP51" s="559" t="s">
        <v>585</v>
      </c>
      <c r="AQ51" s="559" t="s">
        <v>585</v>
      </c>
      <c r="AR51" s="555" t="e">
        <f t="shared" si="44"/>
        <v>#VALUE!</v>
      </c>
      <c r="AS51" s="662"/>
      <c r="AT51" s="555" t="s">
        <v>585</v>
      </c>
      <c r="AU51" s="559" t="s">
        <v>585</v>
      </c>
      <c r="AV51" s="559" t="s">
        <v>585</v>
      </c>
      <c r="AW51" s="555" t="e">
        <f t="shared" si="46"/>
        <v>#VALUE!</v>
      </c>
      <c r="AX51" s="662"/>
      <c r="AZ51" s="368" t="e">
        <f t="shared" si="48"/>
        <v>#N/A</v>
      </c>
      <c r="BA51" s="662"/>
    </row>
    <row r="52" spans="2:53">
      <c r="B52" s="660"/>
      <c r="C52" s="379">
        <v>6</v>
      </c>
      <c r="D52" s="225"/>
      <c r="E52" s="531"/>
      <c r="F52" s="530"/>
      <c r="G52" s="532"/>
      <c r="H52" s="699"/>
      <c r="I52" s="381" t="str">
        <f t="shared" si="31"/>
        <v>-</v>
      </c>
      <c r="J52" s="381" t="str">
        <f t="shared" si="32"/>
        <v>-</v>
      </c>
      <c r="K52" s="199" t="str">
        <f t="shared" si="33"/>
        <v>-</v>
      </c>
      <c r="L52" s="634"/>
      <c r="M52" s="417" t="e">
        <f>RANK(K52, K$47:$K$61)</f>
        <v>#VALUE!</v>
      </c>
      <c r="N52" s="652"/>
      <c r="O52" s="652"/>
      <c r="P52" s="555" t="s">
        <v>585</v>
      </c>
      <c r="Q52" s="559" t="s">
        <v>585</v>
      </c>
      <c r="R52" s="559" t="s">
        <v>585</v>
      </c>
      <c r="S52" s="555" t="e">
        <f t="shared" si="34"/>
        <v>#VALUE!</v>
      </c>
      <c r="T52" s="662"/>
      <c r="U52" s="555" t="s">
        <v>585</v>
      </c>
      <c r="V52" s="559" t="s">
        <v>585</v>
      </c>
      <c r="W52" s="559" t="s">
        <v>585</v>
      </c>
      <c r="X52" s="555" t="e">
        <f t="shared" si="36"/>
        <v>#VALUE!</v>
      </c>
      <c r="Y52" s="662"/>
      <c r="Z52" s="555" t="s">
        <v>585</v>
      </c>
      <c r="AA52" s="559" t="s">
        <v>585</v>
      </c>
      <c r="AB52" s="559" t="s">
        <v>585</v>
      </c>
      <c r="AC52" s="555" t="e">
        <f t="shared" si="38"/>
        <v>#VALUE!</v>
      </c>
      <c r="AD52" s="662"/>
      <c r="AE52" s="555" t="s">
        <v>585</v>
      </c>
      <c r="AF52" s="559" t="s">
        <v>585</v>
      </c>
      <c r="AG52" s="559" t="s">
        <v>585</v>
      </c>
      <c r="AH52" s="555" t="e">
        <f t="shared" si="40"/>
        <v>#VALUE!</v>
      </c>
      <c r="AI52" s="662"/>
      <c r="AJ52" s="555" t="s">
        <v>585</v>
      </c>
      <c r="AK52" s="559" t="s">
        <v>585</v>
      </c>
      <c r="AL52" s="559" t="s">
        <v>585</v>
      </c>
      <c r="AM52" s="555" t="e">
        <f t="shared" si="42"/>
        <v>#VALUE!</v>
      </c>
      <c r="AN52" s="662"/>
      <c r="AO52" s="555" t="s">
        <v>585</v>
      </c>
      <c r="AP52" s="559" t="s">
        <v>585</v>
      </c>
      <c r="AQ52" s="559" t="s">
        <v>585</v>
      </c>
      <c r="AR52" s="555" t="e">
        <f t="shared" si="44"/>
        <v>#VALUE!</v>
      </c>
      <c r="AS52" s="662"/>
      <c r="AT52" s="555" t="s">
        <v>585</v>
      </c>
      <c r="AU52" s="559" t="s">
        <v>585</v>
      </c>
      <c r="AV52" s="559" t="s">
        <v>585</v>
      </c>
      <c r="AW52" s="555" t="e">
        <f t="shared" si="46"/>
        <v>#VALUE!</v>
      </c>
      <c r="AX52" s="662"/>
      <c r="AZ52" s="368" t="e">
        <f t="shared" si="48"/>
        <v>#N/A</v>
      </c>
      <c r="BA52" s="662"/>
    </row>
    <row r="53" spans="2:53">
      <c r="B53" s="660"/>
      <c r="C53" s="379">
        <v>7</v>
      </c>
      <c r="D53" s="225"/>
      <c r="E53" s="531"/>
      <c r="F53" s="530"/>
      <c r="G53" s="532"/>
      <c r="H53" s="699"/>
      <c r="I53" s="381" t="str">
        <f t="shared" si="31"/>
        <v>-</v>
      </c>
      <c r="J53" s="381" t="str">
        <f t="shared" si="32"/>
        <v>-</v>
      </c>
      <c r="K53" s="199" t="str">
        <f t="shared" si="33"/>
        <v>-</v>
      </c>
      <c r="L53" s="634"/>
      <c r="M53" s="417" t="e">
        <f>RANK(K53, K$47:$K$61)</f>
        <v>#VALUE!</v>
      </c>
      <c r="N53" s="652"/>
      <c r="O53" s="652"/>
      <c r="P53" s="555" t="s">
        <v>585</v>
      </c>
      <c r="Q53" s="559" t="s">
        <v>585</v>
      </c>
      <c r="R53" s="559" t="s">
        <v>585</v>
      </c>
      <c r="S53" s="555" t="e">
        <f t="shared" si="34"/>
        <v>#VALUE!</v>
      </c>
      <c r="T53" s="662"/>
      <c r="U53" s="555" t="s">
        <v>585</v>
      </c>
      <c r="V53" s="559" t="s">
        <v>585</v>
      </c>
      <c r="W53" s="559" t="s">
        <v>585</v>
      </c>
      <c r="X53" s="555" t="e">
        <f t="shared" si="36"/>
        <v>#VALUE!</v>
      </c>
      <c r="Y53" s="662"/>
      <c r="Z53" s="555" t="s">
        <v>585</v>
      </c>
      <c r="AA53" s="559" t="s">
        <v>585</v>
      </c>
      <c r="AB53" s="559" t="s">
        <v>585</v>
      </c>
      <c r="AC53" s="555" t="e">
        <f t="shared" si="38"/>
        <v>#VALUE!</v>
      </c>
      <c r="AD53" s="662"/>
      <c r="AE53" s="555" t="s">
        <v>585</v>
      </c>
      <c r="AF53" s="559" t="s">
        <v>585</v>
      </c>
      <c r="AG53" s="559" t="s">
        <v>585</v>
      </c>
      <c r="AH53" s="555" t="e">
        <f t="shared" si="40"/>
        <v>#VALUE!</v>
      </c>
      <c r="AI53" s="662"/>
      <c r="AJ53" s="555" t="s">
        <v>585</v>
      </c>
      <c r="AK53" s="559" t="s">
        <v>585</v>
      </c>
      <c r="AL53" s="559" t="s">
        <v>585</v>
      </c>
      <c r="AM53" s="555" t="e">
        <f t="shared" si="42"/>
        <v>#VALUE!</v>
      </c>
      <c r="AN53" s="662"/>
      <c r="AO53" s="555" t="s">
        <v>585</v>
      </c>
      <c r="AP53" s="559" t="s">
        <v>585</v>
      </c>
      <c r="AQ53" s="559" t="s">
        <v>585</v>
      </c>
      <c r="AR53" s="555" t="e">
        <f t="shared" si="44"/>
        <v>#VALUE!</v>
      </c>
      <c r="AS53" s="662"/>
      <c r="AT53" s="555" t="s">
        <v>585</v>
      </c>
      <c r="AU53" s="559" t="s">
        <v>585</v>
      </c>
      <c r="AV53" s="559" t="s">
        <v>585</v>
      </c>
      <c r="AW53" s="555" t="e">
        <f t="shared" si="46"/>
        <v>#VALUE!</v>
      </c>
      <c r="AX53" s="662"/>
      <c r="AZ53" s="368" t="e">
        <f t="shared" si="48"/>
        <v>#N/A</v>
      </c>
      <c r="BA53" s="662"/>
    </row>
    <row r="54" spans="2:53">
      <c r="B54" s="660"/>
      <c r="C54" s="379">
        <v>8</v>
      </c>
      <c r="D54" s="225"/>
      <c r="E54" s="531"/>
      <c r="F54" s="530"/>
      <c r="G54" s="532"/>
      <c r="H54" s="699"/>
      <c r="I54" s="381" t="str">
        <f t="shared" si="31"/>
        <v>-</v>
      </c>
      <c r="J54" s="381" t="str">
        <f t="shared" si="32"/>
        <v>-</v>
      </c>
      <c r="K54" s="199" t="str">
        <f t="shared" si="33"/>
        <v>-</v>
      </c>
      <c r="L54" s="634"/>
      <c r="M54" s="417" t="e">
        <f>RANK(K54, K$47:$K$61)</f>
        <v>#VALUE!</v>
      </c>
      <c r="N54" s="652"/>
      <c r="O54" s="652"/>
      <c r="P54" s="555" t="s">
        <v>585</v>
      </c>
      <c r="Q54" s="559" t="s">
        <v>585</v>
      </c>
      <c r="R54" s="559" t="s">
        <v>585</v>
      </c>
      <c r="S54" s="555" t="e">
        <f t="shared" si="34"/>
        <v>#VALUE!</v>
      </c>
      <c r="T54" s="662"/>
      <c r="U54" s="555" t="s">
        <v>585</v>
      </c>
      <c r="V54" s="559" t="s">
        <v>585</v>
      </c>
      <c r="W54" s="559" t="s">
        <v>585</v>
      </c>
      <c r="X54" s="555" t="e">
        <f t="shared" si="36"/>
        <v>#VALUE!</v>
      </c>
      <c r="Y54" s="662"/>
      <c r="Z54" s="555" t="s">
        <v>585</v>
      </c>
      <c r="AA54" s="559" t="s">
        <v>585</v>
      </c>
      <c r="AB54" s="559" t="s">
        <v>585</v>
      </c>
      <c r="AC54" s="555" t="e">
        <f t="shared" si="38"/>
        <v>#VALUE!</v>
      </c>
      <c r="AD54" s="662"/>
      <c r="AE54" s="555" t="s">
        <v>585</v>
      </c>
      <c r="AF54" s="559" t="s">
        <v>585</v>
      </c>
      <c r="AG54" s="559" t="s">
        <v>585</v>
      </c>
      <c r="AH54" s="555" t="e">
        <f t="shared" si="40"/>
        <v>#VALUE!</v>
      </c>
      <c r="AI54" s="662"/>
      <c r="AJ54" s="555" t="s">
        <v>585</v>
      </c>
      <c r="AK54" s="559" t="s">
        <v>585</v>
      </c>
      <c r="AL54" s="559" t="s">
        <v>585</v>
      </c>
      <c r="AM54" s="555" t="e">
        <f t="shared" si="42"/>
        <v>#VALUE!</v>
      </c>
      <c r="AN54" s="662"/>
      <c r="AO54" s="555" t="s">
        <v>585</v>
      </c>
      <c r="AP54" s="559" t="s">
        <v>585</v>
      </c>
      <c r="AQ54" s="559" t="s">
        <v>585</v>
      </c>
      <c r="AR54" s="555" t="e">
        <f t="shared" si="44"/>
        <v>#VALUE!</v>
      </c>
      <c r="AS54" s="662"/>
      <c r="AT54" s="555" t="s">
        <v>585</v>
      </c>
      <c r="AU54" s="559" t="s">
        <v>585</v>
      </c>
      <c r="AV54" s="559" t="s">
        <v>585</v>
      </c>
      <c r="AW54" s="555" t="e">
        <f t="shared" si="46"/>
        <v>#VALUE!</v>
      </c>
      <c r="AX54" s="662"/>
      <c r="AZ54" s="368" t="e">
        <f t="shared" si="48"/>
        <v>#N/A</v>
      </c>
      <c r="BA54" s="662"/>
    </row>
    <row r="55" spans="2:53">
      <c r="B55" s="660"/>
      <c r="C55" s="379">
        <v>9</v>
      </c>
      <c r="D55" s="225"/>
      <c r="E55" s="531"/>
      <c r="F55" s="530"/>
      <c r="G55" s="532"/>
      <c r="H55" s="699"/>
      <c r="I55" s="381" t="str">
        <f t="shared" si="31"/>
        <v>-</v>
      </c>
      <c r="J55" s="381" t="str">
        <f t="shared" si="32"/>
        <v>-</v>
      </c>
      <c r="K55" s="199" t="str">
        <f t="shared" si="33"/>
        <v>-</v>
      </c>
      <c r="L55" s="634"/>
      <c r="M55" s="417" t="e">
        <f>RANK(K55, K$47:$K$61)</f>
        <v>#VALUE!</v>
      </c>
      <c r="N55" s="652"/>
      <c r="O55" s="652"/>
      <c r="P55" s="555" t="s">
        <v>585</v>
      </c>
      <c r="Q55" s="559" t="s">
        <v>585</v>
      </c>
      <c r="R55" s="559" t="s">
        <v>585</v>
      </c>
      <c r="S55" s="555" t="e">
        <f t="shared" si="34"/>
        <v>#VALUE!</v>
      </c>
      <c r="T55" s="662"/>
      <c r="U55" s="555" t="s">
        <v>585</v>
      </c>
      <c r="V55" s="559" t="s">
        <v>585</v>
      </c>
      <c r="W55" s="559" t="s">
        <v>585</v>
      </c>
      <c r="X55" s="555" t="e">
        <f t="shared" si="36"/>
        <v>#VALUE!</v>
      </c>
      <c r="Y55" s="662"/>
      <c r="Z55" s="555" t="s">
        <v>585</v>
      </c>
      <c r="AA55" s="559" t="s">
        <v>585</v>
      </c>
      <c r="AB55" s="559" t="s">
        <v>585</v>
      </c>
      <c r="AC55" s="555" t="e">
        <f t="shared" si="38"/>
        <v>#VALUE!</v>
      </c>
      <c r="AD55" s="662"/>
      <c r="AE55" s="555" t="s">
        <v>585</v>
      </c>
      <c r="AF55" s="559" t="s">
        <v>585</v>
      </c>
      <c r="AG55" s="559" t="s">
        <v>585</v>
      </c>
      <c r="AH55" s="555" t="e">
        <f t="shared" si="40"/>
        <v>#VALUE!</v>
      </c>
      <c r="AI55" s="662"/>
      <c r="AJ55" s="555" t="s">
        <v>585</v>
      </c>
      <c r="AK55" s="559" t="s">
        <v>585</v>
      </c>
      <c r="AL55" s="559" t="s">
        <v>585</v>
      </c>
      <c r="AM55" s="555" t="e">
        <f t="shared" si="42"/>
        <v>#VALUE!</v>
      </c>
      <c r="AN55" s="662"/>
      <c r="AO55" s="555" t="s">
        <v>585</v>
      </c>
      <c r="AP55" s="559" t="s">
        <v>585</v>
      </c>
      <c r="AQ55" s="559" t="s">
        <v>585</v>
      </c>
      <c r="AR55" s="555" t="e">
        <f t="shared" si="44"/>
        <v>#VALUE!</v>
      </c>
      <c r="AS55" s="662"/>
      <c r="AT55" s="555" t="s">
        <v>585</v>
      </c>
      <c r="AU55" s="559" t="s">
        <v>585</v>
      </c>
      <c r="AV55" s="559" t="s">
        <v>585</v>
      </c>
      <c r="AW55" s="555" t="e">
        <f t="shared" si="46"/>
        <v>#VALUE!</v>
      </c>
      <c r="AX55" s="662"/>
      <c r="AZ55" s="368" t="e">
        <f t="shared" si="48"/>
        <v>#N/A</v>
      </c>
      <c r="BA55" s="662"/>
    </row>
    <row r="56" spans="2:53">
      <c r="B56" s="660"/>
      <c r="C56" s="379">
        <v>10</v>
      </c>
      <c r="D56" s="225"/>
      <c r="E56" s="531"/>
      <c r="F56" s="530"/>
      <c r="G56" s="532"/>
      <c r="H56" s="699"/>
      <c r="I56" s="381" t="str">
        <f t="shared" si="31"/>
        <v>-</v>
      </c>
      <c r="J56" s="381" t="str">
        <f t="shared" si="32"/>
        <v>-</v>
      </c>
      <c r="K56" s="199" t="str">
        <f t="shared" si="33"/>
        <v>-</v>
      </c>
      <c r="L56" s="634"/>
      <c r="M56" s="417" t="e">
        <f>RANK(K56, K$47:$K$61)</f>
        <v>#VALUE!</v>
      </c>
      <c r="N56" s="652"/>
      <c r="O56" s="652"/>
      <c r="P56" s="555" t="s">
        <v>585</v>
      </c>
      <c r="Q56" s="559" t="s">
        <v>585</v>
      </c>
      <c r="R56" s="559" t="s">
        <v>585</v>
      </c>
      <c r="S56" s="555" t="e">
        <f t="shared" si="34"/>
        <v>#VALUE!</v>
      </c>
      <c r="T56" s="662"/>
      <c r="U56" s="555" t="s">
        <v>585</v>
      </c>
      <c r="V56" s="559" t="s">
        <v>585</v>
      </c>
      <c r="W56" s="559" t="s">
        <v>585</v>
      </c>
      <c r="X56" s="555" t="e">
        <f t="shared" si="36"/>
        <v>#VALUE!</v>
      </c>
      <c r="Y56" s="662"/>
      <c r="Z56" s="555" t="s">
        <v>585</v>
      </c>
      <c r="AA56" s="559" t="s">
        <v>585</v>
      </c>
      <c r="AB56" s="559" t="s">
        <v>585</v>
      </c>
      <c r="AC56" s="555" t="e">
        <f t="shared" si="38"/>
        <v>#VALUE!</v>
      </c>
      <c r="AD56" s="662"/>
      <c r="AE56" s="555" t="s">
        <v>585</v>
      </c>
      <c r="AF56" s="559" t="s">
        <v>585</v>
      </c>
      <c r="AG56" s="559" t="s">
        <v>585</v>
      </c>
      <c r="AH56" s="555" t="e">
        <f t="shared" si="40"/>
        <v>#VALUE!</v>
      </c>
      <c r="AI56" s="662"/>
      <c r="AJ56" s="555" t="s">
        <v>585</v>
      </c>
      <c r="AK56" s="559" t="s">
        <v>585</v>
      </c>
      <c r="AL56" s="559" t="s">
        <v>585</v>
      </c>
      <c r="AM56" s="555" t="e">
        <f t="shared" si="42"/>
        <v>#VALUE!</v>
      </c>
      <c r="AN56" s="662"/>
      <c r="AO56" s="555" t="s">
        <v>585</v>
      </c>
      <c r="AP56" s="559" t="s">
        <v>585</v>
      </c>
      <c r="AQ56" s="559" t="s">
        <v>585</v>
      </c>
      <c r="AR56" s="555" t="e">
        <f t="shared" si="44"/>
        <v>#VALUE!</v>
      </c>
      <c r="AS56" s="662"/>
      <c r="AT56" s="555" t="s">
        <v>585</v>
      </c>
      <c r="AU56" s="559" t="s">
        <v>585</v>
      </c>
      <c r="AV56" s="559" t="s">
        <v>585</v>
      </c>
      <c r="AW56" s="555" t="e">
        <f t="shared" si="46"/>
        <v>#VALUE!</v>
      </c>
      <c r="AX56" s="662"/>
      <c r="AZ56" s="368" t="e">
        <f t="shared" si="48"/>
        <v>#N/A</v>
      </c>
      <c r="BA56" s="662"/>
    </row>
    <row r="57" spans="2:53">
      <c r="B57" s="660"/>
      <c r="C57" s="379">
        <v>11</v>
      </c>
      <c r="D57" s="225"/>
      <c r="E57" s="531"/>
      <c r="F57" s="530"/>
      <c r="G57" s="532"/>
      <c r="H57" s="699"/>
      <c r="I57" s="381" t="str">
        <f t="shared" si="31"/>
        <v>-</v>
      </c>
      <c r="J57" s="381" t="str">
        <f t="shared" si="32"/>
        <v>-</v>
      </c>
      <c r="K57" s="199" t="str">
        <f t="shared" si="33"/>
        <v>-</v>
      </c>
      <c r="L57" s="634"/>
      <c r="M57" s="417" t="e">
        <f>RANK(K57, K$47:$K$61)</f>
        <v>#VALUE!</v>
      </c>
      <c r="N57" s="652"/>
      <c r="O57" s="652"/>
      <c r="P57" s="555" t="s">
        <v>585</v>
      </c>
      <c r="Q57" s="559" t="s">
        <v>585</v>
      </c>
      <c r="R57" s="559" t="s">
        <v>585</v>
      </c>
      <c r="S57" s="555" t="e">
        <f t="shared" si="34"/>
        <v>#VALUE!</v>
      </c>
      <c r="T57" s="662"/>
      <c r="U57" s="555" t="s">
        <v>585</v>
      </c>
      <c r="V57" s="559" t="s">
        <v>585</v>
      </c>
      <c r="W57" s="559" t="s">
        <v>585</v>
      </c>
      <c r="X57" s="555" t="e">
        <f t="shared" si="36"/>
        <v>#VALUE!</v>
      </c>
      <c r="Y57" s="662"/>
      <c r="Z57" s="555" t="s">
        <v>585</v>
      </c>
      <c r="AA57" s="559" t="s">
        <v>585</v>
      </c>
      <c r="AB57" s="559" t="s">
        <v>585</v>
      </c>
      <c r="AC57" s="555" t="e">
        <f t="shared" si="38"/>
        <v>#VALUE!</v>
      </c>
      <c r="AD57" s="662"/>
      <c r="AE57" s="555" t="s">
        <v>585</v>
      </c>
      <c r="AF57" s="559" t="s">
        <v>585</v>
      </c>
      <c r="AG57" s="559" t="s">
        <v>585</v>
      </c>
      <c r="AH57" s="555" t="e">
        <f t="shared" si="40"/>
        <v>#VALUE!</v>
      </c>
      <c r="AI57" s="662"/>
      <c r="AJ57" s="555" t="s">
        <v>585</v>
      </c>
      <c r="AK57" s="559" t="s">
        <v>585</v>
      </c>
      <c r="AL57" s="559" t="s">
        <v>585</v>
      </c>
      <c r="AM57" s="555" t="e">
        <f t="shared" si="42"/>
        <v>#VALUE!</v>
      </c>
      <c r="AN57" s="662"/>
      <c r="AO57" s="555" t="s">
        <v>585</v>
      </c>
      <c r="AP57" s="559" t="s">
        <v>585</v>
      </c>
      <c r="AQ57" s="559" t="s">
        <v>585</v>
      </c>
      <c r="AR57" s="555" t="e">
        <f t="shared" si="44"/>
        <v>#VALUE!</v>
      </c>
      <c r="AS57" s="662"/>
      <c r="AT57" s="555" t="s">
        <v>585</v>
      </c>
      <c r="AU57" s="559" t="s">
        <v>585</v>
      </c>
      <c r="AV57" s="559" t="s">
        <v>585</v>
      </c>
      <c r="AW57" s="555" t="e">
        <f t="shared" si="46"/>
        <v>#VALUE!</v>
      </c>
      <c r="AX57" s="662"/>
      <c r="AZ57" s="368" t="e">
        <f t="shared" si="48"/>
        <v>#N/A</v>
      </c>
      <c r="BA57" s="662"/>
    </row>
    <row r="58" spans="2:53">
      <c r="B58" s="660"/>
      <c r="C58" s="379">
        <v>12</v>
      </c>
      <c r="D58" s="225"/>
      <c r="E58" s="531"/>
      <c r="F58" s="530"/>
      <c r="G58" s="532"/>
      <c r="H58" s="699"/>
      <c r="I58" s="381" t="str">
        <f t="shared" si="31"/>
        <v>-</v>
      </c>
      <c r="J58" s="381" t="str">
        <f t="shared" si="32"/>
        <v>-</v>
      </c>
      <c r="K58" s="199" t="str">
        <f t="shared" si="33"/>
        <v>-</v>
      </c>
      <c r="L58" s="634"/>
      <c r="M58" s="417" t="e">
        <f>RANK(K58, K$47:$K$61)</f>
        <v>#VALUE!</v>
      </c>
      <c r="N58" s="652"/>
      <c r="O58" s="652"/>
      <c r="P58" s="555" t="s">
        <v>585</v>
      </c>
      <c r="Q58" s="559" t="s">
        <v>585</v>
      </c>
      <c r="R58" s="559" t="s">
        <v>585</v>
      </c>
      <c r="S58" s="555" t="e">
        <f t="shared" si="34"/>
        <v>#VALUE!</v>
      </c>
      <c r="T58" s="662"/>
      <c r="U58" s="555" t="s">
        <v>585</v>
      </c>
      <c r="V58" s="559" t="s">
        <v>585</v>
      </c>
      <c r="W58" s="559" t="s">
        <v>585</v>
      </c>
      <c r="X58" s="555" t="e">
        <f t="shared" si="36"/>
        <v>#VALUE!</v>
      </c>
      <c r="Y58" s="662"/>
      <c r="Z58" s="555" t="s">
        <v>585</v>
      </c>
      <c r="AA58" s="559" t="s">
        <v>585</v>
      </c>
      <c r="AB58" s="559" t="s">
        <v>585</v>
      </c>
      <c r="AC58" s="555" t="e">
        <f t="shared" si="38"/>
        <v>#VALUE!</v>
      </c>
      <c r="AD58" s="662"/>
      <c r="AE58" s="555" t="s">
        <v>585</v>
      </c>
      <c r="AF58" s="559" t="s">
        <v>585</v>
      </c>
      <c r="AG58" s="559" t="s">
        <v>585</v>
      </c>
      <c r="AH58" s="555" t="e">
        <f t="shared" si="40"/>
        <v>#VALUE!</v>
      </c>
      <c r="AI58" s="662"/>
      <c r="AJ58" s="555" t="s">
        <v>585</v>
      </c>
      <c r="AK58" s="559" t="s">
        <v>585</v>
      </c>
      <c r="AL58" s="559" t="s">
        <v>585</v>
      </c>
      <c r="AM58" s="555" t="e">
        <f t="shared" si="42"/>
        <v>#VALUE!</v>
      </c>
      <c r="AN58" s="662"/>
      <c r="AO58" s="555" t="s">
        <v>585</v>
      </c>
      <c r="AP58" s="559" t="s">
        <v>585</v>
      </c>
      <c r="AQ58" s="559" t="s">
        <v>585</v>
      </c>
      <c r="AR58" s="555" t="e">
        <f t="shared" si="44"/>
        <v>#VALUE!</v>
      </c>
      <c r="AS58" s="662"/>
      <c r="AT58" s="555" t="s">
        <v>585</v>
      </c>
      <c r="AU58" s="559" t="s">
        <v>585</v>
      </c>
      <c r="AV58" s="559" t="s">
        <v>585</v>
      </c>
      <c r="AW58" s="555" t="e">
        <f t="shared" si="46"/>
        <v>#VALUE!</v>
      </c>
      <c r="AX58" s="662"/>
      <c r="AZ58" s="368" t="e">
        <f t="shared" si="48"/>
        <v>#N/A</v>
      </c>
      <c r="BA58" s="662"/>
    </row>
    <row r="59" spans="2:53">
      <c r="B59" s="660"/>
      <c r="C59" s="379">
        <v>13</v>
      </c>
      <c r="D59" s="225"/>
      <c r="E59" s="531"/>
      <c r="F59" s="530"/>
      <c r="G59" s="532"/>
      <c r="H59" s="699"/>
      <c r="I59" s="381" t="str">
        <f t="shared" si="31"/>
        <v>-</v>
      </c>
      <c r="J59" s="381" t="str">
        <f t="shared" si="32"/>
        <v>-</v>
      </c>
      <c r="K59" s="199" t="str">
        <f t="shared" si="33"/>
        <v>-</v>
      </c>
      <c r="L59" s="634"/>
      <c r="M59" s="417" t="e">
        <f>RANK(K59, K$47:$K$61)</f>
        <v>#VALUE!</v>
      </c>
      <c r="N59" s="652"/>
      <c r="O59" s="652"/>
      <c r="P59" s="555" t="s">
        <v>585</v>
      </c>
      <c r="Q59" s="559" t="s">
        <v>585</v>
      </c>
      <c r="R59" s="559" t="s">
        <v>585</v>
      </c>
      <c r="S59" s="555" t="e">
        <f t="shared" si="34"/>
        <v>#VALUE!</v>
      </c>
      <c r="T59" s="662"/>
      <c r="U59" s="555" t="s">
        <v>585</v>
      </c>
      <c r="V59" s="559" t="s">
        <v>585</v>
      </c>
      <c r="W59" s="559" t="s">
        <v>585</v>
      </c>
      <c r="X59" s="555" t="e">
        <f t="shared" si="36"/>
        <v>#VALUE!</v>
      </c>
      <c r="Y59" s="662"/>
      <c r="Z59" s="555" t="s">
        <v>585</v>
      </c>
      <c r="AA59" s="559" t="s">
        <v>585</v>
      </c>
      <c r="AB59" s="559" t="s">
        <v>585</v>
      </c>
      <c r="AC59" s="555" t="e">
        <f t="shared" si="38"/>
        <v>#VALUE!</v>
      </c>
      <c r="AD59" s="662"/>
      <c r="AE59" s="555" t="s">
        <v>585</v>
      </c>
      <c r="AF59" s="559" t="s">
        <v>585</v>
      </c>
      <c r="AG59" s="559" t="s">
        <v>585</v>
      </c>
      <c r="AH59" s="555" t="e">
        <f t="shared" si="40"/>
        <v>#VALUE!</v>
      </c>
      <c r="AI59" s="662"/>
      <c r="AJ59" s="555" t="s">
        <v>585</v>
      </c>
      <c r="AK59" s="559" t="s">
        <v>585</v>
      </c>
      <c r="AL59" s="559" t="s">
        <v>585</v>
      </c>
      <c r="AM59" s="555" t="e">
        <f t="shared" si="42"/>
        <v>#VALUE!</v>
      </c>
      <c r="AN59" s="662"/>
      <c r="AO59" s="555" t="s">
        <v>585</v>
      </c>
      <c r="AP59" s="559" t="s">
        <v>585</v>
      </c>
      <c r="AQ59" s="559" t="s">
        <v>585</v>
      </c>
      <c r="AR59" s="555" t="e">
        <f t="shared" si="44"/>
        <v>#VALUE!</v>
      </c>
      <c r="AS59" s="662"/>
      <c r="AT59" s="555" t="s">
        <v>585</v>
      </c>
      <c r="AU59" s="559" t="s">
        <v>585</v>
      </c>
      <c r="AV59" s="559" t="s">
        <v>585</v>
      </c>
      <c r="AW59" s="555" t="e">
        <f t="shared" si="46"/>
        <v>#VALUE!</v>
      </c>
      <c r="AX59" s="662"/>
      <c r="AZ59" s="368" t="e">
        <f t="shared" si="48"/>
        <v>#N/A</v>
      </c>
      <c r="BA59" s="662"/>
    </row>
    <row r="60" spans="2:53">
      <c r="B60" s="660"/>
      <c r="C60" s="379">
        <v>14</v>
      </c>
      <c r="D60" s="225"/>
      <c r="E60" s="531"/>
      <c r="F60" s="530"/>
      <c r="G60" s="532"/>
      <c r="H60" s="699"/>
      <c r="I60" s="381" t="str">
        <f t="shared" si="31"/>
        <v>-</v>
      </c>
      <c r="J60" s="381" t="str">
        <f t="shared" si="32"/>
        <v>-</v>
      </c>
      <c r="K60" s="199" t="str">
        <f t="shared" si="33"/>
        <v>-</v>
      </c>
      <c r="L60" s="634"/>
      <c r="M60" s="417" t="e">
        <f>RANK(K60, K$47:$K$61)</f>
        <v>#VALUE!</v>
      </c>
      <c r="N60" s="652"/>
      <c r="O60" s="652"/>
      <c r="P60" s="555" t="s">
        <v>585</v>
      </c>
      <c r="Q60" s="559" t="s">
        <v>585</v>
      </c>
      <c r="R60" s="559" t="s">
        <v>585</v>
      </c>
      <c r="S60" s="555" t="e">
        <f t="shared" si="34"/>
        <v>#VALUE!</v>
      </c>
      <c r="T60" s="662"/>
      <c r="U60" s="555" t="s">
        <v>585</v>
      </c>
      <c r="V60" s="559" t="s">
        <v>585</v>
      </c>
      <c r="W60" s="559" t="s">
        <v>585</v>
      </c>
      <c r="X60" s="555" t="e">
        <f t="shared" si="36"/>
        <v>#VALUE!</v>
      </c>
      <c r="Y60" s="662"/>
      <c r="Z60" s="555" t="s">
        <v>585</v>
      </c>
      <c r="AA60" s="559" t="s">
        <v>585</v>
      </c>
      <c r="AB60" s="559" t="s">
        <v>585</v>
      </c>
      <c r="AC60" s="555" t="e">
        <f t="shared" si="38"/>
        <v>#VALUE!</v>
      </c>
      <c r="AD60" s="662"/>
      <c r="AE60" s="555" t="s">
        <v>585</v>
      </c>
      <c r="AF60" s="559" t="s">
        <v>585</v>
      </c>
      <c r="AG60" s="559" t="s">
        <v>585</v>
      </c>
      <c r="AH60" s="555" t="e">
        <f t="shared" si="40"/>
        <v>#VALUE!</v>
      </c>
      <c r="AI60" s="662"/>
      <c r="AJ60" s="555" t="s">
        <v>585</v>
      </c>
      <c r="AK60" s="559" t="s">
        <v>585</v>
      </c>
      <c r="AL60" s="559" t="s">
        <v>585</v>
      </c>
      <c r="AM60" s="555" t="e">
        <f t="shared" si="42"/>
        <v>#VALUE!</v>
      </c>
      <c r="AN60" s="662"/>
      <c r="AO60" s="555" t="s">
        <v>585</v>
      </c>
      <c r="AP60" s="559" t="s">
        <v>585</v>
      </c>
      <c r="AQ60" s="559" t="s">
        <v>585</v>
      </c>
      <c r="AR60" s="555" t="e">
        <f t="shared" si="44"/>
        <v>#VALUE!</v>
      </c>
      <c r="AS60" s="662"/>
      <c r="AT60" s="555" t="s">
        <v>585</v>
      </c>
      <c r="AU60" s="559" t="s">
        <v>585</v>
      </c>
      <c r="AV60" s="559" t="s">
        <v>585</v>
      </c>
      <c r="AW60" s="555" t="e">
        <f t="shared" si="46"/>
        <v>#VALUE!</v>
      </c>
      <c r="AX60" s="662"/>
      <c r="AZ60" s="368" t="e">
        <f t="shared" si="48"/>
        <v>#N/A</v>
      </c>
      <c r="BA60" s="662"/>
    </row>
    <row r="61" spans="2:53">
      <c r="B61" s="660"/>
      <c r="C61" s="379">
        <v>15</v>
      </c>
      <c r="D61" s="225"/>
      <c r="E61" s="531"/>
      <c r="F61" s="530"/>
      <c r="G61" s="532"/>
      <c r="H61" s="700"/>
      <c r="I61" s="201"/>
      <c r="J61" s="201"/>
      <c r="K61" s="201"/>
      <c r="L61" s="635"/>
      <c r="M61" s="417" t="e">
        <f>RANK(K61, K$47:$K$61)</f>
        <v>#N/A</v>
      </c>
      <c r="N61" s="652"/>
      <c r="O61" s="652"/>
      <c r="P61" s="555" t="s">
        <v>585</v>
      </c>
      <c r="Q61" s="559" t="s">
        <v>585</v>
      </c>
      <c r="R61" s="559" t="s">
        <v>585</v>
      </c>
      <c r="S61" s="555" t="e">
        <f t="shared" si="34"/>
        <v>#VALUE!</v>
      </c>
      <c r="T61" s="663"/>
      <c r="U61" s="555" t="s">
        <v>585</v>
      </c>
      <c r="V61" s="559" t="s">
        <v>585</v>
      </c>
      <c r="W61" s="559" t="s">
        <v>585</v>
      </c>
      <c r="X61" s="555" t="e">
        <f t="shared" si="36"/>
        <v>#VALUE!</v>
      </c>
      <c r="Y61" s="663"/>
      <c r="Z61" s="555" t="s">
        <v>585</v>
      </c>
      <c r="AA61" s="559" t="s">
        <v>585</v>
      </c>
      <c r="AB61" s="559" t="s">
        <v>585</v>
      </c>
      <c r="AC61" s="555" t="e">
        <f t="shared" si="38"/>
        <v>#VALUE!</v>
      </c>
      <c r="AD61" s="663"/>
      <c r="AE61" s="555" t="s">
        <v>585</v>
      </c>
      <c r="AF61" s="559" t="s">
        <v>585</v>
      </c>
      <c r="AG61" s="559" t="s">
        <v>585</v>
      </c>
      <c r="AH61" s="555" t="e">
        <f t="shared" si="40"/>
        <v>#VALUE!</v>
      </c>
      <c r="AI61" s="663"/>
      <c r="AJ61" s="555" t="s">
        <v>585</v>
      </c>
      <c r="AK61" s="559" t="s">
        <v>585</v>
      </c>
      <c r="AL61" s="559" t="s">
        <v>585</v>
      </c>
      <c r="AM61" s="555" t="e">
        <f t="shared" si="42"/>
        <v>#VALUE!</v>
      </c>
      <c r="AN61" s="663"/>
      <c r="AO61" s="555" t="s">
        <v>585</v>
      </c>
      <c r="AP61" s="559" t="s">
        <v>585</v>
      </c>
      <c r="AQ61" s="559" t="s">
        <v>585</v>
      </c>
      <c r="AR61" s="555" t="e">
        <f t="shared" si="44"/>
        <v>#VALUE!</v>
      </c>
      <c r="AS61" s="663"/>
      <c r="AT61" s="555" t="s">
        <v>585</v>
      </c>
      <c r="AU61" s="559" t="s">
        <v>585</v>
      </c>
      <c r="AV61" s="559" t="s">
        <v>585</v>
      </c>
      <c r="AW61" s="555" t="e">
        <f t="shared" si="46"/>
        <v>#VALUE!</v>
      </c>
      <c r="AX61" s="663"/>
      <c r="AZ61" s="368" t="e">
        <f t="shared" si="48"/>
        <v>#N/A</v>
      </c>
      <c r="BA61" s="663"/>
    </row>
    <row r="62" spans="2:53" ht="15.75">
      <c r="B62" s="664" t="s">
        <v>162</v>
      </c>
      <c r="C62" s="665"/>
      <c r="D62" s="665"/>
      <c r="E62" s="665"/>
      <c r="F62" s="665"/>
      <c r="G62" s="665"/>
      <c r="H62" s="666"/>
      <c r="I62" s="207"/>
      <c r="J62" s="207"/>
      <c r="K62" s="207"/>
      <c r="L62" s="207"/>
      <c r="M62" s="206"/>
      <c r="N62" s="653" t="s">
        <v>156</v>
      </c>
      <c r="O62" s="653" t="s">
        <v>105</v>
      </c>
      <c r="P62" s="659">
        <f>P42+7</f>
        <v>46252</v>
      </c>
      <c r="Q62" s="660"/>
      <c r="R62" s="660"/>
      <c r="S62" s="660"/>
      <c r="T62" s="660"/>
      <c r="U62" s="656">
        <f>P62+1</f>
        <v>46253</v>
      </c>
      <c r="V62" s="657"/>
      <c r="W62" s="657"/>
      <c r="X62" s="657"/>
      <c r="Y62" s="658"/>
      <c r="Z62" s="656">
        <f>U62+1</f>
        <v>46254</v>
      </c>
      <c r="AA62" s="657"/>
      <c r="AB62" s="657"/>
      <c r="AC62" s="657"/>
      <c r="AD62" s="658"/>
      <c r="AE62" s="656">
        <f>Z62+1</f>
        <v>46255</v>
      </c>
      <c r="AF62" s="657"/>
      <c r="AG62" s="657"/>
      <c r="AH62" s="657"/>
      <c r="AI62" s="658"/>
      <c r="AJ62" s="656">
        <f>AE62+1</f>
        <v>46256</v>
      </c>
      <c r="AK62" s="657"/>
      <c r="AL62" s="657"/>
      <c r="AM62" s="657"/>
      <c r="AN62" s="658"/>
      <c r="AO62" s="656">
        <f>AJ62+1</f>
        <v>46257</v>
      </c>
      <c r="AP62" s="657"/>
      <c r="AQ62" s="657"/>
      <c r="AR62" s="657"/>
      <c r="AS62" s="658"/>
      <c r="AT62" s="656">
        <f>AO62+1</f>
        <v>46258</v>
      </c>
      <c r="AU62" s="657"/>
      <c r="AV62" s="657"/>
      <c r="AW62" s="657"/>
      <c r="AX62" s="658"/>
    </row>
    <row r="63" spans="2:53" ht="15.75">
      <c r="B63" s="667"/>
      <c r="C63" s="667"/>
      <c r="D63" s="667"/>
      <c r="E63" s="667"/>
      <c r="F63" s="667"/>
      <c r="G63" s="667"/>
      <c r="H63" s="667"/>
      <c r="I63" s="204"/>
      <c r="J63" s="204"/>
      <c r="K63" s="204"/>
      <c r="L63" s="204"/>
      <c r="M63" s="205"/>
      <c r="N63" s="655"/>
      <c r="O63" s="655"/>
      <c r="P63" s="659" t="s">
        <v>317</v>
      </c>
      <c r="Q63" s="660"/>
      <c r="R63" s="660"/>
      <c r="S63" s="660"/>
      <c r="T63" s="660"/>
      <c r="U63" s="659" t="s">
        <v>318</v>
      </c>
      <c r="V63" s="660"/>
      <c r="W63" s="660"/>
      <c r="X63" s="660"/>
      <c r="Y63" s="660"/>
      <c r="Z63" s="659" t="s">
        <v>319</v>
      </c>
      <c r="AA63" s="660"/>
      <c r="AB63" s="660"/>
      <c r="AC63" s="660"/>
      <c r="AD63" s="660"/>
      <c r="AE63" s="659" t="s">
        <v>320</v>
      </c>
      <c r="AF63" s="660"/>
      <c r="AG63" s="660"/>
      <c r="AH63" s="660"/>
      <c r="AI63" s="660"/>
      <c r="AJ63" s="659" t="s">
        <v>321</v>
      </c>
      <c r="AK63" s="660"/>
      <c r="AL63" s="660"/>
      <c r="AM63" s="660"/>
      <c r="AN63" s="660"/>
      <c r="AO63" s="659" t="s">
        <v>322</v>
      </c>
      <c r="AP63" s="660"/>
      <c r="AQ63" s="660"/>
      <c r="AR63" s="660"/>
      <c r="AS63" s="660"/>
      <c r="AT63" s="659" t="s">
        <v>323</v>
      </c>
      <c r="AU63" s="660"/>
      <c r="AV63" s="660"/>
      <c r="AW63" s="660"/>
      <c r="AX63" s="660"/>
    </row>
    <row r="64" spans="2:53">
      <c r="B64" s="652" t="s">
        <v>369</v>
      </c>
      <c r="C64" s="668" t="s">
        <v>379</v>
      </c>
      <c r="D64" s="671"/>
      <c r="E64" s="649" t="s">
        <v>370</v>
      </c>
      <c r="F64" s="650"/>
      <c r="G64" s="651"/>
      <c r="H64" s="653" t="s">
        <v>366</v>
      </c>
      <c r="I64" s="640" t="s">
        <v>371</v>
      </c>
      <c r="J64" s="641"/>
      <c r="K64" s="642"/>
      <c r="L64" s="643" t="s">
        <v>366</v>
      </c>
      <c r="M64" s="643" t="s">
        <v>367</v>
      </c>
      <c r="N64" s="653"/>
      <c r="O64" s="653" t="s">
        <v>372</v>
      </c>
      <c r="P64" s="649" t="s">
        <v>368</v>
      </c>
      <c r="Q64" s="650"/>
      <c r="R64" s="650"/>
      <c r="S64" s="651"/>
      <c r="T64" s="653" t="s">
        <v>366</v>
      </c>
      <c r="U64" s="649" t="s">
        <v>368</v>
      </c>
      <c r="V64" s="650"/>
      <c r="W64" s="650"/>
      <c r="X64" s="651"/>
      <c r="Y64" s="653" t="s">
        <v>366</v>
      </c>
      <c r="Z64" s="649" t="s">
        <v>368</v>
      </c>
      <c r="AA64" s="650"/>
      <c r="AB64" s="650"/>
      <c r="AC64" s="651"/>
      <c r="AD64" s="653" t="s">
        <v>366</v>
      </c>
      <c r="AE64" s="649" t="s">
        <v>368</v>
      </c>
      <c r="AF64" s="650"/>
      <c r="AG64" s="650"/>
      <c r="AH64" s="651"/>
      <c r="AI64" s="653" t="s">
        <v>366</v>
      </c>
      <c r="AJ64" s="649" t="s">
        <v>368</v>
      </c>
      <c r="AK64" s="650"/>
      <c r="AL64" s="650"/>
      <c r="AM64" s="651"/>
      <c r="AN64" s="653" t="s">
        <v>366</v>
      </c>
      <c r="AO64" s="649" t="s">
        <v>368</v>
      </c>
      <c r="AP64" s="650"/>
      <c r="AQ64" s="650"/>
      <c r="AR64" s="651"/>
      <c r="AS64" s="653" t="s">
        <v>366</v>
      </c>
      <c r="AT64" s="649" t="s">
        <v>368</v>
      </c>
      <c r="AU64" s="650"/>
      <c r="AV64" s="650"/>
      <c r="AW64" s="651"/>
      <c r="AX64" s="653" t="s">
        <v>366</v>
      </c>
      <c r="BA64" s="652" t="s">
        <v>366</v>
      </c>
    </row>
    <row r="65" spans="2:53">
      <c r="B65" s="652"/>
      <c r="C65" s="669"/>
      <c r="D65" s="672"/>
      <c r="E65" s="649" t="s">
        <v>373</v>
      </c>
      <c r="F65" s="650"/>
      <c r="G65" s="651"/>
      <c r="H65" s="654"/>
      <c r="I65" s="640" t="s">
        <v>373</v>
      </c>
      <c r="J65" s="641"/>
      <c r="K65" s="642"/>
      <c r="L65" s="644"/>
      <c r="M65" s="644"/>
      <c r="N65" s="654"/>
      <c r="O65" s="654"/>
      <c r="P65" s="649" t="s">
        <v>374</v>
      </c>
      <c r="Q65" s="650"/>
      <c r="R65" s="650"/>
      <c r="S65" s="651"/>
      <c r="T65" s="654"/>
      <c r="U65" s="649" t="s">
        <v>374</v>
      </c>
      <c r="V65" s="650"/>
      <c r="W65" s="650"/>
      <c r="X65" s="651"/>
      <c r="Y65" s="654"/>
      <c r="Z65" s="649" t="s">
        <v>374</v>
      </c>
      <c r="AA65" s="650"/>
      <c r="AB65" s="650"/>
      <c r="AC65" s="651"/>
      <c r="AD65" s="654"/>
      <c r="AE65" s="649" t="s">
        <v>374</v>
      </c>
      <c r="AF65" s="650"/>
      <c r="AG65" s="650"/>
      <c r="AH65" s="651"/>
      <c r="AI65" s="654"/>
      <c r="AJ65" s="649" t="s">
        <v>374</v>
      </c>
      <c r="AK65" s="650"/>
      <c r="AL65" s="650"/>
      <c r="AM65" s="651"/>
      <c r="AN65" s="654"/>
      <c r="AO65" s="649" t="s">
        <v>374</v>
      </c>
      <c r="AP65" s="650"/>
      <c r="AQ65" s="650"/>
      <c r="AR65" s="651"/>
      <c r="AS65" s="654"/>
      <c r="AT65" s="649" t="s">
        <v>374</v>
      </c>
      <c r="AU65" s="650"/>
      <c r="AV65" s="650"/>
      <c r="AW65" s="651"/>
      <c r="AX65" s="654"/>
      <c r="BA65" s="652"/>
    </row>
    <row r="66" spans="2:53">
      <c r="B66" s="652"/>
      <c r="C66" s="670"/>
      <c r="D66" s="673"/>
      <c r="E66" s="519" t="s">
        <v>375</v>
      </c>
      <c r="F66" s="519" t="s">
        <v>376</v>
      </c>
      <c r="G66" s="519" t="s">
        <v>377</v>
      </c>
      <c r="H66" s="655"/>
      <c r="I66" s="518" t="s">
        <v>375</v>
      </c>
      <c r="J66" s="518" t="s">
        <v>376</v>
      </c>
      <c r="K66" s="518" t="s">
        <v>377</v>
      </c>
      <c r="L66" s="645"/>
      <c r="M66" s="645"/>
      <c r="N66" s="654"/>
      <c r="O66" s="654"/>
      <c r="P66" s="519" t="s">
        <v>375</v>
      </c>
      <c r="Q66" s="519" t="s">
        <v>376</v>
      </c>
      <c r="R66" s="519" t="s">
        <v>377</v>
      </c>
      <c r="S66" s="519" t="s">
        <v>367</v>
      </c>
      <c r="T66" s="655"/>
      <c r="U66" s="519" t="s">
        <v>375</v>
      </c>
      <c r="V66" s="519" t="s">
        <v>376</v>
      </c>
      <c r="W66" s="519" t="s">
        <v>377</v>
      </c>
      <c r="X66" s="519" t="s">
        <v>367</v>
      </c>
      <c r="Y66" s="655"/>
      <c r="Z66" s="519" t="s">
        <v>375</v>
      </c>
      <c r="AA66" s="519" t="s">
        <v>376</v>
      </c>
      <c r="AB66" s="519" t="s">
        <v>377</v>
      </c>
      <c r="AC66" s="519" t="s">
        <v>367</v>
      </c>
      <c r="AD66" s="655"/>
      <c r="AE66" s="519" t="s">
        <v>375</v>
      </c>
      <c r="AF66" s="519" t="s">
        <v>376</v>
      </c>
      <c r="AG66" s="519" t="s">
        <v>377</v>
      </c>
      <c r="AH66" s="519" t="s">
        <v>367</v>
      </c>
      <c r="AI66" s="655"/>
      <c r="AJ66" s="519" t="s">
        <v>375</v>
      </c>
      <c r="AK66" s="519" t="s">
        <v>376</v>
      </c>
      <c r="AL66" s="519" t="s">
        <v>377</v>
      </c>
      <c r="AM66" s="519" t="s">
        <v>367</v>
      </c>
      <c r="AN66" s="655"/>
      <c r="AO66" s="519" t="s">
        <v>375</v>
      </c>
      <c r="AP66" s="519" t="s">
        <v>376</v>
      </c>
      <c r="AQ66" s="519" t="s">
        <v>377</v>
      </c>
      <c r="AR66" s="519" t="s">
        <v>367</v>
      </c>
      <c r="AS66" s="655"/>
      <c r="AT66" s="519" t="s">
        <v>375</v>
      </c>
      <c r="AU66" s="519" t="s">
        <v>376</v>
      </c>
      <c r="AV66" s="519" t="s">
        <v>377</v>
      </c>
      <c r="AW66" s="519" t="s">
        <v>367</v>
      </c>
      <c r="AX66" s="655"/>
      <c r="AZ66" s="367" t="s">
        <v>367</v>
      </c>
      <c r="BA66" s="652"/>
    </row>
    <row r="67" spans="2:53">
      <c r="B67" s="652" t="s">
        <v>380</v>
      </c>
      <c r="C67" s="520">
        <v>1</v>
      </c>
      <c r="D67" s="225" t="s">
        <v>692</v>
      </c>
      <c r="E67" s="521">
        <v>15</v>
      </c>
      <c r="F67" s="520">
        <v>2000</v>
      </c>
      <c r="G67" s="522">
        <v>100</v>
      </c>
      <c r="H67" s="661">
        <f>AVERAGE(G67:G81)</f>
        <v>100</v>
      </c>
      <c r="I67" s="523">
        <f t="shared" ref="I67:I80" si="50">IFERROR(AVERAGE(P67,U67,Z67,AE67,AJ67,AO67,AT67),"-")</f>
        <v>13</v>
      </c>
      <c r="J67" s="523">
        <f t="shared" ref="J67:J80" si="51">IFERROR(AVERAGE(Q67,V67,AA67,AF67,AK67,AP67,AU67),"-")</f>
        <v>1996.7499999999986</v>
      </c>
      <c r="K67" s="199">
        <f t="shared" ref="K67:K80" si="52">IFERROR(AVERAGE(R67,W67,AB67,AG67,AL67,AQ67,AV67),"-")</f>
        <v>153.59615384615375</v>
      </c>
      <c r="L67" s="646">
        <f>IFERROR(AVERAGE(K67:K81),"-")</f>
        <v>149.76730769230755</v>
      </c>
      <c r="M67" s="524">
        <f>RANK(K67, K$67:$K$81)</f>
        <v>1</v>
      </c>
      <c r="N67" s="654"/>
      <c r="O67" s="654"/>
      <c r="P67" s="560">
        <v>13</v>
      </c>
      <c r="Q67" s="562">
        <v>2075.9999999999991</v>
      </c>
      <c r="R67" s="562">
        <v>159.69230769230762</v>
      </c>
      <c r="S67" s="560">
        <f t="shared" ref="S67:S81" si="53">RANK(R67, R$67:R$81)</f>
        <v>1</v>
      </c>
      <c r="T67" s="661">
        <f t="shared" ref="T67" si="54">AVERAGE(R67:R81)</f>
        <v>152.81538461538449</v>
      </c>
      <c r="U67" s="560">
        <v>13</v>
      </c>
      <c r="V67" s="562">
        <v>2024.9999999999991</v>
      </c>
      <c r="W67" s="562">
        <v>155.76923076923069</v>
      </c>
      <c r="X67" s="560">
        <f t="shared" ref="X67:X81" si="55">RANK(W67, W$67:W$81)</f>
        <v>1</v>
      </c>
      <c r="Y67" s="661">
        <f t="shared" ref="Y67" si="56">AVERAGE(W67:W81)</f>
        <v>155.76923076923069</v>
      </c>
      <c r="Z67" s="560">
        <v>13</v>
      </c>
      <c r="AA67" s="562">
        <v>2117.9999999999995</v>
      </c>
      <c r="AB67" s="562">
        <v>162.92307692307688</v>
      </c>
      <c r="AC67" s="560">
        <f t="shared" ref="AC67:AC81" si="57">RANK(AB67, AB$67:AB$81)</f>
        <v>1</v>
      </c>
      <c r="AD67" s="661">
        <f t="shared" ref="AD67" si="58">AVERAGE(AB67:AB81)</f>
        <v>162.92307692307688</v>
      </c>
      <c r="AE67" s="560">
        <v>13</v>
      </c>
      <c r="AF67" s="562">
        <v>1767.9999999999968</v>
      </c>
      <c r="AG67" s="562">
        <v>135.99999999999974</v>
      </c>
      <c r="AH67" s="560">
        <f t="shared" ref="AH67:AH81" si="59">RANK(AG67, AG$67:AG$81)</f>
        <v>1</v>
      </c>
      <c r="AI67" s="661">
        <f t="shared" ref="AI67" si="60">AVERAGE(AG67:AG81)</f>
        <v>135.99999999999974</v>
      </c>
      <c r="AJ67" s="560" t="s">
        <v>585</v>
      </c>
      <c r="AK67" s="562" t="s">
        <v>585</v>
      </c>
      <c r="AL67" s="562" t="s">
        <v>585</v>
      </c>
      <c r="AM67" s="560" t="e">
        <f t="shared" ref="AM67:AM81" si="61">RANK(AL67, AL$67:AL$81)</f>
        <v>#VALUE!</v>
      </c>
      <c r="AN67" s="661" t="e">
        <f t="shared" ref="AN67" si="62">AVERAGE(AL67:AL81)</f>
        <v>#DIV/0!</v>
      </c>
      <c r="AO67" s="560" t="s">
        <v>585</v>
      </c>
      <c r="AP67" s="562" t="s">
        <v>585</v>
      </c>
      <c r="AQ67" s="562" t="s">
        <v>585</v>
      </c>
      <c r="AR67" s="560" t="e">
        <f t="shared" ref="AR67:AR81" si="63">RANK(AQ67, AQ$67:AQ$81)</f>
        <v>#VALUE!</v>
      </c>
      <c r="AS67" s="661" t="e">
        <f t="shared" ref="AS67" si="64">AVERAGE(AQ67:AQ81)</f>
        <v>#DIV/0!</v>
      </c>
      <c r="AT67" s="560" t="s">
        <v>585</v>
      </c>
      <c r="AU67" s="562" t="s">
        <v>585</v>
      </c>
      <c r="AV67" s="562" t="s">
        <v>585</v>
      </c>
      <c r="AW67" s="560" t="e">
        <f t="shared" ref="AW67:AW81" si="65">RANK(AV67, AV$67:AV$81)</f>
        <v>#VALUE!</v>
      </c>
      <c r="AX67" s="661" t="e">
        <f t="shared" ref="AX67" si="66">AVERAGE(AV67:AV81)</f>
        <v>#DIV/0!</v>
      </c>
      <c r="AZ67" s="368" t="e">
        <f t="shared" ref="AZ67:AZ81" si="67">RANK(AY67, AY$67:AY$81)</f>
        <v>#N/A</v>
      </c>
      <c r="BA67" s="661" t="e">
        <f t="shared" ref="BA67" si="68">AVERAGE(AY67:AY81)</f>
        <v>#DIV/0!</v>
      </c>
    </row>
    <row r="68" spans="2:53">
      <c r="B68" s="660"/>
      <c r="C68" s="520">
        <v>2</v>
      </c>
      <c r="D68" s="225" t="s">
        <v>702</v>
      </c>
      <c r="E68" s="521">
        <v>13</v>
      </c>
      <c r="F68" s="520">
        <v>2000</v>
      </c>
      <c r="G68" s="522">
        <v>100</v>
      </c>
      <c r="H68" s="662"/>
      <c r="I68" s="523">
        <f t="shared" si="50"/>
        <v>13</v>
      </c>
      <c r="J68" s="523">
        <f t="shared" si="51"/>
        <v>1897.1999999999975</v>
      </c>
      <c r="K68" s="199">
        <f t="shared" si="52"/>
        <v>145.93846153846135</v>
      </c>
      <c r="L68" s="647"/>
      <c r="M68" s="524">
        <f>RANK(K68, K$67:$K$81)</f>
        <v>2</v>
      </c>
      <c r="N68" s="654"/>
      <c r="O68" s="654"/>
      <c r="P68" s="560">
        <v>13</v>
      </c>
      <c r="Q68" s="562">
        <v>1897.1999999999975</v>
      </c>
      <c r="R68" s="562">
        <v>145.93846153846135</v>
      </c>
      <c r="S68" s="560">
        <f t="shared" si="53"/>
        <v>2</v>
      </c>
      <c r="T68" s="662"/>
      <c r="U68" s="560" t="s">
        <v>585</v>
      </c>
      <c r="V68" s="562" t="s">
        <v>585</v>
      </c>
      <c r="W68" s="562" t="s">
        <v>585</v>
      </c>
      <c r="X68" s="560" t="e">
        <f t="shared" si="55"/>
        <v>#VALUE!</v>
      </c>
      <c r="Y68" s="662"/>
      <c r="Z68" s="560" t="s">
        <v>585</v>
      </c>
      <c r="AA68" s="562" t="s">
        <v>585</v>
      </c>
      <c r="AB68" s="562" t="s">
        <v>585</v>
      </c>
      <c r="AC68" s="560" t="e">
        <f t="shared" si="57"/>
        <v>#VALUE!</v>
      </c>
      <c r="AD68" s="662"/>
      <c r="AE68" s="560" t="s">
        <v>585</v>
      </c>
      <c r="AF68" s="562" t="s">
        <v>585</v>
      </c>
      <c r="AG68" s="562" t="s">
        <v>585</v>
      </c>
      <c r="AH68" s="560" t="e">
        <f t="shared" si="59"/>
        <v>#VALUE!</v>
      </c>
      <c r="AI68" s="662"/>
      <c r="AJ68" s="560" t="s">
        <v>585</v>
      </c>
      <c r="AK68" s="562" t="s">
        <v>585</v>
      </c>
      <c r="AL68" s="562" t="s">
        <v>585</v>
      </c>
      <c r="AM68" s="560" t="e">
        <f t="shared" si="61"/>
        <v>#VALUE!</v>
      </c>
      <c r="AN68" s="662"/>
      <c r="AO68" s="560" t="s">
        <v>585</v>
      </c>
      <c r="AP68" s="562" t="s">
        <v>585</v>
      </c>
      <c r="AQ68" s="562" t="s">
        <v>585</v>
      </c>
      <c r="AR68" s="560" t="e">
        <f t="shared" si="63"/>
        <v>#VALUE!</v>
      </c>
      <c r="AS68" s="662"/>
      <c r="AT68" s="560" t="s">
        <v>585</v>
      </c>
      <c r="AU68" s="562" t="s">
        <v>585</v>
      </c>
      <c r="AV68" s="562" t="s">
        <v>585</v>
      </c>
      <c r="AW68" s="560" t="e">
        <f t="shared" si="65"/>
        <v>#VALUE!</v>
      </c>
      <c r="AX68" s="662"/>
      <c r="AZ68" s="368" t="e">
        <f t="shared" si="67"/>
        <v>#N/A</v>
      </c>
      <c r="BA68" s="662"/>
    </row>
    <row r="69" spans="2:53">
      <c r="B69" s="660"/>
      <c r="C69" s="520">
        <v>3</v>
      </c>
      <c r="D69" s="225"/>
      <c r="E69" s="521"/>
      <c r="F69" s="520"/>
      <c r="G69" s="522"/>
      <c r="H69" s="662"/>
      <c r="I69" s="523" t="str">
        <f t="shared" si="50"/>
        <v>-</v>
      </c>
      <c r="J69" s="523" t="str">
        <f t="shared" si="51"/>
        <v>-</v>
      </c>
      <c r="K69" s="199" t="str">
        <f t="shared" si="52"/>
        <v>-</v>
      </c>
      <c r="L69" s="647"/>
      <c r="M69" s="524" t="e">
        <f>RANK(K69, K$87:$K$101)</f>
        <v>#VALUE!</v>
      </c>
      <c r="N69" s="654"/>
      <c r="O69" s="654"/>
      <c r="P69" s="560" t="s">
        <v>585</v>
      </c>
      <c r="Q69" s="562" t="s">
        <v>585</v>
      </c>
      <c r="R69" s="562" t="s">
        <v>585</v>
      </c>
      <c r="S69" s="560" t="e">
        <f t="shared" si="53"/>
        <v>#VALUE!</v>
      </c>
      <c r="T69" s="662"/>
      <c r="U69" s="560" t="s">
        <v>585</v>
      </c>
      <c r="V69" s="562" t="s">
        <v>585</v>
      </c>
      <c r="W69" s="562" t="s">
        <v>585</v>
      </c>
      <c r="X69" s="560" t="e">
        <f t="shared" si="55"/>
        <v>#VALUE!</v>
      </c>
      <c r="Y69" s="662"/>
      <c r="Z69" s="560" t="s">
        <v>585</v>
      </c>
      <c r="AA69" s="562" t="s">
        <v>585</v>
      </c>
      <c r="AB69" s="562" t="s">
        <v>585</v>
      </c>
      <c r="AC69" s="560" t="e">
        <f t="shared" si="57"/>
        <v>#VALUE!</v>
      </c>
      <c r="AD69" s="662"/>
      <c r="AE69" s="560" t="s">
        <v>585</v>
      </c>
      <c r="AF69" s="562" t="s">
        <v>585</v>
      </c>
      <c r="AG69" s="562" t="s">
        <v>585</v>
      </c>
      <c r="AH69" s="560" t="e">
        <f t="shared" si="59"/>
        <v>#VALUE!</v>
      </c>
      <c r="AI69" s="662"/>
      <c r="AJ69" s="560" t="s">
        <v>585</v>
      </c>
      <c r="AK69" s="562" t="s">
        <v>585</v>
      </c>
      <c r="AL69" s="562" t="s">
        <v>585</v>
      </c>
      <c r="AM69" s="560" t="e">
        <f t="shared" si="61"/>
        <v>#VALUE!</v>
      </c>
      <c r="AN69" s="662"/>
      <c r="AO69" s="560" t="s">
        <v>585</v>
      </c>
      <c r="AP69" s="562" t="s">
        <v>585</v>
      </c>
      <c r="AQ69" s="562" t="s">
        <v>585</v>
      </c>
      <c r="AR69" s="560" t="e">
        <f t="shared" si="63"/>
        <v>#VALUE!</v>
      </c>
      <c r="AS69" s="662"/>
      <c r="AT69" s="560" t="s">
        <v>585</v>
      </c>
      <c r="AU69" s="562" t="s">
        <v>585</v>
      </c>
      <c r="AV69" s="562" t="s">
        <v>585</v>
      </c>
      <c r="AW69" s="560" t="e">
        <f t="shared" si="65"/>
        <v>#VALUE!</v>
      </c>
      <c r="AX69" s="662"/>
      <c r="AZ69" s="368" t="e">
        <f t="shared" si="67"/>
        <v>#N/A</v>
      </c>
      <c r="BA69" s="662"/>
    </row>
    <row r="70" spans="2:53">
      <c r="B70" s="660"/>
      <c r="C70" s="520">
        <v>4</v>
      </c>
      <c r="D70" s="225"/>
      <c r="E70" s="521"/>
      <c r="F70" s="520"/>
      <c r="G70" s="522"/>
      <c r="H70" s="662"/>
      <c r="I70" s="523" t="str">
        <f t="shared" si="50"/>
        <v>-</v>
      </c>
      <c r="J70" s="523" t="str">
        <f t="shared" si="51"/>
        <v>-</v>
      </c>
      <c r="K70" s="199" t="str">
        <f t="shared" si="52"/>
        <v>-</v>
      </c>
      <c r="L70" s="647"/>
      <c r="M70" s="524" t="e">
        <f>RANK(K70, K$87:$K$101)</f>
        <v>#VALUE!</v>
      </c>
      <c r="N70" s="654"/>
      <c r="O70" s="654"/>
      <c r="P70" s="560" t="s">
        <v>585</v>
      </c>
      <c r="Q70" s="562" t="s">
        <v>585</v>
      </c>
      <c r="R70" s="562" t="s">
        <v>585</v>
      </c>
      <c r="S70" s="560" t="e">
        <f t="shared" si="53"/>
        <v>#VALUE!</v>
      </c>
      <c r="T70" s="662"/>
      <c r="U70" s="560" t="s">
        <v>585</v>
      </c>
      <c r="V70" s="562" t="s">
        <v>585</v>
      </c>
      <c r="W70" s="562" t="s">
        <v>585</v>
      </c>
      <c r="X70" s="560" t="e">
        <f t="shared" si="55"/>
        <v>#VALUE!</v>
      </c>
      <c r="Y70" s="662"/>
      <c r="Z70" s="560" t="s">
        <v>585</v>
      </c>
      <c r="AA70" s="562" t="s">
        <v>585</v>
      </c>
      <c r="AB70" s="562" t="s">
        <v>585</v>
      </c>
      <c r="AC70" s="560" t="e">
        <f t="shared" si="57"/>
        <v>#VALUE!</v>
      </c>
      <c r="AD70" s="662"/>
      <c r="AE70" s="560" t="s">
        <v>585</v>
      </c>
      <c r="AF70" s="562" t="s">
        <v>585</v>
      </c>
      <c r="AG70" s="562" t="s">
        <v>585</v>
      </c>
      <c r="AH70" s="560" t="e">
        <f t="shared" si="59"/>
        <v>#VALUE!</v>
      </c>
      <c r="AI70" s="662"/>
      <c r="AJ70" s="560" t="s">
        <v>585</v>
      </c>
      <c r="AK70" s="562" t="s">
        <v>585</v>
      </c>
      <c r="AL70" s="562" t="s">
        <v>585</v>
      </c>
      <c r="AM70" s="560" t="e">
        <f t="shared" si="61"/>
        <v>#VALUE!</v>
      </c>
      <c r="AN70" s="662"/>
      <c r="AO70" s="560" t="s">
        <v>585</v>
      </c>
      <c r="AP70" s="562" t="s">
        <v>585</v>
      </c>
      <c r="AQ70" s="562" t="s">
        <v>585</v>
      </c>
      <c r="AR70" s="560" t="e">
        <f t="shared" si="63"/>
        <v>#VALUE!</v>
      </c>
      <c r="AS70" s="662"/>
      <c r="AT70" s="560" t="s">
        <v>585</v>
      </c>
      <c r="AU70" s="562" t="s">
        <v>585</v>
      </c>
      <c r="AV70" s="562" t="s">
        <v>585</v>
      </c>
      <c r="AW70" s="560" t="e">
        <f t="shared" si="65"/>
        <v>#VALUE!</v>
      </c>
      <c r="AX70" s="662"/>
      <c r="AZ70" s="368" t="e">
        <f t="shared" si="67"/>
        <v>#N/A</v>
      </c>
      <c r="BA70" s="662"/>
    </row>
    <row r="71" spans="2:53">
      <c r="B71" s="660"/>
      <c r="C71" s="520">
        <v>5</v>
      </c>
      <c r="D71" s="225"/>
      <c r="E71" s="521"/>
      <c r="F71" s="520"/>
      <c r="G71" s="522"/>
      <c r="H71" s="662"/>
      <c r="I71" s="523" t="str">
        <f t="shared" si="50"/>
        <v>-</v>
      </c>
      <c r="J71" s="523" t="str">
        <f t="shared" si="51"/>
        <v>-</v>
      </c>
      <c r="K71" s="199" t="str">
        <f t="shared" si="52"/>
        <v>-</v>
      </c>
      <c r="L71" s="647"/>
      <c r="M71" s="524" t="e">
        <f>RANK(K71, K$87:$K$101)</f>
        <v>#VALUE!</v>
      </c>
      <c r="N71" s="654"/>
      <c r="O71" s="654"/>
      <c r="P71" s="560" t="s">
        <v>585</v>
      </c>
      <c r="Q71" s="562" t="s">
        <v>585</v>
      </c>
      <c r="R71" s="562" t="s">
        <v>585</v>
      </c>
      <c r="S71" s="560" t="e">
        <f t="shared" si="53"/>
        <v>#VALUE!</v>
      </c>
      <c r="T71" s="662"/>
      <c r="U71" s="560" t="s">
        <v>585</v>
      </c>
      <c r="V71" s="562" t="s">
        <v>585</v>
      </c>
      <c r="W71" s="562" t="s">
        <v>585</v>
      </c>
      <c r="X71" s="560" t="e">
        <f t="shared" si="55"/>
        <v>#VALUE!</v>
      </c>
      <c r="Y71" s="662"/>
      <c r="Z71" s="560" t="s">
        <v>585</v>
      </c>
      <c r="AA71" s="562" t="s">
        <v>585</v>
      </c>
      <c r="AB71" s="562" t="s">
        <v>585</v>
      </c>
      <c r="AC71" s="560" t="e">
        <f t="shared" si="57"/>
        <v>#VALUE!</v>
      </c>
      <c r="AD71" s="662"/>
      <c r="AE71" s="560" t="s">
        <v>585</v>
      </c>
      <c r="AF71" s="562" t="s">
        <v>585</v>
      </c>
      <c r="AG71" s="562" t="s">
        <v>585</v>
      </c>
      <c r="AH71" s="560" t="e">
        <f t="shared" si="59"/>
        <v>#VALUE!</v>
      </c>
      <c r="AI71" s="662"/>
      <c r="AJ71" s="560" t="s">
        <v>585</v>
      </c>
      <c r="AK71" s="562" t="s">
        <v>585</v>
      </c>
      <c r="AL71" s="562" t="s">
        <v>585</v>
      </c>
      <c r="AM71" s="560" t="e">
        <f t="shared" si="61"/>
        <v>#VALUE!</v>
      </c>
      <c r="AN71" s="662"/>
      <c r="AO71" s="560" t="s">
        <v>585</v>
      </c>
      <c r="AP71" s="562" t="s">
        <v>585</v>
      </c>
      <c r="AQ71" s="562" t="s">
        <v>585</v>
      </c>
      <c r="AR71" s="560" t="e">
        <f t="shared" si="63"/>
        <v>#VALUE!</v>
      </c>
      <c r="AS71" s="662"/>
      <c r="AT71" s="560" t="s">
        <v>585</v>
      </c>
      <c r="AU71" s="562" t="s">
        <v>585</v>
      </c>
      <c r="AV71" s="562" t="s">
        <v>585</v>
      </c>
      <c r="AW71" s="560" t="e">
        <f t="shared" si="65"/>
        <v>#VALUE!</v>
      </c>
      <c r="AX71" s="662"/>
      <c r="AZ71" s="368" t="e">
        <f t="shared" si="67"/>
        <v>#N/A</v>
      </c>
      <c r="BA71" s="662"/>
    </row>
    <row r="72" spans="2:53">
      <c r="B72" s="660"/>
      <c r="C72" s="520">
        <v>6</v>
      </c>
      <c r="D72" s="225"/>
      <c r="E72" s="521"/>
      <c r="F72" s="520"/>
      <c r="G72" s="522"/>
      <c r="H72" s="662"/>
      <c r="I72" s="523" t="str">
        <f t="shared" si="50"/>
        <v>-</v>
      </c>
      <c r="J72" s="523" t="str">
        <f t="shared" si="51"/>
        <v>-</v>
      </c>
      <c r="K72" s="199" t="str">
        <f t="shared" si="52"/>
        <v>-</v>
      </c>
      <c r="L72" s="647"/>
      <c r="M72" s="524" t="e">
        <f>RANK(K72, K$87:$K$101)</f>
        <v>#VALUE!</v>
      </c>
      <c r="N72" s="654"/>
      <c r="O72" s="654"/>
      <c r="P72" s="560" t="s">
        <v>585</v>
      </c>
      <c r="Q72" s="562" t="s">
        <v>585</v>
      </c>
      <c r="R72" s="562" t="s">
        <v>585</v>
      </c>
      <c r="S72" s="560" t="e">
        <f t="shared" si="53"/>
        <v>#VALUE!</v>
      </c>
      <c r="T72" s="662"/>
      <c r="U72" s="560" t="s">
        <v>585</v>
      </c>
      <c r="V72" s="562" t="s">
        <v>585</v>
      </c>
      <c r="W72" s="562" t="s">
        <v>585</v>
      </c>
      <c r="X72" s="560" t="e">
        <f t="shared" si="55"/>
        <v>#VALUE!</v>
      </c>
      <c r="Y72" s="662"/>
      <c r="Z72" s="560" t="s">
        <v>585</v>
      </c>
      <c r="AA72" s="562" t="s">
        <v>585</v>
      </c>
      <c r="AB72" s="562" t="s">
        <v>585</v>
      </c>
      <c r="AC72" s="560" t="e">
        <f t="shared" si="57"/>
        <v>#VALUE!</v>
      </c>
      <c r="AD72" s="662"/>
      <c r="AE72" s="560" t="s">
        <v>585</v>
      </c>
      <c r="AF72" s="562" t="s">
        <v>585</v>
      </c>
      <c r="AG72" s="562" t="s">
        <v>585</v>
      </c>
      <c r="AH72" s="560" t="e">
        <f t="shared" si="59"/>
        <v>#VALUE!</v>
      </c>
      <c r="AI72" s="662"/>
      <c r="AJ72" s="560" t="s">
        <v>585</v>
      </c>
      <c r="AK72" s="562" t="s">
        <v>585</v>
      </c>
      <c r="AL72" s="562" t="s">
        <v>585</v>
      </c>
      <c r="AM72" s="560" t="e">
        <f t="shared" si="61"/>
        <v>#VALUE!</v>
      </c>
      <c r="AN72" s="662"/>
      <c r="AO72" s="560" t="s">
        <v>585</v>
      </c>
      <c r="AP72" s="562" t="s">
        <v>585</v>
      </c>
      <c r="AQ72" s="562" t="s">
        <v>585</v>
      </c>
      <c r="AR72" s="560" t="e">
        <f t="shared" si="63"/>
        <v>#VALUE!</v>
      </c>
      <c r="AS72" s="662"/>
      <c r="AT72" s="560" t="s">
        <v>585</v>
      </c>
      <c r="AU72" s="562" t="s">
        <v>585</v>
      </c>
      <c r="AV72" s="562" t="s">
        <v>585</v>
      </c>
      <c r="AW72" s="560" t="e">
        <f t="shared" si="65"/>
        <v>#VALUE!</v>
      </c>
      <c r="AX72" s="662"/>
      <c r="AZ72" s="368" t="e">
        <f t="shared" si="67"/>
        <v>#N/A</v>
      </c>
      <c r="BA72" s="662"/>
    </row>
    <row r="73" spans="2:53">
      <c r="B73" s="660"/>
      <c r="C73" s="520">
        <v>7</v>
      </c>
      <c r="D73" s="225"/>
      <c r="E73" s="521"/>
      <c r="F73" s="520"/>
      <c r="G73" s="522"/>
      <c r="H73" s="662"/>
      <c r="I73" s="523" t="str">
        <f t="shared" si="50"/>
        <v>-</v>
      </c>
      <c r="J73" s="523" t="str">
        <f t="shared" si="51"/>
        <v>-</v>
      </c>
      <c r="K73" s="199" t="str">
        <f t="shared" si="52"/>
        <v>-</v>
      </c>
      <c r="L73" s="647"/>
      <c r="M73" s="524" t="e">
        <f>RANK(K73, K$87:$K$101)</f>
        <v>#VALUE!</v>
      </c>
      <c r="N73" s="654"/>
      <c r="O73" s="654"/>
      <c r="P73" s="560" t="s">
        <v>585</v>
      </c>
      <c r="Q73" s="562" t="s">
        <v>585</v>
      </c>
      <c r="R73" s="562" t="s">
        <v>585</v>
      </c>
      <c r="S73" s="560" t="e">
        <f t="shared" si="53"/>
        <v>#VALUE!</v>
      </c>
      <c r="T73" s="662"/>
      <c r="U73" s="560" t="s">
        <v>585</v>
      </c>
      <c r="V73" s="562" t="s">
        <v>585</v>
      </c>
      <c r="W73" s="562" t="s">
        <v>585</v>
      </c>
      <c r="X73" s="560" t="e">
        <f t="shared" si="55"/>
        <v>#VALUE!</v>
      </c>
      <c r="Y73" s="662"/>
      <c r="Z73" s="560" t="s">
        <v>585</v>
      </c>
      <c r="AA73" s="562" t="s">
        <v>585</v>
      </c>
      <c r="AB73" s="562" t="s">
        <v>585</v>
      </c>
      <c r="AC73" s="560" t="e">
        <f t="shared" si="57"/>
        <v>#VALUE!</v>
      </c>
      <c r="AD73" s="662"/>
      <c r="AE73" s="560" t="s">
        <v>585</v>
      </c>
      <c r="AF73" s="562" t="s">
        <v>585</v>
      </c>
      <c r="AG73" s="562" t="s">
        <v>585</v>
      </c>
      <c r="AH73" s="560" t="e">
        <f t="shared" si="59"/>
        <v>#VALUE!</v>
      </c>
      <c r="AI73" s="662"/>
      <c r="AJ73" s="560" t="s">
        <v>585</v>
      </c>
      <c r="AK73" s="562" t="s">
        <v>585</v>
      </c>
      <c r="AL73" s="562" t="s">
        <v>585</v>
      </c>
      <c r="AM73" s="560" t="e">
        <f t="shared" si="61"/>
        <v>#VALUE!</v>
      </c>
      <c r="AN73" s="662"/>
      <c r="AO73" s="560" t="s">
        <v>585</v>
      </c>
      <c r="AP73" s="562" t="s">
        <v>585</v>
      </c>
      <c r="AQ73" s="562" t="s">
        <v>585</v>
      </c>
      <c r="AR73" s="560" t="e">
        <f t="shared" si="63"/>
        <v>#VALUE!</v>
      </c>
      <c r="AS73" s="662"/>
      <c r="AT73" s="560" t="s">
        <v>585</v>
      </c>
      <c r="AU73" s="562" t="s">
        <v>585</v>
      </c>
      <c r="AV73" s="562" t="s">
        <v>585</v>
      </c>
      <c r="AW73" s="560" t="e">
        <f t="shared" si="65"/>
        <v>#VALUE!</v>
      </c>
      <c r="AX73" s="662"/>
      <c r="AZ73" s="368" t="e">
        <f t="shared" si="67"/>
        <v>#N/A</v>
      </c>
      <c r="BA73" s="662"/>
    </row>
    <row r="74" spans="2:53">
      <c r="B74" s="660"/>
      <c r="C74" s="520">
        <v>8</v>
      </c>
      <c r="D74" s="225"/>
      <c r="E74" s="521"/>
      <c r="F74" s="520"/>
      <c r="G74" s="522"/>
      <c r="H74" s="662"/>
      <c r="I74" s="523" t="str">
        <f t="shared" si="50"/>
        <v>-</v>
      </c>
      <c r="J74" s="523" t="str">
        <f t="shared" si="51"/>
        <v>-</v>
      </c>
      <c r="K74" s="199" t="str">
        <f t="shared" si="52"/>
        <v>-</v>
      </c>
      <c r="L74" s="647"/>
      <c r="M74" s="524" t="e">
        <f>RANK(K74, K$87:$K$101)</f>
        <v>#VALUE!</v>
      </c>
      <c r="N74" s="654"/>
      <c r="O74" s="654"/>
      <c r="P74" s="560" t="s">
        <v>585</v>
      </c>
      <c r="Q74" s="562" t="s">
        <v>585</v>
      </c>
      <c r="R74" s="562" t="s">
        <v>585</v>
      </c>
      <c r="S74" s="560" t="e">
        <f t="shared" si="53"/>
        <v>#VALUE!</v>
      </c>
      <c r="T74" s="662"/>
      <c r="U74" s="560" t="s">
        <v>585</v>
      </c>
      <c r="V74" s="562" t="s">
        <v>585</v>
      </c>
      <c r="W74" s="562" t="s">
        <v>585</v>
      </c>
      <c r="X74" s="560" t="e">
        <f t="shared" si="55"/>
        <v>#VALUE!</v>
      </c>
      <c r="Y74" s="662"/>
      <c r="Z74" s="560" t="s">
        <v>585</v>
      </c>
      <c r="AA74" s="562" t="s">
        <v>585</v>
      </c>
      <c r="AB74" s="562" t="s">
        <v>585</v>
      </c>
      <c r="AC74" s="560" t="e">
        <f t="shared" si="57"/>
        <v>#VALUE!</v>
      </c>
      <c r="AD74" s="662"/>
      <c r="AE74" s="560" t="s">
        <v>585</v>
      </c>
      <c r="AF74" s="562" t="s">
        <v>585</v>
      </c>
      <c r="AG74" s="562" t="s">
        <v>585</v>
      </c>
      <c r="AH74" s="560" t="e">
        <f t="shared" si="59"/>
        <v>#VALUE!</v>
      </c>
      <c r="AI74" s="662"/>
      <c r="AJ74" s="560" t="s">
        <v>585</v>
      </c>
      <c r="AK74" s="562" t="s">
        <v>585</v>
      </c>
      <c r="AL74" s="562" t="s">
        <v>585</v>
      </c>
      <c r="AM74" s="560" t="e">
        <f t="shared" si="61"/>
        <v>#VALUE!</v>
      </c>
      <c r="AN74" s="662"/>
      <c r="AO74" s="560" t="s">
        <v>585</v>
      </c>
      <c r="AP74" s="562" t="s">
        <v>585</v>
      </c>
      <c r="AQ74" s="562" t="s">
        <v>585</v>
      </c>
      <c r="AR74" s="560" t="e">
        <f t="shared" si="63"/>
        <v>#VALUE!</v>
      </c>
      <c r="AS74" s="662"/>
      <c r="AT74" s="560" t="s">
        <v>585</v>
      </c>
      <c r="AU74" s="562" t="s">
        <v>585</v>
      </c>
      <c r="AV74" s="562" t="s">
        <v>585</v>
      </c>
      <c r="AW74" s="560" t="e">
        <f t="shared" si="65"/>
        <v>#VALUE!</v>
      </c>
      <c r="AX74" s="662"/>
      <c r="AZ74" s="368" t="e">
        <f t="shared" si="67"/>
        <v>#N/A</v>
      </c>
      <c r="BA74" s="662"/>
    </row>
    <row r="75" spans="2:53">
      <c r="B75" s="660"/>
      <c r="C75" s="520">
        <v>9</v>
      </c>
      <c r="D75" s="225"/>
      <c r="E75" s="521"/>
      <c r="F75" s="520"/>
      <c r="G75" s="522"/>
      <c r="H75" s="662"/>
      <c r="I75" s="523" t="str">
        <f t="shared" si="50"/>
        <v>-</v>
      </c>
      <c r="J75" s="523" t="str">
        <f t="shared" si="51"/>
        <v>-</v>
      </c>
      <c r="K75" s="199" t="str">
        <f t="shared" si="52"/>
        <v>-</v>
      </c>
      <c r="L75" s="647"/>
      <c r="M75" s="524" t="e">
        <f>RANK(K75, K$87:$K$101)</f>
        <v>#VALUE!</v>
      </c>
      <c r="N75" s="654"/>
      <c r="O75" s="654"/>
      <c r="P75" s="560" t="s">
        <v>585</v>
      </c>
      <c r="Q75" s="562" t="s">
        <v>585</v>
      </c>
      <c r="R75" s="562" t="s">
        <v>585</v>
      </c>
      <c r="S75" s="560" t="e">
        <f t="shared" si="53"/>
        <v>#VALUE!</v>
      </c>
      <c r="T75" s="662"/>
      <c r="U75" s="560" t="s">
        <v>585</v>
      </c>
      <c r="V75" s="562" t="s">
        <v>585</v>
      </c>
      <c r="W75" s="562" t="s">
        <v>585</v>
      </c>
      <c r="X75" s="560" t="e">
        <f t="shared" si="55"/>
        <v>#VALUE!</v>
      </c>
      <c r="Y75" s="662"/>
      <c r="Z75" s="560" t="s">
        <v>585</v>
      </c>
      <c r="AA75" s="562" t="s">
        <v>585</v>
      </c>
      <c r="AB75" s="562" t="s">
        <v>585</v>
      </c>
      <c r="AC75" s="560" t="e">
        <f t="shared" si="57"/>
        <v>#VALUE!</v>
      </c>
      <c r="AD75" s="662"/>
      <c r="AE75" s="560" t="s">
        <v>585</v>
      </c>
      <c r="AF75" s="562" t="s">
        <v>585</v>
      </c>
      <c r="AG75" s="562" t="s">
        <v>585</v>
      </c>
      <c r="AH75" s="560" t="e">
        <f t="shared" si="59"/>
        <v>#VALUE!</v>
      </c>
      <c r="AI75" s="662"/>
      <c r="AJ75" s="560" t="s">
        <v>585</v>
      </c>
      <c r="AK75" s="562" t="s">
        <v>585</v>
      </c>
      <c r="AL75" s="562" t="s">
        <v>585</v>
      </c>
      <c r="AM75" s="560" t="e">
        <f t="shared" si="61"/>
        <v>#VALUE!</v>
      </c>
      <c r="AN75" s="662"/>
      <c r="AO75" s="560" t="s">
        <v>585</v>
      </c>
      <c r="AP75" s="562" t="s">
        <v>585</v>
      </c>
      <c r="AQ75" s="562" t="s">
        <v>585</v>
      </c>
      <c r="AR75" s="560" t="e">
        <f t="shared" si="63"/>
        <v>#VALUE!</v>
      </c>
      <c r="AS75" s="662"/>
      <c r="AT75" s="560" t="s">
        <v>585</v>
      </c>
      <c r="AU75" s="562" t="s">
        <v>585</v>
      </c>
      <c r="AV75" s="562" t="s">
        <v>585</v>
      </c>
      <c r="AW75" s="560" t="e">
        <f t="shared" si="65"/>
        <v>#VALUE!</v>
      </c>
      <c r="AX75" s="662"/>
      <c r="AZ75" s="368" t="e">
        <f t="shared" si="67"/>
        <v>#N/A</v>
      </c>
      <c r="BA75" s="662"/>
    </row>
    <row r="76" spans="2:53">
      <c r="B76" s="660"/>
      <c r="C76" s="520">
        <v>10</v>
      </c>
      <c r="D76" s="225"/>
      <c r="E76" s="521"/>
      <c r="F76" s="520"/>
      <c r="G76" s="522"/>
      <c r="H76" s="662"/>
      <c r="I76" s="523" t="str">
        <f t="shared" si="50"/>
        <v>-</v>
      </c>
      <c r="J76" s="523" t="str">
        <f t="shared" si="51"/>
        <v>-</v>
      </c>
      <c r="K76" s="199" t="str">
        <f t="shared" si="52"/>
        <v>-</v>
      </c>
      <c r="L76" s="647"/>
      <c r="M76" s="524" t="e">
        <f>RANK(K76, K$87:$K$101)</f>
        <v>#VALUE!</v>
      </c>
      <c r="N76" s="654"/>
      <c r="O76" s="654"/>
      <c r="P76" s="560" t="s">
        <v>585</v>
      </c>
      <c r="Q76" s="562" t="s">
        <v>585</v>
      </c>
      <c r="R76" s="562" t="s">
        <v>585</v>
      </c>
      <c r="S76" s="560" t="e">
        <f t="shared" si="53"/>
        <v>#VALUE!</v>
      </c>
      <c r="T76" s="662"/>
      <c r="U76" s="560" t="s">
        <v>585</v>
      </c>
      <c r="V76" s="562" t="s">
        <v>585</v>
      </c>
      <c r="W76" s="562" t="s">
        <v>585</v>
      </c>
      <c r="X76" s="560" t="e">
        <f t="shared" si="55"/>
        <v>#VALUE!</v>
      </c>
      <c r="Y76" s="662"/>
      <c r="Z76" s="560" t="s">
        <v>585</v>
      </c>
      <c r="AA76" s="562" t="s">
        <v>585</v>
      </c>
      <c r="AB76" s="562" t="s">
        <v>585</v>
      </c>
      <c r="AC76" s="560" t="e">
        <f t="shared" si="57"/>
        <v>#VALUE!</v>
      </c>
      <c r="AD76" s="662"/>
      <c r="AE76" s="560" t="s">
        <v>585</v>
      </c>
      <c r="AF76" s="562" t="s">
        <v>585</v>
      </c>
      <c r="AG76" s="562" t="s">
        <v>585</v>
      </c>
      <c r="AH76" s="560" t="e">
        <f t="shared" si="59"/>
        <v>#VALUE!</v>
      </c>
      <c r="AI76" s="662"/>
      <c r="AJ76" s="560" t="s">
        <v>585</v>
      </c>
      <c r="AK76" s="562" t="s">
        <v>585</v>
      </c>
      <c r="AL76" s="562" t="s">
        <v>585</v>
      </c>
      <c r="AM76" s="560" t="e">
        <f t="shared" si="61"/>
        <v>#VALUE!</v>
      </c>
      <c r="AN76" s="662"/>
      <c r="AO76" s="560" t="s">
        <v>585</v>
      </c>
      <c r="AP76" s="562" t="s">
        <v>585</v>
      </c>
      <c r="AQ76" s="562" t="s">
        <v>585</v>
      </c>
      <c r="AR76" s="560" t="e">
        <f t="shared" si="63"/>
        <v>#VALUE!</v>
      </c>
      <c r="AS76" s="662"/>
      <c r="AT76" s="560" t="s">
        <v>585</v>
      </c>
      <c r="AU76" s="562" t="s">
        <v>585</v>
      </c>
      <c r="AV76" s="562" t="s">
        <v>585</v>
      </c>
      <c r="AW76" s="560" t="e">
        <f t="shared" si="65"/>
        <v>#VALUE!</v>
      </c>
      <c r="AX76" s="662"/>
      <c r="AZ76" s="368" t="e">
        <f t="shared" si="67"/>
        <v>#N/A</v>
      </c>
      <c r="BA76" s="662"/>
    </row>
    <row r="77" spans="2:53">
      <c r="B77" s="660"/>
      <c r="C77" s="520">
        <v>11</v>
      </c>
      <c r="D77" s="225"/>
      <c r="E77" s="521"/>
      <c r="F77" s="520"/>
      <c r="G77" s="522"/>
      <c r="H77" s="662"/>
      <c r="I77" s="523" t="str">
        <f t="shared" si="50"/>
        <v>-</v>
      </c>
      <c r="J77" s="523" t="str">
        <f t="shared" si="51"/>
        <v>-</v>
      </c>
      <c r="K77" s="199" t="str">
        <f t="shared" si="52"/>
        <v>-</v>
      </c>
      <c r="L77" s="647"/>
      <c r="M77" s="524" t="e">
        <f>RANK(K77, K$87:$K$101)</f>
        <v>#VALUE!</v>
      </c>
      <c r="N77" s="654"/>
      <c r="O77" s="654"/>
      <c r="P77" s="560" t="s">
        <v>585</v>
      </c>
      <c r="Q77" s="562" t="s">
        <v>585</v>
      </c>
      <c r="R77" s="562" t="s">
        <v>585</v>
      </c>
      <c r="S77" s="560" t="e">
        <f t="shared" si="53"/>
        <v>#VALUE!</v>
      </c>
      <c r="T77" s="662"/>
      <c r="U77" s="560" t="s">
        <v>585</v>
      </c>
      <c r="V77" s="562" t="s">
        <v>585</v>
      </c>
      <c r="W77" s="562" t="s">
        <v>585</v>
      </c>
      <c r="X77" s="560" t="e">
        <f t="shared" si="55"/>
        <v>#VALUE!</v>
      </c>
      <c r="Y77" s="662"/>
      <c r="Z77" s="560" t="s">
        <v>585</v>
      </c>
      <c r="AA77" s="562" t="s">
        <v>585</v>
      </c>
      <c r="AB77" s="562" t="s">
        <v>585</v>
      </c>
      <c r="AC77" s="560" t="e">
        <f t="shared" si="57"/>
        <v>#VALUE!</v>
      </c>
      <c r="AD77" s="662"/>
      <c r="AE77" s="560" t="s">
        <v>585</v>
      </c>
      <c r="AF77" s="562" t="s">
        <v>585</v>
      </c>
      <c r="AG77" s="562" t="s">
        <v>585</v>
      </c>
      <c r="AH77" s="560" t="e">
        <f t="shared" si="59"/>
        <v>#VALUE!</v>
      </c>
      <c r="AI77" s="662"/>
      <c r="AJ77" s="560" t="s">
        <v>585</v>
      </c>
      <c r="AK77" s="562" t="s">
        <v>585</v>
      </c>
      <c r="AL77" s="562" t="s">
        <v>585</v>
      </c>
      <c r="AM77" s="560" t="e">
        <f t="shared" si="61"/>
        <v>#VALUE!</v>
      </c>
      <c r="AN77" s="662"/>
      <c r="AO77" s="560" t="s">
        <v>585</v>
      </c>
      <c r="AP77" s="562" t="s">
        <v>585</v>
      </c>
      <c r="AQ77" s="562" t="s">
        <v>585</v>
      </c>
      <c r="AR77" s="560" t="e">
        <f t="shared" si="63"/>
        <v>#VALUE!</v>
      </c>
      <c r="AS77" s="662"/>
      <c r="AT77" s="560" t="s">
        <v>585</v>
      </c>
      <c r="AU77" s="562" t="s">
        <v>585</v>
      </c>
      <c r="AV77" s="562" t="s">
        <v>585</v>
      </c>
      <c r="AW77" s="560" t="e">
        <f t="shared" si="65"/>
        <v>#VALUE!</v>
      </c>
      <c r="AX77" s="662"/>
      <c r="AZ77" s="368" t="e">
        <f t="shared" si="67"/>
        <v>#N/A</v>
      </c>
      <c r="BA77" s="662"/>
    </row>
    <row r="78" spans="2:53">
      <c r="B78" s="660"/>
      <c r="C78" s="520">
        <v>12</v>
      </c>
      <c r="D78" s="225"/>
      <c r="E78" s="521"/>
      <c r="F78" s="520"/>
      <c r="G78" s="522"/>
      <c r="H78" s="662"/>
      <c r="I78" s="523" t="str">
        <f t="shared" si="50"/>
        <v>-</v>
      </c>
      <c r="J78" s="523" t="str">
        <f t="shared" si="51"/>
        <v>-</v>
      </c>
      <c r="K78" s="199" t="str">
        <f t="shared" si="52"/>
        <v>-</v>
      </c>
      <c r="L78" s="647"/>
      <c r="M78" s="524" t="e">
        <f>RANK(K78, K$87:$K$101)</f>
        <v>#VALUE!</v>
      </c>
      <c r="N78" s="654"/>
      <c r="O78" s="654"/>
      <c r="P78" s="560" t="s">
        <v>585</v>
      </c>
      <c r="Q78" s="562" t="s">
        <v>585</v>
      </c>
      <c r="R78" s="562" t="s">
        <v>585</v>
      </c>
      <c r="S78" s="560" t="e">
        <f t="shared" si="53"/>
        <v>#VALUE!</v>
      </c>
      <c r="T78" s="662"/>
      <c r="U78" s="560" t="s">
        <v>585</v>
      </c>
      <c r="V78" s="562" t="s">
        <v>585</v>
      </c>
      <c r="W78" s="562" t="s">
        <v>585</v>
      </c>
      <c r="X78" s="560" t="e">
        <f t="shared" si="55"/>
        <v>#VALUE!</v>
      </c>
      <c r="Y78" s="662"/>
      <c r="Z78" s="560" t="s">
        <v>585</v>
      </c>
      <c r="AA78" s="562" t="s">
        <v>585</v>
      </c>
      <c r="AB78" s="562" t="s">
        <v>585</v>
      </c>
      <c r="AC78" s="560" t="e">
        <f t="shared" si="57"/>
        <v>#VALUE!</v>
      </c>
      <c r="AD78" s="662"/>
      <c r="AE78" s="560" t="s">
        <v>585</v>
      </c>
      <c r="AF78" s="562" t="s">
        <v>585</v>
      </c>
      <c r="AG78" s="562" t="s">
        <v>585</v>
      </c>
      <c r="AH78" s="560" t="e">
        <f t="shared" si="59"/>
        <v>#VALUE!</v>
      </c>
      <c r="AI78" s="662"/>
      <c r="AJ78" s="560" t="s">
        <v>585</v>
      </c>
      <c r="AK78" s="562" t="s">
        <v>585</v>
      </c>
      <c r="AL78" s="562" t="s">
        <v>585</v>
      </c>
      <c r="AM78" s="560" t="e">
        <f t="shared" si="61"/>
        <v>#VALUE!</v>
      </c>
      <c r="AN78" s="662"/>
      <c r="AO78" s="560" t="s">
        <v>585</v>
      </c>
      <c r="AP78" s="562" t="s">
        <v>585</v>
      </c>
      <c r="AQ78" s="562" t="s">
        <v>585</v>
      </c>
      <c r="AR78" s="560" t="e">
        <f t="shared" si="63"/>
        <v>#VALUE!</v>
      </c>
      <c r="AS78" s="662"/>
      <c r="AT78" s="560" t="s">
        <v>585</v>
      </c>
      <c r="AU78" s="562" t="s">
        <v>585</v>
      </c>
      <c r="AV78" s="562" t="s">
        <v>585</v>
      </c>
      <c r="AW78" s="560" t="e">
        <f t="shared" si="65"/>
        <v>#VALUE!</v>
      </c>
      <c r="AX78" s="662"/>
      <c r="AZ78" s="368" t="e">
        <f t="shared" si="67"/>
        <v>#N/A</v>
      </c>
      <c r="BA78" s="662"/>
    </row>
    <row r="79" spans="2:53">
      <c r="B79" s="660"/>
      <c r="C79" s="520">
        <v>13</v>
      </c>
      <c r="D79" s="225"/>
      <c r="E79" s="521"/>
      <c r="F79" s="520"/>
      <c r="G79" s="522"/>
      <c r="H79" s="662"/>
      <c r="I79" s="523" t="str">
        <f t="shared" si="50"/>
        <v>-</v>
      </c>
      <c r="J79" s="523" t="str">
        <f t="shared" si="51"/>
        <v>-</v>
      </c>
      <c r="K79" s="199" t="str">
        <f t="shared" si="52"/>
        <v>-</v>
      </c>
      <c r="L79" s="647"/>
      <c r="M79" s="524" t="e">
        <f>RANK(K79, K$87:$K$101)</f>
        <v>#VALUE!</v>
      </c>
      <c r="N79" s="654"/>
      <c r="O79" s="654"/>
      <c r="P79" s="560" t="s">
        <v>585</v>
      </c>
      <c r="Q79" s="562" t="s">
        <v>585</v>
      </c>
      <c r="R79" s="562" t="s">
        <v>585</v>
      </c>
      <c r="S79" s="560" t="e">
        <f t="shared" si="53"/>
        <v>#VALUE!</v>
      </c>
      <c r="T79" s="662"/>
      <c r="U79" s="560" t="s">
        <v>585</v>
      </c>
      <c r="V79" s="562" t="s">
        <v>585</v>
      </c>
      <c r="W79" s="562" t="s">
        <v>585</v>
      </c>
      <c r="X79" s="560" t="e">
        <f t="shared" si="55"/>
        <v>#VALUE!</v>
      </c>
      <c r="Y79" s="662"/>
      <c r="Z79" s="560" t="s">
        <v>585</v>
      </c>
      <c r="AA79" s="562" t="s">
        <v>585</v>
      </c>
      <c r="AB79" s="562" t="s">
        <v>585</v>
      </c>
      <c r="AC79" s="560" t="e">
        <f t="shared" si="57"/>
        <v>#VALUE!</v>
      </c>
      <c r="AD79" s="662"/>
      <c r="AE79" s="560" t="s">
        <v>585</v>
      </c>
      <c r="AF79" s="562" t="s">
        <v>585</v>
      </c>
      <c r="AG79" s="562" t="s">
        <v>585</v>
      </c>
      <c r="AH79" s="560" t="e">
        <f t="shared" si="59"/>
        <v>#VALUE!</v>
      </c>
      <c r="AI79" s="662"/>
      <c r="AJ79" s="560" t="s">
        <v>585</v>
      </c>
      <c r="AK79" s="562" t="s">
        <v>585</v>
      </c>
      <c r="AL79" s="562" t="s">
        <v>585</v>
      </c>
      <c r="AM79" s="560" t="e">
        <f t="shared" si="61"/>
        <v>#VALUE!</v>
      </c>
      <c r="AN79" s="662"/>
      <c r="AO79" s="560" t="s">
        <v>585</v>
      </c>
      <c r="AP79" s="562" t="s">
        <v>585</v>
      </c>
      <c r="AQ79" s="562" t="s">
        <v>585</v>
      </c>
      <c r="AR79" s="560" t="e">
        <f t="shared" si="63"/>
        <v>#VALUE!</v>
      </c>
      <c r="AS79" s="662"/>
      <c r="AT79" s="560" t="s">
        <v>585</v>
      </c>
      <c r="AU79" s="562" t="s">
        <v>585</v>
      </c>
      <c r="AV79" s="562" t="s">
        <v>585</v>
      </c>
      <c r="AW79" s="560" t="e">
        <f t="shared" si="65"/>
        <v>#VALUE!</v>
      </c>
      <c r="AX79" s="662"/>
      <c r="AZ79" s="368" t="e">
        <f t="shared" si="67"/>
        <v>#N/A</v>
      </c>
      <c r="BA79" s="662"/>
    </row>
    <row r="80" spans="2:53">
      <c r="B80" s="660"/>
      <c r="C80" s="520">
        <v>14</v>
      </c>
      <c r="D80" s="225"/>
      <c r="E80" s="521"/>
      <c r="F80" s="520"/>
      <c r="G80" s="522"/>
      <c r="H80" s="662"/>
      <c r="I80" s="523" t="str">
        <f t="shared" si="50"/>
        <v>-</v>
      </c>
      <c r="J80" s="523" t="str">
        <f t="shared" si="51"/>
        <v>-</v>
      </c>
      <c r="K80" s="199" t="str">
        <f t="shared" si="52"/>
        <v>-</v>
      </c>
      <c r="L80" s="647"/>
      <c r="M80" s="524" t="e">
        <f>RANK(K80, K$87:$K$101)</f>
        <v>#VALUE!</v>
      </c>
      <c r="N80" s="654"/>
      <c r="O80" s="654"/>
      <c r="P80" s="560" t="s">
        <v>585</v>
      </c>
      <c r="Q80" s="562" t="s">
        <v>585</v>
      </c>
      <c r="R80" s="562" t="s">
        <v>585</v>
      </c>
      <c r="S80" s="560" t="e">
        <f t="shared" si="53"/>
        <v>#VALUE!</v>
      </c>
      <c r="T80" s="662"/>
      <c r="U80" s="560" t="s">
        <v>585</v>
      </c>
      <c r="V80" s="562" t="s">
        <v>585</v>
      </c>
      <c r="W80" s="562" t="s">
        <v>585</v>
      </c>
      <c r="X80" s="560" t="e">
        <f t="shared" si="55"/>
        <v>#VALUE!</v>
      </c>
      <c r="Y80" s="662"/>
      <c r="Z80" s="560" t="s">
        <v>585</v>
      </c>
      <c r="AA80" s="562" t="s">
        <v>585</v>
      </c>
      <c r="AB80" s="562" t="s">
        <v>585</v>
      </c>
      <c r="AC80" s="560" t="e">
        <f t="shared" si="57"/>
        <v>#VALUE!</v>
      </c>
      <c r="AD80" s="662"/>
      <c r="AE80" s="560" t="s">
        <v>585</v>
      </c>
      <c r="AF80" s="562" t="s">
        <v>585</v>
      </c>
      <c r="AG80" s="562" t="s">
        <v>585</v>
      </c>
      <c r="AH80" s="560" t="e">
        <f t="shared" si="59"/>
        <v>#VALUE!</v>
      </c>
      <c r="AI80" s="662"/>
      <c r="AJ80" s="560" t="s">
        <v>585</v>
      </c>
      <c r="AK80" s="562" t="s">
        <v>585</v>
      </c>
      <c r="AL80" s="562" t="s">
        <v>585</v>
      </c>
      <c r="AM80" s="560" t="e">
        <f t="shared" si="61"/>
        <v>#VALUE!</v>
      </c>
      <c r="AN80" s="662"/>
      <c r="AO80" s="560" t="s">
        <v>585</v>
      </c>
      <c r="AP80" s="562" t="s">
        <v>585</v>
      </c>
      <c r="AQ80" s="562" t="s">
        <v>585</v>
      </c>
      <c r="AR80" s="560" t="e">
        <f t="shared" si="63"/>
        <v>#VALUE!</v>
      </c>
      <c r="AS80" s="662"/>
      <c r="AT80" s="560" t="s">
        <v>585</v>
      </c>
      <c r="AU80" s="562" t="s">
        <v>585</v>
      </c>
      <c r="AV80" s="562" t="s">
        <v>585</v>
      </c>
      <c r="AW80" s="560" t="e">
        <f t="shared" si="65"/>
        <v>#VALUE!</v>
      </c>
      <c r="AX80" s="662"/>
      <c r="AZ80" s="368" t="e">
        <f t="shared" si="67"/>
        <v>#N/A</v>
      </c>
      <c r="BA80" s="662"/>
    </row>
    <row r="81" spans="2:53">
      <c r="B81" s="660"/>
      <c r="C81" s="520">
        <v>15</v>
      </c>
      <c r="D81" s="225"/>
      <c r="E81" s="521"/>
      <c r="F81" s="520"/>
      <c r="G81" s="522"/>
      <c r="H81" s="663"/>
      <c r="I81" s="523" t="str">
        <f t="shared" ref="I81" si="69">IFERROR(AVERAGE(P81,U81,Z81,AE81,AJ81,AO81,AT81),"-")</f>
        <v>-</v>
      </c>
      <c r="J81" s="523" t="str">
        <f t="shared" ref="J81" si="70">IFERROR(AVERAGE(Q81,V81,AA81,AF81,AK81,AP81,AU81),"-")</f>
        <v>-</v>
      </c>
      <c r="K81" s="199" t="str">
        <f t="shared" ref="K81" si="71">IFERROR(AVERAGE(R81,W81,AB81,AG81,AL81,AQ81,AV81),"-")</f>
        <v>-</v>
      </c>
      <c r="L81" s="648"/>
      <c r="M81" s="523" t="e">
        <f>RANK(K81, K$87:$K$101)</f>
        <v>#VALUE!</v>
      </c>
      <c r="N81" s="655"/>
      <c r="O81" s="655"/>
      <c r="P81" s="560" t="s">
        <v>585</v>
      </c>
      <c r="Q81" s="562" t="s">
        <v>585</v>
      </c>
      <c r="R81" s="562" t="s">
        <v>585</v>
      </c>
      <c r="S81" s="560" t="e">
        <f t="shared" si="53"/>
        <v>#VALUE!</v>
      </c>
      <c r="T81" s="663"/>
      <c r="U81" s="560" t="s">
        <v>585</v>
      </c>
      <c r="V81" s="562" t="s">
        <v>585</v>
      </c>
      <c r="W81" s="562" t="s">
        <v>585</v>
      </c>
      <c r="X81" s="560" t="e">
        <f t="shared" si="55"/>
        <v>#VALUE!</v>
      </c>
      <c r="Y81" s="663"/>
      <c r="Z81" s="560" t="s">
        <v>585</v>
      </c>
      <c r="AA81" s="562" t="s">
        <v>585</v>
      </c>
      <c r="AB81" s="562" t="s">
        <v>585</v>
      </c>
      <c r="AC81" s="560" t="e">
        <f t="shared" si="57"/>
        <v>#VALUE!</v>
      </c>
      <c r="AD81" s="663"/>
      <c r="AE81" s="560" t="s">
        <v>585</v>
      </c>
      <c r="AF81" s="562" t="s">
        <v>585</v>
      </c>
      <c r="AG81" s="562" t="s">
        <v>585</v>
      </c>
      <c r="AH81" s="560" t="e">
        <f t="shared" si="59"/>
        <v>#VALUE!</v>
      </c>
      <c r="AI81" s="663"/>
      <c r="AJ81" s="560" t="s">
        <v>585</v>
      </c>
      <c r="AK81" s="562" t="s">
        <v>585</v>
      </c>
      <c r="AL81" s="562" t="s">
        <v>585</v>
      </c>
      <c r="AM81" s="560" t="e">
        <f t="shared" si="61"/>
        <v>#VALUE!</v>
      </c>
      <c r="AN81" s="663"/>
      <c r="AO81" s="560" t="s">
        <v>585</v>
      </c>
      <c r="AP81" s="562" t="s">
        <v>585</v>
      </c>
      <c r="AQ81" s="562" t="s">
        <v>585</v>
      </c>
      <c r="AR81" s="560" t="e">
        <f t="shared" si="63"/>
        <v>#VALUE!</v>
      </c>
      <c r="AS81" s="663"/>
      <c r="AT81" s="560" t="s">
        <v>585</v>
      </c>
      <c r="AU81" s="562" t="s">
        <v>585</v>
      </c>
      <c r="AV81" s="562" t="s">
        <v>585</v>
      </c>
      <c r="AW81" s="560" t="e">
        <f t="shared" si="65"/>
        <v>#VALUE!</v>
      </c>
      <c r="AX81" s="663"/>
      <c r="AZ81" s="368" t="e">
        <f t="shared" si="67"/>
        <v>#N/A</v>
      </c>
      <c r="BA81" s="663"/>
    </row>
    <row r="82" spans="2:53" ht="15.75">
      <c r="B82" s="664" t="s">
        <v>162</v>
      </c>
      <c r="C82" s="665"/>
      <c r="D82" s="665"/>
      <c r="E82" s="665"/>
      <c r="F82" s="665"/>
      <c r="G82" s="665"/>
      <c r="H82" s="666"/>
      <c r="I82" s="207"/>
      <c r="J82" s="207"/>
      <c r="K82" s="207"/>
      <c r="L82" s="207"/>
      <c r="M82" s="206"/>
      <c r="N82" s="653" t="s">
        <v>156</v>
      </c>
      <c r="O82" s="653" t="s">
        <v>105</v>
      </c>
      <c r="P82" s="659">
        <f>P62+7</f>
        <v>46259</v>
      </c>
      <c r="Q82" s="660"/>
      <c r="R82" s="660"/>
      <c r="S82" s="660"/>
      <c r="T82" s="660"/>
      <c r="U82" s="656">
        <f>P82+1</f>
        <v>46260</v>
      </c>
      <c r="V82" s="657"/>
      <c r="W82" s="657"/>
      <c r="X82" s="657"/>
      <c r="Y82" s="658"/>
      <c r="Z82" s="656">
        <f>U82+1</f>
        <v>46261</v>
      </c>
      <c r="AA82" s="657"/>
      <c r="AB82" s="657"/>
      <c r="AC82" s="657"/>
      <c r="AD82" s="658"/>
      <c r="AE82" s="656">
        <f>Z82+1</f>
        <v>46262</v>
      </c>
      <c r="AF82" s="657"/>
      <c r="AG82" s="657"/>
      <c r="AH82" s="657"/>
      <c r="AI82" s="658"/>
      <c r="AJ82" s="656">
        <f>AE82+1</f>
        <v>46263</v>
      </c>
      <c r="AK82" s="657"/>
      <c r="AL82" s="657"/>
      <c r="AM82" s="657"/>
      <c r="AN82" s="658"/>
      <c r="AO82" s="656">
        <f>AJ82+1</f>
        <v>46264</v>
      </c>
      <c r="AP82" s="657"/>
      <c r="AQ82" s="657"/>
      <c r="AR82" s="657"/>
      <c r="AS82" s="658"/>
      <c r="AT82" s="656">
        <f>AO82+1</f>
        <v>46265</v>
      </c>
      <c r="AU82" s="657"/>
      <c r="AV82" s="657"/>
      <c r="AW82" s="657"/>
      <c r="AX82" s="658"/>
    </row>
    <row r="83" spans="2:53" ht="15.75">
      <c r="B83" s="667"/>
      <c r="C83" s="667"/>
      <c r="D83" s="667"/>
      <c r="E83" s="667"/>
      <c r="F83" s="667"/>
      <c r="G83" s="667"/>
      <c r="H83" s="667"/>
      <c r="I83" s="204"/>
      <c r="J83" s="204"/>
      <c r="K83" s="204"/>
      <c r="L83" s="204"/>
      <c r="M83" s="205"/>
      <c r="N83" s="655"/>
      <c r="O83" s="655"/>
      <c r="P83" s="659" t="s">
        <v>317</v>
      </c>
      <c r="Q83" s="660"/>
      <c r="R83" s="660"/>
      <c r="S83" s="660"/>
      <c r="T83" s="660"/>
      <c r="U83" s="659" t="s">
        <v>318</v>
      </c>
      <c r="V83" s="660"/>
      <c r="W83" s="660"/>
      <c r="X83" s="660"/>
      <c r="Y83" s="660"/>
      <c r="Z83" s="659" t="s">
        <v>319</v>
      </c>
      <c r="AA83" s="660"/>
      <c r="AB83" s="660"/>
      <c r="AC83" s="660"/>
      <c r="AD83" s="660"/>
      <c r="AE83" s="659" t="s">
        <v>320</v>
      </c>
      <c r="AF83" s="660"/>
      <c r="AG83" s="660"/>
      <c r="AH83" s="660"/>
      <c r="AI83" s="660"/>
      <c r="AJ83" s="659" t="s">
        <v>321</v>
      </c>
      <c r="AK83" s="660"/>
      <c r="AL83" s="660"/>
      <c r="AM83" s="660"/>
      <c r="AN83" s="660"/>
      <c r="AO83" s="659" t="s">
        <v>322</v>
      </c>
      <c r="AP83" s="660"/>
      <c r="AQ83" s="660"/>
      <c r="AR83" s="660"/>
      <c r="AS83" s="660"/>
      <c r="AT83" s="659" t="s">
        <v>323</v>
      </c>
      <c r="AU83" s="660"/>
      <c r="AV83" s="660"/>
      <c r="AW83" s="660"/>
      <c r="AX83" s="660"/>
    </row>
    <row r="84" spans="2:53">
      <c r="B84" s="652" t="s">
        <v>389</v>
      </c>
      <c r="C84" s="652" t="s">
        <v>379</v>
      </c>
      <c r="D84" s="652"/>
      <c r="E84" s="652" t="s">
        <v>370</v>
      </c>
      <c r="F84" s="652"/>
      <c r="G84" s="652"/>
      <c r="H84" s="668" t="s">
        <v>366</v>
      </c>
      <c r="I84" s="636" t="s">
        <v>371</v>
      </c>
      <c r="J84" s="636"/>
      <c r="K84" s="636"/>
      <c r="L84" s="637" t="s">
        <v>366</v>
      </c>
      <c r="M84" s="643" t="s">
        <v>367</v>
      </c>
      <c r="N84" s="652"/>
      <c r="O84" s="652" t="s">
        <v>372</v>
      </c>
      <c r="P84" s="649" t="s">
        <v>368</v>
      </c>
      <c r="Q84" s="650"/>
      <c r="R84" s="650"/>
      <c r="S84" s="651"/>
      <c r="T84" s="652" t="s">
        <v>366</v>
      </c>
      <c r="U84" s="649" t="s">
        <v>368</v>
      </c>
      <c r="V84" s="650"/>
      <c r="W84" s="650"/>
      <c r="X84" s="651"/>
      <c r="Y84" s="652" t="s">
        <v>366</v>
      </c>
      <c r="Z84" s="649" t="s">
        <v>368</v>
      </c>
      <c r="AA84" s="650"/>
      <c r="AB84" s="650"/>
      <c r="AC84" s="651"/>
      <c r="AD84" s="652" t="s">
        <v>366</v>
      </c>
      <c r="AE84" s="649" t="s">
        <v>368</v>
      </c>
      <c r="AF84" s="650"/>
      <c r="AG84" s="650"/>
      <c r="AH84" s="651"/>
      <c r="AI84" s="652" t="s">
        <v>366</v>
      </c>
      <c r="AJ84" s="649" t="s">
        <v>368</v>
      </c>
      <c r="AK84" s="650"/>
      <c r="AL84" s="650"/>
      <c r="AM84" s="651"/>
      <c r="AN84" s="652" t="s">
        <v>366</v>
      </c>
      <c r="AO84" s="649" t="s">
        <v>368</v>
      </c>
      <c r="AP84" s="650"/>
      <c r="AQ84" s="650"/>
      <c r="AR84" s="651"/>
      <c r="AS84" s="652" t="s">
        <v>366</v>
      </c>
      <c r="AT84" s="649" t="s">
        <v>368</v>
      </c>
      <c r="AU84" s="650"/>
      <c r="AV84" s="650"/>
      <c r="AW84" s="651"/>
      <c r="AX84" s="652" t="s">
        <v>366</v>
      </c>
      <c r="BA84" s="652" t="s">
        <v>366</v>
      </c>
    </row>
    <row r="85" spans="2:53">
      <c r="B85" s="652"/>
      <c r="C85" s="652"/>
      <c r="D85" s="652"/>
      <c r="E85" s="652" t="s">
        <v>373</v>
      </c>
      <c r="F85" s="652"/>
      <c r="G85" s="652"/>
      <c r="H85" s="669"/>
      <c r="I85" s="636" t="s">
        <v>373</v>
      </c>
      <c r="J85" s="636"/>
      <c r="K85" s="636"/>
      <c r="L85" s="638"/>
      <c r="M85" s="644"/>
      <c r="N85" s="652"/>
      <c r="O85" s="652"/>
      <c r="P85" s="649" t="s">
        <v>374</v>
      </c>
      <c r="Q85" s="650"/>
      <c r="R85" s="650"/>
      <c r="S85" s="651"/>
      <c r="T85" s="652"/>
      <c r="U85" s="649" t="s">
        <v>374</v>
      </c>
      <c r="V85" s="650"/>
      <c r="W85" s="650"/>
      <c r="X85" s="651"/>
      <c r="Y85" s="652"/>
      <c r="Z85" s="649" t="s">
        <v>374</v>
      </c>
      <c r="AA85" s="650"/>
      <c r="AB85" s="650"/>
      <c r="AC85" s="651"/>
      <c r="AD85" s="652"/>
      <c r="AE85" s="649" t="s">
        <v>374</v>
      </c>
      <c r="AF85" s="650"/>
      <c r="AG85" s="650"/>
      <c r="AH85" s="651"/>
      <c r="AI85" s="652"/>
      <c r="AJ85" s="649" t="s">
        <v>374</v>
      </c>
      <c r="AK85" s="650"/>
      <c r="AL85" s="650"/>
      <c r="AM85" s="651"/>
      <c r="AN85" s="652"/>
      <c r="AO85" s="649" t="s">
        <v>374</v>
      </c>
      <c r="AP85" s="650"/>
      <c r="AQ85" s="650"/>
      <c r="AR85" s="651"/>
      <c r="AS85" s="652"/>
      <c r="AT85" s="649" t="s">
        <v>374</v>
      </c>
      <c r="AU85" s="650"/>
      <c r="AV85" s="650"/>
      <c r="AW85" s="651"/>
      <c r="AX85" s="652"/>
      <c r="BA85" s="652"/>
    </row>
    <row r="86" spans="2:53">
      <c r="B86" s="652"/>
      <c r="C86" s="652"/>
      <c r="D86" s="652"/>
      <c r="E86" s="378" t="s">
        <v>375</v>
      </c>
      <c r="F86" s="378" t="s">
        <v>376</v>
      </c>
      <c r="G86" s="378" t="s">
        <v>377</v>
      </c>
      <c r="H86" s="670"/>
      <c r="I86" s="377" t="s">
        <v>375</v>
      </c>
      <c r="J86" s="377" t="s">
        <v>376</v>
      </c>
      <c r="K86" s="377" t="s">
        <v>377</v>
      </c>
      <c r="L86" s="639"/>
      <c r="M86" s="645"/>
      <c r="N86" s="652"/>
      <c r="O86" s="652"/>
      <c r="P86" s="378" t="s">
        <v>375</v>
      </c>
      <c r="Q86" s="378" t="s">
        <v>376</v>
      </c>
      <c r="R86" s="378" t="s">
        <v>377</v>
      </c>
      <c r="S86" s="378" t="s">
        <v>367</v>
      </c>
      <c r="T86" s="652"/>
      <c r="U86" s="378" t="s">
        <v>375</v>
      </c>
      <c r="V86" s="378" t="s">
        <v>376</v>
      </c>
      <c r="W86" s="378" t="s">
        <v>377</v>
      </c>
      <c r="X86" s="378" t="s">
        <v>367</v>
      </c>
      <c r="Y86" s="652"/>
      <c r="Z86" s="378" t="s">
        <v>375</v>
      </c>
      <c r="AA86" s="378" t="s">
        <v>376</v>
      </c>
      <c r="AB86" s="378" t="s">
        <v>377</v>
      </c>
      <c r="AC86" s="378" t="s">
        <v>367</v>
      </c>
      <c r="AD86" s="652"/>
      <c r="AE86" s="378" t="s">
        <v>375</v>
      </c>
      <c r="AF86" s="378" t="s">
        <v>376</v>
      </c>
      <c r="AG86" s="378" t="s">
        <v>377</v>
      </c>
      <c r="AH86" s="378" t="s">
        <v>367</v>
      </c>
      <c r="AI86" s="652"/>
      <c r="AJ86" s="378" t="s">
        <v>375</v>
      </c>
      <c r="AK86" s="378" t="s">
        <v>376</v>
      </c>
      <c r="AL86" s="378" t="s">
        <v>377</v>
      </c>
      <c r="AM86" s="378" t="s">
        <v>367</v>
      </c>
      <c r="AN86" s="652"/>
      <c r="AO86" s="378" t="s">
        <v>375</v>
      </c>
      <c r="AP86" s="378" t="s">
        <v>376</v>
      </c>
      <c r="AQ86" s="378" t="s">
        <v>377</v>
      </c>
      <c r="AR86" s="378" t="s">
        <v>367</v>
      </c>
      <c r="AS86" s="652"/>
      <c r="AT86" s="378" t="s">
        <v>375</v>
      </c>
      <c r="AU86" s="378" t="s">
        <v>376</v>
      </c>
      <c r="AV86" s="378" t="s">
        <v>377</v>
      </c>
      <c r="AW86" s="378" t="s">
        <v>367</v>
      </c>
      <c r="AX86" s="652"/>
      <c r="AZ86" s="367" t="s">
        <v>367</v>
      </c>
      <c r="BA86" s="652"/>
    </row>
    <row r="87" spans="2:53">
      <c r="B87" s="652" t="s">
        <v>404</v>
      </c>
      <c r="C87" s="379">
        <v>1</v>
      </c>
      <c r="D87" s="225"/>
      <c r="E87" s="516"/>
      <c r="F87" s="513"/>
      <c r="G87" s="512"/>
      <c r="H87" s="698" t="e">
        <f>AVERAGE(G87:G101)</f>
        <v>#DIV/0!</v>
      </c>
      <c r="I87" s="381" t="str">
        <f t="shared" ref="I87:I100" si="72">IFERROR(AVERAGE(P87,U87,Z87,AE87,AJ87,AO87,AT87),"-")</f>
        <v>-</v>
      </c>
      <c r="J87" s="381" t="str">
        <f t="shared" ref="J87:J100" si="73">IFERROR(AVERAGE(Q87,V87,AA87,AF87,AK87,AP87,AU87),"-")</f>
        <v>-</v>
      </c>
      <c r="K87" s="199" t="str">
        <f t="shared" ref="K87:K100" si="74">IFERROR(AVERAGE(R87,W87,AB87,AG87,AL87,AQ87,AV87),"-")</f>
        <v>-</v>
      </c>
      <c r="L87" s="633" t="str">
        <f>IFERROR(AVERAGE(K87:K101),"-")</f>
        <v>-</v>
      </c>
      <c r="M87" s="383" t="e">
        <f>RANK(K87, K$87:$K$101)</f>
        <v>#VALUE!</v>
      </c>
      <c r="N87" s="652"/>
      <c r="O87" s="652"/>
      <c r="P87" s="526"/>
      <c r="Q87" s="527"/>
      <c r="R87" s="527"/>
      <c r="S87" s="526"/>
      <c r="T87" s="685"/>
      <c r="U87" s="526"/>
      <c r="V87" s="527"/>
      <c r="W87" s="527"/>
      <c r="X87" s="526"/>
      <c r="Y87" s="685"/>
      <c r="Z87" s="526"/>
      <c r="AA87" s="527"/>
      <c r="AB87" s="527"/>
      <c r="AC87" s="526"/>
      <c r="AD87" s="685"/>
      <c r="AE87" s="526"/>
      <c r="AF87" s="527"/>
      <c r="AG87" s="527"/>
      <c r="AH87" s="526"/>
      <c r="AI87" s="685"/>
      <c r="AJ87" s="526"/>
      <c r="AK87" s="527"/>
      <c r="AL87" s="527"/>
      <c r="AM87" s="526"/>
      <c r="AN87" s="685"/>
      <c r="AO87" s="526"/>
      <c r="AP87" s="527"/>
      <c r="AQ87" s="527"/>
      <c r="AR87" s="526"/>
      <c r="AS87" s="685"/>
      <c r="AT87" s="526"/>
      <c r="AU87" s="527"/>
      <c r="AV87" s="527"/>
      <c r="AW87" s="526"/>
      <c r="AX87" s="685"/>
      <c r="AZ87" s="368" t="e">
        <f t="shared" ref="AZ87:AZ101" si="75">RANK(AY87, AY$87:AY$101)</f>
        <v>#N/A</v>
      </c>
      <c r="BA87" s="685" t="e">
        <f t="shared" ref="BA87" si="76">AVERAGE(AY87:AY101)</f>
        <v>#DIV/0!</v>
      </c>
    </row>
    <row r="88" spans="2:53">
      <c r="B88" s="660"/>
      <c r="C88" s="379">
        <v>2</v>
      </c>
      <c r="D88" s="225"/>
      <c r="E88" s="516"/>
      <c r="F88" s="513"/>
      <c r="G88" s="512"/>
      <c r="H88" s="699"/>
      <c r="I88" s="381" t="str">
        <f t="shared" si="72"/>
        <v>-</v>
      </c>
      <c r="J88" s="381" t="str">
        <f t="shared" si="73"/>
        <v>-</v>
      </c>
      <c r="K88" s="199" t="str">
        <f t="shared" si="74"/>
        <v>-</v>
      </c>
      <c r="L88" s="634"/>
      <c r="M88" s="383" t="e">
        <f>RANK(K88, K$87:$K$101)</f>
        <v>#VALUE!</v>
      </c>
      <c r="N88" s="652"/>
      <c r="O88" s="652"/>
      <c r="P88" s="526"/>
      <c r="Q88" s="527"/>
      <c r="R88" s="527"/>
      <c r="S88" s="526"/>
      <c r="T88" s="685"/>
      <c r="U88" s="526"/>
      <c r="V88" s="527"/>
      <c r="W88" s="527"/>
      <c r="X88" s="526"/>
      <c r="Y88" s="685"/>
      <c r="Z88" s="526"/>
      <c r="AA88" s="527"/>
      <c r="AB88" s="527"/>
      <c r="AC88" s="526"/>
      <c r="AD88" s="685"/>
      <c r="AE88" s="526"/>
      <c r="AF88" s="527"/>
      <c r="AG88" s="527"/>
      <c r="AH88" s="526"/>
      <c r="AI88" s="685"/>
      <c r="AJ88" s="526"/>
      <c r="AK88" s="527"/>
      <c r="AL88" s="527"/>
      <c r="AM88" s="526"/>
      <c r="AN88" s="685"/>
      <c r="AO88" s="526"/>
      <c r="AP88" s="527"/>
      <c r="AQ88" s="527"/>
      <c r="AR88" s="526"/>
      <c r="AS88" s="685"/>
      <c r="AT88" s="526"/>
      <c r="AU88" s="527"/>
      <c r="AV88" s="527"/>
      <c r="AW88" s="526"/>
      <c r="AX88" s="685"/>
      <c r="AZ88" s="368" t="e">
        <f t="shared" si="75"/>
        <v>#N/A</v>
      </c>
      <c r="BA88" s="685"/>
    </row>
    <row r="89" spans="2:53">
      <c r="B89" s="660"/>
      <c r="C89" s="379">
        <v>3</v>
      </c>
      <c r="D89" s="225"/>
      <c r="E89" s="516"/>
      <c r="F89" s="513"/>
      <c r="G89" s="512"/>
      <c r="H89" s="699"/>
      <c r="I89" s="381" t="str">
        <f t="shared" si="72"/>
        <v>-</v>
      </c>
      <c r="J89" s="381" t="str">
        <f t="shared" si="73"/>
        <v>-</v>
      </c>
      <c r="K89" s="199" t="str">
        <f t="shared" si="74"/>
        <v>-</v>
      </c>
      <c r="L89" s="634"/>
      <c r="M89" s="383" t="e">
        <f>RANK(K89, K$87:$K$101)</f>
        <v>#VALUE!</v>
      </c>
      <c r="N89" s="652"/>
      <c r="O89" s="652"/>
      <c r="P89" s="526"/>
      <c r="Q89" s="527"/>
      <c r="R89" s="527"/>
      <c r="S89" s="526"/>
      <c r="T89" s="685"/>
      <c r="U89" s="526"/>
      <c r="V89" s="527"/>
      <c r="W89" s="527"/>
      <c r="X89" s="526"/>
      <c r="Y89" s="685"/>
      <c r="Z89" s="526"/>
      <c r="AA89" s="527"/>
      <c r="AB89" s="527"/>
      <c r="AC89" s="526"/>
      <c r="AD89" s="685"/>
      <c r="AE89" s="526"/>
      <c r="AF89" s="527"/>
      <c r="AG89" s="527"/>
      <c r="AH89" s="526"/>
      <c r="AI89" s="685"/>
      <c r="AJ89" s="526"/>
      <c r="AK89" s="527"/>
      <c r="AL89" s="527"/>
      <c r="AM89" s="526"/>
      <c r="AN89" s="685"/>
      <c r="AO89" s="526"/>
      <c r="AP89" s="527"/>
      <c r="AQ89" s="527"/>
      <c r="AR89" s="526"/>
      <c r="AS89" s="685"/>
      <c r="AT89" s="526"/>
      <c r="AU89" s="527"/>
      <c r="AV89" s="527"/>
      <c r="AW89" s="526"/>
      <c r="AX89" s="685"/>
      <c r="AZ89" s="368" t="e">
        <f t="shared" si="75"/>
        <v>#N/A</v>
      </c>
      <c r="BA89" s="685"/>
    </row>
    <row r="90" spans="2:53">
      <c r="B90" s="660"/>
      <c r="C90" s="379">
        <v>4</v>
      </c>
      <c r="D90" s="225"/>
      <c r="E90" s="516"/>
      <c r="F90" s="513"/>
      <c r="G90" s="512"/>
      <c r="H90" s="699"/>
      <c r="I90" s="381" t="str">
        <f t="shared" si="72"/>
        <v>-</v>
      </c>
      <c r="J90" s="381" t="str">
        <f t="shared" si="73"/>
        <v>-</v>
      </c>
      <c r="K90" s="199" t="str">
        <f t="shared" si="74"/>
        <v>-</v>
      </c>
      <c r="L90" s="634"/>
      <c r="M90" s="383" t="e">
        <f>RANK(K90, K$87:$K$101)</f>
        <v>#VALUE!</v>
      </c>
      <c r="N90" s="652"/>
      <c r="O90" s="652"/>
      <c r="P90" s="526"/>
      <c r="Q90" s="527"/>
      <c r="R90" s="527"/>
      <c r="S90" s="526"/>
      <c r="T90" s="685"/>
      <c r="U90" s="526"/>
      <c r="V90" s="527"/>
      <c r="W90" s="527"/>
      <c r="X90" s="526"/>
      <c r="Y90" s="685"/>
      <c r="Z90" s="526"/>
      <c r="AA90" s="527"/>
      <c r="AB90" s="527"/>
      <c r="AC90" s="526"/>
      <c r="AD90" s="685"/>
      <c r="AE90" s="526"/>
      <c r="AF90" s="527"/>
      <c r="AG90" s="527"/>
      <c r="AH90" s="526"/>
      <c r="AI90" s="685"/>
      <c r="AJ90" s="526"/>
      <c r="AK90" s="527"/>
      <c r="AL90" s="527"/>
      <c r="AM90" s="526"/>
      <c r="AN90" s="685"/>
      <c r="AO90" s="526"/>
      <c r="AP90" s="527"/>
      <c r="AQ90" s="527"/>
      <c r="AR90" s="526"/>
      <c r="AS90" s="685"/>
      <c r="AT90" s="526"/>
      <c r="AU90" s="527"/>
      <c r="AV90" s="527"/>
      <c r="AW90" s="526"/>
      <c r="AX90" s="685"/>
      <c r="AZ90" s="368" t="e">
        <f t="shared" si="75"/>
        <v>#N/A</v>
      </c>
      <c r="BA90" s="685"/>
    </row>
    <row r="91" spans="2:53">
      <c r="B91" s="660"/>
      <c r="C91" s="379">
        <v>5</v>
      </c>
      <c r="D91" s="225"/>
      <c r="E91" s="516"/>
      <c r="F91" s="513"/>
      <c r="G91" s="512"/>
      <c r="H91" s="699"/>
      <c r="I91" s="381" t="str">
        <f t="shared" si="72"/>
        <v>-</v>
      </c>
      <c r="J91" s="381" t="str">
        <f t="shared" si="73"/>
        <v>-</v>
      </c>
      <c r="K91" s="199" t="str">
        <f t="shared" si="74"/>
        <v>-</v>
      </c>
      <c r="L91" s="634"/>
      <c r="M91" s="383" t="e">
        <f>RANK(K91, K$87:$K$101)</f>
        <v>#VALUE!</v>
      </c>
      <c r="N91" s="652"/>
      <c r="O91" s="652"/>
      <c r="P91" s="526"/>
      <c r="Q91" s="527"/>
      <c r="R91" s="527"/>
      <c r="S91" s="526"/>
      <c r="T91" s="685"/>
      <c r="U91" s="526"/>
      <c r="V91" s="527"/>
      <c r="W91" s="527"/>
      <c r="X91" s="526"/>
      <c r="Y91" s="685"/>
      <c r="Z91" s="526"/>
      <c r="AA91" s="527"/>
      <c r="AB91" s="527"/>
      <c r="AC91" s="526"/>
      <c r="AD91" s="685"/>
      <c r="AE91" s="526"/>
      <c r="AF91" s="527"/>
      <c r="AG91" s="527"/>
      <c r="AH91" s="526"/>
      <c r="AI91" s="685"/>
      <c r="AJ91" s="526"/>
      <c r="AK91" s="527"/>
      <c r="AL91" s="527"/>
      <c r="AM91" s="526"/>
      <c r="AN91" s="685"/>
      <c r="AO91" s="526"/>
      <c r="AP91" s="527"/>
      <c r="AQ91" s="527"/>
      <c r="AR91" s="526"/>
      <c r="AS91" s="685"/>
      <c r="AT91" s="526"/>
      <c r="AU91" s="527"/>
      <c r="AV91" s="527"/>
      <c r="AW91" s="526"/>
      <c r="AX91" s="685"/>
      <c r="AZ91" s="368" t="e">
        <f t="shared" si="75"/>
        <v>#N/A</v>
      </c>
      <c r="BA91" s="685"/>
    </row>
    <row r="92" spans="2:53">
      <c r="B92" s="660"/>
      <c r="C92" s="379">
        <v>6</v>
      </c>
      <c r="D92" s="225"/>
      <c r="E92" s="516"/>
      <c r="F92" s="513"/>
      <c r="G92" s="512"/>
      <c r="H92" s="699"/>
      <c r="I92" s="381" t="str">
        <f t="shared" si="72"/>
        <v>-</v>
      </c>
      <c r="J92" s="381" t="str">
        <f t="shared" si="73"/>
        <v>-</v>
      </c>
      <c r="K92" s="199" t="str">
        <f t="shared" si="74"/>
        <v>-</v>
      </c>
      <c r="L92" s="634"/>
      <c r="M92" s="383" t="e">
        <f>RANK(K92, K$87:$K$101)</f>
        <v>#VALUE!</v>
      </c>
      <c r="N92" s="652"/>
      <c r="O92" s="652"/>
      <c r="P92" s="526"/>
      <c r="Q92" s="527"/>
      <c r="R92" s="527"/>
      <c r="S92" s="526"/>
      <c r="T92" s="685"/>
      <c r="U92" s="526"/>
      <c r="V92" s="527"/>
      <c r="W92" s="527"/>
      <c r="X92" s="526"/>
      <c r="Y92" s="685"/>
      <c r="Z92" s="526"/>
      <c r="AA92" s="527"/>
      <c r="AB92" s="527"/>
      <c r="AC92" s="526"/>
      <c r="AD92" s="685"/>
      <c r="AE92" s="526"/>
      <c r="AF92" s="527"/>
      <c r="AG92" s="527"/>
      <c r="AH92" s="526"/>
      <c r="AI92" s="685"/>
      <c r="AJ92" s="526"/>
      <c r="AK92" s="527"/>
      <c r="AL92" s="527"/>
      <c r="AM92" s="526"/>
      <c r="AN92" s="685"/>
      <c r="AO92" s="526"/>
      <c r="AP92" s="527"/>
      <c r="AQ92" s="527"/>
      <c r="AR92" s="526"/>
      <c r="AS92" s="685"/>
      <c r="AT92" s="526"/>
      <c r="AU92" s="527"/>
      <c r="AV92" s="527"/>
      <c r="AW92" s="526"/>
      <c r="AX92" s="685"/>
      <c r="AZ92" s="368" t="e">
        <f t="shared" si="75"/>
        <v>#N/A</v>
      </c>
      <c r="BA92" s="685"/>
    </row>
    <row r="93" spans="2:53">
      <c r="B93" s="660"/>
      <c r="C93" s="379">
        <v>7</v>
      </c>
      <c r="D93" s="225"/>
      <c r="E93" s="516"/>
      <c r="F93" s="513"/>
      <c r="G93" s="512"/>
      <c r="H93" s="699"/>
      <c r="I93" s="381" t="str">
        <f t="shared" si="72"/>
        <v>-</v>
      </c>
      <c r="J93" s="381" t="str">
        <f t="shared" si="73"/>
        <v>-</v>
      </c>
      <c r="K93" s="199" t="str">
        <f t="shared" si="74"/>
        <v>-</v>
      </c>
      <c r="L93" s="634"/>
      <c r="M93" s="383" t="e">
        <f>RANK(K93, K$87:$K$101)</f>
        <v>#VALUE!</v>
      </c>
      <c r="N93" s="652"/>
      <c r="O93" s="652"/>
      <c r="P93" s="526"/>
      <c r="Q93" s="527"/>
      <c r="R93" s="527"/>
      <c r="S93" s="526"/>
      <c r="T93" s="685"/>
      <c r="U93" s="526"/>
      <c r="V93" s="527"/>
      <c r="W93" s="527"/>
      <c r="X93" s="526"/>
      <c r="Y93" s="685"/>
      <c r="Z93" s="526"/>
      <c r="AA93" s="527"/>
      <c r="AB93" s="527"/>
      <c r="AC93" s="526"/>
      <c r="AD93" s="685"/>
      <c r="AE93" s="526"/>
      <c r="AF93" s="527"/>
      <c r="AG93" s="527"/>
      <c r="AH93" s="526"/>
      <c r="AI93" s="685"/>
      <c r="AJ93" s="526"/>
      <c r="AK93" s="527"/>
      <c r="AL93" s="527"/>
      <c r="AM93" s="526"/>
      <c r="AN93" s="685"/>
      <c r="AO93" s="526"/>
      <c r="AP93" s="527"/>
      <c r="AQ93" s="527"/>
      <c r="AR93" s="526"/>
      <c r="AS93" s="685"/>
      <c r="AT93" s="526"/>
      <c r="AU93" s="527"/>
      <c r="AV93" s="527"/>
      <c r="AW93" s="526"/>
      <c r="AX93" s="685"/>
      <c r="AZ93" s="368" t="e">
        <f t="shared" si="75"/>
        <v>#N/A</v>
      </c>
      <c r="BA93" s="685"/>
    </row>
    <row r="94" spans="2:53">
      <c r="B94" s="660"/>
      <c r="C94" s="379">
        <v>8</v>
      </c>
      <c r="D94" s="225"/>
      <c r="E94" s="516"/>
      <c r="F94" s="513"/>
      <c r="G94" s="512"/>
      <c r="H94" s="699"/>
      <c r="I94" s="381" t="str">
        <f t="shared" si="72"/>
        <v>-</v>
      </c>
      <c r="J94" s="381" t="str">
        <f t="shared" si="73"/>
        <v>-</v>
      </c>
      <c r="K94" s="199" t="str">
        <f t="shared" si="74"/>
        <v>-</v>
      </c>
      <c r="L94" s="634"/>
      <c r="M94" s="383" t="e">
        <f>RANK(K94, K$87:$K$101)</f>
        <v>#VALUE!</v>
      </c>
      <c r="N94" s="652"/>
      <c r="O94" s="652"/>
      <c r="P94" s="526"/>
      <c r="Q94" s="527"/>
      <c r="R94" s="527"/>
      <c r="S94" s="526"/>
      <c r="T94" s="685"/>
      <c r="U94" s="526"/>
      <c r="V94" s="527"/>
      <c r="W94" s="527"/>
      <c r="X94" s="526"/>
      <c r="Y94" s="685"/>
      <c r="Z94" s="526"/>
      <c r="AA94" s="527"/>
      <c r="AB94" s="527"/>
      <c r="AC94" s="526"/>
      <c r="AD94" s="685"/>
      <c r="AE94" s="526"/>
      <c r="AF94" s="527"/>
      <c r="AG94" s="527"/>
      <c r="AH94" s="526"/>
      <c r="AI94" s="685"/>
      <c r="AJ94" s="526"/>
      <c r="AK94" s="527"/>
      <c r="AL94" s="527"/>
      <c r="AM94" s="526"/>
      <c r="AN94" s="685"/>
      <c r="AO94" s="526"/>
      <c r="AP94" s="527"/>
      <c r="AQ94" s="527"/>
      <c r="AR94" s="526"/>
      <c r="AS94" s="685"/>
      <c r="AT94" s="526"/>
      <c r="AU94" s="527"/>
      <c r="AV94" s="527"/>
      <c r="AW94" s="526"/>
      <c r="AX94" s="685"/>
      <c r="AZ94" s="368" t="e">
        <f t="shared" si="75"/>
        <v>#N/A</v>
      </c>
      <c r="BA94" s="685"/>
    </row>
    <row r="95" spans="2:53">
      <c r="B95" s="660"/>
      <c r="C95" s="379">
        <v>9</v>
      </c>
      <c r="D95" s="225"/>
      <c r="E95" s="516"/>
      <c r="F95" s="513"/>
      <c r="G95" s="512"/>
      <c r="H95" s="699"/>
      <c r="I95" s="381" t="str">
        <f t="shared" si="72"/>
        <v>-</v>
      </c>
      <c r="J95" s="381" t="str">
        <f t="shared" si="73"/>
        <v>-</v>
      </c>
      <c r="K95" s="199" t="str">
        <f t="shared" si="74"/>
        <v>-</v>
      </c>
      <c r="L95" s="634"/>
      <c r="M95" s="383" t="e">
        <f>RANK(K95, K$87:$K$101)</f>
        <v>#VALUE!</v>
      </c>
      <c r="N95" s="652"/>
      <c r="O95" s="652"/>
      <c r="P95" s="526"/>
      <c r="Q95" s="527"/>
      <c r="R95" s="527"/>
      <c r="S95" s="526"/>
      <c r="T95" s="685"/>
      <c r="U95" s="526"/>
      <c r="V95" s="527"/>
      <c r="W95" s="527"/>
      <c r="X95" s="526"/>
      <c r="Y95" s="685"/>
      <c r="Z95" s="526"/>
      <c r="AA95" s="527"/>
      <c r="AB95" s="527"/>
      <c r="AC95" s="526"/>
      <c r="AD95" s="685"/>
      <c r="AE95" s="526"/>
      <c r="AF95" s="527"/>
      <c r="AG95" s="527"/>
      <c r="AH95" s="526"/>
      <c r="AI95" s="685"/>
      <c r="AJ95" s="526"/>
      <c r="AK95" s="527"/>
      <c r="AL95" s="527"/>
      <c r="AM95" s="526"/>
      <c r="AN95" s="685"/>
      <c r="AO95" s="526"/>
      <c r="AP95" s="527"/>
      <c r="AQ95" s="527"/>
      <c r="AR95" s="526"/>
      <c r="AS95" s="685"/>
      <c r="AT95" s="526"/>
      <c r="AU95" s="527"/>
      <c r="AV95" s="527"/>
      <c r="AW95" s="526"/>
      <c r="AX95" s="685"/>
      <c r="AZ95" s="368" t="e">
        <f t="shared" si="75"/>
        <v>#N/A</v>
      </c>
      <c r="BA95" s="685"/>
    </row>
    <row r="96" spans="2:53">
      <c r="B96" s="660"/>
      <c r="C96" s="379">
        <v>10</v>
      </c>
      <c r="D96" s="225"/>
      <c r="E96" s="516"/>
      <c r="F96" s="513"/>
      <c r="G96" s="512"/>
      <c r="H96" s="699"/>
      <c r="I96" s="381" t="str">
        <f t="shared" si="72"/>
        <v>-</v>
      </c>
      <c r="J96" s="381" t="str">
        <f t="shared" si="73"/>
        <v>-</v>
      </c>
      <c r="K96" s="199" t="str">
        <f t="shared" si="74"/>
        <v>-</v>
      </c>
      <c r="L96" s="634"/>
      <c r="M96" s="383" t="e">
        <f>RANK(K96, K$87:$K$101)</f>
        <v>#VALUE!</v>
      </c>
      <c r="N96" s="652"/>
      <c r="O96" s="652"/>
      <c r="P96" s="526"/>
      <c r="Q96" s="527"/>
      <c r="R96" s="527"/>
      <c r="S96" s="526"/>
      <c r="T96" s="685"/>
      <c r="U96" s="526"/>
      <c r="V96" s="527"/>
      <c r="W96" s="527"/>
      <c r="X96" s="526"/>
      <c r="Y96" s="685"/>
      <c r="Z96" s="526"/>
      <c r="AA96" s="527"/>
      <c r="AB96" s="527"/>
      <c r="AC96" s="526"/>
      <c r="AD96" s="685"/>
      <c r="AE96" s="526"/>
      <c r="AF96" s="527"/>
      <c r="AG96" s="527"/>
      <c r="AH96" s="526"/>
      <c r="AI96" s="685"/>
      <c r="AJ96" s="526"/>
      <c r="AK96" s="527"/>
      <c r="AL96" s="527"/>
      <c r="AM96" s="526"/>
      <c r="AN96" s="685"/>
      <c r="AO96" s="526"/>
      <c r="AP96" s="527"/>
      <c r="AQ96" s="527"/>
      <c r="AR96" s="526"/>
      <c r="AS96" s="685"/>
      <c r="AT96" s="526"/>
      <c r="AU96" s="527"/>
      <c r="AV96" s="527"/>
      <c r="AW96" s="526"/>
      <c r="AX96" s="685"/>
      <c r="AZ96" s="368" t="e">
        <f t="shared" si="75"/>
        <v>#N/A</v>
      </c>
      <c r="BA96" s="685"/>
    </row>
    <row r="97" spans="2:53">
      <c r="B97" s="660"/>
      <c r="C97" s="379">
        <v>11</v>
      </c>
      <c r="D97" s="225"/>
      <c r="E97" s="516"/>
      <c r="F97" s="513"/>
      <c r="G97" s="512"/>
      <c r="H97" s="699"/>
      <c r="I97" s="381" t="str">
        <f t="shared" si="72"/>
        <v>-</v>
      </c>
      <c r="J97" s="381" t="str">
        <f t="shared" si="73"/>
        <v>-</v>
      </c>
      <c r="K97" s="199" t="str">
        <f t="shared" si="74"/>
        <v>-</v>
      </c>
      <c r="L97" s="634"/>
      <c r="M97" s="383" t="e">
        <f>RANK(K97, K$87:$K$101)</f>
        <v>#VALUE!</v>
      </c>
      <c r="N97" s="652"/>
      <c r="O97" s="652"/>
      <c r="P97" s="526"/>
      <c r="Q97" s="527"/>
      <c r="R97" s="527"/>
      <c r="S97" s="526"/>
      <c r="T97" s="685"/>
      <c r="U97" s="526"/>
      <c r="V97" s="527"/>
      <c r="W97" s="527"/>
      <c r="X97" s="526"/>
      <c r="Y97" s="685"/>
      <c r="Z97" s="526"/>
      <c r="AA97" s="527"/>
      <c r="AB97" s="527"/>
      <c r="AC97" s="526"/>
      <c r="AD97" s="685"/>
      <c r="AE97" s="526"/>
      <c r="AF97" s="527"/>
      <c r="AG97" s="527"/>
      <c r="AH97" s="526"/>
      <c r="AI97" s="685"/>
      <c r="AJ97" s="526"/>
      <c r="AK97" s="527"/>
      <c r="AL97" s="527"/>
      <c r="AM97" s="526"/>
      <c r="AN97" s="685"/>
      <c r="AO97" s="526"/>
      <c r="AP97" s="527"/>
      <c r="AQ97" s="527"/>
      <c r="AR97" s="526"/>
      <c r="AS97" s="685"/>
      <c r="AT97" s="526"/>
      <c r="AU97" s="527"/>
      <c r="AV97" s="527"/>
      <c r="AW97" s="526"/>
      <c r="AX97" s="685"/>
      <c r="AZ97" s="368" t="e">
        <f t="shared" si="75"/>
        <v>#N/A</v>
      </c>
      <c r="BA97" s="685"/>
    </row>
    <row r="98" spans="2:53">
      <c r="B98" s="660"/>
      <c r="C98" s="379">
        <v>12</v>
      </c>
      <c r="D98" s="225"/>
      <c r="E98" s="516"/>
      <c r="F98" s="513"/>
      <c r="G98" s="512"/>
      <c r="H98" s="699"/>
      <c r="I98" s="381" t="str">
        <f t="shared" si="72"/>
        <v>-</v>
      </c>
      <c r="J98" s="381" t="str">
        <f t="shared" si="73"/>
        <v>-</v>
      </c>
      <c r="K98" s="199" t="str">
        <f t="shared" si="74"/>
        <v>-</v>
      </c>
      <c r="L98" s="634"/>
      <c r="M98" s="383" t="e">
        <f>RANK(K98, K$87:$K$101)</f>
        <v>#VALUE!</v>
      </c>
      <c r="N98" s="652"/>
      <c r="O98" s="652"/>
      <c r="P98" s="526"/>
      <c r="Q98" s="527"/>
      <c r="R98" s="527"/>
      <c r="S98" s="526"/>
      <c r="T98" s="685"/>
      <c r="U98" s="526"/>
      <c r="V98" s="527"/>
      <c r="W98" s="527"/>
      <c r="X98" s="526"/>
      <c r="Y98" s="685"/>
      <c r="Z98" s="526"/>
      <c r="AA98" s="527"/>
      <c r="AB98" s="527"/>
      <c r="AC98" s="526"/>
      <c r="AD98" s="685"/>
      <c r="AE98" s="526"/>
      <c r="AF98" s="527"/>
      <c r="AG98" s="527"/>
      <c r="AH98" s="526"/>
      <c r="AI98" s="685"/>
      <c r="AJ98" s="526"/>
      <c r="AK98" s="527"/>
      <c r="AL98" s="527"/>
      <c r="AM98" s="526"/>
      <c r="AN98" s="685"/>
      <c r="AO98" s="526"/>
      <c r="AP98" s="527"/>
      <c r="AQ98" s="527"/>
      <c r="AR98" s="526"/>
      <c r="AS98" s="685"/>
      <c r="AT98" s="526"/>
      <c r="AU98" s="527"/>
      <c r="AV98" s="527"/>
      <c r="AW98" s="526"/>
      <c r="AX98" s="685"/>
      <c r="AZ98" s="368" t="e">
        <f t="shared" si="75"/>
        <v>#N/A</v>
      </c>
      <c r="BA98" s="685"/>
    </row>
    <row r="99" spans="2:53">
      <c r="B99" s="660"/>
      <c r="C99" s="379">
        <v>13</v>
      </c>
      <c r="D99" s="225"/>
      <c r="E99" s="516"/>
      <c r="F99" s="513"/>
      <c r="G99" s="512"/>
      <c r="H99" s="699"/>
      <c r="I99" s="381" t="str">
        <f t="shared" si="72"/>
        <v>-</v>
      </c>
      <c r="J99" s="381" t="str">
        <f t="shared" si="73"/>
        <v>-</v>
      </c>
      <c r="K99" s="199" t="str">
        <f t="shared" si="74"/>
        <v>-</v>
      </c>
      <c r="L99" s="634"/>
      <c r="M99" s="383" t="e">
        <f>RANK(K99, K$87:$K$101)</f>
        <v>#VALUE!</v>
      </c>
      <c r="N99" s="652"/>
      <c r="O99" s="652"/>
      <c r="P99" s="526"/>
      <c r="Q99" s="527"/>
      <c r="R99" s="527"/>
      <c r="S99" s="526"/>
      <c r="T99" s="685"/>
      <c r="U99" s="526"/>
      <c r="V99" s="527"/>
      <c r="W99" s="527"/>
      <c r="X99" s="526"/>
      <c r="Y99" s="685"/>
      <c r="Z99" s="526"/>
      <c r="AA99" s="527"/>
      <c r="AB99" s="527"/>
      <c r="AC99" s="526"/>
      <c r="AD99" s="685"/>
      <c r="AE99" s="526"/>
      <c r="AF99" s="527"/>
      <c r="AG99" s="527"/>
      <c r="AH99" s="526"/>
      <c r="AI99" s="685"/>
      <c r="AJ99" s="526"/>
      <c r="AK99" s="527"/>
      <c r="AL99" s="527"/>
      <c r="AM99" s="526"/>
      <c r="AN99" s="685"/>
      <c r="AO99" s="526"/>
      <c r="AP99" s="527"/>
      <c r="AQ99" s="527"/>
      <c r="AR99" s="526"/>
      <c r="AS99" s="685"/>
      <c r="AT99" s="526"/>
      <c r="AU99" s="527"/>
      <c r="AV99" s="527"/>
      <c r="AW99" s="526"/>
      <c r="AX99" s="685"/>
      <c r="AZ99" s="368" t="e">
        <f t="shared" si="75"/>
        <v>#N/A</v>
      </c>
      <c r="BA99" s="685"/>
    </row>
    <row r="100" spans="2:53">
      <c r="B100" s="660"/>
      <c r="C100" s="379">
        <v>14</v>
      </c>
      <c r="D100" s="225"/>
      <c r="E100" s="516"/>
      <c r="F100" s="513"/>
      <c r="G100" s="512"/>
      <c r="H100" s="699"/>
      <c r="I100" s="381" t="str">
        <f t="shared" si="72"/>
        <v>-</v>
      </c>
      <c r="J100" s="381" t="str">
        <f t="shared" si="73"/>
        <v>-</v>
      </c>
      <c r="K100" s="199" t="str">
        <f t="shared" si="74"/>
        <v>-</v>
      </c>
      <c r="L100" s="634"/>
      <c r="M100" s="383" t="e">
        <f>RANK(K100, K$87:$K$101)</f>
        <v>#VALUE!</v>
      </c>
      <c r="N100" s="652"/>
      <c r="O100" s="652"/>
      <c r="P100" s="526"/>
      <c r="Q100" s="527"/>
      <c r="R100" s="527"/>
      <c r="S100" s="526"/>
      <c r="T100" s="685"/>
      <c r="U100" s="526"/>
      <c r="V100" s="527"/>
      <c r="W100" s="527"/>
      <c r="X100" s="526"/>
      <c r="Y100" s="685"/>
      <c r="Z100" s="526"/>
      <c r="AA100" s="527"/>
      <c r="AB100" s="527"/>
      <c r="AC100" s="526"/>
      <c r="AD100" s="685"/>
      <c r="AE100" s="526"/>
      <c r="AF100" s="527"/>
      <c r="AG100" s="527"/>
      <c r="AH100" s="526"/>
      <c r="AI100" s="685"/>
      <c r="AJ100" s="526"/>
      <c r="AK100" s="527"/>
      <c r="AL100" s="527"/>
      <c r="AM100" s="526"/>
      <c r="AN100" s="685"/>
      <c r="AO100" s="526"/>
      <c r="AP100" s="527"/>
      <c r="AQ100" s="527"/>
      <c r="AR100" s="526"/>
      <c r="AS100" s="685"/>
      <c r="AT100" s="526"/>
      <c r="AU100" s="527"/>
      <c r="AV100" s="527"/>
      <c r="AW100" s="526"/>
      <c r="AX100" s="685"/>
      <c r="AZ100" s="368" t="e">
        <f t="shared" si="75"/>
        <v>#N/A</v>
      </c>
      <c r="BA100" s="685"/>
    </row>
    <row r="101" spans="2:53">
      <c r="B101" s="660"/>
      <c r="C101" s="379">
        <v>15</v>
      </c>
      <c r="D101" s="225"/>
      <c r="E101" s="516"/>
      <c r="F101" s="513"/>
      <c r="G101" s="512"/>
      <c r="H101" s="700"/>
      <c r="I101" s="201"/>
      <c r="J101" s="201"/>
      <c r="K101" s="201"/>
      <c r="L101" s="635"/>
      <c r="M101" s="381" t="e">
        <f>RANK(K101, K$87:$K$101)</f>
        <v>#N/A</v>
      </c>
      <c r="N101" s="652"/>
      <c r="O101" s="652"/>
      <c r="P101" s="526"/>
      <c r="Q101" s="527"/>
      <c r="R101" s="527"/>
      <c r="S101" s="526"/>
      <c r="T101" s="685"/>
      <c r="U101" s="526"/>
      <c r="V101" s="527"/>
      <c r="W101" s="527"/>
      <c r="X101" s="526"/>
      <c r="Y101" s="685"/>
      <c r="Z101" s="526"/>
      <c r="AA101" s="527"/>
      <c r="AB101" s="527"/>
      <c r="AC101" s="526"/>
      <c r="AD101" s="685"/>
      <c r="AE101" s="526"/>
      <c r="AF101" s="527"/>
      <c r="AG101" s="527"/>
      <c r="AH101" s="526"/>
      <c r="AI101" s="685"/>
      <c r="AJ101" s="526"/>
      <c r="AK101" s="527"/>
      <c r="AL101" s="527"/>
      <c r="AM101" s="526"/>
      <c r="AN101" s="685"/>
      <c r="AO101" s="526"/>
      <c r="AP101" s="527"/>
      <c r="AQ101" s="527"/>
      <c r="AR101" s="526"/>
      <c r="AS101" s="685"/>
      <c r="AT101" s="526"/>
      <c r="AU101" s="527"/>
      <c r="AV101" s="527"/>
      <c r="AW101" s="526"/>
      <c r="AX101" s="685"/>
      <c r="AZ101" s="368" t="e">
        <f t="shared" si="75"/>
        <v>#N/A</v>
      </c>
      <c r="BA101" s="685"/>
    </row>
    <row r="102" spans="2:53" ht="15.75">
      <c r="B102" s="664" t="s">
        <v>162</v>
      </c>
      <c r="C102" s="665"/>
      <c r="D102" s="665"/>
      <c r="E102" s="665"/>
      <c r="F102" s="665"/>
      <c r="G102" s="665"/>
      <c r="H102" s="666"/>
      <c r="I102" s="207"/>
      <c r="J102" s="207"/>
      <c r="K102" s="207"/>
      <c r="L102" s="207"/>
      <c r="M102" s="206"/>
      <c r="N102" s="653" t="s">
        <v>156</v>
      </c>
      <c r="O102" s="653" t="s">
        <v>105</v>
      </c>
      <c r="P102" s="659">
        <f>P82+7</f>
        <v>46266</v>
      </c>
      <c r="Q102" s="660"/>
      <c r="R102" s="660"/>
      <c r="S102" s="660"/>
      <c r="T102" s="660"/>
      <c r="U102" s="656">
        <f>P102+1</f>
        <v>46267</v>
      </c>
      <c r="V102" s="657"/>
      <c r="W102" s="657"/>
      <c r="X102" s="657"/>
      <c r="Y102" s="658"/>
      <c r="Z102" s="656">
        <f>U102+1</f>
        <v>46268</v>
      </c>
      <c r="AA102" s="657"/>
      <c r="AB102" s="657"/>
      <c r="AC102" s="657"/>
      <c r="AD102" s="658"/>
      <c r="AE102" s="656">
        <f>Z102+1</f>
        <v>46269</v>
      </c>
      <c r="AF102" s="657"/>
      <c r="AG102" s="657"/>
      <c r="AH102" s="657"/>
      <c r="AI102" s="658"/>
      <c r="AJ102" s="656">
        <f>AE102+1</f>
        <v>46270</v>
      </c>
      <c r="AK102" s="657"/>
      <c r="AL102" s="657"/>
      <c r="AM102" s="657"/>
      <c r="AN102" s="658"/>
      <c r="AO102" s="656">
        <f>AJ102+1</f>
        <v>46271</v>
      </c>
      <c r="AP102" s="657"/>
      <c r="AQ102" s="657"/>
      <c r="AR102" s="657"/>
      <c r="AS102" s="658"/>
      <c r="AT102" s="656">
        <f>AO102+1</f>
        <v>46272</v>
      </c>
      <c r="AU102" s="657"/>
      <c r="AV102" s="657"/>
      <c r="AW102" s="657"/>
      <c r="AX102" s="658"/>
    </row>
    <row r="103" spans="2:53" ht="15.75">
      <c r="B103" s="667"/>
      <c r="C103" s="667"/>
      <c r="D103" s="667"/>
      <c r="E103" s="667"/>
      <c r="F103" s="667"/>
      <c r="G103" s="667"/>
      <c r="H103" s="667"/>
      <c r="I103" s="204"/>
      <c r="J103" s="204"/>
      <c r="K103" s="204"/>
      <c r="L103" s="204"/>
      <c r="M103" s="205"/>
      <c r="N103" s="655"/>
      <c r="O103" s="655"/>
      <c r="P103" s="659" t="s">
        <v>158</v>
      </c>
      <c r="Q103" s="660"/>
      <c r="R103" s="660"/>
      <c r="S103" s="660"/>
      <c r="T103" s="660"/>
      <c r="U103" s="659" t="s">
        <v>114</v>
      </c>
      <c r="V103" s="660"/>
      <c r="W103" s="660"/>
      <c r="X103" s="660"/>
      <c r="Y103" s="660"/>
      <c r="Z103" s="659" t="s">
        <v>159</v>
      </c>
      <c r="AA103" s="660"/>
      <c r="AB103" s="660"/>
      <c r="AC103" s="660"/>
      <c r="AD103" s="660"/>
      <c r="AE103" s="659" t="s">
        <v>157</v>
      </c>
      <c r="AF103" s="660"/>
      <c r="AG103" s="660"/>
      <c r="AH103" s="660"/>
      <c r="AI103" s="660"/>
      <c r="AJ103" s="659" t="s">
        <v>160</v>
      </c>
      <c r="AK103" s="660"/>
      <c r="AL103" s="660"/>
      <c r="AM103" s="660"/>
      <c r="AN103" s="660"/>
      <c r="AO103" s="659" t="s">
        <v>115</v>
      </c>
      <c r="AP103" s="660"/>
      <c r="AQ103" s="660"/>
      <c r="AR103" s="660"/>
      <c r="AS103" s="660"/>
      <c r="AT103" s="659" t="s">
        <v>161</v>
      </c>
      <c r="AU103" s="660"/>
      <c r="AV103" s="660"/>
      <c r="AW103" s="660"/>
      <c r="AX103" s="660"/>
    </row>
    <row r="104" spans="2:53">
      <c r="B104" s="652" t="s">
        <v>154</v>
      </c>
      <c r="C104" s="652" t="s">
        <v>379</v>
      </c>
      <c r="D104" s="652"/>
      <c r="E104" s="652" t="s">
        <v>370</v>
      </c>
      <c r="F104" s="652"/>
      <c r="G104" s="652"/>
      <c r="H104" s="668" t="s">
        <v>366</v>
      </c>
      <c r="I104" s="636" t="s">
        <v>371</v>
      </c>
      <c r="J104" s="636"/>
      <c r="K104" s="636"/>
      <c r="L104" s="637" t="s">
        <v>366</v>
      </c>
      <c r="M104" s="643" t="s">
        <v>367</v>
      </c>
      <c r="N104" s="652"/>
      <c r="O104" s="652" t="s">
        <v>372</v>
      </c>
      <c r="P104" s="649" t="s">
        <v>368</v>
      </c>
      <c r="Q104" s="650"/>
      <c r="R104" s="650"/>
      <c r="S104" s="651"/>
      <c r="T104" s="652" t="s">
        <v>366</v>
      </c>
      <c r="U104" s="649" t="s">
        <v>368</v>
      </c>
      <c r="V104" s="650"/>
      <c r="W104" s="650"/>
      <c r="X104" s="651"/>
      <c r="Y104" s="652" t="s">
        <v>366</v>
      </c>
      <c r="Z104" s="649" t="s">
        <v>368</v>
      </c>
      <c r="AA104" s="650"/>
      <c r="AB104" s="650"/>
      <c r="AC104" s="651"/>
      <c r="AD104" s="652" t="s">
        <v>366</v>
      </c>
      <c r="AE104" s="649" t="s">
        <v>368</v>
      </c>
      <c r="AF104" s="650"/>
      <c r="AG104" s="650"/>
      <c r="AH104" s="651"/>
      <c r="AI104" s="652" t="s">
        <v>366</v>
      </c>
      <c r="AJ104" s="649" t="s">
        <v>368</v>
      </c>
      <c r="AK104" s="650"/>
      <c r="AL104" s="650"/>
      <c r="AM104" s="651"/>
      <c r="AN104" s="652" t="s">
        <v>366</v>
      </c>
      <c r="AO104" s="649" t="s">
        <v>368</v>
      </c>
      <c r="AP104" s="650"/>
      <c r="AQ104" s="650"/>
      <c r="AR104" s="651"/>
      <c r="AS104" s="652" t="s">
        <v>366</v>
      </c>
      <c r="AT104" s="649" t="s">
        <v>368</v>
      </c>
      <c r="AU104" s="650"/>
      <c r="AV104" s="650"/>
      <c r="AW104" s="651"/>
      <c r="AX104" s="652" t="s">
        <v>366</v>
      </c>
      <c r="BA104" s="652" t="s">
        <v>366</v>
      </c>
    </row>
    <row r="105" spans="2:53">
      <c r="B105" s="652"/>
      <c r="C105" s="652"/>
      <c r="D105" s="652"/>
      <c r="E105" s="652" t="s">
        <v>373</v>
      </c>
      <c r="F105" s="652"/>
      <c r="G105" s="652"/>
      <c r="H105" s="669"/>
      <c r="I105" s="636" t="s">
        <v>373</v>
      </c>
      <c r="J105" s="636"/>
      <c r="K105" s="636"/>
      <c r="L105" s="638"/>
      <c r="M105" s="644"/>
      <c r="N105" s="652"/>
      <c r="O105" s="652"/>
      <c r="P105" s="649" t="s">
        <v>374</v>
      </c>
      <c r="Q105" s="650"/>
      <c r="R105" s="650"/>
      <c r="S105" s="651"/>
      <c r="T105" s="652"/>
      <c r="U105" s="649" t="s">
        <v>374</v>
      </c>
      <c r="V105" s="650"/>
      <c r="W105" s="650"/>
      <c r="X105" s="651"/>
      <c r="Y105" s="652"/>
      <c r="Z105" s="649" t="s">
        <v>374</v>
      </c>
      <c r="AA105" s="650"/>
      <c r="AB105" s="650"/>
      <c r="AC105" s="651"/>
      <c r="AD105" s="652"/>
      <c r="AE105" s="649" t="s">
        <v>374</v>
      </c>
      <c r="AF105" s="650"/>
      <c r="AG105" s="650"/>
      <c r="AH105" s="651"/>
      <c r="AI105" s="652"/>
      <c r="AJ105" s="649" t="s">
        <v>374</v>
      </c>
      <c r="AK105" s="650"/>
      <c r="AL105" s="650"/>
      <c r="AM105" s="651"/>
      <c r="AN105" s="652"/>
      <c r="AO105" s="649" t="s">
        <v>374</v>
      </c>
      <c r="AP105" s="650"/>
      <c r="AQ105" s="650"/>
      <c r="AR105" s="651"/>
      <c r="AS105" s="652"/>
      <c r="AT105" s="649" t="s">
        <v>374</v>
      </c>
      <c r="AU105" s="650"/>
      <c r="AV105" s="650"/>
      <c r="AW105" s="651"/>
      <c r="AX105" s="652"/>
      <c r="BA105" s="652"/>
    </row>
    <row r="106" spans="2:53">
      <c r="B106" s="652"/>
      <c r="C106" s="652"/>
      <c r="D106" s="652"/>
      <c r="E106" s="304" t="s">
        <v>375</v>
      </c>
      <c r="F106" s="304" t="s">
        <v>376</v>
      </c>
      <c r="G106" s="304" t="s">
        <v>377</v>
      </c>
      <c r="H106" s="670"/>
      <c r="I106" s="305" t="s">
        <v>375</v>
      </c>
      <c r="J106" s="305" t="s">
        <v>376</v>
      </c>
      <c r="K106" s="305" t="s">
        <v>377</v>
      </c>
      <c r="L106" s="639"/>
      <c r="M106" s="645"/>
      <c r="N106" s="652"/>
      <c r="O106" s="652"/>
      <c r="P106" s="304" t="s">
        <v>375</v>
      </c>
      <c r="Q106" s="304" t="s">
        <v>376</v>
      </c>
      <c r="R106" s="304" t="s">
        <v>377</v>
      </c>
      <c r="S106" s="304" t="s">
        <v>367</v>
      </c>
      <c r="T106" s="652"/>
      <c r="U106" s="304" t="s">
        <v>375</v>
      </c>
      <c r="V106" s="304" t="s">
        <v>376</v>
      </c>
      <c r="W106" s="304" t="s">
        <v>377</v>
      </c>
      <c r="X106" s="304" t="s">
        <v>367</v>
      </c>
      <c r="Y106" s="652"/>
      <c r="Z106" s="304" t="s">
        <v>375</v>
      </c>
      <c r="AA106" s="304" t="s">
        <v>376</v>
      </c>
      <c r="AB106" s="304" t="s">
        <v>377</v>
      </c>
      <c r="AC106" s="304" t="s">
        <v>367</v>
      </c>
      <c r="AD106" s="652"/>
      <c r="AE106" s="304" t="s">
        <v>375</v>
      </c>
      <c r="AF106" s="304" t="s">
        <v>376</v>
      </c>
      <c r="AG106" s="304" t="s">
        <v>377</v>
      </c>
      <c r="AH106" s="304" t="s">
        <v>367</v>
      </c>
      <c r="AI106" s="652"/>
      <c r="AJ106" s="304" t="s">
        <v>375</v>
      </c>
      <c r="AK106" s="304" t="s">
        <v>376</v>
      </c>
      <c r="AL106" s="304" t="s">
        <v>377</v>
      </c>
      <c r="AM106" s="304" t="s">
        <v>367</v>
      </c>
      <c r="AN106" s="652"/>
      <c r="AO106" s="304" t="s">
        <v>375</v>
      </c>
      <c r="AP106" s="304" t="s">
        <v>376</v>
      </c>
      <c r="AQ106" s="304" t="s">
        <v>377</v>
      </c>
      <c r="AR106" s="304" t="s">
        <v>367</v>
      </c>
      <c r="AS106" s="652"/>
      <c r="AT106" s="304" t="s">
        <v>375</v>
      </c>
      <c r="AU106" s="304" t="s">
        <v>376</v>
      </c>
      <c r="AV106" s="304" t="s">
        <v>377</v>
      </c>
      <c r="AW106" s="304" t="s">
        <v>367</v>
      </c>
      <c r="AX106" s="652"/>
      <c r="AZ106" s="367" t="s">
        <v>367</v>
      </c>
      <c r="BA106" s="652"/>
    </row>
    <row r="107" spans="2:53">
      <c r="B107" s="652" t="s">
        <v>380</v>
      </c>
      <c r="C107" s="303">
        <v>1</v>
      </c>
      <c r="D107" s="225"/>
      <c r="E107" s="181"/>
      <c r="F107" s="303"/>
      <c r="G107" s="306"/>
      <c r="H107" s="698" t="e">
        <f>AVERAGE(G107:G121)</f>
        <v>#DIV/0!</v>
      </c>
      <c r="I107" s="363" t="str">
        <f t="shared" ref="I107:I120" si="77">IFERROR(AVERAGE(P107,U107,Z107,AE107,AJ107,AO107,AT107),"-")</f>
        <v>-</v>
      </c>
      <c r="J107" s="363" t="str">
        <f t="shared" ref="J107:J120" si="78">IFERROR(AVERAGE(Q107,V107,AA107,AF107,AK107,AP107,AU107),"-")</f>
        <v>-</v>
      </c>
      <c r="K107" s="199" t="str">
        <f t="shared" ref="K107:K120" si="79">IFERROR(AVERAGE(R107,W107,AB107,AG107,AL107,AQ107,AV107),"-")</f>
        <v>-</v>
      </c>
      <c r="L107" s="633" t="str">
        <f>IFERROR(AVERAGE(K107:K121),"-")</f>
        <v>-</v>
      </c>
      <c r="M107" s="510" t="e">
        <f>RANK(K107, K$107:$K$121)</f>
        <v>#VALUE!</v>
      </c>
      <c r="N107" s="652"/>
      <c r="O107" s="652"/>
      <c r="P107" s="507"/>
      <c r="Q107" s="509"/>
      <c r="R107" s="509"/>
      <c r="S107" s="507"/>
      <c r="T107" s="685"/>
      <c r="U107" s="507"/>
      <c r="V107" s="509"/>
      <c r="W107" s="509"/>
      <c r="X107" s="507"/>
      <c r="Y107" s="685"/>
      <c r="Z107" s="507"/>
      <c r="AA107" s="509"/>
      <c r="AB107" s="509"/>
      <c r="AC107" s="507"/>
      <c r="AD107" s="685"/>
      <c r="AE107" s="507"/>
      <c r="AF107" s="509"/>
      <c r="AG107" s="509"/>
      <c r="AH107" s="507"/>
      <c r="AI107" s="685"/>
      <c r="AJ107" s="507"/>
      <c r="AK107" s="509"/>
      <c r="AL107" s="509"/>
      <c r="AM107" s="507"/>
      <c r="AN107" s="685"/>
      <c r="AO107" s="507"/>
      <c r="AP107" s="509"/>
      <c r="AQ107" s="509"/>
      <c r="AR107" s="507"/>
      <c r="AS107" s="685"/>
      <c r="AT107" s="507"/>
      <c r="AU107" s="509"/>
      <c r="AV107" s="509"/>
      <c r="AW107" s="507"/>
      <c r="AX107" s="685"/>
      <c r="AZ107" s="368" t="e">
        <f>RANK(AY107, AY$107:AY$121)</f>
        <v>#N/A</v>
      </c>
      <c r="BA107" s="685" t="e">
        <f>AVERAGE(AY107:AY121)</f>
        <v>#DIV/0!</v>
      </c>
    </row>
    <row r="108" spans="2:53">
      <c r="B108" s="660"/>
      <c r="C108" s="303">
        <v>2</v>
      </c>
      <c r="D108" s="225"/>
      <c r="E108" s="181"/>
      <c r="F108" s="303"/>
      <c r="G108" s="306"/>
      <c r="H108" s="699"/>
      <c r="I108" s="363" t="str">
        <f t="shared" si="77"/>
        <v>-</v>
      </c>
      <c r="J108" s="363" t="str">
        <f t="shared" si="78"/>
        <v>-</v>
      </c>
      <c r="K108" s="199" t="str">
        <f t="shared" si="79"/>
        <v>-</v>
      </c>
      <c r="L108" s="634"/>
      <c r="M108" s="510" t="e">
        <f>RANK(K108, K$107:$K$121)</f>
        <v>#VALUE!</v>
      </c>
      <c r="N108" s="652"/>
      <c r="O108" s="652"/>
      <c r="P108" s="507"/>
      <c r="Q108" s="509"/>
      <c r="R108" s="509"/>
      <c r="S108" s="507"/>
      <c r="T108" s="685"/>
      <c r="U108" s="507"/>
      <c r="V108" s="509"/>
      <c r="W108" s="509"/>
      <c r="X108" s="507"/>
      <c r="Y108" s="685"/>
      <c r="Z108" s="507"/>
      <c r="AA108" s="509"/>
      <c r="AB108" s="509"/>
      <c r="AC108" s="507"/>
      <c r="AD108" s="685"/>
      <c r="AE108" s="507"/>
      <c r="AF108" s="509"/>
      <c r="AG108" s="509"/>
      <c r="AH108" s="507"/>
      <c r="AI108" s="685"/>
      <c r="AJ108" s="507"/>
      <c r="AK108" s="509"/>
      <c r="AL108" s="509"/>
      <c r="AM108" s="507"/>
      <c r="AN108" s="685"/>
      <c r="AO108" s="507"/>
      <c r="AP108" s="509"/>
      <c r="AQ108" s="509"/>
      <c r="AR108" s="507"/>
      <c r="AS108" s="685"/>
      <c r="AT108" s="507"/>
      <c r="AU108" s="509"/>
      <c r="AV108" s="509"/>
      <c r="AW108" s="507"/>
      <c r="AX108" s="685"/>
      <c r="AZ108" s="368" t="e">
        <f t="shared" ref="AZ108:AZ121" si="80">RANK(AY108, AY$107:AY$121)</f>
        <v>#N/A</v>
      </c>
      <c r="BA108" s="685"/>
    </row>
    <row r="109" spans="2:53">
      <c r="B109" s="660"/>
      <c r="C109" s="303">
        <v>3</v>
      </c>
      <c r="D109" s="225"/>
      <c r="E109" s="181"/>
      <c r="F109" s="303"/>
      <c r="G109" s="306"/>
      <c r="H109" s="699"/>
      <c r="I109" s="363" t="str">
        <f t="shared" si="77"/>
        <v>-</v>
      </c>
      <c r="J109" s="363" t="str">
        <f t="shared" si="78"/>
        <v>-</v>
      </c>
      <c r="K109" s="199" t="str">
        <f t="shared" si="79"/>
        <v>-</v>
      </c>
      <c r="L109" s="634"/>
      <c r="M109" s="510" t="e">
        <f>RANK(K109, K$107:$K$121)</f>
        <v>#VALUE!</v>
      </c>
      <c r="N109" s="652"/>
      <c r="O109" s="652"/>
      <c r="P109" s="507"/>
      <c r="Q109" s="509"/>
      <c r="R109" s="509"/>
      <c r="S109" s="507"/>
      <c r="T109" s="685"/>
      <c r="U109" s="507"/>
      <c r="V109" s="509"/>
      <c r="W109" s="509"/>
      <c r="X109" s="507"/>
      <c r="Y109" s="685"/>
      <c r="Z109" s="507"/>
      <c r="AA109" s="509"/>
      <c r="AB109" s="509"/>
      <c r="AC109" s="507"/>
      <c r="AD109" s="685"/>
      <c r="AE109" s="507"/>
      <c r="AF109" s="509"/>
      <c r="AG109" s="509"/>
      <c r="AH109" s="507"/>
      <c r="AI109" s="685"/>
      <c r="AJ109" s="507"/>
      <c r="AK109" s="509"/>
      <c r="AL109" s="509"/>
      <c r="AM109" s="507"/>
      <c r="AN109" s="685"/>
      <c r="AO109" s="507"/>
      <c r="AP109" s="509"/>
      <c r="AQ109" s="509"/>
      <c r="AR109" s="507"/>
      <c r="AS109" s="685"/>
      <c r="AT109" s="507"/>
      <c r="AU109" s="509"/>
      <c r="AV109" s="509"/>
      <c r="AW109" s="507"/>
      <c r="AX109" s="685"/>
      <c r="AZ109" s="368" t="e">
        <f t="shared" si="80"/>
        <v>#N/A</v>
      </c>
      <c r="BA109" s="685"/>
    </row>
    <row r="110" spans="2:53">
      <c r="B110" s="660"/>
      <c r="C110" s="303">
        <v>4</v>
      </c>
      <c r="D110" s="225"/>
      <c r="E110" s="181"/>
      <c r="F110" s="303"/>
      <c r="G110" s="306"/>
      <c r="H110" s="699"/>
      <c r="I110" s="363" t="str">
        <f t="shared" si="77"/>
        <v>-</v>
      </c>
      <c r="J110" s="363" t="str">
        <f t="shared" si="78"/>
        <v>-</v>
      </c>
      <c r="K110" s="199" t="str">
        <f t="shared" si="79"/>
        <v>-</v>
      </c>
      <c r="L110" s="634"/>
      <c r="M110" s="510" t="e">
        <f>RANK(K110, K$107:$K$121)</f>
        <v>#VALUE!</v>
      </c>
      <c r="N110" s="652"/>
      <c r="O110" s="652"/>
      <c r="P110" s="507"/>
      <c r="Q110" s="509"/>
      <c r="R110" s="509"/>
      <c r="S110" s="507"/>
      <c r="T110" s="685"/>
      <c r="U110" s="507"/>
      <c r="V110" s="509"/>
      <c r="W110" s="509"/>
      <c r="X110" s="507"/>
      <c r="Y110" s="685"/>
      <c r="Z110" s="507"/>
      <c r="AA110" s="509"/>
      <c r="AB110" s="509"/>
      <c r="AC110" s="507"/>
      <c r="AD110" s="685"/>
      <c r="AE110" s="507"/>
      <c r="AF110" s="509"/>
      <c r="AG110" s="509"/>
      <c r="AH110" s="507"/>
      <c r="AI110" s="685"/>
      <c r="AJ110" s="507"/>
      <c r="AK110" s="509"/>
      <c r="AL110" s="509"/>
      <c r="AM110" s="507"/>
      <c r="AN110" s="685"/>
      <c r="AO110" s="507"/>
      <c r="AP110" s="509"/>
      <c r="AQ110" s="509"/>
      <c r="AR110" s="507"/>
      <c r="AS110" s="685"/>
      <c r="AT110" s="507"/>
      <c r="AU110" s="509"/>
      <c r="AV110" s="509"/>
      <c r="AW110" s="507"/>
      <c r="AX110" s="685"/>
      <c r="AZ110" s="368" t="e">
        <f t="shared" si="80"/>
        <v>#N/A</v>
      </c>
      <c r="BA110" s="685"/>
    </row>
    <row r="111" spans="2:53">
      <c r="B111" s="660"/>
      <c r="C111" s="303">
        <v>5</v>
      </c>
      <c r="D111" s="225"/>
      <c r="E111" s="181"/>
      <c r="F111" s="303"/>
      <c r="G111" s="306"/>
      <c r="H111" s="699"/>
      <c r="I111" s="363" t="str">
        <f t="shared" si="77"/>
        <v>-</v>
      </c>
      <c r="J111" s="363" t="str">
        <f t="shared" si="78"/>
        <v>-</v>
      </c>
      <c r="K111" s="199" t="str">
        <f t="shared" si="79"/>
        <v>-</v>
      </c>
      <c r="L111" s="634"/>
      <c r="M111" s="510" t="e">
        <f>RANK(K111, K$107:$K$121)</f>
        <v>#VALUE!</v>
      </c>
      <c r="N111" s="652"/>
      <c r="O111" s="652"/>
      <c r="P111" s="507"/>
      <c r="Q111" s="509"/>
      <c r="R111" s="509"/>
      <c r="S111" s="507"/>
      <c r="T111" s="685"/>
      <c r="U111" s="507"/>
      <c r="V111" s="509"/>
      <c r="W111" s="509"/>
      <c r="X111" s="507"/>
      <c r="Y111" s="685"/>
      <c r="Z111" s="507"/>
      <c r="AA111" s="509"/>
      <c r="AB111" s="509"/>
      <c r="AC111" s="507"/>
      <c r="AD111" s="685"/>
      <c r="AE111" s="507"/>
      <c r="AF111" s="509"/>
      <c r="AG111" s="509"/>
      <c r="AH111" s="507"/>
      <c r="AI111" s="685"/>
      <c r="AJ111" s="507"/>
      <c r="AK111" s="509"/>
      <c r="AL111" s="509"/>
      <c r="AM111" s="507"/>
      <c r="AN111" s="685"/>
      <c r="AO111" s="507"/>
      <c r="AP111" s="509"/>
      <c r="AQ111" s="509"/>
      <c r="AR111" s="507"/>
      <c r="AS111" s="685"/>
      <c r="AT111" s="507"/>
      <c r="AU111" s="509"/>
      <c r="AV111" s="509"/>
      <c r="AW111" s="507"/>
      <c r="AX111" s="685"/>
      <c r="AZ111" s="368" t="e">
        <f t="shared" si="80"/>
        <v>#N/A</v>
      </c>
      <c r="BA111" s="685"/>
    </row>
    <row r="112" spans="2:53">
      <c r="B112" s="660"/>
      <c r="C112" s="303">
        <v>6</v>
      </c>
      <c r="D112" s="225"/>
      <c r="E112" s="181"/>
      <c r="F112" s="303"/>
      <c r="G112" s="306"/>
      <c r="H112" s="699"/>
      <c r="I112" s="363" t="str">
        <f t="shared" si="77"/>
        <v>-</v>
      </c>
      <c r="J112" s="363" t="str">
        <f t="shared" si="78"/>
        <v>-</v>
      </c>
      <c r="K112" s="199" t="str">
        <f t="shared" si="79"/>
        <v>-</v>
      </c>
      <c r="L112" s="634"/>
      <c r="M112" s="510" t="e">
        <f>RANK(K112, K$107:$K$121)</f>
        <v>#VALUE!</v>
      </c>
      <c r="N112" s="652"/>
      <c r="O112" s="652"/>
      <c r="P112" s="507"/>
      <c r="Q112" s="509"/>
      <c r="R112" s="509"/>
      <c r="S112" s="507"/>
      <c r="T112" s="685"/>
      <c r="U112" s="507"/>
      <c r="V112" s="509"/>
      <c r="W112" s="509"/>
      <c r="X112" s="507"/>
      <c r="Y112" s="685"/>
      <c r="Z112" s="507"/>
      <c r="AA112" s="509"/>
      <c r="AB112" s="509"/>
      <c r="AC112" s="507"/>
      <c r="AD112" s="685"/>
      <c r="AE112" s="507"/>
      <c r="AF112" s="509"/>
      <c r="AG112" s="509"/>
      <c r="AH112" s="507"/>
      <c r="AI112" s="685"/>
      <c r="AJ112" s="507"/>
      <c r="AK112" s="509"/>
      <c r="AL112" s="509"/>
      <c r="AM112" s="507"/>
      <c r="AN112" s="685"/>
      <c r="AO112" s="507"/>
      <c r="AP112" s="509"/>
      <c r="AQ112" s="509"/>
      <c r="AR112" s="507"/>
      <c r="AS112" s="685"/>
      <c r="AT112" s="507"/>
      <c r="AU112" s="509"/>
      <c r="AV112" s="509"/>
      <c r="AW112" s="507"/>
      <c r="AX112" s="685"/>
      <c r="AZ112" s="368" t="e">
        <f t="shared" si="80"/>
        <v>#N/A</v>
      </c>
      <c r="BA112" s="685"/>
    </row>
    <row r="113" spans="2:53">
      <c r="B113" s="660"/>
      <c r="C113" s="303">
        <v>7</v>
      </c>
      <c r="D113" s="225"/>
      <c r="E113" s="181"/>
      <c r="F113" s="303"/>
      <c r="G113" s="306"/>
      <c r="H113" s="699"/>
      <c r="I113" s="363" t="str">
        <f t="shared" si="77"/>
        <v>-</v>
      </c>
      <c r="J113" s="363" t="str">
        <f t="shared" si="78"/>
        <v>-</v>
      </c>
      <c r="K113" s="199" t="str">
        <f t="shared" si="79"/>
        <v>-</v>
      </c>
      <c r="L113" s="634"/>
      <c r="M113" s="510" t="e">
        <f>RANK(K113, K$107:$K$121)</f>
        <v>#VALUE!</v>
      </c>
      <c r="N113" s="652"/>
      <c r="O113" s="652"/>
      <c r="P113" s="507"/>
      <c r="Q113" s="509"/>
      <c r="R113" s="509"/>
      <c r="S113" s="507"/>
      <c r="T113" s="685"/>
      <c r="U113" s="507"/>
      <c r="V113" s="509"/>
      <c r="W113" s="509"/>
      <c r="X113" s="507"/>
      <c r="Y113" s="685"/>
      <c r="Z113" s="507"/>
      <c r="AA113" s="509"/>
      <c r="AB113" s="509"/>
      <c r="AC113" s="507"/>
      <c r="AD113" s="685"/>
      <c r="AE113" s="507"/>
      <c r="AF113" s="509"/>
      <c r="AG113" s="509"/>
      <c r="AH113" s="507"/>
      <c r="AI113" s="685"/>
      <c r="AJ113" s="507"/>
      <c r="AK113" s="509"/>
      <c r="AL113" s="509"/>
      <c r="AM113" s="507"/>
      <c r="AN113" s="685"/>
      <c r="AO113" s="507"/>
      <c r="AP113" s="509"/>
      <c r="AQ113" s="509"/>
      <c r="AR113" s="507"/>
      <c r="AS113" s="685"/>
      <c r="AT113" s="507"/>
      <c r="AU113" s="509"/>
      <c r="AV113" s="509"/>
      <c r="AW113" s="507"/>
      <c r="AX113" s="685"/>
      <c r="AZ113" s="368" t="e">
        <f t="shared" si="80"/>
        <v>#N/A</v>
      </c>
      <c r="BA113" s="685"/>
    </row>
    <row r="114" spans="2:53">
      <c r="B114" s="660"/>
      <c r="C114" s="303">
        <v>8</v>
      </c>
      <c r="D114" s="225"/>
      <c r="E114" s="181"/>
      <c r="F114" s="303"/>
      <c r="G114" s="306"/>
      <c r="H114" s="699"/>
      <c r="I114" s="363" t="str">
        <f t="shared" si="77"/>
        <v>-</v>
      </c>
      <c r="J114" s="363" t="str">
        <f t="shared" si="78"/>
        <v>-</v>
      </c>
      <c r="K114" s="199" t="str">
        <f t="shared" si="79"/>
        <v>-</v>
      </c>
      <c r="L114" s="634"/>
      <c r="M114" s="510" t="e">
        <f>RANK(K114, K$107:$K$121)</f>
        <v>#VALUE!</v>
      </c>
      <c r="N114" s="652"/>
      <c r="O114" s="652"/>
      <c r="P114" s="507"/>
      <c r="Q114" s="509"/>
      <c r="R114" s="509"/>
      <c r="S114" s="507"/>
      <c r="T114" s="685"/>
      <c r="U114" s="507"/>
      <c r="V114" s="509"/>
      <c r="W114" s="509"/>
      <c r="X114" s="507"/>
      <c r="Y114" s="685"/>
      <c r="Z114" s="507"/>
      <c r="AA114" s="509"/>
      <c r="AB114" s="509"/>
      <c r="AC114" s="507"/>
      <c r="AD114" s="685"/>
      <c r="AE114" s="507"/>
      <c r="AF114" s="509"/>
      <c r="AG114" s="509"/>
      <c r="AH114" s="507"/>
      <c r="AI114" s="685"/>
      <c r="AJ114" s="507"/>
      <c r="AK114" s="509"/>
      <c r="AL114" s="509"/>
      <c r="AM114" s="507"/>
      <c r="AN114" s="685"/>
      <c r="AO114" s="507"/>
      <c r="AP114" s="509"/>
      <c r="AQ114" s="509"/>
      <c r="AR114" s="507"/>
      <c r="AS114" s="685"/>
      <c r="AT114" s="507"/>
      <c r="AU114" s="509"/>
      <c r="AV114" s="509"/>
      <c r="AW114" s="507"/>
      <c r="AX114" s="685"/>
      <c r="AZ114" s="368" t="e">
        <f t="shared" si="80"/>
        <v>#N/A</v>
      </c>
      <c r="BA114" s="685"/>
    </row>
    <row r="115" spans="2:53">
      <c r="B115" s="660"/>
      <c r="C115" s="303">
        <v>9</v>
      </c>
      <c r="D115" s="225"/>
      <c r="E115" s="181"/>
      <c r="F115" s="303"/>
      <c r="G115" s="306"/>
      <c r="H115" s="699"/>
      <c r="I115" s="363" t="str">
        <f t="shared" si="77"/>
        <v>-</v>
      </c>
      <c r="J115" s="363" t="str">
        <f t="shared" si="78"/>
        <v>-</v>
      </c>
      <c r="K115" s="199" t="str">
        <f t="shared" si="79"/>
        <v>-</v>
      </c>
      <c r="L115" s="634"/>
      <c r="M115" s="510" t="e">
        <f>RANK(K115, K$107:$K$121)</f>
        <v>#VALUE!</v>
      </c>
      <c r="N115" s="652"/>
      <c r="O115" s="652"/>
      <c r="P115" s="507"/>
      <c r="Q115" s="509"/>
      <c r="R115" s="509"/>
      <c r="S115" s="507"/>
      <c r="T115" s="685"/>
      <c r="U115" s="507"/>
      <c r="V115" s="509"/>
      <c r="W115" s="509"/>
      <c r="X115" s="507"/>
      <c r="Y115" s="685"/>
      <c r="Z115" s="507"/>
      <c r="AA115" s="509"/>
      <c r="AB115" s="509"/>
      <c r="AC115" s="507"/>
      <c r="AD115" s="685"/>
      <c r="AE115" s="507"/>
      <c r="AF115" s="509"/>
      <c r="AG115" s="509"/>
      <c r="AH115" s="507"/>
      <c r="AI115" s="685"/>
      <c r="AJ115" s="507"/>
      <c r="AK115" s="509"/>
      <c r="AL115" s="509"/>
      <c r="AM115" s="507"/>
      <c r="AN115" s="685"/>
      <c r="AO115" s="507"/>
      <c r="AP115" s="509"/>
      <c r="AQ115" s="509"/>
      <c r="AR115" s="507"/>
      <c r="AS115" s="685"/>
      <c r="AT115" s="507"/>
      <c r="AU115" s="509"/>
      <c r="AV115" s="509"/>
      <c r="AW115" s="507"/>
      <c r="AX115" s="685"/>
      <c r="AZ115" s="368" t="e">
        <f t="shared" si="80"/>
        <v>#N/A</v>
      </c>
      <c r="BA115" s="685"/>
    </row>
    <row r="116" spans="2:53">
      <c r="B116" s="660"/>
      <c r="C116" s="303">
        <v>10</v>
      </c>
      <c r="D116" s="225"/>
      <c r="E116" s="181"/>
      <c r="F116" s="303"/>
      <c r="G116" s="306"/>
      <c r="H116" s="699"/>
      <c r="I116" s="363" t="str">
        <f t="shared" si="77"/>
        <v>-</v>
      </c>
      <c r="J116" s="363" t="str">
        <f t="shared" si="78"/>
        <v>-</v>
      </c>
      <c r="K116" s="199" t="str">
        <f t="shared" si="79"/>
        <v>-</v>
      </c>
      <c r="L116" s="634"/>
      <c r="M116" s="510" t="e">
        <f>RANK(K116, K$107:$K$121)</f>
        <v>#VALUE!</v>
      </c>
      <c r="N116" s="652"/>
      <c r="O116" s="652"/>
      <c r="P116" s="507"/>
      <c r="Q116" s="509"/>
      <c r="R116" s="509"/>
      <c r="S116" s="507"/>
      <c r="T116" s="685"/>
      <c r="U116" s="507"/>
      <c r="V116" s="509"/>
      <c r="W116" s="509"/>
      <c r="X116" s="507"/>
      <c r="Y116" s="685"/>
      <c r="Z116" s="507"/>
      <c r="AA116" s="509"/>
      <c r="AB116" s="509"/>
      <c r="AC116" s="507"/>
      <c r="AD116" s="685"/>
      <c r="AE116" s="507"/>
      <c r="AF116" s="509"/>
      <c r="AG116" s="509"/>
      <c r="AH116" s="507"/>
      <c r="AI116" s="685"/>
      <c r="AJ116" s="507"/>
      <c r="AK116" s="509"/>
      <c r="AL116" s="509"/>
      <c r="AM116" s="507"/>
      <c r="AN116" s="685"/>
      <c r="AO116" s="507"/>
      <c r="AP116" s="509"/>
      <c r="AQ116" s="509"/>
      <c r="AR116" s="507"/>
      <c r="AS116" s="685"/>
      <c r="AT116" s="507"/>
      <c r="AU116" s="509"/>
      <c r="AV116" s="509"/>
      <c r="AW116" s="507"/>
      <c r="AX116" s="685"/>
      <c r="AZ116" s="368" t="e">
        <f t="shared" si="80"/>
        <v>#N/A</v>
      </c>
      <c r="BA116" s="685"/>
    </row>
    <row r="117" spans="2:53">
      <c r="B117" s="660"/>
      <c r="C117" s="303">
        <v>11</v>
      </c>
      <c r="D117" s="225"/>
      <c r="E117" s="181"/>
      <c r="F117" s="303"/>
      <c r="G117" s="306"/>
      <c r="H117" s="699"/>
      <c r="I117" s="363" t="str">
        <f t="shared" si="77"/>
        <v>-</v>
      </c>
      <c r="J117" s="363" t="str">
        <f t="shared" si="78"/>
        <v>-</v>
      </c>
      <c r="K117" s="199" t="str">
        <f t="shared" si="79"/>
        <v>-</v>
      </c>
      <c r="L117" s="634"/>
      <c r="M117" s="510" t="e">
        <f>RANK(K117, K$107:$K$121)</f>
        <v>#VALUE!</v>
      </c>
      <c r="N117" s="652"/>
      <c r="O117" s="652"/>
      <c r="P117" s="507"/>
      <c r="Q117" s="509"/>
      <c r="R117" s="509"/>
      <c r="S117" s="507"/>
      <c r="T117" s="685"/>
      <c r="U117" s="507"/>
      <c r="V117" s="509"/>
      <c r="W117" s="509"/>
      <c r="X117" s="507"/>
      <c r="Y117" s="685"/>
      <c r="Z117" s="507"/>
      <c r="AA117" s="509"/>
      <c r="AB117" s="509"/>
      <c r="AC117" s="507"/>
      <c r="AD117" s="685"/>
      <c r="AE117" s="507"/>
      <c r="AF117" s="509"/>
      <c r="AG117" s="509"/>
      <c r="AH117" s="507"/>
      <c r="AI117" s="685"/>
      <c r="AJ117" s="507"/>
      <c r="AK117" s="509"/>
      <c r="AL117" s="509"/>
      <c r="AM117" s="507"/>
      <c r="AN117" s="685"/>
      <c r="AO117" s="507"/>
      <c r="AP117" s="509"/>
      <c r="AQ117" s="509"/>
      <c r="AR117" s="507"/>
      <c r="AS117" s="685"/>
      <c r="AT117" s="507"/>
      <c r="AU117" s="509"/>
      <c r="AV117" s="509"/>
      <c r="AW117" s="507"/>
      <c r="AX117" s="685"/>
      <c r="AZ117" s="368" t="e">
        <f t="shared" si="80"/>
        <v>#N/A</v>
      </c>
      <c r="BA117" s="685"/>
    </row>
    <row r="118" spans="2:53">
      <c r="B118" s="660"/>
      <c r="C118" s="303">
        <v>12</v>
      </c>
      <c r="D118" s="225"/>
      <c r="E118" s="181"/>
      <c r="F118" s="303"/>
      <c r="G118" s="306"/>
      <c r="H118" s="699"/>
      <c r="I118" s="363" t="str">
        <f t="shared" si="77"/>
        <v>-</v>
      </c>
      <c r="J118" s="363" t="str">
        <f t="shared" si="78"/>
        <v>-</v>
      </c>
      <c r="K118" s="199" t="str">
        <f t="shared" si="79"/>
        <v>-</v>
      </c>
      <c r="L118" s="634"/>
      <c r="M118" s="510" t="e">
        <f>RANK(K118, K$107:$K$121)</f>
        <v>#VALUE!</v>
      </c>
      <c r="N118" s="652"/>
      <c r="O118" s="652"/>
      <c r="P118" s="507"/>
      <c r="Q118" s="509"/>
      <c r="R118" s="509"/>
      <c r="S118" s="507"/>
      <c r="T118" s="685"/>
      <c r="U118" s="507"/>
      <c r="V118" s="509"/>
      <c r="W118" s="509"/>
      <c r="X118" s="507"/>
      <c r="Y118" s="685"/>
      <c r="Z118" s="507"/>
      <c r="AA118" s="509"/>
      <c r="AB118" s="509"/>
      <c r="AC118" s="507"/>
      <c r="AD118" s="685"/>
      <c r="AE118" s="507"/>
      <c r="AF118" s="509"/>
      <c r="AG118" s="509"/>
      <c r="AH118" s="507"/>
      <c r="AI118" s="685"/>
      <c r="AJ118" s="507"/>
      <c r="AK118" s="509"/>
      <c r="AL118" s="509"/>
      <c r="AM118" s="507"/>
      <c r="AN118" s="685"/>
      <c r="AO118" s="507"/>
      <c r="AP118" s="509"/>
      <c r="AQ118" s="509"/>
      <c r="AR118" s="507"/>
      <c r="AS118" s="685"/>
      <c r="AT118" s="507"/>
      <c r="AU118" s="509"/>
      <c r="AV118" s="509"/>
      <c r="AW118" s="507"/>
      <c r="AX118" s="685"/>
      <c r="AZ118" s="368" t="e">
        <f t="shared" si="80"/>
        <v>#N/A</v>
      </c>
      <c r="BA118" s="685"/>
    </row>
    <row r="119" spans="2:53">
      <c r="B119" s="660"/>
      <c r="C119" s="303">
        <v>13</v>
      </c>
      <c r="D119" s="225"/>
      <c r="E119" s="181"/>
      <c r="F119" s="303"/>
      <c r="G119" s="306"/>
      <c r="H119" s="699"/>
      <c r="I119" s="363" t="str">
        <f t="shared" si="77"/>
        <v>-</v>
      </c>
      <c r="J119" s="363" t="str">
        <f t="shared" si="78"/>
        <v>-</v>
      </c>
      <c r="K119" s="199" t="str">
        <f t="shared" si="79"/>
        <v>-</v>
      </c>
      <c r="L119" s="634"/>
      <c r="M119" s="510" t="e">
        <f>RANK(K119, K$107:$K$121)</f>
        <v>#VALUE!</v>
      </c>
      <c r="N119" s="652"/>
      <c r="O119" s="652"/>
      <c r="P119" s="507"/>
      <c r="Q119" s="509"/>
      <c r="R119" s="509"/>
      <c r="S119" s="507"/>
      <c r="T119" s="685"/>
      <c r="U119" s="507"/>
      <c r="V119" s="509"/>
      <c r="W119" s="509"/>
      <c r="X119" s="507"/>
      <c r="Y119" s="685"/>
      <c r="Z119" s="507"/>
      <c r="AA119" s="509"/>
      <c r="AB119" s="509"/>
      <c r="AC119" s="507"/>
      <c r="AD119" s="685"/>
      <c r="AE119" s="507"/>
      <c r="AF119" s="509"/>
      <c r="AG119" s="509"/>
      <c r="AH119" s="507"/>
      <c r="AI119" s="685"/>
      <c r="AJ119" s="507"/>
      <c r="AK119" s="509"/>
      <c r="AL119" s="509"/>
      <c r="AM119" s="507"/>
      <c r="AN119" s="685"/>
      <c r="AO119" s="507"/>
      <c r="AP119" s="509"/>
      <c r="AQ119" s="509"/>
      <c r="AR119" s="507"/>
      <c r="AS119" s="685"/>
      <c r="AT119" s="507"/>
      <c r="AU119" s="509"/>
      <c r="AV119" s="509"/>
      <c r="AW119" s="507"/>
      <c r="AX119" s="685"/>
      <c r="AZ119" s="368" t="e">
        <f t="shared" si="80"/>
        <v>#N/A</v>
      </c>
      <c r="BA119" s="685"/>
    </row>
    <row r="120" spans="2:53">
      <c r="B120" s="660"/>
      <c r="C120" s="303">
        <v>14</v>
      </c>
      <c r="D120" s="225"/>
      <c r="E120" s="181"/>
      <c r="F120" s="303"/>
      <c r="G120" s="306"/>
      <c r="H120" s="699"/>
      <c r="I120" s="363" t="str">
        <f t="shared" si="77"/>
        <v>-</v>
      </c>
      <c r="J120" s="363" t="str">
        <f t="shared" si="78"/>
        <v>-</v>
      </c>
      <c r="K120" s="199" t="str">
        <f t="shared" si="79"/>
        <v>-</v>
      </c>
      <c r="L120" s="634"/>
      <c r="M120" s="510" t="e">
        <f>RANK(K120, K$107:$K$121)</f>
        <v>#VALUE!</v>
      </c>
      <c r="N120" s="652"/>
      <c r="O120" s="652"/>
      <c r="P120" s="507"/>
      <c r="Q120" s="509"/>
      <c r="R120" s="509"/>
      <c r="S120" s="507"/>
      <c r="T120" s="685"/>
      <c r="U120" s="507"/>
      <c r="V120" s="509"/>
      <c r="W120" s="509"/>
      <c r="X120" s="507"/>
      <c r="Y120" s="685"/>
      <c r="Z120" s="507"/>
      <c r="AA120" s="509"/>
      <c r="AB120" s="509"/>
      <c r="AC120" s="507"/>
      <c r="AD120" s="685"/>
      <c r="AE120" s="507"/>
      <c r="AF120" s="509"/>
      <c r="AG120" s="509"/>
      <c r="AH120" s="507"/>
      <c r="AI120" s="685"/>
      <c r="AJ120" s="507"/>
      <c r="AK120" s="509"/>
      <c r="AL120" s="509"/>
      <c r="AM120" s="507"/>
      <c r="AN120" s="685"/>
      <c r="AO120" s="507"/>
      <c r="AP120" s="509"/>
      <c r="AQ120" s="509"/>
      <c r="AR120" s="507"/>
      <c r="AS120" s="685"/>
      <c r="AT120" s="507"/>
      <c r="AU120" s="509"/>
      <c r="AV120" s="509"/>
      <c r="AW120" s="507"/>
      <c r="AX120" s="685"/>
      <c r="AZ120" s="368" t="e">
        <f t="shared" si="80"/>
        <v>#N/A</v>
      </c>
      <c r="BA120" s="685"/>
    </row>
    <row r="121" spans="2:53">
      <c r="B121" s="660"/>
      <c r="C121" s="303">
        <v>15</v>
      </c>
      <c r="D121" s="225"/>
      <c r="E121" s="181"/>
      <c r="F121" s="303"/>
      <c r="G121" s="306"/>
      <c r="H121" s="700"/>
      <c r="I121" s="201"/>
      <c r="J121" s="201"/>
      <c r="K121" s="201"/>
      <c r="L121" s="635"/>
      <c r="M121" s="510" t="e">
        <f>RANK(K121, K$107:$K$121)</f>
        <v>#N/A</v>
      </c>
      <c r="N121" s="652"/>
      <c r="O121" s="652"/>
      <c r="P121" s="507"/>
      <c r="Q121" s="509"/>
      <c r="R121" s="509"/>
      <c r="S121" s="507"/>
      <c r="T121" s="685"/>
      <c r="U121" s="507"/>
      <c r="V121" s="509"/>
      <c r="W121" s="509"/>
      <c r="X121" s="507"/>
      <c r="Y121" s="685"/>
      <c r="Z121" s="507"/>
      <c r="AA121" s="509"/>
      <c r="AB121" s="509"/>
      <c r="AC121" s="507"/>
      <c r="AD121" s="685"/>
      <c r="AE121" s="507"/>
      <c r="AF121" s="509"/>
      <c r="AG121" s="509"/>
      <c r="AH121" s="507"/>
      <c r="AI121" s="685"/>
      <c r="AJ121" s="507"/>
      <c r="AK121" s="509"/>
      <c r="AL121" s="509"/>
      <c r="AM121" s="507"/>
      <c r="AN121" s="685"/>
      <c r="AO121" s="507"/>
      <c r="AP121" s="509"/>
      <c r="AQ121" s="509"/>
      <c r="AR121" s="507"/>
      <c r="AS121" s="685"/>
      <c r="AT121" s="507"/>
      <c r="AU121" s="509"/>
      <c r="AV121" s="509"/>
      <c r="AW121" s="507"/>
      <c r="AX121" s="685"/>
      <c r="AZ121" s="368" t="e">
        <f t="shared" si="80"/>
        <v>#N/A</v>
      </c>
      <c r="BA121" s="685"/>
    </row>
    <row r="123" spans="2:53" ht="15.75">
      <c r="B123" s="686" t="s">
        <v>472</v>
      </c>
      <c r="C123" s="687"/>
      <c r="D123" s="687"/>
      <c r="E123" s="687"/>
      <c r="F123" s="687"/>
      <c r="G123" s="687"/>
      <c r="H123" s="688"/>
      <c r="I123" s="307"/>
      <c r="J123" s="307"/>
      <c r="K123" s="307"/>
      <c r="L123" s="307"/>
      <c r="M123" s="308"/>
    </row>
    <row r="124" spans="2:53" ht="15.75">
      <c r="B124" s="689"/>
      <c r="C124" s="689"/>
      <c r="D124" s="689"/>
      <c r="E124" s="689"/>
      <c r="F124" s="689"/>
      <c r="G124" s="689"/>
      <c r="H124" s="689"/>
      <c r="I124" s="309"/>
      <c r="J124" s="309"/>
      <c r="K124" s="309"/>
      <c r="L124" s="309"/>
      <c r="M124" s="310"/>
    </row>
    <row r="125" spans="2:53">
      <c r="B125" s="652" t="s">
        <v>473</v>
      </c>
      <c r="C125" s="652" t="s">
        <v>474</v>
      </c>
      <c r="D125" s="652"/>
      <c r="E125" s="652" t="s">
        <v>475</v>
      </c>
      <c r="F125" s="652"/>
      <c r="G125" s="652"/>
      <c r="H125" s="668" t="s">
        <v>476</v>
      </c>
      <c r="I125" s="690" t="s">
        <v>477</v>
      </c>
      <c r="J125" s="690"/>
      <c r="K125" s="690"/>
      <c r="L125" s="704" t="s">
        <v>476</v>
      </c>
      <c r="M125" s="707" t="s">
        <v>478</v>
      </c>
    </row>
    <row r="126" spans="2:53">
      <c r="B126" s="652"/>
      <c r="C126" s="652"/>
      <c r="D126" s="652"/>
      <c r="E126" s="652" t="s">
        <v>479</v>
      </c>
      <c r="F126" s="652"/>
      <c r="G126" s="652"/>
      <c r="H126" s="669"/>
      <c r="I126" s="690" t="s">
        <v>479</v>
      </c>
      <c r="J126" s="690"/>
      <c r="K126" s="690"/>
      <c r="L126" s="705"/>
      <c r="M126" s="708"/>
    </row>
    <row r="127" spans="2:53">
      <c r="B127" s="652"/>
      <c r="C127" s="652"/>
      <c r="D127" s="652"/>
      <c r="E127" s="304" t="s">
        <v>480</v>
      </c>
      <c r="F127" s="304" t="s">
        <v>481</v>
      </c>
      <c r="G127" s="304" t="s">
        <v>482</v>
      </c>
      <c r="H127" s="670"/>
      <c r="I127" s="311" t="s">
        <v>480</v>
      </c>
      <c r="J127" s="311" t="s">
        <v>481</v>
      </c>
      <c r="K127" s="311" t="s">
        <v>482</v>
      </c>
      <c r="L127" s="706"/>
      <c r="M127" s="709"/>
    </row>
    <row r="128" spans="2:53">
      <c r="B128" s="652" t="s">
        <v>486</v>
      </c>
      <c r="C128" s="303">
        <v>1</v>
      </c>
      <c r="D128" s="225"/>
      <c r="E128" s="181"/>
      <c r="F128" s="303"/>
      <c r="G128" s="306"/>
      <c r="H128" s="698" t="e">
        <f>AVERAGE(G128:G142)</f>
        <v>#DIV/0!</v>
      </c>
      <c r="I128" s="198" t="e">
        <f t="shared" ref="I128:J128" si="81">AVERAGEIF($D$7:$D$121,$D128,I$7:I$121)</f>
        <v>#DIV/0!</v>
      </c>
      <c r="J128" s="198" t="e">
        <f t="shared" si="81"/>
        <v>#DIV/0!</v>
      </c>
      <c r="K128" s="198" t="e">
        <f>AVERAGEIF($D$7:$D$121,$D128,K$7:K$121)</f>
        <v>#DIV/0!</v>
      </c>
      <c r="L128" s="701" t="e">
        <f>AVERAGE(K128:K142)</f>
        <v>#DIV/0!</v>
      </c>
      <c r="M128" s="198" t="e">
        <f>RANK(K128, K$128:$K$142)</f>
        <v>#DIV/0!</v>
      </c>
    </row>
    <row r="129" spans="2:39">
      <c r="B129" s="660"/>
      <c r="C129" s="303">
        <v>2</v>
      </c>
      <c r="D129" s="225"/>
      <c r="E129" s="181"/>
      <c r="F129" s="303"/>
      <c r="G129" s="306"/>
      <c r="H129" s="699"/>
      <c r="I129" s="198"/>
      <c r="J129" s="198"/>
      <c r="K129" s="198"/>
      <c r="L129" s="702"/>
      <c r="M129" s="198" t="e">
        <f>RANK(K129, K$128:$K$142)</f>
        <v>#DIV/0!</v>
      </c>
      <c r="N129" s="107"/>
      <c r="O129" s="107"/>
      <c r="P129" s="107"/>
      <c r="Q129" s="107"/>
      <c r="R129" s="107"/>
      <c r="S129" s="107"/>
      <c r="T129" s="107"/>
      <c r="X129" s="107"/>
      <c r="AC129" s="107"/>
      <c r="AH129" s="107"/>
      <c r="AM129" s="107"/>
    </row>
    <row r="130" spans="2:39">
      <c r="B130" s="660"/>
      <c r="C130" s="303">
        <v>3</v>
      </c>
      <c r="D130" s="225"/>
      <c r="E130" s="181"/>
      <c r="F130" s="303"/>
      <c r="G130" s="306"/>
      <c r="H130" s="699"/>
      <c r="I130" s="198"/>
      <c r="J130" s="198"/>
      <c r="K130" s="198"/>
      <c r="L130" s="702"/>
      <c r="M130" s="198" t="e">
        <f>RANK(K130, K$128:$K$142)</f>
        <v>#DIV/0!</v>
      </c>
      <c r="N130" s="107"/>
      <c r="O130" s="107"/>
      <c r="P130" s="107"/>
      <c r="Q130" s="107"/>
      <c r="R130" s="107"/>
      <c r="S130" s="107"/>
      <c r="T130" s="107"/>
      <c r="X130" s="107"/>
      <c r="AC130" s="107"/>
      <c r="AH130" s="107"/>
      <c r="AM130" s="107"/>
    </row>
    <row r="131" spans="2:39">
      <c r="B131" s="660"/>
      <c r="C131" s="303">
        <v>4</v>
      </c>
      <c r="D131" s="225"/>
      <c r="E131" s="181"/>
      <c r="F131" s="303"/>
      <c r="G131" s="306"/>
      <c r="H131" s="699"/>
      <c r="I131" s="198"/>
      <c r="J131" s="198"/>
      <c r="K131" s="198"/>
      <c r="L131" s="702"/>
      <c r="M131" s="198" t="e">
        <f>RANK(K131, K$128:$K$142)</f>
        <v>#DIV/0!</v>
      </c>
      <c r="N131" s="107"/>
      <c r="O131" s="107"/>
      <c r="P131" s="107"/>
      <c r="Q131" s="107"/>
      <c r="R131" s="107"/>
      <c r="S131" s="107"/>
      <c r="T131" s="107"/>
      <c r="X131" s="107"/>
      <c r="AC131" s="107"/>
      <c r="AH131" s="107"/>
      <c r="AM131" s="107"/>
    </row>
    <row r="132" spans="2:39">
      <c r="B132" s="660"/>
      <c r="C132" s="303">
        <v>5</v>
      </c>
      <c r="D132" s="225"/>
      <c r="E132" s="181"/>
      <c r="F132" s="303"/>
      <c r="G132" s="306"/>
      <c r="H132" s="699"/>
      <c r="I132" s="198"/>
      <c r="J132" s="198"/>
      <c r="K132" s="198"/>
      <c r="L132" s="702"/>
      <c r="M132" s="198" t="e">
        <f>RANK(K132, K$128:$K$142)</f>
        <v>#DIV/0!</v>
      </c>
      <c r="N132" s="107"/>
      <c r="O132" s="107"/>
      <c r="P132" s="107"/>
      <c r="Q132" s="107"/>
      <c r="R132" s="107"/>
      <c r="S132" s="107"/>
      <c r="T132" s="107"/>
      <c r="X132" s="107"/>
      <c r="AC132" s="107"/>
      <c r="AH132" s="107"/>
      <c r="AM132" s="107"/>
    </row>
    <row r="133" spans="2:39">
      <c r="B133" s="660"/>
      <c r="C133" s="303">
        <v>6</v>
      </c>
      <c r="D133" s="312"/>
      <c r="E133" s="181"/>
      <c r="F133" s="303"/>
      <c r="G133" s="306"/>
      <c r="H133" s="699"/>
      <c r="I133" s="198"/>
      <c r="J133" s="198"/>
      <c r="K133" s="198"/>
      <c r="L133" s="702"/>
      <c r="M133" s="198" t="e">
        <f>RANK(K133, K$128:$K$142)</f>
        <v>#DIV/0!</v>
      </c>
      <c r="N133" s="107"/>
      <c r="O133" s="107"/>
      <c r="P133" s="107"/>
      <c r="Q133" s="107"/>
      <c r="R133" s="107"/>
      <c r="S133" s="107"/>
      <c r="T133" s="107"/>
      <c r="X133" s="107"/>
      <c r="AC133" s="107"/>
      <c r="AH133" s="107"/>
      <c r="AM133" s="107"/>
    </row>
    <row r="134" spans="2:39">
      <c r="B134" s="660"/>
      <c r="C134" s="303">
        <v>7</v>
      </c>
      <c r="D134" s="225"/>
      <c r="E134" s="181"/>
      <c r="F134" s="303"/>
      <c r="G134" s="306"/>
      <c r="H134" s="699"/>
      <c r="I134" s="198"/>
      <c r="J134" s="198"/>
      <c r="K134" s="198"/>
      <c r="L134" s="702"/>
      <c r="M134" s="198" t="e">
        <f>RANK(K134, K$128:$K$142)</f>
        <v>#DIV/0!</v>
      </c>
      <c r="N134" s="107"/>
      <c r="O134" s="107"/>
      <c r="P134" s="107"/>
      <c r="Q134" s="107"/>
      <c r="R134" s="107"/>
      <c r="S134" s="107"/>
      <c r="T134" s="107"/>
      <c r="X134" s="107"/>
      <c r="AC134" s="107"/>
      <c r="AH134" s="107"/>
      <c r="AM134" s="107"/>
    </row>
    <row r="135" spans="2:39">
      <c r="B135" s="660"/>
      <c r="C135" s="303">
        <v>8</v>
      </c>
      <c r="D135" s="225"/>
      <c r="E135" s="181"/>
      <c r="F135" s="303"/>
      <c r="G135" s="306"/>
      <c r="H135" s="699"/>
      <c r="I135" s="198"/>
      <c r="J135" s="198"/>
      <c r="K135" s="198"/>
      <c r="L135" s="702"/>
      <c r="M135" s="198" t="e">
        <f>RANK(K135, K$128:$K$142)</f>
        <v>#DIV/0!</v>
      </c>
      <c r="N135" s="107"/>
      <c r="O135" s="107"/>
      <c r="P135" s="107"/>
      <c r="Q135" s="107"/>
      <c r="R135" s="107"/>
      <c r="S135" s="107"/>
      <c r="T135" s="107"/>
      <c r="X135" s="107"/>
      <c r="AC135" s="107"/>
      <c r="AH135" s="107"/>
      <c r="AM135" s="107"/>
    </row>
    <row r="136" spans="2:39">
      <c r="B136" s="660"/>
      <c r="C136" s="303">
        <v>9</v>
      </c>
      <c r="D136" s="225"/>
      <c r="E136" s="303"/>
      <c r="F136" s="303"/>
      <c r="G136" s="303"/>
      <c r="H136" s="699"/>
      <c r="I136" s="198"/>
      <c r="J136" s="198"/>
      <c r="K136" s="198"/>
      <c r="L136" s="702"/>
      <c r="M136" s="198" t="e">
        <f>RANK(K136, K$128:$K$142)</f>
        <v>#DIV/0!</v>
      </c>
      <c r="N136" s="107"/>
      <c r="O136" s="107"/>
      <c r="P136" s="107"/>
      <c r="Q136" s="107"/>
      <c r="R136" s="107"/>
      <c r="S136" s="107"/>
      <c r="T136" s="107"/>
      <c r="X136" s="107"/>
      <c r="AC136" s="107"/>
      <c r="AH136" s="107"/>
      <c r="AM136" s="107"/>
    </row>
    <row r="137" spans="2:39">
      <c r="B137" s="660"/>
      <c r="C137" s="303">
        <v>10</v>
      </c>
      <c r="D137" s="225"/>
      <c r="E137" s="303"/>
      <c r="F137" s="303"/>
      <c r="G137" s="303"/>
      <c r="H137" s="699"/>
      <c r="I137" s="198"/>
      <c r="J137" s="198"/>
      <c r="K137" s="198"/>
      <c r="L137" s="702"/>
      <c r="M137" s="198" t="e">
        <f>RANK(K137, K$128:$K$142)</f>
        <v>#DIV/0!</v>
      </c>
      <c r="N137" s="107"/>
      <c r="O137" s="107"/>
      <c r="P137" s="107"/>
      <c r="Q137" s="107"/>
      <c r="R137" s="107"/>
      <c r="S137" s="107"/>
      <c r="T137" s="107"/>
      <c r="X137" s="107"/>
      <c r="AC137" s="107"/>
      <c r="AH137" s="107"/>
      <c r="AM137" s="107"/>
    </row>
    <row r="138" spans="2:39">
      <c r="B138" s="660"/>
      <c r="C138" s="303">
        <v>11</v>
      </c>
      <c r="D138" s="225"/>
      <c r="E138" s="303"/>
      <c r="F138" s="303"/>
      <c r="G138" s="303"/>
      <c r="H138" s="699"/>
      <c r="I138" s="198"/>
      <c r="J138" s="198"/>
      <c r="K138" s="198"/>
      <c r="L138" s="702"/>
      <c r="M138" s="198" t="e">
        <f>RANK(K138, K$128:$K$142)</f>
        <v>#DIV/0!</v>
      </c>
      <c r="N138" s="107"/>
      <c r="O138" s="107"/>
      <c r="P138" s="107"/>
      <c r="Q138" s="107"/>
      <c r="R138" s="107"/>
      <c r="S138" s="107"/>
      <c r="T138" s="107"/>
      <c r="X138" s="107"/>
      <c r="AC138" s="107"/>
      <c r="AH138" s="107"/>
      <c r="AM138" s="107"/>
    </row>
    <row r="139" spans="2:39">
      <c r="B139" s="660"/>
      <c r="C139" s="303">
        <v>12</v>
      </c>
      <c r="D139" s="225"/>
      <c r="E139" s="303"/>
      <c r="F139" s="303"/>
      <c r="G139" s="303"/>
      <c r="H139" s="699"/>
      <c r="I139" s="198"/>
      <c r="J139" s="198"/>
      <c r="K139" s="198"/>
      <c r="L139" s="702"/>
      <c r="M139" s="198" t="e">
        <f>RANK(K139, K$128:$K$142)</f>
        <v>#DIV/0!</v>
      </c>
      <c r="N139" s="107"/>
      <c r="O139" s="107"/>
      <c r="P139" s="107"/>
      <c r="Q139" s="107"/>
      <c r="R139" s="107"/>
      <c r="S139" s="107"/>
      <c r="T139" s="107"/>
      <c r="X139" s="107"/>
      <c r="AC139" s="107"/>
      <c r="AH139" s="107"/>
      <c r="AM139" s="107"/>
    </row>
    <row r="140" spans="2:39">
      <c r="B140" s="660"/>
      <c r="C140" s="303">
        <v>13</v>
      </c>
      <c r="D140" s="225"/>
      <c r="E140" s="303"/>
      <c r="F140" s="303"/>
      <c r="G140" s="303"/>
      <c r="H140" s="699"/>
      <c r="I140" s="198"/>
      <c r="J140" s="198"/>
      <c r="K140" s="198"/>
      <c r="L140" s="702"/>
      <c r="M140" s="198" t="e">
        <f>RANK(K140, K$128:$K$142)</f>
        <v>#DIV/0!</v>
      </c>
      <c r="N140" s="107"/>
      <c r="O140" s="107"/>
      <c r="P140" s="107"/>
      <c r="Q140" s="107"/>
      <c r="R140" s="107"/>
      <c r="S140" s="107"/>
      <c r="T140" s="107"/>
      <c r="X140" s="107"/>
      <c r="AC140" s="107"/>
      <c r="AH140" s="107"/>
      <c r="AM140" s="107"/>
    </row>
    <row r="141" spans="2:39">
      <c r="B141" s="660"/>
      <c r="C141" s="303">
        <v>14</v>
      </c>
      <c r="D141" s="225"/>
      <c r="E141" s="303"/>
      <c r="F141" s="303"/>
      <c r="G141" s="303"/>
      <c r="H141" s="699"/>
      <c r="I141" s="198"/>
      <c r="J141" s="198"/>
      <c r="K141" s="198"/>
      <c r="L141" s="702"/>
      <c r="M141" s="198" t="e">
        <f>RANK(K141, K$128:$K$142)</f>
        <v>#DIV/0!</v>
      </c>
      <c r="N141" s="107"/>
      <c r="O141" s="107"/>
      <c r="P141" s="107"/>
      <c r="Q141" s="107"/>
      <c r="R141" s="107"/>
      <c r="S141" s="107"/>
      <c r="T141" s="107"/>
      <c r="X141" s="107"/>
      <c r="AC141" s="107"/>
      <c r="AH141" s="107"/>
      <c r="AM141" s="107"/>
    </row>
    <row r="142" spans="2:39">
      <c r="B142" s="660"/>
      <c r="C142" s="303">
        <v>15</v>
      </c>
      <c r="D142" s="225"/>
      <c r="E142" s="303"/>
      <c r="F142" s="303"/>
      <c r="G142" s="303"/>
      <c r="H142" s="700"/>
      <c r="I142" s="198"/>
      <c r="J142" s="198"/>
      <c r="K142" s="198"/>
      <c r="L142" s="703"/>
      <c r="M142" s="198" t="e">
        <f>RANK(K142, K$128:$K$142)</f>
        <v>#DIV/0!</v>
      </c>
      <c r="N142" s="107"/>
      <c r="O142" s="107"/>
      <c r="P142" s="107"/>
      <c r="Q142" s="107"/>
      <c r="R142" s="107"/>
      <c r="S142" s="107"/>
      <c r="T142" s="107"/>
      <c r="X142" s="107"/>
      <c r="AC142" s="107"/>
      <c r="AH142" s="107"/>
      <c r="AM142" s="107"/>
    </row>
  </sheetData>
  <mergeCells count="379"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BA87:BA101"/>
    <mergeCell ref="BA104:BA106"/>
    <mergeCell ref="BA107:BA121"/>
    <mergeCell ref="BA4:BA6"/>
    <mergeCell ref="BA7:BA21"/>
    <mergeCell ref="BA24:BA26"/>
    <mergeCell ref="BA27:BA41"/>
    <mergeCell ref="BA44:BA46"/>
    <mergeCell ref="BA47:BA61"/>
    <mergeCell ref="BA64:BA66"/>
    <mergeCell ref="BA67:BA81"/>
    <mergeCell ref="BA84:BA86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A247"/>
  <sheetViews>
    <sheetView topLeftCell="A118" zoomScale="40" zoomScaleNormal="40" workbookViewId="0">
      <pane xSplit="15" topLeftCell="P1" activePane="topRight" state="frozen"/>
      <selection activeCell="T87" activeCellId="6" sqref="AW87:AX101 AR87:AS101 AM87:AN101 AH87:AI101 AC87:AD101 X87:Y101 S87:T101"/>
      <selection pane="topRight" activeCell="D147" sqref="D147:H176"/>
    </sheetView>
  </sheetViews>
  <sheetFormatPr defaultColWidth="8.85546875" defaultRowHeight="12.75"/>
  <cols>
    <col min="1" max="1" width="5.5703125" style="107" customWidth="1"/>
    <col min="2" max="2" width="12.42578125" style="107" customWidth="1"/>
    <col min="3" max="3" width="8.85546875" style="106"/>
    <col min="4" max="4" width="26.42578125" style="106" customWidth="1"/>
    <col min="5" max="7" width="8.42578125" style="106" customWidth="1"/>
    <col min="8" max="8" width="11.140625" style="106" bestFit="1" customWidth="1"/>
    <col min="9" max="12" width="11.140625" style="106" customWidth="1"/>
    <col min="13" max="13" width="13.5703125" style="106" customWidth="1"/>
    <col min="14" max="14" width="9.85546875" style="106" customWidth="1"/>
    <col min="15" max="15" width="7.140625" style="106" customWidth="1"/>
    <col min="16" max="18" width="12.85546875" style="106" customWidth="1"/>
    <col min="19" max="19" width="5.42578125" style="106" customWidth="1"/>
    <col min="20" max="20" width="12.85546875" style="106" customWidth="1"/>
    <col min="21" max="23" width="12.85546875" style="107" customWidth="1"/>
    <col min="24" max="24" width="5.42578125" style="106" customWidth="1"/>
    <col min="25" max="28" width="12.85546875" style="107" customWidth="1"/>
    <col min="29" max="29" width="5.42578125" style="106" customWidth="1"/>
    <col min="30" max="30" width="12.85546875" style="107" customWidth="1"/>
    <col min="31" max="33" width="12.5703125" style="107" customWidth="1"/>
    <col min="34" max="34" width="5.42578125" style="106" customWidth="1"/>
    <col min="35" max="35" width="13" style="107" customWidth="1"/>
    <col min="36" max="38" width="12.5703125" style="107" customWidth="1"/>
    <col min="39" max="39" width="5.42578125" style="106" customWidth="1"/>
    <col min="40" max="40" width="13" style="107" customWidth="1"/>
    <col min="41" max="43" width="13.140625" style="107" customWidth="1"/>
    <col min="44" max="44" width="5.42578125" style="107" customWidth="1"/>
    <col min="45" max="48" width="13.140625" style="107" customWidth="1"/>
    <col min="49" max="49" width="5.42578125" style="107" customWidth="1"/>
    <col min="50" max="50" width="13.140625" style="107" customWidth="1"/>
    <col min="51" max="51" width="8.85546875" style="107"/>
    <col min="52" max="52" width="5.42578125" style="107" customWidth="1"/>
    <col min="53" max="53" width="13.140625" style="107" customWidth="1"/>
    <col min="54" max="16384" width="8.85546875" style="107"/>
  </cols>
  <sheetData>
    <row r="1" spans="1:53" ht="24">
      <c r="A1" s="75"/>
      <c r="B1" s="220" t="s">
        <v>313</v>
      </c>
      <c r="C1" s="219">
        <f>AVERAGE(L7,L42,L77,L112,L147,L182)</f>
        <v>89.769931741277631</v>
      </c>
    </row>
    <row r="2" spans="1:53" ht="15.75">
      <c r="A2" s="81"/>
      <c r="B2" s="664" t="s">
        <v>162</v>
      </c>
      <c r="C2" s="665"/>
      <c r="D2" s="665"/>
      <c r="E2" s="665"/>
      <c r="F2" s="665"/>
      <c r="G2" s="665"/>
      <c r="H2" s="666"/>
      <c r="I2" s="207"/>
      <c r="J2" s="207"/>
      <c r="K2" s="207"/>
      <c r="L2" s="207"/>
      <c r="M2" s="206"/>
      <c r="N2" s="653" t="s">
        <v>156</v>
      </c>
      <c r="O2" s="653" t="s">
        <v>105</v>
      </c>
      <c r="P2" s="656">
        <v>46231</v>
      </c>
      <c r="Q2" s="657"/>
      <c r="R2" s="657"/>
      <c r="S2" s="657"/>
      <c r="T2" s="658"/>
      <c r="U2" s="656">
        <f>P2+1</f>
        <v>46232</v>
      </c>
      <c r="V2" s="657"/>
      <c r="W2" s="657"/>
      <c r="X2" s="657"/>
      <c r="Y2" s="658"/>
      <c r="Z2" s="656">
        <f>U2+1</f>
        <v>46233</v>
      </c>
      <c r="AA2" s="657"/>
      <c r="AB2" s="657"/>
      <c r="AC2" s="657"/>
      <c r="AD2" s="658"/>
      <c r="AE2" s="656">
        <f>Z2+1</f>
        <v>46234</v>
      </c>
      <c r="AF2" s="657"/>
      <c r="AG2" s="657"/>
      <c r="AH2" s="657"/>
      <c r="AI2" s="658"/>
      <c r="AJ2" s="656">
        <f>AE2+1</f>
        <v>46235</v>
      </c>
      <c r="AK2" s="657"/>
      <c r="AL2" s="657"/>
      <c r="AM2" s="657"/>
      <c r="AN2" s="658"/>
      <c r="AO2" s="656">
        <f>AJ2+1</f>
        <v>46236</v>
      </c>
      <c r="AP2" s="657"/>
      <c r="AQ2" s="657"/>
      <c r="AR2" s="657"/>
      <c r="AS2" s="658"/>
      <c r="AT2" s="656">
        <f>AO2+1</f>
        <v>46237</v>
      </c>
      <c r="AU2" s="657"/>
      <c r="AV2" s="657"/>
      <c r="AW2" s="657"/>
      <c r="AX2" s="658"/>
    </row>
    <row r="3" spans="1:53" ht="15.75">
      <c r="A3" s="81"/>
      <c r="B3" s="667"/>
      <c r="C3" s="667"/>
      <c r="D3" s="667"/>
      <c r="E3" s="667"/>
      <c r="F3" s="667"/>
      <c r="G3" s="667"/>
      <c r="H3" s="667"/>
      <c r="I3" s="204"/>
      <c r="J3" s="204"/>
      <c r="K3" s="204"/>
      <c r="L3" s="204"/>
      <c r="M3" s="205"/>
      <c r="N3" s="655"/>
      <c r="O3" s="655"/>
      <c r="P3" s="659" t="s">
        <v>158</v>
      </c>
      <c r="Q3" s="660"/>
      <c r="R3" s="660"/>
      <c r="S3" s="660"/>
      <c r="T3" s="660"/>
      <c r="U3" s="659" t="s">
        <v>114</v>
      </c>
      <c r="V3" s="660"/>
      <c r="W3" s="660"/>
      <c r="X3" s="660"/>
      <c r="Y3" s="660"/>
      <c r="Z3" s="659" t="s">
        <v>159</v>
      </c>
      <c r="AA3" s="660"/>
      <c r="AB3" s="660"/>
      <c r="AC3" s="660"/>
      <c r="AD3" s="660"/>
      <c r="AE3" s="659" t="s">
        <v>157</v>
      </c>
      <c r="AF3" s="660"/>
      <c r="AG3" s="660"/>
      <c r="AH3" s="660"/>
      <c r="AI3" s="660"/>
      <c r="AJ3" s="659" t="s">
        <v>160</v>
      </c>
      <c r="AK3" s="660"/>
      <c r="AL3" s="660"/>
      <c r="AM3" s="660"/>
      <c r="AN3" s="660"/>
      <c r="AO3" s="659" t="s">
        <v>115</v>
      </c>
      <c r="AP3" s="660"/>
      <c r="AQ3" s="660"/>
      <c r="AR3" s="660"/>
      <c r="AS3" s="660"/>
      <c r="AT3" s="659" t="s">
        <v>161</v>
      </c>
      <c r="AU3" s="660"/>
      <c r="AV3" s="660"/>
      <c r="AW3" s="660"/>
      <c r="AX3" s="660"/>
    </row>
    <row r="4" spans="1:53" ht="14.25">
      <c r="A4" s="81"/>
      <c r="B4" s="652" t="s">
        <v>154</v>
      </c>
      <c r="C4" s="652" t="s">
        <v>379</v>
      </c>
      <c r="D4" s="652"/>
      <c r="E4" s="652" t="s">
        <v>370</v>
      </c>
      <c r="F4" s="652"/>
      <c r="G4" s="652"/>
      <c r="H4" s="668" t="s">
        <v>366</v>
      </c>
      <c r="I4" s="636" t="s">
        <v>371</v>
      </c>
      <c r="J4" s="636"/>
      <c r="K4" s="636"/>
      <c r="L4" s="637" t="s">
        <v>366</v>
      </c>
      <c r="M4" s="643" t="s">
        <v>367</v>
      </c>
      <c r="N4" s="652"/>
      <c r="O4" s="652" t="s">
        <v>372</v>
      </c>
      <c r="P4" s="649" t="s">
        <v>368</v>
      </c>
      <c r="Q4" s="650"/>
      <c r="R4" s="650"/>
      <c r="S4" s="651"/>
      <c r="T4" s="652" t="s">
        <v>366</v>
      </c>
      <c r="U4" s="649" t="s">
        <v>368</v>
      </c>
      <c r="V4" s="650"/>
      <c r="W4" s="650"/>
      <c r="X4" s="651"/>
      <c r="Y4" s="652" t="s">
        <v>366</v>
      </c>
      <c r="Z4" s="649" t="s">
        <v>368</v>
      </c>
      <c r="AA4" s="650"/>
      <c r="AB4" s="650"/>
      <c r="AC4" s="651"/>
      <c r="AD4" s="652" t="s">
        <v>366</v>
      </c>
      <c r="AE4" s="649" t="s">
        <v>368</v>
      </c>
      <c r="AF4" s="650"/>
      <c r="AG4" s="650"/>
      <c r="AH4" s="651"/>
      <c r="AI4" s="652" t="s">
        <v>366</v>
      </c>
      <c r="AJ4" s="649" t="s">
        <v>368</v>
      </c>
      <c r="AK4" s="650"/>
      <c r="AL4" s="650"/>
      <c r="AM4" s="651"/>
      <c r="AN4" s="652" t="s">
        <v>366</v>
      </c>
      <c r="AO4" s="649" t="s">
        <v>368</v>
      </c>
      <c r="AP4" s="650"/>
      <c r="AQ4" s="650"/>
      <c r="AR4" s="651"/>
      <c r="AS4" s="652" t="s">
        <v>366</v>
      </c>
      <c r="AT4" s="649" t="s">
        <v>368</v>
      </c>
      <c r="AU4" s="650"/>
      <c r="AV4" s="650"/>
      <c r="AW4" s="651"/>
      <c r="AX4" s="652" t="s">
        <v>366</v>
      </c>
      <c r="BA4" s="652" t="s">
        <v>366</v>
      </c>
    </row>
    <row r="5" spans="1:53" ht="14.25">
      <c r="A5" s="81"/>
      <c r="B5" s="652"/>
      <c r="C5" s="652"/>
      <c r="D5" s="652"/>
      <c r="E5" s="652" t="s">
        <v>373</v>
      </c>
      <c r="F5" s="652"/>
      <c r="G5" s="652"/>
      <c r="H5" s="669"/>
      <c r="I5" s="636" t="s">
        <v>373</v>
      </c>
      <c r="J5" s="636"/>
      <c r="K5" s="636"/>
      <c r="L5" s="638"/>
      <c r="M5" s="644"/>
      <c r="N5" s="652"/>
      <c r="O5" s="652"/>
      <c r="P5" s="649" t="s">
        <v>374</v>
      </c>
      <c r="Q5" s="650"/>
      <c r="R5" s="650"/>
      <c r="S5" s="651"/>
      <c r="T5" s="652"/>
      <c r="U5" s="649" t="s">
        <v>374</v>
      </c>
      <c r="V5" s="650"/>
      <c r="W5" s="650"/>
      <c r="X5" s="651"/>
      <c r="Y5" s="652"/>
      <c r="Z5" s="649" t="s">
        <v>374</v>
      </c>
      <c r="AA5" s="650"/>
      <c r="AB5" s="650"/>
      <c r="AC5" s="651"/>
      <c r="AD5" s="652"/>
      <c r="AE5" s="649" t="s">
        <v>374</v>
      </c>
      <c r="AF5" s="650"/>
      <c r="AG5" s="650"/>
      <c r="AH5" s="651"/>
      <c r="AI5" s="652"/>
      <c r="AJ5" s="649" t="s">
        <v>374</v>
      </c>
      <c r="AK5" s="650"/>
      <c r="AL5" s="650"/>
      <c r="AM5" s="651"/>
      <c r="AN5" s="652"/>
      <c r="AO5" s="649" t="s">
        <v>374</v>
      </c>
      <c r="AP5" s="650"/>
      <c r="AQ5" s="650"/>
      <c r="AR5" s="651"/>
      <c r="AS5" s="652"/>
      <c r="AT5" s="649" t="s">
        <v>374</v>
      </c>
      <c r="AU5" s="650"/>
      <c r="AV5" s="650"/>
      <c r="AW5" s="651"/>
      <c r="AX5" s="652"/>
      <c r="BA5" s="652"/>
    </row>
    <row r="6" spans="1:53" ht="14.25">
      <c r="A6" s="79"/>
      <c r="B6" s="652"/>
      <c r="C6" s="652"/>
      <c r="D6" s="652"/>
      <c r="E6" s="529" t="s">
        <v>375</v>
      </c>
      <c r="F6" s="529" t="s">
        <v>376</v>
      </c>
      <c r="G6" s="529" t="s">
        <v>377</v>
      </c>
      <c r="H6" s="670"/>
      <c r="I6" s="528" t="s">
        <v>375</v>
      </c>
      <c r="J6" s="528" t="s">
        <v>376</v>
      </c>
      <c r="K6" s="528" t="s">
        <v>377</v>
      </c>
      <c r="L6" s="639"/>
      <c r="M6" s="645"/>
      <c r="N6" s="652"/>
      <c r="O6" s="652"/>
      <c r="P6" s="529" t="s">
        <v>375</v>
      </c>
      <c r="Q6" s="529" t="s">
        <v>376</v>
      </c>
      <c r="R6" s="529" t="s">
        <v>377</v>
      </c>
      <c r="S6" s="529" t="s">
        <v>367</v>
      </c>
      <c r="T6" s="652"/>
      <c r="U6" s="529" t="s">
        <v>375</v>
      </c>
      <c r="V6" s="529" t="s">
        <v>376</v>
      </c>
      <c r="W6" s="529" t="s">
        <v>377</v>
      </c>
      <c r="X6" s="529" t="s">
        <v>367</v>
      </c>
      <c r="Y6" s="652"/>
      <c r="Z6" s="529" t="s">
        <v>375</v>
      </c>
      <c r="AA6" s="529" t="s">
        <v>376</v>
      </c>
      <c r="AB6" s="529" t="s">
        <v>377</v>
      </c>
      <c r="AC6" s="529" t="s">
        <v>367</v>
      </c>
      <c r="AD6" s="652"/>
      <c r="AE6" s="529" t="s">
        <v>375</v>
      </c>
      <c r="AF6" s="529" t="s">
        <v>376</v>
      </c>
      <c r="AG6" s="529" t="s">
        <v>377</v>
      </c>
      <c r="AH6" s="529" t="s">
        <v>367</v>
      </c>
      <c r="AI6" s="652"/>
      <c r="AJ6" s="529" t="s">
        <v>375</v>
      </c>
      <c r="AK6" s="529" t="s">
        <v>376</v>
      </c>
      <c r="AL6" s="529" t="s">
        <v>377</v>
      </c>
      <c r="AM6" s="529" t="s">
        <v>367</v>
      </c>
      <c r="AN6" s="652"/>
      <c r="AO6" s="529" t="s">
        <v>375</v>
      </c>
      <c r="AP6" s="529" t="s">
        <v>376</v>
      </c>
      <c r="AQ6" s="529" t="s">
        <v>377</v>
      </c>
      <c r="AR6" s="529" t="s">
        <v>367</v>
      </c>
      <c r="AS6" s="652"/>
      <c r="AT6" s="529" t="s">
        <v>375</v>
      </c>
      <c r="AU6" s="529" t="s">
        <v>376</v>
      </c>
      <c r="AV6" s="529" t="s">
        <v>377</v>
      </c>
      <c r="AW6" s="529" t="s">
        <v>367</v>
      </c>
      <c r="AX6" s="652"/>
      <c r="AZ6" s="367" t="s">
        <v>367</v>
      </c>
      <c r="BA6" s="652"/>
    </row>
    <row r="7" spans="1:53" ht="14.25">
      <c r="A7" s="81"/>
      <c r="B7" s="652" t="s">
        <v>134</v>
      </c>
      <c r="C7" s="530">
        <v>1</v>
      </c>
      <c r="D7" s="201" t="s">
        <v>342</v>
      </c>
      <c r="E7" s="534">
        <v>6</v>
      </c>
      <c r="F7" s="201">
        <v>1500</v>
      </c>
      <c r="G7" s="199">
        <v>250</v>
      </c>
      <c r="H7" s="698">
        <f>AVERAGE(G7:G36)</f>
        <v>100.51696400416888</v>
      </c>
      <c r="I7" s="534">
        <f>IFERROR(AVERAGE(P7,U7,Z7,AE7,AJ7,AO7,AT7),"-")</f>
        <v>6</v>
      </c>
      <c r="J7" s="534">
        <f>IFERROR(AVERAGE(Q7,V7,AA7,AF7,AK7,AP7,AU7),"-")</f>
        <v>1435.7107769423558</v>
      </c>
      <c r="K7" s="199">
        <f>IFERROR(AVERAGE(R7,W7,AB7,AG7,AL7,AQ7,AV7),"-")</f>
        <v>239.28512949039268</v>
      </c>
      <c r="L7" s="633">
        <f>IFERROR(AVERAGE(K7:K36),"-")</f>
        <v>89.178308891964619</v>
      </c>
      <c r="M7" s="535">
        <f>RANK(K7, K$7:$K$36)</f>
        <v>1</v>
      </c>
      <c r="N7" s="652"/>
      <c r="O7" s="652"/>
      <c r="P7" s="530"/>
      <c r="Q7" s="531"/>
      <c r="R7" s="531"/>
      <c r="S7" s="530"/>
      <c r="T7" s="685"/>
      <c r="U7" s="530"/>
      <c r="V7" s="531"/>
      <c r="W7" s="531"/>
      <c r="X7" s="555"/>
      <c r="Y7" s="685"/>
      <c r="Z7" s="530"/>
      <c r="AA7" s="531"/>
      <c r="AB7" s="531"/>
      <c r="AC7" s="555"/>
      <c r="AD7" s="685"/>
      <c r="AE7" s="530"/>
      <c r="AF7" s="531"/>
      <c r="AG7" s="531"/>
      <c r="AH7" s="555"/>
      <c r="AI7" s="685"/>
      <c r="AJ7" s="530">
        <v>6</v>
      </c>
      <c r="AK7" s="531">
        <v>1453.3999999999999</v>
      </c>
      <c r="AL7" s="531">
        <v>242.23333333333332</v>
      </c>
      <c r="AM7" s="555">
        <f>RANK(AL7, AL$7:AL$36)</f>
        <v>1</v>
      </c>
      <c r="AN7" s="685">
        <f>AVERAGE(AL7:AL36)</f>
        <v>89.056702058636731</v>
      </c>
      <c r="AO7" s="530">
        <v>6</v>
      </c>
      <c r="AP7" s="531">
        <v>1435.5428571428577</v>
      </c>
      <c r="AQ7" s="531">
        <v>239.25714285714295</v>
      </c>
      <c r="AR7" s="555">
        <f>RANK(AQ7, AQ$7:AQ$36)</f>
        <v>1</v>
      </c>
      <c r="AS7" s="685">
        <f>AVERAGE(AQ7:AQ36)</f>
        <v>89.135721392286527</v>
      </c>
      <c r="AT7" s="530">
        <v>6</v>
      </c>
      <c r="AU7" s="531">
        <v>1418.1894736842105</v>
      </c>
      <c r="AV7" s="531">
        <v>236.36491228070176</v>
      </c>
      <c r="AW7" s="555">
        <f>RANK(AV7, AV$7:AV$36)</f>
        <v>2</v>
      </c>
      <c r="AX7" s="685">
        <f>AVERAGE(AV7:AV36)</f>
        <v>89.342503224970599</v>
      </c>
      <c r="AZ7" s="368" t="e">
        <f>RANK(AY7, AY$7:AY$36)</f>
        <v>#N/A</v>
      </c>
      <c r="BA7" s="685" t="e">
        <f>AVERAGE(AY7:AY36)</f>
        <v>#DIV/0!</v>
      </c>
    </row>
    <row r="8" spans="1:53" ht="15" customHeight="1">
      <c r="A8" s="81"/>
      <c r="B8" s="660"/>
      <c r="C8" s="530">
        <v>2</v>
      </c>
      <c r="D8" s="201" t="s">
        <v>586</v>
      </c>
      <c r="E8" s="534">
        <v>6</v>
      </c>
      <c r="F8" s="201">
        <v>1636</v>
      </c>
      <c r="G8" s="199">
        <v>272.66666666666669</v>
      </c>
      <c r="H8" s="699"/>
      <c r="I8" s="534">
        <f t="shared" ref="I8:I36" si="0">IFERROR(AVERAGE(P8,U8,Z8,AE8,AJ8,AO8,AT8),"-")</f>
        <v>6</v>
      </c>
      <c r="J8" s="534">
        <f t="shared" ref="J8:J36" si="1">IFERROR(AVERAGE(Q8,V8,AA8,AF8,AK8,AP8,AU8),"-")</f>
        <v>1430.7908451137691</v>
      </c>
      <c r="K8" s="199">
        <f t="shared" ref="K8:K36" si="2">IFERROR(AVERAGE(R8,W8,AB8,AG8,AL8,AQ8,AV8),"-")</f>
        <v>238.46514085229487</v>
      </c>
      <c r="L8" s="634"/>
      <c r="M8" s="558">
        <f>RANK(K8, K$7:$K$36)</f>
        <v>2</v>
      </c>
      <c r="N8" s="652"/>
      <c r="O8" s="652"/>
      <c r="P8" s="530"/>
      <c r="Q8" s="531"/>
      <c r="R8" s="531"/>
      <c r="S8" s="555"/>
      <c r="T8" s="685"/>
      <c r="U8" s="530"/>
      <c r="V8" s="531"/>
      <c r="W8" s="531"/>
      <c r="X8" s="555"/>
      <c r="Y8" s="685"/>
      <c r="Z8" s="530"/>
      <c r="AA8" s="531"/>
      <c r="AB8" s="531"/>
      <c r="AC8" s="555"/>
      <c r="AD8" s="685"/>
      <c r="AE8" s="530"/>
      <c r="AF8" s="531"/>
      <c r="AG8" s="531"/>
      <c r="AH8" s="555"/>
      <c r="AI8" s="685"/>
      <c r="AJ8" s="530">
        <v>6</v>
      </c>
      <c r="AK8" s="531">
        <v>1445.1063829787236</v>
      </c>
      <c r="AL8" s="531">
        <v>240.85106382978725</v>
      </c>
      <c r="AM8" s="555">
        <f t="shared" ref="AM8:AM36" si="3">RANK(AL8, AL$7:AL$36)</f>
        <v>2</v>
      </c>
      <c r="AN8" s="685"/>
      <c r="AO8" s="530">
        <v>6</v>
      </c>
      <c r="AP8" s="531">
        <v>1413.4426229508192</v>
      </c>
      <c r="AQ8" s="531">
        <v>235.5737704918032</v>
      </c>
      <c r="AR8" s="555">
        <f t="shared" ref="AR8:AR36" si="4">RANK(AQ8, AQ$7:AQ$36)</f>
        <v>2</v>
      </c>
      <c r="AS8" s="685"/>
      <c r="AT8" s="530">
        <v>6</v>
      </c>
      <c r="AU8" s="531">
        <v>1433.8235294117649</v>
      </c>
      <c r="AV8" s="531">
        <v>238.97058823529414</v>
      </c>
      <c r="AW8" s="555">
        <f t="shared" ref="AW8:AW36" si="5">RANK(AV8, AV$7:AV$36)</f>
        <v>1</v>
      </c>
      <c r="AX8" s="685"/>
      <c r="AZ8" s="368" t="e">
        <f t="shared" ref="AZ8:AZ36" si="6">RANK(AY8, AY$7:AY$36)</f>
        <v>#N/A</v>
      </c>
      <c r="BA8" s="685"/>
    </row>
    <row r="9" spans="1:53" ht="14.25">
      <c r="A9" s="81"/>
      <c r="B9" s="660"/>
      <c r="C9" s="530">
        <v>3</v>
      </c>
      <c r="D9" s="201" t="s">
        <v>578</v>
      </c>
      <c r="E9" s="534">
        <v>16</v>
      </c>
      <c r="F9" s="201">
        <v>1500</v>
      </c>
      <c r="G9" s="199">
        <v>93.75</v>
      </c>
      <c r="H9" s="699"/>
      <c r="I9" s="534">
        <f t="shared" si="0"/>
        <v>17</v>
      </c>
      <c r="J9" s="534">
        <f t="shared" si="1"/>
        <v>1393.0680394680385</v>
      </c>
      <c r="K9" s="199">
        <f t="shared" si="2"/>
        <v>81.94517879223757</v>
      </c>
      <c r="L9" s="634"/>
      <c r="M9" s="558">
        <f>RANK(K9, K$7:$K$36)</f>
        <v>9</v>
      </c>
      <c r="N9" s="652"/>
      <c r="O9" s="652"/>
      <c r="P9" s="530"/>
      <c r="Q9" s="531"/>
      <c r="R9" s="531"/>
      <c r="S9" s="555"/>
      <c r="T9" s="685"/>
      <c r="U9" s="530"/>
      <c r="V9" s="531"/>
      <c r="W9" s="531"/>
      <c r="X9" s="555"/>
      <c r="Y9" s="685"/>
      <c r="Z9" s="530"/>
      <c r="AA9" s="531"/>
      <c r="AB9" s="531"/>
      <c r="AC9" s="555"/>
      <c r="AD9" s="685"/>
      <c r="AE9" s="530"/>
      <c r="AF9" s="531"/>
      <c r="AG9" s="531"/>
      <c r="AH9" s="555"/>
      <c r="AI9" s="685"/>
      <c r="AJ9" s="530">
        <v>17</v>
      </c>
      <c r="AK9" s="531">
        <v>1394.6666666666663</v>
      </c>
      <c r="AL9" s="531">
        <v>82.039215686274488</v>
      </c>
      <c r="AM9" s="555">
        <f t="shared" si="3"/>
        <v>8</v>
      </c>
      <c r="AN9" s="685"/>
      <c r="AO9" s="530">
        <v>17</v>
      </c>
      <c r="AP9" s="531">
        <v>1383.9428571428557</v>
      </c>
      <c r="AQ9" s="531">
        <v>81.408403361344455</v>
      </c>
      <c r="AR9" s="555">
        <f t="shared" si="4"/>
        <v>8</v>
      </c>
      <c r="AS9" s="685"/>
      <c r="AT9" s="530">
        <v>17</v>
      </c>
      <c r="AU9" s="531">
        <v>1400.5945945945932</v>
      </c>
      <c r="AV9" s="531">
        <v>82.387917329093725</v>
      </c>
      <c r="AW9" s="555">
        <f t="shared" si="5"/>
        <v>8</v>
      </c>
      <c r="AX9" s="685"/>
      <c r="AZ9" s="368" t="e">
        <f t="shared" si="6"/>
        <v>#N/A</v>
      </c>
      <c r="BA9" s="685"/>
    </row>
    <row r="10" spans="1:53" ht="14.25">
      <c r="A10" s="81"/>
      <c r="B10" s="660"/>
      <c r="C10" s="530">
        <v>4</v>
      </c>
      <c r="D10" s="201" t="s">
        <v>549</v>
      </c>
      <c r="E10" s="534">
        <v>18</v>
      </c>
      <c r="F10" s="201">
        <v>1500</v>
      </c>
      <c r="G10" s="199">
        <v>83.333333333333329</v>
      </c>
      <c r="H10" s="699"/>
      <c r="I10" s="534">
        <f t="shared" si="0"/>
        <v>18</v>
      </c>
      <c r="J10" s="534">
        <f t="shared" si="1"/>
        <v>1286.8376068376062</v>
      </c>
      <c r="K10" s="199">
        <f t="shared" si="2"/>
        <v>71.49097815764479</v>
      </c>
      <c r="L10" s="634"/>
      <c r="M10" s="558">
        <f>RANK(K10, K$7:$K$36)</f>
        <v>17</v>
      </c>
      <c r="N10" s="652"/>
      <c r="O10" s="652"/>
      <c r="P10" s="530"/>
      <c r="Q10" s="531"/>
      <c r="R10" s="531"/>
      <c r="S10" s="555"/>
      <c r="T10" s="685"/>
      <c r="U10" s="530"/>
      <c r="V10" s="531"/>
      <c r="W10" s="531"/>
      <c r="X10" s="555"/>
      <c r="Y10" s="685"/>
      <c r="Z10" s="530"/>
      <c r="AA10" s="531"/>
      <c r="AB10" s="531"/>
      <c r="AC10" s="555"/>
      <c r="AD10" s="685"/>
      <c r="AE10" s="530"/>
      <c r="AF10" s="531"/>
      <c r="AG10" s="531"/>
      <c r="AH10" s="555"/>
      <c r="AI10" s="685"/>
      <c r="AJ10" s="530">
        <v>18</v>
      </c>
      <c r="AK10" s="531">
        <v>1226.6666666666656</v>
      </c>
      <c r="AL10" s="531">
        <v>68.148148148148096</v>
      </c>
      <c r="AM10" s="555">
        <f t="shared" si="3"/>
        <v>21</v>
      </c>
      <c r="AN10" s="685"/>
      <c r="AO10" s="530">
        <v>18</v>
      </c>
      <c r="AP10" s="531">
        <v>1333.8461538461531</v>
      </c>
      <c r="AQ10" s="531">
        <v>74.10256410256406</v>
      </c>
      <c r="AR10" s="555">
        <f t="shared" si="4"/>
        <v>16</v>
      </c>
      <c r="AS10" s="685"/>
      <c r="AT10" s="530">
        <v>18</v>
      </c>
      <c r="AU10" s="531">
        <v>1300</v>
      </c>
      <c r="AV10" s="531">
        <v>72.222222222222229</v>
      </c>
      <c r="AW10" s="555">
        <f t="shared" si="5"/>
        <v>17</v>
      </c>
      <c r="AX10" s="685"/>
      <c r="AZ10" s="368" t="e">
        <f t="shared" si="6"/>
        <v>#N/A</v>
      </c>
      <c r="BA10" s="685"/>
    </row>
    <row r="11" spans="1:53" ht="14.25">
      <c r="A11" s="81"/>
      <c r="B11" s="660"/>
      <c r="C11" s="530">
        <v>5</v>
      </c>
      <c r="D11" s="201" t="s">
        <v>344</v>
      </c>
      <c r="E11" s="534">
        <v>16</v>
      </c>
      <c r="F11" s="201">
        <v>1565</v>
      </c>
      <c r="G11" s="199">
        <v>97.8125</v>
      </c>
      <c r="H11" s="699"/>
      <c r="I11" s="534">
        <f t="shared" si="0"/>
        <v>16</v>
      </c>
      <c r="J11" s="534">
        <f t="shared" si="1"/>
        <v>1370.8752723311536</v>
      </c>
      <c r="K11" s="199">
        <f t="shared" si="2"/>
        <v>85.679704520697101</v>
      </c>
      <c r="L11" s="634"/>
      <c r="M11" s="558">
        <f>RANK(K11, K$7:$K$36)</f>
        <v>5</v>
      </c>
      <c r="N11" s="652"/>
      <c r="O11" s="652"/>
      <c r="P11" s="530"/>
      <c r="Q11" s="531"/>
      <c r="R11" s="531"/>
      <c r="S11" s="555"/>
      <c r="T11" s="685"/>
      <c r="U11" s="530"/>
      <c r="V11" s="531"/>
      <c r="W11" s="531"/>
      <c r="X11" s="555"/>
      <c r="Y11" s="685"/>
      <c r="Z11" s="530"/>
      <c r="AA11" s="531"/>
      <c r="AB11" s="531"/>
      <c r="AC11" s="555"/>
      <c r="AD11" s="685"/>
      <c r="AE11" s="530"/>
      <c r="AF11" s="531"/>
      <c r="AG11" s="531"/>
      <c r="AH11" s="555"/>
      <c r="AI11" s="685"/>
      <c r="AJ11" s="530">
        <v>16</v>
      </c>
      <c r="AK11" s="531">
        <v>1366.7647058823511</v>
      </c>
      <c r="AL11" s="531">
        <v>85.422794117646944</v>
      </c>
      <c r="AM11" s="555">
        <f t="shared" si="3"/>
        <v>6</v>
      </c>
      <c r="AN11" s="685"/>
      <c r="AO11" s="530">
        <v>16</v>
      </c>
      <c r="AP11" s="531">
        <v>1374.7499999999995</v>
      </c>
      <c r="AQ11" s="531">
        <v>85.921874999999972</v>
      </c>
      <c r="AR11" s="555">
        <f t="shared" si="4"/>
        <v>4</v>
      </c>
      <c r="AS11" s="685"/>
      <c r="AT11" s="530">
        <v>16</v>
      </c>
      <c r="AU11" s="531">
        <v>1371.1111111111106</v>
      </c>
      <c r="AV11" s="531">
        <v>85.694444444444414</v>
      </c>
      <c r="AW11" s="555">
        <f t="shared" si="5"/>
        <v>6</v>
      </c>
      <c r="AX11" s="685"/>
      <c r="AZ11" s="368" t="e">
        <f t="shared" si="6"/>
        <v>#N/A</v>
      </c>
      <c r="BA11" s="685"/>
    </row>
    <row r="12" spans="1:53" ht="14.25">
      <c r="A12" s="81"/>
      <c r="B12" s="660"/>
      <c r="C12" s="530">
        <v>6</v>
      </c>
      <c r="D12" s="201" t="s">
        <v>626</v>
      </c>
      <c r="E12" s="534">
        <v>20</v>
      </c>
      <c r="F12" s="201">
        <v>1440</v>
      </c>
      <c r="G12" s="199">
        <v>72</v>
      </c>
      <c r="H12" s="699"/>
      <c r="I12" s="534">
        <f t="shared" si="0"/>
        <v>20.333333333333332</v>
      </c>
      <c r="J12" s="534">
        <f t="shared" si="1"/>
        <v>1266.5948275862077</v>
      </c>
      <c r="K12" s="199">
        <f t="shared" si="2"/>
        <v>62.327955665024682</v>
      </c>
      <c r="L12" s="634"/>
      <c r="M12" s="558">
        <f>RANK(K12, K$7:$K$36)</f>
        <v>23</v>
      </c>
      <c r="N12" s="652"/>
      <c r="O12" s="652"/>
      <c r="P12" s="530"/>
      <c r="Q12" s="531"/>
      <c r="R12" s="531"/>
      <c r="S12" s="555"/>
      <c r="T12" s="685"/>
      <c r="U12" s="530"/>
      <c r="V12" s="531"/>
      <c r="W12" s="531"/>
      <c r="X12" s="555"/>
      <c r="Y12" s="685"/>
      <c r="Z12" s="530"/>
      <c r="AA12" s="531"/>
      <c r="AB12" s="531"/>
      <c r="AC12" s="555"/>
      <c r="AD12" s="685"/>
      <c r="AE12" s="530"/>
      <c r="AF12" s="531"/>
      <c r="AG12" s="531"/>
      <c r="AH12" s="555"/>
      <c r="AI12" s="685"/>
      <c r="AJ12" s="530">
        <v>20</v>
      </c>
      <c r="AK12" s="531">
        <v>1255.5000000000002</v>
      </c>
      <c r="AL12" s="531">
        <v>62.775000000000013</v>
      </c>
      <c r="AM12" s="555">
        <f t="shared" si="3"/>
        <v>23</v>
      </c>
      <c r="AN12" s="685"/>
      <c r="AO12" s="530">
        <v>20</v>
      </c>
      <c r="AP12" s="531">
        <v>1282.0344827586216</v>
      </c>
      <c r="AQ12" s="531">
        <v>64.101724137931086</v>
      </c>
      <c r="AR12" s="555">
        <f t="shared" si="4"/>
        <v>23</v>
      </c>
      <c r="AS12" s="685"/>
      <c r="AT12" s="530">
        <v>21</v>
      </c>
      <c r="AU12" s="531">
        <v>1262.2500000000016</v>
      </c>
      <c r="AV12" s="531">
        <v>60.107142857142932</v>
      </c>
      <c r="AW12" s="555">
        <f t="shared" si="5"/>
        <v>23</v>
      </c>
      <c r="AX12" s="685"/>
      <c r="AZ12" s="368" t="e">
        <f t="shared" si="6"/>
        <v>#N/A</v>
      </c>
      <c r="BA12" s="685"/>
    </row>
    <row r="13" spans="1:53" ht="14.25">
      <c r="A13" s="81"/>
      <c r="B13" s="660"/>
      <c r="C13" s="530">
        <v>7</v>
      </c>
      <c r="D13" s="201" t="s">
        <v>601</v>
      </c>
      <c r="E13" s="534">
        <v>16</v>
      </c>
      <c r="F13" s="201">
        <v>1500</v>
      </c>
      <c r="G13" s="199">
        <v>93.75</v>
      </c>
      <c r="H13" s="699"/>
      <c r="I13" s="534">
        <f t="shared" si="0"/>
        <v>16</v>
      </c>
      <c r="J13" s="534">
        <f t="shared" si="1"/>
        <v>1363.3672988969608</v>
      </c>
      <c r="K13" s="199">
        <f t="shared" si="2"/>
        <v>85.210456181060053</v>
      </c>
      <c r="L13" s="634"/>
      <c r="M13" s="558">
        <f>RANK(K13, K$7:$K$36)</f>
        <v>6</v>
      </c>
      <c r="N13" s="652"/>
      <c r="O13" s="652"/>
      <c r="P13" s="530"/>
      <c r="Q13" s="531"/>
      <c r="R13" s="531"/>
      <c r="S13" s="555"/>
      <c r="T13" s="685"/>
      <c r="U13" s="530"/>
      <c r="V13" s="531"/>
      <c r="W13" s="531"/>
      <c r="X13" s="555"/>
      <c r="Y13" s="685"/>
      <c r="Z13" s="530"/>
      <c r="AA13" s="531"/>
      <c r="AB13" s="531"/>
      <c r="AC13" s="555"/>
      <c r="AD13" s="685"/>
      <c r="AE13" s="530"/>
      <c r="AF13" s="531"/>
      <c r="AG13" s="531"/>
      <c r="AH13" s="555"/>
      <c r="AI13" s="685"/>
      <c r="AJ13" s="530">
        <v>16</v>
      </c>
      <c r="AK13" s="531">
        <v>1373.7500000000005</v>
      </c>
      <c r="AL13" s="531">
        <v>85.859375000000028</v>
      </c>
      <c r="AM13" s="555">
        <f t="shared" si="3"/>
        <v>5</v>
      </c>
      <c r="AN13" s="685"/>
      <c r="AO13" s="530">
        <v>16</v>
      </c>
      <c r="AP13" s="531">
        <v>1352.5423728813571</v>
      </c>
      <c r="AQ13" s="531">
        <v>84.533898305084819</v>
      </c>
      <c r="AR13" s="555">
        <f t="shared" si="4"/>
        <v>6</v>
      </c>
      <c r="AS13" s="685"/>
      <c r="AT13" s="530">
        <v>16</v>
      </c>
      <c r="AU13" s="531">
        <v>1363.8095238095252</v>
      </c>
      <c r="AV13" s="531">
        <v>85.238095238095326</v>
      </c>
      <c r="AW13" s="555">
        <f t="shared" si="5"/>
        <v>7</v>
      </c>
      <c r="AX13" s="685"/>
      <c r="AZ13" s="368" t="e">
        <f t="shared" si="6"/>
        <v>#N/A</v>
      </c>
      <c r="BA13" s="685"/>
    </row>
    <row r="14" spans="1:53" ht="14.25">
      <c r="A14" s="81"/>
      <c r="B14" s="660"/>
      <c r="C14" s="530">
        <v>8</v>
      </c>
      <c r="D14" s="201" t="s">
        <v>574</v>
      </c>
      <c r="E14" s="534">
        <v>18</v>
      </c>
      <c r="F14" s="201">
        <v>1636</v>
      </c>
      <c r="G14" s="199">
        <v>90.888888888888886</v>
      </c>
      <c r="H14" s="699"/>
      <c r="I14" s="534">
        <f t="shared" si="0"/>
        <v>18</v>
      </c>
      <c r="J14" s="534">
        <f t="shared" si="1"/>
        <v>1411.7383576566692</v>
      </c>
      <c r="K14" s="199">
        <f t="shared" si="2"/>
        <v>78.42990875870386</v>
      </c>
      <c r="L14" s="634"/>
      <c r="M14" s="558">
        <f>RANK(K14, K$7:$K$36)</f>
        <v>12</v>
      </c>
      <c r="N14" s="652"/>
      <c r="O14" s="652"/>
      <c r="P14" s="530"/>
      <c r="Q14" s="531"/>
      <c r="R14" s="531"/>
      <c r="S14" s="555"/>
      <c r="T14" s="685"/>
      <c r="U14" s="530"/>
      <c r="V14" s="531"/>
      <c r="W14" s="531"/>
      <c r="X14" s="555"/>
      <c r="Y14" s="685"/>
      <c r="Z14" s="530"/>
      <c r="AA14" s="531"/>
      <c r="AB14" s="531"/>
      <c r="AC14" s="555"/>
      <c r="AD14" s="685"/>
      <c r="AE14" s="530"/>
      <c r="AF14" s="531"/>
      <c r="AG14" s="531"/>
      <c r="AH14" s="555"/>
      <c r="AI14" s="685"/>
      <c r="AJ14" s="530">
        <v>18</v>
      </c>
      <c r="AK14" s="531">
        <v>1406.4406779661028</v>
      </c>
      <c r="AL14" s="531">
        <v>78.135593220339047</v>
      </c>
      <c r="AM14" s="555">
        <f t="shared" si="3"/>
        <v>12</v>
      </c>
      <c r="AN14" s="685"/>
      <c r="AO14" s="530">
        <v>18</v>
      </c>
      <c r="AP14" s="531">
        <v>1412.3809523809537</v>
      </c>
      <c r="AQ14" s="531">
        <v>78.46560846560854</v>
      </c>
      <c r="AR14" s="555">
        <f t="shared" si="4"/>
        <v>13</v>
      </c>
      <c r="AS14" s="685"/>
      <c r="AT14" s="530">
        <v>18</v>
      </c>
      <c r="AU14" s="531">
        <v>1416.3934426229521</v>
      </c>
      <c r="AV14" s="531">
        <v>78.688524590164008</v>
      </c>
      <c r="AW14" s="555">
        <f t="shared" si="5"/>
        <v>12</v>
      </c>
      <c r="AX14" s="685"/>
      <c r="AZ14" s="368" t="e">
        <f t="shared" si="6"/>
        <v>#N/A</v>
      </c>
      <c r="BA14" s="685"/>
    </row>
    <row r="15" spans="1:53" ht="14.25">
      <c r="A15" s="81"/>
      <c r="B15" s="660"/>
      <c r="C15" s="530">
        <v>9</v>
      </c>
      <c r="D15" s="201" t="s">
        <v>575</v>
      </c>
      <c r="E15" s="534">
        <v>18</v>
      </c>
      <c r="F15" s="201">
        <v>1636</v>
      </c>
      <c r="G15" s="199">
        <v>90.888888888888886</v>
      </c>
      <c r="H15" s="699"/>
      <c r="I15" s="534">
        <f t="shared" si="0"/>
        <v>18</v>
      </c>
      <c r="J15" s="534">
        <f t="shared" si="1"/>
        <v>1439.6451247165535</v>
      </c>
      <c r="K15" s="199">
        <f t="shared" si="2"/>
        <v>79.980284706475189</v>
      </c>
      <c r="L15" s="634"/>
      <c r="M15" s="558">
        <f>RANK(K15, K$7:$K$36)</f>
        <v>11</v>
      </c>
      <c r="N15" s="652"/>
      <c r="O15" s="652"/>
      <c r="P15" s="530"/>
      <c r="Q15" s="531"/>
      <c r="R15" s="531"/>
      <c r="S15" s="555"/>
      <c r="T15" s="685"/>
      <c r="U15" s="530"/>
      <c r="V15" s="531"/>
      <c r="W15" s="531"/>
      <c r="X15" s="555"/>
      <c r="Y15" s="685"/>
      <c r="Z15" s="530"/>
      <c r="AA15" s="531"/>
      <c r="AB15" s="531"/>
      <c r="AC15" s="555"/>
      <c r="AD15" s="685"/>
      <c r="AE15" s="530"/>
      <c r="AF15" s="531"/>
      <c r="AG15" s="531"/>
      <c r="AH15" s="555"/>
      <c r="AI15" s="685"/>
      <c r="AJ15" s="530">
        <v>18</v>
      </c>
      <c r="AK15" s="531">
        <v>1441.3333333333333</v>
      </c>
      <c r="AL15" s="531">
        <v>80.074074074074076</v>
      </c>
      <c r="AM15" s="555">
        <f t="shared" si="3"/>
        <v>9</v>
      </c>
      <c r="AN15" s="685"/>
      <c r="AO15" s="530">
        <v>18</v>
      </c>
      <c r="AP15" s="531">
        <v>1435.102040816327</v>
      </c>
      <c r="AQ15" s="531">
        <v>79.727891156462604</v>
      </c>
      <c r="AR15" s="555">
        <f t="shared" si="4"/>
        <v>10</v>
      </c>
      <c r="AS15" s="685"/>
      <c r="AT15" s="530">
        <v>18</v>
      </c>
      <c r="AU15" s="531">
        <v>1442.5000000000005</v>
      </c>
      <c r="AV15" s="531">
        <v>80.138888888888914</v>
      </c>
      <c r="AW15" s="555">
        <f t="shared" si="5"/>
        <v>11</v>
      </c>
      <c r="AX15" s="685"/>
      <c r="AZ15" s="368" t="e">
        <f t="shared" si="6"/>
        <v>#N/A</v>
      </c>
      <c r="BA15" s="685"/>
    </row>
    <row r="16" spans="1:53" ht="14.25">
      <c r="A16" s="81"/>
      <c r="B16" s="660"/>
      <c r="C16" s="530">
        <v>10</v>
      </c>
      <c r="D16" s="201" t="s">
        <v>332</v>
      </c>
      <c r="E16" s="534">
        <v>17</v>
      </c>
      <c r="F16" s="201">
        <v>1500</v>
      </c>
      <c r="G16" s="199">
        <v>88.235294117647058</v>
      </c>
      <c r="H16" s="699"/>
      <c r="I16" s="534">
        <f t="shared" si="0"/>
        <v>17</v>
      </c>
      <c r="J16" s="534">
        <f t="shared" si="1"/>
        <v>1361.9792182088074</v>
      </c>
      <c r="K16" s="199">
        <f t="shared" si="2"/>
        <v>80.116424600518101</v>
      </c>
      <c r="L16" s="634"/>
      <c r="M16" s="558">
        <f>RANK(K16, K$7:$K$36)</f>
        <v>10</v>
      </c>
      <c r="N16" s="652"/>
      <c r="O16" s="652"/>
      <c r="P16" s="530"/>
      <c r="Q16" s="531"/>
      <c r="R16" s="531"/>
      <c r="S16" s="555"/>
      <c r="T16" s="685"/>
      <c r="U16" s="530"/>
      <c r="V16" s="531"/>
      <c r="W16" s="531"/>
      <c r="X16" s="555"/>
      <c r="Y16" s="685"/>
      <c r="Z16" s="530"/>
      <c r="AA16" s="531"/>
      <c r="AB16" s="531"/>
      <c r="AC16" s="555"/>
      <c r="AD16" s="685"/>
      <c r="AE16" s="530"/>
      <c r="AF16" s="531"/>
      <c r="AG16" s="531"/>
      <c r="AH16" s="555"/>
      <c r="AI16" s="685"/>
      <c r="AJ16" s="530">
        <v>17</v>
      </c>
      <c r="AK16" s="531">
        <v>1339.5348837209301</v>
      </c>
      <c r="AL16" s="531">
        <v>78.79616963064295</v>
      </c>
      <c r="AM16" s="555">
        <f t="shared" si="3"/>
        <v>11</v>
      </c>
      <c r="AN16" s="685"/>
      <c r="AO16" s="530">
        <v>17</v>
      </c>
      <c r="AP16" s="531">
        <v>1376.1702127659578</v>
      </c>
      <c r="AQ16" s="531">
        <v>80.951188986232808</v>
      </c>
      <c r="AR16" s="555">
        <f t="shared" si="4"/>
        <v>9</v>
      </c>
      <c r="AS16" s="685"/>
      <c r="AT16" s="530">
        <v>17</v>
      </c>
      <c r="AU16" s="531">
        <v>1370.2325581395348</v>
      </c>
      <c r="AV16" s="531">
        <v>80.601915184678518</v>
      </c>
      <c r="AW16" s="555">
        <f t="shared" si="5"/>
        <v>10</v>
      </c>
      <c r="AX16" s="685"/>
      <c r="AZ16" s="368" t="e">
        <f t="shared" si="6"/>
        <v>#N/A</v>
      </c>
      <c r="BA16" s="685"/>
    </row>
    <row r="17" spans="2:53">
      <c r="B17" s="660"/>
      <c r="C17" s="530">
        <v>11</v>
      </c>
      <c r="D17" s="201" t="s">
        <v>512</v>
      </c>
      <c r="E17" s="534">
        <v>20</v>
      </c>
      <c r="F17" s="201">
        <v>1440</v>
      </c>
      <c r="G17" s="199">
        <v>72</v>
      </c>
      <c r="H17" s="699"/>
      <c r="I17" s="534">
        <f t="shared" si="0"/>
        <v>20</v>
      </c>
      <c r="J17" s="534">
        <f t="shared" si="1"/>
        <v>1311.4021558872294</v>
      </c>
      <c r="K17" s="199">
        <f t="shared" si="2"/>
        <v>65.570107794361462</v>
      </c>
      <c r="L17" s="634"/>
      <c r="M17" s="558">
        <f>RANK(K17, K$7:$K$36)</f>
        <v>22</v>
      </c>
      <c r="N17" s="652"/>
      <c r="O17" s="652"/>
      <c r="P17" s="530"/>
      <c r="Q17" s="531"/>
      <c r="R17" s="531"/>
      <c r="S17" s="555"/>
      <c r="T17" s="685"/>
      <c r="U17" s="530"/>
      <c r="V17" s="531"/>
      <c r="W17" s="531"/>
      <c r="X17" s="555"/>
      <c r="Y17" s="685"/>
      <c r="Z17" s="530"/>
      <c r="AA17" s="531"/>
      <c r="AB17" s="531"/>
      <c r="AC17" s="555"/>
      <c r="AD17" s="685"/>
      <c r="AE17" s="530"/>
      <c r="AF17" s="531"/>
      <c r="AG17" s="531"/>
      <c r="AH17" s="555"/>
      <c r="AI17" s="685"/>
      <c r="AJ17" s="530">
        <v>20</v>
      </c>
      <c r="AK17" s="531">
        <v>1325.3731343283566</v>
      </c>
      <c r="AL17" s="531">
        <v>66.268656716417837</v>
      </c>
      <c r="AM17" s="555">
        <f t="shared" si="3"/>
        <v>22</v>
      </c>
      <c r="AN17" s="685"/>
      <c r="AO17" s="530">
        <v>20</v>
      </c>
      <c r="AP17" s="531">
        <v>1320.8333333333323</v>
      </c>
      <c r="AQ17" s="531">
        <v>66.041666666666615</v>
      </c>
      <c r="AR17" s="555">
        <f t="shared" si="4"/>
        <v>22</v>
      </c>
      <c r="AS17" s="685"/>
      <c r="AT17" s="530">
        <v>20</v>
      </c>
      <c r="AU17" s="531">
        <v>1287.9999999999991</v>
      </c>
      <c r="AV17" s="531">
        <v>64.399999999999949</v>
      </c>
      <c r="AW17" s="555">
        <f t="shared" si="5"/>
        <v>22</v>
      </c>
      <c r="AX17" s="685"/>
      <c r="AZ17" s="368" t="e">
        <f t="shared" si="6"/>
        <v>#N/A</v>
      </c>
      <c r="BA17" s="685"/>
    </row>
    <row r="18" spans="2:53">
      <c r="B18" s="660"/>
      <c r="C18" s="530">
        <v>12</v>
      </c>
      <c r="D18" s="201" t="s">
        <v>345</v>
      </c>
      <c r="E18" s="534">
        <v>14</v>
      </c>
      <c r="F18" s="201">
        <v>1440</v>
      </c>
      <c r="G18" s="199">
        <v>102.85714285714286</v>
      </c>
      <c r="H18" s="699"/>
      <c r="I18" s="534">
        <f t="shared" si="0"/>
        <v>15</v>
      </c>
      <c r="J18" s="534">
        <f t="shared" si="1"/>
        <v>1294.2399283447248</v>
      </c>
      <c r="K18" s="199">
        <f t="shared" si="2"/>
        <v>86.282661889648338</v>
      </c>
      <c r="L18" s="634"/>
      <c r="M18" s="558">
        <f>RANK(K18, K$7:$K$36)</f>
        <v>4</v>
      </c>
      <c r="N18" s="652"/>
      <c r="O18" s="652"/>
      <c r="P18" s="530"/>
      <c r="Q18" s="531"/>
      <c r="R18" s="531"/>
      <c r="S18" s="555"/>
      <c r="T18" s="685"/>
      <c r="U18" s="530"/>
      <c r="V18" s="531"/>
      <c r="W18" s="531"/>
      <c r="X18" s="555"/>
      <c r="Y18" s="685"/>
      <c r="Z18" s="530"/>
      <c r="AA18" s="531"/>
      <c r="AB18" s="531"/>
      <c r="AC18" s="555"/>
      <c r="AD18" s="685"/>
      <c r="AE18" s="530"/>
      <c r="AF18" s="531"/>
      <c r="AG18" s="531"/>
      <c r="AH18" s="555"/>
      <c r="AI18" s="685"/>
      <c r="AJ18" s="530">
        <v>15</v>
      </c>
      <c r="AK18" s="531">
        <v>1291.698113207548</v>
      </c>
      <c r="AL18" s="531">
        <v>86.113207547169864</v>
      </c>
      <c r="AM18" s="555">
        <f t="shared" si="3"/>
        <v>4</v>
      </c>
      <c r="AN18" s="685"/>
      <c r="AO18" s="530">
        <v>15</v>
      </c>
      <c r="AP18" s="531">
        <v>1286.3157894736851</v>
      </c>
      <c r="AQ18" s="531">
        <v>85.754385964912345</v>
      </c>
      <c r="AR18" s="555">
        <f t="shared" si="4"/>
        <v>5</v>
      </c>
      <c r="AS18" s="685"/>
      <c r="AT18" s="530">
        <v>15</v>
      </c>
      <c r="AU18" s="531">
        <v>1304.7058823529417</v>
      </c>
      <c r="AV18" s="531">
        <v>86.980392156862777</v>
      </c>
      <c r="AW18" s="555">
        <f t="shared" si="5"/>
        <v>5</v>
      </c>
      <c r="AX18" s="685"/>
      <c r="AZ18" s="368" t="e">
        <f t="shared" si="6"/>
        <v>#N/A</v>
      </c>
      <c r="BA18" s="685"/>
    </row>
    <row r="19" spans="2:53">
      <c r="B19" s="660"/>
      <c r="C19" s="530">
        <v>13</v>
      </c>
      <c r="D19" s="201" t="s">
        <v>327</v>
      </c>
      <c r="E19" s="534">
        <v>19</v>
      </c>
      <c r="F19" s="201">
        <v>1440</v>
      </c>
      <c r="G19" s="199">
        <v>75.78947368421052</v>
      </c>
      <c r="H19" s="699"/>
      <c r="I19" s="534">
        <f t="shared" si="0"/>
        <v>19</v>
      </c>
      <c r="J19" s="534">
        <f t="shared" si="1"/>
        <v>1315.4205499142201</v>
      </c>
      <c r="K19" s="199">
        <f t="shared" si="2"/>
        <v>69.232660521801066</v>
      </c>
      <c r="L19" s="634"/>
      <c r="M19" s="558">
        <f>RANK(K19, K$7:$K$36)</f>
        <v>19</v>
      </c>
      <c r="N19" s="652"/>
      <c r="O19" s="652"/>
      <c r="P19" s="530"/>
      <c r="Q19" s="531"/>
      <c r="R19" s="531"/>
      <c r="S19" s="555"/>
      <c r="T19" s="685"/>
      <c r="U19" s="530"/>
      <c r="V19" s="531"/>
      <c r="W19" s="531"/>
      <c r="X19" s="555"/>
      <c r="Y19" s="685"/>
      <c r="Z19" s="530"/>
      <c r="AA19" s="531"/>
      <c r="AB19" s="531"/>
      <c r="AC19" s="555"/>
      <c r="AD19" s="685"/>
      <c r="AE19" s="530"/>
      <c r="AF19" s="531"/>
      <c r="AG19" s="531"/>
      <c r="AH19" s="555"/>
      <c r="AI19" s="685"/>
      <c r="AJ19" s="530">
        <v>19</v>
      </c>
      <c r="AK19" s="531">
        <v>1298.7341772151892</v>
      </c>
      <c r="AL19" s="531">
        <v>68.354430379746802</v>
      </c>
      <c r="AM19" s="555">
        <f t="shared" si="3"/>
        <v>20</v>
      </c>
      <c r="AN19" s="685"/>
      <c r="AO19" s="530">
        <v>19</v>
      </c>
      <c r="AP19" s="531">
        <v>1335.3846153846148</v>
      </c>
      <c r="AQ19" s="531">
        <v>70.283400809716568</v>
      </c>
      <c r="AR19" s="555">
        <f t="shared" si="4"/>
        <v>17</v>
      </c>
      <c r="AS19" s="685"/>
      <c r="AT19" s="530">
        <v>19</v>
      </c>
      <c r="AU19" s="531">
        <v>1312.1428571428569</v>
      </c>
      <c r="AV19" s="531">
        <v>69.060150375939841</v>
      </c>
      <c r="AW19" s="555">
        <f t="shared" si="5"/>
        <v>20</v>
      </c>
      <c r="AX19" s="685"/>
      <c r="AZ19" s="368" t="e">
        <f t="shared" si="6"/>
        <v>#N/A</v>
      </c>
      <c r="BA19" s="685"/>
    </row>
    <row r="20" spans="2:53">
      <c r="B20" s="660"/>
      <c r="C20" s="530">
        <v>14</v>
      </c>
      <c r="D20" s="201" t="s">
        <v>343</v>
      </c>
      <c r="E20" s="534">
        <v>19</v>
      </c>
      <c r="F20" s="201">
        <v>1440</v>
      </c>
      <c r="G20" s="199">
        <v>75.78947368421052</v>
      </c>
      <c r="H20" s="699"/>
      <c r="I20" s="534">
        <f t="shared" si="0"/>
        <v>19</v>
      </c>
      <c r="J20" s="534">
        <f t="shared" si="1"/>
        <v>1308.0729515050173</v>
      </c>
      <c r="K20" s="199">
        <f t="shared" si="2"/>
        <v>68.845944816053546</v>
      </c>
      <c r="L20" s="634"/>
      <c r="M20" s="558">
        <f>RANK(K20, K$7:$K$36)</f>
        <v>21</v>
      </c>
      <c r="N20" s="652"/>
      <c r="O20" s="652"/>
      <c r="P20" s="530"/>
      <c r="Q20" s="531"/>
      <c r="R20" s="531"/>
      <c r="S20" s="555"/>
      <c r="T20" s="685"/>
      <c r="U20" s="530"/>
      <c r="V20" s="531"/>
      <c r="W20" s="531"/>
      <c r="X20" s="555"/>
      <c r="Y20" s="685"/>
      <c r="Z20" s="530"/>
      <c r="AA20" s="531"/>
      <c r="AB20" s="531"/>
      <c r="AC20" s="555"/>
      <c r="AD20" s="685"/>
      <c r="AE20" s="530"/>
      <c r="AF20" s="531"/>
      <c r="AG20" s="531"/>
      <c r="AH20" s="555"/>
      <c r="AI20" s="685"/>
      <c r="AJ20" s="530">
        <v>19</v>
      </c>
      <c r="AK20" s="531">
        <v>1300.3125000000016</v>
      </c>
      <c r="AL20" s="531">
        <v>68.437500000000085</v>
      </c>
      <c r="AM20" s="555">
        <f t="shared" si="3"/>
        <v>19</v>
      </c>
      <c r="AN20" s="685"/>
      <c r="AO20" s="530">
        <v>19</v>
      </c>
      <c r="AP20" s="531">
        <v>1296.5217391304334</v>
      </c>
      <c r="AQ20" s="531">
        <v>68.237986270022816</v>
      </c>
      <c r="AR20" s="555">
        <f t="shared" si="4"/>
        <v>21</v>
      </c>
      <c r="AS20" s="685"/>
      <c r="AT20" s="530">
        <v>19</v>
      </c>
      <c r="AU20" s="531">
        <v>1327.3846153846168</v>
      </c>
      <c r="AV20" s="531">
        <v>69.862348178137722</v>
      </c>
      <c r="AW20" s="555">
        <f t="shared" si="5"/>
        <v>19</v>
      </c>
      <c r="AX20" s="685"/>
      <c r="AZ20" s="368" t="e">
        <f t="shared" si="6"/>
        <v>#N/A</v>
      </c>
      <c r="BA20" s="685"/>
    </row>
    <row r="21" spans="2:53">
      <c r="B21" s="660"/>
      <c r="C21" s="530">
        <v>15</v>
      </c>
      <c r="D21" s="201" t="s">
        <v>581</v>
      </c>
      <c r="E21" s="534">
        <v>18</v>
      </c>
      <c r="F21" s="201">
        <v>1500</v>
      </c>
      <c r="G21" s="199">
        <v>83.333333333333329</v>
      </c>
      <c r="H21" s="699"/>
      <c r="I21" s="534">
        <f t="shared" si="0"/>
        <v>18</v>
      </c>
      <c r="J21" s="534">
        <f t="shared" si="1"/>
        <v>1371.0357777660456</v>
      </c>
      <c r="K21" s="199">
        <f t="shared" si="2"/>
        <v>76.168654320335875</v>
      </c>
      <c r="L21" s="634"/>
      <c r="M21" s="558">
        <f>RANK(K21, K$7:$K$36)</f>
        <v>15</v>
      </c>
      <c r="N21" s="652"/>
      <c r="O21" s="652"/>
      <c r="P21" s="530"/>
      <c r="Q21" s="531"/>
      <c r="R21" s="531"/>
      <c r="S21" s="555"/>
      <c r="T21" s="685"/>
      <c r="U21" s="530"/>
      <c r="V21" s="531"/>
      <c r="W21" s="531"/>
      <c r="X21" s="555"/>
      <c r="Y21" s="685"/>
      <c r="Z21" s="530"/>
      <c r="AA21" s="531"/>
      <c r="AB21" s="531"/>
      <c r="AC21" s="555"/>
      <c r="AD21" s="685"/>
      <c r="AE21" s="530"/>
      <c r="AF21" s="531"/>
      <c r="AG21" s="531"/>
      <c r="AH21" s="555"/>
      <c r="AI21" s="685"/>
      <c r="AJ21" s="530">
        <v>18</v>
      </c>
      <c r="AK21" s="531">
        <v>1369.7872340425533</v>
      </c>
      <c r="AL21" s="531">
        <v>76.099290780141857</v>
      </c>
      <c r="AM21" s="555">
        <f t="shared" si="3"/>
        <v>15</v>
      </c>
      <c r="AN21" s="685"/>
      <c r="AO21" s="530">
        <v>18</v>
      </c>
      <c r="AP21" s="531">
        <v>1391.3846153846146</v>
      </c>
      <c r="AQ21" s="531">
        <v>77.299145299145252</v>
      </c>
      <c r="AR21" s="555">
        <f t="shared" si="4"/>
        <v>14</v>
      </c>
      <c r="AS21" s="685"/>
      <c r="AT21" s="530">
        <v>18</v>
      </c>
      <c r="AU21" s="531">
        <v>1351.9354838709689</v>
      </c>
      <c r="AV21" s="531">
        <v>75.107526881720503</v>
      </c>
      <c r="AW21" s="555">
        <f t="shared" si="5"/>
        <v>16</v>
      </c>
      <c r="AX21" s="685"/>
      <c r="AZ21" s="368" t="e">
        <f t="shared" si="6"/>
        <v>#N/A</v>
      </c>
      <c r="BA21" s="685"/>
    </row>
    <row r="22" spans="2:53">
      <c r="B22" s="660"/>
      <c r="C22" s="530">
        <v>16</v>
      </c>
      <c r="D22" s="201" t="s">
        <v>509</v>
      </c>
      <c r="E22" s="534">
        <v>17</v>
      </c>
      <c r="F22" s="201">
        <v>1440</v>
      </c>
      <c r="G22" s="199">
        <v>84.705882352941174</v>
      </c>
      <c r="H22" s="699"/>
      <c r="I22" s="534">
        <f t="shared" si="0"/>
        <v>17</v>
      </c>
      <c r="J22" s="534">
        <f t="shared" si="1"/>
        <v>1298.0618212197151</v>
      </c>
      <c r="K22" s="199">
        <f t="shared" si="2"/>
        <v>76.356577718806761</v>
      </c>
      <c r="L22" s="634"/>
      <c r="M22" s="558">
        <f>RANK(K22, K$7:$K$36)</f>
        <v>14</v>
      </c>
      <c r="N22" s="652"/>
      <c r="O22" s="652"/>
      <c r="P22" s="530"/>
      <c r="Q22" s="531"/>
      <c r="R22" s="531"/>
      <c r="S22" s="555"/>
      <c r="T22" s="685"/>
      <c r="U22" s="530"/>
      <c r="V22" s="531"/>
      <c r="W22" s="531"/>
      <c r="X22" s="555"/>
      <c r="Y22" s="685"/>
      <c r="Z22" s="530"/>
      <c r="AA22" s="531"/>
      <c r="AB22" s="531"/>
      <c r="AC22" s="555"/>
      <c r="AD22" s="685"/>
      <c r="AE22" s="530"/>
      <c r="AF22" s="531"/>
      <c r="AG22" s="531"/>
      <c r="AH22" s="555"/>
      <c r="AI22" s="685"/>
      <c r="AJ22" s="530">
        <v>17</v>
      </c>
      <c r="AK22" s="531">
        <v>1308.9473684210516</v>
      </c>
      <c r="AL22" s="531">
        <v>76.996904024767744</v>
      </c>
      <c r="AM22" s="555">
        <f t="shared" si="3"/>
        <v>13</v>
      </c>
      <c r="AN22" s="685"/>
      <c r="AO22" s="530">
        <v>17</v>
      </c>
      <c r="AP22" s="531">
        <v>1288.571428571428</v>
      </c>
      <c r="AQ22" s="531">
        <v>75.798319327731065</v>
      </c>
      <c r="AR22" s="555">
        <f t="shared" si="4"/>
        <v>15</v>
      </c>
      <c r="AS22" s="685"/>
      <c r="AT22" s="530">
        <v>17</v>
      </c>
      <c r="AU22" s="531">
        <v>1296.6666666666656</v>
      </c>
      <c r="AV22" s="531">
        <v>76.274509803921504</v>
      </c>
      <c r="AW22" s="555">
        <f t="shared" si="5"/>
        <v>14</v>
      </c>
      <c r="AX22" s="685"/>
      <c r="AZ22" s="368" t="e">
        <f t="shared" si="6"/>
        <v>#N/A</v>
      </c>
      <c r="BA22" s="685"/>
    </row>
    <row r="23" spans="2:53">
      <c r="B23" s="660"/>
      <c r="C23" s="530">
        <v>17</v>
      </c>
      <c r="D23" s="201" t="s">
        <v>603</v>
      </c>
      <c r="E23" s="534">
        <v>16</v>
      </c>
      <c r="F23" s="201">
        <v>1636</v>
      </c>
      <c r="G23" s="199">
        <v>102.25</v>
      </c>
      <c r="H23" s="699"/>
      <c r="I23" s="534">
        <f t="shared" si="0"/>
        <v>16</v>
      </c>
      <c r="J23" s="534">
        <f t="shared" si="1"/>
        <v>1399.6655518394643</v>
      </c>
      <c r="K23" s="199">
        <f t="shared" si="2"/>
        <v>87.479096989966521</v>
      </c>
      <c r="L23" s="634"/>
      <c r="M23" s="558">
        <f>RANK(K23, K$7:$K$36)</f>
        <v>3</v>
      </c>
      <c r="N23" s="652"/>
      <c r="O23" s="652"/>
      <c r="P23" s="530"/>
      <c r="Q23" s="531"/>
      <c r="R23" s="531"/>
      <c r="S23" s="555"/>
      <c r="T23" s="685"/>
      <c r="U23" s="530"/>
      <c r="V23" s="531"/>
      <c r="W23" s="531"/>
      <c r="X23" s="555"/>
      <c r="Y23" s="685"/>
      <c r="Z23" s="530"/>
      <c r="AA23" s="531"/>
      <c r="AB23" s="531"/>
      <c r="AC23" s="555"/>
      <c r="AD23" s="685"/>
      <c r="AE23" s="530"/>
      <c r="AF23" s="531"/>
      <c r="AG23" s="531"/>
      <c r="AH23" s="555"/>
      <c r="AI23" s="685"/>
      <c r="AJ23" s="530">
        <v>16</v>
      </c>
      <c r="AK23" s="531">
        <v>1389.2307692307686</v>
      </c>
      <c r="AL23" s="531">
        <v>86.826923076923038</v>
      </c>
      <c r="AM23" s="555">
        <f t="shared" si="3"/>
        <v>3</v>
      </c>
      <c r="AN23" s="685"/>
      <c r="AO23" s="530">
        <v>16</v>
      </c>
      <c r="AP23" s="531">
        <v>1411.304347826087</v>
      </c>
      <c r="AQ23" s="531">
        <v>88.206521739130437</v>
      </c>
      <c r="AR23" s="555">
        <f t="shared" si="4"/>
        <v>3</v>
      </c>
      <c r="AS23" s="685"/>
      <c r="AT23" s="530">
        <v>16</v>
      </c>
      <c r="AU23" s="531">
        <v>1398.4615384615377</v>
      </c>
      <c r="AV23" s="531">
        <v>87.403846153846104</v>
      </c>
      <c r="AW23" s="555">
        <f t="shared" si="5"/>
        <v>3</v>
      </c>
      <c r="AX23" s="685"/>
      <c r="AZ23" s="368" t="e">
        <f t="shared" si="6"/>
        <v>#N/A</v>
      </c>
      <c r="BA23" s="685"/>
    </row>
    <row r="24" spans="2:53">
      <c r="B24" s="660"/>
      <c r="C24" s="530">
        <v>18</v>
      </c>
      <c r="D24" s="201" t="s">
        <v>614</v>
      </c>
      <c r="E24" s="534">
        <v>16</v>
      </c>
      <c r="F24" s="201">
        <v>1500</v>
      </c>
      <c r="G24" s="199">
        <v>93.75</v>
      </c>
      <c r="H24" s="699"/>
      <c r="I24" s="534">
        <f t="shared" si="0"/>
        <v>16.666666666666668</v>
      </c>
      <c r="J24" s="534">
        <f t="shared" si="1"/>
        <v>1368.2772764561116</v>
      </c>
      <c r="K24" s="199">
        <f t="shared" si="2"/>
        <v>82.194059740385086</v>
      </c>
      <c r="L24" s="634"/>
      <c r="M24" s="558">
        <f>RANK(K24, K$7:$K$36)</f>
        <v>8</v>
      </c>
      <c r="N24" s="652"/>
      <c r="O24" s="652"/>
      <c r="P24" s="530"/>
      <c r="Q24" s="531"/>
      <c r="R24" s="531"/>
      <c r="S24" s="555"/>
      <c r="T24" s="685"/>
      <c r="U24" s="530"/>
      <c r="V24" s="531"/>
      <c r="W24" s="531"/>
      <c r="X24" s="555"/>
      <c r="Y24" s="685"/>
      <c r="Z24" s="530"/>
      <c r="AA24" s="531"/>
      <c r="AB24" s="531"/>
      <c r="AC24" s="555"/>
      <c r="AD24" s="685"/>
      <c r="AE24" s="530"/>
      <c r="AF24" s="531"/>
      <c r="AG24" s="531"/>
      <c r="AH24" s="555"/>
      <c r="AI24" s="685"/>
      <c r="AJ24" s="530">
        <v>17</v>
      </c>
      <c r="AK24" s="531">
        <v>1357.8260869565217</v>
      </c>
      <c r="AL24" s="531">
        <v>79.872122762148337</v>
      </c>
      <c r="AM24" s="555">
        <f t="shared" si="3"/>
        <v>10</v>
      </c>
      <c r="AN24" s="685"/>
      <c r="AO24" s="530">
        <v>17</v>
      </c>
      <c r="AP24" s="531">
        <v>1353.9622641509441</v>
      </c>
      <c r="AQ24" s="531">
        <v>79.644839067702591</v>
      </c>
      <c r="AR24" s="555">
        <f t="shared" si="4"/>
        <v>11</v>
      </c>
      <c r="AS24" s="685"/>
      <c r="AT24" s="530">
        <v>16</v>
      </c>
      <c r="AU24" s="531">
        <v>1393.0434782608695</v>
      </c>
      <c r="AV24" s="531">
        <v>87.065217391304344</v>
      </c>
      <c r="AW24" s="555">
        <f t="shared" si="5"/>
        <v>4</v>
      </c>
      <c r="AX24" s="685"/>
      <c r="AZ24" s="368" t="e">
        <f t="shared" si="6"/>
        <v>#N/A</v>
      </c>
      <c r="BA24" s="685"/>
    </row>
    <row r="25" spans="2:53">
      <c r="B25" s="660"/>
      <c r="C25" s="530">
        <v>19</v>
      </c>
      <c r="D25" s="201" t="s">
        <v>610</v>
      </c>
      <c r="E25" s="534">
        <v>16</v>
      </c>
      <c r="F25" s="201">
        <v>1500</v>
      </c>
      <c r="G25" s="199">
        <v>93.75</v>
      </c>
      <c r="H25" s="699"/>
      <c r="I25" s="534">
        <f t="shared" si="0"/>
        <v>16</v>
      </c>
      <c r="J25" s="534">
        <f t="shared" si="1"/>
        <v>1318.2757990867569</v>
      </c>
      <c r="K25" s="199">
        <f t="shared" si="2"/>
        <v>82.392237442922308</v>
      </c>
      <c r="L25" s="634"/>
      <c r="M25" s="558">
        <f>RANK(K25, K$7:$K$36)</f>
        <v>7</v>
      </c>
      <c r="N25" s="652"/>
      <c r="O25" s="652"/>
      <c r="P25" s="530"/>
      <c r="Q25" s="531"/>
      <c r="R25" s="531"/>
      <c r="S25" s="555"/>
      <c r="T25" s="685"/>
      <c r="U25" s="530"/>
      <c r="V25" s="531"/>
      <c r="W25" s="531"/>
      <c r="X25" s="555"/>
      <c r="Y25" s="685"/>
      <c r="Z25" s="530"/>
      <c r="AA25" s="531"/>
      <c r="AB25" s="531"/>
      <c r="AC25" s="555"/>
      <c r="AD25" s="685"/>
      <c r="AE25" s="530"/>
      <c r="AF25" s="531"/>
      <c r="AG25" s="531"/>
      <c r="AH25" s="555"/>
      <c r="AI25" s="685"/>
      <c r="AJ25" s="530">
        <v>16</v>
      </c>
      <c r="AK25" s="531">
        <v>1335.1999999999989</v>
      </c>
      <c r="AL25" s="531">
        <v>83.449999999999932</v>
      </c>
      <c r="AM25" s="555">
        <f t="shared" si="3"/>
        <v>7</v>
      </c>
      <c r="AN25" s="685"/>
      <c r="AO25" s="530">
        <v>16</v>
      </c>
      <c r="AP25" s="531">
        <v>1313.599999999999</v>
      </c>
      <c r="AQ25" s="531">
        <v>82.099999999999937</v>
      </c>
      <c r="AR25" s="555">
        <f t="shared" si="4"/>
        <v>7</v>
      </c>
      <c r="AS25" s="685"/>
      <c r="AT25" s="530">
        <v>16</v>
      </c>
      <c r="AU25" s="531">
        <v>1306.0273972602729</v>
      </c>
      <c r="AV25" s="531">
        <v>81.626712328767056</v>
      </c>
      <c r="AW25" s="555">
        <f t="shared" si="5"/>
        <v>9</v>
      </c>
      <c r="AX25" s="685"/>
      <c r="AZ25" s="368" t="e">
        <f t="shared" si="6"/>
        <v>#N/A</v>
      </c>
      <c r="BA25" s="685"/>
    </row>
    <row r="26" spans="2:53">
      <c r="B26" s="660"/>
      <c r="C26" s="530">
        <v>20</v>
      </c>
      <c r="D26" s="201" t="s">
        <v>618</v>
      </c>
      <c r="E26" s="534">
        <v>16</v>
      </c>
      <c r="F26" s="201">
        <v>1440</v>
      </c>
      <c r="G26" s="199">
        <v>90</v>
      </c>
      <c r="H26" s="699"/>
      <c r="I26" s="534">
        <f t="shared" si="0"/>
        <v>15.666666666666666</v>
      </c>
      <c r="J26" s="534">
        <f t="shared" si="1"/>
        <v>1125.8333333333328</v>
      </c>
      <c r="K26" s="199">
        <f t="shared" si="2"/>
        <v>71.947916666666643</v>
      </c>
      <c r="L26" s="634"/>
      <c r="M26" s="558">
        <f>RANK(K26, K$7:$K$36)</f>
        <v>16</v>
      </c>
      <c r="N26" s="652"/>
      <c r="O26" s="652"/>
      <c r="P26" s="530"/>
      <c r="Q26" s="531"/>
      <c r="R26" s="531"/>
      <c r="S26" s="555"/>
      <c r="T26" s="685"/>
      <c r="U26" s="530"/>
      <c r="V26" s="531"/>
      <c r="W26" s="531"/>
      <c r="X26" s="555"/>
      <c r="Y26" s="685"/>
      <c r="Z26" s="530"/>
      <c r="AA26" s="531"/>
      <c r="AB26" s="531"/>
      <c r="AC26" s="555"/>
      <c r="AD26" s="685"/>
      <c r="AE26" s="530"/>
      <c r="AF26" s="531"/>
      <c r="AG26" s="531"/>
      <c r="AH26" s="555"/>
      <c r="AI26" s="685"/>
      <c r="AJ26" s="530">
        <v>16</v>
      </c>
      <c r="AK26" s="531">
        <v>1127.4999999999964</v>
      </c>
      <c r="AL26" s="531">
        <v>70.468749999999773</v>
      </c>
      <c r="AM26" s="555">
        <f t="shared" si="3"/>
        <v>16</v>
      </c>
      <c r="AN26" s="685"/>
      <c r="AO26" s="530">
        <v>16</v>
      </c>
      <c r="AP26" s="531">
        <v>1109.9999999999984</v>
      </c>
      <c r="AQ26" s="531">
        <v>69.374999999999901</v>
      </c>
      <c r="AR26" s="555">
        <f t="shared" si="4"/>
        <v>19</v>
      </c>
      <c r="AS26" s="685"/>
      <c r="AT26" s="530">
        <v>15</v>
      </c>
      <c r="AU26" s="531">
        <v>1140.0000000000041</v>
      </c>
      <c r="AV26" s="531">
        <v>76.00000000000027</v>
      </c>
      <c r="AW26" s="555">
        <f t="shared" si="5"/>
        <v>15</v>
      </c>
      <c r="AX26" s="685"/>
      <c r="AZ26" s="368" t="e">
        <f t="shared" si="6"/>
        <v>#N/A</v>
      </c>
      <c r="BA26" s="685"/>
    </row>
    <row r="27" spans="2:53">
      <c r="B27" s="660"/>
      <c r="C27" s="530">
        <v>21</v>
      </c>
      <c r="D27" s="201" t="s">
        <v>628</v>
      </c>
      <c r="E27" s="534">
        <v>19</v>
      </c>
      <c r="F27" s="201">
        <v>1440</v>
      </c>
      <c r="G27" s="199">
        <v>75.78947368421052</v>
      </c>
      <c r="H27" s="699"/>
      <c r="I27" s="534">
        <f t="shared" si="0"/>
        <v>19</v>
      </c>
      <c r="J27" s="534">
        <f t="shared" si="1"/>
        <v>1314.9587612822913</v>
      </c>
      <c r="K27" s="199">
        <f t="shared" si="2"/>
        <v>69.208355856962712</v>
      </c>
      <c r="L27" s="634"/>
      <c r="M27" s="558">
        <f>RANK(K27, K$7:$K$36)</f>
        <v>20</v>
      </c>
      <c r="N27" s="652"/>
      <c r="O27" s="652"/>
      <c r="P27" s="530"/>
      <c r="Q27" s="531"/>
      <c r="R27" s="531"/>
      <c r="S27" s="555"/>
      <c r="T27" s="685"/>
      <c r="U27" s="530"/>
      <c r="V27" s="531"/>
      <c r="W27" s="531"/>
      <c r="X27" s="555"/>
      <c r="Y27" s="685"/>
      <c r="Z27" s="530"/>
      <c r="AA27" s="531"/>
      <c r="AB27" s="531"/>
      <c r="AC27" s="555"/>
      <c r="AD27" s="685"/>
      <c r="AE27" s="530"/>
      <c r="AF27" s="531"/>
      <c r="AG27" s="531"/>
      <c r="AH27" s="555"/>
      <c r="AI27" s="685"/>
      <c r="AJ27" s="530">
        <v>19</v>
      </c>
      <c r="AK27" s="531">
        <v>1318.8888888888896</v>
      </c>
      <c r="AL27" s="531">
        <v>69.415204678362613</v>
      </c>
      <c r="AM27" s="555">
        <f t="shared" si="3"/>
        <v>18</v>
      </c>
      <c r="AN27" s="685"/>
      <c r="AO27" s="530">
        <v>19</v>
      </c>
      <c r="AP27" s="531">
        <v>1318.9285714285725</v>
      </c>
      <c r="AQ27" s="531">
        <v>69.417293233082759</v>
      </c>
      <c r="AR27" s="555">
        <f t="shared" si="4"/>
        <v>18</v>
      </c>
      <c r="AS27" s="685"/>
      <c r="AT27" s="530">
        <v>19</v>
      </c>
      <c r="AU27" s="531">
        <v>1307.0588235294122</v>
      </c>
      <c r="AV27" s="531">
        <v>68.792569659442748</v>
      </c>
      <c r="AW27" s="555">
        <f t="shared" si="5"/>
        <v>21</v>
      </c>
      <c r="AX27" s="685"/>
      <c r="AZ27" s="368" t="e">
        <f t="shared" si="6"/>
        <v>#N/A</v>
      </c>
      <c r="BA27" s="685"/>
    </row>
    <row r="28" spans="2:53">
      <c r="B28" s="660"/>
      <c r="C28" s="530">
        <v>22</v>
      </c>
      <c r="D28" s="201" t="s">
        <v>698</v>
      </c>
      <c r="E28" s="534">
        <v>21</v>
      </c>
      <c r="F28" s="201">
        <v>1440</v>
      </c>
      <c r="G28" s="199">
        <v>68.571428571428569</v>
      </c>
      <c r="H28" s="699"/>
      <c r="I28" s="534">
        <f t="shared" si="0"/>
        <v>20.666666666666668</v>
      </c>
      <c r="J28" s="534">
        <f t="shared" si="1"/>
        <v>1123.6163914490539</v>
      </c>
      <c r="K28" s="199">
        <f t="shared" si="2"/>
        <v>54.345572211859711</v>
      </c>
      <c r="L28" s="634"/>
      <c r="M28" s="558">
        <f>RANK(K28, K$7:$K$36)</f>
        <v>24</v>
      </c>
      <c r="N28" s="652"/>
      <c r="O28" s="652"/>
      <c r="P28" s="530"/>
      <c r="Q28" s="531"/>
      <c r="R28" s="531"/>
      <c r="S28" s="555"/>
      <c r="T28" s="685"/>
      <c r="U28" s="530"/>
      <c r="V28" s="531"/>
      <c r="W28" s="531"/>
      <c r="X28" s="555"/>
      <c r="Y28" s="685"/>
      <c r="Z28" s="530"/>
      <c r="AA28" s="531"/>
      <c r="AB28" s="531"/>
      <c r="AC28" s="555"/>
      <c r="AD28" s="685"/>
      <c r="AE28" s="530"/>
      <c r="AF28" s="531"/>
      <c r="AG28" s="531"/>
      <c r="AH28" s="555"/>
      <c r="AI28" s="685"/>
      <c r="AJ28" s="530">
        <v>21</v>
      </c>
      <c r="AK28" s="531">
        <v>1141.9354838709687</v>
      </c>
      <c r="AL28" s="531">
        <v>54.377880184331843</v>
      </c>
      <c r="AM28" s="555">
        <f t="shared" si="3"/>
        <v>24</v>
      </c>
      <c r="AN28" s="685"/>
      <c r="AO28" s="530">
        <v>21</v>
      </c>
      <c r="AP28" s="531">
        <v>1170.4761904761917</v>
      </c>
      <c r="AQ28" s="531">
        <v>55.736961451247225</v>
      </c>
      <c r="AR28" s="555">
        <f t="shared" si="4"/>
        <v>24</v>
      </c>
      <c r="AS28" s="685"/>
      <c r="AT28" s="530">
        <v>20</v>
      </c>
      <c r="AU28" s="531">
        <v>1058.4375000000014</v>
      </c>
      <c r="AV28" s="531">
        <v>52.921875000000071</v>
      </c>
      <c r="AW28" s="555">
        <f t="shared" si="5"/>
        <v>24</v>
      </c>
      <c r="AX28" s="685"/>
      <c r="AZ28" s="368" t="e">
        <f t="shared" si="6"/>
        <v>#N/A</v>
      </c>
      <c r="BA28" s="685"/>
    </row>
    <row r="29" spans="2:53">
      <c r="B29" s="660"/>
      <c r="C29" s="530">
        <v>23</v>
      </c>
      <c r="D29" s="201" t="s">
        <v>700</v>
      </c>
      <c r="E29" s="534">
        <v>19</v>
      </c>
      <c r="F29" s="201">
        <v>1440</v>
      </c>
      <c r="G29" s="199">
        <v>75.78947368421052</v>
      </c>
      <c r="H29" s="699"/>
      <c r="I29" s="534">
        <f t="shared" si="0"/>
        <v>19</v>
      </c>
      <c r="J29" s="534">
        <f t="shared" si="1"/>
        <v>1319.2105263157885</v>
      </c>
      <c r="K29" s="199">
        <f t="shared" si="2"/>
        <v>69.432132963988863</v>
      </c>
      <c r="L29" s="634"/>
      <c r="M29" s="558">
        <f>RANK(K29, K$7:$K$36)</f>
        <v>18</v>
      </c>
      <c r="N29" s="652"/>
      <c r="O29" s="652"/>
      <c r="P29" s="530"/>
      <c r="Q29" s="531"/>
      <c r="R29" s="531"/>
      <c r="S29" s="555"/>
      <c r="T29" s="685"/>
      <c r="U29" s="530"/>
      <c r="V29" s="531"/>
      <c r="W29" s="531"/>
      <c r="X29" s="555"/>
      <c r="Y29" s="685"/>
      <c r="Z29" s="530"/>
      <c r="AA29" s="531"/>
      <c r="AB29" s="531"/>
      <c r="AC29" s="555"/>
      <c r="AD29" s="685"/>
      <c r="AE29" s="530"/>
      <c r="AF29" s="531"/>
      <c r="AG29" s="531"/>
      <c r="AH29" s="555"/>
      <c r="AI29" s="685"/>
      <c r="AJ29" s="530">
        <v>19</v>
      </c>
      <c r="AK29" s="531">
        <v>1326.6666666666656</v>
      </c>
      <c r="AL29" s="531">
        <v>69.82456140350871</v>
      </c>
      <c r="AM29" s="555">
        <f t="shared" si="3"/>
        <v>17</v>
      </c>
      <c r="AN29" s="685"/>
      <c r="AO29" s="530">
        <v>19</v>
      </c>
      <c r="AP29" s="531">
        <v>1302.6315789473674</v>
      </c>
      <c r="AQ29" s="531">
        <v>68.559556786703553</v>
      </c>
      <c r="AR29" s="555">
        <f t="shared" si="4"/>
        <v>20</v>
      </c>
      <c r="AS29" s="685"/>
      <c r="AT29" s="530">
        <v>19</v>
      </c>
      <c r="AU29" s="531">
        <v>1328.3333333333323</v>
      </c>
      <c r="AV29" s="531">
        <v>69.912280701754341</v>
      </c>
      <c r="AW29" s="555">
        <f t="shared" si="5"/>
        <v>18</v>
      </c>
      <c r="AX29" s="685"/>
      <c r="AZ29" s="368" t="e">
        <f t="shared" si="6"/>
        <v>#N/A</v>
      </c>
      <c r="BA29" s="685"/>
    </row>
    <row r="30" spans="2:53">
      <c r="B30" s="660"/>
      <c r="C30" s="530">
        <v>24</v>
      </c>
      <c r="D30" s="201" t="s">
        <v>709</v>
      </c>
      <c r="E30" s="534">
        <v>17</v>
      </c>
      <c r="F30" s="201">
        <v>1440</v>
      </c>
      <c r="G30" s="199">
        <v>84.705882352941174</v>
      </c>
      <c r="H30" s="699"/>
      <c r="I30" s="534">
        <f t="shared" si="0"/>
        <v>17</v>
      </c>
      <c r="J30" s="534">
        <f t="shared" si="1"/>
        <v>1324.1686367218288</v>
      </c>
      <c r="K30" s="199">
        <f t="shared" si="2"/>
        <v>77.892272748342862</v>
      </c>
      <c r="L30" s="634"/>
      <c r="M30" s="558">
        <f>RANK(K30, K$7:$K$36)</f>
        <v>13</v>
      </c>
      <c r="N30" s="652"/>
      <c r="O30" s="652"/>
      <c r="P30" s="530"/>
      <c r="Q30" s="531"/>
      <c r="R30" s="531"/>
      <c r="S30" s="555"/>
      <c r="T30" s="685"/>
      <c r="U30" s="530"/>
      <c r="V30" s="531"/>
      <c r="W30" s="531"/>
      <c r="X30" s="555"/>
      <c r="Y30" s="685"/>
      <c r="Z30" s="530"/>
      <c r="AA30" s="531"/>
      <c r="AB30" s="531"/>
      <c r="AC30" s="555"/>
      <c r="AD30" s="685"/>
      <c r="AE30" s="530"/>
      <c r="AF30" s="531"/>
      <c r="AG30" s="531"/>
      <c r="AH30" s="555"/>
      <c r="AI30" s="685"/>
      <c r="AJ30" s="530">
        <v>17</v>
      </c>
      <c r="AK30" s="531">
        <v>1300.8510638297876</v>
      </c>
      <c r="AL30" s="531">
        <v>76.520650813516909</v>
      </c>
      <c r="AM30" s="555">
        <f t="shared" si="3"/>
        <v>14</v>
      </c>
      <c r="AN30" s="685"/>
      <c r="AO30" s="530">
        <v>17</v>
      </c>
      <c r="AP30" s="531">
        <v>1338.8888888888896</v>
      </c>
      <c r="AQ30" s="531">
        <v>78.758169934640563</v>
      </c>
      <c r="AR30" s="555">
        <f t="shared" si="4"/>
        <v>12</v>
      </c>
      <c r="AS30" s="685"/>
      <c r="AT30" s="530">
        <v>17</v>
      </c>
      <c r="AU30" s="531">
        <v>1332.7659574468087</v>
      </c>
      <c r="AV30" s="531">
        <v>78.397997496871099</v>
      </c>
      <c r="AW30" s="555">
        <f t="shared" si="5"/>
        <v>13</v>
      </c>
      <c r="AX30" s="685"/>
      <c r="AZ30" s="368" t="e">
        <f t="shared" si="6"/>
        <v>#N/A</v>
      </c>
      <c r="BA30" s="685"/>
    </row>
    <row r="31" spans="2:53">
      <c r="B31" s="660"/>
      <c r="C31" s="530">
        <v>25</v>
      </c>
      <c r="D31" s="201"/>
      <c r="E31" s="534"/>
      <c r="F31" s="201"/>
      <c r="G31" s="199"/>
      <c r="H31" s="699"/>
      <c r="I31" s="534" t="str">
        <f t="shared" si="0"/>
        <v>-</v>
      </c>
      <c r="J31" s="534" t="str">
        <f t="shared" si="1"/>
        <v>-</v>
      </c>
      <c r="K31" s="199" t="str">
        <f t="shared" si="2"/>
        <v>-</v>
      </c>
      <c r="L31" s="634"/>
      <c r="M31" s="558" t="e">
        <f>RANK(K31, K$7:$K$36)</f>
        <v>#VALUE!</v>
      </c>
      <c r="N31" s="652"/>
      <c r="O31" s="652"/>
      <c r="P31" s="530"/>
      <c r="Q31" s="531"/>
      <c r="R31" s="531"/>
      <c r="S31" s="555"/>
      <c r="T31" s="685"/>
      <c r="U31" s="530"/>
      <c r="V31" s="531"/>
      <c r="W31" s="531"/>
      <c r="X31" s="555"/>
      <c r="Y31" s="685"/>
      <c r="Z31" s="530"/>
      <c r="AA31" s="531"/>
      <c r="AB31" s="531"/>
      <c r="AC31" s="555"/>
      <c r="AD31" s="685"/>
      <c r="AE31" s="530"/>
      <c r="AF31" s="531"/>
      <c r="AG31" s="531"/>
      <c r="AH31" s="555"/>
      <c r="AI31" s="685"/>
      <c r="AJ31" s="530" t="s">
        <v>585</v>
      </c>
      <c r="AK31" s="531" t="s">
        <v>585</v>
      </c>
      <c r="AL31" s="531" t="s">
        <v>585</v>
      </c>
      <c r="AM31" s="555" t="e">
        <f t="shared" si="3"/>
        <v>#VALUE!</v>
      </c>
      <c r="AN31" s="685"/>
      <c r="AO31" s="530" t="s">
        <v>585</v>
      </c>
      <c r="AP31" s="531" t="s">
        <v>585</v>
      </c>
      <c r="AQ31" s="531" t="s">
        <v>585</v>
      </c>
      <c r="AR31" s="555" t="e">
        <f t="shared" si="4"/>
        <v>#VALUE!</v>
      </c>
      <c r="AS31" s="685"/>
      <c r="AT31" s="530" t="s">
        <v>585</v>
      </c>
      <c r="AU31" s="531" t="s">
        <v>585</v>
      </c>
      <c r="AV31" s="531" t="s">
        <v>585</v>
      </c>
      <c r="AW31" s="555" t="e">
        <f t="shared" si="5"/>
        <v>#VALUE!</v>
      </c>
      <c r="AX31" s="685"/>
      <c r="AZ31" s="368" t="e">
        <f t="shared" si="6"/>
        <v>#N/A</v>
      </c>
      <c r="BA31" s="685"/>
    </row>
    <row r="32" spans="2:53">
      <c r="B32" s="660"/>
      <c r="C32" s="530">
        <v>26</v>
      </c>
      <c r="D32" s="201"/>
      <c r="E32" s="534"/>
      <c r="F32" s="201"/>
      <c r="G32" s="199"/>
      <c r="H32" s="699"/>
      <c r="I32" s="534" t="str">
        <f t="shared" si="0"/>
        <v>-</v>
      </c>
      <c r="J32" s="534" t="str">
        <f t="shared" si="1"/>
        <v>-</v>
      </c>
      <c r="K32" s="199" t="str">
        <f t="shared" si="2"/>
        <v>-</v>
      </c>
      <c r="L32" s="634"/>
      <c r="M32" s="558" t="e">
        <f>RANK(K32, K$7:$K$36)</f>
        <v>#VALUE!</v>
      </c>
      <c r="N32" s="652"/>
      <c r="O32" s="652"/>
      <c r="P32" s="530"/>
      <c r="Q32" s="531"/>
      <c r="R32" s="531"/>
      <c r="S32" s="555"/>
      <c r="T32" s="685"/>
      <c r="U32" s="530"/>
      <c r="V32" s="531"/>
      <c r="W32" s="531"/>
      <c r="X32" s="555"/>
      <c r="Y32" s="685"/>
      <c r="Z32" s="530"/>
      <c r="AA32" s="531"/>
      <c r="AB32" s="531"/>
      <c r="AC32" s="555"/>
      <c r="AD32" s="685"/>
      <c r="AE32" s="530"/>
      <c r="AF32" s="531"/>
      <c r="AG32" s="531"/>
      <c r="AH32" s="555"/>
      <c r="AI32" s="685"/>
      <c r="AJ32" s="530" t="s">
        <v>585</v>
      </c>
      <c r="AK32" s="531" t="s">
        <v>585</v>
      </c>
      <c r="AL32" s="531" t="s">
        <v>585</v>
      </c>
      <c r="AM32" s="555" t="e">
        <f t="shared" si="3"/>
        <v>#VALUE!</v>
      </c>
      <c r="AN32" s="685"/>
      <c r="AO32" s="530" t="s">
        <v>585</v>
      </c>
      <c r="AP32" s="531" t="s">
        <v>585</v>
      </c>
      <c r="AQ32" s="531" t="s">
        <v>585</v>
      </c>
      <c r="AR32" s="555" t="e">
        <f t="shared" si="4"/>
        <v>#VALUE!</v>
      </c>
      <c r="AS32" s="685"/>
      <c r="AT32" s="530" t="s">
        <v>585</v>
      </c>
      <c r="AU32" s="531" t="s">
        <v>585</v>
      </c>
      <c r="AV32" s="531" t="s">
        <v>585</v>
      </c>
      <c r="AW32" s="555" t="e">
        <f t="shared" si="5"/>
        <v>#VALUE!</v>
      </c>
      <c r="AX32" s="685"/>
      <c r="AZ32" s="368" t="e">
        <f t="shared" si="6"/>
        <v>#N/A</v>
      </c>
      <c r="BA32" s="685"/>
    </row>
    <row r="33" spans="2:53">
      <c r="B33" s="660"/>
      <c r="C33" s="530">
        <v>27</v>
      </c>
      <c r="D33" s="201"/>
      <c r="E33" s="534"/>
      <c r="F33" s="201"/>
      <c r="G33" s="199"/>
      <c r="H33" s="699"/>
      <c r="I33" s="534" t="str">
        <f t="shared" si="0"/>
        <v>-</v>
      </c>
      <c r="J33" s="534" t="str">
        <f t="shared" si="1"/>
        <v>-</v>
      </c>
      <c r="K33" s="199" t="str">
        <f t="shared" si="2"/>
        <v>-</v>
      </c>
      <c r="L33" s="634"/>
      <c r="M33" s="558" t="e">
        <f>RANK(K33, K$7:$K$36)</f>
        <v>#VALUE!</v>
      </c>
      <c r="N33" s="652"/>
      <c r="O33" s="652"/>
      <c r="P33" s="530"/>
      <c r="Q33" s="531"/>
      <c r="R33" s="531"/>
      <c r="S33" s="555"/>
      <c r="T33" s="685"/>
      <c r="U33" s="530"/>
      <c r="V33" s="531"/>
      <c r="W33" s="531"/>
      <c r="X33" s="555"/>
      <c r="Y33" s="685"/>
      <c r="Z33" s="530"/>
      <c r="AA33" s="531"/>
      <c r="AB33" s="531"/>
      <c r="AC33" s="555"/>
      <c r="AD33" s="685"/>
      <c r="AE33" s="530"/>
      <c r="AF33" s="531"/>
      <c r="AG33" s="531"/>
      <c r="AH33" s="555"/>
      <c r="AI33" s="685"/>
      <c r="AJ33" s="530" t="s">
        <v>585</v>
      </c>
      <c r="AK33" s="531" t="s">
        <v>585</v>
      </c>
      <c r="AL33" s="531" t="s">
        <v>585</v>
      </c>
      <c r="AM33" s="555" t="e">
        <f t="shared" si="3"/>
        <v>#VALUE!</v>
      </c>
      <c r="AN33" s="685"/>
      <c r="AO33" s="530" t="s">
        <v>585</v>
      </c>
      <c r="AP33" s="531" t="s">
        <v>585</v>
      </c>
      <c r="AQ33" s="531" t="s">
        <v>585</v>
      </c>
      <c r="AR33" s="555" t="e">
        <f t="shared" si="4"/>
        <v>#VALUE!</v>
      </c>
      <c r="AS33" s="685"/>
      <c r="AT33" s="530" t="s">
        <v>585</v>
      </c>
      <c r="AU33" s="531" t="s">
        <v>585</v>
      </c>
      <c r="AV33" s="531" t="s">
        <v>585</v>
      </c>
      <c r="AW33" s="555" t="e">
        <f t="shared" si="5"/>
        <v>#VALUE!</v>
      </c>
      <c r="AX33" s="685"/>
      <c r="AZ33" s="368" t="e">
        <f t="shared" si="6"/>
        <v>#N/A</v>
      </c>
      <c r="BA33" s="685"/>
    </row>
    <row r="34" spans="2:53">
      <c r="B34" s="660"/>
      <c r="C34" s="530">
        <v>28</v>
      </c>
      <c r="D34" s="201"/>
      <c r="E34" s="534"/>
      <c r="F34" s="201"/>
      <c r="G34" s="199"/>
      <c r="H34" s="699"/>
      <c r="I34" s="534" t="str">
        <f t="shared" si="0"/>
        <v>-</v>
      </c>
      <c r="J34" s="534" t="str">
        <f t="shared" si="1"/>
        <v>-</v>
      </c>
      <c r="K34" s="199" t="str">
        <f t="shared" si="2"/>
        <v>-</v>
      </c>
      <c r="L34" s="634"/>
      <c r="M34" s="558" t="e">
        <f>RANK(K34, K$7:$K$36)</f>
        <v>#VALUE!</v>
      </c>
      <c r="N34" s="652"/>
      <c r="O34" s="652"/>
      <c r="P34" s="530"/>
      <c r="Q34" s="531"/>
      <c r="R34" s="531"/>
      <c r="S34" s="555"/>
      <c r="T34" s="685"/>
      <c r="U34" s="530"/>
      <c r="V34" s="531"/>
      <c r="W34" s="531"/>
      <c r="X34" s="555"/>
      <c r="Y34" s="685"/>
      <c r="Z34" s="530"/>
      <c r="AA34" s="531"/>
      <c r="AB34" s="531"/>
      <c r="AC34" s="555"/>
      <c r="AD34" s="685"/>
      <c r="AE34" s="530"/>
      <c r="AF34" s="531"/>
      <c r="AG34" s="531"/>
      <c r="AH34" s="555"/>
      <c r="AI34" s="685"/>
      <c r="AJ34" s="530" t="s">
        <v>585</v>
      </c>
      <c r="AK34" s="531" t="s">
        <v>585</v>
      </c>
      <c r="AL34" s="531" t="s">
        <v>585</v>
      </c>
      <c r="AM34" s="555" t="e">
        <f t="shared" si="3"/>
        <v>#VALUE!</v>
      </c>
      <c r="AN34" s="685"/>
      <c r="AO34" s="530" t="s">
        <v>585</v>
      </c>
      <c r="AP34" s="531" t="s">
        <v>585</v>
      </c>
      <c r="AQ34" s="531" t="s">
        <v>585</v>
      </c>
      <c r="AR34" s="555" t="e">
        <f t="shared" si="4"/>
        <v>#VALUE!</v>
      </c>
      <c r="AS34" s="685"/>
      <c r="AT34" s="530" t="s">
        <v>585</v>
      </c>
      <c r="AU34" s="531" t="s">
        <v>585</v>
      </c>
      <c r="AV34" s="531" t="s">
        <v>585</v>
      </c>
      <c r="AW34" s="555" t="e">
        <f t="shared" si="5"/>
        <v>#VALUE!</v>
      </c>
      <c r="AX34" s="685"/>
      <c r="AZ34" s="368" t="e">
        <f t="shared" si="6"/>
        <v>#N/A</v>
      </c>
      <c r="BA34" s="685"/>
    </row>
    <row r="35" spans="2:53">
      <c r="B35" s="660"/>
      <c r="C35" s="530">
        <v>29</v>
      </c>
      <c r="D35" s="201"/>
      <c r="E35" s="534"/>
      <c r="F35" s="201"/>
      <c r="G35" s="199"/>
      <c r="H35" s="699"/>
      <c r="I35" s="534" t="str">
        <f t="shared" si="0"/>
        <v>-</v>
      </c>
      <c r="J35" s="534" t="str">
        <f t="shared" si="1"/>
        <v>-</v>
      </c>
      <c r="K35" s="199" t="str">
        <f t="shared" si="2"/>
        <v>-</v>
      </c>
      <c r="L35" s="634"/>
      <c r="M35" s="558" t="e">
        <f>RANK(K35, K$7:$K$36)</f>
        <v>#VALUE!</v>
      </c>
      <c r="N35" s="652"/>
      <c r="O35" s="652"/>
      <c r="P35" s="530"/>
      <c r="Q35" s="531"/>
      <c r="R35" s="531"/>
      <c r="S35" s="555"/>
      <c r="T35" s="685"/>
      <c r="U35" s="530"/>
      <c r="V35" s="531"/>
      <c r="W35" s="531"/>
      <c r="X35" s="555"/>
      <c r="Y35" s="685"/>
      <c r="Z35" s="530"/>
      <c r="AA35" s="531"/>
      <c r="AB35" s="531"/>
      <c r="AC35" s="555"/>
      <c r="AD35" s="685"/>
      <c r="AE35" s="530"/>
      <c r="AF35" s="531"/>
      <c r="AG35" s="531"/>
      <c r="AH35" s="555"/>
      <c r="AI35" s="685"/>
      <c r="AJ35" s="530" t="s">
        <v>585</v>
      </c>
      <c r="AK35" s="531" t="s">
        <v>585</v>
      </c>
      <c r="AL35" s="531" t="s">
        <v>585</v>
      </c>
      <c r="AM35" s="555" t="e">
        <f t="shared" si="3"/>
        <v>#VALUE!</v>
      </c>
      <c r="AN35" s="685"/>
      <c r="AO35" s="530" t="s">
        <v>585</v>
      </c>
      <c r="AP35" s="531" t="s">
        <v>585</v>
      </c>
      <c r="AQ35" s="531" t="s">
        <v>585</v>
      </c>
      <c r="AR35" s="555" t="e">
        <f t="shared" si="4"/>
        <v>#VALUE!</v>
      </c>
      <c r="AS35" s="685"/>
      <c r="AT35" s="530" t="s">
        <v>585</v>
      </c>
      <c r="AU35" s="531" t="s">
        <v>585</v>
      </c>
      <c r="AV35" s="531" t="s">
        <v>585</v>
      </c>
      <c r="AW35" s="555" t="e">
        <f t="shared" si="5"/>
        <v>#VALUE!</v>
      </c>
      <c r="AX35" s="685"/>
      <c r="AZ35" s="368" t="e">
        <f t="shared" si="6"/>
        <v>#N/A</v>
      </c>
      <c r="BA35" s="685"/>
    </row>
    <row r="36" spans="2:53">
      <c r="B36" s="660"/>
      <c r="C36" s="530">
        <v>30</v>
      </c>
      <c r="D36" s="201"/>
      <c r="E36" s="534"/>
      <c r="F36" s="201"/>
      <c r="G36" s="199"/>
      <c r="H36" s="700"/>
      <c r="I36" s="534" t="str">
        <f t="shared" si="0"/>
        <v>-</v>
      </c>
      <c r="J36" s="534" t="str">
        <f t="shared" si="1"/>
        <v>-</v>
      </c>
      <c r="K36" s="199" t="str">
        <f t="shared" si="2"/>
        <v>-</v>
      </c>
      <c r="L36" s="635"/>
      <c r="M36" s="558" t="e">
        <f>RANK(K36, K$7:$K$36)</f>
        <v>#VALUE!</v>
      </c>
      <c r="N36" s="652"/>
      <c r="O36" s="652"/>
      <c r="P36" s="530"/>
      <c r="Q36" s="531"/>
      <c r="R36" s="531"/>
      <c r="S36" s="555"/>
      <c r="T36" s="685"/>
      <c r="U36" s="530"/>
      <c r="V36" s="531"/>
      <c r="W36" s="531"/>
      <c r="X36" s="555"/>
      <c r="Y36" s="685"/>
      <c r="Z36" s="530"/>
      <c r="AA36" s="531"/>
      <c r="AB36" s="531"/>
      <c r="AC36" s="555"/>
      <c r="AD36" s="685"/>
      <c r="AE36" s="530"/>
      <c r="AF36" s="531"/>
      <c r="AG36" s="531"/>
      <c r="AH36" s="555"/>
      <c r="AI36" s="685"/>
      <c r="AJ36" s="530" t="s">
        <v>585</v>
      </c>
      <c r="AK36" s="531" t="s">
        <v>585</v>
      </c>
      <c r="AL36" s="531" t="s">
        <v>585</v>
      </c>
      <c r="AM36" s="555" t="e">
        <f t="shared" si="3"/>
        <v>#VALUE!</v>
      </c>
      <c r="AN36" s="685"/>
      <c r="AO36" s="530" t="s">
        <v>585</v>
      </c>
      <c r="AP36" s="531" t="s">
        <v>585</v>
      </c>
      <c r="AQ36" s="531" t="s">
        <v>585</v>
      </c>
      <c r="AR36" s="555" t="e">
        <f t="shared" si="4"/>
        <v>#VALUE!</v>
      </c>
      <c r="AS36" s="685"/>
      <c r="AT36" s="530" t="s">
        <v>585</v>
      </c>
      <c r="AU36" s="531" t="s">
        <v>585</v>
      </c>
      <c r="AV36" s="531" t="s">
        <v>585</v>
      </c>
      <c r="AW36" s="555" t="e">
        <f t="shared" si="5"/>
        <v>#VALUE!</v>
      </c>
      <c r="AX36" s="685"/>
      <c r="AZ36" s="368" t="e">
        <f t="shared" si="6"/>
        <v>#N/A</v>
      </c>
      <c r="BA36" s="685"/>
    </row>
    <row r="37" spans="2:53" ht="15.75">
      <c r="B37" s="677" t="s">
        <v>162</v>
      </c>
      <c r="C37" s="678"/>
      <c r="D37" s="678"/>
      <c r="E37" s="678"/>
      <c r="F37" s="678"/>
      <c r="G37" s="678"/>
      <c r="H37" s="678"/>
      <c r="I37" s="202"/>
      <c r="J37" s="202"/>
      <c r="K37" s="202"/>
      <c r="L37" s="202"/>
      <c r="M37" s="203"/>
      <c r="N37" s="653" t="s">
        <v>156</v>
      </c>
      <c r="O37" s="653" t="s">
        <v>105</v>
      </c>
      <c r="P37" s="659">
        <f>AT2+1</f>
        <v>46238</v>
      </c>
      <c r="Q37" s="660"/>
      <c r="R37" s="660"/>
      <c r="S37" s="660"/>
      <c r="T37" s="660"/>
      <c r="U37" s="659">
        <f>P37+1</f>
        <v>46239</v>
      </c>
      <c r="V37" s="660"/>
      <c r="W37" s="660"/>
      <c r="X37" s="660"/>
      <c r="Y37" s="660"/>
      <c r="Z37" s="659">
        <f>U37+1</f>
        <v>46240</v>
      </c>
      <c r="AA37" s="660"/>
      <c r="AB37" s="660"/>
      <c r="AC37" s="660"/>
      <c r="AD37" s="660"/>
      <c r="AE37" s="659">
        <f>Z37+1</f>
        <v>46241</v>
      </c>
      <c r="AF37" s="660"/>
      <c r="AG37" s="660"/>
      <c r="AH37" s="660"/>
      <c r="AI37" s="660"/>
      <c r="AJ37" s="659">
        <f>AE37+1</f>
        <v>46242</v>
      </c>
      <c r="AK37" s="660"/>
      <c r="AL37" s="660"/>
      <c r="AM37" s="660"/>
      <c r="AN37" s="660"/>
      <c r="AO37" s="659">
        <f>AJ37+1</f>
        <v>46243</v>
      </c>
      <c r="AP37" s="660"/>
      <c r="AQ37" s="660"/>
      <c r="AR37" s="660"/>
      <c r="AS37" s="660"/>
      <c r="AT37" s="659">
        <f>AO37+1</f>
        <v>46244</v>
      </c>
      <c r="AU37" s="660"/>
      <c r="AV37" s="660"/>
      <c r="AW37" s="660"/>
      <c r="AX37" s="660"/>
    </row>
    <row r="38" spans="2:53" ht="15.75">
      <c r="B38" s="667"/>
      <c r="C38" s="667"/>
      <c r="D38" s="667"/>
      <c r="E38" s="667"/>
      <c r="F38" s="667"/>
      <c r="G38" s="667"/>
      <c r="H38" s="667"/>
      <c r="I38" s="204"/>
      <c r="J38" s="204"/>
      <c r="K38" s="204"/>
      <c r="L38" s="204"/>
      <c r="M38" s="205"/>
      <c r="N38" s="655"/>
      <c r="O38" s="655"/>
      <c r="P38" s="659" t="s">
        <v>317</v>
      </c>
      <c r="Q38" s="660"/>
      <c r="R38" s="660"/>
      <c r="S38" s="660"/>
      <c r="T38" s="660"/>
      <c r="U38" s="659" t="s">
        <v>318</v>
      </c>
      <c r="V38" s="660"/>
      <c r="W38" s="660"/>
      <c r="X38" s="660"/>
      <c r="Y38" s="660"/>
      <c r="Z38" s="659" t="s">
        <v>319</v>
      </c>
      <c r="AA38" s="660"/>
      <c r="AB38" s="660"/>
      <c r="AC38" s="660"/>
      <c r="AD38" s="660"/>
      <c r="AE38" s="659" t="s">
        <v>320</v>
      </c>
      <c r="AF38" s="660"/>
      <c r="AG38" s="660"/>
      <c r="AH38" s="660"/>
      <c r="AI38" s="660"/>
      <c r="AJ38" s="659" t="s">
        <v>321</v>
      </c>
      <c r="AK38" s="660"/>
      <c r="AL38" s="660"/>
      <c r="AM38" s="660"/>
      <c r="AN38" s="660"/>
      <c r="AO38" s="659" t="s">
        <v>322</v>
      </c>
      <c r="AP38" s="660"/>
      <c r="AQ38" s="660"/>
      <c r="AR38" s="660"/>
      <c r="AS38" s="660"/>
      <c r="AT38" s="659" t="s">
        <v>323</v>
      </c>
      <c r="AU38" s="660"/>
      <c r="AV38" s="660"/>
      <c r="AW38" s="660"/>
      <c r="AX38" s="660"/>
    </row>
    <row r="39" spans="2:53">
      <c r="B39" s="652" t="s">
        <v>407</v>
      </c>
      <c r="C39" s="652" t="s">
        <v>408</v>
      </c>
      <c r="D39" s="652"/>
      <c r="E39" s="652" t="s">
        <v>409</v>
      </c>
      <c r="F39" s="652"/>
      <c r="G39" s="652"/>
      <c r="H39" s="668" t="s">
        <v>410</v>
      </c>
      <c r="I39" s="636" t="s">
        <v>411</v>
      </c>
      <c r="J39" s="636"/>
      <c r="K39" s="636"/>
      <c r="L39" s="637" t="s">
        <v>410</v>
      </c>
      <c r="M39" s="643" t="s">
        <v>412</v>
      </c>
      <c r="N39" s="652"/>
      <c r="O39" s="652" t="s">
        <v>413</v>
      </c>
      <c r="P39" s="649" t="s">
        <v>414</v>
      </c>
      <c r="Q39" s="650"/>
      <c r="R39" s="650"/>
      <c r="S39" s="651"/>
      <c r="T39" s="652" t="s">
        <v>410</v>
      </c>
      <c r="U39" s="649" t="s">
        <v>414</v>
      </c>
      <c r="V39" s="650"/>
      <c r="W39" s="650"/>
      <c r="X39" s="651"/>
      <c r="Y39" s="652" t="s">
        <v>410</v>
      </c>
      <c r="Z39" s="649" t="s">
        <v>414</v>
      </c>
      <c r="AA39" s="650"/>
      <c r="AB39" s="650"/>
      <c r="AC39" s="651"/>
      <c r="AD39" s="652" t="s">
        <v>410</v>
      </c>
      <c r="AE39" s="649" t="s">
        <v>414</v>
      </c>
      <c r="AF39" s="650"/>
      <c r="AG39" s="650"/>
      <c r="AH39" s="651"/>
      <c r="AI39" s="652" t="s">
        <v>410</v>
      </c>
      <c r="AJ39" s="649" t="s">
        <v>414</v>
      </c>
      <c r="AK39" s="650"/>
      <c r="AL39" s="650"/>
      <c r="AM39" s="651"/>
      <c r="AN39" s="652" t="s">
        <v>410</v>
      </c>
      <c r="AO39" s="649" t="s">
        <v>414</v>
      </c>
      <c r="AP39" s="650"/>
      <c r="AQ39" s="650"/>
      <c r="AR39" s="651"/>
      <c r="AS39" s="652" t="s">
        <v>410</v>
      </c>
      <c r="AT39" s="649" t="s">
        <v>414</v>
      </c>
      <c r="AU39" s="650"/>
      <c r="AV39" s="650"/>
      <c r="AW39" s="651"/>
      <c r="AX39" s="652" t="s">
        <v>410</v>
      </c>
      <c r="BA39" s="652" t="s">
        <v>366</v>
      </c>
    </row>
    <row r="40" spans="2:53">
      <c r="B40" s="652"/>
      <c r="C40" s="652"/>
      <c r="D40" s="652"/>
      <c r="E40" s="652" t="s">
        <v>415</v>
      </c>
      <c r="F40" s="652"/>
      <c r="G40" s="652"/>
      <c r="H40" s="669"/>
      <c r="I40" s="636" t="s">
        <v>415</v>
      </c>
      <c r="J40" s="636"/>
      <c r="K40" s="636"/>
      <c r="L40" s="638"/>
      <c r="M40" s="644"/>
      <c r="N40" s="652"/>
      <c r="O40" s="652"/>
      <c r="P40" s="649" t="s">
        <v>416</v>
      </c>
      <c r="Q40" s="650"/>
      <c r="R40" s="650"/>
      <c r="S40" s="651"/>
      <c r="T40" s="652"/>
      <c r="U40" s="649" t="s">
        <v>416</v>
      </c>
      <c r="V40" s="650"/>
      <c r="W40" s="650"/>
      <c r="X40" s="651"/>
      <c r="Y40" s="652"/>
      <c r="Z40" s="649" t="s">
        <v>416</v>
      </c>
      <c r="AA40" s="650"/>
      <c r="AB40" s="650"/>
      <c r="AC40" s="651"/>
      <c r="AD40" s="652"/>
      <c r="AE40" s="649" t="s">
        <v>416</v>
      </c>
      <c r="AF40" s="650"/>
      <c r="AG40" s="650"/>
      <c r="AH40" s="651"/>
      <c r="AI40" s="652"/>
      <c r="AJ40" s="649" t="s">
        <v>416</v>
      </c>
      <c r="AK40" s="650"/>
      <c r="AL40" s="650"/>
      <c r="AM40" s="651"/>
      <c r="AN40" s="652"/>
      <c r="AO40" s="649" t="s">
        <v>416</v>
      </c>
      <c r="AP40" s="650"/>
      <c r="AQ40" s="650"/>
      <c r="AR40" s="651"/>
      <c r="AS40" s="652"/>
      <c r="AT40" s="649" t="s">
        <v>416</v>
      </c>
      <c r="AU40" s="650"/>
      <c r="AV40" s="650"/>
      <c r="AW40" s="651"/>
      <c r="AX40" s="652"/>
      <c r="BA40" s="652"/>
    </row>
    <row r="41" spans="2:53">
      <c r="B41" s="652"/>
      <c r="C41" s="652"/>
      <c r="D41" s="652"/>
      <c r="E41" s="282" t="s">
        <v>417</v>
      </c>
      <c r="F41" s="282" t="s">
        <v>418</v>
      </c>
      <c r="G41" s="282" t="s">
        <v>419</v>
      </c>
      <c r="H41" s="670"/>
      <c r="I41" s="281" t="s">
        <v>417</v>
      </c>
      <c r="J41" s="281" t="s">
        <v>418</v>
      </c>
      <c r="K41" s="281" t="s">
        <v>419</v>
      </c>
      <c r="L41" s="639"/>
      <c r="M41" s="645"/>
      <c r="N41" s="652"/>
      <c r="O41" s="652"/>
      <c r="P41" s="282" t="s">
        <v>417</v>
      </c>
      <c r="Q41" s="282" t="s">
        <v>418</v>
      </c>
      <c r="R41" s="282" t="s">
        <v>419</v>
      </c>
      <c r="S41" s="282" t="s">
        <v>412</v>
      </c>
      <c r="T41" s="652"/>
      <c r="U41" s="282" t="s">
        <v>417</v>
      </c>
      <c r="V41" s="282" t="s">
        <v>418</v>
      </c>
      <c r="W41" s="282" t="s">
        <v>419</v>
      </c>
      <c r="X41" s="282" t="s">
        <v>412</v>
      </c>
      <c r="Y41" s="652"/>
      <c r="Z41" s="282" t="s">
        <v>417</v>
      </c>
      <c r="AA41" s="282" t="s">
        <v>418</v>
      </c>
      <c r="AB41" s="282" t="s">
        <v>419</v>
      </c>
      <c r="AC41" s="282" t="s">
        <v>412</v>
      </c>
      <c r="AD41" s="652"/>
      <c r="AE41" s="282" t="s">
        <v>417</v>
      </c>
      <c r="AF41" s="282" t="s">
        <v>418</v>
      </c>
      <c r="AG41" s="282" t="s">
        <v>419</v>
      </c>
      <c r="AH41" s="282" t="s">
        <v>412</v>
      </c>
      <c r="AI41" s="652"/>
      <c r="AJ41" s="282" t="s">
        <v>417</v>
      </c>
      <c r="AK41" s="282" t="s">
        <v>418</v>
      </c>
      <c r="AL41" s="282" t="s">
        <v>419</v>
      </c>
      <c r="AM41" s="282" t="s">
        <v>412</v>
      </c>
      <c r="AN41" s="652"/>
      <c r="AO41" s="282" t="s">
        <v>417</v>
      </c>
      <c r="AP41" s="282" t="s">
        <v>418</v>
      </c>
      <c r="AQ41" s="282" t="s">
        <v>419</v>
      </c>
      <c r="AR41" s="282" t="s">
        <v>412</v>
      </c>
      <c r="AS41" s="652"/>
      <c r="AT41" s="282" t="s">
        <v>417</v>
      </c>
      <c r="AU41" s="282" t="s">
        <v>418</v>
      </c>
      <c r="AV41" s="282" t="s">
        <v>419</v>
      </c>
      <c r="AW41" s="282" t="s">
        <v>412</v>
      </c>
      <c r="AX41" s="652"/>
      <c r="AZ41" s="367" t="s">
        <v>367</v>
      </c>
      <c r="BA41" s="652"/>
    </row>
    <row r="42" spans="2:53">
      <c r="B42" s="652" t="s">
        <v>420</v>
      </c>
      <c r="C42" s="283">
        <v>1</v>
      </c>
      <c r="D42" s="201" t="s">
        <v>342</v>
      </c>
      <c r="E42" s="534">
        <v>6</v>
      </c>
      <c r="F42" s="201">
        <v>1500</v>
      </c>
      <c r="G42" s="199">
        <v>250</v>
      </c>
      <c r="H42" s="698">
        <f>AVERAGE(G42:G71)</f>
        <v>100.76696400416888</v>
      </c>
      <c r="I42" s="363">
        <f>IFERROR(AVERAGE(P42,U42,Z42,AE42,AJ42,AO42,AT42),"-")</f>
        <v>6</v>
      </c>
      <c r="J42" s="363">
        <f>IFERROR(AVERAGE(Q42,V42,AA42,AF42,AK42,AP42,AU42),"-")</f>
        <v>1479.8465960748483</v>
      </c>
      <c r="K42" s="199">
        <f>IFERROR(AVERAGE(R42,W42,AB42,AG42,AL42,AQ42,AV42),"-")</f>
        <v>246.64109934580807</v>
      </c>
      <c r="L42" s="633">
        <f>IFERROR(AVERAGE(K42:K71),"-")</f>
        <v>91.721727669507132</v>
      </c>
      <c r="M42" s="200">
        <f>RANK(K42, K$42:$K$71)</f>
        <v>1</v>
      </c>
      <c r="N42" s="652"/>
      <c r="O42" s="652"/>
      <c r="P42" s="552">
        <v>6</v>
      </c>
      <c r="Q42" s="553">
        <v>1446.1000000000004</v>
      </c>
      <c r="R42" s="553">
        <v>241.01666666666674</v>
      </c>
      <c r="S42" s="552">
        <f t="shared" ref="S42:S71" si="7">RANK(R42, R$42:R$71)</f>
        <v>1</v>
      </c>
      <c r="T42" s="685">
        <f>AVERAGE(R42:R71)</f>
        <v>89.626547517645477</v>
      </c>
      <c r="U42" s="552">
        <v>6</v>
      </c>
      <c r="V42" s="553">
        <v>1438.0604651162787</v>
      </c>
      <c r="W42" s="553">
        <v>239.67674418604645</v>
      </c>
      <c r="X42" s="552">
        <f t="shared" ref="X42:X71" si="8">RANK(W42, W$42:W$71)</f>
        <v>2</v>
      </c>
      <c r="Y42" s="685">
        <f>AVERAGE(W42:W71)</f>
        <v>90.128014949591758</v>
      </c>
      <c r="Z42" s="552">
        <v>6</v>
      </c>
      <c r="AA42" s="553">
        <v>1498.0078431372547</v>
      </c>
      <c r="AB42" s="553">
        <v>249.6679738562091</v>
      </c>
      <c r="AC42" s="552">
        <f t="shared" ref="AC42:AC71" si="9">RANK(AB42, AB$42:AB$71)</f>
        <v>1</v>
      </c>
      <c r="AD42" s="685">
        <f>AVERAGE(AB42:AB71)</f>
        <v>92.536779229472074</v>
      </c>
      <c r="AE42" s="552">
        <v>6</v>
      </c>
      <c r="AF42" s="553">
        <v>1491.2083333333335</v>
      </c>
      <c r="AG42" s="553">
        <v>248.53472222222226</v>
      </c>
      <c r="AH42" s="552">
        <f t="shared" ref="AH42:AH71" si="10">RANK(AG42, AG$42:AG$71)</f>
        <v>1</v>
      </c>
      <c r="AI42" s="685">
        <f>AVERAGE(AG42:AG71)</f>
        <v>91.906070108642041</v>
      </c>
      <c r="AJ42" s="552">
        <v>6</v>
      </c>
      <c r="AK42" s="553">
        <v>1499.2</v>
      </c>
      <c r="AL42" s="553">
        <v>249.86666666666667</v>
      </c>
      <c r="AM42" s="552">
        <f t="shared" ref="AM42:AM71" si="11">RANK(AL42, AL$42:AL$71)</f>
        <v>1</v>
      </c>
      <c r="AN42" s="685">
        <f>AVERAGE(AL42:AL71)</f>
        <v>92.488628079025077</v>
      </c>
      <c r="AO42" s="552">
        <v>6</v>
      </c>
      <c r="AP42" s="553">
        <v>1495.4212290502794</v>
      </c>
      <c r="AQ42" s="553">
        <v>249.23687150837989</v>
      </c>
      <c r="AR42" s="552">
        <f t="shared" ref="AR42:AR71" si="12">RANK(AQ42, AQ$42:AQ$71)</f>
        <v>2</v>
      </c>
      <c r="AS42" s="685">
        <f>AVERAGE(AQ42:AQ71)</f>
        <v>92.829427834665594</v>
      </c>
      <c r="AT42" s="552">
        <v>6</v>
      </c>
      <c r="AU42" s="553">
        <v>1490.9283018867925</v>
      </c>
      <c r="AV42" s="553">
        <v>248.48805031446543</v>
      </c>
      <c r="AW42" s="552">
        <f t="shared" ref="AW42:AW71" si="13">RANK(AV42, AV$42:AV$71)</f>
        <v>2</v>
      </c>
      <c r="AX42" s="685">
        <f>AVERAGE(AV42:AV71)</f>
        <v>92.53662596750803</v>
      </c>
      <c r="AZ42" s="368" t="e">
        <f t="shared" ref="AZ42:AZ71" si="14">RANK(AY42, AY$42:AY$71)</f>
        <v>#N/A</v>
      </c>
      <c r="BA42" s="685" t="e">
        <f>AVERAGE(AY42:AY71)</f>
        <v>#DIV/0!</v>
      </c>
    </row>
    <row r="43" spans="2:53">
      <c r="B43" s="660"/>
      <c r="C43" s="283">
        <v>2</v>
      </c>
      <c r="D43" s="201" t="s">
        <v>586</v>
      </c>
      <c r="E43" s="534">
        <v>6</v>
      </c>
      <c r="F43" s="201">
        <v>1636</v>
      </c>
      <c r="G43" s="199">
        <v>272.66666666666669</v>
      </c>
      <c r="H43" s="699"/>
      <c r="I43" s="363">
        <f t="shared" ref="I43:I71" si="15">IFERROR(AVERAGE(P43,U43,Z43,AE43,AJ43,AO43,AT43),"-")</f>
        <v>6</v>
      </c>
      <c r="J43" s="363">
        <f t="shared" ref="J43:J71" si="16">IFERROR(AVERAGE(Q43,V43,AA43,AF43,AK43,AP43,AU43),"-")</f>
        <v>1478.0354928527727</v>
      </c>
      <c r="K43" s="199">
        <f t="shared" ref="K43:K71" si="17">IFERROR(AVERAGE(R43,W43,AB43,AG43,AL43,AQ43,AV43),"-")</f>
        <v>246.33924880879539</v>
      </c>
      <c r="L43" s="634"/>
      <c r="M43" s="200">
        <f>RANK(K43, K$42:$K$71)</f>
        <v>2</v>
      </c>
      <c r="N43" s="652"/>
      <c r="O43" s="652"/>
      <c r="P43" s="552">
        <v>6</v>
      </c>
      <c r="Q43" s="553">
        <v>1433.7313432835822</v>
      </c>
      <c r="R43" s="553">
        <v>238.95522388059703</v>
      </c>
      <c r="S43" s="552">
        <f t="shared" si="7"/>
        <v>2</v>
      </c>
      <c r="T43" s="685"/>
      <c r="U43" s="552">
        <v>6</v>
      </c>
      <c r="V43" s="553">
        <v>1457.6470588235293</v>
      </c>
      <c r="W43" s="553">
        <v>242.9411764705882</v>
      </c>
      <c r="X43" s="552">
        <f t="shared" si="8"/>
        <v>1</v>
      </c>
      <c r="Y43" s="685"/>
      <c r="Z43" s="552">
        <v>6</v>
      </c>
      <c r="AA43" s="553">
        <v>1495.3124999999995</v>
      </c>
      <c r="AB43" s="553">
        <v>249.21874999999991</v>
      </c>
      <c r="AC43" s="552">
        <f t="shared" si="9"/>
        <v>2</v>
      </c>
      <c r="AD43" s="685"/>
      <c r="AE43" s="552">
        <v>6</v>
      </c>
      <c r="AF43" s="553">
        <v>1485.2830188679252</v>
      </c>
      <c r="AG43" s="553">
        <v>247.54716981132086</v>
      </c>
      <c r="AH43" s="552">
        <f t="shared" si="10"/>
        <v>2</v>
      </c>
      <c r="AI43" s="685"/>
      <c r="AJ43" s="552">
        <v>6</v>
      </c>
      <c r="AK43" s="553">
        <v>1479.9999999999993</v>
      </c>
      <c r="AL43" s="553">
        <v>246.66666666666654</v>
      </c>
      <c r="AM43" s="552">
        <f t="shared" si="11"/>
        <v>2</v>
      </c>
      <c r="AN43" s="685"/>
      <c r="AO43" s="552">
        <v>6</v>
      </c>
      <c r="AP43" s="553">
        <v>1496.0655737704913</v>
      </c>
      <c r="AQ43" s="553">
        <v>249.34426229508188</v>
      </c>
      <c r="AR43" s="552">
        <f t="shared" si="12"/>
        <v>1</v>
      </c>
      <c r="AS43" s="685"/>
      <c r="AT43" s="552">
        <v>6</v>
      </c>
      <c r="AU43" s="553">
        <v>1498.2089552238806</v>
      </c>
      <c r="AV43" s="553">
        <v>249.70149253731344</v>
      </c>
      <c r="AW43" s="552">
        <f t="shared" si="13"/>
        <v>1</v>
      </c>
      <c r="AX43" s="685"/>
      <c r="AZ43" s="368" t="e">
        <f t="shared" si="14"/>
        <v>#N/A</v>
      </c>
      <c r="BA43" s="685"/>
    </row>
    <row r="44" spans="2:53">
      <c r="B44" s="660"/>
      <c r="C44" s="283">
        <v>3</v>
      </c>
      <c r="D44" s="201" t="s">
        <v>578</v>
      </c>
      <c r="E44" s="534">
        <v>16</v>
      </c>
      <c r="F44" s="201">
        <v>1500</v>
      </c>
      <c r="G44" s="199">
        <v>93.75</v>
      </c>
      <c r="H44" s="699"/>
      <c r="I44" s="363">
        <f t="shared" si="15"/>
        <v>16.571428571428573</v>
      </c>
      <c r="J44" s="363">
        <f t="shared" si="16"/>
        <v>1379.8042754347105</v>
      </c>
      <c r="K44" s="199">
        <f t="shared" si="17"/>
        <v>83.365433053732289</v>
      </c>
      <c r="L44" s="634"/>
      <c r="M44" s="200">
        <f>RANK(K44, K$42:$K$71)</f>
        <v>9</v>
      </c>
      <c r="N44" s="652"/>
      <c r="O44" s="652"/>
      <c r="P44" s="552">
        <v>17</v>
      </c>
      <c r="Q44" s="553">
        <v>1344.5000000000005</v>
      </c>
      <c r="R44" s="553">
        <v>79.08823529411768</v>
      </c>
      <c r="S44" s="552">
        <f t="shared" si="7"/>
        <v>11</v>
      </c>
      <c r="T44" s="685"/>
      <c r="U44" s="552">
        <v>17</v>
      </c>
      <c r="V44" s="553">
        <v>1387.6363636363651</v>
      </c>
      <c r="W44" s="553">
        <v>81.625668449197946</v>
      </c>
      <c r="X44" s="552">
        <f t="shared" si="8"/>
        <v>9</v>
      </c>
      <c r="Y44" s="685"/>
      <c r="Z44" s="552">
        <v>17</v>
      </c>
      <c r="AA44" s="553">
        <v>1379.4545454545455</v>
      </c>
      <c r="AB44" s="553">
        <v>81.144385026737964</v>
      </c>
      <c r="AC44" s="552">
        <f t="shared" si="9"/>
        <v>11</v>
      </c>
      <c r="AD44" s="685"/>
      <c r="AE44" s="552">
        <v>17</v>
      </c>
      <c r="AF44" s="553">
        <v>1357.3333333333323</v>
      </c>
      <c r="AG44" s="553">
        <v>79.843137254901904</v>
      </c>
      <c r="AH44" s="552">
        <f t="shared" si="10"/>
        <v>13</v>
      </c>
      <c r="AI44" s="685"/>
      <c r="AJ44" s="552">
        <v>16</v>
      </c>
      <c r="AK44" s="553">
        <v>1361.9999999999991</v>
      </c>
      <c r="AL44" s="553">
        <v>85.124999999999943</v>
      </c>
      <c r="AM44" s="552">
        <f t="shared" si="11"/>
        <v>8</v>
      </c>
      <c r="AN44" s="685"/>
      <c r="AO44" s="552">
        <v>16</v>
      </c>
      <c r="AP44" s="553">
        <v>1410.7826086956522</v>
      </c>
      <c r="AQ44" s="553">
        <v>88.173913043478265</v>
      </c>
      <c r="AR44" s="552">
        <f t="shared" si="12"/>
        <v>7</v>
      </c>
      <c r="AS44" s="685"/>
      <c r="AT44" s="552">
        <v>16</v>
      </c>
      <c r="AU44" s="553">
        <v>1416.9230769230776</v>
      </c>
      <c r="AV44" s="553">
        <v>88.557692307692349</v>
      </c>
      <c r="AW44" s="552">
        <f t="shared" si="13"/>
        <v>6</v>
      </c>
      <c r="AX44" s="685"/>
      <c r="AZ44" s="368" t="e">
        <f t="shared" si="14"/>
        <v>#N/A</v>
      </c>
      <c r="BA44" s="685"/>
    </row>
    <row r="45" spans="2:53">
      <c r="B45" s="660"/>
      <c r="C45" s="283">
        <v>4</v>
      </c>
      <c r="D45" s="201" t="s">
        <v>549</v>
      </c>
      <c r="E45" s="534">
        <v>18</v>
      </c>
      <c r="F45" s="201">
        <v>1500</v>
      </c>
      <c r="G45" s="199">
        <v>83.333333333333329</v>
      </c>
      <c r="H45" s="699"/>
      <c r="I45" s="363">
        <f t="shared" si="15"/>
        <v>18</v>
      </c>
      <c r="J45" s="363">
        <f t="shared" si="16"/>
        <v>1258.2393686992841</v>
      </c>
      <c r="K45" s="199">
        <f t="shared" si="17"/>
        <v>69.902187149960241</v>
      </c>
      <c r="L45" s="634"/>
      <c r="M45" s="200">
        <f>RANK(K45, K$42:$K$71)</f>
        <v>20</v>
      </c>
      <c r="N45" s="652"/>
      <c r="O45" s="652"/>
      <c r="P45" s="552">
        <v>18</v>
      </c>
      <c r="Q45" s="553">
        <v>1268.7804878048776</v>
      </c>
      <c r="R45" s="553">
        <v>70.487804878048749</v>
      </c>
      <c r="S45" s="552">
        <f t="shared" si="7"/>
        <v>17</v>
      </c>
      <c r="T45" s="685"/>
      <c r="U45" s="552">
        <v>18</v>
      </c>
      <c r="V45" s="553">
        <v>1266.6666666666656</v>
      </c>
      <c r="W45" s="553">
        <v>70.37037037037031</v>
      </c>
      <c r="X45" s="552">
        <f t="shared" si="8"/>
        <v>17</v>
      </c>
      <c r="Y45" s="685"/>
      <c r="Z45" s="552">
        <v>18</v>
      </c>
      <c r="AA45" s="553">
        <v>1271.4606741573034</v>
      </c>
      <c r="AB45" s="553">
        <v>70.636704119850194</v>
      </c>
      <c r="AC45" s="552">
        <f t="shared" si="9"/>
        <v>19</v>
      </c>
      <c r="AD45" s="685"/>
      <c r="AE45" s="552">
        <v>18</v>
      </c>
      <c r="AF45" s="553">
        <v>1250.4905660377362</v>
      </c>
      <c r="AG45" s="553">
        <v>69.471698113207566</v>
      </c>
      <c r="AH45" s="552">
        <f t="shared" si="10"/>
        <v>20</v>
      </c>
      <c r="AI45" s="685"/>
      <c r="AJ45" s="552">
        <v>18</v>
      </c>
      <c r="AK45" s="553">
        <v>1245.461538461539</v>
      </c>
      <c r="AL45" s="553">
        <v>69.192307692307722</v>
      </c>
      <c r="AM45" s="552">
        <f t="shared" si="11"/>
        <v>20</v>
      </c>
      <c r="AN45" s="685"/>
      <c r="AO45" s="552">
        <v>18</v>
      </c>
      <c r="AP45" s="553">
        <v>1254.4390243902437</v>
      </c>
      <c r="AQ45" s="553">
        <v>69.691056910569102</v>
      </c>
      <c r="AR45" s="552">
        <f t="shared" si="12"/>
        <v>20</v>
      </c>
      <c r="AS45" s="685"/>
      <c r="AT45" s="552">
        <v>18</v>
      </c>
      <c r="AU45" s="553">
        <v>1250.3766233766239</v>
      </c>
      <c r="AV45" s="553">
        <v>69.465367965367989</v>
      </c>
      <c r="AW45" s="552">
        <f t="shared" si="13"/>
        <v>20</v>
      </c>
      <c r="AX45" s="685"/>
      <c r="AZ45" s="368" t="e">
        <f t="shared" si="14"/>
        <v>#N/A</v>
      </c>
      <c r="BA45" s="685"/>
    </row>
    <row r="46" spans="2:53">
      <c r="B46" s="660"/>
      <c r="C46" s="283">
        <v>5</v>
      </c>
      <c r="D46" s="201" t="s">
        <v>344</v>
      </c>
      <c r="E46" s="534">
        <v>16</v>
      </c>
      <c r="F46" s="201">
        <v>1565</v>
      </c>
      <c r="G46" s="199">
        <v>97.8125</v>
      </c>
      <c r="H46" s="699"/>
      <c r="I46" s="363">
        <f t="shared" si="15"/>
        <v>16</v>
      </c>
      <c r="J46" s="363">
        <f t="shared" si="16"/>
        <v>1378.7433932882484</v>
      </c>
      <c r="K46" s="199">
        <f t="shared" si="17"/>
        <v>86.171462080515525</v>
      </c>
      <c r="L46" s="634"/>
      <c r="M46" s="200">
        <f>RANK(K46, K$42:$K$71)</f>
        <v>7</v>
      </c>
      <c r="N46" s="652"/>
      <c r="O46" s="652"/>
      <c r="P46" s="552">
        <v>16</v>
      </c>
      <c r="Q46" s="553">
        <v>1326.2337662337654</v>
      </c>
      <c r="R46" s="553">
        <v>82.88961038961034</v>
      </c>
      <c r="S46" s="552">
        <f t="shared" si="7"/>
        <v>8</v>
      </c>
      <c r="T46" s="685"/>
      <c r="U46" s="552">
        <v>16</v>
      </c>
      <c r="V46" s="553">
        <v>1356.5217391304334</v>
      </c>
      <c r="W46" s="553">
        <v>84.782608695652087</v>
      </c>
      <c r="X46" s="552">
        <f t="shared" si="8"/>
        <v>8</v>
      </c>
      <c r="Y46" s="685"/>
      <c r="Z46" s="552">
        <v>16</v>
      </c>
      <c r="AA46" s="553">
        <v>1389.2307692307706</v>
      </c>
      <c r="AB46" s="553">
        <v>86.826923076923165</v>
      </c>
      <c r="AC46" s="552">
        <f t="shared" si="9"/>
        <v>7</v>
      </c>
      <c r="AD46" s="685"/>
      <c r="AE46" s="552">
        <v>16</v>
      </c>
      <c r="AF46" s="553">
        <v>1386.1016949152554</v>
      </c>
      <c r="AG46" s="553">
        <v>86.631355932203462</v>
      </c>
      <c r="AH46" s="552">
        <f t="shared" si="10"/>
        <v>7</v>
      </c>
      <c r="AI46" s="685"/>
      <c r="AJ46" s="552">
        <v>16</v>
      </c>
      <c r="AK46" s="553">
        <v>1388.9552238805989</v>
      </c>
      <c r="AL46" s="553">
        <v>86.809701492537428</v>
      </c>
      <c r="AM46" s="552">
        <f t="shared" si="11"/>
        <v>7</v>
      </c>
      <c r="AN46" s="685"/>
      <c r="AO46" s="552">
        <v>16</v>
      </c>
      <c r="AP46" s="553">
        <v>1402.8947368421043</v>
      </c>
      <c r="AQ46" s="553">
        <v>87.680921052631518</v>
      </c>
      <c r="AR46" s="552">
        <f t="shared" si="12"/>
        <v>8</v>
      </c>
      <c r="AS46" s="685"/>
      <c r="AT46" s="552">
        <v>16</v>
      </c>
      <c r="AU46" s="553">
        <v>1401.2658227848094</v>
      </c>
      <c r="AV46" s="553">
        <v>87.579113924050588</v>
      </c>
      <c r="AW46" s="552">
        <f t="shared" si="13"/>
        <v>8</v>
      </c>
      <c r="AX46" s="685"/>
      <c r="AZ46" s="368" t="e">
        <f t="shared" si="14"/>
        <v>#N/A</v>
      </c>
      <c r="BA46" s="685"/>
    </row>
    <row r="47" spans="2:53">
      <c r="B47" s="660"/>
      <c r="C47" s="283">
        <v>6</v>
      </c>
      <c r="D47" s="201" t="s">
        <v>626</v>
      </c>
      <c r="E47" s="534">
        <v>20</v>
      </c>
      <c r="F47" s="201">
        <v>1440</v>
      </c>
      <c r="G47" s="199">
        <v>72</v>
      </c>
      <c r="H47" s="699"/>
      <c r="I47" s="363">
        <f t="shared" si="15"/>
        <v>20</v>
      </c>
      <c r="J47" s="363">
        <f t="shared" si="16"/>
        <v>1258.864014856247</v>
      </c>
      <c r="K47" s="199">
        <f t="shared" si="17"/>
        <v>62.943200742812351</v>
      </c>
      <c r="L47" s="634"/>
      <c r="M47" s="200">
        <f>RANK(K47, K$42:$K$71)</f>
        <v>23</v>
      </c>
      <c r="N47" s="652"/>
      <c r="O47" s="652"/>
      <c r="P47" s="552">
        <v>20</v>
      </c>
      <c r="Q47" s="553">
        <v>1272.5806451612914</v>
      </c>
      <c r="R47" s="553">
        <v>63.629032258064569</v>
      </c>
      <c r="S47" s="552">
        <f t="shared" si="7"/>
        <v>23</v>
      </c>
      <c r="T47" s="685"/>
      <c r="U47" s="552">
        <v>20</v>
      </c>
      <c r="V47" s="553">
        <v>1278.3870967741948</v>
      </c>
      <c r="W47" s="553">
        <v>63.919354838709737</v>
      </c>
      <c r="X47" s="552">
        <f t="shared" si="8"/>
        <v>23</v>
      </c>
      <c r="Y47" s="685"/>
      <c r="Z47" s="552">
        <v>20</v>
      </c>
      <c r="AA47" s="553">
        <v>1278.6206896551735</v>
      </c>
      <c r="AB47" s="553">
        <v>63.931034482758676</v>
      </c>
      <c r="AC47" s="552">
        <f t="shared" si="9"/>
        <v>23</v>
      </c>
      <c r="AD47" s="685"/>
      <c r="AE47" s="552">
        <v>20</v>
      </c>
      <c r="AF47" s="553">
        <v>1238.0769230769238</v>
      </c>
      <c r="AG47" s="553">
        <v>61.903846153846189</v>
      </c>
      <c r="AH47" s="552">
        <f t="shared" si="10"/>
        <v>23</v>
      </c>
      <c r="AI47" s="685"/>
      <c r="AJ47" s="552">
        <v>20</v>
      </c>
      <c r="AK47" s="553">
        <v>1249.8113207547176</v>
      </c>
      <c r="AL47" s="553">
        <v>62.490566037735881</v>
      </c>
      <c r="AM47" s="552">
        <f t="shared" si="11"/>
        <v>23</v>
      </c>
      <c r="AN47" s="685"/>
      <c r="AO47" s="552">
        <v>20</v>
      </c>
      <c r="AP47" s="553">
        <v>1254.2857142857156</v>
      </c>
      <c r="AQ47" s="553">
        <v>62.714285714285779</v>
      </c>
      <c r="AR47" s="552">
        <f t="shared" si="12"/>
        <v>23</v>
      </c>
      <c r="AS47" s="685"/>
      <c r="AT47" s="552">
        <v>20</v>
      </c>
      <c r="AU47" s="553">
        <v>1240.2857142857129</v>
      </c>
      <c r="AV47" s="553">
        <v>62.014285714285641</v>
      </c>
      <c r="AW47" s="552">
        <f t="shared" si="13"/>
        <v>23</v>
      </c>
      <c r="AX47" s="685"/>
      <c r="AZ47" s="368" t="e">
        <f t="shared" si="14"/>
        <v>#N/A</v>
      </c>
      <c r="BA47" s="685"/>
    </row>
    <row r="48" spans="2:53">
      <c r="B48" s="660"/>
      <c r="C48" s="283">
        <v>7</v>
      </c>
      <c r="D48" s="201" t="s">
        <v>601</v>
      </c>
      <c r="E48" s="534">
        <v>16</v>
      </c>
      <c r="F48" s="201">
        <v>1500</v>
      </c>
      <c r="G48" s="199">
        <v>93.75</v>
      </c>
      <c r="H48" s="699"/>
      <c r="I48" s="363">
        <f t="shared" si="15"/>
        <v>16</v>
      </c>
      <c r="J48" s="363">
        <f t="shared" si="16"/>
        <v>1411.4250721721753</v>
      </c>
      <c r="K48" s="199">
        <f t="shared" si="17"/>
        <v>88.214067010760957</v>
      </c>
      <c r="L48" s="634"/>
      <c r="M48" s="200">
        <f>RANK(K48, K$42:$K$71)</f>
        <v>6</v>
      </c>
      <c r="N48" s="652"/>
      <c r="O48" s="652"/>
      <c r="P48" s="552">
        <v>16</v>
      </c>
      <c r="Q48" s="553">
        <v>1388.7272727272734</v>
      </c>
      <c r="R48" s="553">
        <v>86.795454545454589</v>
      </c>
      <c r="S48" s="552">
        <f t="shared" si="7"/>
        <v>5</v>
      </c>
      <c r="T48" s="685"/>
      <c r="U48" s="552">
        <v>16</v>
      </c>
      <c r="V48" s="553">
        <v>1430.1818181818189</v>
      </c>
      <c r="W48" s="553">
        <v>89.386363636363683</v>
      </c>
      <c r="X48" s="552">
        <f t="shared" si="8"/>
        <v>3</v>
      </c>
      <c r="Y48" s="685"/>
      <c r="Z48" s="552">
        <v>16</v>
      </c>
      <c r="AA48" s="553">
        <v>1415.7692307692314</v>
      </c>
      <c r="AB48" s="553">
        <v>88.485576923076962</v>
      </c>
      <c r="AC48" s="552">
        <f t="shared" si="9"/>
        <v>6</v>
      </c>
      <c r="AD48" s="685"/>
      <c r="AE48" s="552">
        <v>16</v>
      </c>
      <c r="AF48" s="553">
        <v>1412.608695652174</v>
      </c>
      <c r="AG48" s="553">
        <v>88.288043478260875</v>
      </c>
      <c r="AH48" s="552">
        <f t="shared" si="10"/>
        <v>6</v>
      </c>
      <c r="AI48" s="685"/>
      <c r="AJ48" s="552">
        <v>16</v>
      </c>
      <c r="AK48" s="553">
        <v>1422.1276595744685</v>
      </c>
      <c r="AL48" s="553">
        <v>88.882978723404278</v>
      </c>
      <c r="AM48" s="552">
        <f t="shared" si="11"/>
        <v>6</v>
      </c>
      <c r="AN48" s="685"/>
      <c r="AO48" s="552">
        <v>16</v>
      </c>
      <c r="AP48" s="553">
        <v>1401.0526315789484</v>
      </c>
      <c r="AQ48" s="553">
        <v>87.565789473684276</v>
      </c>
      <c r="AR48" s="552">
        <f t="shared" si="12"/>
        <v>9</v>
      </c>
      <c r="AS48" s="685"/>
      <c r="AT48" s="552">
        <v>16</v>
      </c>
      <c r="AU48" s="553">
        <v>1409.5081967213127</v>
      </c>
      <c r="AV48" s="553">
        <v>88.094262295082046</v>
      </c>
      <c r="AW48" s="552">
        <f t="shared" si="13"/>
        <v>7</v>
      </c>
      <c r="AX48" s="685"/>
      <c r="AZ48" s="368" t="e">
        <f t="shared" si="14"/>
        <v>#N/A</v>
      </c>
      <c r="BA48" s="685"/>
    </row>
    <row r="49" spans="2:53">
      <c r="B49" s="660"/>
      <c r="C49" s="283">
        <v>8</v>
      </c>
      <c r="D49" s="201" t="s">
        <v>574</v>
      </c>
      <c r="E49" s="534">
        <v>18</v>
      </c>
      <c r="F49" s="201">
        <v>1636</v>
      </c>
      <c r="G49" s="199">
        <v>90.888888888888886</v>
      </c>
      <c r="H49" s="699"/>
      <c r="I49" s="363">
        <f t="shared" si="15"/>
        <v>18</v>
      </c>
      <c r="J49" s="363">
        <f t="shared" si="16"/>
        <v>1439.6042530407526</v>
      </c>
      <c r="K49" s="199">
        <f t="shared" si="17"/>
        <v>79.978014057819593</v>
      </c>
      <c r="L49" s="634"/>
      <c r="M49" s="200">
        <f>RANK(K49, K$42:$K$71)</f>
        <v>13</v>
      </c>
      <c r="N49" s="652"/>
      <c r="O49" s="652"/>
      <c r="P49" s="552">
        <v>18</v>
      </c>
      <c r="Q49" s="553">
        <v>1403.8095238095252</v>
      </c>
      <c r="R49" s="553">
        <v>77.989417989418072</v>
      </c>
      <c r="S49" s="552">
        <f t="shared" si="7"/>
        <v>13</v>
      </c>
      <c r="T49" s="685"/>
      <c r="U49" s="552">
        <v>18</v>
      </c>
      <c r="V49" s="553">
        <v>1402.7586206896563</v>
      </c>
      <c r="W49" s="553">
        <v>77.931034482758676</v>
      </c>
      <c r="X49" s="552">
        <f t="shared" si="8"/>
        <v>13</v>
      </c>
      <c r="Y49" s="685"/>
      <c r="Z49" s="552">
        <v>18</v>
      </c>
      <c r="AA49" s="553">
        <v>1443.8297872340427</v>
      </c>
      <c r="AB49" s="553">
        <v>80.21276595744682</v>
      </c>
      <c r="AC49" s="552">
        <f t="shared" si="9"/>
        <v>14</v>
      </c>
      <c r="AD49" s="685"/>
      <c r="AE49" s="552">
        <v>18</v>
      </c>
      <c r="AF49" s="553">
        <v>1447.3469387755106</v>
      </c>
      <c r="AG49" s="553">
        <v>80.408163265306143</v>
      </c>
      <c r="AH49" s="552">
        <f t="shared" si="10"/>
        <v>11</v>
      </c>
      <c r="AI49" s="685"/>
      <c r="AJ49" s="552">
        <v>18</v>
      </c>
      <c r="AK49" s="553">
        <v>1457.8947368421063</v>
      </c>
      <c r="AL49" s="553">
        <v>80.994152046783682</v>
      </c>
      <c r="AM49" s="552">
        <f t="shared" si="11"/>
        <v>12</v>
      </c>
      <c r="AN49" s="685"/>
      <c r="AO49" s="552">
        <v>18</v>
      </c>
      <c r="AP49" s="553">
        <v>1464.5901639344274</v>
      </c>
      <c r="AQ49" s="553">
        <v>81.366120218579297</v>
      </c>
      <c r="AR49" s="552">
        <f t="shared" si="12"/>
        <v>13</v>
      </c>
      <c r="AS49" s="685"/>
      <c r="AT49" s="552">
        <v>18</v>
      </c>
      <c r="AU49" s="553">
        <v>1457.0000000000014</v>
      </c>
      <c r="AV49" s="553">
        <v>80.944444444444514</v>
      </c>
      <c r="AW49" s="552">
        <f t="shared" si="13"/>
        <v>13</v>
      </c>
      <c r="AX49" s="685"/>
      <c r="AZ49" s="368" t="e">
        <f t="shared" si="14"/>
        <v>#N/A</v>
      </c>
      <c r="BA49" s="685"/>
    </row>
    <row r="50" spans="2:53">
      <c r="B50" s="660"/>
      <c r="C50" s="283">
        <v>9</v>
      </c>
      <c r="D50" s="201" t="s">
        <v>575</v>
      </c>
      <c r="E50" s="534">
        <v>18</v>
      </c>
      <c r="F50" s="201">
        <v>1636</v>
      </c>
      <c r="G50" s="199">
        <v>90.888888888888886</v>
      </c>
      <c r="H50" s="699"/>
      <c r="I50" s="363">
        <f t="shared" si="15"/>
        <v>18</v>
      </c>
      <c r="J50" s="363">
        <f t="shared" si="16"/>
        <v>1447.0119667967995</v>
      </c>
      <c r="K50" s="199">
        <f t="shared" si="17"/>
        <v>80.389553710933313</v>
      </c>
      <c r="L50" s="634"/>
      <c r="M50" s="200">
        <f>RANK(K50, K$42:$K$71)</f>
        <v>12</v>
      </c>
      <c r="N50" s="652"/>
      <c r="O50" s="652"/>
      <c r="P50" s="552">
        <v>18</v>
      </c>
      <c r="Q50" s="553">
        <v>1408.1632653061229</v>
      </c>
      <c r="R50" s="553">
        <v>78.231292517006821</v>
      </c>
      <c r="S50" s="552">
        <f t="shared" si="7"/>
        <v>12</v>
      </c>
      <c r="T50" s="685"/>
      <c r="U50" s="552">
        <v>18</v>
      </c>
      <c r="V50" s="553">
        <v>1426.9565217391305</v>
      </c>
      <c r="W50" s="553">
        <v>79.275362318840578</v>
      </c>
      <c r="X50" s="552">
        <f t="shared" si="8"/>
        <v>12</v>
      </c>
      <c r="Y50" s="685"/>
      <c r="Z50" s="552">
        <v>18</v>
      </c>
      <c r="AA50" s="553">
        <v>1458.9473684210516</v>
      </c>
      <c r="AB50" s="553">
        <v>81.052631578947313</v>
      </c>
      <c r="AC50" s="552">
        <f t="shared" si="9"/>
        <v>12</v>
      </c>
      <c r="AD50" s="685"/>
      <c r="AE50" s="552">
        <v>18</v>
      </c>
      <c r="AF50" s="553">
        <v>1446.1538461538453</v>
      </c>
      <c r="AG50" s="553">
        <v>80.341880341880298</v>
      </c>
      <c r="AH50" s="552">
        <f t="shared" si="10"/>
        <v>12</v>
      </c>
      <c r="AI50" s="685"/>
      <c r="AJ50" s="552">
        <v>18</v>
      </c>
      <c r="AK50" s="553">
        <v>1450.2127659574471</v>
      </c>
      <c r="AL50" s="553">
        <v>80.567375886524843</v>
      </c>
      <c r="AM50" s="552">
        <f t="shared" si="11"/>
        <v>13</v>
      </c>
      <c r="AN50" s="685"/>
      <c r="AO50" s="552">
        <v>18</v>
      </c>
      <c r="AP50" s="553">
        <v>1472.4000000000003</v>
      </c>
      <c r="AQ50" s="553">
        <v>81.800000000000011</v>
      </c>
      <c r="AR50" s="552">
        <f t="shared" si="12"/>
        <v>12</v>
      </c>
      <c r="AS50" s="685"/>
      <c r="AT50" s="552">
        <v>18</v>
      </c>
      <c r="AU50" s="553">
        <v>1466.2500000000005</v>
      </c>
      <c r="AV50" s="553">
        <v>81.458333333333357</v>
      </c>
      <c r="AW50" s="552">
        <f t="shared" si="13"/>
        <v>12</v>
      </c>
      <c r="AX50" s="685"/>
      <c r="AZ50" s="368" t="e">
        <f t="shared" si="14"/>
        <v>#N/A</v>
      </c>
      <c r="BA50" s="685"/>
    </row>
    <row r="51" spans="2:53">
      <c r="B51" s="660"/>
      <c r="C51" s="283">
        <v>10</v>
      </c>
      <c r="D51" s="201" t="s">
        <v>332</v>
      </c>
      <c r="E51" s="534">
        <v>17</v>
      </c>
      <c r="F51" s="201">
        <v>1500</v>
      </c>
      <c r="G51" s="199">
        <v>88.235294117647058</v>
      </c>
      <c r="H51" s="699"/>
      <c r="I51" s="363">
        <f t="shared" si="15"/>
        <v>17</v>
      </c>
      <c r="J51" s="363">
        <f t="shared" si="16"/>
        <v>1388.9536951479392</v>
      </c>
      <c r="K51" s="199">
        <f t="shared" si="17"/>
        <v>81.703158538114067</v>
      </c>
      <c r="L51" s="634"/>
      <c r="M51" s="200">
        <f>RANK(K51, K$42:$K$71)</f>
        <v>11</v>
      </c>
      <c r="N51" s="652"/>
      <c r="O51" s="652"/>
      <c r="P51" s="552">
        <v>17</v>
      </c>
      <c r="Q51" s="553">
        <v>1361.4285714285709</v>
      </c>
      <c r="R51" s="553">
        <v>80.084033613445342</v>
      </c>
      <c r="S51" s="552">
        <f t="shared" si="7"/>
        <v>9</v>
      </c>
      <c r="T51" s="685"/>
      <c r="U51" s="552">
        <v>17</v>
      </c>
      <c r="V51" s="553">
        <v>1365.365853658536</v>
      </c>
      <c r="W51" s="553">
        <v>80.315638450502121</v>
      </c>
      <c r="X51" s="552">
        <f t="shared" si="8"/>
        <v>10</v>
      </c>
      <c r="Y51" s="685"/>
      <c r="Z51" s="552">
        <v>17</v>
      </c>
      <c r="AA51" s="553">
        <v>1406.4705882352923</v>
      </c>
      <c r="AB51" s="553">
        <v>82.73356401384072</v>
      </c>
      <c r="AC51" s="552">
        <f t="shared" si="9"/>
        <v>9</v>
      </c>
      <c r="AD51" s="685"/>
      <c r="AE51" s="552">
        <v>17</v>
      </c>
      <c r="AF51" s="553">
        <v>1388.5714285714273</v>
      </c>
      <c r="AG51" s="553">
        <v>81.680672268907486</v>
      </c>
      <c r="AH51" s="552">
        <f t="shared" si="10"/>
        <v>10</v>
      </c>
      <c r="AI51" s="685"/>
      <c r="AJ51" s="552">
        <v>17</v>
      </c>
      <c r="AK51" s="553">
        <v>1401.4285714285711</v>
      </c>
      <c r="AL51" s="553">
        <v>82.436974789915951</v>
      </c>
      <c r="AM51" s="552">
        <f t="shared" si="11"/>
        <v>11</v>
      </c>
      <c r="AN51" s="685"/>
      <c r="AO51" s="552">
        <v>17</v>
      </c>
      <c r="AP51" s="553">
        <v>1402.6666666666665</v>
      </c>
      <c r="AQ51" s="553">
        <v>82.509803921568619</v>
      </c>
      <c r="AR51" s="552">
        <f t="shared" si="12"/>
        <v>11</v>
      </c>
      <c r="AS51" s="685"/>
      <c r="AT51" s="552">
        <v>17</v>
      </c>
      <c r="AU51" s="553">
        <v>1396.7441860465115</v>
      </c>
      <c r="AV51" s="553">
        <v>82.161422708618318</v>
      </c>
      <c r="AW51" s="552">
        <f t="shared" si="13"/>
        <v>11</v>
      </c>
      <c r="AX51" s="685"/>
      <c r="AZ51" s="368" t="e">
        <f t="shared" si="14"/>
        <v>#N/A</v>
      </c>
      <c r="BA51" s="685"/>
    </row>
    <row r="52" spans="2:53">
      <c r="B52" s="660"/>
      <c r="C52" s="283">
        <v>11</v>
      </c>
      <c r="D52" s="201" t="s">
        <v>512</v>
      </c>
      <c r="E52" s="534">
        <v>20</v>
      </c>
      <c r="F52" s="201">
        <v>1440</v>
      </c>
      <c r="G52" s="199">
        <v>72</v>
      </c>
      <c r="H52" s="699"/>
      <c r="I52" s="363">
        <f t="shared" si="15"/>
        <v>20</v>
      </c>
      <c r="J52" s="363">
        <f t="shared" si="16"/>
        <v>1338.5044303515876</v>
      </c>
      <c r="K52" s="199">
        <f t="shared" si="17"/>
        <v>66.925221517579374</v>
      </c>
      <c r="L52" s="634"/>
      <c r="M52" s="200">
        <f>RANK(K52, K$42:$K$71)</f>
        <v>22</v>
      </c>
      <c r="N52" s="652"/>
      <c r="O52" s="652"/>
      <c r="P52" s="552">
        <v>20</v>
      </c>
      <c r="Q52" s="553">
        <v>1317.42857142857</v>
      </c>
      <c r="R52" s="553">
        <v>65.871428571428496</v>
      </c>
      <c r="S52" s="552">
        <f t="shared" si="7"/>
        <v>22</v>
      </c>
      <c r="T52" s="685"/>
      <c r="U52" s="552">
        <v>20</v>
      </c>
      <c r="V52" s="553">
        <v>1284.7058823529428</v>
      </c>
      <c r="W52" s="553">
        <v>64.235294117647143</v>
      </c>
      <c r="X52" s="552">
        <f t="shared" si="8"/>
        <v>22</v>
      </c>
      <c r="Y52" s="685"/>
      <c r="Z52" s="552">
        <v>20</v>
      </c>
      <c r="AA52" s="553">
        <v>1348.8888888888896</v>
      </c>
      <c r="AB52" s="553">
        <v>67.444444444444485</v>
      </c>
      <c r="AC52" s="552">
        <f t="shared" si="9"/>
        <v>22</v>
      </c>
      <c r="AD52" s="685"/>
      <c r="AE52" s="552">
        <v>20</v>
      </c>
      <c r="AF52" s="553">
        <v>1361.1111111111118</v>
      </c>
      <c r="AG52" s="553">
        <v>68.055555555555586</v>
      </c>
      <c r="AH52" s="552">
        <f t="shared" si="10"/>
        <v>21</v>
      </c>
      <c r="AI52" s="685"/>
      <c r="AJ52" s="552">
        <v>20</v>
      </c>
      <c r="AK52" s="553">
        <v>1348.1818181818196</v>
      </c>
      <c r="AL52" s="553">
        <v>67.409090909090978</v>
      </c>
      <c r="AM52" s="552">
        <f t="shared" si="11"/>
        <v>21</v>
      </c>
      <c r="AN52" s="685"/>
      <c r="AO52" s="552">
        <v>20</v>
      </c>
      <c r="AP52" s="553">
        <v>1352.876712328766</v>
      </c>
      <c r="AQ52" s="553">
        <v>67.643835616438295</v>
      </c>
      <c r="AR52" s="552">
        <f t="shared" si="12"/>
        <v>21</v>
      </c>
      <c r="AS52" s="685"/>
      <c r="AT52" s="552">
        <v>20</v>
      </c>
      <c r="AU52" s="553">
        <v>1356.3380281690127</v>
      </c>
      <c r="AV52" s="553">
        <v>67.816901408450633</v>
      </c>
      <c r="AW52" s="552">
        <f t="shared" si="13"/>
        <v>21</v>
      </c>
      <c r="AX52" s="685"/>
      <c r="AZ52" s="368" t="e">
        <f t="shared" si="14"/>
        <v>#N/A</v>
      </c>
      <c r="BA52" s="685"/>
    </row>
    <row r="53" spans="2:53">
      <c r="B53" s="660"/>
      <c r="C53" s="283">
        <v>12</v>
      </c>
      <c r="D53" s="201" t="s">
        <v>345</v>
      </c>
      <c r="E53" s="534">
        <v>14</v>
      </c>
      <c r="F53" s="201">
        <v>1440</v>
      </c>
      <c r="G53" s="199">
        <v>102.85714285714286</v>
      </c>
      <c r="H53" s="699"/>
      <c r="I53" s="363">
        <f t="shared" si="15"/>
        <v>14.285714285714286</v>
      </c>
      <c r="J53" s="363">
        <f t="shared" si="16"/>
        <v>1339.5473367827642</v>
      </c>
      <c r="K53" s="199">
        <f t="shared" si="17"/>
        <v>93.906746417746248</v>
      </c>
      <c r="L53" s="634"/>
      <c r="M53" s="200">
        <f>RANK(K53, K$42:$K$71)</f>
        <v>3</v>
      </c>
      <c r="N53" s="652"/>
      <c r="O53" s="652"/>
      <c r="P53" s="552">
        <v>15</v>
      </c>
      <c r="Q53" s="553">
        <v>1288.4210526315799</v>
      </c>
      <c r="R53" s="553">
        <v>85.894736842105331</v>
      </c>
      <c r="S53" s="552">
        <f t="shared" si="7"/>
        <v>6</v>
      </c>
      <c r="T53" s="685"/>
      <c r="U53" s="552">
        <v>15</v>
      </c>
      <c r="V53" s="553">
        <v>1321.132075471699</v>
      </c>
      <c r="W53" s="553">
        <v>88.075471698113262</v>
      </c>
      <c r="X53" s="552">
        <f t="shared" si="8"/>
        <v>5</v>
      </c>
      <c r="Y53" s="685"/>
      <c r="Z53" s="552">
        <v>14</v>
      </c>
      <c r="AA53" s="553">
        <v>1346.3414634146336</v>
      </c>
      <c r="AB53" s="553">
        <v>96.167247386759541</v>
      </c>
      <c r="AC53" s="552">
        <f t="shared" si="9"/>
        <v>3</v>
      </c>
      <c r="AD53" s="685"/>
      <c r="AE53" s="552">
        <v>14</v>
      </c>
      <c r="AF53" s="553">
        <v>1362.2727272727273</v>
      </c>
      <c r="AG53" s="553">
        <v>97.305194805194802</v>
      </c>
      <c r="AH53" s="552">
        <f t="shared" si="10"/>
        <v>3</v>
      </c>
      <c r="AI53" s="685"/>
      <c r="AJ53" s="552">
        <v>14</v>
      </c>
      <c r="AK53" s="553">
        <v>1353.0612244897964</v>
      </c>
      <c r="AL53" s="553">
        <v>96.647230320699734</v>
      </c>
      <c r="AM53" s="552">
        <f t="shared" si="11"/>
        <v>3</v>
      </c>
      <c r="AN53" s="685"/>
      <c r="AO53" s="552">
        <v>14</v>
      </c>
      <c r="AP53" s="553">
        <v>1350.5084745762722</v>
      </c>
      <c r="AQ53" s="553">
        <v>96.464891041162304</v>
      </c>
      <c r="AR53" s="552">
        <f t="shared" si="12"/>
        <v>3</v>
      </c>
      <c r="AS53" s="685"/>
      <c r="AT53" s="552">
        <v>14</v>
      </c>
      <c r="AU53" s="553">
        <v>1355.0943396226421</v>
      </c>
      <c r="AV53" s="553">
        <v>96.792452830188722</v>
      </c>
      <c r="AW53" s="552">
        <f t="shared" si="13"/>
        <v>3</v>
      </c>
      <c r="AX53" s="685"/>
      <c r="AZ53" s="368" t="e">
        <f t="shared" si="14"/>
        <v>#N/A</v>
      </c>
      <c r="BA53" s="685"/>
    </row>
    <row r="54" spans="2:53">
      <c r="B54" s="660"/>
      <c r="C54" s="283">
        <v>13</v>
      </c>
      <c r="D54" s="201" t="s">
        <v>327</v>
      </c>
      <c r="E54" s="534">
        <v>19</v>
      </c>
      <c r="F54" s="201">
        <v>1440</v>
      </c>
      <c r="G54" s="199">
        <v>75.78947368421052</v>
      </c>
      <c r="H54" s="699"/>
      <c r="I54" s="363">
        <f t="shared" si="15"/>
        <v>19</v>
      </c>
      <c r="J54" s="363">
        <f t="shared" si="16"/>
        <v>1341.9928054933869</v>
      </c>
      <c r="K54" s="199">
        <f t="shared" si="17"/>
        <v>70.631200289125644</v>
      </c>
      <c r="L54" s="634"/>
      <c r="M54" s="200">
        <f>RANK(K54, K$42:$K$71)</f>
        <v>18</v>
      </c>
      <c r="N54" s="652"/>
      <c r="O54" s="652"/>
      <c r="P54" s="552">
        <v>19</v>
      </c>
      <c r="Q54" s="553">
        <v>1286.4285714285709</v>
      </c>
      <c r="R54" s="553">
        <v>67.706766917293209</v>
      </c>
      <c r="S54" s="552">
        <f t="shared" si="7"/>
        <v>21</v>
      </c>
      <c r="T54" s="685"/>
      <c r="U54" s="552">
        <v>19</v>
      </c>
      <c r="V54" s="553">
        <v>1319.1780821917798</v>
      </c>
      <c r="W54" s="553">
        <v>69.430425378514727</v>
      </c>
      <c r="X54" s="552">
        <f t="shared" si="8"/>
        <v>19</v>
      </c>
      <c r="Y54" s="685"/>
      <c r="Z54" s="552">
        <v>19</v>
      </c>
      <c r="AA54" s="553">
        <v>1352.0000000000014</v>
      </c>
      <c r="AB54" s="553">
        <v>71.157894736842181</v>
      </c>
      <c r="AC54" s="552">
        <f t="shared" si="9"/>
        <v>18</v>
      </c>
      <c r="AD54" s="685"/>
      <c r="AE54" s="552">
        <v>19</v>
      </c>
      <c r="AF54" s="553">
        <v>1354.0000000000014</v>
      </c>
      <c r="AG54" s="553">
        <v>71.263157894736921</v>
      </c>
      <c r="AH54" s="552">
        <f t="shared" si="10"/>
        <v>17</v>
      </c>
      <c r="AI54" s="685"/>
      <c r="AJ54" s="552">
        <v>19</v>
      </c>
      <c r="AK54" s="553">
        <v>1354.7368421052622</v>
      </c>
      <c r="AL54" s="553">
        <v>71.301939058171698</v>
      </c>
      <c r="AM54" s="552">
        <f t="shared" si="11"/>
        <v>18</v>
      </c>
      <c r="AN54" s="685"/>
      <c r="AO54" s="552">
        <v>19</v>
      </c>
      <c r="AP54" s="553">
        <v>1363.7037037037032</v>
      </c>
      <c r="AQ54" s="553">
        <v>71.773879142300174</v>
      </c>
      <c r="AR54" s="552">
        <f t="shared" si="12"/>
        <v>17</v>
      </c>
      <c r="AS54" s="685"/>
      <c r="AT54" s="552">
        <v>19</v>
      </c>
      <c r="AU54" s="553">
        <v>1363.9024390243897</v>
      </c>
      <c r="AV54" s="553">
        <v>71.784338896020515</v>
      </c>
      <c r="AW54" s="552">
        <f t="shared" si="13"/>
        <v>17</v>
      </c>
      <c r="AX54" s="685"/>
      <c r="AZ54" s="368" t="e">
        <f t="shared" si="14"/>
        <v>#N/A</v>
      </c>
      <c r="BA54" s="685"/>
    </row>
    <row r="55" spans="2:53">
      <c r="B55" s="660"/>
      <c r="C55" s="283">
        <v>14</v>
      </c>
      <c r="D55" s="201" t="s">
        <v>343</v>
      </c>
      <c r="E55" s="534">
        <v>19</v>
      </c>
      <c r="F55" s="201">
        <v>1440</v>
      </c>
      <c r="G55" s="199">
        <v>75.78947368421052</v>
      </c>
      <c r="H55" s="699"/>
      <c r="I55" s="363">
        <f t="shared" si="15"/>
        <v>19</v>
      </c>
      <c r="J55" s="363">
        <f t="shared" si="16"/>
        <v>1346.8372605640504</v>
      </c>
      <c r="K55" s="199">
        <f t="shared" si="17"/>
        <v>70.886171608634228</v>
      </c>
      <c r="L55" s="634"/>
      <c r="M55" s="200">
        <f>RANK(K55, K$42:$K$71)</f>
        <v>17</v>
      </c>
      <c r="N55" s="652"/>
      <c r="O55" s="652"/>
      <c r="P55" s="552">
        <v>19</v>
      </c>
      <c r="Q55" s="553">
        <v>1331.2500000000016</v>
      </c>
      <c r="R55" s="553">
        <v>70.065789473684291</v>
      </c>
      <c r="S55" s="552">
        <f t="shared" si="7"/>
        <v>18</v>
      </c>
      <c r="T55" s="685"/>
      <c r="U55" s="552">
        <v>19</v>
      </c>
      <c r="V55" s="553">
        <v>1297.7419354838723</v>
      </c>
      <c r="W55" s="553">
        <v>68.302207130730125</v>
      </c>
      <c r="X55" s="552">
        <f t="shared" si="8"/>
        <v>21</v>
      </c>
      <c r="Y55" s="685"/>
      <c r="Z55" s="552">
        <v>19</v>
      </c>
      <c r="AA55" s="553">
        <v>1367.0588235294122</v>
      </c>
      <c r="AB55" s="553">
        <v>71.950464396284858</v>
      </c>
      <c r="AC55" s="552">
        <f t="shared" si="9"/>
        <v>17</v>
      </c>
      <c r="AD55" s="685"/>
      <c r="AE55" s="552">
        <v>19</v>
      </c>
      <c r="AF55" s="553">
        <v>1348.3636363636372</v>
      </c>
      <c r="AG55" s="553">
        <v>70.966507177033535</v>
      </c>
      <c r="AH55" s="552">
        <f t="shared" si="10"/>
        <v>18</v>
      </c>
      <c r="AI55" s="685"/>
      <c r="AJ55" s="552">
        <v>19</v>
      </c>
      <c r="AK55" s="553">
        <v>1366.8750000000016</v>
      </c>
      <c r="AL55" s="553">
        <v>71.940789473684291</v>
      </c>
      <c r="AM55" s="552">
        <f t="shared" si="11"/>
        <v>17</v>
      </c>
      <c r="AN55" s="685"/>
      <c r="AO55" s="552">
        <v>19</v>
      </c>
      <c r="AP55" s="553">
        <v>1359.42857142857</v>
      </c>
      <c r="AQ55" s="553">
        <v>71.548872180451056</v>
      </c>
      <c r="AR55" s="552">
        <f t="shared" si="12"/>
        <v>18</v>
      </c>
      <c r="AS55" s="685"/>
      <c r="AT55" s="552">
        <v>19</v>
      </c>
      <c r="AU55" s="553">
        <v>1357.1428571428585</v>
      </c>
      <c r="AV55" s="553">
        <v>71.428571428571502</v>
      </c>
      <c r="AW55" s="552">
        <f t="shared" si="13"/>
        <v>18</v>
      </c>
      <c r="AX55" s="685"/>
      <c r="AZ55" s="368" t="e">
        <f t="shared" si="14"/>
        <v>#N/A</v>
      </c>
      <c r="BA55" s="685"/>
    </row>
    <row r="56" spans="2:53">
      <c r="B56" s="660"/>
      <c r="C56" s="283">
        <v>15</v>
      </c>
      <c r="D56" s="201" t="s">
        <v>581</v>
      </c>
      <c r="E56" s="534">
        <v>18</v>
      </c>
      <c r="F56" s="201">
        <v>1500</v>
      </c>
      <c r="G56" s="199">
        <v>83.333333333333329</v>
      </c>
      <c r="H56" s="699"/>
      <c r="I56" s="363">
        <f t="shared" si="15"/>
        <v>18</v>
      </c>
      <c r="J56" s="363">
        <f t="shared" si="16"/>
        <v>1393.0868122925151</v>
      </c>
      <c r="K56" s="199">
        <f t="shared" si="17"/>
        <v>77.393711794028619</v>
      </c>
      <c r="L56" s="634"/>
      <c r="M56" s="198">
        <f>RANK(K56, K$42:$K$71)</f>
        <v>15</v>
      </c>
      <c r="N56" s="652"/>
      <c r="O56" s="652"/>
      <c r="P56" s="552">
        <v>18</v>
      </c>
      <c r="Q56" s="553">
        <v>1342.1052631578957</v>
      </c>
      <c r="R56" s="553">
        <v>74.561403508771988</v>
      </c>
      <c r="S56" s="552">
        <f t="shared" si="7"/>
        <v>16</v>
      </c>
      <c r="T56" s="685"/>
      <c r="U56" s="552">
        <v>18</v>
      </c>
      <c r="V56" s="553">
        <v>1344.7058823529417</v>
      </c>
      <c r="W56" s="553">
        <v>74.705882352941202</v>
      </c>
      <c r="X56" s="552">
        <f t="shared" si="8"/>
        <v>16</v>
      </c>
      <c r="Y56" s="685"/>
      <c r="Z56" s="552">
        <v>18</v>
      </c>
      <c r="AA56" s="553">
        <v>1416.4705882352946</v>
      </c>
      <c r="AB56" s="553">
        <v>78.692810457516373</v>
      </c>
      <c r="AC56" s="552">
        <f t="shared" si="9"/>
        <v>15</v>
      </c>
      <c r="AD56" s="685"/>
      <c r="AE56" s="552">
        <v>18</v>
      </c>
      <c r="AF56" s="553">
        <v>1399.5348837209301</v>
      </c>
      <c r="AG56" s="553">
        <v>77.751937984496124</v>
      </c>
      <c r="AH56" s="552">
        <f t="shared" si="10"/>
        <v>16</v>
      </c>
      <c r="AI56" s="685"/>
      <c r="AJ56" s="552">
        <v>18</v>
      </c>
      <c r="AK56" s="553">
        <v>1414.6666666666667</v>
      </c>
      <c r="AL56" s="553">
        <v>78.592592592592595</v>
      </c>
      <c r="AM56" s="552">
        <f t="shared" si="11"/>
        <v>16</v>
      </c>
      <c r="AN56" s="685"/>
      <c r="AO56" s="552">
        <v>18</v>
      </c>
      <c r="AP56" s="553">
        <v>1422.5454545454554</v>
      </c>
      <c r="AQ56" s="553">
        <v>79.030303030303074</v>
      </c>
      <c r="AR56" s="552">
        <f t="shared" si="12"/>
        <v>14</v>
      </c>
      <c r="AS56" s="685"/>
      <c r="AT56" s="552">
        <v>18</v>
      </c>
      <c r="AU56" s="553">
        <v>1411.5789473684222</v>
      </c>
      <c r="AV56" s="553">
        <v>78.421052631579016</v>
      </c>
      <c r="AW56" s="552">
        <f t="shared" si="13"/>
        <v>15</v>
      </c>
      <c r="AX56" s="685"/>
      <c r="AZ56" s="368" t="e">
        <f t="shared" si="14"/>
        <v>#N/A</v>
      </c>
      <c r="BA56" s="685"/>
    </row>
    <row r="57" spans="2:53">
      <c r="B57" s="660"/>
      <c r="C57" s="283">
        <v>16</v>
      </c>
      <c r="D57" s="201" t="s">
        <v>509</v>
      </c>
      <c r="E57" s="534">
        <v>17</v>
      </c>
      <c r="F57" s="201">
        <v>1440</v>
      </c>
      <c r="G57" s="199">
        <v>84.705882352941174</v>
      </c>
      <c r="H57" s="699"/>
      <c r="I57" s="363">
        <f t="shared" si="15"/>
        <v>17</v>
      </c>
      <c r="J57" s="363">
        <f t="shared" si="16"/>
        <v>1327.7727898413978</v>
      </c>
      <c r="K57" s="199">
        <f t="shared" si="17"/>
        <v>78.104281755376334</v>
      </c>
      <c r="L57" s="634"/>
      <c r="M57" s="198">
        <f>RANK(K57, K$42:$K$71)</f>
        <v>14</v>
      </c>
      <c r="N57" s="652"/>
      <c r="O57" s="652"/>
      <c r="P57" s="552">
        <v>17</v>
      </c>
      <c r="Q57" s="553">
        <v>1321.6216216216205</v>
      </c>
      <c r="R57" s="553">
        <v>77.742448330683558</v>
      </c>
      <c r="S57" s="552">
        <f t="shared" si="7"/>
        <v>14</v>
      </c>
      <c r="T57" s="685"/>
      <c r="U57" s="552">
        <v>17</v>
      </c>
      <c r="V57" s="553">
        <v>1287.1428571428567</v>
      </c>
      <c r="W57" s="553">
        <v>75.71428571428568</v>
      </c>
      <c r="X57" s="552">
        <f t="shared" si="8"/>
        <v>15</v>
      </c>
      <c r="Y57" s="685"/>
      <c r="Z57" s="552">
        <v>17</v>
      </c>
      <c r="AA57" s="553">
        <v>1325.9999999999977</v>
      </c>
      <c r="AB57" s="553">
        <v>77.999999999999872</v>
      </c>
      <c r="AC57" s="552">
        <f t="shared" si="9"/>
        <v>16</v>
      </c>
      <c r="AD57" s="685"/>
      <c r="AE57" s="552">
        <v>17</v>
      </c>
      <c r="AF57" s="553">
        <v>1325.6249999999982</v>
      </c>
      <c r="AG57" s="553">
        <v>77.97794117647048</v>
      </c>
      <c r="AH57" s="552">
        <f t="shared" si="10"/>
        <v>15</v>
      </c>
      <c r="AI57" s="685"/>
      <c r="AJ57" s="552">
        <v>17</v>
      </c>
      <c r="AK57" s="553">
        <v>1361.1428571428557</v>
      </c>
      <c r="AL57" s="553">
        <v>80.067226890756217</v>
      </c>
      <c r="AM57" s="552">
        <f t="shared" si="11"/>
        <v>14</v>
      </c>
      <c r="AN57" s="685"/>
      <c r="AO57" s="552">
        <v>17</v>
      </c>
      <c r="AP57" s="553">
        <v>1338.6666666666665</v>
      </c>
      <c r="AQ57" s="553">
        <v>78.745098039215677</v>
      </c>
      <c r="AR57" s="552">
        <f t="shared" si="12"/>
        <v>15</v>
      </c>
      <c r="AS57" s="685"/>
      <c r="AT57" s="552">
        <v>17</v>
      </c>
      <c r="AU57" s="553">
        <v>1334.2105263157885</v>
      </c>
      <c r="AV57" s="553">
        <v>78.482972136222855</v>
      </c>
      <c r="AW57" s="552">
        <f t="shared" si="13"/>
        <v>14</v>
      </c>
      <c r="AX57" s="685"/>
      <c r="AZ57" s="368" t="e">
        <f t="shared" si="14"/>
        <v>#N/A</v>
      </c>
      <c r="BA57" s="685"/>
    </row>
    <row r="58" spans="2:53">
      <c r="B58" s="660"/>
      <c r="C58" s="283">
        <v>17</v>
      </c>
      <c r="D58" s="201" t="s">
        <v>603</v>
      </c>
      <c r="E58" s="534">
        <v>16</v>
      </c>
      <c r="F58" s="201">
        <v>1636</v>
      </c>
      <c r="G58" s="199">
        <v>102.25</v>
      </c>
      <c r="H58" s="699"/>
      <c r="I58" s="363">
        <f t="shared" si="15"/>
        <v>16</v>
      </c>
      <c r="J58" s="363">
        <f t="shared" si="16"/>
        <v>1434.8180446004856</v>
      </c>
      <c r="K58" s="199">
        <f t="shared" si="17"/>
        <v>89.676127787530348</v>
      </c>
      <c r="L58" s="634"/>
      <c r="M58" s="198">
        <f>RANK(K58, K$42:$K$71)</f>
        <v>5</v>
      </c>
      <c r="N58" s="652"/>
      <c r="O58" s="652"/>
      <c r="P58" s="552">
        <v>16</v>
      </c>
      <c r="Q58" s="553">
        <v>1410.7317073170727</v>
      </c>
      <c r="R58" s="553">
        <v>88.170731707317046</v>
      </c>
      <c r="S58" s="552">
        <f t="shared" si="7"/>
        <v>4</v>
      </c>
      <c r="T58" s="685"/>
      <c r="U58" s="552">
        <v>16</v>
      </c>
      <c r="V58" s="553">
        <v>1399.9999999999995</v>
      </c>
      <c r="W58" s="553">
        <v>87.499999999999972</v>
      </c>
      <c r="X58" s="552">
        <f t="shared" si="8"/>
        <v>6</v>
      </c>
      <c r="Y58" s="685"/>
      <c r="Z58" s="552">
        <v>16</v>
      </c>
      <c r="AA58" s="553">
        <v>1459.3548387096753</v>
      </c>
      <c r="AB58" s="553">
        <v>91.209677419354705</v>
      </c>
      <c r="AC58" s="552">
        <f t="shared" si="9"/>
        <v>4</v>
      </c>
      <c r="AD58" s="685"/>
      <c r="AE58" s="552">
        <v>16</v>
      </c>
      <c r="AF58" s="553">
        <v>1427.5862068965489</v>
      </c>
      <c r="AG58" s="553">
        <v>89.224137931034306</v>
      </c>
      <c r="AH58" s="552">
        <f t="shared" si="10"/>
        <v>5</v>
      </c>
      <c r="AI58" s="685"/>
      <c r="AJ58" s="552">
        <v>16</v>
      </c>
      <c r="AK58" s="553">
        <v>1433.5135135135124</v>
      </c>
      <c r="AL58" s="553">
        <v>89.594594594594525</v>
      </c>
      <c r="AM58" s="552">
        <f t="shared" si="11"/>
        <v>5</v>
      </c>
      <c r="AN58" s="685"/>
      <c r="AO58" s="552">
        <v>16</v>
      </c>
      <c r="AP58" s="553">
        <v>1450.4347826086957</v>
      </c>
      <c r="AQ58" s="553">
        <v>90.652173913043484</v>
      </c>
      <c r="AR58" s="552">
        <f t="shared" si="12"/>
        <v>4</v>
      </c>
      <c r="AS58" s="685"/>
      <c r="AT58" s="552">
        <v>16</v>
      </c>
      <c r="AU58" s="553">
        <v>1462.1052631578937</v>
      </c>
      <c r="AV58" s="553">
        <v>91.381578947368354</v>
      </c>
      <c r="AW58" s="552">
        <f t="shared" si="13"/>
        <v>4</v>
      </c>
      <c r="AX58" s="685"/>
      <c r="AZ58" s="368" t="e">
        <f t="shared" si="14"/>
        <v>#N/A</v>
      </c>
      <c r="BA58" s="685"/>
    </row>
    <row r="59" spans="2:53">
      <c r="B59" s="660"/>
      <c r="C59" s="283">
        <v>18</v>
      </c>
      <c r="D59" s="201" t="s">
        <v>614</v>
      </c>
      <c r="E59" s="534">
        <v>16</v>
      </c>
      <c r="F59" s="201">
        <v>1500</v>
      </c>
      <c r="G59" s="199">
        <v>93.75</v>
      </c>
      <c r="H59" s="699"/>
      <c r="I59" s="363">
        <f t="shared" si="15"/>
        <v>16.857142857142858</v>
      </c>
      <c r="J59" s="363">
        <f t="shared" si="16"/>
        <v>1393.4726169644059</v>
      </c>
      <c r="K59" s="199">
        <f t="shared" si="17"/>
        <v>82.716011576255227</v>
      </c>
      <c r="L59" s="634"/>
      <c r="M59" s="198">
        <f>RANK(K59, K$42:$K$71)</f>
        <v>10</v>
      </c>
      <c r="N59" s="652"/>
      <c r="O59" s="652"/>
      <c r="P59" s="552">
        <v>17</v>
      </c>
      <c r="Q59" s="553">
        <v>1353.7500000000005</v>
      </c>
      <c r="R59" s="553">
        <v>79.632352941176492</v>
      </c>
      <c r="S59" s="552">
        <f t="shared" si="7"/>
        <v>10</v>
      </c>
      <c r="T59" s="685"/>
      <c r="U59" s="552">
        <v>17</v>
      </c>
      <c r="V59" s="553">
        <v>1356.0000000000002</v>
      </c>
      <c r="W59" s="553">
        <v>79.764705882352956</v>
      </c>
      <c r="X59" s="552">
        <f t="shared" si="8"/>
        <v>11</v>
      </c>
      <c r="Y59" s="685"/>
      <c r="Z59" s="552">
        <v>17</v>
      </c>
      <c r="AA59" s="553">
        <v>1399.9999999999989</v>
      </c>
      <c r="AB59" s="553">
        <v>82.352941176470523</v>
      </c>
      <c r="AC59" s="552">
        <f t="shared" si="9"/>
        <v>10</v>
      </c>
      <c r="AD59" s="685"/>
      <c r="AE59" s="552">
        <v>17</v>
      </c>
      <c r="AF59" s="553">
        <v>1397.3684210526305</v>
      </c>
      <c r="AG59" s="553">
        <v>82.198142414860627</v>
      </c>
      <c r="AH59" s="552">
        <f t="shared" si="10"/>
        <v>9</v>
      </c>
      <c r="AI59" s="685"/>
      <c r="AJ59" s="552">
        <v>17</v>
      </c>
      <c r="AK59" s="553">
        <v>1406.0869565217392</v>
      </c>
      <c r="AL59" s="553">
        <v>82.710997442455252</v>
      </c>
      <c r="AM59" s="552">
        <f t="shared" si="11"/>
        <v>10</v>
      </c>
      <c r="AN59" s="685"/>
      <c r="AO59" s="552">
        <v>16</v>
      </c>
      <c r="AP59" s="553">
        <v>1422.3529411764712</v>
      </c>
      <c r="AQ59" s="553">
        <v>88.897058823529449</v>
      </c>
      <c r="AR59" s="552">
        <f t="shared" si="12"/>
        <v>6</v>
      </c>
      <c r="AS59" s="685"/>
      <c r="AT59" s="552">
        <v>17</v>
      </c>
      <c r="AU59" s="553">
        <v>1418.7500000000005</v>
      </c>
      <c r="AV59" s="553">
        <v>83.455882352941202</v>
      </c>
      <c r="AW59" s="552">
        <f t="shared" si="13"/>
        <v>10</v>
      </c>
      <c r="AX59" s="685"/>
      <c r="AZ59" s="368" t="e">
        <f t="shared" si="14"/>
        <v>#N/A</v>
      </c>
      <c r="BA59" s="685"/>
    </row>
    <row r="60" spans="2:53">
      <c r="B60" s="660"/>
      <c r="C60" s="283">
        <v>19</v>
      </c>
      <c r="D60" s="201" t="s">
        <v>610</v>
      </c>
      <c r="E60" s="534">
        <v>16</v>
      </c>
      <c r="F60" s="201">
        <v>1500</v>
      </c>
      <c r="G60" s="199">
        <v>93.75</v>
      </c>
      <c r="H60" s="699"/>
      <c r="I60" s="363">
        <f t="shared" si="15"/>
        <v>16</v>
      </c>
      <c r="J60" s="363">
        <f t="shared" si="16"/>
        <v>1357.2956448746559</v>
      </c>
      <c r="K60" s="199">
        <f t="shared" si="17"/>
        <v>84.830977804665991</v>
      </c>
      <c r="L60" s="634"/>
      <c r="M60" s="198">
        <f>RANK(K60, K$42:$K$71)</f>
        <v>8</v>
      </c>
      <c r="N60" s="652"/>
      <c r="O60" s="652"/>
      <c r="P60" s="552">
        <v>16</v>
      </c>
      <c r="Q60" s="553">
        <v>1335.6521739130421</v>
      </c>
      <c r="R60" s="553">
        <v>83.478260869565133</v>
      </c>
      <c r="S60" s="552">
        <f t="shared" si="7"/>
        <v>7</v>
      </c>
      <c r="T60" s="685"/>
      <c r="U60" s="552">
        <v>16</v>
      </c>
      <c r="V60" s="553">
        <v>1374.3750000000016</v>
      </c>
      <c r="W60" s="553">
        <v>85.898437500000099</v>
      </c>
      <c r="X60" s="552">
        <f t="shared" si="8"/>
        <v>7</v>
      </c>
      <c r="Y60" s="685"/>
      <c r="Z60" s="552">
        <v>16</v>
      </c>
      <c r="AA60" s="553">
        <v>1363.2000000000003</v>
      </c>
      <c r="AB60" s="553">
        <v>85.200000000000017</v>
      </c>
      <c r="AC60" s="552">
        <f t="shared" si="9"/>
        <v>8</v>
      </c>
      <c r="AD60" s="685"/>
      <c r="AE60" s="552">
        <v>16</v>
      </c>
      <c r="AF60" s="553">
        <v>1352.6315789473692</v>
      </c>
      <c r="AG60" s="553">
        <v>84.539473684210577</v>
      </c>
      <c r="AH60" s="552">
        <f t="shared" si="10"/>
        <v>8</v>
      </c>
      <c r="AI60" s="685"/>
      <c r="AJ60" s="552">
        <v>16</v>
      </c>
      <c r="AK60" s="553">
        <v>1354.9253731343267</v>
      </c>
      <c r="AL60" s="553">
        <v>84.68283582089542</v>
      </c>
      <c r="AM60" s="552">
        <f t="shared" si="11"/>
        <v>9</v>
      </c>
      <c r="AN60" s="685"/>
      <c r="AO60" s="552">
        <v>16</v>
      </c>
      <c r="AP60" s="553">
        <v>1359.4520547945194</v>
      </c>
      <c r="AQ60" s="553">
        <v>84.965753424657464</v>
      </c>
      <c r="AR60" s="552">
        <f t="shared" si="12"/>
        <v>10</v>
      </c>
      <c r="AS60" s="685"/>
      <c r="AT60" s="552">
        <v>16</v>
      </c>
      <c r="AU60" s="553">
        <v>1360.8333333333323</v>
      </c>
      <c r="AV60" s="553">
        <v>85.052083333333272</v>
      </c>
      <c r="AW60" s="552">
        <f t="shared" si="13"/>
        <v>9</v>
      </c>
      <c r="AX60" s="685"/>
      <c r="AZ60" s="368" t="e">
        <f t="shared" si="14"/>
        <v>#N/A</v>
      </c>
      <c r="BA60" s="685"/>
    </row>
    <row r="61" spans="2:53">
      <c r="B61" s="660"/>
      <c r="C61" s="283">
        <v>20</v>
      </c>
      <c r="D61" s="201" t="s">
        <v>628</v>
      </c>
      <c r="E61" s="534">
        <v>19</v>
      </c>
      <c r="F61" s="201">
        <v>1440</v>
      </c>
      <c r="G61" s="199">
        <v>75.78947368421052</v>
      </c>
      <c r="H61" s="699"/>
      <c r="I61" s="363">
        <f t="shared" si="15"/>
        <v>19</v>
      </c>
      <c r="J61" s="363">
        <f t="shared" si="16"/>
        <v>1328.6889735691436</v>
      </c>
      <c r="K61" s="199">
        <f t="shared" si="17"/>
        <v>69.930998608902286</v>
      </c>
      <c r="L61" s="634"/>
      <c r="M61" s="198">
        <f>RANK(K61, K$42:$K$71)</f>
        <v>19</v>
      </c>
      <c r="N61" s="652"/>
      <c r="O61" s="652"/>
      <c r="P61" s="552">
        <v>19</v>
      </c>
      <c r="Q61" s="553">
        <v>1313.0769230769238</v>
      </c>
      <c r="R61" s="553">
        <v>69.109311740890732</v>
      </c>
      <c r="S61" s="552">
        <f t="shared" si="7"/>
        <v>19</v>
      </c>
      <c r="T61" s="685"/>
      <c r="U61" s="552">
        <v>19</v>
      </c>
      <c r="V61" s="553">
        <v>1322.3076923076931</v>
      </c>
      <c r="W61" s="553">
        <v>69.595141700404895</v>
      </c>
      <c r="X61" s="552">
        <f t="shared" si="8"/>
        <v>18</v>
      </c>
      <c r="Y61" s="685"/>
      <c r="Z61" s="552">
        <v>19</v>
      </c>
      <c r="AA61" s="553">
        <v>1325.853658536585</v>
      </c>
      <c r="AB61" s="553">
        <v>69.781771501925533</v>
      </c>
      <c r="AC61" s="552">
        <f t="shared" si="9"/>
        <v>20</v>
      </c>
      <c r="AD61" s="685"/>
      <c r="AE61" s="552">
        <v>19</v>
      </c>
      <c r="AF61" s="553">
        <v>1319.9999999999995</v>
      </c>
      <c r="AG61" s="553">
        <v>69.473684210526287</v>
      </c>
      <c r="AH61" s="552">
        <f t="shared" si="10"/>
        <v>19</v>
      </c>
      <c r="AI61" s="685"/>
      <c r="AJ61" s="552">
        <v>19</v>
      </c>
      <c r="AK61" s="553">
        <v>1348.695652173913</v>
      </c>
      <c r="AL61" s="553">
        <v>70.983981693363845</v>
      </c>
      <c r="AM61" s="552">
        <f t="shared" si="11"/>
        <v>19</v>
      </c>
      <c r="AN61" s="685"/>
      <c r="AO61" s="552">
        <v>19</v>
      </c>
      <c r="AP61" s="553">
        <v>1338.8888888888896</v>
      </c>
      <c r="AQ61" s="553">
        <v>70.467836257309983</v>
      </c>
      <c r="AR61" s="552">
        <f t="shared" si="12"/>
        <v>19</v>
      </c>
      <c r="AS61" s="685"/>
      <c r="AT61" s="552">
        <v>19</v>
      </c>
      <c r="AU61" s="553">
        <v>1332.0000000000005</v>
      </c>
      <c r="AV61" s="553">
        <v>70.105263157894754</v>
      </c>
      <c r="AW61" s="552">
        <f t="shared" si="13"/>
        <v>19</v>
      </c>
      <c r="AX61" s="685"/>
      <c r="AZ61" s="368" t="e">
        <f t="shared" si="14"/>
        <v>#N/A</v>
      </c>
      <c r="BA61" s="685"/>
    </row>
    <row r="62" spans="2:53">
      <c r="B62" s="660"/>
      <c r="C62" s="283">
        <v>21</v>
      </c>
      <c r="D62" s="201" t="s">
        <v>698</v>
      </c>
      <c r="E62" s="534">
        <v>21</v>
      </c>
      <c r="F62" s="201">
        <v>1440</v>
      </c>
      <c r="G62" s="199">
        <v>68.571428571428569</v>
      </c>
      <c r="H62" s="699"/>
      <c r="I62" s="363">
        <f t="shared" si="15"/>
        <v>21</v>
      </c>
      <c r="J62" s="363">
        <f t="shared" si="16"/>
        <v>1181.776960955264</v>
      </c>
      <c r="K62" s="199">
        <f t="shared" si="17"/>
        <v>56.275093378822099</v>
      </c>
      <c r="L62" s="634"/>
      <c r="M62" s="198">
        <f>RANK(K62, K$42:$K$71)</f>
        <v>24</v>
      </c>
      <c r="N62" s="652"/>
      <c r="O62" s="652"/>
      <c r="P62" s="552">
        <v>21</v>
      </c>
      <c r="Q62" s="553">
        <v>1167.3684210526324</v>
      </c>
      <c r="R62" s="553">
        <v>55.588972431077728</v>
      </c>
      <c r="S62" s="552">
        <f t="shared" si="7"/>
        <v>24</v>
      </c>
      <c r="T62" s="685"/>
      <c r="U62" s="552">
        <v>21</v>
      </c>
      <c r="V62" s="553">
        <v>1176.8421052631588</v>
      </c>
      <c r="W62" s="553">
        <v>56.040100250626608</v>
      </c>
      <c r="X62" s="552">
        <f t="shared" si="8"/>
        <v>24</v>
      </c>
      <c r="Y62" s="685"/>
      <c r="Z62" s="552">
        <v>21</v>
      </c>
      <c r="AA62" s="553">
        <v>1174.285714285714</v>
      </c>
      <c r="AB62" s="553">
        <v>55.918367346938759</v>
      </c>
      <c r="AC62" s="552">
        <f t="shared" si="9"/>
        <v>24</v>
      </c>
      <c r="AD62" s="685"/>
      <c r="AE62" s="552">
        <v>21</v>
      </c>
      <c r="AF62" s="553">
        <v>1184.9999999999995</v>
      </c>
      <c r="AG62" s="553">
        <v>56.428571428571409</v>
      </c>
      <c r="AH62" s="552">
        <f t="shared" si="10"/>
        <v>24</v>
      </c>
      <c r="AI62" s="685"/>
      <c r="AJ62" s="552">
        <v>21</v>
      </c>
      <c r="AK62" s="553">
        <v>1197.5510204081636</v>
      </c>
      <c r="AL62" s="553">
        <v>57.026239067055407</v>
      </c>
      <c r="AM62" s="552">
        <f t="shared" si="11"/>
        <v>24</v>
      </c>
      <c r="AN62" s="685"/>
      <c r="AO62" s="552">
        <v>21</v>
      </c>
      <c r="AP62" s="553">
        <v>1183.6363636363644</v>
      </c>
      <c r="AQ62" s="553">
        <v>56.363636363636402</v>
      </c>
      <c r="AR62" s="552">
        <f t="shared" si="12"/>
        <v>24</v>
      </c>
      <c r="AS62" s="685"/>
      <c r="AT62" s="552">
        <v>21</v>
      </c>
      <c r="AU62" s="553">
        <v>1187.7551020408168</v>
      </c>
      <c r="AV62" s="553">
        <v>56.559766763848422</v>
      </c>
      <c r="AW62" s="552">
        <f t="shared" si="13"/>
        <v>24</v>
      </c>
      <c r="AX62" s="685"/>
      <c r="AZ62" s="368" t="e">
        <f t="shared" si="14"/>
        <v>#N/A</v>
      </c>
      <c r="BA62" s="685"/>
    </row>
    <row r="63" spans="2:53">
      <c r="B63" s="660"/>
      <c r="C63" s="283">
        <v>22</v>
      </c>
      <c r="D63" s="201" t="s">
        <v>700</v>
      </c>
      <c r="E63" s="534">
        <v>19</v>
      </c>
      <c r="F63" s="201">
        <v>1440</v>
      </c>
      <c r="G63" s="199">
        <v>75.78947368421052</v>
      </c>
      <c r="H63" s="699"/>
      <c r="I63" s="363">
        <f t="shared" si="15"/>
        <v>19</v>
      </c>
      <c r="J63" s="363">
        <f t="shared" si="16"/>
        <v>1279.420140385299</v>
      </c>
      <c r="K63" s="199">
        <f t="shared" si="17"/>
        <v>67.337902125542058</v>
      </c>
      <c r="L63" s="634"/>
      <c r="M63" s="198">
        <f>RANK(K63, K$42:$K$71)</f>
        <v>21</v>
      </c>
      <c r="N63" s="652"/>
      <c r="O63" s="652"/>
      <c r="P63" s="552">
        <v>19</v>
      </c>
      <c r="Q63" s="553">
        <v>1310.1492537313416</v>
      </c>
      <c r="R63" s="553">
        <v>68.955223880596918</v>
      </c>
      <c r="S63" s="552">
        <f t="shared" si="7"/>
        <v>20</v>
      </c>
      <c r="T63" s="685"/>
      <c r="U63" s="552">
        <v>19</v>
      </c>
      <c r="V63" s="553">
        <v>1306.8750000000016</v>
      </c>
      <c r="W63" s="553">
        <v>68.782894736842195</v>
      </c>
      <c r="X63" s="552">
        <f t="shared" si="8"/>
        <v>20</v>
      </c>
      <c r="Y63" s="685"/>
      <c r="Z63" s="552">
        <v>19</v>
      </c>
      <c r="AA63" s="553">
        <v>1296.8421052631588</v>
      </c>
      <c r="AB63" s="553">
        <v>68.254847645429408</v>
      </c>
      <c r="AC63" s="552">
        <f t="shared" si="9"/>
        <v>21</v>
      </c>
      <c r="AD63" s="685"/>
      <c r="AE63" s="552">
        <v>19</v>
      </c>
      <c r="AF63" s="553">
        <v>1250.6896551724146</v>
      </c>
      <c r="AG63" s="553">
        <v>65.825771324863922</v>
      </c>
      <c r="AH63" s="552">
        <f t="shared" si="10"/>
        <v>22</v>
      </c>
      <c r="AI63" s="685"/>
      <c r="AJ63" s="552">
        <v>19</v>
      </c>
      <c r="AK63" s="553">
        <v>1260.799999999999</v>
      </c>
      <c r="AL63" s="553">
        <v>66.357894736842056</v>
      </c>
      <c r="AM63" s="552">
        <f t="shared" si="11"/>
        <v>22</v>
      </c>
      <c r="AN63" s="685"/>
      <c r="AO63" s="552">
        <v>19</v>
      </c>
      <c r="AP63" s="553">
        <v>1267.2972972973018</v>
      </c>
      <c r="AQ63" s="553">
        <v>66.699857752489564</v>
      </c>
      <c r="AR63" s="552">
        <f t="shared" si="12"/>
        <v>22</v>
      </c>
      <c r="AS63" s="685"/>
      <c r="AT63" s="552">
        <v>19</v>
      </c>
      <c r="AU63" s="553">
        <v>1263.2876712328757</v>
      </c>
      <c r="AV63" s="553">
        <v>66.488824801730303</v>
      </c>
      <c r="AW63" s="552">
        <f t="shared" si="13"/>
        <v>22</v>
      </c>
      <c r="AX63" s="685"/>
      <c r="AZ63" s="368" t="e">
        <f t="shared" si="14"/>
        <v>#N/A</v>
      </c>
      <c r="BA63" s="685"/>
    </row>
    <row r="64" spans="2:53">
      <c r="B64" s="660"/>
      <c r="C64" s="283">
        <v>23</v>
      </c>
      <c r="D64" s="201" t="s">
        <v>709</v>
      </c>
      <c r="E64" s="534">
        <v>17</v>
      </c>
      <c r="F64" s="201">
        <v>1440</v>
      </c>
      <c r="G64" s="199">
        <v>84.705882352941174</v>
      </c>
      <c r="H64" s="699"/>
      <c r="I64" s="363">
        <f t="shared" si="15"/>
        <v>17</v>
      </c>
      <c r="J64" s="363">
        <f t="shared" si="16"/>
        <v>1308.2297148360228</v>
      </c>
      <c r="K64" s="199">
        <f t="shared" si="17"/>
        <v>76.954689108001347</v>
      </c>
      <c r="L64" s="634"/>
      <c r="M64" s="198">
        <f>RANK(K64, K$42:$K$71)</f>
        <v>16</v>
      </c>
      <c r="N64" s="652"/>
      <c r="O64" s="652"/>
      <c r="P64" s="552">
        <v>17</v>
      </c>
      <c r="Q64" s="553">
        <v>1272.5000000000005</v>
      </c>
      <c r="R64" s="553">
        <v>74.852941176470608</v>
      </c>
      <c r="S64" s="552">
        <f t="shared" si="7"/>
        <v>15</v>
      </c>
      <c r="T64" s="685"/>
      <c r="U64" s="552">
        <v>17</v>
      </c>
      <c r="V64" s="553">
        <v>1292.4000000000003</v>
      </c>
      <c r="W64" s="553">
        <v>76.023529411764727</v>
      </c>
      <c r="X64" s="552">
        <f t="shared" si="8"/>
        <v>14</v>
      </c>
      <c r="Y64" s="685"/>
      <c r="Z64" s="552">
        <v>17</v>
      </c>
      <c r="AA64" s="553">
        <v>1367.027027027026</v>
      </c>
      <c r="AB64" s="553">
        <v>80.413354531001531</v>
      </c>
      <c r="AC64" s="552">
        <f t="shared" si="9"/>
        <v>13</v>
      </c>
      <c r="AD64" s="685"/>
      <c r="AE64" s="552">
        <v>17</v>
      </c>
      <c r="AF64" s="553">
        <v>1354.2857142857129</v>
      </c>
      <c r="AG64" s="553">
        <v>79.663865546218403</v>
      </c>
      <c r="AH64" s="552">
        <f t="shared" si="10"/>
        <v>14</v>
      </c>
      <c r="AI64" s="685"/>
      <c r="AJ64" s="552">
        <v>17</v>
      </c>
      <c r="AK64" s="553">
        <v>1344.3243243243232</v>
      </c>
      <c r="AL64" s="553">
        <v>79.077901430842545</v>
      </c>
      <c r="AM64" s="552">
        <f t="shared" si="11"/>
        <v>15</v>
      </c>
      <c r="AN64" s="685"/>
      <c r="AO64" s="552">
        <v>17</v>
      </c>
      <c r="AP64" s="553">
        <v>1263.9130434782567</v>
      </c>
      <c r="AQ64" s="553">
        <v>74.347826086956275</v>
      </c>
      <c r="AR64" s="552">
        <f t="shared" si="12"/>
        <v>16</v>
      </c>
      <c r="AS64" s="685"/>
      <c r="AT64" s="552">
        <v>17</v>
      </c>
      <c r="AU64" s="553">
        <v>1263.1578947368412</v>
      </c>
      <c r="AV64" s="553">
        <v>74.303405572755366</v>
      </c>
      <c r="AW64" s="552">
        <f t="shared" si="13"/>
        <v>16</v>
      </c>
      <c r="AX64" s="685"/>
      <c r="AZ64" s="368" t="e">
        <f t="shared" si="14"/>
        <v>#N/A</v>
      </c>
      <c r="BA64" s="685"/>
    </row>
    <row r="65" spans="2:53">
      <c r="B65" s="660"/>
      <c r="C65" s="283">
        <v>24</v>
      </c>
      <c r="D65" s="201" t="s">
        <v>731</v>
      </c>
      <c r="E65" s="534">
        <v>15</v>
      </c>
      <c r="F65" s="201">
        <v>1440</v>
      </c>
      <c r="G65" s="199">
        <v>96</v>
      </c>
      <c r="H65" s="699"/>
      <c r="I65" s="363">
        <f t="shared" si="15"/>
        <v>15</v>
      </c>
      <c r="J65" s="363">
        <f t="shared" si="16"/>
        <v>1351.5735869506484</v>
      </c>
      <c r="K65" s="199">
        <f t="shared" si="17"/>
        <v>90.1049057967099</v>
      </c>
      <c r="L65" s="634"/>
      <c r="M65" s="198">
        <f>RANK(K65, K$42:$K$71)</f>
        <v>4</v>
      </c>
      <c r="N65" s="652"/>
      <c r="O65" s="652"/>
      <c r="P65" s="552">
        <v>15</v>
      </c>
      <c r="Q65" s="553">
        <v>1353.5999999999997</v>
      </c>
      <c r="R65" s="553">
        <v>90.239999999999981</v>
      </c>
      <c r="S65" s="552">
        <f t="shared" si="7"/>
        <v>3</v>
      </c>
      <c r="T65" s="685"/>
      <c r="U65" s="552">
        <v>15</v>
      </c>
      <c r="V65" s="553">
        <v>1331.6949152542365</v>
      </c>
      <c r="W65" s="553">
        <v>88.779661016949106</v>
      </c>
      <c r="X65" s="552">
        <f t="shared" si="8"/>
        <v>4</v>
      </c>
      <c r="Y65" s="685"/>
      <c r="Z65" s="552">
        <v>15</v>
      </c>
      <c r="AA65" s="553">
        <v>1356.4285714285711</v>
      </c>
      <c r="AB65" s="553">
        <v>90.428571428571402</v>
      </c>
      <c r="AC65" s="552">
        <f t="shared" si="9"/>
        <v>5</v>
      </c>
      <c r="AD65" s="685"/>
      <c r="AE65" s="552">
        <v>15</v>
      </c>
      <c r="AF65" s="553">
        <v>1356.315789473683</v>
      </c>
      <c r="AG65" s="553">
        <v>90.421052631578874</v>
      </c>
      <c r="AH65" s="552">
        <f t="shared" si="10"/>
        <v>4</v>
      </c>
      <c r="AI65" s="685"/>
      <c r="AJ65" s="552">
        <v>15</v>
      </c>
      <c r="AK65" s="553">
        <v>1354.5205479452045</v>
      </c>
      <c r="AL65" s="553">
        <v>90.301369863013633</v>
      </c>
      <c r="AM65" s="552">
        <f t="shared" si="11"/>
        <v>4</v>
      </c>
      <c r="AN65" s="685"/>
      <c r="AO65" s="552">
        <v>15</v>
      </c>
      <c r="AP65" s="553">
        <v>1353.3333333333328</v>
      </c>
      <c r="AQ65" s="553">
        <v>90.222222222222186</v>
      </c>
      <c r="AR65" s="552">
        <f t="shared" si="12"/>
        <v>5</v>
      </c>
      <c r="AS65" s="685"/>
      <c r="AT65" s="552">
        <v>15</v>
      </c>
      <c r="AU65" s="553">
        <v>1355.1219512195119</v>
      </c>
      <c r="AV65" s="553">
        <v>90.34146341463412</v>
      </c>
      <c r="AW65" s="552">
        <f t="shared" si="13"/>
        <v>5</v>
      </c>
      <c r="AX65" s="685"/>
      <c r="AZ65" s="368" t="e">
        <f t="shared" si="14"/>
        <v>#N/A</v>
      </c>
      <c r="BA65" s="685"/>
    </row>
    <row r="66" spans="2:53">
      <c r="B66" s="660"/>
      <c r="C66" s="283">
        <v>25</v>
      </c>
      <c r="D66" s="201"/>
      <c r="E66" s="534"/>
      <c r="F66" s="201"/>
      <c r="G66" s="199"/>
      <c r="H66" s="699"/>
      <c r="I66" s="363" t="str">
        <f t="shared" si="15"/>
        <v>-</v>
      </c>
      <c r="J66" s="363" t="str">
        <f t="shared" si="16"/>
        <v>-</v>
      </c>
      <c r="K66" s="199" t="str">
        <f t="shared" si="17"/>
        <v>-</v>
      </c>
      <c r="L66" s="634"/>
      <c r="M66" s="198" t="e">
        <f>RANK(K66, K$42:$K$71)</f>
        <v>#VALUE!</v>
      </c>
      <c r="N66" s="652"/>
      <c r="O66" s="652"/>
      <c r="P66" s="552" t="s">
        <v>585</v>
      </c>
      <c r="Q66" s="553" t="s">
        <v>585</v>
      </c>
      <c r="R66" s="553" t="s">
        <v>585</v>
      </c>
      <c r="S66" s="552" t="e">
        <f t="shared" si="7"/>
        <v>#VALUE!</v>
      </c>
      <c r="T66" s="685"/>
      <c r="U66" s="552" t="s">
        <v>585</v>
      </c>
      <c r="V66" s="553" t="s">
        <v>585</v>
      </c>
      <c r="W66" s="553" t="s">
        <v>585</v>
      </c>
      <c r="X66" s="552" t="e">
        <f t="shared" si="8"/>
        <v>#VALUE!</v>
      </c>
      <c r="Y66" s="685"/>
      <c r="Z66" s="552" t="s">
        <v>585</v>
      </c>
      <c r="AA66" s="553" t="s">
        <v>585</v>
      </c>
      <c r="AB66" s="553" t="s">
        <v>585</v>
      </c>
      <c r="AC66" s="552" t="e">
        <f t="shared" si="9"/>
        <v>#VALUE!</v>
      </c>
      <c r="AD66" s="685"/>
      <c r="AE66" s="552" t="s">
        <v>585</v>
      </c>
      <c r="AF66" s="553" t="s">
        <v>585</v>
      </c>
      <c r="AG66" s="553" t="s">
        <v>585</v>
      </c>
      <c r="AH66" s="552" t="e">
        <f t="shared" si="10"/>
        <v>#VALUE!</v>
      </c>
      <c r="AI66" s="685"/>
      <c r="AJ66" s="552" t="s">
        <v>585</v>
      </c>
      <c r="AK66" s="553" t="s">
        <v>585</v>
      </c>
      <c r="AL66" s="553" t="s">
        <v>585</v>
      </c>
      <c r="AM66" s="552" t="e">
        <f t="shared" si="11"/>
        <v>#VALUE!</v>
      </c>
      <c r="AN66" s="685"/>
      <c r="AO66" s="552" t="s">
        <v>585</v>
      </c>
      <c r="AP66" s="553" t="s">
        <v>585</v>
      </c>
      <c r="AQ66" s="553" t="s">
        <v>585</v>
      </c>
      <c r="AR66" s="552" t="e">
        <f t="shared" si="12"/>
        <v>#VALUE!</v>
      </c>
      <c r="AS66" s="685"/>
      <c r="AT66" s="552" t="s">
        <v>585</v>
      </c>
      <c r="AU66" s="553" t="s">
        <v>585</v>
      </c>
      <c r="AV66" s="553" t="s">
        <v>585</v>
      </c>
      <c r="AW66" s="552" t="e">
        <f t="shared" si="13"/>
        <v>#VALUE!</v>
      </c>
      <c r="AX66" s="685"/>
      <c r="AZ66" s="368" t="e">
        <f t="shared" si="14"/>
        <v>#N/A</v>
      </c>
      <c r="BA66" s="685"/>
    </row>
    <row r="67" spans="2:53">
      <c r="B67" s="660"/>
      <c r="C67" s="283">
        <v>26</v>
      </c>
      <c r="D67" s="201"/>
      <c r="E67" s="534"/>
      <c r="F67" s="201"/>
      <c r="G67" s="199"/>
      <c r="H67" s="699"/>
      <c r="I67" s="363" t="str">
        <f t="shared" si="15"/>
        <v>-</v>
      </c>
      <c r="J67" s="363" t="str">
        <f t="shared" si="16"/>
        <v>-</v>
      </c>
      <c r="K67" s="199" t="str">
        <f t="shared" si="17"/>
        <v>-</v>
      </c>
      <c r="L67" s="634"/>
      <c r="M67" s="198" t="e">
        <f>RANK(K67, K$42:$K$71)</f>
        <v>#VALUE!</v>
      </c>
      <c r="N67" s="652"/>
      <c r="O67" s="652"/>
      <c r="P67" s="552" t="s">
        <v>585</v>
      </c>
      <c r="Q67" s="553" t="s">
        <v>585</v>
      </c>
      <c r="R67" s="553" t="s">
        <v>585</v>
      </c>
      <c r="S67" s="552" t="e">
        <f t="shared" si="7"/>
        <v>#VALUE!</v>
      </c>
      <c r="T67" s="685"/>
      <c r="U67" s="552" t="s">
        <v>585</v>
      </c>
      <c r="V67" s="553" t="s">
        <v>585</v>
      </c>
      <c r="W67" s="553" t="s">
        <v>585</v>
      </c>
      <c r="X67" s="552" t="e">
        <f t="shared" si="8"/>
        <v>#VALUE!</v>
      </c>
      <c r="Y67" s="685"/>
      <c r="Z67" s="552" t="s">
        <v>585</v>
      </c>
      <c r="AA67" s="553" t="s">
        <v>585</v>
      </c>
      <c r="AB67" s="553" t="s">
        <v>585</v>
      </c>
      <c r="AC67" s="552" t="e">
        <f t="shared" si="9"/>
        <v>#VALUE!</v>
      </c>
      <c r="AD67" s="685"/>
      <c r="AE67" s="552" t="s">
        <v>585</v>
      </c>
      <c r="AF67" s="553" t="s">
        <v>585</v>
      </c>
      <c r="AG67" s="553" t="s">
        <v>585</v>
      </c>
      <c r="AH67" s="552" t="e">
        <f t="shared" si="10"/>
        <v>#VALUE!</v>
      </c>
      <c r="AI67" s="685"/>
      <c r="AJ67" s="552" t="s">
        <v>585</v>
      </c>
      <c r="AK67" s="553" t="s">
        <v>585</v>
      </c>
      <c r="AL67" s="553" t="s">
        <v>585</v>
      </c>
      <c r="AM67" s="552" t="e">
        <f t="shared" si="11"/>
        <v>#VALUE!</v>
      </c>
      <c r="AN67" s="685"/>
      <c r="AO67" s="552" t="s">
        <v>585</v>
      </c>
      <c r="AP67" s="553" t="s">
        <v>585</v>
      </c>
      <c r="AQ67" s="553" t="s">
        <v>585</v>
      </c>
      <c r="AR67" s="552" t="e">
        <f t="shared" si="12"/>
        <v>#VALUE!</v>
      </c>
      <c r="AS67" s="685"/>
      <c r="AT67" s="552" t="s">
        <v>585</v>
      </c>
      <c r="AU67" s="553" t="s">
        <v>585</v>
      </c>
      <c r="AV67" s="553" t="s">
        <v>585</v>
      </c>
      <c r="AW67" s="552" t="e">
        <f t="shared" si="13"/>
        <v>#VALUE!</v>
      </c>
      <c r="AX67" s="685"/>
      <c r="AZ67" s="368" t="e">
        <f t="shared" si="14"/>
        <v>#N/A</v>
      </c>
      <c r="BA67" s="685"/>
    </row>
    <row r="68" spans="2:53">
      <c r="B68" s="660"/>
      <c r="C68" s="283">
        <v>27</v>
      </c>
      <c r="D68" s="201"/>
      <c r="E68" s="534"/>
      <c r="F68" s="201"/>
      <c r="G68" s="199"/>
      <c r="H68" s="699"/>
      <c r="I68" s="363" t="str">
        <f t="shared" si="15"/>
        <v>-</v>
      </c>
      <c r="J68" s="363" t="str">
        <f t="shared" si="16"/>
        <v>-</v>
      </c>
      <c r="K68" s="199" t="str">
        <f t="shared" si="17"/>
        <v>-</v>
      </c>
      <c r="L68" s="634"/>
      <c r="M68" s="198" t="e">
        <f>RANK(K68, K$42:$K$71)</f>
        <v>#VALUE!</v>
      </c>
      <c r="N68" s="652"/>
      <c r="O68" s="652"/>
      <c r="P68" s="552" t="s">
        <v>585</v>
      </c>
      <c r="Q68" s="553" t="s">
        <v>585</v>
      </c>
      <c r="R68" s="553" t="s">
        <v>585</v>
      </c>
      <c r="S68" s="552" t="e">
        <f t="shared" si="7"/>
        <v>#VALUE!</v>
      </c>
      <c r="T68" s="685"/>
      <c r="U68" s="552" t="s">
        <v>585</v>
      </c>
      <c r="V68" s="553" t="s">
        <v>585</v>
      </c>
      <c r="W68" s="553" t="s">
        <v>585</v>
      </c>
      <c r="X68" s="552" t="e">
        <f t="shared" si="8"/>
        <v>#VALUE!</v>
      </c>
      <c r="Y68" s="685"/>
      <c r="Z68" s="552" t="s">
        <v>585</v>
      </c>
      <c r="AA68" s="553" t="s">
        <v>585</v>
      </c>
      <c r="AB68" s="553" t="s">
        <v>585</v>
      </c>
      <c r="AC68" s="552" t="e">
        <f t="shared" si="9"/>
        <v>#VALUE!</v>
      </c>
      <c r="AD68" s="685"/>
      <c r="AE68" s="552" t="s">
        <v>585</v>
      </c>
      <c r="AF68" s="553" t="s">
        <v>585</v>
      </c>
      <c r="AG68" s="553" t="s">
        <v>585</v>
      </c>
      <c r="AH68" s="552" t="e">
        <f t="shared" si="10"/>
        <v>#VALUE!</v>
      </c>
      <c r="AI68" s="685"/>
      <c r="AJ68" s="552" t="s">
        <v>585</v>
      </c>
      <c r="AK68" s="553" t="s">
        <v>585</v>
      </c>
      <c r="AL68" s="553" t="s">
        <v>585</v>
      </c>
      <c r="AM68" s="552" t="e">
        <f t="shared" si="11"/>
        <v>#VALUE!</v>
      </c>
      <c r="AN68" s="685"/>
      <c r="AO68" s="552" t="s">
        <v>585</v>
      </c>
      <c r="AP68" s="553" t="s">
        <v>585</v>
      </c>
      <c r="AQ68" s="553" t="s">
        <v>585</v>
      </c>
      <c r="AR68" s="552" t="e">
        <f t="shared" si="12"/>
        <v>#VALUE!</v>
      </c>
      <c r="AS68" s="685"/>
      <c r="AT68" s="552" t="s">
        <v>585</v>
      </c>
      <c r="AU68" s="553" t="s">
        <v>585</v>
      </c>
      <c r="AV68" s="553" t="s">
        <v>585</v>
      </c>
      <c r="AW68" s="552" t="e">
        <f t="shared" si="13"/>
        <v>#VALUE!</v>
      </c>
      <c r="AX68" s="685"/>
      <c r="AZ68" s="368" t="e">
        <f t="shared" si="14"/>
        <v>#N/A</v>
      </c>
      <c r="BA68" s="685"/>
    </row>
    <row r="69" spans="2:53">
      <c r="B69" s="660"/>
      <c r="C69" s="283">
        <v>28</v>
      </c>
      <c r="D69" s="201"/>
      <c r="E69" s="534"/>
      <c r="F69" s="201"/>
      <c r="G69" s="199"/>
      <c r="H69" s="699"/>
      <c r="I69" s="363" t="str">
        <f t="shared" si="15"/>
        <v>-</v>
      </c>
      <c r="J69" s="363" t="str">
        <f t="shared" si="16"/>
        <v>-</v>
      </c>
      <c r="K69" s="199" t="str">
        <f t="shared" si="17"/>
        <v>-</v>
      </c>
      <c r="L69" s="634"/>
      <c r="M69" s="198" t="e">
        <f>RANK(K69, K$42:$K$71)</f>
        <v>#VALUE!</v>
      </c>
      <c r="N69" s="652"/>
      <c r="O69" s="652"/>
      <c r="P69" s="552" t="s">
        <v>585</v>
      </c>
      <c r="Q69" s="553" t="s">
        <v>585</v>
      </c>
      <c r="R69" s="553" t="s">
        <v>585</v>
      </c>
      <c r="S69" s="552" t="e">
        <f t="shared" si="7"/>
        <v>#VALUE!</v>
      </c>
      <c r="T69" s="685"/>
      <c r="U69" s="552" t="s">
        <v>585</v>
      </c>
      <c r="V69" s="553" t="s">
        <v>585</v>
      </c>
      <c r="W69" s="553" t="s">
        <v>585</v>
      </c>
      <c r="X69" s="552" t="e">
        <f t="shared" si="8"/>
        <v>#VALUE!</v>
      </c>
      <c r="Y69" s="685"/>
      <c r="Z69" s="552" t="s">
        <v>585</v>
      </c>
      <c r="AA69" s="553" t="s">
        <v>585</v>
      </c>
      <c r="AB69" s="553" t="s">
        <v>585</v>
      </c>
      <c r="AC69" s="552" t="e">
        <f t="shared" si="9"/>
        <v>#VALUE!</v>
      </c>
      <c r="AD69" s="685"/>
      <c r="AE69" s="552" t="s">
        <v>585</v>
      </c>
      <c r="AF69" s="553" t="s">
        <v>585</v>
      </c>
      <c r="AG69" s="553" t="s">
        <v>585</v>
      </c>
      <c r="AH69" s="552" t="e">
        <f t="shared" si="10"/>
        <v>#VALUE!</v>
      </c>
      <c r="AI69" s="685"/>
      <c r="AJ69" s="552" t="s">
        <v>585</v>
      </c>
      <c r="AK69" s="553" t="s">
        <v>585</v>
      </c>
      <c r="AL69" s="553" t="s">
        <v>585</v>
      </c>
      <c r="AM69" s="552" t="e">
        <f t="shared" si="11"/>
        <v>#VALUE!</v>
      </c>
      <c r="AN69" s="685"/>
      <c r="AO69" s="552" t="s">
        <v>585</v>
      </c>
      <c r="AP69" s="553" t="s">
        <v>585</v>
      </c>
      <c r="AQ69" s="553" t="s">
        <v>585</v>
      </c>
      <c r="AR69" s="552" t="e">
        <f t="shared" si="12"/>
        <v>#VALUE!</v>
      </c>
      <c r="AS69" s="685"/>
      <c r="AT69" s="552" t="s">
        <v>585</v>
      </c>
      <c r="AU69" s="553" t="s">
        <v>585</v>
      </c>
      <c r="AV69" s="553" t="s">
        <v>585</v>
      </c>
      <c r="AW69" s="552" t="e">
        <f t="shared" si="13"/>
        <v>#VALUE!</v>
      </c>
      <c r="AX69" s="685"/>
      <c r="AZ69" s="368" t="e">
        <f t="shared" si="14"/>
        <v>#N/A</v>
      </c>
      <c r="BA69" s="685"/>
    </row>
    <row r="70" spans="2:53">
      <c r="B70" s="660"/>
      <c r="C70" s="283">
        <v>29</v>
      </c>
      <c r="D70" s="201"/>
      <c r="E70" s="534"/>
      <c r="F70" s="201"/>
      <c r="G70" s="199"/>
      <c r="H70" s="699"/>
      <c r="I70" s="363" t="str">
        <f t="shared" si="15"/>
        <v>-</v>
      </c>
      <c r="J70" s="363" t="str">
        <f t="shared" si="16"/>
        <v>-</v>
      </c>
      <c r="K70" s="199" t="str">
        <f t="shared" si="17"/>
        <v>-</v>
      </c>
      <c r="L70" s="634"/>
      <c r="M70" s="198" t="e">
        <f>RANK(K70, K$42:$K$71)</f>
        <v>#VALUE!</v>
      </c>
      <c r="N70" s="652"/>
      <c r="O70" s="652"/>
      <c r="P70" s="552" t="s">
        <v>585</v>
      </c>
      <c r="Q70" s="553" t="s">
        <v>585</v>
      </c>
      <c r="R70" s="553" t="s">
        <v>585</v>
      </c>
      <c r="S70" s="552" t="e">
        <f t="shared" si="7"/>
        <v>#VALUE!</v>
      </c>
      <c r="T70" s="685"/>
      <c r="U70" s="552" t="s">
        <v>585</v>
      </c>
      <c r="V70" s="553" t="s">
        <v>585</v>
      </c>
      <c r="W70" s="553" t="s">
        <v>585</v>
      </c>
      <c r="X70" s="552" t="e">
        <f t="shared" si="8"/>
        <v>#VALUE!</v>
      </c>
      <c r="Y70" s="685"/>
      <c r="Z70" s="552" t="s">
        <v>585</v>
      </c>
      <c r="AA70" s="553" t="s">
        <v>585</v>
      </c>
      <c r="AB70" s="553" t="s">
        <v>585</v>
      </c>
      <c r="AC70" s="552" t="e">
        <f t="shared" si="9"/>
        <v>#VALUE!</v>
      </c>
      <c r="AD70" s="685"/>
      <c r="AE70" s="552" t="s">
        <v>585</v>
      </c>
      <c r="AF70" s="553" t="s">
        <v>585</v>
      </c>
      <c r="AG70" s="553" t="s">
        <v>585</v>
      </c>
      <c r="AH70" s="552" t="e">
        <f t="shared" si="10"/>
        <v>#VALUE!</v>
      </c>
      <c r="AI70" s="685"/>
      <c r="AJ70" s="552" t="s">
        <v>585</v>
      </c>
      <c r="AK70" s="553" t="s">
        <v>585</v>
      </c>
      <c r="AL70" s="553" t="s">
        <v>585</v>
      </c>
      <c r="AM70" s="552" t="e">
        <f t="shared" si="11"/>
        <v>#VALUE!</v>
      </c>
      <c r="AN70" s="685"/>
      <c r="AO70" s="552" t="s">
        <v>585</v>
      </c>
      <c r="AP70" s="553" t="s">
        <v>585</v>
      </c>
      <c r="AQ70" s="553" t="s">
        <v>585</v>
      </c>
      <c r="AR70" s="552" t="e">
        <f t="shared" si="12"/>
        <v>#VALUE!</v>
      </c>
      <c r="AS70" s="685"/>
      <c r="AT70" s="552" t="s">
        <v>585</v>
      </c>
      <c r="AU70" s="553" t="s">
        <v>585</v>
      </c>
      <c r="AV70" s="553" t="s">
        <v>585</v>
      </c>
      <c r="AW70" s="552" t="e">
        <f t="shared" si="13"/>
        <v>#VALUE!</v>
      </c>
      <c r="AX70" s="685"/>
      <c r="AZ70" s="368" t="e">
        <f t="shared" si="14"/>
        <v>#N/A</v>
      </c>
      <c r="BA70" s="685"/>
    </row>
    <row r="71" spans="2:53">
      <c r="B71" s="660"/>
      <c r="C71" s="283">
        <v>30</v>
      </c>
      <c r="D71" s="201"/>
      <c r="E71" s="534"/>
      <c r="F71" s="201"/>
      <c r="G71" s="199"/>
      <c r="H71" s="700"/>
      <c r="I71" s="363" t="str">
        <f t="shared" si="15"/>
        <v>-</v>
      </c>
      <c r="J71" s="363" t="str">
        <f t="shared" si="16"/>
        <v>-</v>
      </c>
      <c r="K71" s="199" t="str">
        <f t="shared" si="17"/>
        <v>-</v>
      </c>
      <c r="L71" s="635"/>
      <c r="M71" s="198" t="e">
        <f>RANK(K71, K$42:$K$71)</f>
        <v>#VALUE!</v>
      </c>
      <c r="N71" s="652"/>
      <c r="O71" s="652"/>
      <c r="P71" s="552" t="s">
        <v>585</v>
      </c>
      <c r="Q71" s="553" t="s">
        <v>585</v>
      </c>
      <c r="R71" s="553" t="s">
        <v>585</v>
      </c>
      <c r="S71" s="552" t="e">
        <f t="shared" si="7"/>
        <v>#VALUE!</v>
      </c>
      <c r="T71" s="685"/>
      <c r="U71" s="552" t="s">
        <v>585</v>
      </c>
      <c r="V71" s="553" t="s">
        <v>585</v>
      </c>
      <c r="W71" s="553" t="s">
        <v>585</v>
      </c>
      <c r="X71" s="552" t="e">
        <f t="shared" si="8"/>
        <v>#VALUE!</v>
      </c>
      <c r="Y71" s="685"/>
      <c r="Z71" s="552" t="s">
        <v>585</v>
      </c>
      <c r="AA71" s="553" t="s">
        <v>585</v>
      </c>
      <c r="AB71" s="553" t="s">
        <v>585</v>
      </c>
      <c r="AC71" s="552" t="e">
        <f t="shared" si="9"/>
        <v>#VALUE!</v>
      </c>
      <c r="AD71" s="685"/>
      <c r="AE71" s="552" t="s">
        <v>585</v>
      </c>
      <c r="AF71" s="553" t="s">
        <v>585</v>
      </c>
      <c r="AG71" s="553" t="s">
        <v>585</v>
      </c>
      <c r="AH71" s="552" t="e">
        <f t="shared" si="10"/>
        <v>#VALUE!</v>
      </c>
      <c r="AI71" s="685"/>
      <c r="AJ71" s="552" t="s">
        <v>585</v>
      </c>
      <c r="AK71" s="553" t="s">
        <v>585</v>
      </c>
      <c r="AL71" s="553" t="s">
        <v>585</v>
      </c>
      <c r="AM71" s="552" t="e">
        <f t="shared" si="11"/>
        <v>#VALUE!</v>
      </c>
      <c r="AN71" s="685"/>
      <c r="AO71" s="552" t="s">
        <v>585</v>
      </c>
      <c r="AP71" s="553" t="s">
        <v>585</v>
      </c>
      <c r="AQ71" s="553" t="s">
        <v>585</v>
      </c>
      <c r="AR71" s="552" t="e">
        <f t="shared" si="12"/>
        <v>#VALUE!</v>
      </c>
      <c r="AS71" s="685"/>
      <c r="AT71" s="552" t="s">
        <v>585</v>
      </c>
      <c r="AU71" s="553" t="s">
        <v>585</v>
      </c>
      <c r="AV71" s="553" t="s">
        <v>585</v>
      </c>
      <c r="AW71" s="552" t="e">
        <f t="shared" si="13"/>
        <v>#VALUE!</v>
      </c>
      <c r="AX71" s="685"/>
      <c r="AZ71" s="368" t="e">
        <f t="shared" si="14"/>
        <v>#N/A</v>
      </c>
      <c r="BA71" s="685"/>
    </row>
    <row r="72" spans="2:53" ht="15.75">
      <c r="B72" s="677" t="s">
        <v>162</v>
      </c>
      <c r="C72" s="678"/>
      <c r="D72" s="678"/>
      <c r="E72" s="678"/>
      <c r="F72" s="678"/>
      <c r="G72" s="678"/>
      <c r="H72" s="678"/>
      <c r="I72" s="207"/>
      <c r="J72" s="202"/>
      <c r="K72" s="207"/>
      <c r="L72" s="207"/>
      <c r="M72" s="203"/>
      <c r="N72" s="653" t="s">
        <v>156</v>
      </c>
      <c r="O72" s="653" t="s">
        <v>105</v>
      </c>
      <c r="P72" s="656">
        <f>P37+7</f>
        <v>46245</v>
      </c>
      <c r="Q72" s="657"/>
      <c r="R72" s="657"/>
      <c r="S72" s="657"/>
      <c r="T72" s="658"/>
      <c r="U72" s="656">
        <f>P72+1</f>
        <v>46246</v>
      </c>
      <c r="V72" s="657"/>
      <c r="W72" s="657"/>
      <c r="X72" s="657"/>
      <c r="Y72" s="658"/>
      <c r="Z72" s="656">
        <f>U72+1</f>
        <v>46247</v>
      </c>
      <c r="AA72" s="657"/>
      <c r="AB72" s="657"/>
      <c r="AC72" s="657"/>
      <c r="AD72" s="658"/>
      <c r="AE72" s="656">
        <f>Z72+1</f>
        <v>46248</v>
      </c>
      <c r="AF72" s="657"/>
      <c r="AG72" s="657"/>
      <c r="AH72" s="657"/>
      <c r="AI72" s="658"/>
      <c r="AJ72" s="656">
        <f>AE72+1</f>
        <v>46249</v>
      </c>
      <c r="AK72" s="657"/>
      <c r="AL72" s="657"/>
      <c r="AM72" s="657"/>
      <c r="AN72" s="658"/>
      <c r="AO72" s="656">
        <f>AJ72+1</f>
        <v>46250</v>
      </c>
      <c r="AP72" s="657"/>
      <c r="AQ72" s="657"/>
      <c r="AR72" s="657"/>
      <c r="AS72" s="658"/>
      <c r="AT72" s="656">
        <f>AO72+1</f>
        <v>46251</v>
      </c>
      <c r="AU72" s="657"/>
      <c r="AV72" s="657"/>
      <c r="AW72" s="657"/>
      <c r="AX72" s="658"/>
    </row>
    <row r="73" spans="2:53" ht="15.75">
      <c r="B73" s="667"/>
      <c r="C73" s="667"/>
      <c r="D73" s="667"/>
      <c r="E73" s="667"/>
      <c r="F73" s="667"/>
      <c r="G73" s="667"/>
      <c r="H73" s="667"/>
      <c r="I73" s="204"/>
      <c r="J73" s="204"/>
      <c r="K73" s="204"/>
      <c r="L73" s="204"/>
      <c r="M73" s="205"/>
      <c r="N73" s="655"/>
      <c r="O73" s="655"/>
      <c r="P73" s="656" t="s">
        <v>317</v>
      </c>
      <c r="Q73" s="657"/>
      <c r="R73" s="657"/>
      <c r="S73" s="657"/>
      <c r="T73" s="658"/>
      <c r="U73" s="656" t="s">
        <v>318</v>
      </c>
      <c r="V73" s="657"/>
      <c r="W73" s="657"/>
      <c r="X73" s="657"/>
      <c r="Y73" s="658"/>
      <c r="Z73" s="656" t="s">
        <v>319</v>
      </c>
      <c r="AA73" s="657"/>
      <c r="AB73" s="657"/>
      <c r="AC73" s="657"/>
      <c r="AD73" s="658"/>
      <c r="AE73" s="656" t="s">
        <v>320</v>
      </c>
      <c r="AF73" s="657"/>
      <c r="AG73" s="657"/>
      <c r="AH73" s="657"/>
      <c r="AI73" s="658"/>
      <c r="AJ73" s="656" t="s">
        <v>321</v>
      </c>
      <c r="AK73" s="657"/>
      <c r="AL73" s="657"/>
      <c r="AM73" s="657"/>
      <c r="AN73" s="658"/>
      <c r="AO73" s="656" t="s">
        <v>322</v>
      </c>
      <c r="AP73" s="657"/>
      <c r="AQ73" s="657"/>
      <c r="AR73" s="657"/>
      <c r="AS73" s="658"/>
      <c r="AT73" s="656" t="s">
        <v>323</v>
      </c>
      <c r="AU73" s="657"/>
      <c r="AV73" s="657"/>
      <c r="AW73" s="657"/>
      <c r="AX73" s="658"/>
    </row>
    <row r="74" spans="2:53">
      <c r="B74" s="652" t="s">
        <v>407</v>
      </c>
      <c r="C74" s="652" t="s">
        <v>408</v>
      </c>
      <c r="D74" s="652"/>
      <c r="E74" s="652" t="s">
        <v>409</v>
      </c>
      <c r="F74" s="652"/>
      <c r="G74" s="652"/>
      <c r="H74" s="668" t="s">
        <v>410</v>
      </c>
      <c r="I74" s="636" t="s">
        <v>411</v>
      </c>
      <c r="J74" s="636"/>
      <c r="K74" s="636"/>
      <c r="L74" s="637" t="s">
        <v>410</v>
      </c>
      <c r="M74" s="643" t="s">
        <v>412</v>
      </c>
      <c r="N74" s="652"/>
      <c r="O74" s="652" t="s">
        <v>413</v>
      </c>
      <c r="P74" s="649" t="s">
        <v>414</v>
      </c>
      <c r="Q74" s="650"/>
      <c r="R74" s="650"/>
      <c r="S74" s="651"/>
      <c r="T74" s="652" t="s">
        <v>410</v>
      </c>
      <c r="U74" s="649" t="s">
        <v>414</v>
      </c>
      <c r="V74" s="650"/>
      <c r="W74" s="650"/>
      <c r="X74" s="651"/>
      <c r="Y74" s="652" t="s">
        <v>410</v>
      </c>
      <c r="Z74" s="649" t="s">
        <v>414</v>
      </c>
      <c r="AA74" s="650"/>
      <c r="AB74" s="650"/>
      <c r="AC74" s="651"/>
      <c r="AD74" s="652" t="s">
        <v>410</v>
      </c>
      <c r="AE74" s="649" t="s">
        <v>414</v>
      </c>
      <c r="AF74" s="650"/>
      <c r="AG74" s="650"/>
      <c r="AH74" s="651"/>
      <c r="AI74" s="652" t="s">
        <v>410</v>
      </c>
      <c r="AJ74" s="649" t="s">
        <v>414</v>
      </c>
      <c r="AK74" s="650"/>
      <c r="AL74" s="650"/>
      <c r="AM74" s="651"/>
      <c r="AN74" s="652" t="s">
        <v>410</v>
      </c>
      <c r="AO74" s="649" t="s">
        <v>414</v>
      </c>
      <c r="AP74" s="650"/>
      <c r="AQ74" s="650"/>
      <c r="AR74" s="651"/>
      <c r="AS74" s="652" t="s">
        <v>410</v>
      </c>
      <c r="AT74" s="649" t="s">
        <v>414</v>
      </c>
      <c r="AU74" s="650"/>
      <c r="AV74" s="650"/>
      <c r="AW74" s="651"/>
      <c r="AX74" s="652" t="s">
        <v>410</v>
      </c>
      <c r="BA74" s="652" t="s">
        <v>366</v>
      </c>
    </row>
    <row r="75" spans="2:53">
      <c r="B75" s="652"/>
      <c r="C75" s="652"/>
      <c r="D75" s="652"/>
      <c r="E75" s="652" t="s">
        <v>415</v>
      </c>
      <c r="F75" s="652"/>
      <c r="G75" s="652"/>
      <c r="H75" s="669"/>
      <c r="I75" s="636" t="s">
        <v>415</v>
      </c>
      <c r="J75" s="636"/>
      <c r="K75" s="636"/>
      <c r="L75" s="638"/>
      <c r="M75" s="644"/>
      <c r="N75" s="652"/>
      <c r="O75" s="652"/>
      <c r="P75" s="649" t="s">
        <v>416</v>
      </c>
      <c r="Q75" s="650"/>
      <c r="R75" s="650"/>
      <c r="S75" s="651"/>
      <c r="T75" s="652"/>
      <c r="U75" s="649" t="s">
        <v>416</v>
      </c>
      <c r="V75" s="650"/>
      <c r="W75" s="650"/>
      <c r="X75" s="651"/>
      <c r="Y75" s="652"/>
      <c r="Z75" s="649" t="s">
        <v>416</v>
      </c>
      <c r="AA75" s="650"/>
      <c r="AB75" s="650"/>
      <c r="AC75" s="651"/>
      <c r="AD75" s="652"/>
      <c r="AE75" s="649" t="s">
        <v>416</v>
      </c>
      <c r="AF75" s="650"/>
      <c r="AG75" s="650"/>
      <c r="AH75" s="651"/>
      <c r="AI75" s="652"/>
      <c r="AJ75" s="649" t="s">
        <v>416</v>
      </c>
      <c r="AK75" s="650"/>
      <c r="AL75" s="650"/>
      <c r="AM75" s="651"/>
      <c r="AN75" s="652"/>
      <c r="AO75" s="649" t="s">
        <v>416</v>
      </c>
      <c r="AP75" s="650"/>
      <c r="AQ75" s="650"/>
      <c r="AR75" s="651"/>
      <c r="AS75" s="652"/>
      <c r="AT75" s="649" t="s">
        <v>416</v>
      </c>
      <c r="AU75" s="650"/>
      <c r="AV75" s="650"/>
      <c r="AW75" s="651"/>
      <c r="AX75" s="652"/>
      <c r="BA75" s="652"/>
    </row>
    <row r="76" spans="2:53">
      <c r="B76" s="652"/>
      <c r="C76" s="652"/>
      <c r="D76" s="652"/>
      <c r="E76" s="282" t="s">
        <v>417</v>
      </c>
      <c r="F76" s="282" t="s">
        <v>418</v>
      </c>
      <c r="G76" s="282" t="s">
        <v>419</v>
      </c>
      <c r="H76" s="670"/>
      <c r="I76" s="281" t="s">
        <v>417</v>
      </c>
      <c r="J76" s="281" t="s">
        <v>418</v>
      </c>
      <c r="K76" s="281" t="s">
        <v>419</v>
      </c>
      <c r="L76" s="639"/>
      <c r="M76" s="645"/>
      <c r="N76" s="652"/>
      <c r="O76" s="652"/>
      <c r="P76" s="282" t="s">
        <v>417</v>
      </c>
      <c r="Q76" s="282" t="s">
        <v>418</v>
      </c>
      <c r="R76" s="282" t="s">
        <v>419</v>
      </c>
      <c r="S76" s="282" t="s">
        <v>412</v>
      </c>
      <c r="T76" s="652"/>
      <c r="U76" s="282" t="s">
        <v>417</v>
      </c>
      <c r="V76" s="282" t="s">
        <v>418</v>
      </c>
      <c r="W76" s="282" t="s">
        <v>419</v>
      </c>
      <c r="X76" s="282" t="s">
        <v>412</v>
      </c>
      <c r="Y76" s="652"/>
      <c r="Z76" s="282" t="s">
        <v>417</v>
      </c>
      <c r="AA76" s="282" t="s">
        <v>418</v>
      </c>
      <c r="AB76" s="282" t="s">
        <v>419</v>
      </c>
      <c r="AC76" s="282" t="s">
        <v>412</v>
      </c>
      <c r="AD76" s="652"/>
      <c r="AE76" s="282" t="s">
        <v>417</v>
      </c>
      <c r="AF76" s="282" t="s">
        <v>418</v>
      </c>
      <c r="AG76" s="282" t="s">
        <v>419</v>
      </c>
      <c r="AH76" s="282" t="s">
        <v>412</v>
      </c>
      <c r="AI76" s="652"/>
      <c r="AJ76" s="282" t="s">
        <v>417</v>
      </c>
      <c r="AK76" s="282" t="s">
        <v>418</v>
      </c>
      <c r="AL76" s="282" t="s">
        <v>419</v>
      </c>
      <c r="AM76" s="282" t="s">
        <v>412</v>
      </c>
      <c r="AN76" s="652"/>
      <c r="AO76" s="282" t="s">
        <v>417</v>
      </c>
      <c r="AP76" s="282" t="s">
        <v>418</v>
      </c>
      <c r="AQ76" s="282" t="s">
        <v>419</v>
      </c>
      <c r="AR76" s="282" t="s">
        <v>412</v>
      </c>
      <c r="AS76" s="652"/>
      <c r="AT76" s="282" t="s">
        <v>417</v>
      </c>
      <c r="AU76" s="282" t="s">
        <v>418</v>
      </c>
      <c r="AV76" s="282" t="s">
        <v>419</v>
      </c>
      <c r="AW76" s="282" t="s">
        <v>412</v>
      </c>
      <c r="AX76" s="652"/>
      <c r="AZ76" s="367" t="s">
        <v>367</v>
      </c>
      <c r="BA76" s="652"/>
    </row>
    <row r="77" spans="2:53">
      <c r="B77" s="652" t="s">
        <v>420</v>
      </c>
      <c r="C77" s="283">
        <v>1</v>
      </c>
      <c r="D77" s="201" t="s">
        <v>342</v>
      </c>
      <c r="E77" s="534">
        <v>6</v>
      </c>
      <c r="F77" s="201">
        <v>1500</v>
      </c>
      <c r="G77" s="199">
        <v>250</v>
      </c>
      <c r="H77" s="698">
        <f>AVERAGE(G77:G106)</f>
        <v>100.76696400416888</v>
      </c>
      <c r="I77" s="363">
        <f>IFERROR(AVERAGE(P77,U77,Z77,AE77,AJ77,AO77,AT77),"-")</f>
        <v>6</v>
      </c>
      <c r="J77" s="363">
        <f>IFERROR(AVERAGE(Q77,V77,AA77,AF77,AK77,AP77,AU77),"-")</f>
        <v>1446.8100646429359</v>
      </c>
      <c r="K77" s="199">
        <f>IFERROR(AVERAGE(R77,W77,AB77,AG77,AL77,AQ77,AV77),"-")</f>
        <v>241.13501077382264</v>
      </c>
      <c r="L77" s="633">
        <f>IFERROR(AVERAGE(K77:K106),"-")</f>
        <v>89.53221202442775</v>
      </c>
      <c r="M77" s="200">
        <f>RANK(K77, K$77:$K$106)</f>
        <v>1</v>
      </c>
      <c r="N77" s="652"/>
      <c r="O77" s="652"/>
      <c r="P77" s="555">
        <v>6</v>
      </c>
      <c r="Q77" s="559">
        <v>1459.6083333333336</v>
      </c>
      <c r="R77" s="559">
        <v>243.26805555555561</v>
      </c>
      <c r="S77" s="555">
        <f>RANK(R77, R$77:R$106)</f>
        <v>1</v>
      </c>
      <c r="T77" s="685">
        <f>AVERAGE(R77:R106)</f>
        <v>89.534702740851571</v>
      </c>
      <c r="U77" s="555">
        <v>6</v>
      </c>
      <c r="V77" s="559">
        <v>1445.3557046979872</v>
      </c>
      <c r="W77" s="559">
        <v>240.89261744966453</v>
      </c>
      <c r="X77" s="555">
        <f>RANK(W77, W$77:W$106)</f>
        <v>2</v>
      </c>
      <c r="Y77" s="685">
        <f>AVERAGE(W77:W106)</f>
        <v>88.950234390421599</v>
      </c>
      <c r="Z77" s="555">
        <v>6</v>
      </c>
      <c r="AA77" s="559">
        <v>1433.0136986301372</v>
      </c>
      <c r="AB77" s="559">
        <v>238.8356164383562</v>
      </c>
      <c r="AC77" s="555">
        <f>RANK(AB77, AB$77:AB$106)</f>
        <v>1</v>
      </c>
      <c r="AD77" s="685">
        <f>AVERAGE(AB77:AB106)</f>
        <v>89.77515136732633</v>
      </c>
      <c r="AE77" s="555">
        <v>6</v>
      </c>
      <c r="AF77" s="559">
        <v>1432.391304347826</v>
      </c>
      <c r="AG77" s="559">
        <v>238.731884057971</v>
      </c>
      <c r="AH77" s="555">
        <f>RANK(AG77, AG$77:AG$106)</f>
        <v>1</v>
      </c>
      <c r="AI77" s="685">
        <f>AVERAGE(AG77:AG106)</f>
        <v>90.489337732522671</v>
      </c>
      <c r="AJ77" s="555">
        <v>6</v>
      </c>
      <c r="AK77" s="559">
        <v>1448.0496350364965</v>
      </c>
      <c r="AL77" s="559">
        <v>241.34160583941608</v>
      </c>
      <c r="AM77" s="555">
        <f>RANK(AL77, AL$77:AL$106)</f>
        <v>1</v>
      </c>
      <c r="AN77" s="685">
        <f>AVERAGE(AL77:AL106)</f>
        <v>91.014889440897875</v>
      </c>
      <c r="AO77" s="555">
        <v>6</v>
      </c>
      <c r="AP77" s="559">
        <v>1457.0439024390239</v>
      </c>
      <c r="AQ77" s="559">
        <v>242.84065040650398</v>
      </c>
      <c r="AR77" s="555">
        <f>RANK(AQ77, AQ$77:AQ$106)</f>
        <v>1</v>
      </c>
      <c r="AS77" s="685">
        <f>AVERAGE(AQ77:AQ106)</f>
        <v>89.806575369870089</v>
      </c>
      <c r="AT77" s="555">
        <v>6</v>
      </c>
      <c r="AU77" s="559">
        <v>1452.2078740157476</v>
      </c>
      <c r="AV77" s="559">
        <v>242.03464566929128</v>
      </c>
      <c r="AW77" s="555">
        <f>RANK(AV77, AV$77:AV$106)</f>
        <v>2</v>
      </c>
      <c r="AX77" s="685">
        <f>AVERAGE(AV77:AV106)</f>
        <v>91.373585403303636</v>
      </c>
      <c r="AZ77" s="368" t="e">
        <f>RANK(AY77, AY$77:AY$106)</f>
        <v>#N/A</v>
      </c>
      <c r="BA77" s="685" t="e">
        <f>AVERAGE(AY77:AY106)</f>
        <v>#DIV/0!</v>
      </c>
    </row>
    <row r="78" spans="2:53">
      <c r="B78" s="660"/>
      <c r="C78" s="283">
        <v>2</v>
      </c>
      <c r="D78" s="201" t="s">
        <v>586</v>
      </c>
      <c r="E78" s="534">
        <v>6</v>
      </c>
      <c r="F78" s="201">
        <v>1636</v>
      </c>
      <c r="G78" s="199">
        <v>272.66666666666669</v>
      </c>
      <c r="H78" s="699"/>
      <c r="I78" s="363">
        <f t="shared" ref="I78:I106" si="18">IFERROR(AVERAGE(P78,U78,Z78,AE78,AJ78,AO78,AT78),"-")</f>
        <v>6</v>
      </c>
      <c r="J78" s="363">
        <f t="shared" ref="J78:J106" si="19">IFERROR(AVERAGE(Q78,V78,AA78,AF78,AK78,AP78,AU78),"-")</f>
        <v>1433.6474114790981</v>
      </c>
      <c r="K78" s="199">
        <f t="shared" ref="K78:K106" si="20">IFERROR(AVERAGE(R78,W78,AB78,AG78,AL78,AQ78,AV78),"-")</f>
        <v>238.94123524651636</v>
      </c>
      <c r="L78" s="634"/>
      <c r="M78" s="200">
        <f>RANK(K78, K$77:$K$106)</f>
        <v>2</v>
      </c>
      <c r="N78" s="652"/>
      <c r="O78" s="652"/>
      <c r="P78" s="555">
        <v>6</v>
      </c>
      <c r="Q78" s="559">
        <v>1439.9999999999995</v>
      </c>
      <c r="R78" s="559">
        <v>239.99999999999991</v>
      </c>
      <c r="S78" s="555">
        <f t="shared" ref="S78:S106" si="21">RANK(R78, R$77:R$106)</f>
        <v>2</v>
      </c>
      <c r="T78" s="685"/>
      <c r="U78" s="555">
        <v>6</v>
      </c>
      <c r="V78" s="559">
        <v>1457.1428571428569</v>
      </c>
      <c r="W78" s="559">
        <v>242.8571428571428</v>
      </c>
      <c r="X78" s="555">
        <f t="shared" ref="X78:X106" si="22">RANK(W78, W$77:W$106)</f>
        <v>1</v>
      </c>
      <c r="Y78" s="685"/>
      <c r="Z78" s="555">
        <v>6</v>
      </c>
      <c r="AA78" s="559">
        <v>1425.9374999999998</v>
      </c>
      <c r="AB78" s="559">
        <v>237.65624999999997</v>
      </c>
      <c r="AC78" s="555">
        <f t="shared" ref="AC78:AC106" si="23">RANK(AB78, AB$77:AB$106)</f>
        <v>2</v>
      </c>
      <c r="AD78" s="685"/>
      <c r="AE78" s="555">
        <v>6</v>
      </c>
      <c r="AF78" s="559">
        <v>1411.6363636363626</v>
      </c>
      <c r="AG78" s="559">
        <v>235.27272727272711</v>
      </c>
      <c r="AH78" s="555">
        <f t="shared" ref="AH78:AH106" si="24">RANK(AG78, AG$77:AG$106)</f>
        <v>2</v>
      </c>
      <c r="AI78" s="685"/>
      <c r="AJ78" s="555">
        <v>6</v>
      </c>
      <c r="AK78" s="559">
        <v>1422.1276595744685</v>
      </c>
      <c r="AL78" s="559">
        <v>237.02127659574475</v>
      </c>
      <c r="AM78" s="555">
        <f t="shared" ref="AM78:AM106" si="25">RANK(AL78, AL$77:AL$106)</f>
        <v>2</v>
      </c>
      <c r="AN78" s="685"/>
      <c r="AO78" s="555">
        <v>6</v>
      </c>
      <c r="AP78" s="559">
        <v>1418.9999999999993</v>
      </c>
      <c r="AQ78" s="559">
        <v>236.49999999999989</v>
      </c>
      <c r="AR78" s="555">
        <f t="shared" ref="AR78:AR106" si="26">RANK(AQ78, AQ$77:AQ$106)</f>
        <v>2</v>
      </c>
      <c r="AS78" s="685"/>
      <c r="AT78" s="555">
        <v>6</v>
      </c>
      <c r="AU78" s="559">
        <v>1459.6874999999995</v>
      </c>
      <c r="AV78" s="559">
        <v>243.28124999999991</v>
      </c>
      <c r="AW78" s="555">
        <f t="shared" ref="AW78:AW106" si="27">RANK(AV78, AV$77:AV$106)</f>
        <v>1</v>
      </c>
      <c r="AX78" s="685"/>
      <c r="AZ78" s="368" t="e">
        <f t="shared" ref="AZ78:AZ106" si="28">RANK(AY78, AY$77:AY$106)</f>
        <v>#N/A</v>
      </c>
      <c r="BA78" s="685"/>
    </row>
    <row r="79" spans="2:53">
      <c r="B79" s="660"/>
      <c r="C79" s="283">
        <v>3</v>
      </c>
      <c r="D79" s="201" t="s">
        <v>578</v>
      </c>
      <c r="E79" s="534">
        <v>16</v>
      </c>
      <c r="F79" s="201">
        <v>1500</v>
      </c>
      <c r="G79" s="199">
        <v>93.75</v>
      </c>
      <c r="H79" s="699"/>
      <c r="I79" s="363">
        <f t="shared" si="18"/>
        <v>17</v>
      </c>
      <c r="J79" s="363">
        <f t="shared" si="19"/>
        <v>1343.6107666106386</v>
      </c>
      <c r="K79" s="199">
        <f t="shared" si="20"/>
        <v>79.035927447684614</v>
      </c>
      <c r="L79" s="634"/>
      <c r="M79" s="200">
        <f>RANK(K79, K$77:$K$106)</f>
        <v>11</v>
      </c>
      <c r="N79" s="652"/>
      <c r="O79" s="652"/>
      <c r="P79" s="555">
        <v>17</v>
      </c>
      <c r="Q79" s="559">
        <v>1331.0400000000004</v>
      </c>
      <c r="R79" s="559">
        <v>78.296470588235323</v>
      </c>
      <c r="S79" s="555">
        <f t="shared" si="21"/>
        <v>11</v>
      </c>
      <c r="T79" s="685"/>
      <c r="U79" s="555">
        <v>17</v>
      </c>
      <c r="V79" s="559">
        <v>1326.2608695652175</v>
      </c>
      <c r="W79" s="559">
        <v>78.015345268542205</v>
      </c>
      <c r="X79" s="555">
        <f t="shared" si="22"/>
        <v>13</v>
      </c>
      <c r="Y79" s="685"/>
      <c r="Z79" s="555">
        <v>17</v>
      </c>
      <c r="AA79" s="559">
        <v>1345.1428571428567</v>
      </c>
      <c r="AB79" s="559">
        <v>79.126050420168042</v>
      </c>
      <c r="AC79" s="555">
        <f t="shared" si="23"/>
        <v>10</v>
      </c>
      <c r="AD79" s="685"/>
      <c r="AE79" s="555">
        <v>17</v>
      </c>
      <c r="AF79" s="559">
        <v>1353.3749999999995</v>
      </c>
      <c r="AG79" s="559">
        <v>79.61029411764703</v>
      </c>
      <c r="AH79" s="555">
        <f t="shared" si="24"/>
        <v>11</v>
      </c>
      <c r="AI79" s="685"/>
      <c r="AJ79" s="555">
        <v>17</v>
      </c>
      <c r="AK79" s="559">
        <v>1362.512195121951</v>
      </c>
      <c r="AL79" s="559">
        <v>80.147776183644169</v>
      </c>
      <c r="AM79" s="555">
        <f t="shared" si="25"/>
        <v>12</v>
      </c>
      <c r="AN79" s="685"/>
      <c r="AO79" s="555">
        <v>17</v>
      </c>
      <c r="AP79" s="559">
        <v>1346.5000000000005</v>
      </c>
      <c r="AQ79" s="559">
        <v>79.205882352941202</v>
      </c>
      <c r="AR79" s="555">
        <f t="shared" si="26"/>
        <v>10</v>
      </c>
      <c r="AS79" s="685"/>
      <c r="AT79" s="555">
        <v>17</v>
      </c>
      <c r="AU79" s="559">
        <v>1340.4444444444453</v>
      </c>
      <c r="AV79" s="559">
        <v>78.849673202614426</v>
      </c>
      <c r="AW79" s="555">
        <f t="shared" si="27"/>
        <v>10</v>
      </c>
      <c r="AX79" s="685"/>
      <c r="AZ79" s="368" t="e">
        <f t="shared" si="28"/>
        <v>#N/A</v>
      </c>
      <c r="BA79" s="685"/>
    </row>
    <row r="80" spans="2:53">
      <c r="B80" s="660"/>
      <c r="C80" s="283">
        <v>4</v>
      </c>
      <c r="D80" s="201" t="s">
        <v>549</v>
      </c>
      <c r="E80" s="534">
        <v>18</v>
      </c>
      <c r="F80" s="201">
        <v>1500</v>
      </c>
      <c r="G80" s="199">
        <v>83.333333333333329</v>
      </c>
      <c r="H80" s="699"/>
      <c r="I80" s="363">
        <f t="shared" si="18"/>
        <v>18</v>
      </c>
      <c r="J80" s="363">
        <f t="shared" si="19"/>
        <v>1266.8212465527054</v>
      </c>
      <c r="K80" s="199">
        <f t="shared" si="20"/>
        <v>70.37895814181698</v>
      </c>
      <c r="L80" s="634"/>
      <c r="M80" s="200">
        <f>RANK(K80, K$77:$K$106)</f>
        <v>16</v>
      </c>
      <c r="N80" s="652"/>
      <c r="O80" s="652"/>
      <c r="P80" s="555">
        <v>18</v>
      </c>
      <c r="Q80" s="559">
        <v>1270.9565217391305</v>
      </c>
      <c r="R80" s="559">
        <v>70.608695652173921</v>
      </c>
      <c r="S80" s="555">
        <f t="shared" si="21"/>
        <v>17</v>
      </c>
      <c r="T80" s="685"/>
      <c r="U80" s="555">
        <v>18</v>
      </c>
      <c r="V80" s="559">
        <v>1261.909090909091</v>
      </c>
      <c r="W80" s="559">
        <v>70.106060606060609</v>
      </c>
      <c r="X80" s="555">
        <f t="shared" si="22"/>
        <v>17</v>
      </c>
      <c r="Y80" s="685"/>
      <c r="Z80" s="555">
        <v>18</v>
      </c>
      <c r="AA80" s="559">
        <v>1254.830769230769</v>
      </c>
      <c r="AB80" s="559">
        <v>69.7128205128205</v>
      </c>
      <c r="AC80" s="555">
        <f t="shared" si="23"/>
        <v>17</v>
      </c>
      <c r="AD80" s="685"/>
      <c r="AE80" s="555">
        <v>18</v>
      </c>
      <c r="AF80" s="559">
        <v>1286.8421052631572</v>
      </c>
      <c r="AG80" s="559">
        <v>71.491228070175396</v>
      </c>
      <c r="AH80" s="555">
        <f t="shared" si="24"/>
        <v>16</v>
      </c>
      <c r="AI80" s="685"/>
      <c r="AJ80" s="555">
        <v>18</v>
      </c>
      <c r="AK80" s="559">
        <v>1271.6379310344819</v>
      </c>
      <c r="AL80" s="559">
        <v>70.646551724137879</v>
      </c>
      <c r="AM80" s="555">
        <f t="shared" si="25"/>
        <v>17</v>
      </c>
      <c r="AN80" s="685"/>
      <c r="AO80" s="555">
        <v>18</v>
      </c>
      <c r="AP80" s="559">
        <v>1244.8800000000006</v>
      </c>
      <c r="AQ80" s="559">
        <v>69.160000000000025</v>
      </c>
      <c r="AR80" s="555">
        <f t="shared" si="26"/>
        <v>17</v>
      </c>
      <c r="AS80" s="685"/>
      <c r="AT80" s="555">
        <v>18</v>
      </c>
      <c r="AU80" s="559">
        <v>1276.6923076923083</v>
      </c>
      <c r="AV80" s="559">
        <v>70.927350427350461</v>
      </c>
      <c r="AW80" s="555">
        <f t="shared" si="27"/>
        <v>16</v>
      </c>
      <c r="AX80" s="685"/>
      <c r="AZ80" s="368" t="e">
        <f t="shared" si="28"/>
        <v>#N/A</v>
      </c>
      <c r="BA80" s="685"/>
    </row>
    <row r="81" spans="2:53">
      <c r="B81" s="660"/>
      <c r="C81" s="283">
        <v>5</v>
      </c>
      <c r="D81" s="201" t="s">
        <v>344</v>
      </c>
      <c r="E81" s="534">
        <v>16</v>
      </c>
      <c r="F81" s="201">
        <v>1565</v>
      </c>
      <c r="G81" s="199">
        <v>97.8125</v>
      </c>
      <c r="H81" s="699"/>
      <c r="I81" s="363">
        <f t="shared" si="18"/>
        <v>16</v>
      </c>
      <c r="J81" s="363">
        <f t="shared" si="19"/>
        <v>1351.7314410323613</v>
      </c>
      <c r="K81" s="199">
        <f t="shared" si="20"/>
        <v>84.483215064522582</v>
      </c>
      <c r="L81" s="634"/>
      <c r="M81" s="200">
        <f>RANK(K81, K$77:$K$106)</f>
        <v>8</v>
      </c>
      <c r="N81" s="652"/>
      <c r="O81" s="652"/>
      <c r="P81" s="555">
        <v>16</v>
      </c>
      <c r="Q81" s="559">
        <v>1370.399999999999</v>
      </c>
      <c r="R81" s="559">
        <v>85.649999999999935</v>
      </c>
      <c r="S81" s="555">
        <f t="shared" si="21"/>
        <v>6</v>
      </c>
      <c r="T81" s="685"/>
      <c r="U81" s="555">
        <v>16</v>
      </c>
      <c r="V81" s="559">
        <v>1372.2857142857129</v>
      </c>
      <c r="W81" s="559">
        <v>85.767857142857054</v>
      </c>
      <c r="X81" s="555">
        <f t="shared" si="22"/>
        <v>6</v>
      </c>
      <c r="Y81" s="685"/>
      <c r="Z81" s="555">
        <v>16</v>
      </c>
      <c r="AA81" s="559">
        <v>1330.2857142857129</v>
      </c>
      <c r="AB81" s="559">
        <v>83.142857142857054</v>
      </c>
      <c r="AC81" s="555">
        <f t="shared" si="23"/>
        <v>7</v>
      </c>
      <c r="AD81" s="685"/>
      <c r="AE81" s="555">
        <v>16</v>
      </c>
      <c r="AF81" s="559">
        <v>1331.8181818181831</v>
      </c>
      <c r="AG81" s="559">
        <v>83.238636363636445</v>
      </c>
      <c r="AH81" s="555">
        <f t="shared" si="24"/>
        <v>8</v>
      </c>
      <c r="AI81" s="685"/>
      <c r="AJ81" s="555">
        <v>16</v>
      </c>
      <c r="AK81" s="559">
        <v>1349.577464788731</v>
      </c>
      <c r="AL81" s="559">
        <v>84.348591549295691</v>
      </c>
      <c r="AM81" s="555">
        <f t="shared" si="25"/>
        <v>8</v>
      </c>
      <c r="AN81" s="685"/>
      <c r="AO81" s="555">
        <v>16</v>
      </c>
      <c r="AP81" s="559">
        <v>1354.4999999999995</v>
      </c>
      <c r="AQ81" s="559">
        <v>84.656249999999972</v>
      </c>
      <c r="AR81" s="555">
        <f t="shared" si="26"/>
        <v>6</v>
      </c>
      <c r="AS81" s="685"/>
      <c r="AT81" s="555">
        <v>16</v>
      </c>
      <c r="AU81" s="559">
        <v>1353.2530120481924</v>
      </c>
      <c r="AV81" s="559">
        <v>84.578313253012027</v>
      </c>
      <c r="AW81" s="555">
        <f t="shared" si="27"/>
        <v>8</v>
      </c>
      <c r="AX81" s="685"/>
      <c r="AZ81" s="368" t="e">
        <f t="shared" si="28"/>
        <v>#N/A</v>
      </c>
      <c r="BA81" s="685"/>
    </row>
    <row r="82" spans="2:53">
      <c r="B82" s="660"/>
      <c r="C82" s="283">
        <v>6</v>
      </c>
      <c r="D82" s="201" t="s">
        <v>626</v>
      </c>
      <c r="E82" s="534">
        <v>20</v>
      </c>
      <c r="F82" s="201">
        <v>1440</v>
      </c>
      <c r="G82" s="199">
        <v>72</v>
      </c>
      <c r="H82" s="699"/>
      <c r="I82" s="363">
        <f t="shared" si="18"/>
        <v>20.142857142857142</v>
      </c>
      <c r="J82" s="363">
        <f t="shared" si="19"/>
        <v>1267.6043372347788</v>
      </c>
      <c r="K82" s="199">
        <f t="shared" si="20"/>
        <v>62.950495677490593</v>
      </c>
      <c r="L82" s="634"/>
      <c r="M82" s="200">
        <f>RANK(K82, K$77:$K$106)</f>
        <v>23</v>
      </c>
      <c r="N82" s="652"/>
      <c r="O82" s="652"/>
      <c r="P82" s="555">
        <v>20</v>
      </c>
      <c r="Q82" s="559">
        <v>1260.0000000000014</v>
      </c>
      <c r="R82" s="559">
        <v>63.000000000000071</v>
      </c>
      <c r="S82" s="555">
        <f t="shared" si="21"/>
        <v>23</v>
      </c>
      <c r="T82" s="685"/>
      <c r="U82" s="555">
        <v>20</v>
      </c>
      <c r="V82" s="559">
        <v>1262.9032258064528</v>
      </c>
      <c r="W82" s="559">
        <v>63.14516129032264</v>
      </c>
      <c r="X82" s="555">
        <f t="shared" si="22"/>
        <v>22</v>
      </c>
      <c r="Y82" s="685"/>
      <c r="Z82" s="555">
        <v>20</v>
      </c>
      <c r="AA82" s="559">
        <v>1272.0000000000009</v>
      </c>
      <c r="AB82" s="559">
        <v>63.600000000000044</v>
      </c>
      <c r="AC82" s="555">
        <f t="shared" si="23"/>
        <v>22</v>
      </c>
      <c r="AD82" s="685"/>
      <c r="AE82" s="555">
        <v>20</v>
      </c>
      <c r="AF82" s="559">
        <v>1276.8000000000002</v>
      </c>
      <c r="AG82" s="559">
        <v>63.840000000000011</v>
      </c>
      <c r="AH82" s="555">
        <f t="shared" si="24"/>
        <v>22</v>
      </c>
      <c r="AI82" s="685"/>
      <c r="AJ82" s="555">
        <v>20</v>
      </c>
      <c r="AK82" s="559">
        <v>1272.6923076923085</v>
      </c>
      <c r="AL82" s="559">
        <v>63.634615384615429</v>
      </c>
      <c r="AM82" s="555">
        <f t="shared" si="25"/>
        <v>22</v>
      </c>
      <c r="AN82" s="685"/>
      <c r="AO82" s="555">
        <v>20</v>
      </c>
      <c r="AP82" s="559">
        <v>1265.4545454545469</v>
      </c>
      <c r="AQ82" s="559">
        <v>63.272727272727344</v>
      </c>
      <c r="AR82" s="555">
        <f t="shared" si="26"/>
        <v>22</v>
      </c>
      <c r="AS82" s="685"/>
      <c r="AT82" s="555">
        <v>21</v>
      </c>
      <c r="AU82" s="559">
        <v>1263.3802816901398</v>
      </c>
      <c r="AV82" s="559">
        <v>60.160965794768558</v>
      </c>
      <c r="AW82" s="555">
        <f t="shared" si="27"/>
        <v>22</v>
      </c>
      <c r="AX82" s="685"/>
      <c r="AZ82" s="368" t="e">
        <f t="shared" si="28"/>
        <v>#N/A</v>
      </c>
      <c r="BA82" s="685"/>
    </row>
    <row r="83" spans="2:53">
      <c r="B83" s="660"/>
      <c r="C83" s="283">
        <v>7</v>
      </c>
      <c r="D83" s="201" t="s">
        <v>601</v>
      </c>
      <c r="E83" s="534">
        <v>16</v>
      </c>
      <c r="F83" s="201">
        <v>1500</v>
      </c>
      <c r="G83" s="199">
        <v>93.75</v>
      </c>
      <c r="H83" s="699"/>
      <c r="I83" s="363">
        <f t="shared" si="18"/>
        <v>16</v>
      </c>
      <c r="J83" s="363">
        <f t="shared" si="19"/>
        <v>1359.2282924854387</v>
      </c>
      <c r="K83" s="199">
        <f t="shared" si="20"/>
        <v>84.95176828033992</v>
      </c>
      <c r="L83" s="634"/>
      <c r="M83" s="200">
        <f>RANK(K83, K$77:$K$106)</f>
        <v>7</v>
      </c>
      <c r="N83" s="652"/>
      <c r="O83" s="652"/>
      <c r="P83" s="555">
        <v>16</v>
      </c>
      <c r="Q83" s="559">
        <v>1361.6949152542386</v>
      </c>
      <c r="R83" s="559">
        <v>85.105932203389912</v>
      </c>
      <c r="S83" s="555">
        <f t="shared" si="21"/>
        <v>7</v>
      </c>
      <c r="T83" s="685"/>
      <c r="U83" s="555">
        <v>16</v>
      </c>
      <c r="V83" s="559">
        <v>1344.6428571428582</v>
      </c>
      <c r="W83" s="559">
        <v>84.04017857142864</v>
      </c>
      <c r="X83" s="555">
        <f t="shared" si="22"/>
        <v>7</v>
      </c>
      <c r="Y83" s="685"/>
      <c r="Z83" s="555">
        <v>16</v>
      </c>
      <c r="AA83" s="559">
        <v>1372.0754716981139</v>
      </c>
      <c r="AB83" s="559">
        <v>85.75471698113212</v>
      </c>
      <c r="AC83" s="555">
        <f t="shared" si="23"/>
        <v>6</v>
      </c>
      <c r="AD83" s="685"/>
      <c r="AE83" s="555">
        <v>16</v>
      </c>
      <c r="AF83" s="559">
        <v>1368.5106382978724</v>
      </c>
      <c r="AG83" s="559">
        <v>85.531914893617028</v>
      </c>
      <c r="AH83" s="555">
        <f t="shared" si="24"/>
        <v>7</v>
      </c>
      <c r="AI83" s="685"/>
      <c r="AJ83" s="555">
        <v>16</v>
      </c>
      <c r="AK83" s="559">
        <v>1358.8235294117653</v>
      </c>
      <c r="AL83" s="559">
        <v>84.926470588235333</v>
      </c>
      <c r="AM83" s="555">
        <f t="shared" si="25"/>
        <v>7</v>
      </c>
      <c r="AN83" s="685"/>
      <c r="AO83" s="555">
        <v>16</v>
      </c>
      <c r="AP83" s="559">
        <v>1337.2881355932213</v>
      </c>
      <c r="AQ83" s="559">
        <v>83.580508474576334</v>
      </c>
      <c r="AR83" s="555">
        <f t="shared" si="26"/>
        <v>7</v>
      </c>
      <c r="AS83" s="685"/>
      <c r="AT83" s="555">
        <v>16</v>
      </c>
      <c r="AU83" s="559">
        <v>1371.5625000000016</v>
      </c>
      <c r="AV83" s="559">
        <v>85.722656250000099</v>
      </c>
      <c r="AW83" s="555">
        <f t="shared" si="27"/>
        <v>7</v>
      </c>
      <c r="AX83" s="685"/>
      <c r="AZ83" s="368" t="e">
        <f t="shared" si="28"/>
        <v>#N/A</v>
      </c>
      <c r="BA83" s="685"/>
    </row>
    <row r="84" spans="2:53">
      <c r="B84" s="660"/>
      <c r="C84" s="283">
        <v>8</v>
      </c>
      <c r="D84" s="201" t="s">
        <v>574</v>
      </c>
      <c r="E84" s="534">
        <v>18</v>
      </c>
      <c r="F84" s="201">
        <v>1636</v>
      </c>
      <c r="G84" s="199">
        <v>90.888888888888886</v>
      </c>
      <c r="H84" s="699"/>
      <c r="I84" s="363">
        <f t="shared" si="18"/>
        <v>18</v>
      </c>
      <c r="J84" s="363">
        <f t="shared" si="19"/>
        <v>1418.647100876738</v>
      </c>
      <c r="K84" s="199">
        <f t="shared" si="20"/>
        <v>78.813727826485461</v>
      </c>
      <c r="L84" s="634"/>
      <c r="M84" s="200">
        <f>RANK(K84, K$77:$K$106)</f>
        <v>13</v>
      </c>
      <c r="N84" s="652"/>
      <c r="O84" s="652"/>
      <c r="P84" s="555">
        <v>18</v>
      </c>
      <c r="Q84" s="559">
        <v>1406.5573770491817</v>
      </c>
      <c r="R84" s="559">
        <v>78.142076502732323</v>
      </c>
      <c r="S84" s="555">
        <f t="shared" si="21"/>
        <v>12</v>
      </c>
      <c r="T84" s="685"/>
      <c r="U84" s="555">
        <v>18</v>
      </c>
      <c r="V84" s="559">
        <v>1408.4210526315799</v>
      </c>
      <c r="W84" s="559">
        <v>78.245614035087769</v>
      </c>
      <c r="X84" s="555">
        <f t="shared" si="22"/>
        <v>12</v>
      </c>
      <c r="Y84" s="685"/>
      <c r="Z84" s="555">
        <v>18</v>
      </c>
      <c r="AA84" s="559">
        <v>1433.617021276596</v>
      </c>
      <c r="AB84" s="559">
        <v>79.645390070922005</v>
      </c>
      <c r="AC84" s="555">
        <f t="shared" si="23"/>
        <v>9</v>
      </c>
      <c r="AD84" s="685"/>
      <c r="AE84" s="555">
        <v>18</v>
      </c>
      <c r="AF84" s="559">
        <v>1397.64705882353</v>
      </c>
      <c r="AG84" s="559">
        <v>77.647058823529449</v>
      </c>
      <c r="AH84" s="555">
        <f t="shared" si="24"/>
        <v>13</v>
      </c>
      <c r="AI84" s="685"/>
      <c r="AJ84" s="555">
        <v>18</v>
      </c>
      <c r="AK84" s="559">
        <v>1445.2631578947378</v>
      </c>
      <c r="AL84" s="559">
        <v>80.292397660818764</v>
      </c>
      <c r="AM84" s="555">
        <f t="shared" si="25"/>
        <v>11</v>
      </c>
      <c r="AN84" s="685"/>
      <c r="AO84" s="555">
        <v>18</v>
      </c>
      <c r="AP84" s="559">
        <v>1422.4615384615399</v>
      </c>
      <c r="AQ84" s="559">
        <v>79.025641025641107</v>
      </c>
      <c r="AR84" s="555">
        <f t="shared" si="26"/>
        <v>11</v>
      </c>
      <c r="AS84" s="685"/>
      <c r="AT84" s="555">
        <v>18</v>
      </c>
      <c r="AU84" s="559">
        <v>1416.5625000000016</v>
      </c>
      <c r="AV84" s="559">
        <v>78.697916666666757</v>
      </c>
      <c r="AW84" s="555">
        <f t="shared" si="27"/>
        <v>11</v>
      </c>
      <c r="AX84" s="685"/>
      <c r="AZ84" s="368" t="e">
        <f t="shared" si="28"/>
        <v>#N/A</v>
      </c>
      <c r="BA84" s="685"/>
    </row>
    <row r="85" spans="2:53">
      <c r="B85" s="660"/>
      <c r="C85" s="283">
        <v>9</v>
      </c>
      <c r="D85" s="201" t="s">
        <v>575</v>
      </c>
      <c r="E85" s="534">
        <v>18</v>
      </c>
      <c r="F85" s="201">
        <v>1636</v>
      </c>
      <c r="G85" s="199">
        <v>90.888888888888886</v>
      </c>
      <c r="H85" s="699"/>
      <c r="I85" s="363">
        <f t="shared" si="18"/>
        <v>18</v>
      </c>
      <c r="J85" s="363">
        <f t="shared" si="19"/>
        <v>1419.5761034449702</v>
      </c>
      <c r="K85" s="199">
        <f t="shared" si="20"/>
        <v>78.865339080276129</v>
      </c>
      <c r="L85" s="634"/>
      <c r="M85" s="200">
        <f>RANK(K85, K$77:$K$106)</f>
        <v>12</v>
      </c>
      <c r="N85" s="652"/>
      <c r="O85" s="652"/>
      <c r="P85" s="555">
        <v>18</v>
      </c>
      <c r="Q85" s="559">
        <v>1432.6530612244901</v>
      </c>
      <c r="R85" s="559">
        <v>79.591836734693899</v>
      </c>
      <c r="S85" s="555">
        <f t="shared" si="21"/>
        <v>10</v>
      </c>
      <c r="T85" s="685"/>
      <c r="U85" s="555">
        <v>18</v>
      </c>
      <c r="V85" s="559">
        <v>1429.090909090909</v>
      </c>
      <c r="W85" s="559">
        <v>79.393939393939391</v>
      </c>
      <c r="X85" s="555">
        <f t="shared" si="22"/>
        <v>11</v>
      </c>
      <c r="Y85" s="685"/>
      <c r="Z85" s="555">
        <v>18</v>
      </c>
      <c r="AA85" s="559">
        <v>1396.9230769230762</v>
      </c>
      <c r="AB85" s="559">
        <v>77.606837606837573</v>
      </c>
      <c r="AC85" s="555">
        <f t="shared" si="23"/>
        <v>13</v>
      </c>
      <c r="AD85" s="685"/>
      <c r="AE85" s="555">
        <v>18</v>
      </c>
      <c r="AF85" s="559">
        <v>1445.7142857142853</v>
      </c>
      <c r="AG85" s="559">
        <v>80.317460317460302</v>
      </c>
      <c r="AH85" s="555">
        <f t="shared" si="24"/>
        <v>10</v>
      </c>
      <c r="AI85" s="685"/>
      <c r="AJ85" s="555">
        <v>18</v>
      </c>
      <c r="AK85" s="559">
        <v>1419.5744680851067</v>
      </c>
      <c r="AL85" s="559">
        <v>78.865248226950371</v>
      </c>
      <c r="AM85" s="555">
        <f t="shared" si="25"/>
        <v>13</v>
      </c>
      <c r="AN85" s="685"/>
      <c r="AO85" s="555">
        <v>18</v>
      </c>
      <c r="AP85" s="559">
        <v>1410.0000000000007</v>
      </c>
      <c r="AQ85" s="559">
        <v>78.333333333333371</v>
      </c>
      <c r="AR85" s="555">
        <f t="shared" si="26"/>
        <v>13</v>
      </c>
      <c r="AS85" s="685"/>
      <c r="AT85" s="555">
        <v>18</v>
      </c>
      <c r="AU85" s="559">
        <v>1403.0769230769238</v>
      </c>
      <c r="AV85" s="559">
        <v>77.948717948717984</v>
      </c>
      <c r="AW85" s="555">
        <f t="shared" si="27"/>
        <v>13</v>
      </c>
      <c r="AX85" s="685"/>
      <c r="AZ85" s="368" t="e">
        <f t="shared" si="28"/>
        <v>#N/A</v>
      </c>
      <c r="BA85" s="685"/>
    </row>
    <row r="86" spans="2:53">
      <c r="B86" s="660"/>
      <c r="C86" s="283">
        <v>10</v>
      </c>
      <c r="D86" s="201" t="s">
        <v>332</v>
      </c>
      <c r="E86" s="534">
        <v>17</v>
      </c>
      <c r="F86" s="201">
        <v>1500</v>
      </c>
      <c r="G86" s="199">
        <v>88.235294117647058</v>
      </c>
      <c r="H86" s="699"/>
      <c r="I86" s="363">
        <f t="shared" si="18"/>
        <v>17</v>
      </c>
      <c r="J86" s="363">
        <f t="shared" si="19"/>
        <v>1352.2668231978648</v>
      </c>
      <c r="K86" s="199">
        <f t="shared" si="20"/>
        <v>79.545107246933227</v>
      </c>
      <c r="L86" s="634"/>
      <c r="M86" s="200">
        <f>RANK(K86, K$77:$K$106)</f>
        <v>10</v>
      </c>
      <c r="N86" s="652"/>
      <c r="O86" s="652"/>
      <c r="P86" s="555">
        <v>17</v>
      </c>
      <c r="Q86" s="559">
        <v>1328.1818181818182</v>
      </c>
      <c r="R86" s="559">
        <v>78.128342245989302</v>
      </c>
      <c r="S86" s="555">
        <f t="shared" si="21"/>
        <v>13</v>
      </c>
      <c r="T86" s="685"/>
      <c r="U86" s="555">
        <v>17</v>
      </c>
      <c r="V86" s="559">
        <v>1391.7073170731703</v>
      </c>
      <c r="W86" s="559">
        <v>81.865136298421788</v>
      </c>
      <c r="X86" s="555">
        <f t="shared" si="22"/>
        <v>8</v>
      </c>
      <c r="Y86" s="685"/>
      <c r="Z86" s="555">
        <v>17</v>
      </c>
      <c r="AA86" s="559">
        <v>1319.9999999999989</v>
      </c>
      <c r="AB86" s="559">
        <v>77.647058823529349</v>
      </c>
      <c r="AC86" s="555">
        <f t="shared" si="23"/>
        <v>12</v>
      </c>
      <c r="AD86" s="685"/>
      <c r="AE86" s="555">
        <v>17</v>
      </c>
      <c r="AF86" s="559">
        <v>1366.1538461538453</v>
      </c>
      <c r="AG86" s="559">
        <v>80.361990950226186</v>
      </c>
      <c r="AH86" s="555">
        <f t="shared" si="24"/>
        <v>9</v>
      </c>
      <c r="AI86" s="685"/>
      <c r="AJ86" s="555">
        <v>17</v>
      </c>
      <c r="AK86" s="559">
        <v>1380</v>
      </c>
      <c r="AL86" s="559">
        <v>81.17647058823529</v>
      </c>
      <c r="AM86" s="555">
        <f t="shared" si="25"/>
        <v>10</v>
      </c>
      <c r="AN86" s="685"/>
      <c r="AO86" s="555">
        <v>17</v>
      </c>
      <c r="AP86" s="559">
        <v>1347.0588235294124</v>
      </c>
      <c r="AQ86" s="559">
        <v>79.238754325259549</v>
      </c>
      <c r="AR86" s="555">
        <f t="shared" si="26"/>
        <v>9</v>
      </c>
      <c r="AS86" s="685"/>
      <c r="AT86" s="555">
        <v>17</v>
      </c>
      <c r="AU86" s="559">
        <v>1332.7659574468087</v>
      </c>
      <c r="AV86" s="559">
        <v>78.397997496871099</v>
      </c>
      <c r="AW86" s="555">
        <f t="shared" si="27"/>
        <v>12</v>
      </c>
      <c r="AX86" s="685"/>
      <c r="AZ86" s="368" t="e">
        <f t="shared" si="28"/>
        <v>#N/A</v>
      </c>
      <c r="BA86" s="685"/>
    </row>
    <row r="87" spans="2:53">
      <c r="B87" s="660"/>
      <c r="C87" s="283">
        <v>11</v>
      </c>
      <c r="D87" s="201" t="s">
        <v>512</v>
      </c>
      <c r="E87" s="534">
        <v>20</v>
      </c>
      <c r="F87" s="201">
        <v>1440</v>
      </c>
      <c r="G87" s="199">
        <v>72</v>
      </c>
      <c r="H87" s="699"/>
      <c r="I87" s="363">
        <f t="shared" si="18"/>
        <v>19.571428571428573</v>
      </c>
      <c r="J87" s="363">
        <f t="shared" si="19"/>
        <v>1306.8371028023575</v>
      </c>
      <c r="K87" s="199">
        <f t="shared" si="20"/>
        <v>66.815168169526856</v>
      </c>
      <c r="L87" s="634"/>
      <c r="M87" s="200">
        <f>RANK(K87, K$77:$K$106)</f>
        <v>22</v>
      </c>
      <c r="N87" s="652"/>
      <c r="O87" s="652"/>
      <c r="P87" s="555">
        <v>20</v>
      </c>
      <c r="Q87" s="559">
        <v>1312.7027027027016</v>
      </c>
      <c r="R87" s="559">
        <v>65.635135135135073</v>
      </c>
      <c r="S87" s="555">
        <f t="shared" si="21"/>
        <v>22</v>
      </c>
      <c r="T87" s="685"/>
      <c r="U87" s="555">
        <v>20</v>
      </c>
      <c r="V87" s="559">
        <v>1288.6956521739116</v>
      </c>
      <c r="W87" s="559">
        <v>64.434782608695585</v>
      </c>
      <c r="X87" s="555">
        <f t="shared" si="22"/>
        <v>21</v>
      </c>
      <c r="Y87" s="685"/>
      <c r="Z87" s="555">
        <v>20</v>
      </c>
      <c r="AA87" s="559">
        <v>1302.7118644067807</v>
      </c>
      <c r="AB87" s="559">
        <v>65.135593220339032</v>
      </c>
      <c r="AC87" s="555">
        <f t="shared" si="23"/>
        <v>21</v>
      </c>
      <c r="AD87" s="685"/>
      <c r="AE87" s="555">
        <v>19</v>
      </c>
      <c r="AF87" s="559">
        <v>1334.0000000000014</v>
      </c>
      <c r="AG87" s="559">
        <v>70.210526315789551</v>
      </c>
      <c r="AH87" s="555">
        <f t="shared" si="24"/>
        <v>17</v>
      </c>
      <c r="AI87" s="685"/>
      <c r="AJ87" s="555">
        <v>19</v>
      </c>
      <c r="AK87" s="559">
        <v>1283.9999999999991</v>
      </c>
      <c r="AL87" s="559">
        <v>67.578947368420998</v>
      </c>
      <c r="AM87" s="555">
        <f t="shared" si="25"/>
        <v>20</v>
      </c>
      <c r="AN87" s="685"/>
      <c r="AO87" s="555">
        <v>19</v>
      </c>
      <c r="AP87" s="559">
        <v>1301.0126582278474</v>
      </c>
      <c r="AQ87" s="559">
        <v>68.474350433044606</v>
      </c>
      <c r="AR87" s="555">
        <f t="shared" si="26"/>
        <v>19</v>
      </c>
      <c r="AS87" s="685"/>
      <c r="AT87" s="555">
        <v>20</v>
      </c>
      <c r="AU87" s="559">
        <v>1324.7368421052622</v>
      </c>
      <c r="AV87" s="559">
        <v>66.236842105263108</v>
      </c>
      <c r="AW87" s="555">
        <f t="shared" si="27"/>
        <v>21</v>
      </c>
      <c r="AX87" s="685"/>
      <c r="AZ87" s="368" t="e">
        <f t="shared" si="28"/>
        <v>#N/A</v>
      </c>
      <c r="BA87" s="685"/>
    </row>
    <row r="88" spans="2:53">
      <c r="B88" s="660"/>
      <c r="C88" s="283">
        <v>12</v>
      </c>
      <c r="D88" s="201" t="s">
        <v>345</v>
      </c>
      <c r="E88" s="534">
        <v>14</v>
      </c>
      <c r="F88" s="201">
        <v>1440</v>
      </c>
      <c r="G88" s="199">
        <v>102.85714285714286</v>
      </c>
      <c r="H88" s="699"/>
      <c r="I88" s="363">
        <f t="shared" si="18"/>
        <v>15</v>
      </c>
      <c r="J88" s="363">
        <f t="shared" si="19"/>
        <v>1297.5757849938013</v>
      </c>
      <c r="K88" s="199">
        <f t="shared" si="20"/>
        <v>86.505052332920087</v>
      </c>
      <c r="L88" s="634"/>
      <c r="M88" s="200">
        <f>RANK(K88, K$77:$K$106)</f>
        <v>6</v>
      </c>
      <c r="N88" s="652"/>
      <c r="O88" s="652"/>
      <c r="P88" s="555">
        <v>15</v>
      </c>
      <c r="Q88" s="559">
        <v>1324.2857142857151</v>
      </c>
      <c r="R88" s="559">
        <v>88.285714285714349</v>
      </c>
      <c r="S88" s="555">
        <f t="shared" si="21"/>
        <v>4</v>
      </c>
      <c r="T88" s="685"/>
      <c r="U88" s="555">
        <v>15</v>
      </c>
      <c r="V88" s="559">
        <v>1286.6666666666674</v>
      </c>
      <c r="W88" s="559">
        <v>85.777777777777828</v>
      </c>
      <c r="X88" s="555">
        <f t="shared" si="22"/>
        <v>5</v>
      </c>
      <c r="Y88" s="685"/>
      <c r="Z88" s="555">
        <v>15</v>
      </c>
      <c r="AA88" s="559">
        <v>1291.836734693878</v>
      </c>
      <c r="AB88" s="559">
        <v>86.122448979591866</v>
      </c>
      <c r="AC88" s="555">
        <f t="shared" si="23"/>
        <v>5</v>
      </c>
      <c r="AD88" s="685"/>
      <c r="AE88" s="555">
        <v>15</v>
      </c>
      <c r="AF88" s="559">
        <v>1290.0000000000007</v>
      </c>
      <c r="AG88" s="559">
        <v>86.000000000000043</v>
      </c>
      <c r="AH88" s="555">
        <f t="shared" si="24"/>
        <v>6</v>
      </c>
      <c r="AI88" s="685"/>
      <c r="AJ88" s="555">
        <v>15</v>
      </c>
      <c r="AK88" s="559">
        <v>1308.0000000000009</v>
      </c>
      <c r="AL88" s="559">
        <v>87.20000000000006</v>
      </c>
      <c r="AM88" s="555">
        <f t="shared" si="25"/>
        <v>5</v>
      </c>
      <c r="AN88" s="685"/>
      <c r="AO88" s="555">
        <v>15</v>
      </c>
      <c r="AP88" s="559">
        <v>1285.0000000000011</v>
      </c>
      <c r="AQ88" s="559">
        <v>85.666666666666742</v>
      </c>
      <c r="AR88" s="555">
        <f t="shared" si="26"/>
        <v>5</v>
      </c>
      <c r="AS88" s="685"/>
      <c r="AT88" s="555">
        <v>15</v>
      </c>
      <c r="AU88" s="559">
        <v>1297.2413793103458</v>
      </c>
      <c r="AV88" s="559">
        <v>86.482758620689722</v>
      </c>
      <c r="AW88" s="555">
        <f t="shared" si="27"/>
        <v>6</v>
      </c>
      <c r="AX88" s="685"/>
      <c r="AZ88" s="368" t="e">
        <f t="shared" si="28"/>
        <v>#N/A</v>
      </c>
      <c r="BA88" s="685"/>
    </row>
    <row r="89" spans="2:53">
      <c r="B89" s="660"/>
      <c r="C89" s="283">
        <v>13</v>
      </c>
      <c r="D89" s="201" t="s">
        <v>327</v>
      </c>
      <c r="E89" s="534">
        <v>19</v>
      </c>
      <c r="F89" s="201">
        <v>1440</v>
      </c>
      <c r="G89" s="199">
        <v>75.78947368421052</v>
      </c>
      <c r="H89" s="699"/>
      <c r="I89" s="363">
        <f t="shared" si="18"/>
        <v>19</v>
      </c>
      <c r="J89" s="363">
        <f t="shared" si="19"/>
        <v>1307.5540340236348</v>
      </c>
      <c r="K89" s="199">
        <f t="shared" si="20"/>
        <v>68.818633369664994</v>
      </c>
      <c r="L89" s="634"/>
      <c r="M89" s="200">
        <f>RANK(K89, K$77:$K$106)</f>
        <v>19</v>
      </c>
      <c r="N89" s="652"/>
      <c r="O89" s="652"/>
      <c r="P89" s="555">
        <v>19</v>
      </c>
      <c r="Q89" s="559">
        <v>1299.3103448275861</v>
      </c>
      <c r="R89" s="559">
        <v>68.384754990925586</v>
      </c>
      <c r="S89" s="555">
        <f t="shared" si="21"/>
        <v>18</v>
      </c>
      <c r="T89" s="685"/>
      <c r="U89" s="555">
        <v>19</v>
      </c>
      <c r="V89" s="559">
        <v>1279.9999999999995</v>
      </c>
      <c r="W89" s="559">
        <v>67.368421052631561</v>
      </c>
      <c r="X89" s="555">
        <f t="shared" si="22"/>
        <v>20</v>
      </c>
      <c r="Y89" s="685"/>
      <c r="Z89" s="555">
        <v>19</v>
      </c>
      <c r="AA89" s="559">
        <v>1307.4626865671626</v>
      </c>
      <c r="AB89" s="559">
        <v>68.813825608798027</v>
      </c>
      <c r="AC89" s="555">
        <f t="shared" si="23"/>
        <v>19</v>
      </c>
      <c r="AD89" s="685"/>
      <c r="AE89" s="555">
        <v>19</v>
      </c>
      <c r="AF89" s="559">
        <v>1313.239436619717</v>
      </c>
      <c r="AG89" s="559">
        <v>69.117865085248269</v>
      </c>
      <c r="AH89" s="555">
        <f t="shared" si="24"/>
        <v>20</v>
      </c>
      <c r="AI89" s="685"/>
      <c r="AJ89" s="555">
        <v>19</v>
      </c>
      <c r="AK89" s="559">
        <v>1320.705882352941</v>
      </c>
      <c r="AL89" s="559">
        <v>69.51083591331269</v>
      </c>
      <c r="AM89" s="555">
        <f t="shared" si="25"/>
        <v>18</v>
      </c>
      <c r="AN89" s="685"/>
      <c r="AO89" s="555">
        <v>19</v>
      </c>
      <c r="AP89" s="559">
        <v>1310.8695652173915</v>
      </c>
      <c r="AQ89" s="559">
        <v>68.993135011441652</v>
      </c>
      <c r="AR89" s="555">
        <f t="shared" si="26"/>
        <v>18</v>
      </c>
      <c r="AS89" s="685"/>
      <c r="AT89" s="555">
        <v>19</v>
      </c>
      <c r="AU89" s="559">
        <v>1321.2903225806454</v>
      </c>
      <c r="AV89" s="559">
        <v>69.541595925297131</v>
      </c>
      <c r="AW89" s="555">
        <f t="shared" si="27"/>
        <v>17</v>
      </c>
      <c r="AX89" s="685"/>
      <c r="AZ89" s="368" t="e">
        <f t="shared" si="28"/>
        <v>#N/A</v>
      </c>
      <c r="BA89" s="685"/>
    </row>
    <row r="90" spans="2:53">
      <c r="B90" s="660"/>
      <c r="C90" s="283">
        <v>14</v>
      </c>
      <c r="D90" s="201" t="s">
        <v>343</v>
      </c>
      <c r="E90" s="534">
        <v>19</v>
      </c>
      <c r="F90" s="201">
        <v>1440</v>
      </c>
      <c r="G90" s="199">
        <v>75.78947368421052</v>
      </c>
      <c r="H90" s="699"/>
      <c r="I90" s="363">
        <f t="shared" si="18"/>
        <v>19</v>
      </c>
      <c r="J90" s="363">
        <f t="shared" si="19"/>
        <v>1322.5786771325859</v>
      </c>
      <c r="K90" s="199">
        <f t="shared" si="20"/>
        <v>69.609404059609773</v>
      </c>
      <c r="L90" s="634"/>
      <c r="M90" s="200">
        <f>RANK(K90, K$77:$K$106)</f>
        <v>18</v>
      </c>
      <c r="N90" s="652"/>
      <c r="O90" s="652"/>
      <c r="P90" s="555">
        <v>19</v>
      </c>
      <c r="Q90" s="559">
        <v>1297.0588235294135</v>
      </c>
      <c r="R90" s="559">
        <v>68.266253869969134</v>
      </c>
      <c r="S90" s="555">
        <f t="shared" si="21"/>
        <v>19</v>
      </c>
      <c r="T90" s="685"/>
      <c r="U90" s="555">
        <v>19</v>
      </c>
      <c r="V90" s="559">
        <v>1337.4193548387109</v>
      </c>
      <c r="W90" s="559">
        <v>70.390492359932153</v>
      </c>
      <c r="X90" s="555">
        <f t="shared" si="22"/>
        <v>16</v>
      </c>
      <c r="Y90" s="685"/>
      <c r="Z90" s="555">
        <v>19</v>
      </c>
      <c r="AA90" s="559">
        <v>1331.1111111111118</v>
      </c>
      <c r="AB90" s="559">
        <v>70.058479532163773</v>
      </c>
      <c r="AC90" s="555">
        <f t="shared" si="23"/>
        <v>16</v>
      </c>
      <c r="AD90" s="685"/>
      <c r="AE90" s="555">
        <v>19</v>
      </c>
      <c r="AF90" s="559">
        <v>1302.1052631578957</v>
      </c>
      <c r="AG90" s="559">
        <v>68.531855955678722</v>
      </c>
      <c r="AH90" s="555">
        <f t="shared" si="24"/>
        <v>21</v>
      </c>
      <c r="AI90" s="685"/>
      <c r="AJ90" s="555">
        <v>19</v>
      </c>
      <c r="AK90" s="559">
        <v>1346.7692307692321</v>
      </c>
      <c r="AL90" s="559">
        <v>70.882591093117483</v>
      </c>
      <c r="AM90" s="555">
        <f t="shared" si="25"/>
        <v>16</v>
      </c>
      <c r="AN90" s="685"/>
      <c r="AO90" s="555">
        <v>19</v>
      </c>
      <c r="AP90" s="559">
        <v>1337.4999999999991</v>
      </c>
      <c r="AQ90" s="559">
        <v>70.394736842105218</v>
      </c>
      <c r="AR90" s="555">
        <f t="shared" si="26"/>
        <v>16</v>
      </c>
      <c r="AS90" s="685"/>
      <c r="AT90" s="555">
        <v>19</v>
      </c>
      <c r="AU90" s="559">
        <v>1306.0869565217379</v>
      </c>
      <c r="AV90" s="559">
        <v>68.741418764301997</v>
      </c>
      <c r="AW90" s="555">
        <f t="shared" si="27"/>
        <v>19</v>
      </c>
      <c r="AX90" s="685"/>
      <c r="AZ90" s="368" t="e">
        <f t="shared" si="28"/>
        <v>#N/A</v>
      </c>
      <c r="BA90" s="685"/>
    </row>
    <row r="91" spans="2:53">
      <c r="B91" s="660"/>
      <c r="C91" s="283">
        <v>15</v>
      </c>
      <c r="D91" s="201" t="s">
        <v>581</v>
      </c>
      <c r="E91" s="534">
        <v>18</v>
      </c>
      <c r="F91" s="201">
        <v>1500</v>
      </c>
      <c r="G91" s="199">
        <v>83.333333333333329</v>
      </c>
      <c r="H91" s="699"/>
      <c r="I91" s="363">
        <f t="shared" si="18"/>
        <v>18</v>
      </c>
      <c r="J91" s="363">
        <f t="shared" si="19"/>
        <v>1360.3029820969625</v>
      </c>
      <c r="K91" s="199">
        <f t="shared" si="20"/>
        <v>75.572387894275693</v>
      </c>
      <c r="L91" s="634"/>
      <c r="M91" s="200">
        <f>RANK(K91, K$77:$K$106)</f>
        <v>15</v>
      </c>
      <c r="N91" s="652"/>
      <c r="O91" s="652"/>
      <c r="P91" s="555">
        <v>18</v>
      </c>
      <c r="Q91" s="559">
        <v>1355.357142857144</v>
      </c>
      <c r="R91" s="559">
        <v>75.297619047619108</v>
      </c>
      <c r="S91" s="555">
        <f t="shared" si="21"/>
        <v>16</v>
      </c>
      <c r="T91" s="685"/>
      <c r="U91" s="555">
        <v>18</v>
      </c>
      <c r="V91" s="559">
        <v>1360.0000000000005</v>
      </c>
      <c r="W91" s="559">
        <v>75.555555555555586</v>
      </c>
      <c r="X91" s="555">
        <f t="shared" si="22"/>
        <v>15</v>
      </c>
      <c r="Y91" s="685"/>
      <c r="Z91" s="555">
        <v>18</v>
      </c>
      <c r="AA91" s="559">
        <v>1355.2941176470592</v>
      </c>
      <c r="AB91" s="559">
        <v>75.29411764705884</v>
      </c>
      <c r="AC91" s="555">
        <f t="shared" si="23"/>
        <v>15</v>
      </c>
      <c r="AD91" s="685"/>
      <c r="AE91" s="555">
        <v>18</v>
      </c>
      <c r="AF91" s="559">
        <v>1340.4545454545455</v>
      </c>
      <c r="AG91" s="559">
        <v>74.469696969696969</v>
      </c>
      <c r="AH91" s="555">
        <f t="shared" si="24"/>
        <v>15</v>
      </c>
      <c r="AI91" s="685"/>
      <c r="AJ91" s="555">
        <v>18</v>
      </c>
      <c r="AK91" s="559">
        <v>1382.7272727272727</v>
      </c>
      <c r="AL91" s="559">
        <v>76.818181818181813</v>
      </c>
      <c r="AM91" s="555">
        <f t="shared" si="25"/>
        <v>14</v>
      </c>
      <c r="AN91" s="685"/>
      <c r="AO91" s="555">
        <v>18</v>
      </c>
      <c r="AP91" s="559">
        <v>1352.2222222222229</v>
      </c>
      <c r="AQ91" s="559">
        <v>75.123456790123498</v>
      </c>
      <c r="AR91" s="555">
        <f t="shared" si="26"/>
        <v>15</v>
      </c>
      <c r="AS91" s="685"/>
      <c r="AT91" s="555">
        <v>18</v>
      </c>
      <c r="AU91" s="559">
        <v>1376.0655737704931</v>
      </c>
      <c r="AV91" s="559">
        <v>76.448087431694063</v>
      </c>
      <c r="AW91" s="555">
        <f t="shared" si="27"/>
        <v>15</v>
      </c>
      <c r="AX91" s="685"/>
      <c r="AZ91" s="368" t="e">
        <f t="shared" si="28"/>
        <v>#N/A</v>
      </c>
      <c r="BA91" s="685"/>
    </row>
    <row r="92" spans="2:53">
      <c r="B92" s="660"/>
      <c r="C92" s="283">
        <v>16</v>
      </c>
      <c r="D92" s="201" t="s">
        <v>509</v>
      </c>
      <c r="E92" s="534">
        <v>17</v>
      </c>
      <c r="F92" s="201">
        <v>1440</v>
      </c>
      <c r="G92" s="199">
        <v>84.705882352941174</v>
      </c>
      <c r="H92" s="699"/>
      <c r="I92" s="363">
        <f t="shared" si="18"/>
        <v>17</v>
      </c>
      <c r="J92" s="363">
        <f t="shared" si="19"/>
        <v>1298.1872942441692</v>
      </c>
      <c r="K92" s="199">
        <f t="shared" si="20"/>
        <v>76.363958484951141</v>
      </c>
      <c r="L92" s="634"/>
      <c r="M92" s="200">
        <f>RANK(K92, K$77:$K$106)</f>
        <v>14</v>
      </c>
      <c r="N92" s="652"/>
      <c r="O92" s="652"/>
      <c r="P92" s="555">
        <v>17</v>
      </c>
      <c r="Q92" s="559">
        <v>1297.4999999999995</v>
      </c>
      <c r="R92" s="559">
        <v>76.323529411764682</v>
      </c>
      <c r="S92" s="555">
        <f t="shared" si="21"/>
        <v>15</v>
      </c>
      <c r="T92" s="685"/>
      <c r="U92" s="555">
        <v>17</v>
      </c>
      <c r="V92" s="559">
        <v>1301.0526315789464</v>
      </c>
      <c r="W92" s="559">
        <v>76.532507739938026</v>
      </c>
      <c r="X92" s="555">
        <f t="shared" si="22"/>
        <v>14</v>
      </c>
      <c r="Y92" s="685"/>
      <c r="Z92" s="555">
        <v>17</v>
      </c>
      <c r="AA92" s="559">
        <v>1285.1612903225787</v>
      </c>
      <c r="AB92" s="559">
        <v>75.597722960151685</v>
      </c>
      <c r="AC92" s="555">
        <f t="shared" si="23"/>
        <v>14</v>
      </c>
      <c r="AD92" s="685"/>
      <c r="AE92" s="555">
        <v>17</v>
      </c>
      <c r="AF92" s="559">
        <v>1274.5454545454529</v>
      </c>
      <c r="AG92" s="559">
        <v>74.973262032085472</v>
      </c>
      <c r="AH92" s="555">
        <f t="shared" si="24"/>
        <v>14</v>
      </c>
      <c r="AI92" s="685"/>
      <c r="AJ92" s="555">
        <v>17</v>
      </c>
      <c r="AK92" s="559">
        <v>1297.2972972972962</v>
      </c>
      <c r="AL92" s="559">
        <v>76.311605723370363</v>
      </c>
      <c r="AM92" s="555">
        <f t="shared" si="25"/>
        <v>15</v>
      </c>
      <c r="AN92" s="685"/>
      <c r="AO92" s="555">
        <v>17</v>
      </c>
      <c r="AP92" s="559">
        <v>1313.3333333333333</v>
      </c>
      <c r="AQ92" s="559">
        <v>77.254901960784309</v>
      </c>
      <c r="AR92" s="555">
        <f t="shared" si="26"/>
        <v>14</v>
      </c>
      <c r="AS92" s="685"/>
      <c r="AT92" s="555">
        <v>17</v>
      </c>
      <c r="AU92" s="559">
        <v>1318.421052631578</v>
      </c>
      <c r="AV92" s="559">
        <v>77.55417956656342</v>
      </c>
      <c r="AW92" s="555">
        <f t="shared" si="27"/>
        <v>14</v>
      </c>
      <c r="AX92" s="685"/>
      <c r="AZ92" s="368" t="e">
        <f t="shared" si="28"/>
        <v>#N/A</v>
      </c>
      <c r="BA92" s="685"/>
    </row>
    <row r="93" spans="2:53">
      <c r="B93" s="660"/>
      <c r="C93" s="283">
        <v>17</v>
      </c>
      <c r="D93" s="201" t="s">
        <v>603</v>
      </c>
      <c r="E93" s="534">
        <v>16</v>
      </c>
      <c r="F93" s="201">
        <v>1636</v>
      </c>
      <c r="G93" s="199">
        <v>102.25</v>
      </c>
      <c r="H93" s="699"/>
      <c r="I93" s="363">
        <f t="shared" si="18"/>
        <v>16</v>
      </c>
      <c r="J93" s="363">
        <f t="shared" si="19"/>
        <v>1413.0534160577479</v>
      </c>
      <c r="K93" s="199">
        <f t="shared" si="20"/>
        <v>88.315838503609243</v>
      </c>
      <c r="L93" s="634"/>
      <c r="M93" s="200">
        <f>RANK(K93, K$77:$K$106)</f>
        <v>4</v>
      </c>
      <c r="N93" s="652"/>
      <c r="O93" s="652"/>
      <c r="P93" s="555">
        <v>16</v>
      </c>
      <c r="Q93" s="559">
        <v>1387.4999999999995</v>
      </c>
      <c r="R93" s="559">
        <v>86.718749999999972</v>
      </c>
      <c r="S93" s="555">
        <f t="shared" si="21"/>
        <v>5</v>
      </c>
      <c r="T93" s="685"/>
      <c r="U93" s="555">
        <v>16</v>
      </c>
      <c r="V93" s="559">
        <v>1394.2857142857138</v>
      </c>
      <c r="W93" s="559">
        <v>87.14285714285711</v>
      </c>
      <c r="X93" s="555">
        <f t="shared" si="22"/>
        <v>3</v>
      </c>
      <c r="Y93" s="685"/>
      <c r="Z93" s="555">
        <v>16</v>
      </c>
      <c r="AA93" s="559">
        <v>1415.6249999999982</v>
      </c>
      <c r="AB93" s="559">
        <v>88.476562499999886</v>
      </c>
      <c r="AC93" s="555">
        <f t="shared" si="23"/>
        <v>3</v>
      </c>
      <c r="AD93" s="685"/>
      <c r="AE93" s="555">
        <v>16</v>
      </c>
      <c r="AF93" s="559">
        <v>1448.2758620689626</v>
      </c>
      <c r="AG93" s="559">
        <v>90.517241379310164</v>
      </c>
      <c r="AH93" s="555">
        <f t="shared" si="24"/>
        <v>4</v>
      </c>
      <c r="AI93" s="685"/>
      <c r="AJ93" s="555">
        <v>16</v>
      </c>
      <c r="AK93" s="559">
        <v>1405.2631578947357</v>
      </c>
      <c r="AL93" s="559">
        <v>87.828947368420984</v>
      </c>
      <c r="AM93" s="555">
        <f t="shared" si="25"/>
        <v>4</v>
      </c>
      <c r="AN93" s="685"/>
      <c r="AO93" s="555">
        <v>16</v>
      </c>
      <c r="AP93" s="559">
        <v>1416.5217391304348</v>
      </c>
      <c r="AQ93" s="559">
        <v>88.532608695652172</v>
      </c>
      <c r="AR93" s="555">
        <f t="shared" si="26"/>
        <v>3</v>
      </c>
      <c r="AS93" s="685"/>
      <c r="AT93" s="555">
        <v>16</v>
      </c>
      <c r="AU93" s="559">
        <v>1423.9024390243897</v>
      </c>
      <c r="AV93" s="559">
        <v>88.993902439024353</v>
      </c>
      <c r="AW93" s="555">
        <f t="shared" si="27"/>
        <v>5</v>
      </c>
      <c r="AX93" s="685"/>
      <c r="AZ93" s="368" t="e">
        <f t="shared" si="28"/>
        <v>#N/A</v>
      </c>
      <c r="BA93" s="685"/>
    </row>
    <row r="94" spans="2:53">
      <c r="B94" s="660"/>
      <c r="C94" s="283">
        <v>18</v>
      </c>
      <c r="D94" s="201" t="s">
        <v>614</v>
      </c>
      <c r="E94" s="534">
        <v>16</v>
      </c>
      <c r="F94" s="201">
        <v>1500</v>
      </c>
      <c r="G94" s="199">
        <v>93.75</v>
      </c>
      <c r="H94" s="699"/>
      <c r="I94" s="363">
        <f t="shared" si="18"/>
        <v>16.857142857142858</v>
      </c>
      <c r="J94" s="363">
        <f t="shared" si="19"/>
        <v>1349.5533241391172</v>
      </c>
      <c r="K94" s="199">
        <f t="shared" si="20"/>
        <v>80.085988604822006</v>
      </c>
      <c r="L94" s="634"/>
      <c r="M94" s="200">
        <f>RANK(K94, K$77:$K$106)</f>
        <v>9</v>
      </c>
      <c r="N94" s="652"/>
      <c r="O94" s="652"/>
      <c r="P94" s="555">
        <v>17</v>
      </c>
      <c r="Q94" s="559">
        <v>1356.7346938775513</v>
      </c>
      <c r="R94" s="559">
        <v>79.807923169267724</v>
      </c>
      <c r="S94" s="555">
        <f t="shared" si="21"/>
        <v>9</v>
      </c>
      <c r="T94" s="685"/>
      <c r="U94" s="555">
        <v>17</v>
      </c>
      <c r="V94" s="559">
        <v>1371.6000000000004</v>
      </c>
      <c r="W94" s="559">
        <v>80.682352941176489</v>
      </c>
      <c r="X94" s="555">
        <f t="shared" si="22"/>
        <v>10</v>
      </c>
      <c r="Y94" s="685"/>
      <c r="Z94" s="555">
        <v>17</v>
      </c>
      <c r="AA94" s="559">
        <v>1334.2105263157885</v>
      </c>
      <c r="AB94" s="559">
        <v>78.482972136222855</v>
      </c>
      <c r="AC94" s="555">
        <f t="shared" si="23"/>
        <v>11</v>
      </c>
      <c r="AD94" s="685"/>
      <c r="AE94" s="555">
        <v>17</v>
      </c>
      <c r="AF94" s="559">
        <v>1344.8780487804875</v>
      </c>
      <c r="AG94" s="559">
        <v>79.110473457675738</v>
      </c>
      <c r="AH94" s="555">
        <f t="shared" si="24"/>
        <v>12</v>
      </c>
      <c r="AI94" s="685"/>
      <c r="AJ94" s="555">
        <v>16</v>
      </c>
      <c r="AK94" s="559">
        <v>1333.7500000000005</v>
      </c>
      <c r="AL94" s="559">
        <v>83.359375000000028</v>
      </c>
      <c r="AM94" s="555">
        <f t="shared" si="25"/>
        <v>9</v>
      </c>
      <c r="AN94" s="685"/>
      <c r="AO94" s="555">
        <v>17</v>
      </c>
      <c r="AP94" s="559">
        <v>1342.499999999997</v>
      </c>
      <c r="AQ94" s="559">
        <v>78.970588235293945</v>
      </c>
      <c r="AR94" s="555">
        <f t="shared" si="26"/>
        <v>12</v>
      </c>
      <c r="AS94" s="685"/>
      <c r="AT94" s="555">
        <v>17</v>
      </c>
      <c r="AU94" s="559">
        <v>1363.1999999999962</v>
      </c>
      <c r="AV94" s="559">
        <v>80.188235294117419</v>
      </c>
      <c r="AW94" s="555">
        <f t="shared" si="27"/>
        <v>9</v>
      </c>
      <c r="AX94" s="685"/>
      <c r="AZ94" s="368" t="e">
        <f t="shared" si="28"/>
        <v>#N/A</v>
      </c>
      <c r="BA94" s="685"/>
    </row>
    <row r="95" spans="2:53">
      <c r="B95" s="660"/>
      <c r="C95" s="283">
        <v>19</v>
      </c>
      <c r="D95" s="201" t="s">
        <v>610</v>
      </c>
      <c r="E95" s="534">
        <v>16</v>
      </c>
      <c r="F95" s="201">
        <v>1500</v>
      </c>
      <c r="G95" s="199">
        <v>93.75</v>
      </c>
      <c r="H95" s="699"/>
      <c r="I95" s="363">
        <f t="shared" si="18"/>
        <v>15.142857142857142</v>
      </c>
      <c r="J95" s="363">
        <f t="shared" si="19"/>
        <v>1305.6563065573664</v>
      </c>
      <c r="K95" s="199">
        <f t="shared" si="20"/>
        <v>86.591766394405212</v>
      </c>
      <c r="L95" s="634"/>
      <c r="M95" s="200">
        <f>RANK(K95, K$77:$K$106)</f>
        <v>5</v>
      </c>
      <c r="N95" s="652"/>
      <c r="O95" s="652"/>
      <c r="P95" s="555">
        <v>16</v>
      </c>
      <c r="Q95" s="559">
        <v>1305.7894736842095</v>
      </c>
      <c r="R95" s="559">
        <v>81.611842105263094</v>
      </c>
      <c r="S95" s="555">
        <f t="shared" si="21"/>
        <v>8</v>
      </c>
      <c r="T95" s="685"/>
      <c r="U95" s="555">
        <v>16</v>
      </c>
      <c r="V95" s="559">
        <v>1301.4084507042242</v>
      </c>
      <c r="W95" s="559">
        <v>81.338028169014009</v>
      </c>
      <c r="X95" s="555">
        <f t="shared" si="22"/>
        <v>9</v>
      </c>
      <c r="Y95" s="685"/>
      <c r="Z95" s="555">
        <v>16</v>
      </c>
      <c r="AA95" s="559">
        <v>1315.6363636363644</v>
      </c>
      <c r="AB95" s="559">
        <v>82.227272727272776</v>
      </c>
      <c r="AC95" s="555">
        <f t="shared" si="23"/>
        <v>8</v>
      </c>
      <c r="AD95" s="685"/>
      <c r="AE95" s="555">
        <v>14</v>
      </c>
      <c r="AF95" s="559">
        <v>1297.64705882353</v>
      </c>
      <c r="AG95" s="559">
        <v>92.689075630252134</v>
      </c>
      <c r="AH95" s="555">
        <f t="shared" si="24"/>
        <v>3</v>
      </c>
      <c r="AI95" s="685"/>
      <c r="AJ95" s="555">
        <v>14</v>
      </c>
      <c r="AK95" s="559">
        <v>1294.7826086956509</v>
      </c>
      <c r="AL95" s="559">
        <v>92.484472049689344</v>
      </c>
      <c r="AM95" s="555">
        <f t="shared" si="25"/>
        <v>3</v>
      </c>
      <c r="AN95" s="685"/>
      <c r="AO95" s="555">
        <v>16</v>
      </c>
      <c r="AP95" s="559">
        <v>1305.9740259740252</v>
      </c>
      <c r="AQ95" s="559">
        <v>81.623376623376572</v>
      </c>
      <c r="AR95" s="555">
        <f t="shared" si="26"/>
        <v>8</v>
      </c>
      <c r="AS95" s="685"/>
      <c r="AT95" s="555">
        <v>14</v>
      </c>
      <c r="AU95" s="559">
        <v>1318.3561643835606</v>
      </c>
      <c r="AV95" s="559">
        <v>94.168297455968613</v>
      </c>
      <c r="AW95" s="555">
        <f t="shared" si="27"/>
        <v>4</v>
      </c>
      <c r="AX95" s="685"/>
      <c r="AZ95" s="368" t="e">
        <f t="shared" si="28"/>
        <v>#N/A</v>
      </c>
      <c r="BA95" s="685"/>
    </row>
    <row r="96" spans="2:53">
      <c r="B96" s="660"/>
      <c r="C96" s="283">
        <v>20</v>
      </c>
      <c r="D96" s="201" t="s">
        <v>628</v>
      </c>
      <c r="E96" s="534">
        <v>19</v>
      </c>
      <c r="F96" s="201">
        <v>1440</v>
      </c>
      <c r="G96" s="199">
        <v>75.78947368421052</v>
      </c>
      <c r="H96" s="699"/>
      <c r="I96" s="363">
        <f t="shared" si="18"/>
        <v>19</v>
      </c>
      <c r="J96" s="363">
        <f t="shared" si="19"/>
        <v>1298.4450623562868</v>
      </c>
      <c r="K96" s="199">
        <f t="shared" si="20"/>
        <v>68.339213808225637</v>
      </c>
      <c r="L96" s="634"/>
      <c r="M96" s="200">
        <f>RANK(K96, K$77:$K$106)</f>
        <v>21</v>
      </c>
      <c r="N96" s="652"/>
      <c r="O96" s="652"/>
      <c r="P96" s="555">
        <v>19</v>
      </c>
      <c r="Q96" s="559">
        <v>1282.8000000000004</v>
      </c>
      <c r="R96" s="559">
        <v>67.515789473684237</v>
      </c>
      <c r="S96" s="555">
        <f t="shared" si="21"/>
        <v>21</v>
      </c>
      <c r="T96" s="685"/>
      <c r="U96" s="555">
        <v>19</v>
      </c>
      <c r="V96" s="559">
        <v>1300.0000000000007</v>
      </c>
      <c r="W96" s="559">
        <v>68.421052631578988</v>
      </c>
      <c r="X96" s="555">
        <f t="shared" si="22"/>
        <v>19</v>
      </c>
      <c r="Y96" s="685"/>
      <c r="Z96" s="555">
        <v>19</v>
      </c>
      <c r="AA96" s="559">
        <v>1279.9999999999993</v>
      </c>
      <c r="AB96" s="559">
        <v>67.368421052631547</v>
      </c>
      <c r="AC96" s="555">
        <f t="shared" si="23"/>
        <v>20</v>
      </c>
      <c r="AD96" s="685"/>
      <c r="AE96" s="555">
        <v>19</v>
      </c>
      <c r="AF96" s="559">
        <v>1328.1081081081072</v>
      </c>
      <c r="AG96" s="559">
        <v>69.900426742531963</v>
      </c>
      <c r="AH96" s="555">
        <f t="shared" si="24"/>
        <v>18</v>
      </c>
      <c r="AI96" s="685"/>
      <c r="AJ96" s="555">
        <v>19</v>
      </c>
      <c r="AK96" s="559">
        <v>1281.2500000000002</v>
      </c>
      <c r="AL96" s="559">
        <v>67.434210526315795</v>
      </c>
      <c r="AM96" s="555">
        <f t="shared" si="25"/>
        <v>21</v>
      </c>
      <c r="AN96" s="685"/>
      <c r="AO96" s="555">
        <v>19</v>
      </c>
      <c r="AP96" s="559">
        <v>1298.1818181818192</v>
      </c>
      <c r="AQ96" s="559">
        <v>68.325358851674693</v>
      </c>
      <c r="AR96" s="555">
        <f t="shared" si="26"/>
        <v>20</v>
      </c>
      <c r="AS96" s="685"/>
      <c r="AT96" s="555">
        <v>19</v>
      </c>
      <c r="AU96" s="559">
        <v>1318.7755102040819</v>
      </c>
      <c r="AV96" s="559">
        <v>69.409237379162207</v>
      </c>
      <c r="AW96" s="555">
        <f t="shared" si="27"/>
        <v>18</v>
      </c>
      <c r="AX96" s="685"/>
      <c r="AZ96" s="368" t="e">
        <f t="shared" si="28"/>
        <v>#N/A</v>
      </c>
      <c r="BA96" s="685"/>
    </row>
    <row r="97" spans="2:53">
      <c r="B97" s="660"/>
      <c r="C97" s="283">
        <v>21</v>
      </c>
      <c r="D97" s="201" t="s">
        <v>698</v>
      </c>
      <c r="E97" s="534">
        <v>21</v>
      </c>
      <c r="F97" s="201">
        <v>1440</v>
      </c>
      <c r="G97" s="199">
        <v>68.571428571428569</v>
      </c>
      <c r="H97" s="699"/>
      <c r="I97" s="363">
        <f t="shared" si="18"/>
        <v>20.714285714285715</v>
      </c>
      <c r="J97" s="363">
        <f t="shared" si="19"/>
        <v>1138.648908160475</v>
      </c>
      <c r="K97" s="199">
        <f t="shared" si="20"/>
        <v>54.994052316031684</v>
      </c>
      <c r="L97" s="634"/>
      <c r="M97" s="200">
        <f>RANK(K97, K$77:$K$106)</f>
        <v>24</v>
      </c>
      <c r="N97" s="652"/>
      <c r="O97" s="652"/>
      <c r="P97" s="555">
        <v>21</v>
      </c>
      <c r="Q97" s="559">
        <v>1162.1739130434783</v>
      </c>
      <c r="R97" s="559">
        <v>55.341614906832298</v>
      </c>
      <c r="S97" s="555">
        <f t="shared" si="21"/>
        <v>24</v>
      </c>
      <c r="T97" s="685"/>
      <c r="U97" s="555">
        <v>21</v>
      </c>
      <c r="V97" s="559">
        <v>1141.2000000000005</v>
      </c>
      <c r="W97" s="559">
        <v>54.34285714285717</v>
      </c>
      <c r="X97" s="555">
        <f t="shared" si="22"/>
        <v>24</v>
      </c>
      <c r="Y97" s="685"/>
      <c r="Z97" s="555">
        <v>20</v>
      </c>
      <c r="AA97" s="559">
        <v>1171.6666666666656</v>
      </c>
      <c r="AB97" s="559">
        <v>58.583333333333279</v>
      </c>
      <c r="AC97" s="555">
        <f t="shared" si="23"/>
        <v>23</v>
      </c>
      <c r="AD97" s="685"/>
      <c r="AE97" s="555">
        <v>21</v>
      </c>
      <c r="AF97" s="559">
        <v>1136.6666666666656</v>
      </c>
      <c r="AG97" s="559">
        <v>54.126984126984077</v>
      </c>
      <c r="AH97" s="555">
        <f t="shared" si="24"/>
        <v>23</v>
      </c>
      <c r="AI97" s="685"/>
      <c r="AJ97" s="555">
        <v>20</v>
      </c>
      <c r="AK97" s="559">
        <v>1100.0000000000005</v>
      </c>
      <c r="AL97" s="559">
        <v>55.000000000000021</v>
      </c>
      <c r="AM97" s="555">
        <f t="shared" si="25"/>
        <v>23</v>
      </c>
      <c r="AN97" s="685"/>
      <c r="AO97" s="555">
        <v>21</v>
      </c>
      <c r="AP97" s="559">
        <v>1116.2264150943402</v>
      </c>
      <c r="AQ97" s="559">
        <v>53.153638814016198</v>
      </c>
      <c r="AR97" s="555">
        <f t="shared" si="26"/>
        <v>23</v>
      </c>
      <c r="AS97" s="685"/>
      <c r="AT97" s="555">
        <v>21</v>
      </c>
      <c r="AU97" s="559">
        <v>1142.608695652174</v>
      </c>
      <c r="AV97" s="559">
        <v>54.409937888198762</v>
      </c>
      <c r="AW97" s="555">
        <f t="shared" si="27"/>
        <v>23</v>
      </c>
      <c r="AX97" s="685"/>
      <c r="AZ97" s="368" t="e">
        <f t="shared" si="28"/>
        <v>#N/A</v>
      </c>
      <c r="BA97" s="685"/>
    </row>
    <row r="98" spans="2:53">
      <c r="B98" s="660"/>
      <c r="C98" s="283">
        <v>22</v>
      </c>
      <c r="D98" s="201" t="s">
        <v>700</v>
      </c>
      <c r="E98" s="534">
        <v>19</v>
      </c>
      <c r="F98" s="201">
        <v>1440</v>
      </c>
      <c r="G98" s="199">
        <v>75.78947368421052</v>
      </c>
      <c r="H98" s="699"/>
      <c r="I98" s="363">
        <f t="shared" si="18"/>
        <v>19</v>
      </c>
      <c r="J98" s="363">
        <f t="shared" si="19"/>
        <v>1299.5094441885569</v>
      </c>
      <c r="K98" s="199">
        <f t="shared" si="20"/>
        <v>68.395233904660884</v>
      </c>
      <c r="L98" s="634"/>
      <c r="M98" s="200">
        <f>RANK(K98, K$77:$K$106)</f>
        <v>20</v>
      </c>
      <c r="N98" s="652"/>
      <c r="O98" s="652"/>
      <c r="P98" s="555">
        <v>19</v>
      </c>
      <c r="Q98" s="559">
        <v>1292.1739130434769</v>
      </c>
      <c r="R98" s="559">
        <v>68.009153318077736</v>
      </c>
      <c r="S98" s="555">
        <f t="shared" si="21"/>
        <v>20</v>
      </c>
      <c r="T98" s="685"/>
      <c r="U98" s="555">
        <v>19</v>
      </c>
      <c r="V98" s="559">
        <v>1300.6153846153859</v>
      </c>
      <c r="W98" s="559">
        <v>68.453441295546625</v>
      </c>
      <c r="X98" s="555">
        <f t="shared" si="22"/>
        <v>18</v>
      </c>
      <c r="Y98" s="685"/>
      <c r="Z98" s="555">
        <v>19</v>
      </c>
      <c r="AA98" s="559">
        <v>1317.9310344827597</v>
      </c>
      <c r="AB98" s="559">
        <v>69.364791288566309</v>
      </c>
      <c r="AC98" s="555">
        <f t="shared" si="23"/>
        <v>18</v>
      </c>
      <c r="AD98" s="685"/>
      <c r="AE98" s="555">
        <v>19</v>
      </c>
      <c r="AF98" s="559">
        <v>1318.9655172413804</v>
      </c>
      <c r="AG98" s="559">
        <v>69.41923774954634</v>
      </c>
      <c r="AH98" s="555">
        <f t="shared" si="24"/>
        <v>19</v>
      </c>
      <c r="AI98" s="685"/>
      <c r="AJ98" s="555">
        <v>19</v>
      </c>
      <c r="AK98" s="559">
        <v>1317.3134328358226</v>
      </c>
      <c r="AL98" s="559">
        <v>69.332285938727509</v>
      </c>
      <c r="AM98" s="555">
        <f t="shared" si="25"/>
        <v>19</v>
      </c>
      <c r="AN98" s="685"/>
      <c r="AO98" s="555">
        <v>19</v>
      </c>
      <c r="AP98" s="559">
        <v>1261.6216216216205</v>
      </c>
      <c r="AQ98" s="559">
        <v>66.401137980085295</v>
      </c>
      <c r="AR98" s="555">
        <f t="shared" si="26"/>
        <v>21</v>
      </c>
      <c r="AS98" s="685"/>
      <c r="AT98" s="555">
        <v>19</v>
      </c>
      <c r="AU98" s="559">
        <v>1287.945205479451</v>
      </c>
      <c r="AV98" s="559">
        <v>67.786589762076375</v>
      </c>
      <c r="AW98" s="555">
        <f t="shared" si="27"/>
        <v>20</v>
      </c>
      <c r="AX98" s="685"/>
      <c r="AZ98" s="368" t="e">
        <f t="shared" si="28"/>
        <v>#N/A</v>
      </c>
      <c r="BA98" s="685"/>
    </row>
    <row r="99" spans="2:53">
      <c r="B99" s="660"/>
      <c r="C99" s="283">
        <v>23</v>
      </c>
      <c r="D99" s="201" t="s">
        <v>709</v>
      </c>
      <c r="E99" s="534">
        <v>17</v>
      </c>
      <c r="F99" s="201">
        <v>1440</v>
      </c>
      <c r="G99" s="199">
        <v>84.705882352941174</v>
      </c>
      <c r="H99" s="699"/>
      <c r="I99" s="363">
        <f t="shared" si="18"/>
        <v>17</v>
      </c>
      <c r="J99" s="363">
        <f t="shared" si="19"/>
        <v>1194.0926640926655</v>
      </c>
      <c r="K99" s="199">
        <f t="shared" si="20"/>
        <v>70.240744946627387</v>
      </c>
      <c r="L99" s="634"/>
      <c r="M99" s="200">
        <f>RANK(K99, K$77:$K$106)</f>
        <v>17</v>
      </c>
      <c r="N99" s="652"/>
      <c r="O99" s="652"/>
      <c r="P99" s="555">
        <v>17</v>
      </c>
      <c r="Q99" s="559">
        <v>1316.7567567567557</v>
      </c>
      <c r="R99" s="559">
        <v>77.456279809220931</v>
      </c>
      <c r="S99" s="555">
        <f t="shared" si="21"/>
        <v>14</v>
      </c>
      <c r="T99" s="685"/>
      <c r="U99" s="555">
        <v>17</v>
      </c>
      <c r="V99" s="559">
        <v>1071.4285714285752</v>
      </c>
      <c r="W99" s="559">
        <v>63.025210084033837</v>
      </c>
      <c r="X99" s="555">
        <f t="shared" si="22"/>
        <v>23</v>
      </c>
      <c r="Y99" s="685"/>
      <c r="Z99" s="555" t="s">
        <v>585</v>
      </c>
      <c r="AA99" s="559" t="s">
        <v>585</v>
      </c>
      <c r="AB99" s="559" t="s">
        <v>585</v>
      </c>
      <c r="AC99" s="555" t="e">
        <f t="shared" si="23"/>
        <v>#VALUE!</v>
      </c>
      <c r="AD99" s="685"/>
      <c r="AE99" s="555" t="s">
        <v>585</v>
      </c>
      <c r="AF99" s="559" t="s">
        <v>585</v>
      </c>
      <c r="AG99" s="559" t="s">
        <v>585</v>
      </c>
      <c r="AH99" s="555" t="e">
        <f t="shared" si="24"/>
        <v>#VALUE!</v>
      </c>
      <c r="AI99" s="685"/>
      <c r="AJ99" s="555" t="s">
        <v>585</v>
      </c>
      <c r="AK99" s="559" t="s">
        <v>585</v>
      </c>
      <c r="AL99" s="559" t="s">
        <v>585</v>
      </c>
      <c r="AM99" s="555" t="e">
        <f t="shared" si="25"/>
        <v>#VALUE!</v>
      </c>
      <c r="AN99" s="685"/>
      <c r="AO99" s="555" t="s">
        <v>585</v>
      </c>
      <c r="AP99" s="559" t="s">
        <v>585</v>
      </c>
      <c r="AQ99" s="559" t="s">
        <v>585</v>
      </c>
      <c r="AR99" s="555" t="e">
        <f t="shared" si="26"/>
        <v>#VALUE!</v>
      </c>
      <c r="AS99" s="685"/>
      <c r="AT99" s="555" t="s">
        <v>585</v>
      </c>
      <c r="AU99" s="559" t="s">
        <v>585</v>
      </c>
      <c r="AV99" s="559" t="s">
        <v>585</v>
      </c>
      <c r="AW99" s="555" t="e">
        <f t="shared" si="27"/>
        <v>#VALUE!</v>
      </c>
      <c r="AX99" s="685"/>
      <c r="AZ99" s="368" t="e">
        <f t="shared" si="28"/>
        <v>#N/A</v>
      </c>
      <c r="BA99" s="685"/>
    </row>
    <row r="100" spans="2:53">
      <c r="B100" s="660"/>
      <c r="C100" s="283">
        <v>24</v>
      </c>
      <c r="D100" s="201" t="s">
        <v>731</v>
      </c>
      <c r="E100" s="534">
        <v>15</v>
      </c>
      <c r="F100" s="201">
        <v>1440</v>
      </c>
      <c r="G100" s="199">
        <v>96</v>
      </c>
      <c r="H100" s="699"/>
      <c r="I100" s="363">
        <f t="shared" si="18"/>
        <v>14.714285714285714</v>
      </c>
      <c r="J100" s="363">
        <f t="shared" si="19"/>
        <v>1306.5066594701907</v>
      </c>
      <c r="K100" s="199">
        <f t="shared" si="20"/>
        <v>89.024861011047633</v>
      </c>
      <c r="L100" s="634"/>
      <c r="M100" s="200">
        <f>RANK(K100, K$77:$K$106)</f>
        <v>3</v>
      </c>
      <c r="N100" s="652"/>
      <c r="O100" s="652"/>
      <c r="P100" s="555">
        <v>15</v>
      </c>
      <c r="Q100" s="559">
        <v>1325.8064516129034</v>
      </c>
      <c r="R100" s="559">
        <v>88.387096774193566</v>
      </c>
      <c r="S100" s="555">
        <f t="shared" si="21"/>
        <v>3</v>
      </c>
      <c r="T100" s="685"/>
      <c r="U100" s="555">
        <v>15</v>
      </c>
      <c r="V100" s="559">
        <v>1305.1685393258426</v>
      </c>
      <c r="W100" s="559">
        <v>87.011235955056179</v>
      </c>
      <c r="X100" s="555">
        <f t="shared" si="22"/>
        <v>4</v>
      </c>
      <c r="Y100" s="685"/>
      <c r="Z100" s="555">
        <v>15</v>
      </c>
      <c r="AA100" s="559">
        <v>1298.6301369863004</v>
      </c>
      <c r="AB100" s="559">
        <v>86.575342465753366</v>
      </c>
      <c r="AC100" s="555">
        <f t="shared" si="23"/>
        <v>4</v>
      </c>
      <c r="AD100" s="685"/>
      <c r="AE100" s="555">
        <v>15</v>
      </c>
      <c r="AF100" s="559">
        <v>1292.1739130434769</v>
      </c>
      <c r="AG100" s="559">
        <v>86.144927536231791</v>
      </c>
      <c r="AH100" s="555">
        <f t="shared" si="24"/>
        <v>5</v>
      </c>
      <c r="AI100" s="685"/>
      <c r="AJ100" s="555">
        <v>15</v>
      </c>
      <c r="AK100" s="559">
        <v>1307.9999999999998</v>
      </c>
      <c r="AL100" s="559">
        <v>87.199999999999989</v>
      </c>
      <c r="AM100" s="555">
        <f t="shared" si="25"/>
        <v>6</v>
      </c>
      <c r="AN100" s="685"/>
      <c r="AO100" s="555">
        <v>15</v>
      </c>
      <c r="AP100" s="559">
        <v>1302.3529411764705</v>
      </c>
      <c r="AQ100" s="559">
        <v>86.823529411764696</v>
      </c>
      <c r="AR100" s="555">
        <f t="shared" si="26"/>
        <v>4</v>
      </c>
      <c r="AS100" s="685"/>
      <c r="AT100" s="555">
        <v>13</v>
      </c>
      <c r="AU100" s="559">
        <v>1313.4146341463411</v>
      </c>
      <c r="AV100" s="559">
        <v>101.03189493433393</v>
      </c>
      <c r="AW100" s="555">
        <f t="shared" si="27"/>
        <v>3</v>
      </c>
      <c r="AX100" s="685"/>
      <c r="AZ100" s="368" t="e">
        <f t="shared" si="28"/>
        <v>#N/A</v>
      </c>
      <c r="BA100" s="685"/>
    </row>
    <row r="101" spans="2:53">
      <c r="B101" s="660"/>
      <c r="C101" s="283">
        <v>25</v>
      </c>
      <c r="D101" s="201"/>
      <c r="E101" s="534"/>
      <c r="F101" s="201"/>
      <c r="G101" s="199"/>
      <c r="H101" s="699"/>
      <c r="I101" s="363" t="str">
        <f t="shared" si="18"/>
        <v>-</v>
      </c>
      <c r="J101" s="363" t="str">
        <f t="shared" si="19"/>
        <v>-</v>
      </c>
      <c r="K101" s="199" t="str">
        <f t="shared" si="20"/>
        <v>-</v>
      </c>
      <c r="L101" s="634"/>
      <c r="M101" s="200" t="e">
        <f>RANK(K101, K$77:$K$106)</f>
        <v>#VALUE!</v>
      </c>
      <c r="N101" s="652"/>
      <c r="O101" s="652"/>
      <c r="P101" s="555" t="s">
        <v>585</v>
      </c>
      <c r="Q101" s="559" t="s">
        <v>585</v>
      </c>
      <c r="R101" s="559" t="s">
        <v>585</v>
      </c>
      <c r="S101" s="555" t="e">
        <f t="shared" si="21"/>
        <v>#VALUE!</v>
      </c>
      <c r="T101" s="685"/>
      <c r="U101" s="555" t="s">
        <v>585</v>
      </c>
      <c r="V101" s="559" t="s">
        <v>585</v>
      </c>
      <c r="W101" s="559" t="s">
        <v>585</v>
      </c>
      <c r="X101" s="555" t="e">
        <f t="shared" si="22"/>
        <v>#VALUE!</v>
      </c>
      <c r="Y101" s="685"/>
      <c r="Z101" s="555" t="s">
        <v>585</v>
      </c>
      <c r="AA101" s="559" t="s">
        <v>585</v>
      </c>
      <c r="AB101" s="559" t="s">
        <v>585</v>
      </c>
      <c r="AC101" s="555" t="e">
        <f t="shared" si="23"/>
        <v>#VALUE!</v>
      </c>
      <c r="AD101" s="685"/>
      <c r="AE101" s="555" t="s">
        <v>585</v>
      </c>
      <c r="AF101" s="559" t="s">
        <v>585</v>
      </c>
      <c r="AG101" s="559" t="s">
        <v>585</v>
      </c>
      <c r="AH101" s="555" t="e">
        <f t="shared" si="24"/>
        <v>#VALUE!</v>
      </c>
      <c r="AI101" s="685"/>
      <c r="AJ101" s="555" t="s">
        <v>585</v>
      </c>
      <c r="AK101" s="559" t="s">
        <v>585</v>
      </c>
      <c r="AL101" s="559" t="s">
        <v>585</v>
      </c>
      <c r="AM101" s="555" t="e">
        <f t="shared" si="25"/>
        <v>#VALUE!</v>
      </c>
      <c r="AN101" s="685"/>
      <c r="AO101" s="555" t="s">
        <v>585</v>
      </c>
      <c r="AP101" s="559" t="s">
        <v>585</v>
      </c>
      <c r="AQ101" s="559" t="s">
        <v>585</v>
      </c>
      <c r="AR101" s="555" t="e">
        <f t="shared" si="26"/>
        <v>#VALUE!</v>
      </c>
      <c r="AS101" s="685"/>
      <c r="AT101" s="555" t="s">
        <v>585</v>
      </c>
      <c r="AU101" s="559" t="s">
        <v>585</v>
      </c>
      <c r="AV101" s="559" t="s">
        <v>585</v>
      </c>
      <c r="AW101" s="555" t="e">
        <f t="shared" si="27"/>
        <v>#VALUE!</v>
      </c>
      <c r="AX101" s="685"/>
      <c r="AZ101" s="368" t="e">
        <f t="shared" si="28"/>
        <v>#N/A</v>
      </c>
      <c r="BA101" s="685"/>
    </row>
    <row r="102" spans="2:53">
      <c r="B102" s="660"/>
      <c r="C102" s="283">
        <v>26</v>
      </c>
      <c r="D102" s="201"/>
      <c r="E102" s="534"/>
      <c r="F102" s="201"/>
      <c r="G102" s="199"/>
      <c r="H102" s="699"/>
      <c r="I102" s="363" t="str">
        <f t="shared" si="18"/>
        <v>-</v>
      </c>
      <c r="J102" s="363" t="str">
        <f t="shared" si="19"/>
        <v>-</v>
      </c>
      <c r="K102" s="199" t="str">
        <f t="shared" si="20"/>
        <v>-</v>
      </c>
      <c r="L102" s="634"/>
      <c r="M102" s="200" t="e">
        <f>RANK(K102, K$77:$K$106)</f>
        <v>#VALUE!</v>
      </c>
      <c r="N102" s="652"/>
      <c r="O102" s="652"/>
      <c r="P102" s="555" t="s">
        <v>585</v>
      </c>
      <c r="Q102" s="559" t="s">
        <v>585</v>
      </c>
      <c r="R102" s="559" t="s">
        <v>585</v>
      </c>
      <c r="S102" s="555" t="e">
        <f t="shared" si="21"/>
        <v>#VALUE!</v>
      </c>
      <c r="T102" s="685"/>
      <c r="U102" s="555" t="s">
        <v>585</v>
      </c>
      <c r="V102" s="559" t="s">
        <v>585</v>
      </c>
      <c r="W102" s="559" t="s">
        <v>585</v>
      </c>
      <c r="X102" s="555" t="e">
        <f t="shared" si="22"/>
        <v>#VALUE!</v>
      </c>
      <c r="Y102" s="685"/>
      <c r="Z102" s="555" t="s">
        <v>585</v>
      </c>
      <c r="AA102" s="559" t="s">
        <v>585</v>
      </c>
      <c r="AB102" s="559" t="s">
        <v>585</v>
      </c>
      <c r="AC102" s="555" t="e">
        <f t="shared" si="23"/>
        <v>#VALUE!</v>
      </c>
      <c r="AD102" s="685"/>
      <c r="AE102" s="555" t="s">
        <v>585</v>
      </c>
      <c r="AF102" s="559" t="s">
        <v>585</v>
      </c>
      <c r="AG102" s="559" t="s">
        <v>585</v>
      </c>
      <c r="AH102" s="555" t="e">
        <f t="shared" si="24"/>
        <v>#VALUE!</v>
      </c>
      <c r="AI102" s="685"/>
      <c r="AJ102" s="555" t="s">
        <v>585</v>
      </c>
      <c r="AK102" s="559" t="s">
        <v>585</v>
      </c>
      <c r="AL102" s="559" t="s">
        <v>585</v>
      </c>
      <c r="AM102" s="555" t="e">
        <f t="shared" si="25"/>
        <v>#VALUE!</v>
      </c>
      <c r="AN102" s="685"/>
      <c r="AO102" s="555" t="s">
        <v>585</v>
      </c>
      <c r="AP102" s="559" t="s">
        <v>585</v>
      </c>
      <c r="AQ102" s="559" t="s">
        <v>585</v>
      </c>
      <c r="AR102" s="555" t="e">
        <f t="shared" si="26"/>
        <v>#VALUE!</v>
      </c>
      <c r="AS102" s="685"/>
      <c r="AT102" s="555" t="s">
        <v>585</v>
      </c>
      <c r="AU102" s="559" t="s">
        <v>585</v>
      </c>
      <c r="AV102" s="559" t="s">
        <v>585</v>
      </c>
      <c r="AW102" s="555" t="e">
        <f t="shared" si="27"/>
        <v>#VALUE!</v>
      </c>
      <c r="AX102" s="685"/>
      <c r="AZ102" s="368" t="e">
        <f t="shared" si="28"/>
        <v>#N/A</v>
      </c>
      <c r="BA102" s="685"/>
    </row>
    <row r="103" spans="2:53">
      <c r="B103" s="660"/>
      <c r="C103" s="283">
        <v>27</v>
      </c>
      <c r="D103" s="201"/>
      <c r="E103" s="534"/>
      <c r="F103" s="201"/>
      <c r="G103" s="199"/>
      <c r="H103" s="699"/>
      <c r="I103" s="363" t="str">
        <f t="shared" si="18"/>
        <v>-</v>
      </c>
      <c r="J103" s="363" t="str">
        <f t="shared" si="19"/>
        <v>-</v>
      </c>
      <c r="K103" s="199" t="str">
        <f t="shared" si="20"/>
        <v>-</v>
      </c>
      <c r="L103" s="634"/>
      <c r="M103" s="200" t="e">
        <f>RANK(K103, K$77:$K$106)</f>
        <v>#VALUE!</v>
      </c>
      <c r="N103" s="652"/>
      <c r="O103" s="652"/>
      <c r="P103" s="555" t="s">
        <v>585</v>
      </c>
      <c r="Q103" s="559" t="s">
        <v>585</v>
      </c>
      <c r="R103" s="559" t="s">
        <v>585</v>
      </c>
      <c r="S103" s="555" t="e">
        <f t="shared" si="21"/>
        <v>#VALUE!</v>
      </c>
      <c r="T103" s="685"/>
      <c r="U103" s="555" t="s">
        <v>585</v>
      </c>
      <c r="V103" s="559" t="s">
        <v>585</v>
      </c>
      <c r="W103" s="559" t="s">
        <v>585</v>
      </c>
      <c r="X103" s="555" t="e">
        <f t="shared" si="22"/>
        <v>#VALUE!</v>
      </c>
      <c r="Y103" s="685"/>
      <c r="Z103" s="555" t="s">
        <v>585</v>
      </c>
      <c r="AA103" s="559" t="s">
        <v>585</v>
      </c>
      <c r="AB103" s="559" t="s">
        <v>585</v>
      </c>
      <c r="AC103" s="555" t="e">
        <f t="shared" si="23"/>
        <v>#VALUE!</v>
      </c>
      <c r="AD103" s="685"/>
      <c r="AE103" s="555" t="s">
        <v>585</v>
      </c>
      <c r="AF103" s="559" t="s">
        <v>585</v>
      </c>
      <c r="AG103" s="559" t="s">
        <v>585</v>
      </c>
      <c r="AH103" s="555" t="e">
        <f t="shared" si="24"/>
        <v>#VALUE!</v>
      </c>
      <c r="AI103" s="685"/>
      <c r="AJ103" s="555" t="s">
        <v>585</v>
      </c>
      <c r="AK103" s="559" t="s">
        <v>585</v>
      </c>
      <c r="AL103" s="559" t="s">
        <v>585</v>
      </c>
      <c r="AM103" s="555" t="e">
        <f t="shared" si="25"/>
        <v>#VALUE!</v>
      </c>
      <c r="AN103" s="685"/>
      <c r="AO103" s="555" t="s">
        <v>585</v>
      </c>
      <c r="AP103" s="559" t="s">
        <v>585</v>
      </c>
      <c r="AQ103" s="559" t="s">
        <v>585</v>
      </c>
      <c r="AR103" s="555" t="e">
        <f t="shared" si="26"/>
        <v>#VALUE!</v>
      </c>
      <c r="AS103" s="685"/>
      <c r="AT103" s="555" t="s">
        <v>585</v>
      </c>
      <c r="AU103" s="559" t="s">
        <v>585</v>
      </c>
      <c r="AV103" s="559" t="s">
        <v>585</v>
      </c>
      <c r="AW103" s="555" t="e">
        <f t="shared" si="27"/>
        <v>#VALUE!</v>
      </c>
      <c r="AX103" s="685"/>
      <c r="AZ103" s="368" t="e">
        <f t="shared" si="28"/>
        <v>#N/A</v>
      </c>
      <c r="BA103" s="685"/>
    </row>
    <row r="104" spans="2:53">
      <c r="B104" s="660"/>
      <c r="C104" s="283">
        <v>28</v>
      </c>
      <c r="D104" s="201"/>
      <c r="E104" s="534"/>
      <c r="F104" s="201"/>
      <c r="G104" s="199"/>
      <c r="H104" s="699"/>
      <c r="I104" s="363" t="str">
        <f t="shared" si="18"/>
        <v>-</v>
      </c>
      <c r="J104" s="363" t="str">
        <f t="shared" si="19"/>
        <v>-</v>
      </c>
      <c r="K104" s="199" t="str">
        <f t="shared" si="20"/>
        <v>-</v>
      </c>
      <c r="L104" s="634"/>
      <c r="M104" s="200" t="e">
        <f>RANK(K104, K$77:$K$106)</f>
        <v>#VALUE!</v>
      </c>
      <c r="N104" s="652"/>
      <c r="O104" s="652"/>
      <c r="P104" s="555" t="s">
        <v>585</v>
      </c>
      <c r="Q104" s="559" t="s">
        <v>585</v>
      </c>
      <c r="R104" s="559" t="s">
        <v>585</v>
      </c>
      <c r="S104" s="555" t="e">
        <f t="shared" si="21"/>
        <v>#VALUE!</v>
      </c>
      <c r="T104" s="685"/>
      <c r="U104" s="555" t="s">
        <v>585</v>
      </c>
      <c r="V104" s="559" t="s">
        <v>585</v>
      </c>
      <c r="W104" s="559" t="s">
        <v>585</v>
      </c>
      <c r="X104" s="555" t="e">
        <f t="shared" si="22"/>
        <v>#VALUE!</v>
      </c>
      <c r="Y104" s="685"/>
      <c r="Z104" s="555" t="s">
        <v>585</v>
      </c>
      <c r="AA104" s="559" t="s">
        <v>585</v>
      </c>
      <c r="AB104" s="559" t="s">
        <v>585</v>
      </c>
      <c r="AC104" s="555" t="e">
        <f t="shared" si="23"/>
        <v>#VALUE!</v>
      </c>
      <c r="AD104" s="685"/>
      <c r="AE104" s="555" t="s">
        <v>585</v>
      </c>
      <c r="AF104" s="559" t="s">
        <v>585</v>
      </c>
      <c r="AG104" s="559" t="s">
        <v>585</v>
      </c>
      <c r="AH104" s="555" t="e">
        <f t="shared" si="24"/>
        <v>#VALUE!</v>
      </c>
      <c r="AI104" s="685"/>
      <c r="AJ104" s="555" t="s">
        <v>585</v>
      </c>
      <c r="AK104" s="559" t="s">
        <v>585</v>
      </c>
      <c r="AL104" s="559" t="s">
        <v>585</v>
      </c>
      <c r="AM104" s="555" t="e">
        <f t="shared" si="25"/>
        <v>#VALUE!</v>
      </c>
      <c r="AN104" s="685"/>
      <c r="AO104" s="555" t="s">
        <v>585</v>
      </c>
      <c r="AP104" s="559" t="s">
        <v>585</v>
      </c>
      <c r="AQ104" s="559" t="s">
        <v>585</v>
      </c>
      <c r="AR104" s="555" t="e">
        <f t="shared" si="26"/>
        <v>#VALUE!</v>
      </c>
      <c r="AS104" s="685"/>
      <c r="AT104" s="555" t="s">
        <v>585</v>
      </c>
      <c r="AU104" s="559" t="s">
        <v>585</v>
      </c>
      <c r="AV104" s="559" t="s">
        <v>585</v>
      </c>
      <c r="AW104" s="555" t="e">
        <f t="shared" si="27"/>
        <v>#VALUE!</v>
      </c>
      <c r="AX104" s="685"/>
      <c r="AZ104" s="368" t="e">
        <f t="shared" si="28"/>
        <v>#N/A</v>
      </c>
      <c r="BA104" s="685"/>
    </row>
    <row r="105" spans="2:53">
      <c r="B105" s="660"/>
      <c r="C105" s="283">
        <v>29</v>
      </c>
      <c r="D105" s="201"/>
      <c r="E105" s="534"/>
      <c r="F105" s="201"/>
      <c r="G105" s="199"/>
      <c r="H105" s="699"/>
      <c r="I105" s="363" t="str">
        <f t="shared" si="18"/>
        <v>-</v>
      </c>
      <c r="J105" s="363" t="str">
        <f t="shared" si="19"/>
        <v>-</v>
      </c>
      <c r="K105" s="199" t="str">
        <f t="shared" si="20"/>
        <v>-</v>
      </c>
      <c r="L105" s="634"/>
      <c r="M105" s="200" t="e">
        <f>RANK(K105, K$77:$K$106)</f>
        <v>#VALUE!</v>
      </c>
      <c r="N105" s="652"/>
      <c r="O105" s="652"/>
      <c r="P105" s="555" t="s">
        <v>585</v>
      </c>
      <c r="Q105" s="559" t="s">
        <v>585</v>
      </c>
      <c r="R105" s="559" t="s">
        <v>585</v>
      </c>
      <c r="S105" s="555" t="e">
        <f t="shared" si="21"/>
        <v>#VALUE!</v>
      </c>
      <c r="T105" s="685"/>
      <c r="U105" s="555" t="s">
        <v>585</v>
      </c>
      <c r="V105" s="559" t="s">
        <v>585</v>
      </c>
      <c r="W105" s="559" t="s">
        <v>585</v>
      </c>
      <c r="X105" s="555" t="e">
        <f t="shared" si="22"/>
        <v>#VALUE!</v>
      </c>
      <c r="Y105" s="685"/>
      <c r="Z105" s="555" t="s">
        <v>585</v>
      </c>
      <c r="AA105" s="559" t="s">
        <v>585</v>
      </c>
      <c r="AB105" s="559" t="s">
        <v>585</v>
      </c>
      <c r="AC105" s="555" t="e">
        <f t="shared" si="23"/>
        <v>#VALUE!</v>
      </c>
      <c r="AD105" s="685"/>
      <c r="AE105" s="555" t="s">
        <v>585</v>
      </c>
      <c r="AF105" s="559" t="s">
        <v>585</v>
      </c>
      <c r="AG105" s="559" t="s">
        <v>585</v>
      </c>
      <c r="AH105" s="555" t="e">
        <f t="shared" si="24"/>
        <v>#VALUE!</v>
      </c>
      <c r="AI105" s="685"/>
      <c r="AJ105" s="555" t="s">
        <v>585</v>
      </c>
      <c r="AK105" s="559" t="s">
        <v>585</v>
      </c>
      <c r="AL105" s="559" t="s">
        <v>585</v>
      </c>
      <c r="AM105" s="555" t="e">
        <f t="shared" si="25"/>
        <v>#VALUE!</v>
      </c>
      <c r="AN105" s="685"/>
      <c r="AO105" s="555" t="s">
        <v>585</v>
      </c>
      <c r="AP105" s="559" t="s">
        <v>585</v>
      </c>
      <c r="AQ105" s="559" t="s">
        <v>585</v>
      </c>
      <c r="AR105" s="555" t="e">
        <f t="shared" si="26"/>
        <v>#VALUE!</v>
      </c>
      <c r="AS105" s="685"/>
      <c r="AT105" s="555" t="s">
        <v>585</v>
      </c>
      <c r="AU105" s="559" t="s">
        <v>585</v>
      </c>
      <c r="AV105" s="559" t="s">
        <v>585</v>
      </c>
      <c r="AW105" s="555" t="e">
        <f t="shared" si="27"/>
        <v>#VALUE!</v>
      </c>
      <c r="AX105" s="685"/>
      <c r="AZ105" s="368" t="e">
        <f t="shared" si="28"/>
        <v>#N/A</v>
      </c>
      <c r="BA105" s="685"/>
    </row>
    <row r="106" spans="2:53">
      <c r="B106" s="660"/>
      <c r="C106" s="283">
        <v>30</v>
      </c>
      <c r="D106" s="201"/>
      <c r="E106" s="534"/>
      <c r="F106" s="201"/>
      <c r="G106" s="199"/>
      <c r="H106" s="700"/>
      <c r="I106" s="363" t="str">
        <f t="shared" si="18"/>
        <v>-</v>
      </c>
      <c r="J106" s="363" t="str">
        <f t="shared" si="19"/>
        <v>-</v>
      </c>
      <c r="K106" s="199" t="str">
        <f t="shared" si="20"/>
        <v>-</v>
      </c>
      <c r="L106" s="635"/>
      <c r="M106" s="200" t="e">
        <f>RANK(K106, K$77:$K$106)</f>
        <v>#VALUE!</v>
      </c>
      <c r="N106" s="652"/>
      <c r="O106" s="652"/>
      <c r="P106" s="555" t="s">
        <v>585</v>
      </c>
      <c r="Q106" s="559" t="s">
        <v>585</v>
      </c>
      <c r="R106" s="559" t="s">
        <v>585</v>
      </c>
      <c r="S106" s="555" t="e">
        <f t="shared" si="21"/>
        <v>#VALUE!</v>
      </c>
      <c r="T106" s="685"/>
      <c r="U106" s="555" t="s">
        <v>585</v>
      </c>
      <c r="V106" s="559" t="s">
        <v>585</v>
      </c>
      <c r="W106" s="559" t="s">
        <v>585</v>
      </c>
      <c r="X106" s="555" t="e">
        <f t="shared" si="22"/>
        <v>#VALUE!</v>
      </c>
      <c r="Y106" s="685"/>
      <c r="Z106" s="555" t="s">
        <v>585</v>
      </c>
      <c r="AA106" s="559" t="s">
        <v>585</v>
      </c>
      <c r="AB106" s="559" t="s">
        <v>585</v>
      </c>
      <c r="AC106" s="555" t="e">
        <f t="shared" si="23"/>
        <v>#VALUE!</v>
      </c>
      <c r="AD106" s="685"/>
      <c r="AE106" s="555" t="s">
        <v>585</v>
      </c>
      <c r="AF106" s="559" t="s">
        <v>585</v>
      </c>
      <c r="AG106" s="559" t="s">
        <v>585</v>
      </c>
      <c r="AH106" s="555" t="e">
        <f t="shared" si="24"/>
        <v>#VALUE!</v>
      </c>
      <c r="AI106" s="685"/>
      <c r="AJ106" s="555" t="s">
        <v>585</v>
      </c>
      <c r="AK106" s="559" t="s">
        <v>585</v>
      </c>
      <c r="AL106" s="559" t="s">
        <v>585</v>
      </c>
      <c r="AM106" s="555" t="e">
        <f t="shared" si="25"/>
        <v>#VALUE!</v>
      </c>
      <c r="AN106" s="685"/>
      <c r="AO106" s="555" t="s">
        <v>585</v>
      </c>
      <c r="AP106" s="559" t="s">
        <v>585</v>
      </c>
      <c r="AQ106" s="559" t="s">
        <v>585</v>
      </c>
      <c r="AR106" s="555" t="e">
        <f t="shared" si="26"/>
        <v>#VALUE!</v>
      </c>
      <c r="AS106" s="685"/>
      <c r="AT106" s="555" t="s">
        <v>585</v>
      </c>
      <c r="AU106" s="559" t="s">
        <v>585</v>
      </c>
      <c r="AV106" s="559" t="s">
        <v>585</v>
      </c>
      <c r="AW106" s="555" t="e">
        <f t="shared" si="27"/>
        <v>#VALUE!</v>
      </c>
      <c r="AX106" s="685"/>
      <c r="AZ106" s="368" t="e">
        <f t="shared" si="28"/>
        <v>#N/A</v>
      </c>
      <c r="BA106" s="685"/>
    </row>
    <row r="107" spans="2:53" ht="15.75">
      <c r="B107" s="664" t="s">
        <v>162</v>
      </c>
      <c r="C107" s="665"/>
      <c r="D107" s="665"/>
      <c r="E107" s="665"/>
      <c r="F107" s="665"/>
      <c r="G107" s="665"/>
      <c r="H107" s="666"/>
      <c r="I107" s="207"/>
      <c r="J107" s="207"/>
      <c r="K107" s="207"/>
      <c r="L107" s="207"/>
      <c r="M107" s="206"/>
      <c r="N107" s="653" t="s">
        <v>156</v>
      </c>
      <c r="O107" s="653" t="s">
        <v>105</v>
      </c>
      <c r="P107" s="656">
        <f>P72+7</f>
        <v>46252</v>
      </c>
      <c r="Q107" s="657"/>
      <c r="R107" s="657"/>
      <c r="S107" s="657"/>
      <c r="T107" s="658"/>
      <c r="U107" s="656">
        <f>P107+1</f>
        <v>46253</v>
      </c>
      <c r="V107" s="657"/>
      <c r="W107" s="657"/>
      <c r="X107" s="657"/>
      <c r="Y107" s="658"/>
      <c r="Z107" s="656">
        <f>U107+1</f>
        <v>46254</v>
      </c>
      <c r="AA107" s="657"/>
      <c r="AB107" s="657"/>
      <c r="AC107" s="657"/>
      <c r="AD107" s="658"/>
      <c r="AE107" s="656">
        <f>Z107+1</f>
        <v>46255</v>
      </c>
      <c r="AF107" s="657"/>
      <c r="AG107" s="657"/>
      <c r="AH107" s="657"/>
      <c r="AI107" s="658"/>
      <c r="AJ107" s="656">
        <f>AE107+1</f>
        <v>46256</v>
      </c>
      <c r="AK107" s="657"/>
      <c r="AL107" s="657"/>
      <c r="AM107" s="657"/>
      <c r="AN107" s="658"/>
      <c r="AO107" s="656">
        <f>AJ107+1</f>
        <v>46257</v>
      </c>
      <c r="AP107" s="657"/>
      <c r="AQ107" s="657"/>
      <c r="AR107" s="657"/>
      <c r="AS107" s="658"/>
      <c r="AT107" s="656">
        <f>AO107+1</f>
        <v>46258</v>
      </c>
      <c r="AU107" s="657"/>
      <c r="AV107" s="657"/>
      <c r="AW107" s="657"/>
      <c r="AX107" s="658"/>
    </row>
    <row r="108" spans="2:53" ht="15.75">
      <c r="B108" s="667"/>
      <c r="C108" s="667"/>
      <c r="D108" s="667"/>
      <c r="E108" s="667"/>
      <c r="F108" s="667"/>
      <c r="G108" s="667"/>
      <c r="H108" s="667"/>
      <c r="I108" s="204"/>
      <c r="J108" s="204"/>
      <c r="K108" s="204"/>
      <c r="L108" s="204"/>
      <c r="M108" s="205"/>
      <c r="N108" s="655"/>
      <c r="O108" s="655"/>
      <c r="P108" s="656" t="s">
        <v>317</v>
      </c>
      <c r="Q108" s="657"/>
      <c r="R108" s="657"/>
      <c r="S108" s="657"/>
      <c r="T108" s="658"/>
      <c r="U108" s="656" t="s">
        <v>318</v>
      </c>
      <c r="V108" s="657"/>
      <c r="W108" s="657"/>
      <c r="X108" s="657"/>
      <c r="Y108" s="658"/>
      <c r="Z108" s="656" t="s">
        <v>319</v>
      </c>
      <c r="AA108" s="657"/>
      <c r="AB108" s="657"/>
      <c r="AC108" s="657"/>
      <c r="AD108" s="658"/>
      <c r="AE108" s="656" t="s">
        <v>320</v>
      </c>
      <c r="AF108" s="657"/>
      <c r="AG108" s="657"/>
      <c r="AH108" s="657"/>
      <c r="AI108" s="658"/>
      <c r="AJ108" s="656" t="s">
        <v>321</v>
      </c>
      <c r="AK108" s="657"/>
      <c r="AL108" s="657"/>
      <c r="AM108" s="657"/>
      <c r="AN108" s="658"/>
      <c r="AO108" s="656" t="s">
        <v>322</v>
      </c>
      <c r="AP108" s="657"/>
      <c r="AQ108" s="657"/>
      <c r="AR108" s="657"/>
      <c r="AS108" s="658"/>
      <c r="AT108" s="656" t="s">
        <v>323</v>
      </c>
      <c r="AU108" s="657"/>
      <c r="AV108" s="657"/>
      <c r="AW108" s="657"/>
      <c r="AX108" s="658"/>
    </row>
    <row r="109" spans="2:53">
      <c r="B109" s="652" t="s">
        <v>407</v>
      </c>
      <c r="C109" s="652" t="s">
        <v>408</v>
      </c>
      <c r="D109" s="652"/>
      <c r="E109" s="652" t="s">
        <v>409</v>
      </c>
      <c r="F109" s="652"/>
      <c r="G109" s="652"/>
      <c r="H109" s="668" t="s">
        <v>410</v>
      </c>
      <c r="I109" s="636" t="s">
        <v>411</v>
      </c>
      <c r="J109" s="636"/>
      <c r="K109" s="636"/>
      <c r="L109" s="637" t="s">
        <v>410</v>
      </c>
      <c r="M109" s="643" t="s">
        <v>412</v>
      </c>
      <c r="N109" s="652"/>
      <c r="O109" s="652" t="s">
        <v>413</v>
      </c>
      <c r="P109" s="649" t="s">
        <v>414</v>
      </c>
      <c r="Q109" s="650"/>
      <c r="R109" s="650"/>
      <c r="S109" s="651"/>
      <c r="T109" s="653" t="s">
        <v>410</v>
      </c>
      <c r="U109" s="649" t="s">
        <v>414</v>
      </c>
      <c r="V109" s="650"/>
      <c r="W109" s="650"/>
      <c r="X109" s="651"/>
      <c r="Y109" s="653" t="s">
        <v>410</v>
      </c>
      <c r="Z109" s="649" t="s">
        <v>414</v>
      </c>
      <c r="AA109" s="650"/>
      <c r="AB109" s="650"/>
      <c r="AC109" s="651"/>
      <c r="AD109" s="653" t="s">
        <v>410</v>
      </c>
      <c r="AE109" s="649" t="s">
        <v>414</v>
      </c>
      <c r="AF109" s="650"/>
      <c r="AG109" s="650"/>
      <c r="AH109" s="651"/>
      <c r="AI109" s="653" t="s">
        <v>410</v>
      </c>
      <c r="AJ109" s="649" t="s">
        <v>414</v>
      </c>
      <c r="AK109" s="650"/>
      <c r="AL109" s="650"/>
      <c r="AM109" s="651"/>
      <c r="AN109" s="653" t="s">
        <v>410</v>
      </c>
      <c r="AO109" s="649" t="s">
        <v>414</v>
      </c>
      <c r="AP109" s="650"/>
      <c r="AQ109" s="650"/>
      <c r="AR109" s="651"/>
      <c r="AS109" s="653" t="s">
        <v>410</v>
      </c>
      <c r="AT109" s="649" t="s">
        <v>414</v>
      </c>
      <c r="AU109" s="650"/>
      <c r="AV109" s="650"/>
      <c r="AW109" s="651"/>
      <c r="AX109" s="652" t="s">
        <v>410</v>
      </c>
      <c r="BA109" s="652" t="s">
        <v>366</v>
      </c>
    </row>
    <row r="110" spans="2:53">
      <c r="B110" s="652"/>
      <c r="C110" s="652"/>
      <c r="D110" s="652"/>
      <c r="E110" s="652" t="s">
        <v>415</v>
      </c>
      <c r="F110" s="652"/>
      <c r="G110" s="652"/>
      <c r="H110" s="669"/>
      <c r="I110" s="636" t="s">
        <v>415</v>
      </c>
      <c r="J110" s="636"/>
      <c r="K110" s="636"/>
      <c r="L110" s="638"/>
      <c r="M110" s="644"/>
      <c r="N110" s="652"/>
      <c r="O110" s="652"/>
      <c r="P110" s="649" t="s">
        <v>416</v>
      </c>
      <c r="Q110" s="650"/>
      <c r="R110" s="650"/>
      <c r="S110" s="651"/>
      <c r="T110" s="654"/>
      <c r="U110" s="649" t="s">
        <v>416</v>
      </c>
      <c r="V110" s="650"/>
      <c r="W110" s="650"/>
      <c r="X110" s="651"/>
      <c r="Y110" s="654"/>
      <c r="Z110" s="649" t="s">
        <v>416</v>
      </c>
      <c r="AA110" s="650"/>
      <c r="AB110" s="650"/>
      <c r="AC110" s="651"/>
      <c r="AD110" s="654"/>
      <c r="AE110" s="649" t="s">
        <v>416</v>
      </c>
      <c r="AF110" s="650"/>
      <c r="AG110" s="650"/>
      <c r="AH110" s="651"/>
      <c r="AI110" s="654"/>
      <c r="AJ110" s="649" t="s">
        <v>416</v>
      </c>
      <c r="AK110" s="650"/>
      <c r="AL110" s="650"/>
      <c r="AM110" s="651"/>
      <c r="AN110" s="654"/>
      <c r="AO110" s="649" t="s">
        <v>416</v>
      </c>
      <c r="AP110" s="650"/>
      <c r="AQ110" s="650"/>
      <c r="AR110" s="651"/>
      <c r="AS110" s="654"/>
      <c r="AT110" s="649" t="s">
        <v>416</v>
      </c>
      <c r="AU110" s="650"/>
      <c r="AV110" s="650"/>
      <c r="AW110" s="651"/>
      <c r="AX110" s="652"/>
      <c r="BA110" s="652"/>
    </row>
    <row r="111" spans="2:53">
      <c r="B111" s="652"/>
      <c r="C111" s="652"/>
      <c r="D111" s="652"/>
      <c r="E111" s="282" t="s">
        <v>417</v>
      </c>
      <c r="F111" s="282" t="s">
        <v>418</v>
      </c>
      <c r="G111" s="282" t="s">
        <v>419</v>
      </c>
      <c r="H111" s="670"/>
      <c r="I111" s="281" t="s">
        <v>417</v>
      </c>
      <c r="J111" s="281" t="s">
        <v>418</v>
      </c>
      <c r="K111" s="281" t="s">
        <v>419</v>
      </c>
      <c r="L111" s="639"/>
      <c r="M111" s="645"/>
      <c r="N111" s="652"/>
      <c r="O111" s="652"/>
      <c r="P111" s="462" t="s">
        <v>417</v>
      </c>
      <c r="Q111" s="462" t="s">
        <v>418</v>
      </c>
      <c r="R111" s="462" t="s">
        <v>419</v>
      </c>
      <c r="S111" s="462" t="s">
        <v>412</v>
      </c>
      <c r="T111" s="655"/>
      <c r="U111" s="462" t="s">
        <v>417</v>
      </c>
      <c r="V111" s="462" t="s">
        <v>418</v>
      </c>
      <c r="W111" s="462" t="s">
        <v>419</v>
      </c>
      <c r="X111" s="462" t="s">
        <v>412</v>
      </c>
      <c r="Y111" s="655"/>
      <c r="Z111" s="462" t="s">
        <v>417</v>
      </c>
      <c r="AA111" s="462" t="s">
        <v>418</v>
      </c>
      <c r="AB111" s="462" t="s">
        <v>419</v>
      </c>
      <c r="AC111" s="462" t="s">
        <v>412</v>
      </c>
      <c r="AD111" s="655"/>
      <c r="AE111" s="462" t="s">
        <v>417</v>
      </c>
      <c r="AF111" s="462" t="s">
        <v>418</v>
      </c>
      <c r="AG111" s="462" t="s">
        <v>419</v>
      </c>
      <c r="AH111" s="462" t="s">
        <v>412</v>
      </c>
      <c r="AI111" s="655"/>
      <c r="AJ111" s="462" t="s">
        <v>417</v>
      </c>
      <c r="AK111" s="462" t="s">
        <v>418</v>
      </c>
      <c r="AL111" s="462" t="s">
        <v>419</v>
      </c>
      <c r="AM111" s="462" t="s">
        <v>412</v>
      </c>
      <c r="AN111" s="655"/>
      <c r="AO111" s="462" t="s">
        <v>417</v>
      </c>
      <c r="AP111" s="462" t="s">
        <v>418</v>
      </c>
      <c r="AQ111" s="462" t="s">
        <v>419</v>
      </c>
      <c r="AR111" s="462" t="s">
        <v>412</v>
      </c>
      <c r="AS111" s="655"/>
      <c r="AT111" s="282" t="s">
        <v>417</v>
      </c>
      <c r="AU111" s="282" t="s">
        <v>418</v>
      </c>
      <c r="AV111" s="282" t="s">
        <v>419</v>
      </c>
      <c r="AW111" s="282" t="s">
        <v>412</v>
      </c>
      <c r="AX111" s="652"/>
      <c r="AZ111" s="367" t="s">
        <v>367</v>
      </c>
      <c r="BA111" s="652"/>
    </row>
    <row r="112" spans="2:53">
      <c r="B112" s="652" t="s">
        <v>420</v>
      </c>
      <c r="C112" s="283">
        <v>1</v>
      </c>
      <c r="D112" s="201" t="s">
        <v>342</v>
      </c>
      <c r="E112" s="514">
        <v>6</v>
      </c>
      <c r="F112" s="201">
        <v>1500</v>
      </c>
      <c r="G112" s="199">
        <v>250</v>
      </c>
      <c r="H112" s="698">
        <f>AVERAGE(G112:G141)</f>
        <v>99.985568112478873</v>
      </c>
      <c r="I112" s="363">
        <f>IFERROR(AVERAGE(P112,U112,Z112,AE112,AJ112,AO112,AT112),"-")</f>
        <v>6</v>
      </c>
      <c r="J112" s="363">
        <f>IFERROR(AVERAGE(Q112,V112,AA112,AF112,AK112,AP112,AU112),"-")</f>
        <v>1460.5291185141384</v>
      </c>
      <c r="K112" s="199">
        <f>IFERROR(AVERAGE(R112,W112,AB112,AG112,AL112,AQ112,AV112),"-")</f>
        <v>243.42151975235643</v>
      </c>
      <c r="L112" s="633">
        <f>IFERROR(AVERAGE(K112:K141),"-")</f>
        <v>89.622475930656734</v>
      </c>
      <c r="M112" s="200">
        <f>RANK(K112, K$112:$K$141)</f>
        <v>1</v>
      </c>
      <c r="N112" s="652"/>
      <c r="O112" s="652"/>
      <c r="P112" s="560">
        <v>6</v>
      </c>
      <c r="Q112" s="562">
        <v>1479.7000000000007</v>
      </c>
      <c r="R112" s="562">
        <v>246.61666666666679</v>
      </c>
      <c r="S112" s="560">
        <f>RANK(R112, R$112:R$141)</f>
        <v>1</v>
      </c>
      <c r="T112" s="685">
        <f>AVERAGE(R112:R141)</f>
        <v>89.455706778199541</v>
      </c>
      <c r="U112" s="560">
        <v>6</v>
      </c>
      <c r="V112" s="562">
        <v>1440.2777777777787</v>
      </c>
      <c r="W112" s="562">
        <v>240.04629629629645</v>
      </c>
      <c r="X112" s="560">
        <f>RANK(W112, W$112:W$141)</f>
        <v>1</v>
      </c>
      <c r="Y112" s="685">
        <f>AVERAGE(W112:W141)</f>
        <v>89.476721956349465</v>
      </c>
      <c r="Z112" s="560">
        <v>6</v>
      </c>
      <c r="AA112" s="562">
        <v>1448.2075471698122</v>
      </c>
      <c r="AB112" s="562">
        <v>241.36792452830204</v>
      </c>
      <c r="AC112" s="560">
        <f>RANK(AB112, AB$112:AB$141)</f>
        <v>2</v>
      </c>
      <c r="AD112" s="685">
        <f>AVERAGE(AB112:AB141)</f>
        <v>89.616099417391936</v>
      </c>
      <c r="AE112" s="560">
        <v>6</v>
      </c>
      <c r="AF112" s="562">
        <v>1452.7636363636364</v>
      </c>
      <c r="AG112" s="562">
        <v>242.12727272727273</v>
      </c>
      <c r="AH112" s="560">
        <f>RANK(AG112, AG$112:AG$141)</f>
        <v>2</v>
      </c>
      <c r="AI112" s="685">
        <f>AVERAGE(AG112:AG141)</f>
        <v>89.939401581459336</v>
      </c>
      <c r="AJ112" s="560">
        <v>6</v>
      </c>
      <c r="AK112" s="562">
        <v>1477.2851063829792</v>
      </c>
      <c r="AL112" s="562">
        <v>246.21418439716319</v>
      </c>
      <c r="AM112" s="560">
        <f>RANK(AL112, AL$112:AL$141)</f>
        <v>1</v>
      </c>
      <c r="AN112" s="685">
        <f>AVERAGE(AL112:AL141)</f>
        <v>90.025152773008202</v>
      </c>
      <c r="AO112" s="560">
        <v>6</v>
      </c>
      <c r="AP112" s="562">
        <v>1448.0964285714281</v>
      </c>
      <c r="AQ112" s="562">
        <v>241.34940476190468</v>
      </c>
      <c r="AR112" s="560">
        <f>RANK(AQ112, AQ$112:AQ$141)</f>
        <v>1</v>
      </c>
      <c r="AS112" s="685">
        <f>AVERAGE(AQ112:AQ141)</f>
        <v>89.399409767982661</v>
      </c>
      <c r="AT112" s="560">
        <v>6</v>
      </c>
      <c r="AU112" s="562">
        <v>1477.3733333333337</v>
      </c>
      <c r="AV112" s="562">
        <v>246.22888888888895</v>
      </c>
      <c r="AW112" s="560">
        <f>RANK(AV112, AV$112:AV$141)</f>
        <v>1</v>
      </c>
      <c r="AX112" s="685">
        <f>AVERAGE(AV112:AV141)</f>
        <v>89.444839240205951</v>
      </c>
      <c r="AZ112" s="368" t="e">
        <f>RANK(AY112, AY$112:AY$141)</f>
        <v>#N/A</v>
      </c>
      <c r="BA112" s="685" t="e">
        <f>AVERAGE(AY112:AY141)</f>
        <v>#DIV/0!</v>
      </c>
    </row>
    <row r="113" spans="2:53">
      <c r="B113" s="660"/>
      <c r="C113" s="283">
        <v>2</v>
      </c>
      <c r="D113" s="201" t="s">
        <v>586</v>
      </c>
      <c r="E113" s="514">
        <v>6</v>
      </c>
      <c r="F113" s="201">
        <v>1636</v>
      </c>
      <c r="G113" s="199">
        <v>272.66666666666669</v>
      </c>
      <c r="H113" s="699"/>
      <c r="I113" s="363">
        <f t="shared" ref="I113:I141" si="29">IFERROR(AVERAGE(P113,U113,Z113,AE113,AJ113,AO113,AT113),"-")</f>
        <v>6</v>
      </c>
      <c r="J113" s="363">
        <f t="shared" ref="J113:J141" si="30">IFERROR(AVERAGE(Q113,V113,AA113,AF113,AK113,AP113,AU113),"-")</f>
        <v>1450.1797843672082</v>
      </c>
      <c r="K113" s="199">
        <f t="shared" ref="K113:K141" si="31">IFERROR(AVERAGE(R113,W113,AB113,AG113,AL113,AQ113,AV113),"-")</f>
        <v>241.69663072786804</v>
      </c>
      <c r="L113" s="634"/>
      <c r="M113" s="200">
        <f>RANK(K113, K$112:$K$141)</f>
        <v>2</v>
      </c>
      <c r="N113" s="652"/>
      <c r="O113" s="652"/>
      <c r="P113" s="560">
        <v>6</v>
      </c>
      <c r="Q113" s="562">
        <v>1426.7647058823532</v>
      </c>
      <c r="R113" s="562">
        <v>237.79411764705887</v>
      </c>
      <c r="S113" s="560">
        <f t="shared" ref="S113:S141" si="32">RANK(R113, R$112:R$141)</f>
        <v>2</v>
      </c>
      <c r="T113" s="685"/>
      <c r="U113" s="560">
        <v>6</v>
      </c>
      <c r="V113" s="562">
        <v>1435.384615384615</v>
      </c>
      <c r="W113" s="562">
        <v>239.23076923076917</v>
      </c>
      <c r="X113" s="560">
        <f t="shared" ref="X113:X141" si="33">RANK(W113, W$112:W$141)</f>
        <v>2</v>
      </c>
      <c r="Y113" s="685"/>
      <c r="Z113" s="560">
        <v>6</v>
      </c>
      <c r="AA113" s="562">
        <v>1449.3749999999995</v>
      </c>
      <c r="AB113" s="562">
        <v>241.56249999999991</v>
      </c>
      <c r="AC113" s="560">
        <f t="shared" ref="AC113:AC141" si="34">RANK(AB113, AB$112:AB$141)</f>
        <v>1</v>
      </c>
      <c r="AD113" s="685"/>
      <c r="AE113" s="560">
        <v>6</v>
      </c>
      <c r="AF113" s="562">
        <v>1469.4339622641519</v>
      </c>
      <c r="AG113" s="562">
        <v>244.90566037735866</v>
      </c>
      <c r="AH113" s="560">
        <f t="shared" ref="AH113:AH141" si="35">RANK(AG113, AG$112:AG$141)</f>
        <v>1</v>
      </c>
      <c r="AI113" s="685"/>
      <c r="AJ113" s="560">
        <v>6</v>
      </c>
      <c r="AK113" s="562">
        <v>1465.0000000000005</v>
      </c>
      <c r="AL113" s="562">
        <v>244.16666666666674</v>
      </c>
      <c r="AM113" s="560">
        <f t="shared" ref="AM113:AM141" si="36">RANK(AL113, AL$112:AL$141)</f>
        <v>2</v>
      </c>
      <c r="AN113" s="685"/>
      <c r="AO113" s="560">
        <v>6</v>
      </c>
      <c r="AP113" s="562">
        <v>1440.9523809523805</v>
      </c>
      <c r="AQ113" s="562">
        <v>240.15873015873009</v>
      </c>
      <c r="AR113" s="560">
        <f t="shared" ref="AR113:AR141" si="37">RANK(AQ113, AQ$112:AQ$141)</f>
        <v>2</v>
      </c>
      <c r="AS113" s="685"/>
      <c r="AT113" s="560">
        <v>6</v>
      </c>
      <c r="AU113" s="562">
        <v>1464.3478260869565</v>
      </c>
      <c r="AV113" s="562">
        <v>244.05797101449275</v>
      </c>
      <c r="AW113" s="560">
        <f t="shared" ref="AW113:AW141" si="38">RANK(AV113, AV$112:AV$141)</f>
        <v>2</v>
      </c>
      <c r="AX113" s="685"/>
      <c r="AZ113" s="368" t="e">
        <f t="shared" ref="AZ113:AZ141" si="39">RANK(AY113, AY$112:AY$141)</f>
        <v>#N/A</v>
      </c>
      <c r="BA113" s="685"/>
    </row>
    <row r="114" spans="2:53">
      <c r="B114" s="660"/>
      <c r="C114" s="283">
        <v>3</v>
      </c>
      <c r="D114" s="201" t="s">
        <v>578</v>
      </c>
      <c r="E114" s="514">
        <v>16</v>
      </c>
      <c r="F114" s="201">
        <v>1500</v>
      </c>
      <c r="G114" s="199">
        <v>93.75</v>
      </c>
      <c r="H114" s="699"/>
      <c r="I114" s="363">
        <f t="shared" si="29"/>
        <v>16.428571428571427</v>
      </c>
      <c r="J114" s="363">
        <f t="shared" si="30"/>
        <v>1284.0245050431545</v>
      </c>
      <c r="K114" s="199">
        <f t="shared" si="31"/>
        <v>78.230712271849711</v>
      </c>
      <c r="L114" s="634"/>
      <c r="M114" s="200">
        <f>RANK(K114, K$112:$K$141)</f>
        <v>12</v>
      </c>
      <c r="N114" s="652"/>
      <c r="O114" s="652"/>
      <c r="P114" s="560">
        <v>17</v>
      </c>
      <c r="Q114" s="562">
        <v>1296.4615384615392</v>
      </c>
      <c r="R114" s="562">
        <v>76.262443438914076</v>
      </c>
      <c r="S114" s="560">
        <f t="shared" si="32"/>
        <v>14</v>
      </c>
      <c r="T114" s="685"/>
      <c r="U114" s="560">
        <v>17</v>
      </c>
      <c r="V114" s="562">
        <v>1260.2553191489365</v>
      </c>
      <c r="W114" s="562">
        <v>74.132665832290385</v>
      </c>
      <c r="X114" s="560">
        <f t="shared" si="33"/>
        <v>14</v>
      </c>
      <c r="Y114" s="685"/>
      <c r="Z114" s="560">
        <v>16</v>
      </c>
      <c r="AA114" s="562">
        <v>1265.0000000000005</v>
      </c>
      <c r="AB114" s="562">
        <v>79.062500000000028</v>
      </c>
      <c r="AC114" s="560">
        <f t="shared" si="34"/>
        <v>13</v>
      </c>
      <c r="AD114" s="685"/>
      <c r="AE114" s="560">
        <v>16</v>
      </c>
      <c r="AF114" s="562">
        <v>1299.1034482758612</v>
      </c>
      <c r="AG114" s="562">
        <v>81.193965517241324</v>
      </c>
      <c r="AH114" s="560">
        <f t="shared" si="35"/>
        <v>10</v>
      </c>
      <c r="AI114" s="685"/>
      <c r="AJ114" s="560">
        <v>16</v>
      </c>
      <c r="AK114" s="562">
        <v>1277.5645161290317</v>
      </c>
      <c r="AL114" s="562">
        <v>79.847782258064484</v>
      </c>
      <c r="AM114" s="560">
        <f t="shared" si="36"/>
        <v>11</v>
      </c>
      <c r="AN114" s="685"/>
      <c r="AO114" s="560">
        <v>17</v>
      </c>
      <c r="AP114" s="562">
        <v>1290.9230769230762</v>
      </c>
      <c r="AQ114" s="562">
        <v>75.936651583710372</v>
      </c>
      <c r="AR114" s="560">
        <f t="shared" si="37"/>
        <v>14</v>
      </c>
      <c r="AS114" s="685"/>
      <c r="AT114" s="560">
        <v>16</v>
      </c>
      <c r="AU114" s="562">
        <v>1298.8636363636365</v>
      </c>
      <c r="AV114" s="562">
        <v>81.17897727272728</v>
      </c>
      <c r="AW114" s="560">
        <f t="shared" si="38"/>
        <v>10</v>
      </c>
      <c r="AX114" s="685"/>
      <c r="AZ114" s="368" t="e">
        <f t="shared" si="39"/>
        <v>#N/A</v>
      </c>
      <c r="BA114" s="685"/>
    </row>
    <row r="115" spans="2:53">
      <c r="B115" s="660"/>
      <c r="C115" s="283">
        <v>4</v>
      </c>
      <c r="D115" s="201" t="s">
        <v>549</v>
      </c>
      <c r="E115" s="514">
        <v>18</v>
      </c>
      <c r="F115" s="201">
        <v>1500</v>
      </c>
      <c r="G115" s="199">
        <v>83.333333333333329</v>
      </c>
      <c r="H115" s="699"/>
      <c r="I115" s="363">
        <f t="shared" si="29"/>
        <v>18</v>
      </c>
      <c r="J115" s="363">
        <f t="shared" si="30"/>
        <v>1201.1583538888688</v>
      </c>
      <c r="K115" s="199">
        <f t="shared" si="31"/>
        <v>66.73101966049272</v>
      </c>
      <c r="L115" s="634"/>
      <c r="M115" s="200">
        <f>RANK(K115, K$112:$K$141)</f>
        <v>21</v>
      </c>
      <c r="N115" s="652"/>
      <c r="O115" s="652"/>
      <c r="P115" s="560">
        <v>18</v>
      </c>
      <c r="Q115" s="562">
        <v>1225.8000000000002</v>
      </c>
      <c r="R115" s="562">
        <v>68.100000000000009</v>
      </c>
      <c r="S115" s="560">
        <f t="shared" si="32"/>
        <v>20</v>
      </c>
      <c r="T115" s="685"/>
      <c r="U115" s="560">
        <v>18</v>
      </c>
      <c r="V115" s="562">
        <v>1225.51724137931</v>
      </c>
      <c r="W115" s="562">
        <v>68.084291187739439</v>
      </c>
      <c r="X115" s="560">
        <f t="shared" si="33"/>
        <v>21</v>
      </c>
      <c r="Y115" s="685"/>
      <c r="Z115" s="560">
        <v>18</v>
      </c>
      <c r="AA115" s="562">
        <v>1186.0199999999993</v>
      </c>
      <c r="AB115" s="562">
        <v>65.889999999999958</v>
      </c>
      <c r="AC115" s="560">
        <f t="shared" si="34"/>
        <v>21</v>
      </c>
      <c r="AD115" s="685"/>
      <c r="AE115" s="560">
        <v>18</v>
      </c>
      <c r="AF115" s="562">
        <v>1196.9620253164562</v>
      </c>
      <c r="AG115" s="562">
        <v>66.497890295358673</v>
      </c>
      <c r="AH115" s="560">
        <f t="shared" si="35"/>
        <v>21</v>
      </c>
      <c r="AI115" s="685"/>
      <c r="AJ115" s="560">
        <v>18</v>
      </c>
      <c r="AK115" s="562">
        <v>1193.6842105263163</v>
      </c>
      <c r="AL115" s="562">
        <v>66.315789473684234</v>
      </c>
      <c r="AM115" s="560">
        <f t="shared" si="36"/>
        <v>21</v>
      </c>
      <c r="AN115" s="685"/>
      <c r="AO115" s="560">
        <v>18</v>
      </c>
      <c r="AP115" s="562">
        <v>1191.1250000000005</v>
      </c>
      <c r="AQ115" s="562">
        <v>66.173611111111143</v>
      </c>
      <c r="AR115" s="560">
        <f t="shared" si="37"/>
        <v>20</v>
      </c>
      <c r="AS115" s="685"/>
      <c r="AT115" s="560">
        <v>18</v>
      </c>
      <c r="AU115" s="562">
        <v>1189.0000000000007</v>
      </c>
      <c r="AV115" s="562">
        <v>66.0555555555556</v>
      </c>
      <c r="AW115" s="560">
        <f t="shared" si="38"/>
        <v>20</v>
      </c>
      <c r="AX115" s="685"/>
      <c r="AZ115" s="368" t="e">
        <f t="shared" si="39"/>
        <v>#N/A</v>
      </c>
      <c r="BA115" s="685"/>
    </row>
    <row r="116" spans="2:53">
      <c r="B116" s="660"/>
      <c r="C116" s="283">
        <v>5</v>
      </c>
      <c r="D116" s="201" t="s">
        <v>344</v>
      </c>
      <c r="E116" s="514">
        <v>16</v>
      </c>
      <c r="F116" s="201">
        <v>1565</v>
      </c>
      <c r="G116" s="199">
        <v>97.8125</v>
      </c>
      <c r="H116" s="699"/>
      <c r="I116" s="363">
        <f t="shared" si="29"/>
        <v>16</v>
      </c>
      <c r="J116" s="363">
        <f t="shared" si="30"/>
        <v>1382.6807419607862</v>
      </c>
      <c r="K116" s="199">
        <f t="shared" si="31"/>
        <v>86.41754637254914</v>
      </c>
      <c r="L116" s="634"/>
      <c r="M116" s="200">
        <f>RANK(K116, K$112:$K$141)</f>
        <v>6</v>
      </c>
      <c r="N116" s="652"/>
      <c r="O116" s="652"/>
      <c r="P116" s="560">
        <v>16</v>
      </c>
      <c r="Q116" s="562">
        <v>1378.4415584415576</v>
      </c>
      <c r="R116" s="562">
        <v>86.152597402597351</v>
      </c>
      <c r="S116" s="560">
        <f t="shared" si="32"/>
        <v>6</v>
      </c>
      <c r="T116" s="685"/>
      <c r="U116" s="560">
        <v>16</v>
      </c>
      <c r="V116" s="562">
        <v>1392.7272727272741</v>
      </c>
      <c r="W116" s="562">
        <v>87.045454545454632</v>
      </c>
      <c r="X116" s="560">
        <f t="shared" si="33"/>
        <v>7</v>
      </c>
      <c r="Y116" s="685"/>
      <c r="Z116" s="560">
        <v>16</v>
      </c>
      <c r="AA116" s="562">
        <v>1373.6363636363651</v>
      </c>
      <c r="AB116" s="562">
        <v>85.852272727272819</v>
      </c>
      <c r="AC116" s="560">
        <f t="shared" si="34"/>
        <v>6</v>
      </c>
      <c r="AD116" s="685"/>
      <c r="AE116" s="560">
        <v>16</v>
      </c>
      <c r="AF116" s="562">
        <v>1389.6774193548399</v>
      </c>
      <c r="AG116" s="562">
        <v>86.854838709677495</v>
      </c>
      <c r="AH116" s="560">
        <f t="shared" si="35"/>
        <v>6</v>
      </c>
      <c r="AI116" s="685"/>
      <c r="AJ116" s="560">
        <v>16</v>
      </c>
      <c r="AK116" s="562">
        <v>1381.690140845069</v>
      </c>
      <c r="AL116" s="562">
        <v>86.355633802816811</v>
      </c>
      <c r="AM116" s="560">
        <f t="shared" si="36"/>
        <v>6</v>
      </c>
      <c r="AN116" s="685"/>
      <c r="AO116" s="560">
        <v>16</v>
      </c>
      <c r="AP116" s="562">
        <v>1376.3855421686744</v>
      </c>
      <c r="AQ116" s="562">
        <v>86.024096385542151</v>
      </c>
      <c r="AR116" s="560">
        <f t="shared" si="37"/>
        <v>6</v>
      </c>
      <c r="AS116" s="685"/>
      <c r="AT116" s="560">
        <v>16</v>
      </c>
      <c r="AU116" s="562">
        <v>1386.2068965517237</v>
      </c>
      <c r="AV116" s="562">
        <v>86.637931034482733</v>
      </c>
      <c r="AW116" s="560">
        <f t="shared" si="38"/>
        <v>6</v>
      </c>
      <c r="AX116" s="685"/>
      <c r="AZ116" s="368" t="e">
        <f t="shared" si="39"/>
        <v>#N/A</v>
      </c>
      <c r="BA116" s="685"/>
    </row>
    <row r="117" spans="2:53">
      <c r="B117" s="660"/>
      <c r="C117" s="283">
        <v>6</v>
      </c>
      <c r="D117" s="201" t="s">
        <v>626</v>
      </c>
      <c r="E117" s="514">
        <v>20</v>
      </c>
      <c r="F117" s="201">
        <v>1440</v>
      </c>
      <c r="G117" s="199">
        <v>72</v>
      </c>
      <c r="H117" s="699"/>
      <c r="I117" s="363">
        <f t="shared" si="29"/>
        <v>20</v>
      </c>
      <c r="J117" s="363">
        <f t="shared" si="30"/>
        <v>1182.5759164070034</v>
      </c>
      <c r="K117" s="199">
        <f t="shared" si="31"/>
        <v>59.128795820350163</v>
      </c>
      <c r="L117" s="634"/>
      <c r="M117" s="200">
        <f>RANK(K117, K$112:$K$141)</f>
        <v>23</v>
      </c>
      <c r="N117" s="652"/>
      <c r="O117" s="652"/>
      <c r="P117" s="560">
        <v>20</v>
      </c>
      <c r="Q117" s="562">
        <v>1190.9090909090921</v>
      </c>
      <c r="R117" s="562">
        <v>59.545454545454604</v>
      </c>
      <c r="S117" s="560">
        <f t="shared" si="32"/>
        <v>22</v>
      </c>
      <c r="T117" s="685"/>
      <c r="U117" s="560">
        <v>20</v>
      </c>
      <c r="V117" s="562">
        <v>1180.0000000000011</v>
      </c>
      <c r="W117" s="562">
        <v>59.000000000000057</v>
      </c>
      <c r="X117" s="560">
        <f t="shared" si="33"/>
        <v>23</v>
      </c>
      <c r="Y117" s="685"/>
      <c r="Z117" s="560">
        <v>20</v>
      </c>
      <c r="AA117" s="562">
        <v>1189.6551724137939</v>
      </c>
      <c r="AB117" s="562">
        <v>59.482758620689694</v>
      </c>
      <c r="AC117" s="560">
        <f t="shared" si="34"/>
        <v>22</v>
      </c>
      <c r="AD117" s="685"/>
      <c r="AE117" s="560">
        <v>20</v>
      </c>
      <c r="AF117" s="562">
        <v>1173.0612244897964</v>
      </c>
      <c r="AG117" s="562">
        <v>58.653061224489818</v>
      </c>
      <c r="AH117" s="560">
        <f t="shared" si="35"/>
        <v>23</v>
      </c>
      <c r="AI117" s="685"/>
      <c r="AJ117" s="560">
        <v>20</v>
      </c>
      <c r="AK117" s="562">
        <v>1186.4150943396232</v>
      </c>
      <c r="AL117" s="562">
        <v>59.320754716981163</v>
      </c>
      <c r="AM117" s="560">
        <f t="shared" si="36"/>
        <v>22</v>
      </c>
      <c r="AN117" s="685"/>
      <c r="AO117" s="560">
        <v>20</v>
      </c>
      <c r="AP117" s="562">
        <v>1180.5882352941192</v>
      </c>
      <c r="AQ117" s="562">
        <v>59.029411764705955</v>
      </c>
      <c r="AR117" s="560">
        <f t="shared" si="37"/>
        <v>23</v>
      </c>
      <c r="AS117" s="685"/>
      <c r="AT117" s="560">
        <v>20</v>
      </c>
      <c r="AU117" s="562">
        <v>1177.4025974025967</v>
      </c>
      <c r="AV117" s="562">
        <v>58.870129870129837</v>
      </c>
      <c r="AW117" s="560">
        <f t="shared" si="38"/>
        <v>23</v>
      </c>
      <c r="AX117" s="685"/>
      <c r="AZ117" s="368" t="e">
        <f t="shared" si="39"/>
        <v>#N/A</v>
      </c>
      <c r="BA117" s="685"/>
    </row>
    <row r="118" spans="2:53">
      <c r="B118" s="660"/>
      <c r="C118" s="283">
        <v>7</v>
      </c>
      <c r="D118" s="201" t="s">
        <v>601</v>
      </c>
      <c r="E118" s="514">
        <v>16</v>
      </c>
      <c r="F118" s="201">
        <v>1500</v>
      </c>
      <c r="G118" s="199">
        <v>93.75</v>
      </c>
      <c r="H118" s="699"/>
      <c r="I118" s="363">
        <f t="shared" si="29"/>
        <v>16</v>
      </c>
      <c r="J118" s="363">
        <f t="shared" si="30"/>
        <v>1326.485633734206</v>
      </c>
      <c r="K118" s="199">
        <f t="shared" si="31"/>
        <v>82.905352108387873</v>
      </c>
      <c r="L118" s="634"/>
      <c r="M118" s="200">
        <f>RANK(K118, K$112:$K$141)</f>
        <v>8</v>
      </c>
      <c r="N118" s="652"/>
      <c r="O118" s="652"/>
      <c r="P118" s="560">
        <v>16</v>
      </c>
      <c r="Q118" s="562">
        <v>1334.7368421052643</v>
      </c>
      <c r="R118" s="562">
        <v>83.421052631579016</v>
      </c>
      <c r="S118" s="560">
        <f t="shared" si="32"/>
        <v>8</v>
      </c>
      <c r="T118" s="685"/>
      <c r="U118" s="560">
        <v>16</v>
      </c>
      <c r="V118" s="562">
        <v>1310.9433962264159</v>
      </c>
      <c r="W118" s="562">
        <v>81.933962264150992</v>
      </c>
      <c r="X118" s="560">
        <f t="shared" si="33"/>
        <v>8</v>
      </c>
      <c r="Y118" s="685"/>
      <c r="Z118" s="560">
        <v>16</v>
      </c>
      <c r="AA118" s="562">
        <v>1317.7358490566046</v>
      </c>
      <c r="AB118" s="562">
        <v>82.358490566037787</v>
      </c>
      <c r="AC118" s="560">
        <f t="shared" si="34"/>
        <v>9</v>
      </c>
      <c r="AD118" s="685"/>
      <c r="AE118" s="560">
        <v>16</v>
      </c>
      <c r="AF118" s="562">
        <v>1332.7659574468087</v>
      </c>
      <c r="AG118" s="562">
        <v>83.297872340425542</v>
      </c>
      <c r="AH118" s="560">
        <f t="shared" si="35"/>
        <v>8</v>
      </c>
      <c r="AI118" s="685"/>
      <c r="AJ118" s="560">
        <v>16</v>
      </c>
      <c r="AK118" s="562">
        <v>1332.0000000000005</v>
      </c>
      <c r="AL118" s="562">
        <v>83.250000000000028</v>
      </c>
      <c r="AM118" s="560">
        <f t="shared" si="36"/>
        <v>9</v>
      </c>
      <c r="AN118" s="685"/>
      <c r="AO118" s="560">
        <v>16</v>
      </c>
      <c r="AP118" s="562">
        <v>1332.0000000000011</v>
      </c>
      <c r="AQ118" s="562">
        <v>83.250000000000071</v>
      </c>
      <c r="AR118" s="560">
        <f t="shared" si="37"/>
        <v>9</v>
      </c>
      <c r="AS118" s="685"/>
      <c r="AT118" s="560">
        <v>16</v>
      </c>
      <c r="AU118" s="562">
        <v>1325.2173913043464</v>
      </c>
      <c r="AV118" s="562">
        <v>82.82608695652165</v>
      </c>
      <c r="AW118" s="560">
        <f t="shared" si="38"/>
        <v>7</v>
      </c>
      <c r="AX118" s="685"/>
      <c r="AZ118" s="368" t="e">
        <f t="shared" si="39"/>
        <v>#N/A</v>
      </c>
      <c r="BA118" s="685"/>
    </row>
    <row r="119" spans="2:53">
      <c r="B119" s="660"/>
      <c r="C119" s="283">
        <v>8</v>
      </c>
      <c r="D119" s="201" t="s">
        <v>574</v>
      </c>
      <c r="E119" s="514">
        <v>18</v>
      </c>
      <c r="F119" s="201">
        <v>1636</v>
      </c>
      <c r="G119" s="199">
        <v>90.888888888888886</v>
      </c>
      <c r="H119" s="699"/>
      <c r="I119" s="363">
        <f t="shared" si="29"/>
        <v>18</v>
      </c>
      <c r="J119" s="363">
        <f t="shared" si="30"/>
        <v>1377.5954559864929</v>
      </c>
      <c r="K119" s="199">
        <f t="shared" si="31"/>
        <v>76.533080888138471</v>
      </c>
      <c r="L119" s="634"/>
      <c r="M119" s="200">
        <f>RANK(K119, K$112:$K$141)</f>
        <v>14</v>
      </c>
      <c r="N119" s="652"/>
      <c r="O119" s="652"/>
      <c r="P119" s="560">
        <v>18</v>
      </c>
      <c r="Q119" s="562">
        <v>1416.5625000000016</v>
      </c>
      <c r="R119" s="562">
        <v>78.697916666666757</v>
      </c>
      <c r="S119" s="560">
        <f t="shared" si="32"/>
        <v>10</v>
      </c>
      <c r="T119" s="685"/>
      <c r="U119" s="560">
        <v>18</v>
      </c>
      <c r="V119" s="562">
        <v>1380.0000000000011</v>
      </c>
      <c r="W119" s="562">
        <v>76.666666666666728</v>
      </c>
      <c r="X119" s="560">
        <f t="shared" si="33"/>
        <v>13</v>
      </c>
      <c r="Y119" s="685"/>
      <c r="Z119" s="560">
        <v>18</v>
      </c>
      <c r="AA119" s="562">
        <v>1365.6000000000004</v>
      </c>
      <c r="AB119" s="562">
        <v>75.866666666666688</v>
      </c>
      <c r="AC119" s="560">
        <f t="shared" si="34"/>
        <v>14</v>
      </c>
      <c r="AD119" s="685"/>
      <c r="AE119" s="560">
        <v>18</v>
      </c>
      <c r="AF119" s="562">
        <v>1381.0909090909099</v>
      </c>
      <c r="AG119" s="562">
        <v>76.727272727272776</v>
      </c>
      <c r="AH119" s="560">
        <f t="shared" si="35"/>
        <v>14</v>
      </c>
      <c r="AI119" s="685"/>
      <c r="AJ119" s="560">
        <v>18</v>
      </c>
      <c r="AK119" s="562">
        <v>1365.7142857142871</v>
      </c>
      <c r="AL119" s="562">
        <v>75.873015873015959</v>
      </c>
      <c r="AM119" s="560">
        <f t="shared" si="36"/>
        <v>14</v>
      </c>
      <c r="AN119" s="685"/>
      <c r="AO119" s="560">
        <v>18</v>
      </c>
      <c r="AP119" s="562">
        <v>1369.411764705884</v>
      </c>
      <c r="AQ119" s="562">
        <v>76.078431372549119</v>
      </c>
      <c r="AR119" s="560">
        <f t="shared" si="37"/>
        <v>13</v>
      </c>
      <c r="AS119" s="685"/>
      <c r="AT119" s="560">
        <v>18</v>
      </c>
      <c r="AU119" s="562">
        <v>1364.7887323943648</v>
      </c>
      <c r="AV119" s="562">
        <v>75.821596244131385</v>
      </c>
      <c r="AW119" s="560">
        <f t="shared" si="38"/>
        <v>13</v>
      </c>
      <c r="AX119" s="685"/>
      <c r="AZ119" s="368" t="e">
        <f t="shared" si="39"/>
        <v>#N/A</v>
      </c>
      <c r="BA119" s="685"/>
    </row>
    <row r="120" spans="2:53">
      <c r="B120" s="660"/>
      <c r="C120" s="283">
        <v>9</v>
      </c>
      <c r="D120" s="201" t="s">
        <v>575</v>
      </c>
      <c r="E120" s="514">
        <v>18</v>
      </c>
      <c r="F120" s="201">
        <v>1636</v>
      </c>
      <c r="G120" s="199">
        <v>90.888888888888886</v>
      </c>
      <c r="H120" s="699"/>
      <c r="I120" s="363">
        <f t="shared" si="29"/>
        <v>18</v>
      </c>
      <c r="J120" s="363">
        <f t="shared" si="30"/>
        <v>1400.2807330683847</v>
      </c>
      <c r="K120" s="199">
        <f t="shared" si="31"/>
        <v>77.793374059354704</v>
      </c>
      <c r="L120" s="634"/>
      <c r="M120" s="200">
        <f>RANK(K120, K$112:$K$141)</f>
        <v>13</v>
      </c>
      <c r="N120" s="652"/>
      <c r="O120" s="652"/>
      <c r="P120" s="560">
        <v>18</v>
      </c>
      <c r="Q120" s="562">
        <v>1399.2000000000005</v>
      </c>
      <c r="R120" s="562">
        <v>77.733333333333363</v>
      </c>
      <c r="S120" s="560">
        <f t="shared" si="32"/>
        <v>13</v>
      </c>
      <c r="T120" s="685"/>
      <c r="U120" s="560">
        <v>18</v>
      </c>
      <c r="V120" s="562">
        <v>1424</v>
      </c>
      <c r="W120" s="562">
        <v>79.111111111111114</v>
      </c>
      <c r="X120" s="560">
        <f t="shared" si="33"/>
        <v>11</v>
      </c>
      <c r="Y120" s="685"/>
      <c r="Z120" s="560">
        <v>18</v>
      </c>
      <c r="AA120" s="562">
        <v>1424.6153846153838</v>
      </c>
      <c r="AB120" s="562">
        <v>79.145299145299106</v>
      </c>
      <c r="AC120" s="560">
        <f t="shared" si="34"/>
        <v>11</v>
      </c>
      <c r="AD120" s="685"/>
      <c r="AE120" s="560">
        <v>18</v>
      </c>
      <c r="AF120" s="562">
        <v>1414.090909090909</v>
      </c>
      <c r="AG120" s="562">
        <v>78.560606060606062</v>
      </c>
      <c r="AH120" s="560">
        <f t="shared" si="35"/>
        <v>13</v>
      </c>
      <c r="AI120" s="685"/>
      <c r="AJ120" s="560">
        <v>18</v>
      </c>
      <c r="AK120" s="562">
        <v>1413.6000000000004</v>
      </c>
      <c r="AL120" s="562">
        <v>78.53333333333336</v>
      </c>
      <c r="AM120" s="560">
        <f t="shared" si="36"/>
        <v>13</v>
      </c>
      <c r="AN120" s="685"/>
      <c r="AO120" s="560">
        <v>18</v>
      </c>
      <c r="AP120" s="562">
        <v>1400.357142857144</v>
      </c>
      <c r="AQ120" s="562">
        <v>77.797619047619108</v>
      </c>
      <c r="AR120" s="560">
        <f t="shared" si="37"/>
        <v>12</v>
      </c>
      <c r="AS120" s="685"/>
      <c r="AT120" s="560">
        <v>18</v>
      </c>
      <c r="AU120" s="562">
        <v>1326.1016949152554</v>
      </c>
      <c r="AV120" s="562">
        <v>73.67231638418086</v>
      </c>
      <c r="AW120" s="560">
        <f t="shared" si="38"/>
        <v>15</v>
      </c>
      <c r="AX120" s="685"/>
      <c r="AZ120" s="368" t="e">
        <f t="shared" si="39"/>
        <v>#N/A</v>
      </c>
      <c r="BA120" s="685"/>
    </row>
    <row r="121" spans="2:53">
      <c r="B121" s="660"/>
      <c r="C121" s="283">
        <v>10</v>
      </c>
      <c r="D121" s="201" t="s">
        <v>332</v>
      </c>
      <c r="E121" s="514">
        <v>17</v>
      </c>
      <c r="F121" s="201">
        <v>1500</v>
      </c>
      <c r="G121" s="199">
        <v>88.235294117647058</v>
      </c>
      <c r="H121" s="699"/>
      <c r="I121" s="363">
        <f t="shared" si="29"/>
        <v>17</v>
      </c>
      <c r="J121" s="363">
        <f t="shared" si="30"/>
        <v>1362.1972432469324</v>
      </c>
      <c r="K121" s="199">
        <f t="shared" si="31"/>
        <v>80.129249602760751</v>
      </c>
      <c r="L121" s="634"/>
      <c r="M121" s="200">
        <f>RANK(K121, K$112:$K$141)</f>
        <v>10</v>
      </c>
      <c r="N121" s="652"/>
      <c r="O121" s="652"/>
      <c r="P121" s="560">
        <v>17</v>
      </c>
      <c r="Q121" s="562">
        <v>1370.8695652173915</v>
      </c>
      <c r="R121" s="562">
        <v>80.639386189258317</v>
      </c>
      <c r="S121" s="560">
        <f t="shared" si="32"/>
        <v>9</v>
      </c>
      <c r="T121" s="685"/>
      <c r="U121" s="560">
        <v>17</v>
      </c>
      <c r="V121" s="562">
        <v>1365.7142857142853</v>
      </c>
      <c r="W121" s="562">
        <v>80.336134453781483</v>
      </c>
      <c r="X121" s="560">
        <f t="shared" si="33"/>
        <v>9</v>
      </c>
      <c r="Y121" s="685"/>
      <c r="Z121" s="560">
        <v>17</v>
      </c>
      <c r="AA121" s="562">
        <v>1344.3243243243232</v>
      </c>
      <c r="AB121" s="562">
        <v>79.077901430842545</v>
      </c>
      <c r="AC121" s="560">
        <f t="shared" si="34"/>
        <v>12</v>
      </c>
      <c r="AD121" s="685"/>
      <c r="AE121" s="560">
        <v>17</v>
      </c>
      <c r="AF121" s="562">
        <v>1364.6153846153838</v>
      </c>
      <c r="AG121" s="562">
        <v>80.27149321266964</v>
      </c>
      <c r="AH121" s="560">
        <f t="shared" si="35"/>
        <v>11</v>
      </c>
      <c r="AI121" s="685"/>
      <c r="AJ121" s="560">
        <v>17</v>
      </c>
      <c r="AK121" s="562">
        <v>1365</v>
      </c>
      <c r="AL121" s="562">
        <v>80.294117647058826</v>
      </c>
      <c r="AM121" s="560">
        <f t="shared" si="36"/>
        <v>10</v>
      </c>
      <c r="AN121" s="685"/>
      <c r="AO121" s="560">
        <v>17</v>
      </c>
      <c r="AP121" s="562">
        <v>1362.8571428571433</v>
      </c>
      <c r="AQ121" s="562">
        <v>80.168067226890784</v>
      </c>
      <c r="AR121" s="560">
        <f t="shared" si="37"/>
        <v>10</v>
      </c>
      <c r="AS121" s="685"/>
      <c r="AT121" s="560">
        <v>17</v>
      </c>
      <c r="AU121" s="562">
        <v>1362.0000000000005</v>
      </c>
      <c r="AV121" s="562">
        <v>80.11764705882355</v>
      </c>
      <c r="AW121" s="560">
        <f t="shared" si="38"/>
        <v>12</v>
      </c>
      <c r="AX121" s="685"/>
      <c r="AZ121" s="368" t="e">
        <f t="shared" si="39"/>
        <v>#N/A</v>
      </c>
      <c r="BA121" s="685"/>
    </row>
    <row r="122" spans="2:53">
      <c r="B122" s="660"/>
      <c r="C122" s="283">
        <v>11</v>
      </c>
      <c r="D122" s="201" t="s">
        <v>512</v>
      </c>
      <c r="E122" s="514">
        <v>20</v>
      </c>
      <c r="F122" s="201">
        <v>1440</v>
      </c>
      <c r="G122" s="199">
        <v>72</v>
      </c>
      <c r="H122" s="699"/>
      <c r="I122" s="363">
        <f t="shared" si="29"/>
        <v>20</v>
      </c>
      <c r="J122" s="363">
        <f t="shared" si="30"/>
        <v>1358.9153817070578</v>
      </c>
      <c r="K122" s="199">
        <f t="shared" si="31"/>
        <v>67.945769085352893</v>
      </c>
      <c r="L122" s="634"/>
      <c r="M122" s="200">
        <f>RANK(K122, K$112:$K$141)</f>
        <v>20</v>
      </c>
      <c r="N122" s="652"/>
      <c r="O122" s="652"/>
      <c r="P122" s="560">
        <v>20</v>
      </c>
      <c r="Q122" s="562">
        <v>1351.1999999999989</v>
      </c>
      <c r="R122" s="562">
        <v>67.559999999999945</v>
      </c>
      <c r="S122" s="560">
        <f t="shared" si="32"/>
        <v>21</v>
      </c>
      <c r="T122" s="685"/>
      <c r="U122" s="560">
        <v>20</v>
      </c>
      <c r="V122" s="562">
        <v>1365.2307692307709</v>
      </c>
      <c r="W122" s="562">
        <v>68.261538461538549</v>
      </c>
      <c r="X122" s="560">
        <f t="shared" si="33"/>
        <v>20</v>
      </c>
      <c r="Y122" s="685"/>
      <c r="Z122" s="560">
        <v>20</v>
      </c>
      <c r="AA122" s="562">
        <v>1358.2758620689665</v>
      </c>
      <c r="AB122" s="562">
        <v>67.913793103448327</v>
      </c>
      <c r="AC122" s="560">
        <f t="shared" si="34"/>
        <v>20</v>
      </c>
      <c r="AD122" s="685"/>
      <c r="AE122" s="560">
        <v>20</v>
      </c>
      <c r="AF122" s="562">
        <v>1350.4918032786898</v>
      </c>
      <c r="AG122" s="562">
        <v>67.524590163934491</v>
      </c>
      <c r="AH122" s="560">
        <f t="shared" si="35"/>
        <v>20</v>
      </c>
      <c r="AI122" s="685"/>
      <c r="AJ122" s="560">
        <v>20</v>
      </c>
      <c r="AK122" s="562">
        <v>1359.4520547945194</v>
      </c>
      <c r="AL122" s="562">
        <v>67.972602739725971</v>
      </c>
      <c r="AM122" s="560">
        <f t="shared" si="36"/>
        <v>20</v>
      </c>
      <c r="AN122" s="685"/>
      <c r="AO122" s="560">
        <v>20</v>
      </c>
      <c r="AP122" s="562">
        <v>1360.76923076923</v>
      </c>
      <c r="AQ122" s="562">
        <v>68.038461538461505</v>
      </c>
      <c r="AR122" s="560">
        <f t="shared" si="37"/>
        <v>19</v>
      </c>
      <c r="AS122" s="685"/>
      <c r="AT122" s="560">
        <v>20</v>
      </c>
      <c r="AU122" s="562">
        <v>1366.9879518072285</v>
      </c>
      <c r="AV122" s="562">
        <v>68.34939759036142</v>
      </c>
      <c r="AW122" s="560">
        <f t="shared" si="38"/>
        <v>19</v>
      </c>
      <c r="AX122" s="685"/>
      <c r="AZ122" s="368" t="e">
        <f t="shared" si="39"/>
        <v>#N/A</v>
      </c>
      <c r="BA122" s="685"/>
    </row>
    <row r="123" spans="2:53">
      <c r="B123" s="660"/>
      <c r="C123" s="283">
        <v>12</v>
      </c>
      <c r="D123" s="201" t="s">
        <v>345</v>
      </c>
      <c r="E123" s="514">
        <v>14</v>
      </c>
      <c r="F123" s="201">
        <v>1440</v>
      </c>
      <c r="G123" s="199">
        <v>102.85714285714286</v>
      </c>
      <c r="H123" s="699"/>
      <c r="I123" s="363">
        <f t="shared" si="29"/>
        <v>14.142857142857142</v>
      </c>
      <c r="J123" s="363">
        <f t="shared" si="30"/>
        <v>1353.3540934068603</v>
      </c>
      <c r="K123" s="199">
        <f t="shared" si="31"/>
        <v>95.738367446737001</v>
      </c>
      <c r="L123" s="634"/>
      <c r="M123" s="200">
        <f>RANK(K123, K$112:$K$141)</f>
        <v>3</v>
      </c>
      <c r="N123" s="652"/>
      <c r="O123" s="652"/>
      <c r="P123" s="560">
        <v>14</v>
      </c>
      <c r="Q123" s="562">
        <v>1346.1818181818192</v>
      </c>
      <c r="R123" s="562">
        <v>96.155844155844221</v>
      </c>
      <c r="S123" s="560">
        <f t="shared" si="32"/>
        <v>3</v>
      </c>
      <c r="T123" s="685"/>
      <c r="U123" s="560">
        <v>14</v>
      </c>
      <c r="V123" s="562">
        <v>1343.773584905661</v>
      </c>
      <c r="W123" s="562">
        <v>95.983827493261501</v>
      </c>
      <c r="X123" s="560">
        <f t="shared" si="33"/>
        <v>3</v>
      </c>
      <c r="Y123" s="685"/>
      <c r="Z123" s="560">
        <v>14</v>
      </c>
      <c r="AA123" s="562">
        <v>1359.9999999999995</v>
      </c>
      <c r="AB123" s="562">
        <v>97.14285714285711</v>
      </c>
      <c r="AC123" s="560">
        <f t="shared" si="34"/>
        <v>3</v>
      </c>
      <c r="AD123" s="685"/>
      <c r="AE123" s="560">
        <v>14</v>
      </c>
      <c r="AF123" s="562">
        <v>1350.6666666666667</v>
      </c>
      <c r="AG123" s="562">
        <v>96.476190476190482</v>
      </c>
      <c r="AH123" s="560">
        <f t="shared" si="35"/>
        <v>3</v>
      </c>
      <c r="AI123" s="685"/>
      <c r="AJ123" s="560">
        <v>14</v>
      </c>
      <c r="AK123" s="562">
        <v>1343.0769230769238</v>
      </c>
      <c r="AL123" s="562">
        <v>95.934065934065984</v>
      </c>
      <c r="AM123" s="560">
        <f t="shared" si="36"/>
        <v>3</v>
      </c>
      <c r="AN123" s="685"/>
      <c r="AO123" s="560">
        <v>14</v>
      </c>
      <c r="AP123" s="562">
        <v>1363.0000000000014</v>
      </c>
      <c r="AQ123" s="562">
        <v>97.357142857142961</v>
      </c>
      <c r="AR123" s="560">
        <f t="shared" si="37"/>
        <v>3</v>
      </c>
      <c r="AS123" s="685"/>
      <c r="AT123" s="560">
        <v>15</v>
      </c>
      <c r="AU123" s="562">
        <v>1366.7796610169503</v>
      </c>
      <c r="AV123" s="562">
        <v>91.11864406779668</v>
      </c>
      <c r="AW123" s="560">
        <f t="shared" si="38"/>
        <v>3</v>
      </c>
      <c r="AX123" s="685"/>
      <c r="AZ123" s="368" t="e">
        <f t="shared" si="39"/>
        <v>#N/A</v>
      </c>
      <c r="BA123" s="685"/>
    </row>
    <row r="124" spans="2:53">
      <c r="B124" s="660"/>
      <c r="C124" s="283">
        <v>13</v>
      </c>
      <c r="D124" s="201" t="s">
        <v>327</v>
      </c>
      <c r="E124" s="514">
        <v>19</v>
      </c>
      <c r="F124" s="201">
        <v>1440</v>
      </c>
      <c r="G124" s="199">
        <v>75.78947368421052</v>
      </c>
      <c r="H124" s="699"/>
      <c r="I124" s="363">
        <f t="shared" si="29"/>
        <v>19</v>
      </c>
      <c r="J124" s="363">
        <f t="shared" si="30"/>
        <v>1360.8727737474223</v>
      </c>
      <c r="K124" s="199">
        <f t="shared" si="31"/>
        <v>71.624882828811721</v>
      </c>
      <c r="L124" s="634"/>
      <c r="M124" s="200">
        <f>RANK(K124, K$112:$K$141)</f>
        <v>16</v>
      </c>
      <c r="N124" s="652"/>
      <c r="O124" s="652"/>
      <c r="P124" s="560">
        <v>19</v>
      </c>
      <c r="Q124" s="562">
        <v>1366.7441860465115</v>
      </c>
      <c r="R124" s="562">
        <v>71.933904528763762</v>
      </c>
      <c r="S124" s="560">
        <f t="shared" si="32"/>
        <v>16</v>
      </c>
      <c r="T124" s="685"/>
      <c r="U124" s="560">
        <v>19</v>
      </c>
      <c r="V124" s="562">
        <v>1360.5194805194799</v>
      </c>
      <c r="W124" s="562">
        <v>71.606288448393684</v>
      </c>
      <c r="X124" s="560">
        <f t="shared" si="33"/>
        <v>17</v>
      </c>
      <c r="Y124" s="685"/>
      <c r="Z124" s="560">
        <v>19</v>
      </c>
      <c r="AA124" s="562">
        <v>1356.0000000000016</v>
      </c>
      <c r="AB124" s="562">
        <v>71.36842105263166</v>
      </c>
      <c r="AC124" s="560">
        <f t="shared" si="34"/>
        <v>16</v>
      </c>
      <c r="AD124" s="685"/>
      <c r="AE124" s="560">
        <v>19</v>
      </c>
      <c r="AF124" s="562">
        <v>1357.1830985915478</v>
      </c>
      <c r="AG124" s="562">
        <v>71.430689399555149</v>
      </c>
      <c r="AH124" s="560">
        <f t="shared" si="35"/>
        <v>16</v>
      </c>
      <c r="AI124" s="685"/>
      <c r="AJ124" s="560">
        <v>19</v>
      </c>
      <c r="AK124" s="562">
        <v>1365.1764705882351</v>
      </c>
      <c r="AL124" s="562">
        <v>71.851393188854487</v>
      </c>
      <c r="AM124" s="560">
        <f t="shared" si="36"/>
        <v>16</v>
      </c>
      <c r="AN124" s="685"/>
      <c r="AO124" s="560">
        <v>19</v>
      </c>
      <c r="AP124" s="562">
        <v>1363.5164835164835</v>
      </c>
      <c r="AQ124" s="562">
        <v>71.764025448235969</v>
      </c>
      <c r="AR124" s="560">
        <f t="shared" si="37"/>
        <v>16</v>
      </c>
      <c r="AS124" s="685"/>
      <c r="AT124" s="560">
        <v>19</v>
      </c>
      <c r="AU124" s="562">
        <v>1356.9696969696975</v>
      </c>
      <c r="AV124" s="562">
        <v>71.419457735247235</v>
      </c>
      <c r="AW124" s="560">
        <f t="shared" si="38"/>
        <v>16</v>
      </c>
      <c r="AX124" s="685"/>
      <c r="AZ124" s="368" t="e">
        <f t="shared" si="39"/>
        <v>#N/A</v>
      </c>
      <c r="BA124" s="685"/>
    </row>
    <row r="125" spans="2:53">
      <c r="B125" s="660"/>
      <c r="C125" s="283">
        <v>14</v>
      </c>
      <c r="D125" s="201" t="s">
        <v>343</v>
      </c>
      <c r="E125" s="514">
        <v>19</v>
      </c>
      <c r="F125" s="201">
        <v>1440</v>
      </c>
      <c r="G125" s="199">
        <v>75.78947368421052</v>
      </c>
      <c r="H125" s="699"/>
      <c r="I125" s="363">
        <f t="shared" si="29"/>
        <v>19</v>
      </c>
      <c r="J125" s="363">
        <f t="shared" si="30"/>
        <v>1319.7790829855314</v>
      </c>
      <c r="K125" s="199">
        <f t="shared" si="31"/>
        <v>69.462056999238513</v>
      </c>
      <c r="L125" s="634"/>
      <c r="M125" s="200">
        <f>RANK(K125, K$112:$K$141)</f>
        <v>18</v>
      </c>
      <c r="N125" s="652"/>
      <c r="O125" s="652"/>
      <c r="P125" s="560">
        <v>19</v>
      </c>
      <c r="Q125" s="562">
        <v>1353.1343283582105</v>
      </c>
      <c r="R125" s="562">
        <v>71.217596229379495</v>
      </c>
      <c r="S125" s="560">
        <f t="shared" si="32"/>
        <v>18</v>
      </c>
      <c r="T125" s="685"/>
      <c r="U125" s="560">
        <v>19</v>
      </c>
      <c r="V125" s="562">
        <v>1326.3636363636379</v>
      </c>
      <c r="W125" s="562">
        <v>69.808612440191467</v>
      </c>
      <c r="X125" s="560">
        <f t="shared" si="33"/>
        <v>18</v>
      </c>
      <c r="Y125" s="685"/>
      <c r="Z125" s="560">
        <v>19</v>
      </c>
      <c r="AA125" s="562">
        <v>1324.2857142857151</v>
      </c>
      <c r="AB125" s="562">
        <v>69.699248120300794</v>
      </c>
      <c r="AC125" s="560">
        <f t="shared" si="34"/>
        <v>18</v>
      </c>
      <c r="AD125" s="685"/>
      <c r="AE125" s="560">
        <v>19</v>
      </c>
      <c r="AF125" s="562">
        <v>1326.2068965517251</v>
      </c>
      <c r="AG125" s="562">
        <v>69.800362976406589</v>
      </c>
      <c r="AH125" s="560">
        <f t="shared" si="35"/>
        <v>18</v>
      </c>
      <c r="AI125" s="685"/>
      <c r="AJ125" s="560">
        <v>19</v>
      </c>
      <c r="AK125" s="562">
        <v>1325.2173913043464</v>
      </c>
      <c r="AL125" s="562">
        <v>69.748283752860331</v>
      </c>
      <c r="AM125" s="560">
        <f t="shared" si="36"/>
        <v>18</v>
      </c>
      <c r="AN125" s="685"/>
      <c r="AO125" s="560">
        <v>19</v>
      </c>
      <c r="AP125" s="562">
        <v>1246.6666666666663</v>
      </c>
      <c r="AQ125" s="562">
        <v>65.614035087719273</v>
      </c>
      <c r="AR125" s="560">
        <f t="shared" si="37"/>
        <v>21</v>
      </c>
      <c r="AS125" s="685"/>
      <c r="AT125" s="560">
        <v>19</v>
      </c>
      <c r="AU125" s="562">
        <v>1336.5789473684201</v>
      </c>
      <c r="AV125" s="562">
        <v>70.346260387811583</v>
      </c>
      <c r="AW125" s="560">
        <f t="shared" si="38"/>
        <v>17</v>
      </c>
      <c r="AX125" s="685"/>
      <c r="AZ125" s="368" t="e">
        <f t="shared" si="39"/>
        <v>#N/A</v>
      </c>
      <c r="BA125" s="685"/>
    </row>
    <row r="126" spans="2:53">
      <c r="B126" s="660"/>
      <c r="C126" s="283">
        <v>15</v>
      </c>
      <c r="D126" s="201" t="s">
        <v>581</v>
      </c>
      <c r="E126" s="514">
        <v>18</v>
      </c>
      <c r="F126" s="201">
        <v>1500</v>
      </c>
      <c r="G126" s="199">
        <v>83.333333333333329</v>
      </c>
      <c r="H126" s="699"/>
      <c r="I126" s="363">
        <f t="shared" si="29"/>
        <v>18</v>
      </c>
      <c r="J126" s="363">
        <f t="shared" si="30"/>
        <v>1322.403491269218</v>
      </c>
      <c r="K126" s="199">
        <f t="shared" si="31"/>
        <v>73.466860626067657</v>
      </c>
      <c r="L126" s="634"/>
      <c r="M126" s="200">
        <f>RANK(K126, K$112:$K$141)</f>
        <v>15</v>
      </c>
      <c r="N126" s="652"/>
      <c r="O126" s="652"/>
      <c r="P126" s="560">
        <v>18</v>
      </c>
      <c r="Q126" s="562">
        <v>1330.7142857142867</v>
      </c>
      <c r="R126" s="562">
        <v>73.928571428571487</v>
      </c>
      <c r="S126" s="560">
        <f t="shared" si="32"/>
        <v>15</v>
      </c>
      <c r="T126" s="685"/>
      <c r="U126" s="560">
        <v>18</v>
      </c>
      <c r="V126" s="562">
        <v>1315.4716981132083</v>
      </c>
      <c r="W126" s="562">
        <v>73.081761006289355</v>
      </c>
      <c r="X126" s="560">
        <f t="shared" si="33"/>
        <v>15</v>
      </c>
      <c r="Y126" s="685"/>
      <c r="Z126" s="560">
        <v>18</v>
      </c>
      <c r="AA126" s="562">
        <v>1321.132075471699</v>
      </c>
      <c r="AB126" s="562">
        <v>73.396226415094389</v>
      </c>
      <c r="AC126" s="560">
        <f t="shared" si="34"/>
        <v>15</v>
      </c>
      <c r="AD126" s="685"/>
      <c r="AE126" s="560">
        <v>18</v>
      </c>
      <c r="AF126" s="562">
        <v>1310.6666666666667</v>
      </c>
      <c r="AG126" s="562">
        <v>72.814814814814824</v>
      </c>
      <c r="AH126" s="560">
        <f t="shared" si="35"/>
        <v>15</v>
      </c>
      <c r="AI126" s="685"/>
      <c r="AJ126" s="560">
        <v>18</v>
      </c>
      <c r="AK126" s="562">
        <v>1327.5000000000005</v>
      </c>
      <c r="AL126" s="562">
        <v>73.750000000000028</v>
      </c>
      <c r="AM126" s="560">
        <f t="shared" si="36"/>
        <v>15</v>
      </c>
      <c r="AN126" s="685"/>
      <c r="AO126" s="560">
        <v>18</v>
      </c>
      <c r="AP126" s="562">
        <v>1323.157894736843</v>
      </c>
      <c r="AQ126" s="562">
        <v>73.508771929824604</v>
      </c>
      <c r="AR126" s="560">
        <f t="shared" si="37"/>
        <v>15</v>
      </c>
      <c r="AS126" s="685"/>
      <c r="AT126" s="560">
        <v>18</v>
      </c>
      <c r="AU126" s="562">
        <v>1328.1818181818196</v>
      </c>
      <c r="AV126" s="562">
        <v>73.787878787878867</v>
      </c>
      <c r="AW126" s="560">
        <f t="shared" si="38"/>
        <v>14</v>
      </c>
      <c r="AX126" s="685"/>
      <c r="AZ126" s="368" t="e">
        <f t="shared" si="39"/>
        <v>#N/A</v>
      </c>
      <c r="BA126" s="685"/>
    </row>
    <row r="127" spans="2:53">
      <c r="B127" s="660"/>
      <c r="C127" s="283">
        <v>16</v>
      </c>
      <c r="D127" s="201" t="s">
        <v>509</v>
      </c>
      <c r="E127" s="514">
        <v>17</v>
      </c>
      <c r="F127" s="201">
        <v>1440</v>
      </c>
      <c r="G127" s="199">
        <v>84.705882352941174</v>
      </c>
      <c r="H127" s="699"/>
      <c r="I127" s="363">
        <f t="shared" si="29"/>
        <v>17</v>
      </c>
      <c r="J127" s="363">
        <f t="shared" si="30"/>
        <v>1351.8990524497269</v>
      </c>
      <c r="K127" s="199">
        <f t="shared" si="31"/>
        <v>79.523473673513337</v>
      </c>
      <c r="L127" s="634"/>
      <c r="M127" s="200">
        <f>RANK(K127, K$112:$K$141)</f>
        <v>11</v>
      </c>
      <c r="N127" s="652"/>
      <c r="O127" s="652"/>
      <c r="P127" s="560">
        <v>17</v>
      </c>
      <c r="Q127" s="562">
        <v>1332.6315789473674</v>
      </c>
      <c r="R127" s="562">
        <v>78.390092879256912</v>
      </c>
      <c r="S127" s="560">
        <f t="shared" si="32"/>
        <v>11</v>
      </c>
      <c r="T127" s="685"/>
      <c r="U127" s="560">
        <v>17</v>
      </c>
      <c r="V127" s="562">
        <v>1361.0526315789464</v>
      </c>
      <c r="W127" s="562">
        <v>80.06191950464391</v>
      </c>
      <c r="X127" s="560">
        <f t="shared" si="33"/>
        <v>10</v>
      </c>
      <c r="Y127" s="685"/>
      <c r="Z127" s="560">
        <v>17</v>
      </c>
      <c r="AA127" s="562">
        <v>1354.838709677417</v>
      </c>
      <c r="AB127" s="562">
        <v>79.696394686906885</v>
      </c>
      <c r="AC127" s="560">
        <f t="shared" si="34"/>
        <v>10</v>
      </c>
      <c r="AD127" s="685"/>
      <c r="AE127" s="560">
        <v>17</v>
      </c>
      <c r="AF127" s="562">
        <v>1338.1818181818164</v>
      </c>
      <c r="AG127" s="562">
        <v>78.716577540106854</v>
      </c>
      <c r="AH127" s="560">
        <f t="shared" si="35"/>
        <v>12</v>
      </c>
      <c r="AI127" s="685"/>
      <c r="AJ127" s="560">
        <v>17</v>
      </c>
      <c r="AK127" s="562">
        <v>1349.9999999999989</v>
      </c>
      <c r="AL127" s="562">
        <v>79.411764705882291</v>
      </c>
      <c r="AM127" s="560">
        <f t="shared" si="36"/>
        <v>12</v>
      </c>
      <c r="AN127" s="685"/>
      <c r="AO127" s="560">
        <v>17</v>
      </c>
      <c r="AP127" s="562">
        <v>1360.4347826086957</v>
      </c>
      <c r="AQ127" s="562">
        <v>80.025575447570333</v>
      </c>
      <c r="AR127" s="560">
        <f t="shared" si="37"/>
        <v>11</v>
      </c>
      <c r="AS127" s="685"/>
      <c r="AT127" s="560">
        <v>17</v>
      </c>
      <c r="AU127" s="562">
        <v>1366.1538461538453</v>
      </c>
      <c r="AV127" s="562">
        <v>80.361990950226186</v>
      </c>
      <c r="AW127" s="560">
        <f t="shared" si="38"/>
        <v>11</v>
      </c>
      <c r="AX127" s="685"/>
      <c r="AZ127" s="368" t="e">
        <f t="shared" si="39"/>
        <v>#N/A</v>
      </c>
      <c r="BA127" s="685"/>
    </row>
    <row r="128" spans="2:53">
      <c r="B128" s="660"/>
      <c r="C128" s="283">
        <v>17</v>
      </c>
      <c r="D128" s="201" t="s">
        <v>603</v>
      </c>
      <c r="E128" s="514">
        <v>16</v>
      </c>
      <c r="F128" s="201">
        <v>1636</v>
      </c>
      <c r="G128" s="199">
        <v>102.25</v>
      </c>
      <c r="H128" s="699"/>
      <c r="I128" s="363">
        <f t="shared" si="29"/>
        <v>16</v>
      </c>
      <c r="J128" s="363">
        <f t="shared" si="30"/>
        <v>1438.5981405523437</v>
      </c>
      <c r="K128" s="199">
        <f t="shared" si="31"/>
        <v>89.912383784521481</v>
      </c>
      <c r="L128" s="634"/>
      <c r="M128" s="200">
        <f>RANK(K128, K$112:$K$141)</f>
        <v>4</v>
      </c>
      <c r="N128" s="652"/>
      <c r="O128" s="652"/>
      <c r="P128" s="560">
        <v>16</v>
      </c>
      <c r="Q128" s="562">
        <v>1446.9767441860463</v>
      </c>
      <c r="R128" s="562">
        <v>90.436046511627893</v>
      </c>
      <c r="S128" s="560">
        <f t="shared" si="32"/>
        <v>5</v>
      </c>
      <c r="T128" s="685"/>
      <c r="U128" s="560">
        <v>16</v>
      </c>
      <c r="V128" s="562">
        <v>1457.3684210526305</v>
      </c>
      <c r="W128" s="562">
        <v>91.085526315789409</v>
      </c>
      <c r="X128" s="560">
        <f t="shared" si="33"/>
        <v>4</v>
      </c>
      <c r="Y128" s="685"/>
      <c r="Z128" s="560">
        <v>16</v>
      </c>
      <c r="AA128" s="562">
        <v>1426.4516129032233</v>
      </c>
      <c r="AB128" s="562">
        <v>89.153225806451459</v>
      </c>
      <c r="AC128" s="560">
        <f t="shared" si="34"/>
        <v>5</v>
      </c>
      <c r="AD128" s="685"/>
      <c r="AE128" s="560">
        <v>16</v>
      </c>
      <c r="AF128" s="562">
        <v>1426.8749999999982</v>
      </c>
      <c r="AG128" s="562">
        <v>89.179687499999886</v>
      </c>
      <c r="AH128" s="560">
        <f t="shared" si="35"/>
        <v>5</v>
      </c>
      <c r="AI128" s="685"/>
      <c r="AJ128" s="560">
        <v>16</v>
      </c>
      <c r="AK128" s="562">
        <v>1441.5384615384608</v>
      </c>
      <c r="AL128" s="562">
        <v>90.096153846153797</v>
      </c>
      <c r="AM128" s="560">
        <f t="shared" si="36"/>
        <v>5</v>
      </c>
      <c r="AN128" s="685"/>
      <c r="AO128" s="560">
        <v>16</v>
      </c>
      <c r="AP128" s="562">
        <v>1424</v>
      </c>
      <c r="AQ128" s="562">
        <v>89</v>
      </c>
      <c r="AR128" s="560">
        <f t="shared" si="37"/>
        <v>5</v>
      </c>
      <c r="AS128" s="685"/>
      <c r="AT128" s="560">
        <v>16</v>
      </c>
      <c r="AU128" s="562">
        <v>1446.9767441860463</v>
      </c>
      <c r="AV128" s="562">
        <v>90.436046511627893</v>
      </c>
      <c r="AW128" s="560">
        <f t="shared" si="38"/>
        <v>4</v>
      </c>
      <c r="AX128" s="685"/>
      <c r="AZ128" s="368" t="e">
        <f t="shared" si="39"/>
        <v>#N/A</v>
      </c>
      <c r="BA128" s="685"/>
    </row>
    <row r="129" spans="2:53">
      <c r="B129" s="660"/>
      <c r="C129" s="283">
        <v>18</v>
      </c>
      <c r="D129" s="201" t="s">
        <v>614</v>
      </c>
      <c r="E129" s="514">
        <v>16</v>
      </c>
      <c r="F129" s="201">
        <v>1500</v>
      </c>
      <c r="G129" s="199">
        <v>93.75</v>
      </c>
      <c r="H129" s="699"/>
      <c r="I129" s="363">
        <f t="shared" si="29"/>
        <v>16.285714285714285</v>
      </c>
      <c r="J129" s="363">
        <f t="shared" si="30"/>
        <v>1331.8289875132832</v>
      </c>
      <c r="K129" s="199">
        <f t="shared" si="31"/>
        <v>81.839374340782541</v>
      </c>
      <c r="L129" s="634"/>
      <c r="M129" s="200">
        <f>RANK(K129, K$112:$K$141)</f>
        <v>9</v>
      </c>
      <c r="N129" s="652"/>
      <c r="O129" s="652"/>
      <c r="P129" s="560">
        <v>17</v>
      </c>
      <c r="Q129" s="562">
        <v>1329.23076923077</v>
      </c>
      <c r="R129" s="562">
        <v>78.190045248868827</v>
      </c>
      <c r="S129" s="560">
        <f t="shared" si="32"/>
        <v>12</v>
      </c>
      <c r="T129" s="685"/>
      <c r="U129" s="560">
        <v>17</v>
      </c>
      <c r="V129" s="562">
        <v>1336.2500000000005</v>
      </c>
      <c r="W129" s="562">
        <v>78.602941176470608</v>
      </c>
      <c r="X129" s="560">
        <f t="shared" si="33"/>
        <v>12</v>
      </c>
      <c r="Y129" s="685"/>
      <c r="Z129" s="560">
        <v>16</v>
      </c>
      <c r="AA129" s="562">
        <v>1331.0526315789464</v>
      </c>
      <c r="AB129" s="562">
        <v>83.190789473684148</v>
      </c>
      <c r="AC129" s="560">
        <f t="shared" si="34"/>
        <v>8</v>
      </c>
      <c r="AD129" s="685"/>
      <c r="AE129" s="560">
        <v>16</v>
      </c>
      <c r="AF129" s="562">
        <v>1328.7804878048776</v>
      </c>
      <c r="AG129" s="562">
        <v>83.048780487804848</v>
      </c>
      <c r="AH129" s="560">
        <f t="shared" si="35"/>
        <v>9</v>
      </c>
      <c r="AI129" s="685"/>
      <c r="AJ129" s="560">
        <v>16</v>
      </c>
      <c r="AK129" s="562">
        <v>1340.4255319148938</v>
      </c>
      <c r="AL129" s="562">
        <v>83.776595744680861</v>
      </c>
      <c r="AM129" s="560">
        <f t="shared" si="36"/>
        <v>8</v>
      </c>
      <c r="AN129" s="685"/>
      <c r="AO129" s="560">
        <v>16</v>
      </c>
      <c r="AP129" s="562">
        <v>1339.2857142857151</v>
      </c>
      <c r="AQ129" s="562">
        <v>83.705357142857196</v>
      </c>
      <c r="AR129" s="560">
        <f t="shared" si="37"/>
        <v>8</v>
      </c>
      <c r="AS129" s="685"/>
      <c r="AT129" s="560">
        <v>16</v>
      </c>
      <c r="AU129" s="562">
        <v>1317.7777777777785</v>
      </c>
      <c r="AV129" s="562">
        <v>82.361111111111157</v>
      </c>
      <c r="AW129" s="560">
        <f t="shared" si="38"/>
        <v>9</v>
      </c>
      <c r="AX129" s="685"/>
      <c r="AZ129" s="368" t="e">
        <f t="shared" si="39"/>
        <v>#N/A</v>
      </c>
      <c r="BA129" s="685"/>
    </row>
    <row r="130" spans="2:53">
      <c r="B130" s="660"/>
      <c r="C130" s="283">
        <v>19</v>
      </c>
      <c r="D130" s="201" t="s">
        <v>610</v>
      </c>
      <c r="E130" s="514">
        <v>16</v>
      </c>
      <c r="F130" s="201">
        <v>1500</v>
      </c>
      <c r="G130" s="199">
        <v>93.75</v>
      </c>
      <c r="H130" s="699"/>
      <c r="I130" s="363">
        <f t="shared" si="29"/>
        <v>15.714285714285714</v>
      </c>
      <c r="J130" s="363">
        <f t="shared" si="30"/>
        <v>1348.793956091873</v>
      </c>
      <c r="K130" s="199">
        <f t="shared" si="31"/>
        <v>85.912267698534563</v>
      </c>
      <c r="L130" s="634"/>
      <c r="M130" s="200">
        <f>RANK(K130, K$112:$K$141)</f>
        <v>7</v>
      </c>
      <c r="N130" s="652"/>
      <c r="O130" s="652"/>
      <c r="P130" s="560">
        <v>15</v>
      </c>
      <c r="Q130" s="562">
        <v>1359.7058823529428</v>
      </c>
      <c r="R130" s="562">
        <v>90.64705882352952</v>
      </c>
      <c r="S130" s="560">
        <f t="shared" si="32"/>
        <v>4</v>
      </c>
      <c r="T130" s="685"/>
      <c r="U130" s="560">
        <v>15</v>
      </c>
      <c r="V130" s="562">
        <v>1349.538461538463</v>
      </c>
      <c r="W130" s="562">
        <v>89.969230769230862</v>
      </c>
      <c r="X130" s="560">
        <f t="shared" si="33"/>
        <v>6</v>
      </c>
      <c r="Y130" s="685"/>
      <c r="Z130" s="560">
        <v>16</v>
      </c>
      <c r="AA130" s="562">
        <v>1348.8888888888896</v>
      </c>
      <c r="AB130" s="562">
        <v>84.3055555555556</v>
      </c>
      <c r="AC130" s="560">
        <f t="shared" si="34"/>
        <v>7</v>
      </c>
      <c r="AD130" s="685"/>
      <c r="AE130" s="560">
        <v>16</v>
      </c>
      <c r="AF130" s="562">
        <v>1347.7777777777785</v>
      </c>
      <c r="AG130" s="562">
        <v>84.236111111111157</v>
      </c>
      <c r="AH130" s="560">
        <f t="shared" si="35"/>
        <v>7</v>
      </c>
      <c r="AI130" s="685"/>
      <c r="AJ130" s="560">
        <v>16</v>
      </c>
      <c r="AK130" s="562">
        <v>1357.2727272727288</v>
      </c>
      <c r="AL130" s="562">
        <v>84.829545454545553</v>
      </c>
      <c r="AM130" s="560">
        <f t="shared" si="36"/>
        <v>7</v>
      </c>
      <c r="AN130" s="685"/>
      <c r="AO130" s="560">
        <v>16</v>
      </c>
      <c r="AP130" s="562">
        <v>1353.6986301369852</v>
      </c>
      <c r="AQ130" s="562">
        <v>84.606164383561577</v>
      </c>
      <c r="AR130" s="560">
        <f t="shared" si="37"/>
        <v>7</v>
      </c>
      <c r="AS130" s="685"/>
      <c r="AT130" s="560">
        <v>16</v>
      </c>
      <c r="AU130" s="562">
        <v>1324.675324675324</v>
      </c>
      <c r="AV130" s="562">
        <v>82.792207792207748</v>
      </c>
      <c r="AW130" s="560">
        <f t="shared" si="38"/>
        <v>8</v>
      </c>
      <c r="AX130" s="685"/>
      <c r="AZ130" s="368" t="e">
        <f t="shared" si="39"/>
        <v>#N/A</v>
      </c>
      <c r="BA130" s="685"/>
    </row>
    <row r="131" spans="2:53">
      <c r="B131" s="660"/>
      <c r="C131" s="283">
        <v>20</v>
      </c>
      <c r="D131" s="201" t="s">
        <v>628</v>
      </c>
      <c r="E131" s="514">
        <v>19</v>
      </c>
      <c r="F131" s="201">
        <v>1440</v>
      </c>
      <c r="G131" s="199">
        <v>75.78947368421052</v>
      </c>
      <c r="H131" s="699"/>
      <c r="I131" s="363">
        <f t="shared" si="29"/>
        <v>19</v>
      </c>
      <c r="J131" s="363">
        <f t="shared" si="30"/>
        <v>1295.7579070506658</v>
      </c>
      <c r="K131" s="199">
        <f t="shared" si="31"/>
        <v>68.197784581613988</v>
      </c>
      <c r="L131" s="634"/>
      <c r="M131" s="200">
        <f>RANK(K131, K$112:$K$141)</f>
        <v>19</v>
      </c>
      <c r="N131" s="652"/>
      <c r="O131" s="652"/>
      <c r="P131" s="560">
        <v>19</v>
      </c>
      <c r="Q131" s="562">
        <v>1304.1509433962271</v>
      </c>
      <c r="R131" s="562">
        <v>68.639523336643535</v>
      </c>
      <c r="S131" s="560">
        <f t="shared" si="32"/>
        <v>19</v>
      </c>
      <c r="T131" s="685"/>
      <c r="U131" s="560">
        <v>19</v>
      </c>
      <c r="V131" s="562">
        <v>1305.0000000000007</v>
      </c>
      <c r="W131" s="562">
        <v>68.684210526315823</v>
      </c>
      <c r="X131" s="560">
        <f t="shared" si="33"/>
        <v>19</v>
      </c>
      <c r="Y131" s="685"/>
      <c r="Z131" s="560">
        <v>19</v>
      </c>
      <c r="AA131" s="562">
        <v>1309.9999999999989</v>
      </c>
      <c r="AB131" s="562">
        <v>68.947368421052573</v>
      </c>
      <c r="AC131" s="560">
        <f t="shared" si="34"/>
        <v>19</v>
      </c>
      <c r="AD131" s="685"/>
      <c r="AE131" s="560">
        <v>19</v>
      </c>
      <c r="AF131" s="562">
        <v>1300.5405405405395</v>
      </c>
      <c r="AG131" s="562">
        <v>68.449502133712599</v>
      </c>
      <c r="AH131" s="560">
        <f t="shared" si="35"/>
        <v>19</v>
      </c>
      <c r="AI131" s="685"/>
      <c r="AJ131" s="560">
        <v>19</v>
      </c>
      <c r="AK131" s="562">
        <v>1304.68085106383</v>
      </c>
      <c r="AL131" s="562">
        <v>68.667413213885794</v>
      </c>
      <c r="AM131" s="560">
        <f t="shared" si="36"/>
        <v>19</v>
      </c>
      <c r="AN131" s="685"/>
      <c r="AO131" s="560">
        <v>19</v>
      </c>
      <c r="AP131" s="562">
        <v>1296.8421052631554</v>
      </c>
      <c r="AQ131" s="562">
        <v>68.254847645429237</v>
      </c>
      <c r="AR131" s="560">
        <f t="shared" si="37"/>
        <v>18</v>
      </c>
      <c r="AS131" s="685"/>
      <c r="AT131" s="560">
        <v>19</v>
      </c>
      <c r="AU131" s="562">
        <v>1249.0909090909099</v>
      </c>
      <c r="AV131" s="562">
        <v>65.741626794258423</v>
      </c>
      <c r="AW131" s="560">
        <f t="shared" si="38"/>
        <v>21</v>
      </c>
      <c r="AX131" s="685"/>
      <c r="AZ131" s="368" t="e">
        <f t="shared" si="39"/>
        <v>#N/A</v>
      </c>
      <c r="BA131" s="685"/>
    </row>
    <row r="132" spans="2:53">
      <c r="B132" s="660"/>
      <c r="C132" s="283">
        <v>21</v>
      </c>
      <c r="D132" s="201" t="s">
        <v>698</v>
      </c>
      <c r="E132" s="514">
        <v>21</v>
      </c>
      <c r="F132" s="201">
        <v>1440</v>
      </c>
      <c r="G132" s="199">
        <v>68.571428571428569</v>
      </c>
      <c r="H132" s="699"/>
      <c r="I132" s="363">
        <f t="shared" si="29"/>
        <v>20.285714285714285</v>
      </c>
      <c r="J132" s="363">
        <f t="shared" si="30"/>
        <v>1091.0020526677567</v>
      </c>
      <c r="K132" s="199">
        <f t="shared" si="31"/>
        <v>53.823322125266223</v>
      </c>
      <c r="L132" s="634"/>
      <c r="M132" s="200">
        <f>RANK(K132, K$112:$K$141)</f>
        <v>24</v>
      </c>
      <c r="N132" s="652"/>
      <c r="O132" s="652"/>
      <c r="P132" s="560">
        <v>21</v>
      </c>
      <c r="Q132" s="562">
        <v>1068.9795918367352</v>
      </c>
      <c r="R132" s="562">
        <v>50.903790087463577</v>
      </c>
      <c r="S132" s="560">
        <f t="shared" si="32"/>
        <v>24</v>
      </c>
      <c r="T132" s="685"/>
      <c r="U132" s="560">
        <v>21</v>
      </c>
      <c r="V132" s="562">
        <v>1067.7551020408166</v>
      </c>
      <c r="W132" s="562">
        <v>50.845481049562693</v>
      </c>
      <c r="X132" s="560">
        <f t="shared" si="33"/>
        <v>24</v>
      </c>
      <c r="Y132" s="685"/>
      <c r="Z132" s="560">
        <v>20</v>
      </c>
      <c r="AA132" s="562">
        <v>1134.5454545454531</v>
      </c>
      <c r="AB132" s="562">
        <v>56.727272727272656</v>
      </c>
      <c r="AC132" s="560">
        <f t="shared" si="34"/>
        <v>24</v>
      </c>
      <c r="AD132" s="685"/>
      <c r="AE132" s="560">
        <v>20</v>
      </c>
      <c r="AF132" s="562">
        <v>1125.4545454545439</v>
      </c>
      <c r="AG132" s="562">
        <v>56.272727272727195</v>
      </c>
      <c r="AH132" s="560">
        <f t="shared" si="35"/>
        <v>24</v>
      </c>
      <c r="AI132" s="685"/>
      <c r="AJ132" s="560">
        <v>20</v>
      </c>
      <c r="AK132" s="562">
        <v>1074.1463414634143</v>
      </c>
      <c r="AL132" s="562">
        <v>53.707317073170714</v>
      </c>
      <c r="AM132" s="560">
        <f t="shared" si="36"/>
        <v>24</v>
      </c>
      <c r="AN132" s="685"/>
      <c r="AO132" s="560">
        <v>20</v>
      </c>
      <c r="AP132" s="562">
        <v>1072.8000000000004</v>
      </c>
      <c r="AQ132" s="562">
        <v>53.640000000000022</v>
      </c>
      <c r="AR132" s="560">
        <f t="shared" si="37"/>
        <v>24</v>
      </c>
      <c r="AS132" s="685"/>
      <c r="AT132" s="560">
        <v>20</v>
      </c>
      <c r="AU132" s="562">
        <v>1093.3333333333333</v>
      </c>
      <c r="AV132" s="562">
        <v>54.666666666666664</v>
      </c>
      <c r="AW132" s="560">
        <f t="shared" si="38"/>
        <v>24</v>
      </c>
      <c r="AX132" s="685"/>
      <c r="AZ132" s="368" t="e">
        <f t="shared" si="39"/>
        <v>#N/A</v>
      </c>
      <c r="BA132" s="685"/>
    </row>
    <row r="133" spans="2:53">
      <c r="B133" s="660"/>
      <c r="C133" s="283">
        <v>22</v>
      </c>
      <c r="D133" s="201" t="s">
        <v>700</v>
      </c>
      <c r="E133" s="514">
        <v>19</v>
      </c>
      <c r="F133" s="201">
        <v>1440</v>
      </c>
      <c r="G133" s="199">
        <v>75.78947368421052</v>
      </c>
      <c r="H133" s="699"/>
      <c r="I133" s="363">
        <f t="shared" si="29"/>
        <v>19</v>
      </c>
      <c r="J133" s="363">
        <f t="shared" si="30"/>
        <v>1351.0311704802148</v>
      </c>
      <c r="K133" s="199">
        <f t="shared" si="31"/>
        <v>71.106903709484996</v>
      </c>
      <c r="L133" s="634"/>
      <c r="M133" s="200">
        <f>RANK(K133, K$112:$K$141)</f>
        <v>17</v>
      </c>
      <c r="N133" s="652"/>
      <c r="O133" s="652"/>
      <c r="P133" s="560">
        <v>19</v>
      </c>
      <c r="Q133" s="562">
        <v>1354.9253731343267</v>
      </c>
      <c r="R133" s="562">
        <v>71.311861743911933</v>
      </c>
      <c r="S133" s="560">
        <f t="shared" si="32"/>
        <v>17</v>
      </c>
      <c r="T133" s="685"/>
      <c r="U133" s="560">
        <v>19</v>
      </c>
      <c r="V133" s="562">
        <v>1362.7118644067807</v>
      </c>
      <c r="W133" s="562">
        <v>71.721677074041096</v>
      </c>
      <c r="X133" s="560">
        <f t="shared" si="33"/>
        <v>16</v>
      </c>
      <c r="Y133" s="685"/>
      <c r="Z133" s="560">
        <v>19</v>
      </c>
      <c r="AA133" s="562">
        <v>1344.23076923077</v>
      </c>
      <c r="AB133" s="562">
        <v>70.748987854251055</v>
      </c>
      <c r="AC133" s="560">
        <f t="shared" si="34"/>
        <v>17</v>
      </c>
      <c r="AD133" s="685"/>
      <c r="AE133" s="560">
        <v>19</v>
      </c>
      <c r="AF133" s="562">
        <v>1354.4444444444453</v>
      </c>
      <c r="AG133" s="562">
        <v>71.286549707602376</v>
      </c>
      <c r="AH133" s="560">
        <f t="shared" si="35"/>
        <v>17</v>
      </c>
      <c r="AI133" s="685"/>
      <c r="AJ133" s="560">
        <v>19</v>
      </c>
      <c r="AK133" s="562">
        <v>1347.692307692309</v>
      </c>
      <c r="AL133" s="562">
        <v>70.93117408906889</v>
      </c>
      <c r="AM133" s="560">
        <f t="shared" si="36"/>
        <v>17</v>
      </c>
      <c r="AN133" s="685"/>
      <c r="AO133" s="560">
        <v>19</v>
      </c>
      <c r="AP133" s="562">
        <v>1359.6923076923092</v>
      </c>
      <c r="AQ133" s="562">
        <v>71.562753036437329</v>
      </c>
      <c r="AR133" s="560">
        <f t="shared" si="37"/>
        <v>17</v>
      </c>
      <c r="AS133" s="685"/>
      <c r="AT133" s="560">
        <v>19</v>
      </c>
      <c r="AU133" s="562">
        <v>1333.5211267605621</v>
      </c>
      <c r="AV133" s="562">
        <v>70.185322461082208</v>
      </c>
      <c r="AW133" s="560">
        <f t="shared" si="38"/>
        <v>18</v>
      </c>
      <c r="AX133" s="685"/>
      <c r="AZ133" s="368" t="e">
        <f t="shared" si="39"/>
        <v>#N/A</v>
      </c>
      <c r="BA133" s="685"/>
    </row>
    <row r="134" spans="2:53">
      <c r="B134" s="660"/>
      <c r="C134" s="283">
        <v>23</v>
      </c>
      <c r="D134" s="201" t="s">
        <v>731</v>
      </c>
      <c r="E134" s="514">
        <v>15</v>
      </c>
      <c r="F134" s="201">
        <v>1440</v>
      </c>
      <c r="G134" s="199">
        <v>96</v>
      </c>
      <c r="H134" s="699"/>
      <c r="I134" s="363">
        <f t="shared" si="29"/>
        <v>15</v>
      </c>
      <c r="J134" s="363">
        <f t="shared" si="30"/>
        <v>1343.870647623713</v>
      </c>
      <c r="K134" s="199">
        <f t="shared" si="31"/>
        <v>89.591376508247535</v>
      </c>
      <c r="L134" s="634"/>
      <c r="M134" s="200">
        <f>RANK(K134, K$112:$K$141)</f>
        <v>5</v>
      </c>
      <c r="N134" s="652"/>
      <c r="O134" s="652"/>
      <c r="P134" s="560">
        <v>15</v>
      </c>
      <c r="Q134" s="562">
        <v>1284.6153846153838</v>
      </c>
      <c r="R134" s="562">
        <v>85.641025641025593</v>
      </c>
      <c r="S134" s="560">
        <f t="shared" si="32"/>
        <v>7</v>
      </c>
      <c r="T134" s="685"/>
      <c r="U134" s="560">
        <v>15</v>
      </c>
      <c r="V134" s="562">
        <v>1353.1578947368412</v>
      </c>
      <c r="W134" s="562">
        <v>90.210526315789409</v>
      </c>
      <c r="X134" s="560">
        <f t="shared" si="33"/>
        <v>5</v>
      </c>
      <c r="Y134" s="685"/>
      <c r="Z134" s="560">
        <v>15</v>
      </c>
      <c r="AA134" s="562">
        <v>1350.0000000000011</v>
      </c>
      <c r="AB134" s="562">
        <v>90.000000000000071</v>
      </c>
      <c r="AC134" s="560">
        <f t="shared" si="34"/>
        <v>4</v>
      </c>
      <c r="AD134" s="685"/>
      <c r="AE134" s="560">
        <v>15</v>
      </c>
      <c r="AF134" s="562">
        <v>1363.5483870967755</v>
      </c>
      <c r="AG134" s="562">
        <v>90.903225806451701</v>
      </c>
      <c r="AH134" s="560">
        <f t="shared" si="35"/>
        <v>4</v>
      </c>
      <c r="AI134" s="685"/>
      <c r="AJ134" s="560">
        <v>15</v>
      </c>
      <c r="AK134" s="562">
        <v>1366.4788732394354</v>
      </c>
      <c r="AL134" s="562">
        <v>91.098591549295691</v>
      </c>
      <c r="AM134" s="560">
        <f t="shared" si="36"/>
        <v>4</v>
      </c>
      <c r="AN134" s="685"/>
      <c r="AO134" s="560">
        <v>15</v>
      </c>
      <c r="AP134" s="562">
        <v>1356.9863013698618</v>
      </c>
      <c r="AQ134" s="562">
        <v>90.46575342465745</v>
      </c>
      <c r="AR134" s="560">
        <f t="shared" si="37"/>
        <v>4</v>
      </c>
      <c r="AS134" s="685"/>
      <c r="AT134" s="560">
        <v>15</v>
      </c>
      <c r="AU134" s="562">
        <v>1332.3076923076917</v>
      </c>
      <c r="AV134" s="562">
        <v>88.820512820512775</v>
      </c>
      <c r="AW134" s="560">
        <f t="shared" si="38"/>
        <v>5</v>
      </c>
      <c r="AX134" s="685"/>
      <c r="AZ134" s="368" t="e">
        <f t="shared" si="39"/>
        <v>#N/A</v>
      </c>
      <c r="BA134" s="685"/>
    </row>
    <row r="135" spans="2:53">
      <c r="B135" s="660"/>
      <c r="C135" s="283">
        <v>24</v>
      </c>
      <c r="D135" s="201" t="s">
        <v>757</v>
      </c>
      <c r="E135" s="514">
        <v>21</v>
      </c>
      <c r="F135" s="201">
        <v>1385</v>
      </c>
      <c r="G135" s="199">
        <v>65.952380952380949</v>
      </c>
      <c r="H135" s="699"/>
      <c r="I135" s="363">
        <f t="shared" si="29"/>
        <v>20.571428571428573</v>
      </c>
      <c r="J135" s="363">
        <f t="shared" si="30"/>
        <v>1229.5494886948547</v>
      </c>
      <c r="K135" s="199">
        <f t="shared" si="31"/>
        <v>59.807317663481186</v>
      </c>
      <c r="L135" s="634"/>
      <c r="M135" s="200">
        <f>RANK(K135, K$112:$K$141)</f>
        <v>22</v>
      </c>
      <c r="N135" s="652"/>
      <c r="O135" s="652"/>
      <c r="P135" s="560">
        <v>21</v>
      </c>
      <c r="Q135" s="562">
        <v>1197.3913043478303</v>
      </c>
      <c r="R135" s="562">
        <v>57.018633540372875</v>
      </c>
      <c r="S135" s="560">
        <f t="shared" si="32"/>
        <v>23</v>
      </c>
      <c r="T135" s="685"/>
      <c r="U135" s="560">
        <v>20</v>
      </c>
      <c r="V135" s="562">
        <v>1238.6086956521749</v>
      </c>
      <c r="W135" s="562">
        <v>61.930434782608742</v>
      </c>
      <c r="X135" s="560">
        <f t="shared" si="33"/>
        <v>22</v>
      </c>
      <c r="Y135" s="685"/>
      <c r="Z135" s="560">
        <v>21</v>
      </c>
      <c r="AA135" s="562">
        <v>1235.4285714285722</v>
      </c>
      <c r="AB135" s="562">
        <v>58.829931972789154</v>
      </c>
      <c r="AC135" s="560">
        <f t="shared" si="34"/>
        <v>23</v>
      </c>
      <c r="AD135" s="685"/>
      <c r="AE135" s="560">
        <v>21</v>
      </c>
      <c r="AF135" s="562">
        <v>1245.6338028169002</v>
      </c>
      <c r="AG135" s="562">
        <v>59.315895372233342</v>
      </c>
      <c r="AH135" s="560">
        <f t="shared" si="35"/>
        <v>22</v>
      </c>
      <c r="AI135" s="685"/>
      <c r="AJ135" s="560">
        <v>21</v>
      </c>
      <c r="AK135" s="562">
        <v>1231.8072289156621</v>
      </c>
      <c r="AL135" s="562">
        <v>58.657487091222002</v>
      </c>
      <c r="AM135" s="560">
        <f t="shared" si="36"/>
        <v>23</v>
      </c>
      <c r="AN135" s="685"/>
      <c r="AO135" s="560">
        <v>20</v>
      </c>
      <c r="AP135" s="562">
        <v>1241.538461538461</v>
      </c>
      <c r="AQ135" s="562">
        <v>62.076923076923052</v>
      </c>
      <c r="AR135" s="560">
        <f t="shared" si="37"/>
        <v>22</v>
      </c>
      <c r="AS135" s="685"/>
      <c r="AT135" s="560">
        <v>20</v>
      </c>
      <c r="AU135" s="562">
        <v>1216.4383561643826</v>
      </c>
      <c r="AV135" s="562">
        <v>60.821917808219133</v>
      </c>
      <c r="AW135" s="560">
        <f t="shared" si="38"/>
        <v>22</v>
      </c>
      <c r="AX135" s="685"/>
      <c r="AZ135" s="368" t="e">
        <f t="shared" si="39"/>
        <v>#N/A</v>
      </c>
      <c r="BA135" s="685"/>
    </row>
    <row r="136" spans="2:53">
      <c r="B136" s="660"/>
      <c r="C136" s="283">
        <v>25</v>
      </c>
      <c r="D136" s="201"/>
      <c r="E136" s="514"/>
      <c r="F136" s="201"/>
      <c r="G136" s="199"/>
      <c r="H136" s="699"/>
      <c r="I136" s="363" t="str">
        <f t="shared" si="29"/>
        <v>-</v>
      </c>
      <c r="J136" s="363" t="str">
        <f t="shared" si="30"/>
        <v>-</v>
      </c>
      <c r="K136" s="199" t="str">
        <f t="shared" si="31"/>
        <v>-</v>
      </c>
      <c r="L136" s="634"/>
      <c r="M136" s="200" t="e">
        <f>RANK(K136, K$112:$K$141)</f>
        <v>#VALUE!</v>
      </c>
      <c r="N136" s="652"/>
      <c r="O136" s="652"/>
      <c r="P136" s="560" t="s">
        <v>585</v>
      </c>
      <c r="Q136" s="562" t="s">
        <v>585</v>
      </c>
      <c r="R136" s="562" t="s">
        <v>585</v>
      </c>
      <c r="S136" s="560" t="e">
        <f t="shared" si="32"/>
        <v>#VALUE!</v>
      </c>
      <c r="T136" s="685"/>
      <c r="U136" s="560" t="s">
        <v>585</v>
      </c>
      <c r="V136" s="562" t="s">
        <v>585</v>
      </c>
      <c r="W136" s="562" t="s">
        <v>585</v>
      </c>
      <c r="X136" s="560" t="e">
        <f t="shared" si="33"/>
        <v>#VALUE!</v>
      </c>
      <c r="Y136" s="685"/>
      <c r="Z136" s="560" t="s">
        <v>585</v>
      </c>
      <c r="AA136" s="562" t="s">
        <v>585</v>
      </c>
      <c r="AB136" s="562" t="s">
        <v>585</v>
      </c>
      <c r="AC136" s="560" t="e">
        <f t="shared" si="34"/>
        <v>#VALUE!</v>
      </c>
      <c r="AD136" s="685"/>
      <c r="AE136" s="560" t="s">
        <v>585</v>
      </c>
      <c r="AF136" s="562" t="s">
        <v>585</v>
      </c>
      <c r="AG136" s="562" t="s">
        <v>585</v>
      </c>
      <c r="AH136" s="560" t="e">
        <f t="shared" si="35"/>
        <v>#VALUE!</v>
      </c>
      <c r="AI136" s="685"/>
      <c r="AJ136" s="560" t="s">
        <v>585</v>
      </c>
      <c r="AK136" s="562" t="s">
        <v>585</v>
      </c>
      <c r="AL136" s="562" t="s">
        <v>585</v>
      </c>
      <c r="AM136" s="560" t="e">
        <f t="shared" si="36"/>
        <v>#VALUE!</v>
      </c>
      <c r="AN136" s="685"/>
      <c r="AO136" s="560" t="s">
        <v>585</v>
      </c>
      <c r="AP136" s="562" t="s">
        <v>585</v>
      </c>
      <c r="AQ136" s="562" t="s">
        <v>585</v>
      </c>
      <c r="AR136" s="560" t="e">
        <f t="shared" si="37"/>
        <v>#VALUE!</v>
      </c>
      <c r="AS136" s="685"/>
      <c r="AT136" s="560" t="s">
        <v>585</v>
      </c>
      <c r="AU136" s="562" t="s">
        <v>585</v>
      </c>
      <c r="AV136" s="562" t="s">
        <v>585</v>
      </c>
      <c r="AW136" s="560" t="e">
        <f t="shared" si="38"/>
        <v>#VALUE!</v>
      </c>
      <c r="AX136" s="685"/>
      <c r="AZ136" s="368" t="e">
        <f t="shared" si="39"/>
        <v>#N/A</v>
      </c>
      <c r="BA136" s="685"/>
    </row>
    <row r="137" spans="2:53">
      <c r="B137" s="660"/>
      <c r="C137" s="283">
        <v>26</v>
      </c>
      <c r="D137" s="201"/>
      <c r="E137" s="514"/>
      <c r="F137" s="201"/>
      <c r="G137" s="199"/>
      <c r="H137" s="699"/>
      <c r="I137" s="363" t="str">
        <f t="shared" si="29"/>
        <v>-</v>
      </c>
      <c r="J137" s="363" t="str">
        <f t="shared" si="30"/>
        <v>-</v>
      </c>
      <c r="K137" s="199" t="str">
        <f t="shared" si="31"/>
        <v>-</v>
      </c>
      <c r="L137" s="634"/>
      <c r="M137" s="200" t="e">
        <f>RANK(K137, K$112:$K$141)</f>
        <v>#VALUE!</v>
      </c>
      <c r="N137" s="652"/>
      <c r="O137" s="652"/>
      <c r="P137" s="560" t="s">
        <v>585</v>
      </c>
      <c r="Q137" s="562" t="s">
        <v>585</v>
      </c>
      <c r="R137" s="562" t="s">
        <v>585</v>
      </c>
      <c r="S137" s="560" t="e">
        <f t="shared" si="32"/>
        <v>#VALUE!</v>
      </c>
      <c r="T137" s="685"/>
      <c r="U137" s="560" t="s">
        <v>585</v>
      </c>
      <c r="V137" s="562" t="s">
        <v>585</v>
      </c>
      <c r="W137" s="562" t="s">
        <v>585</v>
      </c>
      <c r="X137" s="560" t="e">
        <f t="shared" si="33"/>
        <v>#VALUE!</v>
      </c>
      <c r="Y137" s="685"/>
      <c r="Z137" s="560" t="s">
        <v>585</v>
      </c>
      <c r="AA137" s="562" t="s">
        <v>585</v>
      </c>
      <c r="AB137" s="562" t="s">
        <v>585</v>
      </c>
      <c r="AC137" s="560" t="e">
        <f t="shared" si="34"/>
        <v>#VALUE!</v>
      </c>
      <c r="AD137" s="685"/>
      <c r="AE137" s="560" t="s">
        <v>585</v>
      </c>
      <c r="AF137" s="562" t="s">
        <v>585</v>
      </c>
      <c r="AG137" s="562" t="s">
        <v>585</v>
      </c>
      <c r="AH137" s="560" t="e">
        <f t="shared" si="35"/>
        <v>#VALUE!</v>
      </c>
      <c r="AI137" s="685"/>
      <c r="AJ137" s="560" t="s">
        <v>585</v>
      </c>
      <c r="AK137" s="562" t="s">
        <v>585</v>
      </c>
      <c r="AL137" s="562" t="s">
        <v>585</v>
      </c>
      <c r="AM137" s="560" t="e">
        <f t="shared" si="36"/>
        <v>#VALUE!</v>
      </c>
      <c r="AN137" s="685"/>
      <c r="AO137" s="560" t="s">
        <v>585</v>
      </c>
      <c r="AP137" s="562" t="s">
        <v>585</v>
      </c>
      <c r="AQ137" s="562" t="s">
        <v>585</v>
      </c>
      <c r="AR137" s="560" t="e">
        <f t="shared" si="37"/>
        <v>#VALUE!</v>
      </c>
      <c r="AS137" s="685"/>
      <c r="AT137" s="560" t="s">
        <v>585</v>
      </c>
      <c r="AU137" s="562" t="s">
        <v>585</v>
      </c>
      <c r="AV137" s="562" t="s">
        <v>585</v>
      </c>
      <c r="AW137" s="560" t="e">
        <f t="shared" si="38"/>
        <v>#VALUE!</v>
      </c>
      <c r="AX137" s="685"/>
      <c r="AZ137" s="368" t="e">
        <f t="shared" si="39"/>
        <v>#N/A</v>
      </c>
      <c r="BA137" s="685"/>
    </row>
    <row r="138" spans="2:53">
      <c r="B138" s="660"/>
      <c r="C138" s="283">
        <v>27</v>
      </c>
      <c r="D138" s="201"/>
      <c r="E138" s="514"/>
      <c r="F138" s="201"/>
      <c r="G138" s="199"/>
      <c r="H138" s="699"/>
      <c r="I138" s="363" t="str">
        <f t="shared" si="29"/>
        <v>-</v>
      </c>
      <c r="J138" s="363" t="str">
        <f t="shared" si="30"/>
        <v>-</v>
      </c>
      <c r="K138" s="199" t="str">
        <f t="shared" si="31"/>
        <v>-</v>
      </c>
      <c r="L138" s="634"/>
      <c r="M138" s="200" t="e">
        <f>RANK(K138, K$112:$K$141)</f>
        <v>#VALUE!</v>
      </c>
      <c r="N138" s="652"/>
      <c r="O138" s="652"/>
      <c r="P138" s="560" t="s">
        <v>585</v>
      </c>
      <c r="Q138" s="562" t="s">
        <v>585</v>
      </c>
      <c r="R138" s="562" t="s">
        <v>585</v>
      </c>
      <c r="S138" s="560" t="e">
        <f t="shared" si="32"/>
        <v>#VALUE!</v>
      </c>
      <c r="T138" s="685"/>
      <c r="U138" s="560" t="s">
        <v>585</v>
      </c>
      <c r="V138" s="562" t="s">
        <v>585</v>
      </c>
      <c r="W138" s="562" t="s">
        <v>585</v>
      </c>
      <c r="X138" s="560" t="e">
        <f t="shared" si="33"/>
        <v>#VALUE!</v>
      </c>
      <c r="Y138" s="685"/>
      <c r="Z138" s="560" t="s">
        <v>585</v>
      </c>
      <c r="AA138" s="562" t="s">
        <v>585</v>
      </c>
      <c r="AB138" s="562" t="s">
        <v>585</v>
      </c>
      <c r="AC138" s="560" t="e">
        <f t="shared" si="34"/>
        <v>#VALUE!</v>
      </c>
      <c r="AD138" s="685"/>
      <c r="AE138" s="560" t="s">
        <v>585</v>
      </c>
      <c r="AF138" s="562" t="s">
        <v>585</v>
      </c>
      <c r="AG138" s="562" t="s">
        <v>585</v>
      </c>
      <c r="AH138" s="560" t="e">
        <f t="shared" si="35"/>
        <v>#VALUE!</v>
      </c>
      <c r="AI138" s="685"/>
      <c r="AJ138" s="560" t="s">
        <v>585</v>
      </c>
      <c r="AK138" s="562" t="s">
        <v>585</v>
      </c>
      <c r="AL138" s="562" t="s">
        <v>585</v>
      </c>
      <c r="AM138" s="560" t="e">
        <f t="shared" si="36"/>
        <v>#VALUE!</v>
      </c>
      <c r="AN138" s="685"/>
      <c r="AO138" s="560" t="s">
        <v>585</v>
      </c>
      <c r="AP138" s="562" t="s">
        <v>585</v>
      </c>
      <c r="AQ138" s="562" t="s">
        <v>585</v>
      </c>
      <c r="AR138" s="560" t="e">
        <f t="shared" si="37"/>
        <v>#VALUE!</v>
      </c>
      <c r="AS138" s="685"/>
      <c r="AT138" s="560" t="s">
        <v>585</v>
      </c>
      <c r="AU138" s="562" t="s">
        <v>585</v>
      </c>
      <c r="AV138" s="562" t="s">
        <v>585</v>
      </c>
      <c r="AW138" s="560" t="e">
        <f t="shared" si="38"/>
        <v>#VALUE!</v>
      </c>
      <c r="AX138" s="685"/>
      <c r="AZ138" s="368" t="e">
        <f t="shared" si="39"/>
        <v>#N/A</v>
      </c>
      <c r="BA138" s="685"/>
    </row>
    <row r="139" spans="2:53">
      <c r="B139" s="660"/>
      <c r="C139" s="283">
        <v>28</v>
      </c>
      <c r="D139" s="201"/>
      <c r="E139" s="514"/>
      <c r="F139" s="201"/>
      <c r="G139" s="199"/>
      <c r="H139" s="699"/>
      <c r="I139" s="363" t="str">
        <f t="shared" si="29"/>
        <v>-</v>
      </c>
      <c r="J139" s="363" t="str">
        <f t="shared" si="30"/>
        <v>-</v>
      </c>
      <c r="K139" s="199" t="str">
        <f t="shared" si="31"/>
        <v>-</v>
      </c>
      <c r="L139" s="634"/>
      <c r="M139" s="200" t="e">
        <f>RANK(K139, K$112:$K$141)</f>
        <v>#VALUE!</v>
      </c>
      <c r="N139" s="652"/>
      <c r="O139" s="652"/>
      <c r="P139" s="560" t="s">
        <v>585</v>
      </c>
      <c r="Q139" s="562" t="s">
        <v>585</v>
      </c>
      <c r="R139" s="562" t="s">
        <v>585</v>
      </c>
      <c r="S139" s="560" t="e">
        <f t="shared" si="32"/>
        <v>#VALUE!</v>
      </c>
      <c r="T139" s="685"/>
      <c r="U139" s="560" t="s">
        <v>585</v>
      </c>
      <c r="V139" s="562" t="s">
        <v>585</v>
      </c>
      <c r="W139" s="562" t="s">
        <v>585</v>
      </c>
      <c r="X139" s="560" t="e">
        <f t="shared" si="33"/>
        <v>#VALUE!</v>
      </c>
      <c r="Y139" s="685"/>
      <c r="Z139" s="560" t="s">
        <v>585</v>
      </c>
      <c r="AA139" s="562" t="s">
        <v>585</v>
      </c>
      <c r="AB139" s="562" t="s">
        <v>585</v>
      </c>
      <c r="AC139" s="560" t="e">
        <f t="shared" si="34"/>
        <v>#VALUE!</v>
      </c>
      <c r="AD139" s="685"/>
      <c r="AE139" s="560" t="s">
        <v>585</v>
      </c>
      <c r="AF139" s="562" t="s">
        <v>585</v>
      </c>
      <c r="AG139" s="562" t="s">
        <v>585</v>
      </c>
      <c r="AH139" s="560" t="e">
        <f t="shared" si="35"/>
        <v>#VALUE!</v>
      </c>
      <c r="AI139" s="685"/>
      <c r="AJ139" s="560" t="s">
        <v>585</v>
      </c>
      <c r="AK139" s="562" t="s">
        <v>585</v>
      </c>
      <c r="AL139" s="562" t="s">
        <v>585</v>
      </c>
      <c r="AM139" s="560" t="e">
        <f t="shared" si="36"/>
        <v>#VALUE!</v>
      </c>
      <c r="AN139" s="685"/>
      <c r="AO139" s="560" t="s">
        <v>585</v>
      </c>
      <c r="AP139" s="562" t="s">
        <v>585</v>
      </c>
      <c r="AQ139" s="562" t="s">
        <v>585</v>
      </c>
      <c r="AR139" s="560" t="e">
        <f t="shared" si="37"/>
        <v>#VALUE!</v>
      </c>
      <c r="AS139" s="685"/>
      <c r="AT139" s="560" t="s">
        <v>585</v>
      </c>
      <c r="AU139" s="562" t="s">
        <v>585</v>
      </c>
      <c r="AV139" s="562" t="s">
        <v>585</v>
      </c>
      <c r="AW139" s="560" t="e">
        <f t="shared" si="38"/>
        <v>#VALUE!</v>
      </c>
      <c r="AX139" s="685"/>
      <c r="AZ139" s="368" t="e">
        <f t="shared" si="39"/>
        <v>#N/A</v>
      </c>
      <c r="BA139" s="685"/>
    </row>
    <row r="140" spans="2:53">
      <c r="B140" s="660"/>
      <c r="C140" s="283">
        <v>29</v>
      </c>
      <c r="D140" s="201"/>
      <c r="E140" s="514"/>
      <c r="F140" s="201"/>
      <c r="G140" s="199"/>
      <c r="H140" s="699"/>
      <c r="I140" s="363" t="str">
        <f t="shared" si="29"/>
        <v>-</v>
      </c>
      <c r="J140" s="363" t="str">
        <f t="shared" si="30"/>
        <v>-</v>
      </c>
      <c r="K140" s="199" t="str">
        <f t="shared" si="31"/>
        <v>-</v>
      </c>
      <c r="L140" s="634"/>
      <c r="M140" s="200" t="e">
        <f>RANK(K140, K$112:$K$141)</f>
        <v>#VALUE!</v>
      </c>
      <c r="N140" s="652"/>
      <c r="O140" s="652"/>
      <c r="P140" s="560" t="s">
        <v>585</v>
      </c>
      <c r="Q140" s="562" t="s">
        <v>585</v>
      </c>
      <c r="R140" s="562" t="s">
        <v>585</v>
      </c>
      <c r="S140" s="560" t="e">
        <f t="shared" si="32"/>
        <v>#VALUE!</v>
      </c>
      <c r="T140" s="685"/>
      <c r="U140" s="560" t="s">
        <v>585</v>
      </c>
      <c r="V140" s="562" t="s">
        <v>585</v>
      </c>
      <c r="W140" s="562" t="s">
        <v>585</v>
      </c>
      <c r="X140" s="560" t="e">
        <f t="shared" si="33"/>
        <v>#VALUE!</v>
      </c>
      <c r="Y140" s="685"/>
      <c r="Z140" s="560" t="s">
        <v>585</v>
      </c>
      <c r="AA140" s="562" t="s">
        <v>585</v>
      </c>
      <c r="AB140" s="562" t="s">
        <v>585</v>
      </c>
      <c r="AC140" s="560" t="e">
        <f t="shared" si="34"/>
        <v>#VALUE!</v>
      </c>
      <c r="AD140" s="685"/>
      <c r="AE140" s="560" t="s">
        <v>585</v>
      </c>
      <c r="AF140" s="562" t="s">
        <v>585</v>
      </c>
      <c r="AG140" s="562" t="s">
        <v>585</v>
      </c>
      <c r="AH140" s="560" t="e">
        <f t="shared" si="35"/>
        <v>#VALUE!</v>
      </c>
      <c r="AI140" s="685"/>
      <c r="AJ140" s="560" t="s">
        <v>585</v>
      </c>
      <c r="AK140" s="562" t="s">
        <v>585</v>
      </c>
      <c r="AL140" s="562" t="s">
        <v>585</v>
      </c>
      <c r="AM140" s="560" t="e">
        <f t="shared" si="36"/>
        <v>#VALUE!</v>
      </c>
      <c r="AN140" s="685"/>
      <c r="AO140" s="560" t="s">
        <v>585</v>
      </c>
      <c r="AP140" s="562" t="s">
        <v>585</v>
      </c>
      <c r="AQ140" s="562" t="s">
        <v>585</v>
      </c>
      <c r="AR140" s="560" t="e">
        <f t="shared" si="37"/>
        <v>#VALUE!</v>
      </c>
      <c r="AS140" s="685"/>
      <c r="AT140" s="560" t="s">
        <v>585</v>
      </c>
      <c r="AU140" s="562" t="s">
        <v>585</v>
      </c>
      <c r="AV140" s="562" t="s">
        <v>585</v>
      </c>
      <c r="AW140" s="560" t="e">
        <f t="shared" si="38"/>
        <v>#VALUE!</v>
      </c>
      <c r="AX140" s="685"/>
      <c r="AZ140" s="368" t="e">
        <f t="shared" si="39"/>
        <v>#N/A</v>
      </c>
      <c r="BA140" s="685"/>
    </row>
    <row r="141" spans="2:53">
      <c r="B141" s="660"/>
      <c r="C141" s="283">
        <v>30</v>
      </c>
      <c r="D141" s="201"/>
      <c r="E141" s="514"/>
      <c r="F141" s="201"/>
      <c r="G141" s="199"/>
      <c r="H141" s="700"/>
      <c r="I141" s="363" t="str">
        <f t="shared" si="29"/>
        <v>-</v>
      </c>
      <c r="J141" s="363" t="str">
        <f t="shared" si="30"/>
        <v>-</v>
      </c>
      <c r="K141" s="199" t="str">
        <f t="shared" si="31"/>
        <v>-</v>
      </c>
      <c r="L141" s="635"/>
      <c r="M141" s="200" t="e">
        <f>RANK(K141, K$112:$K$141)</f>
        <v>#VALUE!</v>
      </c>
      <c r="N141" s="652"/>
      <c r="O141" s="652"/>
      <c r="P141" s="560" t="s">
        <v>585</v>
      </c>
      <c r="Q141" s="562" t="s">
        <v>585</v>
      </c>
      <c r="R141" s="562" t="s">
        <v>585</v>
      </c>
      <c r="S141" s="560" t="e">
        <f t="shared" si="32"/>
        <v>#VALUE!</v>
      </c>
      <c r="T141" s="685"/>
      <c r="U141" s="560" t="s">
        <v>585</v>
      </c>
      <c r="V141" s="562" t="s">
        <v>585</v>
      </c>
      <c r="W141" s="562" t="s">
        <v>585</v>
      </c>
      <c r="X141" s="560" t="e">
        <f t="shared" si="33"/>
        <v>#VALUE!</v>
      </c>
      <c r="Y141" s="685"/>
      <c r="Z141" s="560" t="s">
        <v>585</v>
      </c>
      <c r="AA141" s="562" t="s">
        <v>585</v>
      </c>
      <c r="AB141" s="562" t="s">
        <v>585</v>
      </c>
      <c r="AC141" s="560" t="e">
        <f t="shared" si="34"/>
        <v>#VALUE!</v>
      </c>
      <c r="AD141" s="685"/>
      <c r="AE141" s="560" t="s">
        <v>585</v>
      </c>
      <c r="AF141" s="562" t="s">
        <v>585</v>
      </c>
      <c r="AG141" s="562" t="s">
        <v>585</v>
      </c>
      <c r="AH141" s="560" t="e">
        <f t="shared" si="35"/>
        <v>#VALUE!</v>
      </c>
      <c r="AI141" s="685"/>
      <c r="AJ141" s="560" t="s">
        <v>585</v>
      </c>
      <c r="AK141" s="562" t="s">
        <v>585</v>
      </c>
      <c r="AL141" s="562" t="s">
        <v>585</v>
      </c>
      <c r="AM141" s="560" t="e">
        <f t="shared" si="36"/>
        <v>#VALUE!</v>
      </c>
      <c r="AN141" s="685"/>
      <c r="AO141" s="560" t="s">
        <v>585</v>
      </c>
      <c r="AP141" s="562" t="s">
        <v>585</v>
      </c>
      <c r="AQ141" s="562" t="s">
        <v>585</v>
      </c>
      <c r="AR141" s="560" t="e">
        <f t="shared" si="37"/>
        <v>#VALUE!</v>
      </c>
      <c r="AS141" s="685"/>
      <c r="AT141" s="560" t="s">
        <v>585</v>
      </c>
      <c r="AU141" s="562" t="s">
        <v>585</v>
      </c>
      <c r="AV141" s="562" t="s">
        <v>585</v>
      </c>
      <c r="AW141" s="560" t="e">
        <f t="shared" si="38"/>
        <v>#VALUE!</v>
      </c>
      <c r="AX141" s="685"/>
      <c r="AZ141" s="368" t="e">
        <f t="shared" si="39"/>
        <v>#N/A</v>
      </c>
      <c r="BA141" s="685"/>
    </row>
    <row r="142" spans="2:53" ht="15.75">
      <c r="B142" s="664" t="s">
        <v>162</v>
      </c>
      <c r="C142" s="665"/>
      <c r="D142" s="665"/>
      <c r="E142" s="665"/>
      <c r="F142" s="665"/>
      <c r="G142" s="665"/>
      <c r="H142" s="666"/>
      <c r="I142" s="207"/>
      <c r="J142" s="207"/>
      <c r="K142" s="207"/>
      <c r="L142" s="207"/>
      <c r="M142" s="206"/>
      <c r="N142" s="653" t="s">
        <v>156</v>
      </c>
      <c r="O142" s="653" t="s">
        <v>105</v>
      </c>
      <c r="P142" s="656">
        <f>P107+7</f>
        <v>46259</v>
      </c>
      <c r="Q142" s="657"/>
      <c r="R142" s="657"/>
      <c r="S142" s="657"/>
      <c r="T142" s="658"/>
      <c r="U142" s="656">
        <f>P142+1</f>
        <v>46260</v>
      </c>
      <c r="V142" s="657"/>
      <c r="W142" s="657"/>
      <c r="X142" s="657"/>
      <c r="Y142" s="658"/>
      <c r="Z142" s="656">
        <f>U142+1</f>
        <v>46261</v>
      </c>
      <c r="AA142" s="657"/>
      <c r="AB142" s="657"/>
      <c r="AC142" s="657"/>
      <c r="AD142" s="658"/>
      <c r="AE142" s="656">
        <f>Z142+1</f>
        <v>46262</v>
      </c>
      <c r="AF142" s="657"/>
      <c r="AG142" s="657"/>
      <c r="AH142" s="657"/>
      <c r="AI142" s="658"/>
      <c r="AJ142" s="656">
        <f>AE142+1</f>
        <v>46263</v>
      </c>
      <c r="AK142" s="657"/>
      <c r="AL142" s="657"/>
      <c r="AM142" s="657"/>
      <c r="AN142" s="658"/>
      <c r="AO142" s="656">
        <f>AJ142+1</f>
        <v>46264</v>
      </c>
      <c r="AP142" s="657"/>
      <c r="AQ142" s="657"/>
      <c r="AR142" s="657"/>
      <c r="AS142" s="658"/>
      <c r="AT142" s="656">
        <f>AO142+1</f>
        <v>46265</v>
      </c>
      <c r="AU142" s="657"/>
      <c r="AV142" s="657"/>
      <c r="AW142" s="657"/>
      <c r="AX142" s="658"/>
    </row>
    <row r="143" spans="2:53" ht="15.75">
      <c r="B143" s="667"/>
      <c r="C143" s="667"/>
      <c r="D143" s="667"/>
      <c r="E143" s="667"/>
      <c r="F143" s="667"/>
      <c r="G143" s="667"/>
      <c r="H143" s="667"/>
      <c r="I143" s="204"/>
      <c r="J143" s="204"/>
      <c r="K143" s="204"/>
      <c r="L143" s="204"/>
      <c r="M143" s="205"/>
      <c r="N143" s="655"/>
      <c r="O143" s="655"/>
      <c r="P143" s="656" t="s">
        <v>317</v>
      </c>
      <c r="Q143" s="657"/>
      <c r="R143" s="657"/>
      <c r="S143" s="657"/>
      <c r="T143" s="658"/>
      <c r="U143" s="656" t="s">
        <v>318</v>
      </c>
      <c r="V143" s="657"/>
      <c r="W143" s="657"/>
      <c r="X143" s="657"/>
      <c r="Y143" s="658"/>
      <c r="Z143" s="656" t="s">
        <v>319</v>
      </c>
      <c r="AA143" s="657"/>
      <c r="AB143" s="657"/>
      <c r="AC143" s="657"/>
      <c r="AD143" s="658"/>
      <c r="AE143" s="656" t="s">
        <v>320</v>
      </c>
      <c r="AF143" s="657"/>
      <c r="AG143" s="657"/>
      <c r="AH143" s="657"/>
      <c r="AI143" s="658"/>
      <c r="AJ143" s="656" t="s">
        <v>321</v>
      </c>
      <c r="AK143" s="657"/>
      <c r="AL143" s="657"/>
      <c r="AM143" s="657"/>
      <c r="AN143" s="658"/>
      <c r="AO143" s="656" t="s">
        <v>322</v>
      </c>
      <c r="AP143" s="657"/>
      <c r="AQ143" s="657"/>
      <c r="AR143" s="657"/>
      <c r="AS143" s="658"/>
      <c r="AT143" s="656" t="s">
        <v>323</v>
      </c>
      <c r="AU143" s="657"/>
      <c r="AV143" s="657"/>
      <c r="AW143" s="657"/>
      <c r="AX143" s="658"/>
    </row>
    <row r="144" spans="2:53">
      <c r="B144" s="652" t="s">
        <v>407</v>
      </c>
      <c r="C144" s="652" t="s">
        <v>408</v>
      </c>
      <c r="D144" s="652"/>
      <c r="E144" s="652" t="s">
        <v>409</v>
      </c>
      <c r="F144" s="652"/>
      <c r="G144" s="652"/>
      <c r="H144" s="668" t="s">
        <v>410</v>
      </c>
      <c r="I144" s="636" t="s">
        <v>411</v>
      </c>
      <c r="J144" s="636"/>
      <c r="K144" s="636"/>
      <c r="L144" s="637" t="s">
        <v>410</v>
      </c>
      <c r="M144" s="643" t="s">
        <v>412</v>
      </c>
      <c r="N144" s="652"/>
      <c r="O144" s="652" t="s">
        <v>413</v>
      </c>
      <c r="P144" s="649" t="s">
        <v>414</v>
      </c>
      <c r="Q144" s="650"/>
      <c r="R144" s="650"/>
      <c r="S144" s="651"/>
      <c r="T144" s="652" t="s">
        <v>410</v>
      </c>
      <c r="U144" s="649" t="s">
        <v>414</v>
      </c>
      <c r="V144" s="650"/>
      <c r="W144" s="650"/>
      <c r="X144" s="651"/>
      <c r="Y144" s="652" t="s">
        <v>410</v>
      </c>
      <c r="Z144" s="649" t="s">
        <v>414</v>
      </c>
      <c r="AA144" s="650"/>
      <c r="AB144" s="650"/>
      <c r="AC144" s="651"/>
      <c r="AD144" s="652" t="s">
        <v>410</v>
      </c>
      <c r="AE144" s="649" t="s">
        <v>414</v>
      </c>
      <c r="AF144" s="650"/>
      <c r="AG144" s="650"/>
      <c r="AH144" s="651"/>
      <c r="AI144" s="652" t="s">
        <v>410</v>
      </c>
      <c r="AJ144" s="649" t="s">
        <v>414</v>
      </c>
      <c r="AK144" s="650"/>
      <c r="AL144" s="650"/>
      <c r="AM144" s="651"/>
      <c r="AN144" s="652" t="s">
        <v>410</v>
      </c>
      <c r="AO144" s="649" t="s">
        <v>414</v>
      </c>
      <c r="AP144" s="650"/>
      <c r="AQ144" s="650"/>
      <c r="AR144" s="651"/>
      <c r="AS144" s="652" t="s">
        <v>410</v>
      </c>
      <c r="AT144" s="649" t="s">
        <v>414</v>
      </c>
      <c r="AU144" s="650"/>
      <c r="AV144" s="650"/>
      <c r="AW144" s="651"/>
      <c r="AX144" s="652" t="s">
        <v>410</v>
      </c>
      <c r="BA144" s="652" t="s">
        <v>366</v>
      </c>
    </row>
    <row r="145" spans="2:53">
      <c r="B145" s="652"/>
      <c r="C145" s="652"/>
      <c r="D145" s="652"/>
      <c r="E145" s="652" t="s">
        <v>415</v>
      </c>
      <c r="F145" s="652"/>
      <c r="G145" s="652"/>
      <c r="H145" s="669"/>
      <c r="I145" s="636" t="s">
        <v>415</v>
      </c>
      <c r="J145" s="636"/>
      <c r="K145" s="636"/>
      <c r="L145" s="638"/>
      <c r="M145" s="644"/>
      <c r="N145" s="652"/>
      <c r="O145" s="652"/>
      <c r="P145" s="649" t="s">
        <v>416</v>
      </c>
      <c r="Q145" s="650"/>
      <c r="R145" s="650"/>
      <c r="S145" s="651"/>
      <c r="T145" s="652"/>
      <c r="U145" s="649" t="s">
        <v>416</v>
      </c>
      <c r="V145" s="650"/>
      <c r="W145" s="650"/>
      <c r="X145" s="651"/>
      <c r="Y145" s="652"/>
      <c r="Z145" s="649" t="s">
        <v>416</v>
      </c>
      <c r="AA145" s="650"/>
      <c r="AB145" s="650"/>
      <c r="AC145" s="651"/>
      <c r="AD145" s="652"/>
      <c r="AE145" s="649" t="s">
        <v>416</v>
      </c>
      <c r="AF145" s="650"/>
      <c r="AG145" s="650"/>
      <c r="AH145" s="651"/>
      <c r="AI145" s="652"/>
      <c r="AJ145" s="649" t="s">
        <v>416</v>
      </c>
      <c r="AK145" s="650"/>
      <c r="AL145" s="650"/>
      <c r="AM145" s="651"/>
      <c r="AN145" s="652"/>
      <c r="AO145" s="649" t="s">
        <v>416</v>
      </c>
      <c r="AP145" s="650"/>
      <c r="AQ145" s="650"/>
      <c r="AR145" s="651"/>
      <c r="AS145" s="652"/>
      <c r="AT145" s="649" t="s">
        <v>416</v>
      </c>
      <c r="AU145" s="650"/>
      <c r="AV145" s="650"/>
      <c r="AW145" s="651"/>
      <c r="AX145" s="652"/>
      <c r="BA145" s="652"/>
    </row>
    <row r="146" spans="2:53">
      <c r="B146" s="652"/>
      <c r="C146" s="652"/>
      <c r="D146" s="652"/>
      <c r="E146" s="279" t="s">
        <v>417</v>
      </c>
      <c r="F146" s="279" t="s">
        <v>418</v>
      </c>
      <c r="G146" s="279" t="s">
        <v>419</v>
      </c>
      <c r="H146" s="670"/>
      <c r="I146" s="280" t="s">
        <v>417</v>
      </c>
      <c r="J146" s="280" t="s">
        <v>418</v>
      </c>
      <c r="K146" s="280" t="s">
        <v>419</v>
      </c>
      <c r="L146" s="639"/>
      <c r="M146" s="645"/>
      <c r="N146" s="652"/>
      <c r="O146" s="652"/>
      <c r="P146" s="279" t="s">
        <v>417</v>
      </c>
      <c r="Q146" s="279" t="s">
        <v>418</v>
      </c>
      <c r="R146" s="279" t="s">
        <v>419</v>
      </c>
      <c r="S146" s="279" t="s">
        <v>412</v>
      </c>
      <c r="T146" s="652"/>
      <c r="U146" s="279" t="s">
        <v>417</v>
      </c>
      <c r="V146" s="279" t="s">
        <v>418</v>
      </c>
      <c r="W146" s="279" t="s">
        <v>419</v>
      </c>
      <c r="X146" s="279" t="s">
        <v>412</v>
      </c>
      <c r="Y146" s="652"/>
      <c r="Z146" s="279" t="s">
        <v>417</v>
      </c>
      <c r="AA146" s="279" t="s">
        <v>418</v>
      </c>
      <c r="AB146" s="279" t="s">
        <v>419</v>
      </c>
      <c r="AC146" s="279" t="s">
        <v>412</v>
      </c>
      <c r="AD146" s="652"/>
      <c r="AE146" s="279" t="s">
        <v>417</v>
      </c>
      <c r="AF146" s="279" t="s">
        <v>418</v>
      </c>
      <c r="AG146" s="279" t="s">
        <v>419</v>
      </c>
      <c r="AH146" s="279" t="s">
        <v>412</v>
      </c>
      <c r="AI146" s="652"/>
      <c r="AJ146" s="279" t="s">
        <v>417</v>
      </c>
      <c r="AK146" s="279" t="s">
        <v>418</v>
      </c>
      <c r="AL146" s="279" t="s">
        <v>419</v>
      </c>
      <c r="AM146" s="279" t="s">
        <v>412</v>
      </c>
      <c r="AN146" s="652"/>
      <c r="AO146" s="279" t="s">
        <v>417</v>
      </c>
      <c r="AP146" s="279" t="s">
        <v>418</v>
      </c>
      <c r="AQ146" s="279" t="s">
        <v>419</v>
      </c>
      <c r="AR146" s="279" t="s">
        <v>412</v>
      </c>
      <c r="AS146" s="652"/>
      <c r="AT146" s="279" t="s">
        <v>417</v>
      </c>
      <c r="AU146" s="279" t="s">
        <v>418</v>
      </c>
      <c r="AV146" s="279" t="s">
        <v>419</v>
      </c>
      <c r="AW146" s="279" t="s">
        <v>412</v>
      </c>
      <c r="AX146" s="652"/>
      <c r="AZ146" s="367" t="s">
        <v>367</v>
      </c>
      <c r="BA146" s="652"/>
    </row>
    <row r="147" spans="2:53">
      <c r="B147" s="652" t="s">
        <v>420</v>
      </c>
      <c r="C147" s="278">
        <v>1</v>
      </c>
      <c r="D147" s="201" t="s">
        <v>342</v>
      </c>
      <c r="E147" s="514">
        <v>6</v>
      </c>
      <c r="F147" s="201">
        <v>1500</v>
      </c>
      <c r="G147" s="199">
        <v>250</v>
      </c>
      <c r="H147" s="698">
        <f>AVERAGE(G147:G176)</f>
        <v>99.985568112478873</v>
      </c>
      <c r="I147" s="363">
        <f>IFERROR(AVERAGE(P147,U147,Z147,AE147,AJ147,AO147,AT147),"-")</f>
        <v>6</v>
      </c>
      <c r="J147" s="363">
        <f>IFERROR(AVERAGE(Q147,V147,AA147,AF147,AK147,AP147,AU147),"-")</f>
        <v>1454.1767263617639</v>
      </c>
      <c r="K147" s="199">
        <f>IFERROR(AVERAGE(R147,W147,AB147,AG147,AL147,AQ147,AV147),"-")</f>
        <v>242.36278772696068</v>
      </c>
      <c r="L147" s="633">
        <f>IFERROR(AVERAGE(K147:K176),"-")</f>
        <v>88.794934189831906</v>
      </c>
      <c r="M147" s="200">
        <f>RANK(K147, K$147:$K$176)</f>
        <v>2</v>
      </c>
      <c r="N147" s="652"/>
      <c r="O147" s="652"/>
      <c r="P147" s="571">
        <v>6</v>
      </c>
      <c r="Q147" s="573">
        <v>1438.0462311557785</v>
      </c>
      <c r="R147" s="573">
        <v>239.67437185929643</v>
      </c>
      <c r="S147" s="571">
        <f>RANK(R147, R$147:R$176)</f>
        <v>2</v>
      </c>
      <c r="T147" s="685">
        <f>AVERAGE(R147:R176)</f>
        <v>88.807899439286999</v>
      </c>
      <c r="U147" s="571">
        <v>6</v>
      </c>
      <c r="V147" s="573">
        <v>1451.6000000000001</v>
      </c>
      <c r="W147" s="573">
        <v>241.93333333333337</v>
      </c>
      <c r="X147" s="571">
        <f>RANK(W147, W$147:W$176)</f>
        <v>2</v>
      </c>
      <c r="Y147" s="685">
        <f>AVERAGE(W147:W176)</f>
        <v>88.338889826994674</v>
      </c>
      <c r="Z147" s="571">
        <v>6</v>
      </c>
      <c r="AA147" s="573">
        <v>1438.0682926829263</v>
      </c>
      <c r="AB147" s="573">
        <v>239.67804878048773</v>
      </c>
      <c r="AC147" s="571">
        <f>RANK(AB147, AB$147:AB$176)</f>
        <v>2</v>
      </c>
      <c r="AD147" s="685">
        <f>AVERAGE(AB147:AB176)</f>
        <v>88.636601738991843</v>
      </c>
      <c r="AE147" s="571">
        <v>6</v>
      </c>
      <c r="AF147" s="573">
        <v>1458.3360000000002</v>
      </c>
      <c r="AG147" s="573">
        <v>243.05600000000004</v>
      </c>
      <c r="AH147" s="571">
        <f>RANK(AG147, AG$147:AG$176)</f>
        <v>2</v>
      </c>
      <c r="AI147" s="685">
        <f>AVERAGE(AG147:AG176)</f>
        <v>88.415338291307592</v>
      </c>
      <c r="AJ147" s="571">
        <v>6</v>
      </c>
      <c r="AK147" s="573">
        <v>1465.8000000000004</v>
      </c>
      <c r="AL147" s="573">
        <v>244.30000000000007</v>
      </c>
      <c r="AM147" s="571">
        <f>RANK(AL147, AL$147:AL$176)</f>
        <v>1</v>
      </c>
      <c r="AN147" s="685">
        <f>AVERAGE(AL147:AL176)</f>
        <v>88.760759100900302</v>
      </c>
      <c r="AO147" s="571">
        <v>6</v>
      </c>
      <c r="AP147" s="573">
        <v>1461.3749999999995</v>
      </c>
      <c r="AQ147" s="573">
        <v>243.56249999999991</v>
      </c>
      <c r="AR147" s="571">
        <f>RANK(AQ147, AQ$147:AQ$176)</f>
        <v>2</v>
      </c>
      <c r="AS147" s="685">
        <f>AVERAGE(AQ147:AQ176)</f>
        <v>88.954525498664552</v>
      </c>
      <c r="AT147" s="571">
        <v>6</v>
      </c>
      <c r="AU147" s="573">
        <v>1466.011560693642</v>
      </c>
      <c r="AV147" s="573">
        <v>244.33526011560699</v>
      </c>
      <c r="AW147" s="571">
        <f>RANK(AV147, AV$147:AV$176)</f>
        <v>1</v>
      </c>
      <c r="AX147" s="685">
        <f>AVERAGE(AV147:AV176)</f>
        <v>89.650525432677213</v>
      </c>
      <c r="AZ147" s="368" t="e">
        <f>RANK(AY147, AY$147:AY$176)</f>
        <v>#N/A</v>
      </c>
      <c r="BA147" s="685" t="e">
        <f>AVERAGE(AY147:AY176)</f>
        <v>#DIV/0!</v>
      </c>
    </row>
    <row r="148" spans="2:53">
      <c r="B148" s="660"/>
      <c r="C148" s="278">
        <v>2</v>
      </c>
      <c r="D148" s="201" t="s">
        <v>586</v>
      </c>
      <c r="E148" s="514">
        <v>6</v>
      </c>
      <c r="F148" s="201">
        <v>1636</v>
      </c>
      <c r="G148" s="199">
        <v>272.66666666666669</v>
      </c>
      <c r="H148" s="699"/>
      <c r="I148" s="363">
        <f t="shared" ref="I148:I176" si="40">IFERROR(AVERAGE(P148,U148,Z148,AE148,AJ148,AO148,AT148),"-")</f>
        <v>6</v>
      </c>
      <c r="J148" s="363">
        <f t="shared" ref="J148:J176" si="41">IFERROR(AVERAGE(Q148,V148,AA148,AF148,AK148,AP148,AU148),"-")</f>
        <v>1458.5388160071493</v>
      </c>
      <c r="K148" s="199">
        <f t="shared" ref="K148:K176" si="42">IFERROR(AVERAGE(R148,W148,AB148,AG148,AL148,AQ148,AV148),"-")</f>
        <v>243.08980266785821</v>
      </c>
      <c r="L148" s="634"/>
      <c r="M148" s="200">
        <f>RANK(K148, K$147:$K$176)</f>
        <v>1</v>
      </c>
      <c r="N148" s="652"/>
      <c r="O148" s="652"/>
      <c r="P148" s="571">
        <v>6</v>
      </c>
      <c r="Q148" s="573">
        <v>1465.5882352941185</v>
      </c>
      <c r="R148" s="573">
        <v>244.26470588235307</v>
      </c>
      <c r="S148" s="571">
        <f t="shared" ref="S148:S176" si="43">RANK(R148, R$147:R$176)</f>
        <v>1</v>
      </c>
      <c r="T148" s="685"/>
      <c r="U148" s="571">
        <v>6</v>
      </c>
      <c r="V148" s="573">
        <v>1452.5000000000005</v>
      </c>
      <c r="W148" s="573">
        <v>242.0833333333334</v>
      </c>
      <c r="X148" s="571">
        <f t="shared" ref="X148:X176" si="44">RANK(W148, W$147:W$176)</f>
        <v>1</v>
      </c>
      <c r="Y148" s="685"/>
      <c r="Z148" s="571">
        <v>6</v>
      </c>
      <c r="AA148" s="573">
        <v>1466.5573770491808</v>
      </c>
      <c r="AB148" s="573">
        <v>244.4262295081968</v>
      </c>
      <c r="AC148" s="571">
        <f t="shared" ref="AC148:AC176" si="45">RANK(AB148, AB$147:AB$176)</f>
        <v>1</v>
      </c>
      <c r="AD148" s="685"/>
      <c r="AE148" s="571">
        <v>6</v>
      </c>
      <c r="AF148" s="573">
        <v>1458.5454545454543</v>
      </c>
      <c r="AG148" s="573">
        <v>243.09090909090904</v>
      </c>
      <c r="AH148" s="571">
        <f t="shared" ref="AH148:AH176" si="46">RANK(AG148, AG$147:AG$176)</f>
        <v>1</v>
      </c>
      <c r="AI148" s="685"/>
      <c r="AJ148" s="571">
        <v>6</v>
      </c>
      <c r="AK148" s="573">
        <v>1452</v>
      </c>
      <c r="AL148" s="573">
        <v>242</v>
      </c>
      <c r="AM148" s="571">
        <f t="shared" ref="AM148:AM176" si="47">RANK(AL148, AL$147:AL$176)</f>
        <v>2</v>
      </c>
      <c r="AN148" s="685"/>
      <c r="AO148" s="571">
        <v>6</v>
      </c>
      <c r="AP148" s="573">
        <v>1461.9999999999993</v>
      </c>
      <c r="AQ148" s="573">
        <v>243.66666666666654</v>
      </c>
      <c r="AR148" s="571">
        <f t="shared" ref="AR148:AR176" si="48">RANK(AQ148, AQ$147:AQ$176)</f>
        <v>1</v>
      </c>
      <c r="AS148" s="685"/>
      <c r="AT148" s="571">
        <v>6</v>
      </c>
      <c r="AU148" s="573">
        <v>1452.5806451612907</v>
      </c>
      <c r="AV148" s="573">
        <v>242.09677419354844</v>
      </c>
      <c r="AW148" s="571">
        <f t="shared" ref="AW148:AW176" si="49">RANK(AV148, AV$147:AV$176)</f>
        <v>2</v>
      </c>
      <c r="AX148" s="685"/>
      <c r="AZ148" s="368" t="e">
        <f t="shared" ref="AZ148:AZ176" si="50">RANK(AY148, AY$147:AY$176)</f>
        <v>#N/A</v>
      </c>
      <c r="BA148" s="685"/>
    </row>
    <row r="149" spans="2:53">
      <c r="B149" s="660"/>
      <c r="C149" s="278">
        <v>3</v>
      </c>
      <c r="D149" s="201" t="s">
        <v>578</v>
      </c>
      <c r="E149" s="514">
        <v>16</v>
      </c>
      <c r="F149" s="201">
        <v>1500</v>
      </c>
      <c r="G149" s="199">
        <v>93.75</v>
      </c>
      <c r="H149" s="699"/>
      <c r="I149" s="363">
        <f t="shared" si="40"/>
        <v>17</v>
      </c>
      <c r="J149" s="363">
        <f t="shared" si="41"/>
        <v>1262.2068864968019</v>
      </c>
      <c r="K149" s="199">
        <f t="shared" si="42"/>
        <v>74.247463911576588</v>
      </c>
      <c r="L149" s="634"/>
      <c r="M149" s="200">
        <f>RANK(K149, K$147:$K$176)</f>
        <v>14</v>
      </c>
      <c r="N149" s="652"/>
      <c r="O149" s="652"/>
      <c r="P149" s="571">
        <v>17</v>
      </c>
      <c r="Q149" s="573">
        <v>1243.8461538461531</v>
      </c>
      <c r="R149" s="573">
        <v>73.167420814479598</v>
      </c>
      <c r="S149" s="571">
        <f t="shared" si="43"/>
        <v>14</v>
      </c>
      <c r="T149" s="685"/>
      <c r="U149" s="571">
        <v>17</v>
      </c>
      <c r="V149" s="573">
        <v>1270.2162162162153</v>
      </c>
      <c r="W149" s="573">
        <v>74.71860095389502</v>
      </c>
      <c r="X149" s="571">
        <f t="shared" si="44"/>
        <v>13</v>
      </c>
      <c r="Y149" s="685"/>
      <c r="Z149" s="571">
        <v>17</v>
      </c>
      <c r="AA149" s="573">
        <v>1276.9411764705867</v>
      </c>
      <c r="AB149" s="573">
        <v>75.114186851210988</v>
      </c>
      <c r="AC149" s="571">
        <f t="shared" si="45"/>
        <v>13</v>
      </c>
      <c r="AD149" s="685"/>
      <c r="AE149" s="571">
        <v>17</v>
      </c>
      <c r="AF149" s="573">
        <v>1250.6666666666672</v>
      </c>
      <c r="AG149" s="573">
        <v>73.568627450980429</v>
      </c>
      <c r="AH149" s="571">
        <f t="shared" si="46"/>
        <v>13</v>
      </c>
      <c r="AI149" s="685"/>
      <c r="AJ149" s="571">
        <v>17</v>
      </c>
      <c r="AK149" s="573">
        <v>1276.0714285714296</v>
      </c>
      <c r="AL149" s="573">
        <v>75.063025210084092</v>
      </c>
      <c r="AM149" s="571">
        <f t="shared" si="47"/>
        <v>13</v>
      </c>
      <c r="AN149" s="685"/>
      <c r="AO149" s="571">
        <v>17</v>
      </c>
      <c r="AP149" s="573">
        <v>1273.1351351351341</v>
      </c>
      <c r="AQ149" s="573">
        <v>74.890302066772591</v>
      </c>
      <c r="AR149" s="571">
        <f t="shared" si="48"/>
        <v>14</v>
      </c>
      <c r="AS149" s="685"/>
      <c r="AT149" s="571">
        <v>17</v>
      </c>
      <c r="AU149" s="573">
        <v>1244.571428571428</v>
      </c>
      <c r="AV149" s="573">
        <v>73.210084033613413</v>
      </c>
      <c r="AW149" s="571">
        <f t="shared" si="49"/>
        <v>15</v>
      </c>
      <c r="AX149" s="685"/>
      <c r="AZ149" s="368" t="e">
        <f t="shared" si="50"/>
        <v>#N/A</v>
      </c>
      <c r="BA149" s="685"/>
    </row>
    <row r="150" spans="2:53">
      <c r="B150" s="660"/>
      <c r="C150" s="278">
        <v>4</v>
      </c>
      <c r="D150" s="201" t="s">
        <v>549</v>
      </c>
      <c r="E150" s="514">
        <v>18</v>
      </c>
      <c r="F150" s="201">
        <v>1500</v>
      </c>
      <c r="G150" s="199">
        <v>83.333333333333329</v>
      </c>
      <c r="H150" s="699"/>
      <c r="I150" s="363">
        <f t="shared" si="40"/>
        <v>18</v>
      </c>
      <c r="J150" s="363">
        <f t="shared" si="41"/>
        <v>1196.9187237729097</v>
      </c>
      <c r="K150" s="199">
        <f t="shared" si="42"/>
        <v>66.495484654050557</v>
      </c>
      <c r="L150" s="634"/>
      <c r="M150" s="200">
        <f>RANK(K150, K$147:$K$176)</f>
        <v>21</v>
      </c>
      <c r="N150" s="652"/>
      <c r="O150" s="652"/>
      <c r="P150" s="571">
        <v>18</v>
      </c>
      <c r="Q150" s="573">
        <v>1194.9882352941177</v>
      </c>
      <c r="R150" s="573">
        <v>66.388235294117649</v>
      </c>
      <c r="S150" s="571">
        <f t="shared" si="43"/>
        <v>21</v>
      </c>
      <c r="T150" s="685"/>
      <c r="U150" s="571">
        <v>18</v>
      </c>
      <c r="V150" s="573">
        <v>1193.6571428571426</v>
      </c>
      <c r="W150" s="573">
        <v>66.314285714285703</v>
      </c>
      <c r="X150" s="571">
        <f t="shared" si="44"/>
        <v>21</v>
      </c>
      <c r="Y150" s="685"/>
      <c r="Z150" s="571">
        <v>18</v>
      </c>
      <c r="AA150" s="573">
        <v>1196.3368421052623</v>
      </c>
      <c r="AB150" s="573">
        <v>66.463157894736796</v>
      </c>
      <c r="AC150" s="571">
        <f t="shared" si="45"/>
        <v>20</v>
      </c>
      <c r="AD150" s="685"/>
      <c r="AE150" s="571">
        <v>18</v>
      </c>
      <c r="AF150" s="573">
        <v>1193.7750000000005</v>
      </c>
      <c r="AG150" s="573">
        <v>66.320833333333368</v>
      </c>
      <c r="AH150" s="571">
        <f t="shared" si="46"/>
        <v>21</v>
      </c>
      <c r="AI150" s="685"/>
      <c r="AJ150" s="571">
        <v>18</v>
      </c>
      <c r="AK150" s="573">
        <v>1197.9000000000003</v>
      </c>
      <c r="AL150" s="573">
        <v>66.550000000000011</v>
      </c>
      <c r="AM150" s="571">
        <f t="shared" si="47"/>
        <v>20</v>
      </c>
      <c r="AN150" s="685"/>
      <c r="AO150" s="571">
        <v>18</v>
      </c>
      <c r="AP150" s="573">
        <v>1192.873846153846</v>
      </c>
      <c r="AQ150" s="573">
        <v>66.270769230769218</v>
      </c>
      <c r="AR150" s="571">
        <f t="shared" si="48"/>
        <v>21</v>
      </c>
      <c r="AS150" s="685"/>
      <c r="AT150" s="571">
        <v>18</v>
      </c>
      <c r="AU150" s="573">
        <v>1208.9000000000003</v>
      </c>
      <c r="AV150" s="573">
        <v>67.161111111111126</v>
      </c>
      <c r="AW150" s="571">
        <f t="shared" si="49"/>
        <v>21</v>
      </c>
      <c r="AX150" s="685"/>
      <c r="AZ150" s="368" t="e">
        <f t="shared" si="50"/>
        <v>#N/A</v>
      </c>
      <c r="BA150" s="685"/>
    </row>
    <row r="151" spans="2:53">
      <c r="B151" s="660"/>
      <c r="C151" s="278">
        <v>5</v>
      </c>
      <c r="D151" s="201" t="s">
        <v>344</v>
      </c>
      <c r="E151" s="514">
        <v>16</v>
      </c>
      <c r="F151" s="201">
        <v>1565</v>
      </c>
      <c r="G151" s="199">
        <v>97.8125</v>
      </c>
      <c r="H151" s="699"/>
      <c r="I151" s="363">
        <f t="shared" si="40"/>
        <v>16</v>
      </c>
      <c r="J151" s="363">
        <f t="shared" si="41"/>
        <v>1319.7844240930485</v>
      </c>
      <c r="K151" s="199">
        <f t="shared" si="42"/>
        <v>82.486526505815533</v>
      </c>
      <c r="L151" s="634"/>
      <c r="M151" s="200">
        <f>RANK(K151, K$147:$K$176)</f>
        <v>8</v>
      </c>
      <c r="N151" s="652"/>
      <c r="O151" s="652"/>
      <c r="P151" s="571">
        <v>16</v>
      </c>
      <c r="Q151" s="573">
        <v>1331.1627906976742</v>
      </c>
      <c r="R151" s="573">
        <v>83.197674418604635</v>
      </c>
      <c r="S151" s="571">
        <f t="shared" si="43"/>
        <v>7</v>
      </c>
      <c r="T151" s="685"/>
      <c r="U151" s="571">
        <v>16</v>
      </c>
      <c r="V151" s="573">
        <v>1286.3571428571472</v>
      </c>
      <c r="W151" s="573">
        <v>80.397321428571701</v>
      </c>
      <c r="X151" s="571">
        <f t="shared" si="44"/>
        <v>9</v>
      </c>
      <c r="Y151" s="685"/>
      <c r="Z151" s="571">
        <v>16</v>
      </c>
      <c r="AA151" s="573">
        <v>1327.5862068965516</v>
      </c>
      <c r="AB151" s="573">
        <v>82.974137931034477</v>
      </c>
      <c r="AC151" s="571">
        <f t="shared" si="45"/>
        <v>7</v>
      </c>
      <c r="AD151" s="685"/>
      <c r="AE151" s="571">
        <v>16</v>
      </c>
      <c r="AF151" s="573">
        <v>1316.6197183098577</v>
      </c>
      <c r="AG151" s="573">
        <v>82.288732394366107</v>
      </c>
      <c r="AH151" s="571">
        <f t="shared" si="46"/>
        <v>8</v>
      </c>
      <c r="AI151" s="685"/>
      <c r="AJ151" s="571">
        <v>16</v>
      </c>
      <c r="AK151" s="573">
        <v>1319.9999999999993</v>
      </c>
      <c r="AL151" s="573">
        <v>82.499999999999957</v>
      </c>
      <c r="AM151" s="571">
        <f t="shared" si="47"/>
        <v>8</v>
      </c>
      <c r="AN151" s="685"/>
      <c r="AO151" s="571">
        <v>16</v>
      </c>
      <c r="AP151" s="573">
        <v>1326.8750000000005</v>
      </c>
      <c r="AQ151" s="573">
        <v>82.929687500000028</v>
      </c>
      <c r="AR151" s="571">
        <f t="shared" si="48"/>
        <v>7</v>
      </c>
      <c r="AS151" s="685"/>
      <c r="AT151" s="571">
        <v>16</v>
      </c>
      <c r="AU151" s="573">
        <v>1329.8901098901099</v>
      </c>
      <c r="AV151" s="573">
        <v>83.118131868131869</v>
      </c>
      <c r="AW151" s="571">
        <f t="shared" si="49"/>
        <v>7</v>
      </c>
      <c r="AX151" s="685"/>
      <c r="AZ151" s="368" t="e">
        <f t="shared" si="50"/>
        <v>#N/A</v>
      </c>
      <c r="BA151" s="685"/>
    </row>
    <row r="152" spans="2:53">
      <c r="B152" s="660"/>
      <c r="C152" s="278">
        <v>6</v>
      </c>
      <c r="D152" s="201" t="s">
        <v>626</v>
      </c>
      <c r="E152" s="514">
        <v>20</v>
      </c>
      <c r="F152" s="201">
        <v>1440</v>
      </c>
      <c r="G152" s="199">
        <v>72</v>
      </c>
      <c r="H152" s="699"/>
      <c r="I152" s="363">
        <f t="shared" si="40"/>
        <v>20</v>
      </c>
      <c r="J152" s="363">
        <f t="shared" si="41"/>
        <v>1179.8472105878893</v>
      </c>
      <c r="K152" s="199">
        <f t="shared" si="42"/>
        <v>58.992360529394468</v>
      </c>
      <c r="L152" s="634"/>
      <c r="M152" s="200">
        <f>RANK(K152, K$147:$K$176)</f>
        <v>23</v>
      </c>
      <c r="N152" s="652"/>
      <c r="O152" s="652"/>
      <c r="P152" s="571">
        <v>20</v>
      </c>
      <c r="Q152" s="573">
        <v>1173.3333333333344</v>
      </c>
      <c r="R152" s="573">
        <v>58.666666666666721</v>
      </c>
      <c r="S152" s="571">
        <f t="shared" si="43"/>
        <v>22</v>
      </c>
      <c r="T152" s="685"/>
      <c r="U152" s="571">
        <v>20</v>
      </c>
      <c r="V152" s="573">
        <v>1183.809523809525</v>
      </c>
      <c r="W152" s="573">
        <v>59.190476190476247</v>
      </c>
      <c r="X152" s="571">
        <f t="shared" si="44"/>
        <v>22</v>
      </c>
      <c r="Y152" s="685"/>
      <c r="Z152" s="571">
        <v>20</v>
      </c>
      <c r="AA152" s="573">
        <v>1177.5000000000014</v>
      </c>
      <c r="AB152" s="573">
        <v>58.875000000000071</v>
      </c>
      <c r="AC152" s="571">
        <f t="shared" si="45"/>
        <v>23</v>
      </c>
      <c r="AD152" s="685"/>
      <c r="AE152" s="571">
        <v>20</v>
      </c>
      <c r="AF152" s="573">
        <v>1175.0000000000005</v>
      </c>
      <c r="AG152" s="573">
        <v>58.750000000000021</v>
      </c>
      <c r="AH152" s="571">
        <f t="shared" si="46"/>
        <v>23</v>
      </c>
      <c r="AI152" s="685"/>
      <c r="AJ152" s="571">
        <v>20</v>
      </c>
      <c r="AK152" s="573">
        <v>1186.4150943396232</v>
      </c>
      <c r="AL152" s="573">
        <v>59.320754716981163</v>
      </c>
      <c r="AM152" s="571">
        <f t="shared" si="47"/>
        <v>23</v>
      </c>
      <c r="AN152" s="685"/>
      <c r="AO152" s="571">
        <v>20</v>
      </c>
      <c r="AP152" s="573">
        <v>1175.4098360655748</v>
      </c>
      <c r="AQ152" s="573">
        <v>58.770491803278745</v>
      </c>
      <c r="AR152" s="571">
        <f t="shared" si="48"/>
        <v>23</v>
      </c>
      <c r="AS152" s="685"/>
      <c r="AT152" s="571">
        <v>20</v>
      </c>
      <c r="AU152" s="573">
        <v>1187.4626865671657</v>
      </c>
      <c r="AV152" s="573">
        <v>59.37313432835829</v>
      </c>
      <c r="AW152" s="571">
        <f t="shared" si="49"/>
        <v>23</v>
      </c>
      <c r="AX152" s="685"/>
      <c r="AZ152" s="368" t="e">
        <f t="shared" si="50"/>
        <v>#N/A</v>
      </c>
      <c r="BA152" s="685"/>
    </row>
    <row r="153" spans="2:53">
      <c r="B153" s="660"/>
      <c r="C153" s="278">
        <v>7</v>
      </c>
      <c r="D153" s="201" t="s">
        <v>601</v>
      </c>
      <c r="E153" s="514">
        <v>16</v>
      </c>
      <c r="F153" s="201">
        <v>1500</v>
      </c>
      <c r="G153" s="199">
        <v>93.75</v>
      </c>
      <c r="H153" s="699"/>
      <c r="I153" s="363">
        <f t="shared" si="40"/>
        <v>16</v>
      </c>
      <c r="J153" s="363">
        <f t="shared" si="41"/>
        <v>1325.290125724214</v>
      </c>
      <c r="K153" s="199">
        <f t="shared" si="42"/>
        <v>82.830632857763376</v>
      </c>
      <c r="L153" s="634"/>
      <c r="M153" s="200">
        <f>RANK(K153, K$147:$K$176)</f>
        <v>7</v>
      </c>
      <c r="N153" s="652"/>
      <c r="O153" s="652"/>
      <c r="P153" s="571">
        <v>16</v>
      </c>
      <c r="Q153" s="573">
        <v>1325.538461538463</v>
      </c>
      <c r="R153" s="573">
        <v>82.846153846153939</v>
      </c>
      <c r="S153" s="571">
        <f t="shared" si="43"/>
        <v>8</v>
      </c>
      <c r="T153" s="685"/>
      <c r="U153" s="571">
        <v>16</v>
      </c>
      <c r="V153" s="573">
        <v>1314.193548387098</v>
      </c>
      <c r="W153" s="573">
        <v>82.137096774193623</v>
      </c>
      <c r="X153" s="571">
        <f t="shared" si="44"/>
        <v>7</v>
      </c>
      <c r="Y153" s="685"/>
      <c r="Z153" s="571">
        <v>16</v>
      </c>
      <c r="AA153" s="573">
        <v>1327.9999999999989</v>
      </c>
      <c r="AB153" s="573">
        <v>82.999999999999929</v>
      </c>
      <c r="AC153" s="571">
        <f t="shared" si="45"/>
        <v>6</v>
      </c>
      <c r="AD153" s="685"/>
      <c r="AE153" s="571">
        <v>16</v>
      </c>
      <c r="AF153" s="573">
        <v>1328.5714285714289</v>
      </c>
      <c r="AG153" s="573">
        <v>83.035714285714306</v>
      </c>
      <c r="AH153" s="571">
        <f t="shared" si="46"/>
        <v>5</v>
      </c>
      <c r="AI153" s="685"/>
      <c r="AJ153" s="571">
        <v>16</v>
      </c>
      <c r="AK153" s="573">
        <v>1333.8461538461547</v>
      </c>
      <c r="AL153" s="573">
        <v>83.36538461538467</v>
      </c>
      <c r="AM153" s="571">
        <f t="shared" si="47"/>
        <v>6</v>
      </c>
      <c r="AN153" s="685"/>
      <c r="AO153" s="571">
        <v>16</v>
      </c>
      <c r="AP153" s="573">
        <v>1328.571428571428</v>
      </c>
      <c r="AQ153" s="573">
        <v>83.035714285714249</v>
      </c>
      <c r="AR153" s="571">
        <f t="shared" si="48"/>
        <v>6</v>
      </c>
      <c r="AS153" s="685"/>
      <c r="AT153" s="571">
        <v>16</v>
      </c>
      <c r="AU153" s="573">
        <v>1318.3098591549283</v>
      </c>
      <c r="AV153" s="573">
        <v>82.394366197183018</v>
      </c>
      <c r="AW153" s="571">
        <f t="shared" si="49"/>
        <v>8</v>
      </c>
      <c r="AX153" s="685"/>
      <c r="AZ153" s="368" t="e">
        <f t="shared" si="50"/>
        <v>#N/A</v>
      </c>
      <c r="BA153" s="685"/>
    </row>
    <row r="154" spans="2:53">
      <c r="B154" s="660"/>
      <c r="C154" s="278">
        <v>8</v>
      </c>
      <c r="D154" s="201" t="s">
        <v>574</v>
      </c>
      <c r="E154" s="514">
        <v>18</v>
      </c>
      <c r="F154" s="201">
        <v>1636</v>
      </c>
      <c r="G154" s="199">
        <v>90.888888888888886</v>
      </c>
      <c r="H154" s="699"/>
      <c r="I154" s="363">
        <f t="shared" si="40"/>
        <v>18</v>
      </c>
      <c r="J154" s="363">
        <f t="shared" si="41"/>
        <v>1359.2340977530002</v>
      </c>
      <c r="K154" s="199">
        <f t="shared" si="42"/>
        <v>75.513005430722231</v>
      </c>
      <c r="L154" s="634"/>
      <c r="M154" s="200">
        <f>RANK(K154, K$147:$K$176)</f>
        <v>13</v>
      </c>
      <c r="N154" s="652"/>
      <c r="O154" s="652"/>
      <c r="P154" s="571">
        <v>18</v>
      </c>
      <c r="Q154" s="573">
        <v>1378.2857142857129</v>
      </c>
      <c r="R154" s="573">
        <v>76.571428571428498</v>
      </c>
      <c r="S154" s="571">
        <f t="shared" si="43"/>
        <v>12</v>
      </c>
      <c r="T154" s="685"/>
      <c r="U154" s="571">
        <v>18</v>
      </c>
      <c r="V154" s="573">
        <v>1381.7910447761178</v>
      </c>
      <c r="W154" s="573">
        <v>76.766169154228763</v>
      </c>
      <c r="X154" s="571">
        <f t="shared" si="44"/>
        <v>12</v>
      </c>
      <c r="Y154" s="685"/>
      <c r="Z154" s="571">
        <v>18</v>
      </c>
      <c r="AA154" s="573">
        <v>1318.0327868852471</v>
      </c>
      <c r="AB154" s="573">
        <v>73.22404371584706</v>
      </c>
      <c r="AC154" s="571">
        <f t="shared" si="45"/>
        <v>15</v>
      </c>
      <c r="AD154" s="685"/>
      <c r="AE154" s="571">
        <v>18</v>
      </c>
      <c r="AF154" s="573">
        <v>1304.7457627118656</v>
      </c>
      <c r="AG154" s="573">
        <v>72.485875706214756</v>
      </c>
      <c r="AH154" s="571">
        <f t="shared" si="46"/>
        <v>15</v>
      </c>
      <c r="AI154" s="685"/>
      <c r="AJ154" s="571">
        <v>18</v>
      </c>
      <c r="AK154" s="573">
        <v>1309.253731343282</v>
      </c>
      <c r="AL154" s="573">
        <v>72.736318407960113</v>
      </c>
      <c r="AM154" s="571">
        <f t="shared" si="47"/>
        <v>15</v>
      </c>
      <c r="AN154" s="685"/>
      <c r="AO154" s="571">
        <v>18</v>
      </c>
      <c r="AP154" s="573">
        <v>1384.3478260869549</v>
      </c>
      <c r="AQ154" s="573">
        <v>76.908212560386389</v>
      </c>
      <c r="AR154" s="571">
        <f t="shared" si="48"/>
        <v>12</v>
      </c>
      <c r="AS154" s="685"/>
      <c r="AT154" s="571">
        <v>18</v>
      </c>
      <c r="AU154" s="573">
        <v>1438.1818181818198</v>
      </c>
      <c r="AV154" s="573">
        <v>79.898989898989996</v>
      </c>
      <c r="AW154" s="571">
        <f t="shared" si="49"/>
        <v>10</v>
      </c>
      <c r="AX154" s="685"/>
      <c r="AZ154" s="368" t="e">
        <f t="shared" si="50"/>
        <v>#N/A</v>
      </c>
      <c r="BA154" s="685"/>
    </row>
    <row r="155" spans="2:53">
      <c r="B155" s="660"/>
      <c r="C155" s="278">
        <v>9</v>
      </c>
      <c r="D155" s="201" t="s">
        <v>575</v>
      </c>
      <c r="E155" s="514">
        <v>18</v>
      </c>
      <c r="F155" s="201">
        <v>1636</v>
      </c>
      <c r="G155" s="199">
        <v>90.888888888888886</v>
      </c>
      <c r="H155" s="699"/>
      <c r="I155" s="363">
        <f t="shared" si="40"/>
        <v>18</v>
      </c>
      <c r="J155" s="363">
        <f t="shared" si="41"/>
        <v>1370.8199171135907</v>
      </c>
      <c r="K155" s="199">
        <f t="shared" si="42"/>
        <v>76.156662061866157</v>
      </c>
      <c r="L155" s="634"/>
      <c r="M155" s="200">
        <f>RANK(K155, K$147:$K$176)</f>
        <v>12</v>
      </c>
      <c r="N155" s="652"/>
      <c r="O155" s="652"/>
      <c r="P155" s="571">
        <v>18</v>
      </c>
      <c r="Q155" s="573">
        <v>1305.4838709677433</v>
      </c>
      <c r="R155" s="573">
        <v>72.526881720430183</v>
      </c>
      <c r="S155" s="571">
        <f t="shared" si="43"/>
        <v>15</v>
      </c>
      <c r="T155" s="685"/>
      <c r="U155" s="571">
        <v>18</v>
      </c>
      <c r="V155" s="573">
        <v>1320.0000000000009</v>
      </c>
      <c r="W155" s="573">
        <v>73.333333333333385</v>
      </c>
      <c r="X155" s="571">
        <f t="shared" si="44"/>
        <v>15</v>
      </c>
      <c r="Y155" s="685"/>
      <c r="Z155" s="571">
        <v>18</v>
      </c>
      <c r="AA155" s="573">
        <v>1406.5116279069764</v>
      </c>
      <c r="AB155" s="573">
        <v>78.139534883720913</v>
      </c>
      <c r="AC155" s="571">
        <f t="shared" si="45"/>
        <v>12</v>
      </c>
      <c r="AD155" s="685"/>
      <c r="AE155" s="571">
        <v>18</v>
      </c>
      <c r="AF155" s="573">
        <v>1423.2558139534881</v>
      </c>
      <c r="AG155" s="573">
        <v>79.069767441860449</v>
      </c>
      <c r="AH155" s="571">
        <f t="shared" si="46"/>
        <v>12</v>
      </c>
      <c r="AI155" s="685"/>
      <c r="AJ155" s="571">
        <v>18</v>
      </c>
      <c r="AK155" s="573">
        <v>1410.6122448979597</v>
      </c>
      <c r="AL155" s="573">
        <v>78.36734693877554</v>
      </c>
      <c r="AM155" s="571">
        <f t="shared" si="47"/>
        <v>12</v>
      </c>
      <c r="AN155" s="685"/>
      <c r="AO155" s="571">
        <v>18</v>
      </c>
      <c r="AP155" s="573">
        <v>1328.2758620689665</v>
      </c>
      <c r="AQ155" s="573">
        <v>73.793103448275915</v>
      </c>
      <c r="AR155" s="571">
        <f t="shared" si="48"/>
        <v>15</v>
      </c>
      <c r="AS155" s="685"/>
      <c r="AT155" s="571">
        <v>18</v>
      </c>
      <c r="AU155" s="573">
        <v>1401.6000000000004</v>
      </c>
      <c r="AV155" s="573">
        <v>77.866666666666688</v>
      </c>
      <c r="AW155" s="571">
        <f t="shared" si="49"/>
        <v>12</v>
      </c>
      <c r="AX155" s="685"/>
      <c r="AZ155" s="368" t="e">
        <f t="shared" si="50"/>
        <v>#N/A</v>
      </c>
      <c r="BA155" s="685"/>
    </row>
    <row r="156" spans="2:53">
      <c r="B156" s="660"/>
      <c r="C156" s="278">
        <v>10</v>
      </c>
      <c r="D156" s="201" t="s">
        <v>332</v>
      </c>
      <c r="E156" s="514">
        <v>17</v>
      </c>
      <c r="F156" s="201">
        <v>1500</v>
      </c>
      <c r="G156" s="199">
        <v>88.235294117647058</v>
      </c>
      <c r="H156" s="699"/>
      <c r="I156" s="363">
        <f t="shared" si="40"/>
        <v>17</v>
      </c>
      <c r="J156" s="363">
        <f t="shared" si="41"/>
        <v>1358.2159122421367</v>
      </c>
      <c r="K156" s="199">
        <f t="shared" si="42"/>
        <v>79.895053661302171</v>
      </c>
      <c r="L156" s="634"/>
      <c r="M156" s="200">
        <f>RANK(K156, K$147:$K$176)</f>
        <v>10</v>
      </c>
      <c r="N156" s="652"/>
      <c r="O156" s="652"/>
      <c r="P156" s="571">
        <v>17</v>
      </c>
      <c r="Q156" s="573">
        <v>1369.6153846153854</v>
      </c>
      <c r="R156" s="573">
        <v>80.565610859728551</v>
      </c>
      <c r="S156" s="571">
        <f t="shared" si="43"/>
        <v>10</v>
      </c>
      <c r="T156" s="685"/>
      <c r="U156" s="571">
        <v>17</v>
      </c>
      <c r="V156" s="573">
        <v>1353.1914893617022</v>
      </c>
      <c r="W156" s="573">
        <v>79.599499374217771</v>
      </c>
      <c r="X156" s="571">
        <f t="shared" si="44"/>
        <v>10</v>
      </c>
      <c r="Y156" s="685"/>
      <c r="Z156" s="571">
        <v>17</v>
      </c>
      <c r="AA156" s="573">
        <v>1355.9999999999995</v>
      </c>
      <c r="AB156" s="573">
        <v>79.764705882352914</v>
      </c>
      <c r="AC156" s="571">
        <f t="shared" si="45"/>
        <v>10</v>
      </c>
      <c r="AD156" s="685"/>
      <c r="AE156" s="571">
        <v>17</v>
      </c>
      <c r="AF156" s="573">
        <v>1349.9999999999989</v>
      </c>
      <c r="AG156" s="573">
        <v>79.411764705882291</v>
      </c>
      <c r="AH156" s="571">
        <f t="shared" si="46"/>
        <v>11</v>
      </c>
      <c r="AI156" s="685"/>
      <c r="AJ156" s="571">
        <v>17</v>
      </c>
      <c r="AK156" s="573">
        <v>1352.7272727272727</v>
      </c>
      <c r="AL156" s="573">
        <v>79.572192513368989</v>
      </c>
      <c r="AM156" s="571">
        <f t="shared" si="47"/>
        <v>11</v>
      </c>
      <c r="AN156" s="685"/>
      <c r="AO156" s="571">
        <v>17</v>
      </c>
      <c r="AP156" s="573">
        <v>1355.744680851064</v>
      </c>
      <c r="AQ156" s="573">
        <v>79.749687108886121</v>
      </c>
      <c r="AR156" s="571">
        <f t="shared" si="48"/>
        <v>10</v>
      </c>
      <c r="AS156" s="685"/>
      <c r="AT156" s="571">
        <v>17</v>
      </c>
      <c r="AU156" s="573">
        <v>1370.2325581395348</v>
      </c>
      <c r="AV156" s="573">
        <v>80.601915184678518</v>
      </c>
      <c r="AW156" s="571">
        <f t="shared" si="49"/>
        <v>9</v>
      </c>
      <c r="AX156" s="685"/>
      <c r="AZ156" s="368" t="e">
        <f t="shared" si="50"/>
        <v>#N/A</v>
      </c>
      <c r="BA156" s="685"/>
    </row>
    <row r="157" spans="2:53">
      <c r="B157" s="660"/>
      <c r="C157" s="278">
        <v>11</v>
      </c>
      <c r="D157" s="201" t="s">
        <v>512</v>
      </c>
      <c r="E157" s="514">
        <v>20</v>
      </c>
      <c r="F157" s="201">
        <v>1440</v>
      </c>
      <c r="G157" s="199">
        <v>72</v>
      </c>
      <c r="H157" s="699"/>
      <c r="I157" s="363">
        <f t="shared" si="40"/>
        <v>20</v>
      </c>
      <c r="J157" s="363">
        <f t="shared" si="41"/>
        <v>1360.4339697808014</v>
      </c>
      <c r="K157" s="199">
        <f t="shared" si="42"/>
        <v>68.021698489040062</v>
      </c>
      <c r="L157" s="634"/>
      <c r="M157" s="200">
        <f>RANK(K157, K$147:$K$176)</f>
        <v>19</v>
      </c>
      <c r="N157" s="652"/>
      <c r="O157" s="652"/>
      <c r="P157" s="571">
        <v>20</v>
      </c>
      <c r="Q157" s="573">
        <v>1358.3720930232557</v>
      </c>
      <c r="R157" s="573">
        <v>67.918604651162781</v>
      </c>
      <c r="S157" s="571">
        <f t="shared" si="43"/>
        <v>19</v>
      </c>
      <c r="T157" s="685"/>
      <c r="U157" s="571">
        <v>20</v>
      </c>
      <c r="V157" s="573">
        <v>1367.5609756097556</v>
      </c>
      <c r="W157" s="573">
        <v>68.378048780487774</v>
      </c>
      <c r="X157" s="571">
        <f t="shared" si="44"/>
        <v>19</v>
      </c>
      <c r="Y157" s="685"/>
      <c r="Z157" s="571">
        <v>20</v>
      </c>
      <c r="AA157" s="573">
        <v>1362.3529411764723</v>
      </c>
      <c r="AB157" s="573">
        <v>68.117647058823621</v>
      </c>
      <c r="AC157" s="571">
        <f t="shared" si="45"/>
        <v>19</v>
      </c>
      <c r="AD157" s="685"/>
      <c r="AE157" s="571">
        <v>20</v>
      </c>
      <c r="AF157" s="573">
        <v>1359.0909090909106</v>
      </c>
      <c r="AG157" s="573">
        <v>67.954545454545524</v>
      </c>
      <c r="AH157" s="571">
        <f t="shared" si="46"/>
        <v>19</v>
      </c>
      <c r="AI157" s="685"/>
      <c r="AJ157" s="571">
        <v>20</v>
      </c>
      <c r="AK157" s="573">
        <v>1355.1999999999989</v>
      </c>
      <c r="AL157" s="573">
        <v>67.759999999999948</v>
      </c>
      <c r="AM157" s="571">
        <f t="shared" si="47"/>
        <v>19</v>
      </c>
      <c r="AN157" s="685"/>
      <c r="AO157" s="571">
        <v>20</v>
      </c>
      <c r="AP157" s="573">
        <v>1367.1999999999991</v>
      </c>
      <c r="AQ157" s="573">
        <v>68.359999999999957</v>
      </c>
      <c r="AR157" s="571">
        <f t="shared" si="48"/>
        <v>19</v>
      </c>
      <c r="AS157" s="685"/>
      <c r="AT157" s="571">
        <v>20</v>
      </c>
      <c r="AU157" s="573">
        <v>1353.2608695652175</v>
      </c>
      <c r="AV157" s="573">
        <v>67.663043478260875</v>
      </c>
      <c r="AW157" s="571">
        <f t="shared" si="49"/>
        <v>20</v>
      </c>
      <c r="AX157" s="685"/>
      <c r="AZ157" s="368" t="e">
        <f t="shared" si="50"/>
        <v>#N/A</v>
      </c>
      <c r="BA157" s="685"/>
    </row>
    <row r="158" spans="2:53">
      <c r="B158" s="660"/>
      <c r="C158" s="278">
        <v>12</v>
      </c>
      <c r="D158" s="201" t="s">
        <v>345</v>
      </c>
      <c r="E158" s="514">
        <v>14</v>
      </c>
      <c r="F158" s="201">
        <v>1440</v>
      </c>
      <c r="G158" s="199">
        <v>102.85714285714286</v>
      </c>
      <c r="H158" s="699"/>
      <c r="I158" s="363">
        <f t="shared" si="40"/>
        <v>14.428571428571429</v>
      </c>
      <c r="J158" s="363">
        <f t="shared" si="41"/>
        <v>1358.1198130674363</v>
      </c>
      <c r="K158" s="199">
        <f t="shared" si="42"/>
        <v>94.238615714158172</v>
      </c>
      <c r="L158" s="634"/>
      <c r="M158" s="200">
        <f>RANK(K158, K$147:$K$176)</f>
        <v>3</v>
      </c>
      <c r="N158" s="652"/>
      <c r="O158" s="652"/>
      <c r="P158" s="571">
        <v>14</v>
      </c>
      <c r="Q158" s="573">
        <v>1359.3442622950831</v>
      </c>
      <c r="R158" s="573">
        <v>97.096018735363074</v>
      </c>
      <c r="S158" s="571">
        <f t="shared" si="43"/>
        <v>3</v>
      </c>
      <c r="T158" s="685"/>
      <c r="U158" s="571">
        <v>15</v>
      </c>
      <c r="V158" s="573">
        <v>1359.6610169491537</v>
      </c>
      <c r="W158" s="573">
        <v>90.644067796610244</v>
      </c>
      <c r="X158" s="571">
        <f t="shared" si="44"/>
        <v>3</v>
      </c>
      <c r="Y158" s="685"/>
      <c r="Z158" s="571">
        <v>15</v>
      </c>
      <c r="AA158" s="573">
        <v>1348.7500000000005</v>
      </c>
      <c r="AB158" s="573">
        <v>89.9166666666667</v>
      </c>
      <c r="AC158" s="571">
        <f t="shared" si="45"/>
        <v>4</v>
      </c>
      <c r="AD158" s="685"/>
      <c r="AE158" s="571">
        <v>15</v>
      </c>
      <c r="AF158" s="573">
        <v>1363.4042553191491</v>
      </c>
      <c r="AG158" s="573">
        <v>90.893617021276611</v>
      </c>
      <c r="AH158" s="571">
        <f t="shared" si="46"/>
        <v>3</v>
      </c>
      <c r="AI158" s="685"/>
      <c r="AJ158" s="571">
        <v>14</v>
      </c>
      <c r="AK158" s="573">
        <v>1359.6428571428582</v>
      </c>
      <c r="AL158" s="573">
        <v>97.117346938775583</v>
      </c>
      <c r="AM158" s="571">
        <f t="shared" si="47"/>
        <v>3</v>
      </c>
      <c r="AN158" s="685"/>
      <c r="AO158" s="571">
        <v>14</v>
      </c>
      <c r="AP158" s="573">
        <v>1356.3934426229521</v>
      </c>
      <c r="AQ158" s="573">
        <v>96.885245901639436</v>
      </c>
      <c r="AR158" s="571">
        <f t="shared" si="48"/>
        <v>3</v>
      </c>
      <c r="AS158" s="685"/>
      <c r="AT158" s="571">
        <v>14</v>
      </c>
      <c r="AU158" s="573">
        <v>1359.6428571428582</v>
      </c>
      <c r="AV158" s="573">
        <v>97.117346938775583</v>
      </c>
      <c r="AW158" s="571">
        <f t="shared" si="49"/>
        <v>3</v>
      </c>
      <c r="AX158" s="685"/>
      <c r="AZ158" s="368" t="e">
        <f t="shared" si="50"/>
        <v>#N/A</v>
      </c>
      <c r="BA158" s="685"/>
    </row>
    <row r="159" spans="2:53">
      <c r="B159" s="660"/>
      <c r="C159" s="278">
        <v>13</v>
      </c>
      <c r="D159" s="201" t="s">
        <v>327</v>
      </c>
      <c r="E159" s="514">
        <v>19</v>
      </c>
      <c r="F159" s="201">
        <v>1440</v>
      </c>
      <c r="G159" s="199">
        <v>75.78947368421052</v>
      </c>
      <c r="H159" s="699"/>
      <c r="I159" s="363">
        <f t="shared" si="40"/>
        <v>19</v>
      </c>
      <c r="J159" s="363">
        <f t="shared" si="41"/>
        <v>1358.572215754469</v>
      </c>
      <c r="K159" s="199">
        <f t="shared" si="42"/>
        <v>71.503800829182566</v>
      </c>
      <c r="L159" s="634"/>
      <c r="M159" s="200">
        <f>RANK(K159, K$147:$K$176)</f>
        <v>16</v>
      </c>
      <c r="N159" s="652"/>
      <c r="O159" s="652"/>
      <c r="P159" s="571">
        <v>19</v>
      </c>
      <c r="Q159" s="573">
        <v>1363.4693877551024</v>
      </c>
      <c r="R159" s="573">
        <v>71.761546723952762</v>
      </c>
      <c r="S159" s="571">
        <f t="shared" si="43"/>
        <v>16</v>
      </c>
      <c r="T159" s="685"/>
      <c r="U159" s="571">
        <v>19</v>
      </c>
      <c r="V159" s="573">
        <v>1354.9450549450551</v>
      </c>
      <c r="W159" s="573">
        <v>71.312897628687111</v>
      </c>
      <c r="X159" s="571">
        <f t="shared" si="44"/>
        <v>16</v>
      </c>
      <c r="Y159" s="685"/>
      <c r="Z159" s="571">
        <v>19</v>
      </c>
      <c r="AA159" s="573">
        <v>1356.7999999999988</v>
      </c>
      <c r="AB159" s="573">
        <v>71.410526315789411</v>
      </c>
      <c r="AC159" s="571">
        <f t="shared" si="45"/>
        <v>16</v>
      </c>
      <c r="AD159" s="685"/>
      <c r="AE159" s="571">
        <v>19</v>
      </c>
      <c r="AF159" s="573">
        <v>1351.7142857142844</v>
      </c>
      <c r="AG159" s="573">
        <v>71.142857142857068</v>
      </c>
      <c r="AH159" s="571">
        <f t="shared" si="46"/>
        <v>16</v>
      </c>
      <c r="AI159" s="685"/>
      <c r="AJ159" s="571">
        <v>19</v>
      </c>
      <c r="AK159" s="573">
        <v>1363.3734939759031</v>
      </c>
      <c r="AL159" s="573">
        <v>71.756499682942263</v>
      </c>
      <c r="AM159" s="571">
        <f t="shared" si="47"/>
        <v>16</v>
      </c>
      <c r="AN159" s="685"/>
      <c r="AO159" s="571">
        <v>19</v>
      </c>
      <c r="AP159" s="573">
        <v>1365.51724137931</v>
      </c>
      <c r="AQ159" s="573">
        <v>71.869328493647899</v>
      </c>
      <c r="AR159" s="571">
        <f t="shared" si="48"/>
        <v>17</v>
      </c>
      <c r="AS159" s="685"/>
      <c r="AT159" s="571">
        <v>19</v>
      </c>
      <c r="AU159" s="573">
        <v>1354.1860465116276</v>
      </c>
      <c r="AV159" s="573">
        <v>71.27294981640145</v>
      </c>
      <c r="AW159" s="571">
        <f t="shared" si="49"/>
        <v>17</v>
      </c>
      <c r="AX159" s="685"/>
      <c r="AZ159" s="368" t="e">
        <f t="shared" si="50"/>
        <v>#N/A</v>
      </c>
      <c r="BA159" s="685"/>
    </row>
    <row r="160" spans="2:53">
      <c r="B160" s="660"/>
      <c r="C160" s="278">
        <v>14</v>
      </c>
      <c r="D160" s="201" t="s">
        <v>343</v>
      </c>
      <c r="E160" s="514">
        <v>19</v>
      </c>
      <c r="F160" s="201">
        <v>1440</v>
      </c>
      <c r="G160" s="199">
        <v>75.78947368421052</v>
      </c>
      <c r="H160" s="699"/>
      <c r="I160" s="363">
        <f t="shared" si="40"/>
        <v>18.857142857142858</v>
      </c>
      <c r="J160" s="363">
        <f t="shared" si="41"/>
        <v>1342.3707624671608</v>
      </c>
      <c r="K160" s="199">
        <f t="shared" si="42"/>
        <v>71.216204170088147</v>
      </c>
      <c r="L160" s="634"/>
      <c r="M160" s="200">
        <f>RANK(K160, K$147:$K$176)</f>
        <v>17</v>
      </c>
      <c r="N160" s="652"/>
      <c r="O160" s="652"/>
      <c r="P160" s="571">
        <v>19</v>
      </c>
      <c r="Q160" s="573">
        <v>1353.599999999999</v>
      </c>
      <c r="R160" s="573">
        <v>71.242105263157839</v>
      </c>
      <c r="S160" s="571">
        <f t="shared" si="43"/>
        <v>17</v>
      </c>
      <c r="T160" s="685"/>
      <c r="U160" s="571">
        <v>19</v>
      </c>
      <c r="V160" s="573">
        <v>1340.8333333333321</v>
      </c>
      <c r="W160" s="573">
        <v>70.570175438596422</v>
      </c>
      <c r="X160" s="571">
        <f t="shared" si="44"/>
        <v>17</v>
      </c>
      <c r="Y160" s="685"/>
      <c r="Z160" s="571">
        <v>19</v>
      </c>
      <c r="AA160" s="573">
        <v>1324.8387096774204</v>
      </c>
      <c r="AB160" s="573">
        <v>69.728353140916866</v>
      </c>
      <c r="AC160" s="571">
        <f t="shared" si="45"/>
        <v>18</v>
      </c>
      <c r="AD160" s="685"/>
      <c r="AE160" s="571">
        <v>19</v>
      </c>
      <c r="AF160" s="573">
        <v>1334.0000000000014</v>
      </c>
      <c r="AG160" s="573">
        <v>70.210526315789551</v>
      </c>
      <c r="AH160" s="571">
        <f t="shared" si="46"/>
        <v>17</v>
      </c>
      <c r="AI160" s="685"/>
      <c r="AJ160" s="571">
        <v>19</v>
      </c>
      <c r="AK160" s="573">
        <v>1336.0563380281676</v>
      </c>
      <c r="AL160" s="573">
        <v>70.318754633061459</v>
      </c>
      <c r="AM160" s="571">
        <f t="shared" si="47"/>
        <v>17</v>
      </c>
      <c r="AN160" s="685"/>
      <c r="AO160" s="571">
        <v>18</v>
      </c>
      <c r="AP160" s="573">
        <v>1352.876712328766</v>
      </c>
      <c r="AQ160" s="573">
        <v>75.159817351598107</v>
      </c>
      <c r="AR160" s="571">
        <f t="shared" si="48"/>
        <v>13</v>
      </c>
      <c r="AS160" s="685"/>
      <c r="AT160" s="571">
        <v>19</v>
      </c>
      <c r="AU160" s="573">
        <v>1354.3902439024387</v>
      </c>
      <c r="AV160" s="573">
        <v>71.283697047496773</v>
      </c>
      <c r="AW160" s="571">
        <f t="shared" si="49"/>
        <v>16</v>
      </c>
      <c r="AX160" s="685"/>
      <c r="AZ160" s="368" t="e">
        <f t="shared" si="50"/>
        <v>#N/A</v>
      </c>
      <c r="BA160" s="685"/>
    </row>
    <row r="161" spans="2:53">
      <c r="B161" s="660"/>
      <c r="C161" s="278">
        <v>15</v>
      </c>
      <c r="D161" s="201" t="s">
        <v>581</v>
      </c>
      <c r="E161" s="514">
        <v>18</v>
      </c>
      <c r="F161" s="201">
        <v>1500</v>
      </c>
      <c r="G161" s="199">
        <v>83.333333333333329</v>
      </c>
      <c r="H161" s="699"/>
      <c r="I161" s="363">
        <f t="shared" si="40"/>
        <v>18</v>
      </c>
      <c r="J161" s="363">
        <f t="shared" si="41"/>
        <v>1322.2526383491092</v>
      </c>
      <c r="K161" s="199">
        <f t="shared" si="42"/>
        <v>73.458479908283849</v>
      </c>
      <c r="L161" s="634"/>
      <c r="M161" s="198">
        <f>RANK(K161, K$147:$K$176)</f>
        <v>15</v>
      </c>
      <c r="N161" s="652"/>
      <c r="O161" s="652"/>
      <c r="P161" s="571">
        <v>18</v>
      </c>
      <c r="Q161" s="573">
        <v>1330.169491525425</v>
      </c>
      <c r="R161" s="573">
        <v>73.898305084745829</v>
      </c>
      <c r="S161" s="571">
        <f t="shared" si="43"/>
        <v>13</v>
      </c>
      <c r="T161" s="685"/>
      <c r="U161" s="571">
        <v>18</v>
      </c>
      <c r="V161" s="573">
        <v>1322.1818181818189</v>
      </c>
      <c r="W161" s="573">
        <v>73.454545454545496</v>
      </c>
      <c r="X161" s="571">
        <f t="shared" si="44"/>
        <v>14</v>
      </c>
      <c r="Y161" s="685"/>
      <c r="Z161" s="571">
        <v>18</v>
      </c>
      <c r="AA161" s="573">
        <v>1325.1724137931044</v>
      </c>
      <c r="AB161" s="573">
        <v>73.62068965517247</v>
      </c>
      <c r="AC161" s="571">
        <f t="shared" si="45"/>
        <v>14</v>
      </c>
      <c r="AD161" s="685"/>
      <c r="AE161" s="571">
        <v>18</v>
      </c>
      <c r="AF161" s="573">
        <v>1313.4782608695652</v>
      </c>
      <c r="AG161" s="573">
        <v>72.971014492753625</v>
      </c>
      <c r="AH161" s="571">
        <f t="shared" si="46"/>
        <v>14</v>
      </c>
      <c r="AI161" s="685"/>
      <c r="AJ161" s="571">
        <v>18</v>
      </c>
      <c r="AK161" s="573">
        <v>1322.6666666666667</v>
      </c>
      <c r="AL161" s="573">
        <v>73.481481481481481</v>
      </c>
      <c r="AM161" s="571">
        <f t="shared" si="47"/>
        <v>14</v>
      </c>
      <c r="AN161" s="685"/>
      <c r="AO161" s="571">
        <v>18</v>
      </c>
      <c r="AP161" s="573">
        <v>1321.132075471699</v>
      </c>
      <c r="AQ161" s="573">
        <v>73.396226415094389</v>
      </c>
      <c r="AR161" s="571">
        <f t="shared" si="48"/>
        <v>16</v>
      </c>
      <c r="AS161" s="685"/>
      <c r="AT161" s="571">
        <v>18</v>
      </c>
      <c r="AU161" s="573">
        <v>1320.967741935485</v>
      </c>
      <c r="AV161" s="573">
        <v>73.387096774193608</v>
      </c>
      <c r="AW161" s="571">
        <f t="shared" si="49"/>
        <v>14</v>
      </c>
      <c r="AX161" s="685"/>
      <c r="AZ161" s="368" t="e">
        <f t="shared" si="50"/>
        <v>#N/A</v>
      </c>
      <c r="BA161" s="685"/>
    </row>
    <row r="162" spans="2:53">
      <c r="B162" s="660"/>
      <c r="C162" s="278">
        <v>16</v>
      </c>
      <c r="D162" s="201" t="s">
        <v>509</v>
      </c>
      <c r="E162" s="514">
        <v>17</v>
      </c>
      <c r="F162" s="201">
        <v>1440</v>
      </c>
      <c r="G162" s="199">
        <v>84.705882352941174</v>
      </c>
      <c r="H162" s="699"/>
      <c r="I162" s="363">
        <f t="shared" si="40"/>
        <v>17</v>
      </c>
      <c r="J162" s="363">
        <f t="shared" si="41"/>
        <v>1349.7656092320926</v>
      </c>
      <c r="K162" s="199">
        <f t="shared" si="42"/>
        <v>79.397977013652508</v>
      </c>
      <c r="L162" s="634"/>
      <c r="M162" s="198">
        <f>RANK(K162, K$147:$K$176)</f>
        <v>11</v>
      </c>
      <c r="N162" s="652"/>
      <c r="O162" s="652"/>
      <c r="P162" s="571">
        <v>17</v>
      </c>
      <c r="Q162" s="573">
        <v>1360.4651162790694</v>
      </c>
      <c r="R162" s="573">
        <v>80.027359781121731</v>
      </c>
      <c r="S162" s="571">
        <f t="shared" si="43"/>
        <v>11</v>
      </c>
      <c r="T162" s="685"/>
      <c r="U162" s="571">
        <v>17</v>
      </c>
      <c r="V162" s="573">
        <v>1340.9302325581393</v>
      </c>
      <c r="W162" s="573">
        <v>78.878248974008201</v>
      </c>
      <c r="X162" s="571">
        <f t="shared" si="44"/>
        <v>11</v>
      </c>
      <c r="Y162" s="685"/>
      <c r="Z162" s="571">
        <v>17</v>
      </c>
      <c r="AA162" s="573">
        <v>1332.3529411764689</v>
      </c>
      <c r="AB162" s="573">
        <v>78.373702422145229</v>
      </c>
      <c r="AC162" s="571">
        <f t="shared" si="45"/>
        <v>11</v>
      </c>
      <c r="AD162" s="685"/>
      <c r="AE162" s="571">
        <v>17</v>
      </c>
      <c r="AF162" s="573">
        <v>1367.2727272727254</v>
      </c>
      <c r="AG162" s="573">
        <v>80.427807486630911</v>
      </c>
      <c r="AH162" s="571">
        <f t="shared" si="46"/>
        <v>10</v>
      </c>
      <c r="AI162" s="685"/>
      <c r="AJ162" s="571">
        <v>17</v>
      </c>
      <c r="AK162" s="573">
        <v>1363.3333333333321</v>
      </c>
      <c r="AL162" s="573">
        <v>80.196078431372484</v>
      </c>
      <c r="AM162" s="571">
        <f t="shared" si="47"/>
        <v>10</v>
      </c>
      <c r="AN162" s="685"/>
      <c r="AO162" s="571">
        <v>17</v>
      </c>
      <c r="AP162" s="573">
        <v>1344.5454545454545</v>
      </c>
      <c r="AQ162" s="573">
        <v>79.090909090909093</v>
      </c>
      <c r="AR162" s="571">
        <f t="shared" si="48"/>
        <v>11</v>
      </c>
      <c r="AS162" s="685"/>
      <c r="AT162" s="571">
        <v>17</v>
      </c>
      <c r="AU162" s="573">
        <v>1339.4594594594585</v>
      </c>
      <c r="AV162" s="573">
        <v>78.791732909379903</v>
      </c>
      <c r="AW162" s="571">
        <f t="shared" si="49"/>
        <v>11</v>
      </c>
      <c r="AX162" s="685"/>
      <c r="AZ162" s="368" t="e">
        <f t="shared" si="50"/>
        <v>#N/A</v>
      </c>
      <c r="BA162" s="685"/>
    </row>
    <row r="163" spans="2:53">
      <c r="B163" s="660"/>
      <c r="C163" s="278">
        <v>17</v>
      </c>
      <c r="D163" s="201" t="s">
        <v>603</v>
      </c>
      <c r="E163" s="514">
        <v>16</v>
      </c>
      <c r="F163" s="201">
        <v>1636</v>
      </c>
      <c r="G163" s="199">
        <v>102.25</v>
      </c>
      <c r="H163" s="699"/>
      <c r="I163" s="363">
        <f t="shared" si="40"/>
        <v>16</v>
      </c>
      <c r="J163" s="363">
        <f t="shared" si="41"/>
        <v>1444.5538990299669</v>
      </c>
      <c r="K163" s="199">
        <f t="shared" si="42"/>
        <v>90.284618689372934</v>
      </c>
      <c r="L163" s="634"/>
      <c r="M163" s="198">
        <f>RANK(K163, K$147:$K$176)</f>
        <v>4</v>
      </c>
      <c r="N163" s="652"/>
      <c r="O163" s="652"/>
      <c r="P163" s="571">
        <v>16</v>
      </c>
      <c r="Q163" s="573">
        <v>1457.3333333333333</v>
      </c>
      <c r="R163" s="573">
        <v>91.083333333333329</v>
      </c>
      <c r="S163" s="571">
        <f t="shared" si="43"/>
        <v>4</v>
      </c>
      <c r="T163" s="685"/>
      <c r="U163" s="571">
        <v>16</v>
      </c>
      <c r="V163" s="573">
        <v>1444.090909090909</v>
      </c>
      <c r="W163" s="573">
        <v>90.255681818181813</v>
      </c>
      <c r="X163" s="571">
        <f t="shared" si="44"/>
        <v>4</v>
      </c>
      <c r="Y163" s="685"/>
      <c r="Z163" s="571">
        <v>16</v>
      </c>
      <c r="AA163" s="573">
        <v>1454.1176470588218</v>
      </c>
      <c r="AB163" s="573">
        <v>90.882352941176364</v>
      </c>
      <c r="AC163" s="571">
        <f t="shared" si="45"/>
        <v>3</v>
      </c>
      <c r="AD163" s="685"/>
      <c r="AE163" s="571">
        <v>16</v>
      </c>
      <c r="AF163" s="573">
        <v>1419.9999999999982</v>
      </c>
      <c r="AG163" s="573">
        <v>88.749999999999886</v>
      </c>
      <c r="AH163" s="571">
        <f t="shared" si="46"/>
        <v>4</v>
      </c>
      <c r="AI163" s="685"/>
      <c r="AJ163" s="571">
        <v>16</v>
      </c>
      <c r="AK163" s="573">
        <v>1439.9999999999989</v>
      </c>
      <c r="AL163" s="573">
        <v>89.999999999999929</v>
      </c>
      <c r="AM163" s="571">
        <f t="shared" si="47"/>
        <v>4</v>
      </c>
      <c r="AN163" s="685"/>
      <c r="AO163" s="571">
        <v>16</v>
      </c>
      <c r="AP163" s="573">
        <v>1433.4782608695652</v>
      </c>
      <c r="AQ163" s="573">
        <v>89.592391304347828</v>
      </c>
      <c r="AR163" s="571">
        <f t="shared" si="48"/>
        <v>4</v>
      </c>
      <c r="AS163" s="685"/>
      <c r="AT163" s="571">
        <v>16</v>
      </c>
      <c r="AU163" s="573">
        <v>1462.8571428571424</v>
      </c>
      <c r="AV163" s="573">
        <v>91.428571428571402</v>
      </c>
      <c r="AW163" s="571">
        <f t="shared" si="49"/>
        <v>5</v>
      </c>
      <c r="AX163" s="685"/>
      <c r="AZ163" s="368" t="e">
        <f t="shared" si="50"/>
        <v>#N/A</v>
      </c>
      <c r="BA163" s="685"/>
    </row>
    <row r="164" spans="2:53">
      <c r="B164" s="660"/>
      <c r="C164" s="278">
        <v>18</v>
      </c>
      <c r="D164" s="201" t="s">
        <v>614</v>
      </c>
      <c r="E164" s="514">
        <v>16</v>
      </c>
      <c r="F164" s="201">
        <v>1500</v>
      </c>
      <c r="G164" s="199">
        <v>93.75</v>
      </c>
      <c r="H164" s="699"/>
      <c r="I164" s="363">
        <f t="shared" si="40"/>
        <v>16.142857142857142</v>
      </c>
      <c r="J164" s="363">
        <f t="shared" si="41"/>
        <v>1307.4488227966283</v>
      </c>
      <c r="K164" s="199">
        <f t="shared" si="42"/>
        <v>81.024956037698274</v>
      </c>
      <c r="L164" s="634"/>
      <c r="M164" s="198">
        <f>RANK(K164, K$147:$K$176)</f>
        <v>9</v>
      </c>
      <c r="N164" s="652"/>
      <c r="O164" s="652"/>
      <c r="P164" s="571">
        <v>16</v>
      </c>
      <c r="Q164" s="573">
        <v>1309.2857142857151</v>
      </c>
      <c r="R164" s="573">
        <v>81.830357142857196</v>
      </c>
      <c r="S164" s="571">
        <f t="shared" si="43"/>
        <v>9</v>
      </c>
      <c r="T164" s="685"/>
      <c r="U164" s="571">
        <v>16</v>
      </c>
      <c r="V164" s="573">
        <v>1311.2727272727282</v>
      </c>
      <c r="W164" s="573">
        <v>81.95454545454551</v>
      </c>
      <c r="X164" s="571">
        <f t="shared" si="44"/>
        <v>8</v>
      </c>
      <c r="Y164" s="685"/>
      <c r="Z164" s="571">
        <v>16</v>
      </c>
      <c r="AA164" s="573">
        <v>1310.2325581395348</v>
      </c>
      <c r="AB164" s="573">
        <v>81.889534883720927</v>
      </c>
      <c r="AC164" s="571">
        <f t="shared" si="45"/>
        <v>9</v>
      </c>
      <c r="AD164" s="685"/>
      <c r="AE164" s="571">
        <v>16</v>
      </c>
      <c r="AF164" s="573">
        <v>1292.8571428571424</v>
      </c>
      <c r="AG164" s="573">
        <v>80.803571428571402</v>
      </c>
      <c r="AH164" s="571">
        <f t="shared" si="46"/>
        <v>9</v>
      </c>
      <c r="AI164" s="685"/>
      <c r="AJ164" s="571">
        <v>16</v>
      </c>
      <c r="AK164" s="573">
        <v>1302.0000000000005</v>
      </c>
      <c r="AL164" s="573">
        <v>81.375000000000028</v>
      </c>
      <c r="AM164" s="571">
        <f t="shared" si="47"/>
        <v>9</v>
      </c>
      <c r="AN164" s="685"/>
      <c r="AO164" s="571">
        <v>16</v>
      </c>
      <c r="AP164" s="573">
        <v>1311.6000000000004</v>
      </c>
      <c r="AQ164" s="573">
        <v>81.975000000000023</v>
      </c>
      <c r="AR164" s="571">
        <f t="shared" si="48"/>
        <v>9</v>
      </c>
      <c r="AS164" s="685"/>
      <c r="AT164" s="571">
        <v>17</v>
      </c>
      <c r="AU164" s="573">
        <v>1314.8936170212769</v>
      </c>
      <c r="AV164" s="573">
        <v>77.346683354192763</v>
      </c>
      <c r="AW164" s="571">
        <f t="shared" si="49"/>
        <v>13</v>
      </c>
      <c r="AX164" s="685"/>
      <c r="AZ164" s="368" t="e">
        <f t="shared" si="50"/>
        <v>#N/A</v>
      </c>
      <c r="BA164" s="685"/>
    </row>
    <row r="165" spans="2:53">
      <c r="B165" s="660"/>
      <c r="C165" s="278">
        <v>19</v>
      </c>
      <c r="D165" s="201" t="s">
        <v>610</v>
      </c>
      <c r="E165" s="514">
        <v>16</v>
      </c>
      <c r="F165" s="201">
        <v>1500</v>
      </c>
      <c r="G165" s="199">
        <v>93.75</v>
      </c>
      <c r="H165" s="699"/>
      <c r="I165" s="363">
        <f t="shared" si="40"/>
        <v>15.714285714285714</v>
      </c>
      <c r="J165" s="363">
        <f t="shared" si="41"/>
        <v>1330.1823297575097</v>
      </c>
      <c r="K165" s="199">
        <f t="shared" si="42"/>
        <v>84.833574481392972</v>
      </c>
      <c r="L165" s="634"/>
      <c r="M165" s="198">
        <f>RANK(K165, K$147:$K$176)</f>
        <v>6</v>
      </c>
      <c r="N165" s="652"/>
      <c r="O165" s="652"/>
      <c r="P165" s="571">
        <v>16</v>
      </c>
      <c r="Q165" s="573">
        <v>1332.1518987341765</v>
      </c>
      <c r="R165" s="573">
        <v>83.25949367088603</v>
      </c>
      <c r="S165" s="571">
        <f t="shared" si="43"/>
        <v>6</v>
      </c>
      <c r="T165" s="685"/>
      <c r="U165" s="571">
        <v>16</v>
      </c>
      <c r="V165" s="573">
        <v>1339.4805194805188</v>
      </c>
      <c r="W165" s="573">
        <v>83.717532467532422</v>
      </c>
      <c r="X165" s="571">
        <f t="shared" si="44"/>
        <v>6</v>
      </c>
      <c r="Y165" s="685"/>
      <c r="Z165" s="571">
        <v>16</v>
      </c>
      <c r="AA165" s="573">
        <v>1324.0677966101705</v>
      </c>
      <c r="AB165" s="573">
        <v>82.754237288135656</v>
      </c>
      <c r="AC165" s="571">
        <f t="shared" si="45"/>
        <v>8</v>
      </c>
      <c r="AD165" s="685"/>
      <c r="AE165" s="571">
        <v>16</v>
      </c>
      <c r="AF165" s="573">
        <v>1327.2413793103458</v>
      </c>
      <c r="AG165" s="573">
        <v>82.952586206896612</v>
      </c>
      <c r="AH165" s="571">
        <f t="shared" si="46"/>
        <v>6</v>
      </c>
      <c r="AI165" s="685"/>
      <c r="AJ165" s="571">
        <v>16</v>
      </c>
      <c r="AK165" s="573">
        <v>1330.9859154929566</v>
      </c>
      <c r="AL165" s="573">
        <v>83.186619718309785</v>
      </c>
      <c r="AM165" s="571">
        <f t="shared" si="47"/>
        <v>7</v>
      </c>
      <c r="AN165" s="685"/>
      <c r="AO165" s="571">
        <v>16</v>
      </c>
      <c r="AP165" s="573">
        <v>1326.7605633802805</v>
      </c>
      <c r="AQ165" s="573">
        <v>82.92253521126753</v>
      </c>
      <c r="AR165" s="571">
        <f t="shared" si="48"/>
        <v>8</v>
      </c>
      <c r="AS165" s="685"/>
      <c r="AT165" s="571">
        <v>14</v>
      </c>
      <c r="AU165" s="573">
        <v>1330.5882352941194</v>
      </c>
      <c r="AV165" s="573">
        <v>95.042016806722813</v>
      </c>
      <c r="AW165" s="571">
        <f t="shared" si="49"/>
        <v>4</v>
      </c>
      <c r="AX165" s="685"/>
      <c r="AZ165" s="368" t="e">
        <f t="shared" si="50"/>
        <v>#N/A</v>
      </c>
      <c r="BA165" s="685"/>
    </row>
    <row r="166" spans="2:53">
      <c r="B166" s="660"/>
      <c r="C166" s="278">
        <v>20</v>
      </c>
      <c r="D166" s="201" t="s">
        <v>628</v>
      </c>
      <c r="E166" s="514">
        <v>19</v>
      </c>
      <c r="F166" s="201">
        <v>1440</v>
      </c>
      <c r="G166" s="199">
        <v>75.78947368421052</v>
      </c>
      <c r="H166" s="699"/>
      <c r="I166" s="363">
        <f t="shared" si="40"/>
        <v>19</v>
      </c>
      <c r="J166" s="363">
        <f t="shared" si="41"/>
        <v>1266.0846849127086</v>
      </c>
      <c r="K166" s="199">
        <f t="shared" si="42"/>
        <v>66.636036048037312</v>
      </c>
      <c r="L166" s="634"/>
      <c r="M166" s="198">
        <f>RANK(K166, K$147:$K$176)</f>
        <v>20</v>
      </c>
      <c r="N166" s="652"/>
      <c r="O166" s="652"/>
      <c r="P166" s="571">
        <v>19</v>
      </c>
      <c r="Q166" s="573">
        <v>1268.4210526315799</v>
      </c>
      <c r="R166" s="573">
        <v>66.759002770083157</v>
      </c>
      <c r="S166" s="571">
        <f t="shared" si="43"/>
        <v>20</v>
      </c>
      <c r="T166" s="685"/>
      <c r="U166" s="571">
        <v>19</v>
      </c>
      <c r="V166" s="573">
        <v>1262.0338983050858</v>
      </c>
      <c r="W166" s="573">
        <v>66.422836752899258</v>
      </c>
      <c r="X166" s="571">
        <f t="shared" si="44"/>
        <v>20</v>
      </c>
      <c r="Y166" s="685"/>
      <c r="Z166" s="571">
        <v>19</v>
      </c>
      <c r="AA166" s="573">
        <v>1246.6666666666667</v>
      </c>
      <c r="AB166" s="573">
        <v>65.614035087719301</v>
      </c>
      <c r="AC166" s="571">
        <f t="shared" si="45"/>
        <v>21</v>
      </c>
      <c r="AD166" s="685"/>
      <c r="AE166" s="571">
        <v>19</v>
      </c>
      <c r="AF166" s="573">
        <v>1267.4999999999995</v>
      </c>
      <c r="AG166" s="573">
        <v>66.710526315789451</v>
      </c>
      <c r="AH166" s="571">
        <f t="shared" si="46"/>
        <v>20</v>
      </c>
      <c r="AI166" s="685"/>
      <c r="AJ166" s="571">
        <v>19</v>
      </c>
      <c r="AK166" s="573">
        <v>1245.9574468085109</v>
      </c>
      <c r="AL166" s="573">
        <v>65.576707726763729</v>
      </c>
      <c r="AM166" s="571">
        <f t="shared" si="47"/>
        <v>21</v>
      </c>
      <c r="AN166" s="685"/>
      <c r="AO166" s="571">
        <v>19</v>
      </c>
      <c r="AP166" s="573">
        <v>1271.578947368422</v>
      </c>
      <c r="AQ166" s="573">
        <v>66.925207756232737</v>
      </c>
      <c r="AR166" s="571">
        <f t="shared" si="48"/>
        <v>20</v>
      </c>
      <c r="AS166" s="685"/>
      <c r="AT166" s="571">
        <v>19</v>
      </c>
      <c r="AU166" s="573">
        <v>1300.4347826086957</v>
      </c>
      <c r="AV166" s="573">
        <v>68.443935926773463</v>
      </c>
      <c r="AW166" s="571">
        <f t="shared" si="49"/>
        <v>19</v>
      </c>
      <c r="AX166" s="685"/>
      <c r="AZ166" s="368" t="e">
        <f t="shared" si="50"/>
        <v>#N/A</v>
      </c>
      <c r="BA166" s="685"/>
    </row>
    <row r="167" spans="2:53">
      <c r="B167" s="660"/>
      <c r="C167" s="278">
        <v>21</v>
      </c>
      <c r="D167" s="201" t="s">
        <v>698</v>
      </c>
      <c r="E167" s="514">
        <v>21</v>
      </c>
      <c r="F167" s="201">
        <v>1440</v>
      </c>
      <c r="G167" s="199">
        <v>68.571428571428569</v>
      </c>
      <c r="H167" s="699"/>
      <c r="I167" s="363">
        <f t="shared" si="40"/>
        <v>20.714285714285715</v>
      </c>
      <c r="J167" s="363">
        <f t="shared" si="41"/>
        <v>1082.54019433496</v>
      </c>
      <c r="K167" s="199">
        <f t="shared" si="42"/>
        <v>52.288097110889332</v>
      </c>
      <c r="L167" s="634"/>
      <c r="M167" s="198">
        <f>RANK(K167, K$147:$K$176)</f>
        <v>24</v>
      </c>
      <c r="N167" s="652"/>
      <c r="O167" s="652"/>
      <c r="P167" s="571">
        <v>21</v>
      </c>
      <c r="Q167" s="573">
        <v>1093.7500000000002</v>
      </c>
      <c r="R167" s="573">
        <v>52.083333333333343</v>
      </c>
      <c r="S167" s="571">
        <f t="shared" si="43"/>
        <v>24</v>
      </c>
      <c r="T167" s="685"/>
      <c r="U167" s="571">
        <v>21</v>
      </c>
      <c r="V167" s="573">
        <v>1072.6530612244901</v>
      </c>
      <c r="W167" s="573">
        <v>51.078717201166192</v>
      </c>
      <c r="X167" s="571">
        <f t="shared" si="44"/>
        <v>24</v>
      </c>
      <c r="Y167" s="685"/>
      <c r="Z167" s="571">
        <v>20</v>
      </c>
      <c r="AA167" s="573">
        <v>1083.6363636363621</v>
      </c>
      <c r="AB167" s="573">
        <v>54.181818181818109</v>
      </c>
      <c r="AC167" s="571">
        <f t="shared" si="45"/>
        <v>24</v>
      </c>
      <c r="AD167" s="685"/>
      <c r="AE167" s="571">
        <v>20</v>
      </c>
      <c r="AF167" s="573">
        <v>1087.7419354838692</v>
      </c>
      <c r="AG167" s="573">
        <v>54.387096774193459</v>
      </c>
      <c r="AH167" s="571">
        <f t="shared" si="46"/>
        <v>24</v>
      </c>
      <c r="AI167" s="685"/>
      <c r="AJ167" s="571">
        <v>21</v>
      </c>
      <c r="AK167" s="573">
        <v>1079.9999999999991</v>
      </c>
      <c r="AL167" s="573">
        <v>51.428571428571388</v>
      </c>
      <c r="AM167" s="571">
        <f t="shared" si="47"/>
        <v>24</v>
      </c>
      <c r="AN167" s="685"/>
      <c r="AO167" s="571">
        <v>21</v>
      </c>
      <c r="AP167" s="573">
        <v>1080</v>
      </c>
      <c r="AQ167" s="573">
        <v>51.428571428571431</v>
      </c>
      <c r="AR167" s="571">
        <f t="shared" si="48"/>
        <v>24</v>
      </c>
      <c r="AS167" s="685"/>
      <c r="AT167" s="571">
        <v>21</v>
      </c>
      <c r="AU167" s="573">
        <v>1079.9999999999991</v>
      </c>
      <c r="AV167" s="573">
        <v>51.428571428571388</v>
      </c>
      <c r="AW167" s="571">
        <f t="shared" si="49"/>
        <v>24</v>
      </c>
      <c r="AX167" s="685"/>
      <c r="AZ167" s="368" t="e">
        <f t="shared" si="50"/>
        <v>#N/A</v>
      </c>
      <c r="BA167" s="685"/>
    </row>
    <row r="168" spans="2:53">
      <c r="B168" s="660"/>
      <c r="C168" s="278">
        <v>22</v>
      </c>
      <c r="D168" s="201" t="s">
        <v>700</v>
      </c>
      <c r="E168" s="514">
        <v>19</v>
      </c>
      <c r="F168" s="201">
        <v>1440</v>
      </c>
      <c r="G168" s="199">
        <v>75.78947368421052</v>
      </c>
      <c r="H168" s="699"/>
      <c r="I168" s="363">
        <f t="shared" si="40"/>
        <v>19</v>
      </c>
      <c r="J168" s="363">
        <f t="shared" si="41"/>
        <v>1325.4395472073827</v>
      </c>
      <c r="K168" s="199">
        <f t="shared" si="42"/>
        <v>69.759976168809629</v>
      </c>
      <c r="L168" s="634"/>
      <c r="M168" s="198">
        <f>RANK(K168, K$147:$K$176)</f>
        <v>18</v>
      </c>
      <c r="N168" s="652"/>
      <c r="O168" s="652"/>
      <c r="P168" s="571">
        <v>19</v>
      </c>
      <c r="Q168" s="573">
        <v>1331.9999999999989</v>
      </c>
      <c r="R168" s="573">
        <v>70.105263157894683</v>
      </c>
      <c r="S168" s="571">
        <f t="shared" si="43"/>
        <v>18</v>
      </c>
      <c r="T168" s="685"/>
      <c r="U168" s="571">
        <v>19</v>
      </c>
      <c r="V168" s="573">
        <v>1328.6956521739116</v>
      </c>
      <c r="W168" s="573">
        <v>69.931350114416404</v>
      </c>
      <c r="X168" s="571">
        <f t="shared" si="44"/>
        <v>18</v>
      </c>
      <c r="Y168" s="685"/>
      <c r="Z168" s="571">
        <v>19</v>
      </c>
      <c r="AA168" s="573">
        <v>1325.3571428571438</v>
      </c>
      <c r="AB168" s="573">
        <v>69.755639097744407</v>
      </c>
      <c r="AC168" s="571">
        <f t="shared" si="45"/>
        <v>17</v>
      </c>
      <c r="AD168" s="685"/>
      <c r="AE168" s="571">
        <v>19</v>
      </c>
      <c r="AF168" s="573">
        <v>1333.3333333333342</v>
      </c>
      <c r="AG168" s="573">
        <v>70.175438596491276</v>
      </c>
      <c r="AH168" s="571">
        <f t="shared" si="46"/>
        <v>18</v>
      </c>
      <c r="AI168" s="685"/>
      <c r="AJ168" s="571">
        <v>19</v>
      </c>
      <c r="AK168" s="573">
        <v>1334.5161290322594</v>
      </c>
      <c r="AL168" s="573">
        <v>70.237691001697868</v>
      </c>
      <c r="AM168" s="571">
        <f t="shared" si="47"/>
        <v>18</v>
      </c>
      <c r="AN168" s="685"/>
      <c r="AO168" s="571">
        <v>19</v>
      </c>
      <c r="AP168" s="573">
        <v>1323.5294117647077</v>
      </c>
      <c r="AQ168" s="573">
        <v>69.659442724458302</v>
      </c>
      <c r="AR168" s="571">
        <f t="shared" si="48"/>
        <v>18</v>
      </c>
      <c r="AS168" s="685"/>
      <c r="AT168" s="571">
        <v>19</v>
      </c>
      <c r="AU168" s="573">
        <v>1300.6451612903238</v>
      </c>
      <c r="AV168" s="573">
        <v>68.45500848896441</v>
      </c>
      <c r="AW168" s="571">
        <f t="shared" si="49"/>
        <v>18</v>
      </c>
      <c r="AX168" s="685"/>
      <c r="AZ168" s="368" t="e">
        <f t="shared" si="50"/>
        <v>#N/A</v>
      </c>
      <c r="BA168" s="685"/>
    </row>
    <row r="169" spans="2:53">
      <c r="B169" s="660"/>
      <c r="C169" s="278">
        <v>23</v>
      </c>
      <c r="D169" s="201" t="s">
        <v>731</v>
      </c>
      <c r="E169" s="514">
        <v>15</v>
      </c>
      <c r="F169" s="201">
        <v>1440</v>
      </c>
      <c r="G169" s="199">
        <v>96</v>
      </c>
      <c r="H169" s="699"/>
      <c r="I169" s="363">
        <f t="shared" si="40"/>
        <v>15.428571428571429</v>
      </c>
      <c r="J169" s="363">
        <f t="shared" si="41"/>
        <v>1332.3506267849884</v>
      </c>
      <c r="K169" s="199">
        <f t="shared" si="42"/>
        <v>86.442714400407468</v>
      </c>
      <c r="L169" s="634"/>
      <c r="M169" s="198">
        <f>RANK(K169, K$147:$K$176)</f>
        <v>5</v>
      </c>
      <c r="N169" s="652"/>
      <c r="O169" s="652"/>
      <c r="P169" s="571">
        <v>15</v>
      </c>
      <c r="Q169" s="573">
        <v>1326.5060240963851</v>
      </c>
      <c r="R169" s="573">
        <v>88.433734939759006</v>
      </c>
      <c r="S169" s="571">
        <f t="shared" si="43"/>
        <v>5</v>
      </c>
      <c r="T169" s="685"/>
      <c r="U169" s="571">
        <v>15</v>
      </c>
      <c r="V169" s="573">
        <v>1336.4383561643824</v>
      </c>
      <c r="W169" s="573">
        <v>89.09589041095883</v>
      </c>
      <c r="X169" s="571">
        <f t="shared" si="44"/>
        <v>5</v>
      </c>
      <c r="Y169" s="685"/>
      <c r="Z169" s="571">
        <v>15</v>
      </c>
      <c r="AA169" s="573">
        <v>1329.0000000000011</v>
      </c>
      <c r="AB169" s="573">
        <v>88.60000000000008</v>
      </c>
      <c r="AC169" s="571">
        <f t="shared" si="45"/>
        <v>5</v>
      </c>
      <c r="AD169" s="685"/>
      <c r="AE169" s="571">
        <v>16</v>
      </c>
      <c r="AF169" s="573">
        <v>1321.0344827586216</v>
      </c>
      <c r="AG169" s="573">
        <v>82.56465517241385</v>
      </c>
      <c r="AH169" s="571">
        <f t="shared" si="46"/>
        <v>7</v>
      </c>
      <c r="AI169" s="685"/>
      <c r="AJ169" s="571">
        <v>16</v>
      </c>
      <c r="AK169" s="573">
        <v>1339.0909090909104</v>
      </c>
      <c r="AL169" s="573">
        <v>83.693181818181898</v>
      </c>
      <c r="AM169" s="571">
        <f t="shared" si="47"/>
        <v>5</v>
      </c>
      <c r="AN169" s="685"/>
      <c r="AO169" s="571">
        <v>16</v>
      </c>
      <c r="AP169" s="573">
        <v>1339.3846153846168</v>
      </c>
      <c r="AQ169" s="573">
        <v>83.711538461538552</v>
      </c>
      <c r="AR169" s="571">
        <f t="shared" si="48"/>
        <v>5</v>
      </c>
      <c r="AS169" s="685"/>
      <c r="AT169" s="571">
        <v>15</v>
      </c>
      <c r="AU169" s="573">
        <v>1335.0000000000016</v>
      </c>
      <c r="AV169" s="573">
        <v>89.000000000000099</v>
      </c>
      <c r="AW169" s="571">
        <f t="shared" si="49"/>
        <v>6</v>
      </c>
      <c r="AX169" s="685"/>
      <c r="AZ169" s="368" t="e">
        <f t="shared" si="50"/>
        <v>#N/A</v>
      </c>
      <c r="BA169" s="685"/>
    </row>
    <row r="170" spans="2:53">
      <c r="B170" s="660"/>
      <c r="C170" s="278">
        <v>24</v>
      </c>
      <c r="D170" s="201" t="s">
        <v>757</v>
      </c>
      <c r="E170" s="514">
        <v>21</v>
      </c>
      <c r="F170" s="201">
        <v>1385</v>
      </c>
      <c r="G170" s="199">
        <v>65.952380952380949</v>
      </c>
      <c r="H170" s="699"/>
      <c r="I170" s="363">
        <f t="shared" si="40"/>
        <v>20.285714285714285</v>
      </c>
      <c r="J170" s="363">
        <f t="shared" si="41"/>
        <v>1214.6074506081786</v>
      </c>
      <c r="K170" s="199">
        <f t="shared" si="42"/>
        <v>59.901891487642175</v>
      </c>
      <c r="L170" s="634"/>
      <c r="M170" s="198">
        <f>RANK(K170, K$147:$K$176)</f>
        <v>22</v>
      </c>
      <c r="N170" s="652"/>
      <c r="O170" s="652"/>
      <c r="P170" s="571">
        <v>21</v>
      </c>
      <c r="Q170" s="573">
        <v>1218.4615384615377</v>
      </c>
      <c r="R170" s="573">
        <v>58.021978021977986</v>
      </c>
      <c r="S170" s="571">
        <f t="shared" si="43"/>
        <v>23</v>
      </c>
      <c r="T170" s="685"/>
      <c r="U170" s="571">
        <v>21</v>
      </c>
      <c r="V170" s="573">
        <v>1217.2727272727286</v>
      </c>
      <c r="W170" s="573">
        <v>57.965367965368031</v>
      </c>
      <c r="X170" s="571">
        <f t="shared" si="44"/>
        <v>23</v>
      </c>
      <c r="Y170" s="685"/>
      <c r="Z170" s="571">
        <v>20</v>
      </c>
      <c r="AA170" s="573">
        <v>1215.4838709677431</v>
      </c>
      <c r="AB170" s="573">
        <v>60.774193548387153</v>
      </c>
      <c r="AC170" s="571">
        <f t="shared" si="45"/>
        <v>22</v>
      </c>
      <c r="AD170" s="685"/>
      <c r="AE170" s="571">
        <v>20</v>
      </c>
      <c r="AF170" s="573">
        <v>1218.9130434782608</v>
      </c>
      <c r="AG170" s="573">
        <v>60.945652173913039</v>
      </c>
      <c r="AH170" s="571">
        <f t="shared" si="46"/>
        <v>22</v>
      </c>
      <c r="AI170" s="685"/>
      <c r="AJ170" s="571">
        <v>20</v>
      </c>
      <c r="AK170" s="573">
        <v>1207.1052631578939</v>
      </c>
      <c r="AL170" s="573">
        <v>60.355263157894697</v>
      </c>
      <c r="AM170" s="571">
        <f t="shared" si="47"/>
        <v>22</v>
      </c>
      <c r="AN170" s="685"/>
      <c r="AO170" s="571">
        <v>20</v>
      </c>
      <c r="AP170" s="573">
        <v>1207.1052631578939</v>
      </c>
      <c r="AQ170" s="573">
        <v>60.355263157894697</v>
      </c>
      <c r="AR170" s="571">
        <f t="shared" si="48"/>
        <v>22</v>
      </c>
      <c r="AS170" s="685"/>
      <c r="AT170" s="571">
        <v>20</v>
      </c>
      <c r="AU170" s="573">
        <v>1217.9104477611925</v>
      </c>
      <c r="AV170" s="573">
        <v>60.895522388059625</v>
      </c>
      <c r="AW170" s="571">
        <f t="shared" si="49"/>
        <v>22</v>
      </c>
      <c r="AX170" s="685"/>
      <c r="AZ170" s="368" t="e">
        <f t="shared" si="50"/>
        <v>#N/A</v>
      </c>
      <c r="BA170" s="685"/>
    </row>
    <row r="171" spans="2:53">
      <c r="B171" s="660"/>
      <c r="C171" s="278">
        <v>25</v>
      </c>
      <c r="D171" s="201"/>
      <c r="E171" s="514"/>
      <c r="F171" s="201"/>
      <c r="G171" s="199"/>
      <c r="H171" s="699"/>
      <c r="I171" s="363" t="str">
        <f t="shared" si="40"/>
        <v>-</v>
      </c>
      <c r="J171" s="363" t="str">
        <f t="shared" si="41"/>
        <v>-</v>
      </c>
      <c r="K171" s="199" t="str">
        <f t="shared" si="42"/>
        <v>-</v>
      </c>
      <c r="L171" s="634"/>
      <c r="M171" s="198" t="e">
        <f>RANK(K171, K$147:$K$176)</f>
        <v>#VALUE!</v>
      </c>
      <c r="N171" s="652"/>
      <c r="O171" s="652"/>
      <c r="P171" s="571" t="s">
        <v>585</v>
      </c>
      <c r="Q171" s="573" t="s">
        <v>585</v>
      </c>
      <c r="R171" s="573" t="s">
        <v>585</v>
      </c>
      <c r="S171" s="571" t="e">
        <f t="shared" si="43"/>
        <v>#VALUE!</v>
      </c>
      <c r="T171" s="685"/>
      <c r="U171" s="571" t="s">
        <v>585</v>
      </c>
      <c r="V171" s="573" t="s">
        <v>585</v>
      </c>
      <c r="W171" s="573" t="s">
        <v>585</v>
      </c>
      <c r="X171" s="571" t="e">
        <f t="shared" si="44"/>
        <v>#VALUE!</v>
      </c>
      <c r="Y171" s="685"/>
      <c r="Z171" s="571" t="s">
        <v>585</v>
      </c>
      <c r="AA171" s="573" t="s">
        <v>585</v>
      </c>
      <c r="AB171" s="573" t="s">
        <v>585</v>
      </c>
      <c r="AC171" s="571" t="e">
        <f t="shared" si="45"/>
        <v>#VALUE!</v>
      </c>
      <c r="AD171" s="685"/>
      <c r="AE171" s="571" t="s">
        <v>585</v>
      </c>
      <c r="AF171" s="573" t="s">
        <v>585</v>
      </c>
      <c r="AG171" s="573" t="s">
        <v>585</v>
      </c>
      <c r="AH171" s="571" t="e">
        <f t="shared" si="46"/>
        <v>#VALUE!</v>
      </c>
      <c r="AI171" s="685"/>
      <c r="AJ171" s="571" t="s">
        <v>585</v>
      </c>
      <c r="AK171" s="573" t="s">
        <v>585</v>
      </c>
      <c r="AL171" s="573" t="s">
        <v>585</v>
      </c>
      <c r="AM171" s="571" t="e">
        <f t="shared" si="47"/>
        <v>#VALUE!</v>
      </c>
      <c r="AN171" s="685"/>
      <c r="AO171" s="571" t="s">
        <v>585</v>
      </c>
      <c r="AP171" s="573" t="s">
        <v>585</v>
      </c>
      <c r="AQ171" s="573" t="s">
        <v>585</v>
      </c>
      <c r="AR171" s="571" t="e">
        <f t="shared" si="48"/>
        <v>#VALUE!</v>
      </c>
      <c r="AS171" s="685"/>
      <c r="AT171" s="571" t="s">
        <v>585</v>
      </c>
      <c r="AU171" s="573" t="s">
        <v>585</v>
      </c>
      <c r="AV171" s="573" t="s">
        <v>585</v>
      </c>
      <c r="AW171" s="571" t="e">
        <f t="shared" si="49"/>
        <v>#VALUE!</v>
      </c>
      <c r="AX171" s="685"/>
      <c r="AZ171" s="368" t="e">
        <f t="shared" si="50"/>
        <v>#N/A</v>
      </c>
      <c r="BA171" s="685"/>
    </row>
    <row r="172" spans="2:53">
      <c r="B172" s="660"/>
      <c r="C172" s="278">
        <v>26</v>
      </c>
      <c r="D172" s="201"/>
      <c r="E172" s="514"/>
      <c r="F172" s="201"/>
      <c r="G172" s="199"/>
      <c r="H172" s="699"/>
      <c r="I172" s="363" t="str">
        <f t="shared" si="40"/>
        <v>-</v>
      </c>
      <c r="J172" s="363" t="str">
        <f t="shared" si="41"/>
        <v>-</v>
      </c>
      <c r="K172" s="199" t="str">
        <f t="shared" si="42"/>
        <v>-</v>
      </c>
      <c r="L172" s="634"/>
      <c r="M172" s="198" t="e">
        <f>RANK(K172, K$147:$K$176)</f>
        <v>#VALUE!</v>
      </c>
      <c r="N172" s="652"/>
      <c r="O172" s="652"/>
      <c r="P172" s="571" t="s">
        <v>585</v>
      </c>
      <c r="Q172" s="573" t="s">
        <v>585</v>
      </c>
      <c r="R172" s="573" t="s">
        <v>585</v>
      </c>
      <c r="S172" s="571" t="e">
        <f t="shared" si="43"/>
        <v>#VALUE!</v>
      </c>
      <c r="T172" s="685"/>
      <c r="U172" s="571" t="s">
        <v>585</v>
      </c>
      <c r="V172" s="573" t="s">
        <v>585</v>
      </c>
      <c r="W172" s="573" t="s">
        <v>585</v>
      </c>
      <c r="X172" s="571" t="e">
        <f t="shared" si="44"/>
        <v>#VALUE!</v>
      </c>
      <c r="Y172" s="685"/>
      <c r="Z172" s="571" t="s">
        <v>585</v>
      </c>
      <c r="AA172" s="573" t="s">
        <v>585</v>
      </c>
      <c r="AB172" s="573" t="s">
        <v>585</v>
      </c>
      <c r="AC172" s="571" t="e">
        <f t="shared" si="45"/>
        <v>#VALUE!</v>
      </c>
      <c r="AD172" s="685"/>
      <c r="AE172" s="571" t="s">
        <v>585</v>
      </c>
      <c r="AF172" s="573" t="s">
        <v>585</v>
      </c>
      <c r="AG172" s="573" t="s">
        <v>585</v>
      </c>
      <c r="AH172" s="571" t="e">
        <f t="shared" si="46"/>
        <v>#VALUE!</v>
      </c>
      <c r="AI172" s="685"/>
      <c r="AJ172" s="571" t="s">
        <v>585</v>
      </c>
      <c r="AK172" s="573" t="s">
        <v>585</v>
      </c>
      <c r="AL172" s="573" t="s">
        <v>585</v>
      </c>
      <c r="AM172" s="571" t="e">
        <f t="shared" si="47"/>
        <v>#VALUE!</v>
      </c>
      <c r="AN172" s="685"/>
      <c r="AO172" s="571" t="s">
        <v>585</v>
      </c>
      <c r="AP172" s="573" t="s">
        <v>585</v>
      </c>
      <c r="AQ172" s="573" t="s">
        <v>585</v>
      </c>
      <c r="AR172" s="571" t="e">
        <f t="shared" si="48"/>
        <v>#VALUE!</v>
      </c>
      <c r="AS172" s="685"/>
      <c r="AT172" s="571" t="s">
        <v>585</v>
      </c>
      <c r="AU172" s="573" t="s">
        <v>585</v>
      </c>
      <c r="AV172" s="573" t="s">
        <v>585</v>
      </c>
      <c r="AW172" s="571" t="e">
        <f t="shared" si="49"/>
        <v>#VALUE!</v>
      </c>
      <c r="AX172" s="685"/>
      <c r="AZ172" s="368" t="e">
        <f t="shared" si="50"/>
        <v>#N/A</v>
      </c>
      <c r="BA172" s="685"/>
    </row>
    <row r="173" spans="2:53">
      <c r="B173" s="660"/>
      <c r="C173" s="278">
        <v>27</v>
      </c>
      <c r="D173" s="201"/>
      <c r="E173" s="514"/>
      <c r="F173" s="201"/>
      <c r="G173" s="199"/>
      <c r="H173" s="699"/>
      <c r="I173" s="363" t="str">
        <f t="shared" si="40"/>
        <v>-</v>
      </c>
      <c r="J173" s="363" t="str">
        <f t="shared" si="41"/>
        <v>-</v>
      </c>
      <c r="K173" s="199" t="str">
        <f t="shared" si="42"/>
        <v>-</v>
      </c>
      <c r="L173" s="634"/>
      <c r="M173" s="198" t="e">
        <f>RANK(K173, K$147:$K$176)</f>
        <v>#VALUE!</v>
      </c>
      <c r="N173" s="652"/>
      <c r="O173" s="652"/>
      <c r="P173" s="571" t="s">
        <v>585</v>
      </c>
      <c r="Q173" s="573" t="s">
        <v>585</v>
      </c>
      <c r="R173" s="573" t="s">
        <v>585</v>
      </c>
      <c r="S173" s="571" t="e">
        <f t="shared" si="43"/>
        <v>#VALUE!</v>
      </c>
      <c r="T173" s="685"/>
      <c r="U173" s="571" t="s">
        <v>585</v>
      </c>
      <c r="V173" s="573" t="s">
        <v>585</v>
      </c>
      <c r="W173" s="573" t="s">
        <v>585</v>
      </c>
      <c r="X173" s="571" t="e">
        <f t="shared" si="44"/>
        <v>#VALUE!</v>
      </c>
      <c r="Y173" s="685"/>
      <c r="Z173" s="571" t="s">
        <v>585</v>
      </c>
      <c r="AA173" s="573" t="s">
        <v>585</v>
      </c>
      <c r="AB173" s="573" t="s">
        <v>585</v>
      </c>
      <c r="AC173" s="571" t="e">
        <f t="shared" si="45"/>
        <v>#VALUE!</v>
      </c>
      <c r="AD173" s="685"/>
      <c r="AE173" s="571" t="s">
        <v>585</v>
      </c>
      <c r="AF173" s="573" t="s">
        <v>585</v>
      </c>
      <c r="AG173" s="573" t="s">
        <v>585</v>
      </c>
      <c r="AH173" s="571" t="e">
        <f t="shared" si="46"/>
        <v>#VALUE!</v>
      </c>
      <c r="AI173" s="685"/>
      <c r="AJ173" s="571" t="s">
        <v>585</v>
      </c>
      <c r="AK173" s="573" t="s">
        <v>585</v>
      </c>
      <c r="AL173" s="573" t="s">
        <v>585</v>
      </c>
      <c r="AM173" s="571" t="e">
        <f t="shared" si="47"/>
        <v>#VALUE!</v>
      </c>
      <c r="AN173" s="685"/>
      <c r="AO173" s="571" t="s">
        <v>585</v>
      </c>
      <c r="AP173" s="573" t="s">
        <v>585</v>
      </c>
      <c r="AQ173" s="573" t="s">
        <v>585</v>
      </c>
      <c r="AR173" s="571" t="e">
        <f t="shared" si="48"/>
        <v>#VALUE!</v>
      </c>
      <c r="AS173" s="685"/>
      <c r="AT173" s="571" t="s">
        <v>585</v>
      </c>
      <c r="AU173" s="573" t="s">
        <v>585</v>
      </c>
      <c r="AV173" s="573" t="s">
        <v>585</v>
      </c>
      <c r="AW173" s="571" t="e">
        <f t="shared" si="49"/>
        <v>#VALUE!</v>
      </c>
      <c r="AX173" s="685"/>
      <c r="AZ173" s="368" t="e">
        <f t="shared" si="50"/>
        <v>#N/A</v>
      </c>
      <c r="BA173" s="685"/>
    </row>
    <row r="174" spans="2:53">
      <c r="B174" s="660"/>
      <c r="C174" s="278">
        <v>28</v>
      </c>
      <c r="D174" s="201"/>
      <c r="E174" s="514"/>
      <c r="F174" s="201"/>
      <c r="G174" s="199"/>
      <c r="H174" s="699"/>
      <c r="I174" s="363" t="str">
        <f t="shared" si="40"/>
        <v>-</v>
      </c>
      <c r="J174" s="363" t="str">
        <f t="shared" si="41"/>
        <v>-</v>
      </c>
      <c r="K174" s="199" t="str">
        <f t="shared" si="42"/>
        <v>-</v>
      </c>
      <c r="L174" s="634"/>
      <c r="M174" s="198" t="e">
        <f>RANK(K174, K$147:$K$176)</f>
        <v>#VALUE!</v>
      </c>
      <c r="N174" s="652"/>
      <c r="O174" s="652"/>
      <c r="P174" s="571" t="s">
        <v>585</v>
      </c>
      <c r="Q174" s="573" t="s">
        <v>585</v>
      </c>
      <c r="R174" s="573" t="s">
        <v>585</v>
      </c>
      <c r="S174" s="571" t="e">
        <f t="shared" si="43"/>
        <v>#VALUE!</v>
      </c>
      <c r="T174" s="685"/>
      <c r="U174" s="571" t="s">
        <v>585</v>
      </c>
      <c r="V174" s="573" t="s">
        <v>585</v>
      </c>
      <c r="W174" s="573" t="s">
        <v>585</v>
      </c>
      <c r="X174" s="571" t="e">
        <f t="shared" si="44"/>
        <v>#VALUE!</v>
      </c>
      <c r="Y174" s="685"/>
      <c r="Z174" s="571" t="s">
        <v>585</v>
      </c>
      <c r="AA174" s="573" t="s">
        <v>585</v>
      </c>
      <c r="AB174" s="573" t="s">
        <v>585</v>
      </c>
      <c r="AC174" s="571" t="e">
        <f t="shared" si="45"/>
        <v>#VALUE!</v>
      </c>
      <c r="AD174" s="685"/>
      <c r="AE174" s="571" t="s">
        <v>585</v>
      </c>
      <c r="AF174" s="573" t="s">
        <v>585</v>
      </c>
      <c r="AG174" s="573" t="s">
        <v>585</v>
      </c>
      <c r="AH174" s="571" t="e">
        <f t="shared" si="46"/>
        <v>#VALUE!</v>
      </c>
      <c r="AI174" s="685"/>
      <c r="AJ174" s="571" t="s">
        <v>585</v>
      </c>
      <c r="AK174" s="573" t="s">
        <v>585</v>
      </c>
      <c r="AL174" s="573" t="s">
        <v>585</v>
      </c>
      <c r="AM174" s="571" t="e">
        <f t="shared" si="47"/>
        <v>#VALUE!</v>
      </c>
      <c r="AN174" s="685"/>
      <c r="AO174" s="571" t="s">
        <v>585</v>
      </c>
      <c r="AP174" s="573" t="s">
        <v>585</v>
      </c>
      <c r="AQ174" s="573" t="s">
        <v>585</v>
      </c>
      <c r="AR174" s="571" t="e">
        <f t="shared" si="48"/>
        <v>#VALUE!</v>
      </c>
      <c r="AS174" s="685"/>
      <c r="AT174" s="571" t="s">
        <v>585</v>
      </c>
      <c r="AU174" s="573" t="s">
        <v>585</v>
      </c>
      <c r="AV174" s="573" t="s">
        <v>585</v>
      </c>
      <c r="AW174" s="571" t="e">
        <f t="shared" si="49"/>
        <v>#VALUE!</v>
      </c>
      <c r="AX174" s="685"/>
      <c r="AZ174" s="368" t="e">
        <f t="shared" si="50"/>
        <v>#N/A</v>
      </c>
      <c r="BA174" s="685"/>
    </row>
    <row r="175" spans="2:53">
      <c r="B175" s="660"/>
      <c r="C175" s="278">
        <v>29</v>
      </c>
      <c r="D175" s="201"/>
      <c r="E175" s="514"/>
      <c r="F175" s="201"/>
      <c r="G175" s="199"/>
      <c r="H175" s="699"/>
      <c r="I175" s="363" t="str">
        <f t="shared" si="40"/>
        <v>-</v>
      </c>
      <c r="J175" s="363" t="str">
        <f t="shared" si="41"/>
        <v>-</v>
      </c>
      <c r="K175" s="199" t="str">
        <f t="shared" si="42"/>
        <v>-</v>
      </c>
      <c r="L175" s="634"/>
      <c r="M175" s="198" t="e">
        <f>RANK(K175, K$147:$K$176)</f>
        <v>#VALUE!</v>
      </c>
      <c r="N175" s="652"/>
      <c r="O175" s="652"/>
      <c r="P175" s="571" t="s">
        <v>585</v>
      </c>
      <c r="Q175" s="573" t="s">
        <v>585</v>
      </c>
      <c r="R175" s="573" t="s">
        <v>585</v>
      </c>
      <c r="S175" s="571" t="e">
        <f t="shared" si="43"/>
        <v>#VALUE!</v>
      </c>
      <c r="T175" s="685"/>
      <c r="U175" s="571" t="s">
        <v>585</v>
      </c>
      <c r="V175" s="573" t="s">
        <v>585</v>
      </c>
      <c r="W175" s="573" t="s">
        <v>585</v>
      </c>
      <c r="X175" s="571" t="e">
        <f t="shared" si="44"/>
        <v>#VALUE!</v>
      </c>
      <c r="Y175" s="685"/>
      <c r="Z175" s="571" t="s">
        <v>585</v>
      </c>
      <c r="AA175" s="573" t="s">
        <v>585</v>
      </c>
      <c r="AB175" s="573" t="s">
        <v>585</v>
      </c>
      <c r="AC175" s="571" t="e">
        <f t="shared" si="45"/>
        <v>#VALUE!</v>
      </c>
      <c r="AD175" s="685"/>
      <c r="AE175" s="571" t="s">
        <v>585</v>
      </c>
      <c r="AF175" s="573" t="s">
        <v>585</v>
      </c>
      <c r="AG175" s="573" t="s">
        <v>585</v>
      </c>
      <c r="AH175" s="571" t="e">
        <f t="shared" si="46"/>
        <v>#VALUE!</v>
      </c>
      <c r="AI175" s="685"/>
      <c r="AJ175" s="571" t="s">
        <v>585</v>
      </c>
      <c r="AK175" s="573" t="s">
        <v>585</v>
      </c>
      <c r="AL175" s="573" t="s">
        <v>585</v>
      </c>
      <c r="AM175" s="571" t="e">
        <f t="shared" si="47"/>
        <v>#VALUE!</v>
      </c>
      <c r="AN175" s="685"/>
      <c r="AO175" s="571" t="s">
        <v>585</v>
      </c>
      <c r="AP175" s="573" t="s">
        <v>585</v>
      </c>
      <c r="AQ175" s="573" t="s">
        <v>585</v>
      </c>
      <c r="AR175" s="571" t="e">
        <f t="shared" si="48"/>
        <v>#VALUE!</v>
      </c>
      <c r="AS175" s="685"/>
      <c r="AT175" s="571" t="s">
        <v>585</v>
      </c>
      <c r="AU175" s="573" t="s">
        <v>585</v>
      </c>
      <c r="AV175" s="573" t="s">
        <v>585</v>
      </c>
      <c r="AW175" s="571" t="e">
        <f t="shared" si="49"/>
        <v>#VALUE!</v>
      </c>
      <c r="AX175" s="685"/>
      <c r="AZ175" s="368" t="e">
        <f t="shared" si="50"/>
        <v>#N/A</v>
      </c>
      <c r="BA175" s="685"/>
    </row>
    <row r="176" spans="2:53">
      <c r="B176" s="660"/>
      <c r="C176" s="278">
        <v>30</v>
      </c>
      <c r="D176" s="201"/>
      <c r="E176" s="514"/>
      <c r="F176" s="201"/>
      <c r="G176" s="199"/>
      <c r="H176" s="700"/>
      <c r="I176" s="363" t="str">
        <f t="shared" si="40"/>
        <v>-</v>
      </c>
      <c r="J176" s="363" t="str">
        <f t="shared" si="41"/>
        <v>-</v>
      </c>
      <c r="K176" s="199" t="str">
        <f t="shared" si="42"/>
        <v>-</v>
      </c>
      <c r="L176" s="635"/>
      <c r="M176" s="198" t="e">
        <f>RANK(K176, K$147:$K$176)</f>
        <v>#VALUE!</v>
      </c>
      <c r="N176" s="652"/>
      <c r="O176" s="652"/>
      <c r="P176" s="571" t="s">
        <v>585</v>
      </c>
      <c r="Q176" s="573" t="s">
        <v>585</v>
      </c>
      <c r="R176" s="573" t="s">
        <v>585</v>
      </c>
      <c r="S176" s="571" t="e">
        <f t="shared" si="43"/>
        <v>#VALUE!</v>
      </c>
      <c r="T176" s="685"/>
      <c r="U176" s="571" t="s">
        <v>585</v>
      </c>
      <c r="V176" s="573" t="s">
        <v>585</v>
      </c>
      <c r="W176" s="573" t="s">
        <v>585</v>
      </c>
      <c r="X176" s="571" t="e">
        <f t="shared" si="44"/>
        <v>#VALUE!</v>
      </c>
      <c r="Y176" s="685"/>
      <c r="Z176" s="571" t="s">
        <v>585</v>
      </c>
      <c r="AA176" s="573" t="s">
        <v>585</v>
      </c>
      <c r="AB176" s="573" t="s">
        <v>585</v>
      </c>
      <c r="AC176" s="571" t="e">
        <f t="shared" si="45"/>
        <v>#VALUE!</v>
      </c>
      <c r="AD176" s="685"/>
      <c r="AE176" s="571" t="s">
        <v>585</v>
      </c>
      <c r="AF176" s="573" t="s">
        <v>585</v>
      </c>
      <c r="AG176" s="573" t="s">
        <v>585</v>
      </c>
      <c r="AH176" s="571" t="e">
        <f t="shared" si="46"/>
        <v>#VALUE!</v>
      </c>
      <c r="AI176" s="685"/>
      <c r="AJ176" s="571" t="s">
        <v>585</v>
      </c>
      <c r="AK176" s="573" t="s">
        <v>585</v>
      </c>
      <c r="AL176" s="573" t="s">
        <v>585</v>
      </c>
      <c r="AM176" s="571" t="e">
        <f t="shared" si="47"/>
        <v>#VALUE!</v>
      </c>
      <c r="AN176" s="685"/>
      <c r="AO176" s="571" t="s">
        <v>585</v>
      </c>
      <c r="AP176" s="573" t="s">
        <v>585</v>
      </c>
      <c r="AQ176" s="573" t="s">
        <v>585</v>
      </c>
      <c r="AR176" s="571" t="e">
        <f t="shared" si="48"/>
        <v>#VALUE!</v>
      </c>
      <c r="AS176" s="685"/>
      <c r="AT176" s="571" t="s">
        <v>585</v>
      </c>
      <c r="AU176" s="573" t="s">
        <v>585</v>
      </c>
      <c r="AV176" s="573" t="s">
        <v>585</v>
      </c>
      <c r="AW176" s="571" t="e">
        <f t="shared" si="49"/>
        <v>#VALUE!</v>
      </c>
      <c r="AX176" s="685"/>
      <c r="AZ176" s="368" t="e">
        <f t="shared" si="50"/>
        <v>#N/A</v>
      </c>
      <c r="BA176" s="685"/>
    </row>
    <row r="177" spans="2:53" ht="15.75">
      <c r="B177" s="664" t="s">
        <v>162</v>
      </c>
      <c r="C177" s="665"/>
      <c r="D177" s="665"/>
      <c r="E177" s="665"/>
      <c r="F177" s="665"/>
      <c r="G177" s="665"/>
      <c r="H177" s="666"/>
      <c r="I177" s="207"/>
      <c r="J177" s="207"/>
      <c r="K177" s="207"/>
      <c r="L177" s="207"/>
      <c r="M177" s="206"/>
      <c r="N177" s="653" t="s">
        <v>156</v>
      </c>
      <c r="O177" s="653" t="s">
        <v>105</v>
      </c>
      <c r="P177" s="652" t="s">
        <v>585</v>
      </c>
      <c r="Q177" s="711" t="s">
        <v>585</v>
      </c>
      <c r="R177" s="711" t="s">
        <v>585</v>
      </c>
      <c r="S177" s="660"/>
      <c r="T177" s="685"/>
      <c r="U177" s="649" t="s">
        <v>585</v>
      </c>
      <c r="V177" s="712" t="s">
        <v>585</v>
      </c>
      <c r="W177" s="712" t="s">
        <v>585</v>
      </c>
      <c r="X177" s="650"/>
      <c r="Y177" s="713"/>
      <c r="Z177" s="649" t="s">
        <v>585</v>
      </c>
      <c r="AA177" s="712" t="s">
        <v>585</v>
      </c>
      <c r="AB177" s="712" t="s">
        <v>585</v>
      </c>
      <c r="AC177" s="650"/>
      <c r="AD177" s="713"/>
      <c r="AE177" s="649" t="s">
        <v>585</v>
      </c>
      <c r="AF177" s="712" t="s">
        <v>585</v>
      </c>
      <c r="AG177" s="712" t="s">
        <v>585</v>
      </c>
      <c r="AH177" s="650"/>
      <c r="AI177" s="713"/>
      <c r="AJ177" s="649" t="s">
        <v>585</v>
      </c>
      <c r="AK177" s="712" t="s">
        <v>585</v>
      </c>
      <c r="AL177" s="712" t="s">
        <v>585</v>
      </c>
      <c r="AM177" s="650"/>
      <c r="AN177" s="713"/>
      <c r="AO177" s="649" t="s">
        <v>585</v>
      </c>
      <c r="AP177" s="712" t="s">
        <v>585</v>
      </c>
      <c r="AQ177" s="712" t="s">
        <v>585</v>
      </c>
      <c r="AR177" s="650"/>
      <c r="AS177" s="713"/>
      <c r="AT177" s="649" t="s">
        <v>585</v>
      </c>
      <c r="AU177" s="712" t="s">
        <v>585</v>
      </c>
      <c r="AV177" s="712" t="s">
        <v>585</v>
      </c>
      <c r="AW177" s="650"/>
      <c r="AX177" s="713"/>
    </row>
    <row r="178" spans="2:53" ht="15.75">
      <c r="B178" s="667"/>
      <c r="C178" s="667"/>
      <c r="D178" s="667"/>
      <c r="E178" s="667"/>
      <c r="F178" s="667"/>
      <c r="G178" s="667"/>
      <c r="H178" s="667"/>
      <c r="I178" s="204"/>
      <c r="J178" s="204"/>
      <c r="K178" s="204"/>
      <c r="L178" s="204"/>
      <c r="M178" s="205"/>
      <c r="N178" s="655"/>
      <c r="O178" s="655"/>
      <c r="P178" s="652" t="s">
        <v>585</v>
      </c>
      <c r="Q178" s="711" t="s">
        <v>585</v>
      </c>
      <c r="R178" s="711" t="s">
        <v>585</v>
      </c>
      <c r="S178" s="660"/>
      <c r="T178" s="685"/>
      <c r="U178" s="652" t="s">
        <v>585</v>
      </c>
      <c r="V178" s="711" t="s">
        <v>585</v>
      </c>
      <c r="W178" s="711" t="s">
        <v>585</v>
      </c>
      <c r="X178" s="660"/>
      <c r="Y178" s="685"/>
      <c r="Z178" s="652" t="s">
        <v>585</v>
      </c>
      <c r="AA178" s="711" t="s">
        <v>585</v>
      </c>
      <c r="AB178" s="711" t="s">
        <v>585</v>
      </c>
      <c r="AC178" s="660"/>
      <c r="AD178" s="685"/>
      <c r="AE178" s="652" t="s">
        <v>585</v>
      </c>
      <c r="AF178" s="711" t="s">
        <v>585</v>
      </c>
      <c r="AG178" s="711" t="s">
        <v>585</v>
      </c>
      <c r="AH178" s="660"/>
      <c r="AI178" s="685"/>
      <c r="AJ178" s="652" t="s">
        <v>585</v>
      </c>
      <c r="AK178" s="711" t="s">
        <v>585</v>
      </c>
      <c r="AL178" s="711" t="s">
        <v>585</v>
      </c>
      <c r="AM178" s="660"/>
      <c r="AN178" s="685"/>
      <c r="AO178" s="652" t="s">
        <v>585</v>
      </c>
      <c r="AP178" s="711" t="s">
        <v>585</v>
      </c>
      <c r="AQ178" s="711" t="s">
        <v>585</v>
      </c>
      <c r="AR178" s="660"/>
      <c r="AS178" s="685"/>
      <c r="AT178" s="652" t="s">
        <v>585</v>
      </c>
      <c r="AU178" s="711" t="s">
        <v>585</v>
      </c>
      <c r="AV178" s="711" t="s">
        <v>585</v>
      </c>
      <c r="AW178" s="660"/>
      <c r="AX178" s="685"/>
    </row>
    <row r="179" spans="2:53">
      <c r="B179" s="652" t="s">
        <v>154</v>
      </c>
      <c r="C179" s="652" t="s">
        <v>379</v>
      </c>
      <c r="D179" s="652"/>
      <c r="E179" s="652" t="s">
        <v>370</v>
      </c>
      <c r="F179" s="652"/>
      <c r="G179" s="652"/>
      <c r="H179" s="668" t="s">
        <v>366</v>
      </c>
      <c r="I179" s="636" t="s">
        <v>371</v>
      </c>
      <c r="J179" s="636"/>
      <c r="K179" s="636"/>
      <c r="L179" s="637" t="s">
        <v>366</v>
      </c>
      <c r="M179" s="643" t="s">
        <v>367</v>
      </c>
      <c r="N179" s="652"/>
      <c r="O179" s="652" t="s">
        <v>372</v>
      </c>
      <c r="P179" s="649" t="s">
        <v>368</v>
      </c>
      <c r="Q179" s="650"/>
      <c r="R179" s="650"/>
      <c r="S179" s="651"/>
      <c r="T179" s="652" t="s">
        <v>366</v>
      </c>
      <c r="U179" s="649" t="s">
        <v>368</v>
      </c>
      <c r="V179" s="650"/>
      <c r="W179" s="650"/>
      <c r="X179" s="651"/>
      <c r="Y179" s="652" t="s">
        <v>366</v>
      </c>
      <c r="Z179" s="649" t="s">
        <v>368</v>
      </c>
      <c r="AA179" s="650"/>
      <c r="AB179" s="650"/>
      <c r="AC179" s="651"/>
      <c r="AD179" s="652" t="s">
        <v>366</v>
      </c>
      <c r="AE179" s="649" t="s">
        <v>368</v>
      </c>
      <c r="AF179" s="650"/>
      <c r="AG179" s="650"/>
      <c r="AH179" s="651"/>
      <c r="AI179" s="652" t="s">
        <v>366</v>
      </c>
      <c r="AJ179" s="649" t="s">
        <v>368</v>
      </c>
      <c r="AK179" s="650"/>
      <c r="AL179" s="650"/>
      <c r="AM179" s="651"/>
      <c r="AN179" s="652" t="s">
        <v>366</v>
      </c>
      <c r="AO179" s="649" t="s">
        <v>368</v>
      </c>
      <c r="AP179" s="650"/>
      <c r="AQ179" s="650"/>
      <c r="AR179" s="651"/>
      <c r="AS179" s="652" t="s">
        <v>366</v>
      </c>
      <c r="AT179" s="649" t="s">
        <v>368</v>
      </c>
      <c r="AU179" s="650"/>
      <c r="AV179" s="650"/>
      <c r="AW179" s="651"/>
      <c r="AX179" s="652" t="s">
        <v>366</v>
      </c>
      <c r="BA179" s="652" t="s">
        <v>366</v>
      </c>
    </row>
    <row r="180" spans="2:53">
      <c r="B180" s="652"/>
      <c r="C180" s="652"/>
      <c r="D180" s="652"/>
      <c r="E180" s="652" t="s">
        <v>373</v>
      </c>
      <c r="F180" s="652"/>
      <c r="G180" s="652"/>
      <c r="H180" s="669"/>
      <c r="I180" s="636" t="s">
        <v>373</v>
      </c>
      <c r="J180" s="636"/>
      <c r="K180" s="636"/>
      <c r="L180" s="638"/>
      <c r="M180" s="644"/>
      <c r="N180" s="652"/>
      <c r="O180" s="652"/>
      <c r="P180" s="649" t="s">
        <v>374</v>
      </c>
      <c r="Q180" s="650"/>
      <c r="R180" s="650"/>
      <c r="S180" s="651"/>
      <c r="T180" s="652"/>
      <c r="U180" s="649" t="s">
        <v>374</v>
      </c>
      <c r="V180" s="650"/>
      <c r="W180" s="650"/>
      <c r="X180" s="651"/>
      <c r="Y180" s="652"/>
      <c r="Z180" s="649" t="s">
        <v>374</v>
      </c>
      <c r="AA180" s="650"/>
      <c r="AB180" s="650"/>
      <c r="AC180" s="651"/>
      <c r="AD180" s="652"/>
      <c r="AE180" s="649" t="s">
        <v>374</v>
      </c>
      <c r="AF180" s="650"/>
      <c r="AG180" s="650"/>
      <c r="AH180" s="651"/>
      <c r="AI180" s="652"/>
      <c r="AJ180" s="649" t="s">
        <v>374</v>
      </c>
      <c r="AK180" s="650"/>
      <c r="AL180" s="650"/>
      <c r="AM180" s="651"/>
      <c r="AN180" s="652"/>
      <c r="AO180" s="649" t="s">
        <v>374</v>
      </c>
      <c r="AP180" s="650"/>
      <c r="AQ180" s="650"/>
      <c r="AR180" s="651"/>
      <c r="AS180" s="652"/>
      <c r="AT180" s="649" t="s">
        <v>374</v>
      </c>
      <c r="AU180" s="650"/>
      <c r="AV180" s="650"/>
      <c r="AW180" s="651"/>
      <c r="AX180" s="652"/>
      <c r="BA180" s="652"/>
    </row>
    <row r="181" spans="2:53">
      <c r="B181" s="652"/>
      <c r="C181" s="652"/>
      <c r="D181" s="652"/>
      <c r="E181" s="304" t="s">
        <v>375</v>
      </c>
      <c r="F181" s="304" t="s">
        <v>376</v>
      </c>
      <c r="G181" s="304" t="s">
        <v>377</v>
      </c>
      <c r="H181" s="670"/>
      <c r="I181" s="305" t="s">
        <v>375</v>
      </c>
      <c r="J181" s="305" t="s">
        <v>376</v>
      </c>
      <c r="K181" s="305" t="s">
        <v>377</v>
      </c>
      <c r="L181" s="639"/>
      <c r="M181" s="645"/>
      <c r="N181" s="652"/>
      <c r="O181" s="652"/>
      <c r="P181" s="304" t="s">
        <v>375</v>
      </c>
      <c r="Q181" s="304" t="s">
        <v>376</v>
      </c>
      <c r="R181" s="304" t="s">
        <v>377</v>
      </c>
      <c r="S181" s="304" t="s">
        <v>367</v>
      </c>
      <c r="T181" s="652"/>
      <c r="U181" s="304" t="s">
        <v>375</v>
      </c>
      <c r="V181" s="304" t="s">
        <v>376</v>
      </c>
      <c r="W181" s="304" t="s">
        <v>377</v>
      </c>
      <c r="X181" s="304" t="s">
        <v>367</v>
      </c>
      <c r="Y181" s="652"/>
      <c r="Z181" s="304" t="s">
        <v>375</v>
      </c>
      <c r="AA181" s="304" t="s">
        <v>376</v>
      </c>
      <c r="AB181" s="304" t="s">
        <v>377</v>
      </c>
      <c r="AC181" s="304" t="s">
        <v>367</v>
      </c>
      <c r="AD181" s="652"/>
      <c r="AE181" s="304" t="s">
        <v>375</v>
      </c>
      <c r="AF181" s="304" t="s">
        <v>376</v>
      </c>
      <c r="AG181" s="304" t="s">
        <v>377</v>
      </c>
      <c r="AH181" s="304" t="s">
        <v>367</v>
      </c>
      <c r="AI181" s="652"/>
      <c r="AJ181" s="304" t="s">
        <v>375</v>
      </c>
      <c r="AK181" s="304" t="s">
        <v>376</v>
      </c>
      <c r="AL181" s="304" t="s">
        <v>377</v>
      </c>
      <c r="AM181" s="304" t="s">
        <v>367</v>
      </c>
      <c r="AN181" s="652"/>
      <c r="AO181" s="304" t="s">
        <v>375</v>
      </c>
      <c r="AP181" s="304" t="s">
        <v>376</v>
      </c>
      <c r="AQ181" s="304" t="s">
        <v>377</v>
      </c>
      <c r="AR181" s="304" t="s">
        <v>367</v>
      </c>
      <c r="AS181" s="652"/>
      <c r="AT181" s="304" t="s">
        <v>375</v>
      </c>
      <c r="AU181" s="304" t="s">
        <v>376</v>
      </c>
      <c r="AV181" s="304" t="s">
        <v>377</v>
      </c>
      <c r="AW181" s="304" t="s">
        <v>367</v>
      </c>
      <c r="AX181" s="652"/>
      <c r="AZ181" s="367" t="s">
        <v>367</v>
      </c>
      <c r="BA181" s="652"/>
    </row>
    <row r="182" spans="2:53">
      <c r="B182" s="652" t="s">
        <v>134</v>
      </c>
      <c r="C182" s="303">
        <v>1</v>
      </c>
      <c r="D182" s="201"/>
      <c r="E182" s="514"/>
      <c r="F182" s="201"/>
      <c r="G182" s="199"/>
      <c r="H182" s="698" t="e">
        <f>AVERAGE(G182:G211)</f>
        <v>#DIV/0!</v>
      </c>
      <c r="I182" s="363" t="str">
        <f>IFERROR(AVERAGE(P182,U182,Z182,AE182,AJ182,AO182,AT182),"-")</f>
        <v>-</v>
      </c>
      <c r="J182" s="363" t="str">
        <f>IFERROR(AVERAGE(Q182,V182,AA182,AF182,AK182,AP182,AU182),"-")</f>
        <v>-</v>
      </c>
      <c r="K182" s="199" t="str">
        <f>IFERROR(AVERAGE(R182,W182,AB182,AG182,AL182,AQ182,AV182),"-")</f>
        <v>-</v>
      </c>
      <c r="L182" s="633" t="str">
        <f>IFERROR(AVERAGE(K182:K211),"-")</f>
        <v>-</v>
      </c>
      <c r="M182" s="200" t="e">
        <f>RANK(K182, K$147:$K$176)</f>
        <v>#VALUE!</v>
      </c>
      <c r="N182" s="652"/>
      <c r="O182" s="652"/>
      <c r="P182" s="507"/>
      <c r="Q182" s="509"/>
      <c r="R182" s="509"/>
      <c r="S182" s="507"/>
      <c r="T182" s="685"/>
      <c r="U182" s="507"/>
      <c r="V182" s="509"/>
      <c r="W182" s="509"/>
      <c r="X182" s="507"/>
      <c r="Y182" s="685"/>
      <c r="Z182" s="507"/>
      <c r="AA182" s="509"/>
      <c r="AB182" s="509"/>
      <c r="AC182" s="507"/>
      <c r="AD182" s="685"/>
      <c r="AE182" s="507"/>
      <c r="AF182" s="509"/>
      <c r="AG182" s="509"/>
      <c r="AH182" s="507"/>
      <c r="AI182" s="685"/>
      <c r="AJ182" s="507"/>
      <c r="AK182" s="509"/>
      <c r="AL182" s="509"/>
      <c r="AM182" s="507"/>
      <c r="AN182" s="685"/>
      <c r="AO182" s="507"/>
      <c r="AP182" s="509"/>
      <c r="AQ182" s="509"/>
      <c r="AR182" s="507"/>
      <c r="AS182" s="685"/>
      <c r="AT182" s="507"/>
      <c r="AU182" s="509"/>
      <c r="AV182" s="509"/>
      <c r="AW182" s="507"/>
      <c r="AX182" s="685"/>
      <c r="AZ182" s="368" t="e">
        <f>RANK(AY182, AY$182:AY$211)</f>
        <v>#N/A</v>
      </c>
      <c r="BA182" s="685" t="e">
        <f>AVERAGE(AY182:AY211)</f>
        <v>#DIV/0!</v>
      </c>
    </row>
    <row r="183" spans="2:53">
      <c r="B183" s="660"/>
      <c r="C183" s="303">
        <v>2</v>
      </c>
      <c r="D183" s="201"/>
      <c r="E183" s="514"/>
      <c r="F183" s="201"/>
      <c r="G183" s="199"/>
      <c r="H183" s="699"/>
      <c r="I183" s="363" t="str">
        <f t="shared" ref="I183:I211" si="51">IFERROR(AVERAGE(P183,U183,Z183,AE183,AJ183,AO183,AT183),"-")</f>
        <v>-</v>
      </c>
      <c r="J183" s="363" t="str">
        <f t="shared" ref="J183:J211" si="52">IFERROR(AVERAGE(Q183,V183,AA183,AF183,AK183,AP183,AU183),"-")</f>
        <v>-</v>
      </c>
      <c r="K183" s="199" t="str">
        <f t="shared" ref="K183:K211" si="53">IFERROR(AVERAGE(R183,W183,AB183,AG183,AL183,AQ183,AV183),"-")</f>
        <v>-</v>
      </c>
      <c r="L183" s="634"/>
      <c r="M183" s="200" t="e">
        <f>RANK(K183, K$147:$K$176)</f>
        <v>#VALUE!</v>
      </c>
      <c r="N183" s="652"/>
      <c r="O183" s="652"/>
      <c r="P183" s="507"/>
      <c r="Q183" s="509"/>
      <c r="R183" s="509"/>
      <c r="S183" s="507"/>
      <c r="T183" s="685"/>
      <c r="U183" s="507"/>
      <c r="V183" s="509"/>
      <c r="W183" s="509"/>
      <c r="X183" s="507"/>
      <c r="Y183" s="685"/>
      <c r="Z183" s="507"/>
      <c r="AA183" s="509"/>
      <c r="AB183" s="509"/>
      <c r="AC183" s="507"/>
      <c r="AD183" s="685"/>
      <c r="AE183" s="507"/>
      <c r="AF183" s="509"/>
      <c r="AG183" s="509"/>
      <c r="AH183" s="507"/>
      <c r="AI183" s="685"/>
      <c r="AJ183" s="507"/>
      <c r="AK183" s="509"/>
      <c r="AL183" s="509"/>
      <c r="AM183" s="507"/>
      <c r="AN183" s="685"/>
      <c r="AO183" s="507"/>
      <c r="AP183" s="509"/>
      <c r="AQ183" s="509"/>
      <c r="AR183" s="507"/>
      <c r="AS183" s="685"/>
      <c r="AT183" s="507"/>
      <c r="AU183" s="509"/>
      <c r="AV183" s="509"/>
      <c r="AW183" s="507"/>
      <c r="AX183" s="685"/>
      <c r="AZ183" s="368" t="e">
        <f t="shared" ref="AZ183:AZ211" si="54">RANK(AY183, AY$182:AY$211)</f>
        <v>#N/A</v>
      </c>
      <c r="BA183" s="685"/>
    </row>
    <row r="184" spans="2:53">
      <c r="B184" s="660"/>
      <c r="C184" s="303">
        <v>3</v>
      </c>
      <c r="D184" s="201"/>
      <c r="E184" s="514"/>
      <c r="F184" s="201"/>
      <c r="G184" s="199"/>
      <c r="H184" s="699"/>
      <c r="I184" s="363" t="str">
        <f t="shared" si="51"/>
        <v>-</v>
      </c>
      <c r="J184" s="363" t="str">
        <f t="shared" si="52"/>
        <v>-</v>
      </c>
      <c r="K184" s="199" t="str">
        <f t="shared" si="53"/>
        <v>-</v>
      </c>
      <c r="L184" s="634"/>
      <c r="M184" s="200" t="e">
        <f>RANK(K184, K$147:$K$176)</f>
        <v>#VALUE!</v>
      </c>
      <c r="N184" s="652"/>
      <c r="O184" s="652"/>
      <c r="P184" s="507"/>
      <c r="Q184" s="509"/>
      <c r="R184" s="509"/>
      <c r="S184" s="507"/>
      <c r="T184" s="685"/>
      <c r="U184" s="507"/>
      <c r="V184" s="509"/>
      <c r="W184" s="509"/>
      <c r="X184" s="507"/>
      <c r="Y184" s="685"/>
      <c r="Z184" s="507"/>
      <c r="AA184" s="509"/>
      <c r="AB184" s="509"/>
      <c r="AC184" s="507"/>
      <c r="AD184" s="685"/>
      <c r="AE184" s="507"/>
      <c r="AF184" s="509"/>
      <c r="AG184" s="509"/>
      <c r="AH184" s="507"/>
      <c r="AI184" s="685"/>
      <c r="AJ184" s="507"/>
      <c r="AK184" s="509"/>
      <c r="AL184" s="509"/>
      <c r="AM184" s="507"/>
      <c r="AN184" s="685"/>
      <c r="AO184" s="507"/>
      <c r="AP184" s="509"/>
      <c r="AQ184" s="509"/>
      <c r="AR184" s="507"/>
      <c r="AS184" s="685"/>
      <c r="AT184" s="507"/>
      <c r="AU184" s="509"/>
      <c r="AV184" s="509"/>
      <c r="AW184" s="507"/>
      <c r="AX184" s="685"/>
      <c r="AZ184" s="368" t="e">
        <f t="shared" si="54"/>
        <v>#N/A</v>
      </c>
      <c r="BA184" s="685"/>
    </row>
    <row r="185" spans="2:53">
      <c r="B185" s="660"/>
      <c r="C185" s="303">
        <v>4</v>
      </c>
      <c r="D185" s="201"/>
      <c r="E185" s="514"/>
      <c r="F185" s="201"/>
      <c r="G185" s="199"/>
      <c r="H185" s="699"/>
      <c r="I185" s="363" t="str">
        <f t="shared" si="51"/>
        <v>-</v>
      </c>
      <c r="J185" s="363" t="str">
        <f t="shared" si="52"/>
        <v>-</v>
      </c>
      <c r="K185" s="199" t="str">
        <f t="shared" si="53"/>
        <v>-</v>
      </c>
      <c r="L185" s="634"/>
      <c r="M185" s="200" t="e">
        <f>RANK(K185, K$147:$K$176)</f>
        <v>#VALUE!</v>
      </c>
      <c r="N185" s="652"/>
      <c r="O185" s="652"/>
      <c r="P185" s="507"/>
      <c r="Q185" s="509"/>
      <c r="R185" s="509"/>
      <c r="S185" s="507"/>
      <c r="T185" s="685"/>
      <c r="U185" s="507"/>
      <c r="V185" s="509"/>
      <c r="W185" s="509"/>
      <c r="X185" s="507"/>
      <c r="Y185" s="685"/>
      <c r="Z185" s="507"/>
      <c r="AA185" s="509"/>
      <c r="AB185" s="509"/>
      <c r="AC185" s="507"/>
      <c r="AD185" s="685"/>
      <c r="AE185" s="507"/>
      <c r="AF185" s="509"/>
      <c r="AG185" s="509"/>
      <c r="AH185" s="507"/>
      <c r="AI185" s="685"/>
      <c r="AJ185" s="507"/>
      <c r="AK185" s="509"/>
      <c r="AL185" s="509"/>
      <c r="AM185" s="507"/>
      <c r="AN185" s="685"/>
      <c r="AO185" s="507"/>
      <c r="AP185" s="509"/>
      <c r="AQ185" s="509"/>
      <c r="AR185" s="507"/>
      <c r="AS185" s="685"/>
      <c r="AT185" s="507"/>
      <c r="AU185" s="509"/>
      <c r="AV185" s="509"/>
      <c r="AW185" s="507"/>
      <c r="AX185" s="685"/>
      <c r="AZ185" s="368" t="e">
        <f t="shared" si="54"/>
        <v>#N/A</v>
      </c>
      <c r="BA185" s="685"/>
    </row>
    <row r="186" spans="2:53">
      <c r="B186" s="660"/>
      <c r="C186" s="303">
        <v>5</v>
      </c>
      <c r="D186" s="201"/>
      <c r="E186" s="514"/>
      <c r="F186" s="201"/>
      <c r="G186" s="199"/>
      <c r="H186" s="699"/>
      <c r="I186" s="363" t="str">
        <f t="shared" si="51"/>
        <v>-</v>
      </c>
      <c r="J186" s="363" t="str">
        <f t="shared" si="52"/>
        <v>-</v>
      </c>
      <c r="K186" s="199" t="str">
        <f t="shared" si="53"/>
        <v>-</v>
      </c>
      <c r="L186" s="634"/>
      <c r="M186" s="200" t="e">
        <f>RANK(K186, K$147:$K$176)</f>
        <v>#VALUE!</v>
      </c>
      <c r="N186" s="652"/>
      <c r="O186" s="652"/>
      <c r="P186" s="507"/>
      <c r="Q186" s="509"/>
      <c r="R186" s="509"/>
      <c r="S186" s="507"/>
      <c r="T186" s="685"/>
      <c r="U186" s="507"/>
      <c r="V186" s="509"/>
      <c r="W186" s="509"/>
      <c r="X186" s="507"/>
      <c r="Y186" s="685"/>
      <c r="Z186" s="507"/>
      <c r="AA186" s="509"/>
      <c r="AB186" s="509"/>
      <c r="AC186" s="507"/>
      <c r="AD186" s="685"/>
      <c r="AE186" s="507"/>
      <c r="AF186" s="509"/>
      <c r="AG186" s="509"/>
      <c r="AH186" s="507"/>
      <c r="AI186" s="685"/>
      <c r="AJ186" s="507"/>
      <c r="AK186" s="509"/>
      <c r="AL186" s="509"/>
      <c r="AM186" s="507"/>
      <c r="AN186" s="685"/>
      <c r="AO186" s="507"/>
      <c r="AP186" s="509"/>
      <c r="AQ186" s="509"/>
      <c r="AR186" s="507"/>
      <c r="AS186" s="685"/>
      <c r="AT186" s="507"/>
      <c r="AU186" s="509"/>
      <c r="AV186" s="509"/>
      <c r="AW186" s="507"/>
      <c r="AX186" s="685"/>
      <c r="AZ186" s="368" t="e">
        <f t="shared" si="54"/>
        <v>#N/A</v>
      </c>
      <c r="BA186" s="685"/>
    </row>
    <row r="187" spans="2:53">
      <c r="B187" s="660"/>
      <c r="C187" s="303">
        <v>6</v>
      </c>
      <c r="D187" s="201"/>
      <c r="E187" s="514"/>
      <c r="F187" s="201"/>
      <c r="G187" s="199"/>
      <c r="H187" s="699"/>
      <c r="I187" s="363" t="str">
        <f t="shared" si="51"/>
        <v>-</v>
      </c>
      <c r="J187" s="363" t="str">
        <f t="shared" si="52"/>
        <v>-</v>
      </c>
      <c r="K187" s="199" t="str">
        <f t="shared" si="53"/>
        <v>-</v>
      </c>
      <c r="L187" s="634"/>
      <c r="M187" s="200" t="e">
        <f>RANK(K187, K$147:$K$176)</f>
        <v>#VALUE!</v>
      </c>
      <c r="N187" s="652"/>
      <c r="O187" s="652"/>
      <c r="P187" s="507"/>
      <c r="Q187" s="509"/>
      <c r="R187" s="509"/>
      <c r="S187" s="507"/>
      <c r="T187" s="685"/>
      <c r="U187" s="507"/>
      <c r="V187" s="509"/>
      <c r="W187" s="509"/>
      <c r="X187" s="507"/>
      <c r="Y187" s="685"/>
      <c r="Z187" s="507"/>
      <c r="AA187" s="509"/>
      <c r="AB187" s="509"/>
      <c r="AC187" s="507"/>
      <c r="AD187" s="685"/>
      <c r="AE187" s="507"/>
      <c r="AF187" s="509"/>
      <c r="AG187" s="509"/>
      <c r="AH187" s="507"/>
      <c r="AI187" s="685"/>
      <c r="AJ187" s="507"/>
      <c r="AK187" s="509"/>
      <c r="AL187" s="509"/>
      <c r="AM187" s="507"/>
      <c r="AN187" s="685"/>
      <c r="AO187" s="507"/>
      <c r="AP187" s="509"/>
      <c r="AQ187" s="509"/>
      <c r="AR187" s="507"/>
      <c r="AS187" s="685"/>
      <c r="AT187" s="507"/>
      <c r="AU187" s="509"/>
      <c r="AV187" s="509"/>
      <c r="AW187" s="507"/>
      <c r="AX187" s="685"/>
      <c r="AZ187" s="368" t="e">
        <f t="shared" si="54"/>
        <v>#N/A</v>
      </c>
      <c r="BA187" s="685"/>
    </row>
    <row r="188" spans="2:53">
      <c r="B188" s="660"/>
      <c r="C188" s="303">
        <v>7</v>
      </c>
      <c r="D188" s="201"/>
      <c r="E188" s="514"/>
      <c r="F188" s="201"/>
      <c r="G188" s="199"/>
      <c r="H188" s="699"/>
      <c r="I188" s="363" t="str">
        <f t="shared" si="51"/>
        <v>-</v>
      </c>
      <c r="J188" s="363" t="str">
        <f t="shared" si="52"/>
        <v>-</v>
      </c>
      <c r="K188" s="199" t="str">
        <f t="shared" si="53"/>
        <v>-</v>
      </c>
      <c r="L188" s="634"/>
      <c r="M188" s="200" t="e">
        <f>RANK(K188, K$147:$K$176)</f>
        <v>#VALUE!</v>
      </c>
      <c r="N188" s="652"/>
      <c r="O188" s="652"/>
      <c r="P188" s="507"/>
      <c r="Q188" s="509"/>
      <c r="R188" s="509"/>
      <c r="S188" s="507"/>
      <c r="T188" s="685"/>
      <c r="U188" s="507"/>
      <c r="V188" s="509"/>
      <c r="W188" s="509"/>
      <c r="X188" s="507"/>
      <c r="Y188" s="685"/>
      <c r="Z188" s="507"/>
      <c r="AA188" s="509"/>
      <c r="AB188" s="509"/>
      <c r="AC188" s="507"/>
      <c r="AD188" s="685"/>
      <c r="AE188" s="507"/>
      <c r="AF188" s="509"/>
      <c r="AG188" s="509"/>
      <c r="AH188" s="507"/>
      <c r="AI188" s="685"/>
      <c r="AJ188" s="507"/>
      <c r="AK188" s="509"/>
      <c r="AL188" s="509"/>
      <c r="AM188" s="507"/>
      <c r="AN188" s="685"/>
      <c r="AO188" s="507"/>
      <c r="AP188" s="509"/>
      <c r="AQ188" s="509"/>
      <c r="AR188" s="507"/>
      <c r="AS188" s="685"/>
      <c r="AT188" s="507"/>
      <c r="AU188" s="509"/>
      <c r="AV188" s="509"/>
      <c r="AW188" s="507"/>
      <c r="AX188" s="685"/>
      <c r="AZ188" s="368" t="e">
        <f t="shared" si="54"/>
        <v>#N/A</v>
      </c>
      <c r="BA188" s="685"/>
    </row>
    <row r="189" spans="2:53">
      <c r="B189" s="660"/>
      <c r="C189" s="303">
        <v>8</v>
      </c>
      <c r="D189" s="201"/>
      <c r="E189" s="514"/>
      <c r="F189" s="201"/>
      <c r="G189" s="199"/>
      <c r="H189" s="699"/>
      <c r="I189" s="363" t="str">
        <f t="shared" si="51"/>
        <v>-</v>
      </c>
      <c r="J189" s="363" t="str">
        <f t="shared" si="52"/>
        <v>-</v>
      </c>
      <c r="K189" s="199" t="str">
        <f t="shared" si="53"/>
        <v>-</v>
      </c>
      <c r="L189" s="634"/>
      <c r="M189" s="200" t="e">
        <f>RANK(K189, K$147:$K$176)</f>
        <v>#VALUE!</v>
      </c>
      <c r="N189" s="652"/>
      <c r="O189" s="652"/>
      <c r="P189" s="507"/>
      <c r="Q189" s="509"/>
      <c r="R189" s="509"/>
      <c r="S189" s="507"/>
      <c r="T189" s="685"/>
      <c r="U189" s="507"/>
      <c r="V189" s="509"/>
      <c r="W189" s="509"/>
      <c r="X189" s="507"/>
      <c r="Y189" s="685"/>
      <c r="Z189" s="507"/>
      <c r="AA189" s="509"/>
      <c r="AB189" s="509"/>
      <c r="AC189" s="507"/>
      <c r="AD189" s="685"/>
      <c r="AE189" s="507"/>
      <c r="AF189" s="509"/>
      <c r="AG189" s="509"/>
      <c r="AH189" s="507"/>
      <c r="AI189" s="685"/>
      <c r="AJ189" s="507"/>
      <c r="AK189" s="509"/>
      <c r="AL189" s="509"/>
      <c r="AM189" s="507"/>
      <c r="AN189" s="685"/>
      <c r="AO189" s="507"/>
      <c r="AP189" s="509"/>
      <c r="AQ189" s="509"/>
      <c r="AR189" s="507"/>
      <c r="AS189" s="685"/>
      <c r="AT189" s="507"/>
      <c r="AU189" s="509"/>
      <c r="AV189" s="509"/>
      <c r="AW189" s="507"/>
      <c r="AX189" s="685"/>
      <c r="AZ189" s="368" t="e">
        <f t="shared" si="54"/>
        <v>#N/A</v>
      </c>
      <c r="BA189" s="685"/>
    </row>
    <row r="190" spans="2:53">
      <c r="B190" s="660"/>
      <c r="C190" s="303">
        <v>9</v>
      </c>
      <c r="D190" s="201"/>
      <c r="E190" s="514"/>
      <c r="F190" s="201"/>
      <c r="G190" s="199"/>
      <c r="H190" s="699"/>
      <c r="I190" s="363" t="str">
        <f t="shared" si="51"/>
        <v>-</v>
      </c>
      <c r="J190" s="363" t="str">
        <f t="shared" si="52"/>
        <v>-</v>
      </c>
      <c r="K190" s="199" t="str">
        <f t="shared" si="53"/>
        <v>-</v>
      </c>
      <c r="L190" s="634"/>
      <c r="M190" s="200" t="e">
        <f>RANK(K190, K$147:$K$176)</f>
        <v>#VALUE!</v>
      </c>
      <c r="N190" s="652"/>
      <c r="O190" s="652"/>
      <c r="P190" s="507"/>
      <c r="Q190" s="509"/>
      <c r="R190" s="509"/>
      <c r="S190" s="507"/>
      <c r="T190" s="685"/>
      <c r="U190" s="507"/>
      <c r="V190" s="509"/>
      <c r="W190" s="509"/>
      <c r="X190" s="507"/>
      <c r="Y190" s="685"/>
      <c r="Z190" s="507"/>
      <c r="AA190" s="509"/>
      <c r="AB190" s="509"/>
      <c r="AC190" s="507"/>
      <c r="AD190" s="685"/>
      <c r="AE190" s="507"/>
      <c r="AF190" s="509"/>
      <c r="AG190" s="509"/>
      <c r="AH190" s="507"/>
      <c r="AI190" s="685"/>
      <c r="AJ190" s="507"/>
      <c r="AK190" s="509"/>
      <c r="AL190" s="509"/>
      <c r="AM190" s="507"/>
      <c r="AN190" s="685"/>
      <c r="AO190" s="507"/>
      <c r="AP190" s="509"/>
      <c r="AQ190" s="509"/>
      <c r="AR190" s="507"/>
      <c r="AS190" s="685"/>
      <c r="AT190" s="507"/>
      <c r="AU190" s="509"/>
      <c r="AV190" s="509"/>
      <c r="AW190" s="507"/>
      <c r="AX190" s="685"/>
      <c r="AZ190" s="368" t="e">
        <f t="shared" si="54"/>
        <v>#N/A</v>
      </c>
      <c r="BA190" s="685"/>
    </row>
    <row r="191" spans="2:53">
      <c r="B191" s="660"/>
      <c r="C191" s="303">
        <v>10</v>
      </c>
      <c r="D191" s="201"/>
      <c r="E191" s="514"/>
      <c r="F191" s="201"/>
      <c r="G191" s="199"/>
      <c r="H191" s="699"/>
      <c r="I191" s="363" t="str">
        <f t="shared" si="51"/>
        <v>-</v>
      </c>
      <c r="J191" s="363" t="str">
        <f t="shared" si="52"/>
        <v>-</v>
      </c>
      <c r="K191" s="199" t="str">
        <f t="shared" si="53"/>
        <v>-</v>
      </c>
      <c r="L191" s="634"/>
      <c r="M191" s="200" t="e">
        <f>RANK(K191, K$147:$K$176)</f>
        <v>#VALUE!</v>
      </c>
      <c r="N191" s="652"/>
      <c r="O191" s="652"/>
      <c r="P191" s="507"/>
      <c r="Q191" s="509"/>
      <c r="R191" s="509"/>
      <c r="S191" s="507"/>
      <c r="T191" s="685"/>
      <c r="U191" s="507"/>
      <c r="V191" s="509"/>
      <c r="W191" s="509"/>
      <c r="X191" s="507"/>
      <c r="Y191" s="685"/>
      <c r="Z191" s="507"/>
      <c r="AA191" s="509"/>
      <c r="AB191" s="509"/>
      <c r="AC191" s="507"/>
      <c r="AD191" s="685"/>
      <c r="AE191" s="507"/>
      <c r="AF191" s="509"/>
      <c r="AG191" s="509"/>
      <c r="AH191" s="507"/>
      <c r="AI191" s="685"/>
      <c r="AJ191" s="507"/>
      <c r="AK191" s="509"/>
      <c r="AL191" s="509"/>
      <c r="AM191" s="507"/>
      <c r="AN191" s="685"/>
      <c r="AO191" s="507"/>
      <c r="AP191" s="509"/>
      <c r="AQ191" s="509"/>
      <c r="AR191" s="507"/>
      <c r="AS191" s="685"/>
      <c r="AT191" s="507"/>
      <c r="AU191" s="509"/>
      <c r="AV191" s="509"/>
      <c r="AW191" s="507"/>
      <c r="AX191" s="685"/>
      <c r="AZ191" s="368" t="e">
        <f t="shared" si="54"/>
        <v>#N/A</v>
      </c>
      <c r="BA191" s="685"/>
    </row>
    <row r="192" spans="2:53">
      <c r="B192" s="660"/>
      <c r="C192" s="303">
        <v>11</v>
      </c>
      <c r="D192" s="201"/>
      <c r="E192" s="514"/>
      <c r="F192" s="201"/>
      <c r="G192" s="199"/>
      <c r="H192" s="699"/>
      <c r="I192" s="363" t="str">
        <f t="shared" si="51"/>
        <v>-</v>
      </c>
      <c r="J192" s="363" t="str">
        <f t="shared" si="52"/>
        <v>-</v>
      </c>
      <c r="K192" s="199" t="str">
        <f t="shared" si="53"/>
        <v>-</v>
      </c>
      <c r="L192" s="634"/>
      <c r="M192" s="200" t="e">
        <f>RANK(K192, K$147:$K$176)</f>
        <v>#VALUE!</v>
      </c>
      <c r="N192" s="652"/>
      <c r="O192" s="652"/>
      <c r="P192" s="507"/>
      <c r="Q192" s="509"/>
      <c r="R192" s="509"/>
      <c r="S192" s="507"/>
      <c r="T192" s="685"/>
      <c r="U192" s="507"/>
      <c r="V192" s="509"/>
      <c r="W192" s="509"/>
      <c r="X192" s="507"/>
      <c r="Y192" s="685"/>
      <c r="Z192" s="507"/>
      <c r="AA192" s="509"/>
      <c r="AB192" s="509"/>
      <c r="AC192" s="507"/>
      <c r="AD192" s="685"/>
      <c r="AE192" s="507"/>
      <c r="AF192" s="509"/>
      <c r="AG192" s="509"/>
      <c r="AH192" s="507"/>
      <c r="AI192" s="685"/>
      <c r="AJ192" s="507"/>
      <c r="AK192" s="509"/>
      <c r="AL192" s="509"/>
      <c r="AM192" s="507"/>
      <c r="AN192" s="685"/>
      <c r="AO192" s="507"/>
      <c r="AP192" s="509"/>
      <c r="AQ192" s="509"/>
      <c r="AR192" s="507"/>
      <c r="AS192" s="685"/>
      <c r="AT192" s="507"/>
      <c r="AU192" s="509"/>
      <c r="AV192" s="509"/>
      <c r="AW192" s="507"/>
      <c r="AX192" s="685"/>
      <c r="AZ192" s="368" t="e">
        <f t="shared" si="54"/>
        <v>#N/A</v>
      </c>
      <c r="BA192" s="685"/>
    </row>
    <row r="193" spans="2:53">
      <c r="B193" s="660"/>
      <c r="C193" s="303">
        <v>12</v>
      </c>
      <c r="D193" s="201"/>
      <c r="E193" s="514"/>
      <c r="F193" s="201"/>
      <c r="G193" s="199"/>
      <c r="H193" s="699"/>
      <c r="I193" s="363" t="str">
        <f t="shared" si="51"/>
        <v>-</v>
      </c>
      <c r="J193" s="363" t="str">
        <f t="shared" si="52"/>
        <v>-</v>
      </c>
      <c r="K193" s="199" t="str">
        <f t="shared" si="53"/>
        <v>-</v>
      </c>
      <c r="L193" s="634"/>
      <c r="M193" s="200" t="e">
        <f>RANK(K193, K$147:$K$176)</f>
        <v>#VALUE!</v>
      </c>
      <c r="N193" s="652"/>
      <c r="O193" s="652"/>
      <c r="P193" s="507"/>
      <c r="Q193" s="509"/>
      <c r="R193" s="509"/>
      <c r="S193" s="507"/>
      <c r="T193" s="685"/>
      <c r="U193" s="507"/>
      <c r="V193" s="509"/>
      <c r="W193" s="509"/>
      <c r="X193" s="507"/>
      <c r="Y193" s="685"/>
      <c r="Z193" s="507"/>
      <c r="AA193" s="509"/>
      <c r="AB193" s="509"/>
      <c r="AC193" s="507"/>
      <c r="AD193" s="685"/>
      <c r="AE193" s="507"/>
      <c r="AF193" s="509"/>
      <c r="AG193" s="509"/>
      <c r="AH193" s="507"/>
      <c r="AI193" s="685"/>
      <c r="AJ193" s="507"/>
      <c r="AK193" s="509"/>
      <c r="AL193" s="509"/>
      <c r="AM193" s="507"/>
      <c r="AN193" s="685"/>
      <c r="AO193" s="507"/>
      <c r="AP193" s="509"/>
      <c r="AQ193" s="509"/>
      <c r="AR193" s="507"/>
      <c r="AS193" s="685"/>
      <c r="AT193" s="507"/>
      <c r="AU193" s="509"/>
      <c r="AV193" s="509"/>
      <c r="AW193" s="507"/>
      <c r="AX193" s="685"/>
      <c r="AZ193" s="368" t="e">
        <f t="shared" si="54"/>
        <v>#N/A</v>
      </c>
      <c r="BA193" s="685"/>
    </row>
    <row r="194" spans="2:53">
      <c r="B194" s="660"/>
      <c r="C194" s="303">
        <v>13</v>
      </c>
      <c r="D194" s="201"/>
      <c r="E194" s="514"/>
      <c r="F194" s="201"/>
      <c r="G194" s="199"/>
      <c r="H194" s="699"/>
      <c r="I194" s="363" t="str">
        <f t="shared" si="51"/>
        <v>-</v>
      </c>
      <c r="J194" s="363" t="str">
        <f t="shared" si="52"/>
        <v>-</v>
      </c>
      <c r="K194" s="199" t="str">
        <f t="shared" si="53"/>
        <v>-</v>
      </c>
      <c r="L194" s="634"/>
      <c r="M194" s="200" t="e">
        <f>RANK(K194, K$147:$K$176)</f>
        <v>#VALUE!</v>
      </c>
      <c r="N194" s="652"/>
      <c r="O194" s="652"/>
      <c r="P194" s="507"/>
      <c r="Q194" s="509"/>
      <c r="R194" s="509"/>
      <c r="S194" s="507"/>
      <c r="T194" s="685"/>
      <c r="U194" s="507"/>
      <c r="V194" s="509"/>
      <c r="W194" s="509"/>
      <c r="X194" s="507"/>
      <c r="Y194" s="685"/>
      <c r="Z194" s="507"/>
      <c r="AA194" s="509"/>
      <c r="AB194" s="509"/>
      <c r="AC194" s="507"/>
      <c r="AD194" s="685"/>
      <c r="AE194" s="507"/>
      <c r="AF194" s="509"/>
      <c r="AG194" s="509"/>
      <c r="AH194" s="507"/>
      <c r="AI194" s="685"/>
      <c r="AJ194" s="507"/>
      <c r="AK194" s="509"/>
      <c r="AL194" s="509"/>
      <c r="AM194" s="507"/>
      <c r="AN194" s="685"/>
      <c r="AO194" s="507"/>
      <c r="AP194" s="509"/>
      <c r="AQ194" s="509"/>
      <c r="AR194" s="507"/>
      <c r="AS194" s="685"/>
      <c r="AT194" s="507"/>
      <c r="AU194" s="509"/>
      <c r="AV194" s="509"/>
      <c r="AW194" s="507"/>
      <c r="AX194" s="685"/>
      <c r="AZ194" s="368" t="e">
        <f t="shared" si="54"/>
        <v>#N/A</v>
      </c>
      <c r="BA194" s="685"/>
    </row>
    <row r="195" spans="2:53">
      <c r="B195" s="660"/>
      <c r="C195" s="303">
        <v>14</v>
      </c>
      <c r="D195" s="201"/>
      <c r="E195" s="514"/>
      <c r="F195" s="201"/>
      <c r="G195" s="199"/>
      <c r="H195" s="699"/>
      <c r="I195" s="363" t="str">
        <f t="shared" si="51"/>
        <v>-</v>
      </c>
      <c r="J195" s="363" t="str">
        <f t="shared" si="52"/>
        <v>-</v>
      </c>
      <c r="K195" s="199" t="str">
        <f t="shared" si="53"/>
        <v>-</v>
      </c>
      <c r="L195" s="634"/>
      <c r="M195" s="200" t="e">
        <f>RANK(K195, K$147:$K$176)</f>
        <v>#VALUE!</v>
      </c>
      <c r="N195" s="652"/>
      <c r="O195" s="652"/>
      <c r="P195" s="507"/>
      <c r="Q195" s="509"/>
      <c r="R195" s="509"/>
      <c r="S195" s="507"/>
      <c r="T195" s="685"/>
      <c r="U195" s="507"/>
      <c r="V195" s="509"/>
      <c r="W195" s="509"/>
      <c r="X195" s="507"/>
      <c r="Y195" s="685"/>
      <c r="Z195" s="507"/>
      <c r="AA195" s="509"/>
      <c r="AB195" s="509"/>
      <c r="AC195" s="507"/>
      <c r="AD195" s="685"/>
      <c r="AE195" s="507"/>
      <c r="AF195" s="509"/>
      <c r="AG195" s="509"/>
      <c r="AH195" s="507"/>
      <c r="AI195" s="685"/>
      <c r="AJ195" s="507"/>
      <c r="AK195" s="509"/>
      <c r="AL195" s="509"/>
      <c r="AM195" s="507"/>
      <c r="AN195" s="685"/>
      <c r="AO195" s="507"/>
      <c r="AP195" s="509"/>
      <c r="AQ195" s="509"/>
      <c r="AR195" s="507"/>
      <c r="AS195" s="685"/>
      <c r="AT195" s="507"/>
      <c r="AU195" s="509"/>
      <c r="AV195" s="509"/>
      <c r="AW195" s="507"/>
      <c r="AX195" s="685"/>
      <c r="AZ195" s="368" t="e">
        <f t="shared" si="54"/>
        <v>#N/A</v>
      </c>
      <c r="BA195" s="685"/>
    </row>
    <row r="196" spans="2:53">
      <c r="B196" s="660"/>
      <c r="C196" s="303">
        <v>15</v>
      </c>
      <c r="D196" s="201"/>
      <c r="E196" s="514"/>
      <c r="F196" s="201"/>
      <c r="G196" s="199"/>
      <c r="H196" s="699"/>
      <c r="I196" s="363" t="str">
        <f t="shared" si="51"/>
        <v>-</v>
      </c>
      <c r="J196" s="363" t="str">
        <f t="shared" si="52"/>
        <v>-</v>
      </c>
      <c r="K196" s="199" t="str">
        <f t="shared" si="53"/>
        <v>-</v>
      </c>
      <c r="L196" s="634"/>
      <c r="M196" s="198" t="e">
        <f>RANK(K196, K$147:$K$176)</f>
        <v>#VALUE!</v>
      </c>
      <c r="N196" s="652"/>
      <c r="O196" s="652"/>
      <c r="P196" s="507"/>
      <c r="Q196" s="509"/>
      <c r="R196" s="509"/>
      <c r="S196" s="507"/>
      <c r="T196" s="685"/>
      <c r="U196" s="507"/>
      <c r="V196" s="509"/>
      <c r="W196" s="509"/>
      <c r="X196" s="507"/>
      <c r="Y196" s="685"/>
      <c r="Z196" s="507"/>
      <c r="AA196" s="509"/>
      <c r="AB196" s="509"/>
      <c r="AC196" s="507"/>
      <c r="AD196" s="685"/>
      <c r="AE196" s="507"/>
      <c r="AF196" s="509"/>
      <c r="AG196" s="509"/>
      <c r="AH196" s="507"/>
      <c r="AI196" s="685"/>
      <c r="AJ196" s="507"/>
      <c r="AK196" s="509"/>
      <c r="AL196" s="509"/>
      <c r="AM196" s="507"/>
      <c r="AN196" s="685"/>
      <c r="AO196" s="507"/>
      <c r="AP196" s="509"/>
      <c r="AQ196" s="509"/>
      <c r="AR196" s="507"/>
      <c r="AS196" s="685"/>
      <c r="AT196" s="507"/>
      <c r="AU196" s="509"/>
      <c r="AV196" s="509"/>
      <c r="AW196" s="507"/>
      <c r="AX196" s="685"/>
      <c r="AZ196" s="368" t="e">
        <f t="shared" si="54"/>
        <v>#N/A</v>
      </c>
      <c r="BA196" s="685"/>
    </row>
    <row r="197" spans="2:53">
      <c r="B197" s="660"/>
      <c r="C197" s="303">
        <v>16</v>
      </c>
      <c r="D197" s="201"/>
      <c r="E197" s="514"/>
      <c r="F197" s="201"/>
      <c r="G197" s="199"/>
      <c r="H197" s="699"/>
      <c r="I197" s="363" t="str">
        <f t="shared" si="51"/>
        <v>-</v>
      </c>
      <c r="J197" s="363" t="str">
        <f t="shared" si="52"/>
        <v>-</v>
      </c>
      <c r="K197" s="199" t="str">
        <f t="shared" si="53"/>
        <v>-</v>
      </c>
      <c r="L197" s="634"/>
      <c r="M197" s="198" t="e">
        <f>RANK(K197, K$147:$K$176)</f>
        <v>#VALUE!</v>
      </c>
      <c r="N197" s="652"/>
      <c r="O197" s="652"/>
      <c r="P197" s="507"/>
      <c r="Q197" s="509"/>
      <c r="R197" s="509"/>
      <c r="S197" s="507"/>
      <c r="T197" s="685"/>
      <c r="U197" s="507"/>
      <c r="V197" s="509"/>
      <c r="W197" s="509"/>
      <c r="X197" s="507"/>
      <c r="Y197" s="685"/>
      <c r="Z197" s="507"/>
      <c r="AA197" s="509"/>
      <c r="AB197" s="509"/>
      <c r="AC197" s="507"/>
      <c r="AD197" s="685"/>
      <c r="AE197" s="507"/>
      <c r="AF197" s="509"/>
      <c r="AG197" s="509"/>
      <c r="AH197" s="507"/>
      <c r="AI197" s="685"/>
      <c r="AJ197" s="507"/>
      <c r="AK197" s="509"/>
      <c r="AL197" s="509"/>
      <c r="AM197" s="507"/>
      <c r="AN197" s="685"/>
      <c r="AO197" s="507"/>
      <c r="AP197" s="509"/>
      <c r="AQ197" s="509"/>
      <c r="AR197" s="507"/>
      <c r="AS197" s="685"/>
      <c r="AT197" s="507"/>
      <c r="AU197" s="509"/>
      <c r="AV197" s="509"/>
      <c r="AW197" s="507"/>
      <c r="AX197" s="685"/>
      <c r="AZ197" s="368" t="e">
        <f t="shared" si="54"/>
        <v>#N/A</v>
      </c>
      <c r="BA197" s="685"/>
    </row>
    <row r="198" spans="2:53">
      <c r="B198" s="660"/>
      <c r="C198" s="303">
        <v>17</v>
      </c>
      <c r="D198" s="201"/>
      <c r="E198" s="514"/>
      <c r="F198" s="201"/>
      <c r="G198" s="199"/>
      <c r="H198" s="699"/>
      <c r="I198" s="363" t="str">
        <f t="shared" si="51"/>
        <v>-</v>
      </c>
      <c r="J198" s="363" t="str">
        <f t="shared" si="52"/>
        <v>-</v>
      </c>
      <c r="K198" s="199" t="str">
        <f t="shared" si="53"/>
        <v>-</v>
      </c>
      <c r="L198" s="634"/>
      <c r="M198" s="198" t="e">
        <f>RANK(K198, K$147:$K$176)</f>
        <v>#VALUE!</v>
      </c>
      <c r="N198" s="652"/>
      <c r="O198" s="652"/>
      <c r="P198" s="507"/>
      <c r="Q198" s="509"/>
      <c r="R198" s="509"/>
      <c r="S198" s="507"/>
      <c r="T198" s="685"/>
      <c r="U198" s="507"/>
      <c r="V198" s="509"/>
      <c r="W198" s="509"/>
      <c r="X198" s="507"/>
      <c r="Y198" s="685"/>
      <c r="Z198" s="507"/>
      <c r="AA198" s="509"/>
      <c r="AB198" s="509"/>
      <c r="AC198" s="507"/>
      <c r="AD198" s="685"/>
      <c r="AE198" s="507"/>
      <c r="AF198" s="509"/>
      <c r="AG198" s="509"/>
      <c r="AH198" s="507"/>
      <c r="AI198" s="685"/>
      <c r="AJ198" s="507"/>
      <c r="AK198" s="509"/>
      <c r="AL198" s="509"/>
      <c r="AM198" s="507"/>
      <c r="AN198" s="685"/>
      <c r="AO198" s="507"/>
      <c r="AP198" s="509"/>
      <c r="AQ198" s="509"/>
      <c r="AR198" s="507"/>
      <c r="AS198" s="685"/>
      <c r="AT198" s="507"/>
      <c r="AU198" s="509"/>
      <c r="AV198" s="509"/>
      <c r="AW198" s="507"/>
      <c r="AX198" s="685"/>
      <c r="AZ198" s="368" t="e">
        <f t="shared" si="54"/>
        <v>#N/A</v>
      </c>
      <c r="BA198" s="685"/>
    </row>
    <row r="199" spans="2:53">
      <c r="B199" s="660"/>
      <c r="C199" s="303">
        <v>18</v>
      </c>
      <c r="D199" s="201"/>
      <c r="E199" s="514"/>
      <c r="F199" s="201"/>
      <c r="G199" s="199"/>
      <c r="H199" s="699"/>
      <c r="I199" s="363" t="str">
        <f t="shared" si="51"/>
        <v>-</v>
      </c>
      <c r="J199" s="363" t="str">
        <f t="shared" si="52"/>
        <v>-</v>
      </c>
      <c r="K199" s="199" t="str">
        <f t="shared" si="53"/>
        <v>-</v>
      </c>
      <c r="L199" s="634"/>
      <c r="M199" s="198" t="e">
        <f>RANK(K199, K$147:$K$176)</f>
        <v>#VALUE!</v>
      </c>
      <c r="N199" s="652"/>
      <c r="O199" s="652"/>
      <c r="P199" s="507"/>
      <c r="Q199" s="509"/>
      <c r="R199" s="509"/>
      <c r="S199" s="507"/>
      <c r="T199" s="685"/>
      <c r="U199" s="507"/>
      <c r="V199" s="509"/>
      <c r="W199" s="509"/>
      <c r="X199" s="507"/>
      <c r="Y199" s="685"/>
      <c r="Z199" s="507"/>
      <c r="AA199" s="509"/>
      <c r="AB199" s="509"/>
      <c r="AC199" s="507"/>
      <c r="AD199" s="685"/>
      <c r="AE199" s="507"/>
      <c r="AF199" s="509"/>
      <c r="AG199" s="509"/>
      <c r="AH199" s="507"/>
      <c r="AI199" s="685"/>
      <c r="AJ199" s="507"/>
      <c r="AK199" s="509"/>
      <c r="AL199" s="509"/>
      <c r="AM199" s="507"/>
      <c r="AN199" s="685"/>
      <c r="AO199" s="507"/>
      <c r="AP199" s="509"/>
      <c r="AQ199" s="509"/>
      <c r="AR199" s="507"/>
      <c r="AS199" s="685"/>
      <c r="AT199" s="507"/>
      <c r="AU199" s="509"/>
      <c r="AV199" s="509"/>
      <c r="AW199" s="507"/>
      <c r="AX199" s="685"/>
      <c r="AZ199" s="368" t="e">
        <f t="shared" si="54"/>
        <v>#N/A</v>
      </c>
      <c r="BA199" s="685"/>
    </row>
    <row r="200" spans="2:53">
      <c r="B200" s="660"/>
      <c r="C200" s="303">
        <v>19</v>
      </c>
      <c r="D200" s="201"/>
      <c r="E200" s="514"/>
      <c r="F200" s="201"/>
      <c r="G200" s="199"/>
      <c r="H200" s="699"/>
      <c r="I200" s="363" t="str">
        <f t="shared" si="51"/>
        <v>-</v>
      </c>
      <c r="J200" s="363" t="str">
        <f t="shared" si="52"/>
        <v>-</v>
      </c>
      <c r="K200" s="199" t="str">
        <f t="shared" si="53"/>
        <v>-</v>
      </c>
      <c r="L200" s="634"/>
      <c r="M200" s="198" t="e">
        <f>RANK(K200, K$147:$K$176)</f>
        <v>#VALUE!</v>
      </c>
      <c r="N200" s="652"/>
      <c r="O200" s="652"/>
      <c r="P200" s="507"/>
      <c r="Q200" s="509"/>
      <c r="R200" s="509"/>
      <c r="S200" s="507"/>
      <c r="T200" s="685"/>
      <c r="U200" s="507"/>
      <c r="V200" s="509"/>
      <c r="W200" s="509"/>
      <c r="X200" s="507"/>
      <c r="Y200" s="685"/>
      <c r="Z200" s="507"/>
      <c r="AA200" s="509"/>
      <c r="AB200" s="509"/>
      <c r="AC200" s="507"/>
      <c r="AD200" s="685"/>
      <c r="AE200" s="507"/>
      <c r="AF200" s="509"/>
      <c r="AG200" s="509"/>
      <c r="AH200" s="507"/>
      <c r="AI200" s="685"/>
      <c r="AJ200" s="507"/>
      <c r="AK200" s="509"/>
      <c r="AL200" s="509"/>
      <c r="AM200" s="507"/>
      <c r="AN200" s="685"/>
      <c r="AO200" s="507"/>
      <c r="AP200" s="509"/>
      <c r="AQ200" s="509"/>
      <c r="AR200" s="507"/>
      <c r="AS200" s="685"/>
      <c r="AT200" s="507"/>
      <c r="AU200" s="509"/>
      <c r="AV200" s="509"/>
      <c r="AW200" s="507"/>
      <c r="AX200" s="685"/>
      <c r="AZ200" s="368" t="e">
        <f t="shared" si="54"/>
        <v>#N/A</v>
      </c>
      <c r="BA200" s="685"/>
    </row>
    <row r="201" spans="2:53">
      <c r="B201" s="660"/>
      <c r="C201" s="303">
        <v>20</v>
      </c>
      <c r="D201" s="201"/>
      <c r="E201" s="514"/>
      <c r="F201" s="201"/>
      <c r="G201" s="199"/>
      <c r="H201" s="699"/>
      <c r="I201" s="363" t="str">
        <f t="shared" si="51"/>
        <v>-</v>
      </c>
      <c r="J201" s="363" t="str">
        <f t="shared" si="52"/>
        <v>-</v>
      </c>
      <c r="K201" s="199" t="str">
        <f t="shared" si="53"/>
        <v>-</v>
      </c>
      <c r="L201" s="634"/>
      <c r="M201" s="198" t="e">
        <f>RANK(K201, K$147:$K$176)</f>
        <v>#VALUE!</v>
      </c>
      <c r="N201" s="652"/>
      <c r="O201" s="652"/>
      <c r="P201" s="507"/>
      <c r="Q201" s="509"/>
      <c r="R201" s="509"/>
      <c r="S201" s="507"/>
      <c r="T201" s="685"/>
      <c r="U201" s="507"/>
      <c r="V201" s="509"/>
      <c r="W201" s="509"/>
      <c r="X201" s="507"/>
      <c r="Y201" s="685"/>
      <c r="Z201" s="507"/>
      <c r="AA201" s="509"/>
      <c r="AB201" s="509"/>
      <c r="AC201" s="507"/>
      <c r="AD201" s="685"/>
      <c r="AE201" s="507"/>
      <c r="AF201" s="509"/>
      <c r="AG201" s="509"/>
      <c r="AH201" s="507"/>
      <c r="AI201" s="685"/>
      <c r="AJ201" s="507"/>
      <c r="AK201" s="509"/>
      <c r="AL201" s="509"/>
      <c r="AM201" s="507"/>
      <c r="AN201" s="685"/>
      <c r="AO201" s="507"/>
      <c r="AP201" s="509"/>
      <c r="AQ201" s="509"/>
      <c r="AR201" s="507"/>
      <c r="AS201" s="685"/>
      <c r="AT201" s="507"/>
      <c r="AU201" s="509"/>
      <c r="AV201" s="509"/>
      <c r="AW201" s="507"/>
      <c r="AX201" s="685"/>
      <c r="AZ201" s="368" t="e">
        <f t="shared" si="54"/>
        <v>#N/A</v>
      </c>
      <c r="BA201" s="685"/>
    </row>
    <row r="202" spans="2:53">
      <c r="B202" s="660"/>
      <c r="C202" s="303">
        <v>21</v>
      </c>
      <c r="D202" s="201"/>
      <c r="E202" s="514"/>
      <c r="F202" s="201"/>
      <c r="G202" s="199"/>
      <c r="H202" s="699"/>
      <c r="I202" s="363" t="str">
        <f t="shared" si="51"/>
        <v>-</v>
      </c>
      <c r="J202" s="363" t="str">
        <f t="shared" si="52"/>
        <v>-</v>
      </c>
      <c r="K202" s="199" t="str">
        <f t="shared" si="53"/>
        <v>-</v>
      </c>
      <c r="L202" s="634"/>
      <c r="M202" s="198" t="e">
        <f>RANK(K202, K$147:$K$176)</f>
        <v>#VALUE!</v>
      </c>
      <c r="N202" s="652"/>
      <c r="O202" s="652"/>
      <c r="P202" s="507"/>
      <c r="Q202" s="509"/>
      <c r="R202" s="509"/>
      <c r="S202" s="507"/>
      <c r="T202" s="685"/>
      <c r="U202" s="507"/>
      <c r="V202" s="509"/>
      <c r="W202" s="509"/>
      <c r="X202" s="507"/>
      <c r="Y202" s="685"/>
      <c r="Z202" s="507"/>
      <c r="AA202" s="509"/>
      <c r="AB202" s="509"/>
      <c r="AC202" s="507"/>
      <c r="AD202" s="685"/>
      <c r="AE202" s="507"/>
      <c r="AF202" s="509"/>
      <c r="AG202" s="509"/>
      <c r="AH202" s="507"/>
      <c r="AI202" s="685"/>
      <c r="AJ202" s="507"/>
      <c r="AK202" s="509"/>
      <c r="AL202" s="509"/>
      <c r="AM202" s="507"/>
      <c r="AN202" s="685"/>
      <c r="AO202" s="507"/>
      <c r="AP202" s="509"/>
      <c r="AQ202" s="509"/>
      <c r="AR202" s="507"/>
      <c r="AS202" s="685"/>
      <c r="AT202" s="507"/>
      <c r="AU202" s="509"/>
      <c r="AV202" s="509"/>
      <c r="AW202" s="507"/>
      <c r="AX202" s="685"/>
      <c r="AZ202" s="368" t="e">
        <f t="shared" si="54"/>
        <v>#N/A</v>
      </c>
      <c r="BA202" s="685"/>
    </row>
    <row r="203" spans="2:53">
      <c r="B203" s="660"/>
      <c r="C203" s="303">
        <v>22</v>
      </c>
      <c r="D203" s="201"/>
      <c r="E203" s="514"/>
      <c r="F203" s="201"/>
      <c r="G203" s="199"/>
      <c r="H203" s="699"/>
      <c r="I203" s="363" t="str">
        <f t="shared" si="51"/>
        <v>-</v>
      </c>
      <c r="J203" s="363" t="str">
        <f t="shared" si="52"/>
        <v>-</v>
      </c>
      <c r="K203" s="199" t="str">
        <f t="shared" si="53"/>
        <v>-</v>
      </c>
      <c r="L203" s="634"/>
      <c r="M203" s="198" t="e">
        <f>RANK(K203, K$147:$K$176)</f>
        <v>#VALUE!</v>
      </c>
      <c r="N203" s="652"/>
      <c r="O203" s="652"/>
      <c r="P203" s="507"/>
      <c r="Q203" s="509"/>
      <c r="R203" s="509"/>
      <c r="S203" s="507"/>
      <c r="T203" s="685"/>
      <c r="U203" s="507"/>
      <c r="V203" s="509"/>
      <c r="W203" s="509"/>
      <c r="X203" s="507"/>
      <c r="Y203" s="685"/>
      <c r="Z203" s="507"/>
      <c r="AA203" s="509"/>
      <c r="AB203" s="509"/>
      <c r="AC203" s="507"/>
      <c r="AD203" s="685"/>
      <c r="AE203" s="507"/>
      <c r="AF203" s="509"/>
      <c r="AG203" s="509"/>
      <c r="AH203" s="507"/>
      <c r="AI203" s="685"/>
      <c r="AJ203" s="507"/>
      <c r="AK203" s="509"/>
      <c r="AL203" s="509"/>
      <c r="AM203" s="507"/>
      <c r="AN203" s="685"/>
      <c r="AO203" s="507"/>
      <c r="AP203" s="509"/>
      <c r="AQ203" s="509"/>
      <c r="AR203" s="507"/>
      <c r="AS203" s="685"/>
      <c r="AT203" s="507"/>
      <c r="AU203" s="509"/>
      <c r="AV203" s="509"/>
      <c r="AW203" s="507"/>
      <c r="AX203" s="685"/>
      <c r="AZ203" s="368" t="e">
        <f t="shared" si="54"/>
        <v>#N/A</v>
      </c>
      <c r="BA203" s="685"/>
    </row>
    <row r="204" spans="2:53">
      <c r="B204" s="660"/>
      <c r="C204" s="303">
        <v>23</v>
      </c>
      <c r="D204" s="201"/>
      <c r="E204" s="514"/>
      <c r="F204" s="201"/>
      <c r="G204" s="199"/>
      <c r="H204" s="699"/>
      <c r="I204" s="363" t="str">
        <f t="shared" si="51"/>
        <v>-</v>
      </c>
      <c r="J204" s="363" t="str">
        <f t="shared" si="52"/>
        <v>-</v>
      </c>
      <c r="K204" s="199" t="str">
        <f t="shared" si="53"/>
        <v>-</v>
      </c>
      <c r="L204" s="634"/>
      <c r="M204" s="198" t="e">
        <f>RANK(K204, K$147:$K$176)</f>
        <v>#VALUE!</v>
      </c>
      <c r="N204" s="652"/>
      <c r="O204" s="652"/>
      <c r="P204" s="507"/>
      <c r="Q204" s="509"/>
      <c r="R204" s="509"/>
      <c r="S204" s="507"/>
      <c r="T204" s="685"/>
      <c r="U204" s="507"/>
      <c r="V204" s="509"/>
      <c r="W204" s="509"/>
      <c r="X204" s="507"/>
      <c r="Y204" s="685"/>
      <c r="Z204" s="507"/>
      <c r="AA204" s="509"/>
      <c r="AB204" s="509"/>
      <c r="AC204" s="507"/>
      <c r="AD204" s="685"/>
      <c r="AE204" s="507"/>
      <c r="AF204" s="509"/>
      <c r="AG204" s="509"/>
      <c r="AH204" s="507"/>
      <c r="AI204" s="685"/>
      <c r="AJ204" s="507"/>
      <c r="AK204" s="509"/>
      <c r="AL204" s="509"/>
      <c r="AM204" s="507"/>
      <c r="AN204" s="685"/>
      <c r="AO204" s="507"/>
      <c r="AP204" s="509"/>
      <c r="AQ204" s="509"/>
      <c r="AR204" s="507"/>
      <c r="AS204" s="685"/>
      <c r="AT204" s="507"/>
      <c r="AU204" s="509"/>
      <c r="AV204" s="509"/>
      <c r="AW204" s="507"/>
      <c r="AX204" s="685"/>
      <c r="AZ204" s="368" t="e">
        <f t="shared" si="54"/>
        <v>#N/A</v>
      </c>
      <c r="BA204" s="685"/>
    </row>
    <row r="205" spans="2:53">
      <c r="B205" s="660"/>
      <c r="C205" s="303">
        <v>24</v>
      </c>
      <c r="D205" s="201"/>
      <c r="E205" s="514"/>
      <c r="F205" s="201"/>
      <c r="G205" s="199"/>
      <c r="H205" s="699"/>
      <c r="I205" s="363" t="str">
        <f t="shared" si="51"/>
        <v>-</v>
      </c>
      <c r="J205" s="363" t="str">
        <f t="shared" si="52"/>
        <v>-</v>
      </c>
      <c r="K205" s="199" t="str">
        <f t="shared" si="53"/>
        <v>-</v>
      </c>
      <c r="L205" s="634"/>
      <c r="M205" s="198" t="e">
        <f>RANK(K205, K$147:$K$176)</f>
        <v>#VALUE!</v>
      </c>
      <c r="N205" s="652"/>
      <c r="O205" s="652"/>
      <c r="P205" s="507"/>
      <c r="Q205" s="509"/>
      <c r="R205" s="509"/>
      <c r="S205" s="507"/>
      <c r="T205" s="685"/>
      <c r="U205" s="507"/>
      <c r="V205" s="509"/>
      <c r="W205" s="509"/>
      <c r="X205" s="507"/>
      <c r="Y205" s="685"/>
      <c r="Z205" s="507"/>
      <c r="AA205" s="509"/>
      <c r="AB205" s="509"/>
      <c r="AC205" s="507"/>
      <c r="AD205" s="685"/>
      <c r="AE205" s="507"/>
      <c r="AF205" s="509"/>
      <c r="AG205" s="509"/>
      <c r="AH205" s="507"/>
      <c r="AI205" s="685"/>
      <c r="AJ205" s="507"/>
      <c r="AK205" s="509"/>
      <c r="AL205" s="509"/>
      <c r="AM205" s="507"/>
      <c r="AN205" s="685"/>
      <c r="AO205" s="507"/>
      <c r="AP205" s="509"/>
      <c r="AQ205" s="509"/>
      <c r="AR205" s="507"/>
      <c r="AS205" s="685"/>
      <c r="AT205" s="507"/>
      <c r="AU205" s="509"/>
      <c r="AV205" s="509"/>
      <c r="AW205" s="507"/>
      <c r="AX205" s="685"/>
      <c r="AZ205" s="368" t="e">
        <f t="shared" si="54"/>
        <v>#N/A</v>
      </c>
      <c r="BA205" s="685"/>
    </row>
    <row r="206" spans="2:53">
      <c r="B206" s="660"/>
      <c r="C206" s="303">
        <v>25</v>
      </c>
      <c r="D206" s="201"/>
      <c r="E206" s="514"/>
      <c r="F206" s="201"/>
      <c r="G206" s="199"/>
      <c r="H206" s="699"/>
      <c r="I206" s="363" t="str">
        <f t="shared" si="51"/>
        <v>-</v>
      </c>
      <c r="J206" s="363" t="str">
        <f t="shared" si="52"/>
        <v>-</v>
      </c>
      <c r="K206" s="199" t="str">
        <f t="shared" si="53"/>
        <v>-</v>
      </c>
      <c r="L206" s="634"/>
      <c r="M206" s="198" t="e">
        <f>RANK(K206, K$147:$K$176)</f>
        <v>#VALUE!</v>
      </c>
      <c r="N206" s="652"/>
      <c r="O206" s="652"/>
      <c r="P206" s="507"/>
      <c r="Q206" s="509"/>
      <c r="R206" s="509"/>
      <c r="S206" s="507"/>
      <c r="T206" s="685"/>
      <c r="U206" s="507"/>
      <c r="V206" s="509"/>
      <c r="W206" s="509"/>
      <c r="X206" s="507"/>
      <c r="Y206" s="685"/>
      <c r="Z206" s="507"/>
      <c r="AA206" s="509"/>
      <c r="AB206" s="509"/>
      <c r="AC206" s="507"/>
      <c r="AD206" s="685"/>
      <c r="AE206" s="507"/>
      <c r="AF206" s="509"/>
      <c r="AG206" s="509"/>
      <c r="AH206" s="507"/>
      <c r="AI206" s="685"/>
      <c r="AJ206" s="507"/>
      <c r="AK206" s="509"/>
      <c r="AL206" s="509"/>
      <c r="AM206" s="507"/>
      <c r="AN206" s="685"/>
      <c r="AO206" s="507"/>
      <c r="AP206" s="509"/>
      <c r="AQ206" s="509"/>
      <c r="AR206" s="507"/>
      <c r="AS206" s="685"/>
      <c r="AT206" s="507"/>
      <c r="AU206" s="509"/>
      <c r="AV206" s="509"/>
      <c r="AW206" s="507"/>
      <c r="AX206" s="685"/>
      <c r="AZ206" s="368" t="e">
        <f t="shared" si="54"/>
        <v>#N/A</v>
      </c>
      <c r="BA206" s="685"/>
    </row>
    <row r="207" spans="2:53">
      <c r="B207" s="660"/>
      <c r="C207" s="303">
        <v>26</v>
      </c>
      <c r="D207" s="201"/>
      <c r="E207" s="514"/>
      <c r="F207" s="201"/>
      <c r="G207" s="199"/>
      <c r="H207" s="699"/>
      <c r="I207" s="363" t="str">
        <f t="shared" si="51"/>
        <v>-</v>
      </c>
      <c r="J207" s="363" t="str">
        <f t="shared" si="52"/>
        <v>-</v>
      </c>
      <c r="K207" s="199" t="str">
        <f t="shared" si="53"/>
        <v>-</v>
      </c>
      <c r="L207" s="634"/>
      <c r="M207" s="198" t="e">
        <f>RANK(K207, K$147:$K$176)</f>
        <v>#VALUE!</v>
      </c>
      <c r="N207" s="652"/>
      <c r="O207" s="652"/>
      <c r="P207" s="507"/>
      <c r="Q207" s="509"/>
      <c r="R207" s="509"/>
      <c r="S207" s="507"/>
      <c r="T207" s="685"/>
      <c r="U207" s="507"/>
      <c r="V207" s="509"/>
      <c r="W207" s="509"/>
      <c r="X207" s="507"/>
      <c r="Y207" s="685"/>
      <c r="Z207" s="507"/>
      <c r="AA207" s="509"/>
      <c r="AB207" s="509"/>
      <c r="AC207" s="507"/>
      <c r="AD207" s="685"/>
      <c r="AE207" s="507"/>
      <c r="AF207" s="509"/>
      <c r="AG207" s="509"/>
      <c r="AH207" s="507"/>
      <c r="AI207" s="685"/>
      <c r="AJ207" s="507"/>
      <c r="AK207" s="509"/>
      <c r="AL207" s="509"/>
      <c r="AM207" s="507"/>
      <c r="AN207" s="685"/>
      <c r="AO207" s="507"/>
      <c r="AP207" s="509"/>
      <c r="AQ207" s="509"/>
      <c r="AR207" s="507"/>
      <c r="AS207" s="685"/>
      <c r="AT207" s="507"/>
      <c r="AU207" s="509"/>
      <c r="AV207" s="509"/>
      <c r="AW207" s="507"/>
      <c r="AX207" s="685"/>
      <c r="AZ207" s="368" t="e">
        <f t="shared" si="54"/>
        <v>#N/A</v>
      </c>
      <c r="BA207" s="685"/>
    </row>
    <row r="208" spans="2:53">
      <c r="B208" s="660"/>
      <c r="C208" s="303">
        <v>27</v>
      </c>
      <c r="D208" s="201"/>
      <c r="E208" s="514"/>
      <c r="F208" s="201"/>
      <c r="G208" s="199"/>
      <c r="H208" s="699"/>
      <c r="I208" s="363" t="str">
        <f t="shared" si="51"/>
        <v>-</v>
      </c>
      <c r="J208" s="363" t="str">
        <f t="shared" si="52"/>
        <v>-</v>
      </c>
      <c r="K208" s="199" t="str">
        <f t="shared" si="53"/>
        <v>-</v>
      </c>
      <c r="L208" s="634"/>
      <c r="M208" s="198" t="e">
        <f>RANK(K208, K$147:$K$176)</f>
        <v>#VALUE!</v>
      </c>
      <c r="N208" s="652"/>
      <c r="O208" s="652"/>
      <c r="P208" s="507"/>
      <c r="Q208" s="509"/>
      <c r="R208" s="509"/>
      <c r="S208" s="507"/>
      <c r="T208" s="685"/>
      <c r="U208" s="507"/>
      <c r="V208" s="509"/>
      <c r="W208" s="509"/>
      <c r="X208" s="507"/>
      <c r="Y208" s="685"/>
      <c r="Z208" s="507"/>
      <c r="AA208" s="509"/>
      <c r="AB208" s="509"/>
      <c r="AC208" s="507"/>
      <c r="AD208" s="685"/>
      <c r="AE208" s="507"/>
      <c r="AF208" s="509"/>
      <c r="AG208" s="509"/>
      <c r="AH208" s="507"/>
      <c r="AI208" s="685"/>
      <c r="AJ208" s="507"/>
      <c r="AK208" s="509"/>
      <c r="AL208" s="509"/>
      <c r="AM208" s="507"/>
      <c r="AN208" s="685"/>
      <c r="AO208" s="507"/>
      <c r="AP208" s="509"/>
      <c r="AQ208" s="509"/>
      <c r="AR208" s="507"/>
      <c r="AS208" s="685"/>
      <c r="AT208" s="507"/>
      <c r="AU208" s="509"/>
      <c r="AV208" s="509"/>
      <c r="AW208" s="507"/>
      <c r="AX208" s="685"/>
      <c r="AZ208" s="368" t="e">
        <f t="shared" si="54"/>
        <v>#N/A</v>
      </c>
      <c r="BA208" s="685"/>
    </row>
    <row r="209" spans="2:53">
      <c r="B209" s="660"/>
      <c r="C209" s="303">
        <v>28</v>
      </c>
      <c r="D209" s="201"/>
      <c r="E209" s="514"/>
      <c r="F209" s="201"/>
      <c r="G209" s="199"/>
      <c r="H209" s="699"/>
      <c r="I209" s="363" t="str">
        <f t="shared" si="51"/>
        <v>-</v>
      </c>
      <c r="J209" s="363" t="str">
        <f t="shared" si="52"/>
        <v>-</v>
      </c>
      <c r="K209" s="199" t="str">
        <f t="shared" si="53"/>
        <v>-</v>
      </c>
      <c r="L209" s="634"/>
      <c r="M209" s="198" t="e">
        <f>RANK(K209, K$147:$K$176)</f>
        <v>#VALUE!</v>
      </c>
      <c r="N209" s="652"/>
      <c r="O209" s="652"/>
      <c r="P209" s="507"/>
      <c r="Q209" s="509"/>
      <c r="R209" s="509"/>
      <c r="S209" s="507"/>
      <c r="T209" s="685"/>
      <c r="U209" s="507"/>
      <c r="V209" s="509"/>
      <c r="W209" s="509"/>
      <c r="X209" s="507"/>
      <c r="Y209" s="685"/>
      <c r="Z209" s="507"/>
      <c r="AA209" s="509"/>
      <c r="AB209" s="509"/>
      <c r="AC209" s="507"/>
      <c r="AD209" s="685"/>
      <c r="AE209" s="507"/>
      <c r="AF209" s="509"/>
      <c r="AG209" s="509"/>
      <c r="AH209" s="507"/>
      <c r="AI209" s="685"/>
      <c r="AJ209" s="507"/>
      <c r="AK209" s="509"/>
      <c r="AL209" s="509"/>
      <c r="AM209" s="507"/>
      <c r="AN209" s="685"/>
      <c r="AO209" s="507"/>
      <c r="AP209" s="509"/>
      <c r="AQ209" s="509"/>
      <c r="AR209" s="507"/>
      <c r="AS209" s="685"/>
      <c r="AT209" s="507"/>
      <c r="AU209" s="509"/>
      <c r="AV209" s="509"/>
      <c r="AW209" s="507"/>
      <c r="AX209" s="685"/>
      <c r="AZ209" s="368" t="e">
        <f t="shared" si="54"/>
        <v>#N/A</v>
      </c>
      <c r="BA209" s="685"/>
    </row>
    <row r="210" spans="2:53">
      <c r="B210" s="660"/>
      <c r="C210" s="303">
        <v>29</v>
      </c>
      <c r="D210" s="201"/>
      <c r="E210" s="514"/>
      <c r="F210" s="201"/>
      <c r="G210" s="199"/>
      <c r="H210" s="699"/>
      <c r="I210" s="363" t="str">
        <f t="shared" si="51"/>
        <v>-</v>
      </c>
      <c r="J210" s="363" t="str">
        <f t="shared" si="52"/>
        <v>-</v>
      </c>
      <c r="K210" s="199" t="str">
        <f t="shared" si="53"/>
        <v>-</v>
      </c>
      <c r="L210" s="634"/>
      <c r="M210" s="198" t="e">
        <f>RANK(K210, K$147:$K$176)</f>
        <v>#VALUE!</v>
      </c>
      <c r="N210" s="652"/>
      <c r="O210" s="652"/>
      <c r="P210" s="507"/>
      <c r="Q210" s="509"/>
      <c r="R210" s="509"/>
      <c r="S210" s="507"/>
      <c r="T210" s="685"/>
      <c r="U210" s="507"/>
      <c r="V210" s="509"/>
      <c r="W210" s="509"/>
      <c r="X210" s="507"/>
      <c r="Y210" s="685"/>
      <c r="Z210" s="507"/>
      <c r="AA210" s="509"/>
      <c r="AB210" s="509"/>
      <c r="AC210" s="507"/>
      <c r="AD210" s="685"/>
      <c r="AE210" s="507"/>
      <c r="AF210" s="509"/>
      <c r="AG210" s="509"/>
      <c r="AH210" s="507"/>
      <c r="AI210" s="685"/>
      <c r="AJ210" s="507"/>
      <c r="AK210" s="509"/>
      <c r="AL210" s="509"/>
      <c r="AM210" s="507"/>
      <c r="AN210" s="685"/>
      <c r="AO210" s="507"/>
      <c r="AP210" s="509"/>
      <c r="AQ210" s="509"/>
      <c r="AR210" s="507"/>
      <c r="AS210" s="685"/>
      <c r="AT210" s="507"/>
      <c r="AU210" s="509"/>
      <c r="AV210" s="509"/>
      <c r="AW210" s="507"/>
      <c r="AX210" s="685"/>
      <c r="AZ210" s="368" t="e">
        <f t="shared" si="54"/>
        <v>#N/A</v>
      </c>
      <c r="BA210" s="685"/>
    </row>
    <row r="211" spans="2:53">
      <c r="B211" s="660"/>
      <c r="C211" s="303">
        <v>30</v>
      </c>
      <c r="D211" s="201"/>
      <c r="E211" s="514"/>
      <c r="F211" s="201"/>
      <c r="G211" s="199"/>
      <c r="H211" s="700"/>
      <c r="I211" s="363" t="str">
        <f t="shared" si="51"/>
        <v>-</v>
      </c>
      <c r="J211" s="363" t="str">
        <f t="shared" si="52"/>
        <v>-</v>
      </c>
      <c r="K211" s="199" t="str">
        <f t="shared" si="53"/>
        <v>-</v>
      </c>
      <c r="L211" s="635"/>
      <c r="M211" s="198" t="e">
        <f>RANK(K211, K$147:$K$176)</f>
        <v>#VALUE!</v>
      </c>
      <c r="N211" s="652"/>
      <c r="O211" s="652"/>
      <c r="P211" s="507"/>
      <c r="Q211" s="509"/>
      <c r="R211" s="509"/>
      <c r="S211" s="507"/>
      <c r="T211" s="685"/>
      <c r="U211" s="507"/>
      <c r="V211" s="509"/>
      <c r="W211" s="509"/>
      <c r="X211" s="507"/>
      <c r="Y211" s="685"/>
      <c r="Z211" s="507"/>
      <c r="AA211" s="509"/>
      <c r="AB211" s="509"/>
      <c r="AC211" s="507"/>
      <c r="AD211" s="685"/>
      <c r="AE211" s="507"/>
      <c r="AF211" s="509"/>
      <c r="AG211" s="509"/>
      <c r="AH211" s="507"/>
      <c r="AI211" s="685"/>
      <c r="AJ211" s="507"/>
      <c r="AK211" s="509"/>
      <c r="AL211" s="509"/>
      <c r="AM211" s="507"/>
      <c r="AN211" s="685"/>
      <c r="AO211" s="507"/>
      <c r="AP211" s="509"/>
      <c r="AQ211" s="509"/>
      <c r="AR211" s="507"/>
      <c r="AS211" s="685"/>
      <c r="AT211" s="507"/>
      <c r="AU211" s="509"/>
      <c r="AV211" s="509"/>
      <c r="AW211" s="507"/>
      <c r="AX211" s="685"/>
      <c r="AZ211" s="368" t="e">
        <f t="shared" si="54"/>
        <v>#N/A</v>
      </c>
      <c r="BA211" s="685"/>
    </row>
    <row r="213" spans="2:53" ht="15.75">
      <c r="B213" s="686" t="s">
        <v>472</v>
      </c>
      <c r="C213" s="687"/>
      <c r="D213" s="687"/>
      <c r="E213" s="687"/>
      <c r="F213" s="687"/>
      <c r="G213" s="687"/>
      <c r="H213" s="688"/>
      <c r="I213" s="307"/>
      <c r="J213" s="307"/>
      <c r="K213" s="307"/>
      <c r="L213" s="307"/>
      <c r="M213" s="308"/>
    </row>
    <row r="214" spans="2:53" ht="15.75">
      <c r="B214" s="689"/>
      <c r="C214" s="689"/>
      <c r="D214" s="689"/>
      <c r="E214" s="689"/>
      <c r="F214" s="689"/>
      <c r="G214" s="689"/>
      <c r="H214" s="689"/>
      <c r="I214" s="309"/>
      <c r="J214" s="309"/>
      <c r="K214" s="309"/>
      <c r="L214" s="309"/>
      <c r="M214" s="310"/>
    </row>
    <row r="215" spans="2:53">
      <c r="B215" s="652" t="s">
        <v>473</v>
      </c>
      <c r="C215" s="652" t="s">
        <v>474</v>
      </c>
      <c r="D215" s="652"/>
      <c r="E215" s="652" t="s">
        <v>475</v>
      </c>
      <c r="F215" s="652"/>
      <c r="G215" s="652"/>
      <c r="H215" s="652" t="s">
        <v>476</v>
      </c>
      <c r="I215" s="690" t="s">
        <v>477</v>
      </c>
      <c r="J215" s="690"/>
      <c r="K215" s="690"/>
      <c r="L215" s="690" t="s">
        <v>476</v>
      </c>
      <c r="M215" s="690" t="s">
        <v>478</v>
      </c>
    </row>
    <row r="216" spans="2:53">
      <c r="B216" s="652"/>
      <c r="C216" s="652"/>
      <c r="D216" s="652"/>
      <c r="E216" s="652" t="s">
        <v>479</v>
      </c>
      <c r="F216" s="652"/>
      <c r="G216" s="652"/>
      <c r="H216" s="652"/>
      <c r="I216" s="690" t="s">
        <v>479</v>
      </c>
      <c r="J216" s="690"/>
      <c r="K216" s="690"/>
      <c r="L216" s="690"/>
      <c r="M216" s="690"/>
    </row>
    <row r="217" spans="2:53">
      <c r="B217" s="652"/>
      <c r="C217" s="652"/>
      <c r="D217" s="652"/>
      <c r="E217" s="304" t="s">
        <v>480</v>
      </c>
      <c r="F217" s="304" t="s">
        <v>481</v>
      </c>
      <c r="G217" s="304" t="s">
        <v>482</v>
      </c>
      <c r="H217" s="652"/>
      <c r="I217" s="311" t="s">
        <v>480</v>
      </c>
      <c r="J217" s="311" t="s">
        <v>481</v>
      </c>
      <c r="K217" s="311" t="s">
        <v>482</v>
      </c>
      <c r="L217" s="690"/>
      <c r="M217" s="690"/>
    </row>
    <row r="218" spans="2:53">
      <c r="B218" s="652" t="s">
        <v>487</v>
      </c>
      <c r="C218" s="303">
        <v>1</v>
      </c>
      <c r="D218" s="303"/>
      <c r="E218" s="181"/>
      <c r="F218" s="303"/>
      <c r="G218" s="306"/>
      <c r="H218" s="685" t="e">
        <f>AVERAGE(G218:G247)</f>
        <v>#DIV/0!</v>
      </c>
      <c r="I218" s="198" t="e">
        <f t="shared" ref="I218:J241" si="55">AVERAGEIF($D$7:$D$211,$D218,I$7:I$211)</f>
        <v>#DIV/0!</v>
      </c>
      <c r="J218" s="198" t="e">
        <f t="shared" si="55"/>
        <v>#DIV/0!</v>
      </c>
      <c r="K218" s="198" t="e">
        <f t="shared" ref="K218:K241" si="56">AVERAGEIF($D$7:$D$211,$D218,K$7:K$211)</f>
        <v>#DIV/0!</v>
      </c>
      <c r="L218" s="693" t="e">
        <f>AVERAGE(K218:K247)</f>
        <v>#DIV/0!</v>
      </c>
      <c r="M218" s="198" t="e">
        <f>RANK(K218, K$218:$K$247)</f>
        <v>#DIV/0!</v>
      </c>
    </row>
    <row r="219" spans="2:53">
      <c r="B219" s="660"/>
      <c r="C219" s="303">
        <v>2</v>
      </c>
      <c r="D219" s="303"/>
      <c r="E219" s="181"/>
      <c r="F219" s="303"/>
      <c r="G219" s="306"/>
      <c r="H219" s="685"/>
      <c r="I219" s="198" t="e">
        <f t="shared" si="55"/>
        <v>#DIV/0!</v>
      </c>
      <c r="J219" s="198" t="e">
        <f t="shared" si="55"/>
        <v>#DIV/0!</v>
      </c>
      <c r="K219" s="198" t="e">
        <f t="shared" si="56"/>
        <v>#DIV/0!</v>
      </c>
      <c r="L219" s="693"/>
      <c r="M219" s="198" t="e">
        <f>RANK(K219, K$218:$K$247)</f>
        <v>#DIV/0!</v>
      </c>
    </row>
    <row r="220" spans="2:53">
      <c r="B220" s="660"/>
      <c r="C220" s="303">
        <v>3</v>
      </c>
      <c r="D220" s="303"/>
      <c r="E220" s="181"/>
      <c r="F220" s="303"/>
      <c r="G220" s="306"/>
      <c r="H220" s="685"/>
      <c r="I220" s="198" t="e">
        <f t="shared" si="55"/>
        <v>#DIV/0!</v>
      </c>
      <c r="J220" s="198" t="e">
        <f t="shared" si="55"/>
        <v>#DIV/0!</v>
      </c>
      <c r="K220" s="198" t="e">
        <f t="shared" si="56"/>
        <v>#DIV/0!</v>
      </c>
      <c r="L220" s="693"/>
      <c r="M220" s="198" t="e">
        <f>RANK(K220, K$218:$K$247)</f>
        <v>#DIV/0!</v>
      </c>
    </row>
    <row r="221" spans="2:53">
      <c r="B221" s="660"/>
      <c r="C221" s="303">
        <v>4</v>
      </c>
      <c r="D221" s="303"/>
      <c r="E221" s="181"/>
      <c r="F221" s="303"/>
      <c r="G221" s="306"/>
      <c r="H221" s="685"/>
      <c r="I221" s="198" t="e">
        <f t="shared" si="55"/>
        <v>#DIV/0!</v>
      </c>
      <c r="J221" s="198" t="e">
        <f t="shared" si="55"/>
        <v>#DIV/0!</v>
      </c>
      <c r="K221" s="198" t="e">
        <f t="shared" si="56"/>
        <v>#DIV/0!</v>
      </c>
      <c r="L221" s="693"/>
      <c r="M221" s="198" t="e">
        <f>RANK(K221, K$218:$K$247)</f>
        <v>#DIV/0!</v>
      </c>
    </row>
    <row r="222" spans="2:53">
      <c r="B222" s="660"/>
      <c r="C222" s="303">
        <v>5</v>
      </c>
      <c r="D222" s="303"/>
      <c r="E222" s="181"/>
      <c r="F222" s="303"/>
      <c r="G222" s="306"/>
      <c r="H222" s="685"/>
      <c r="I222" s="198" t="e">
        <f t="shared" si="55"/>
        <v>#DIV/0!</v>
      </c>
      <c r="J222" s="198" t="e">
        <f t="shared" si="55"/>
        <v>#DIV/0!</v>
      </c>
      <c r="K222" s="198" t="e">
        <f t="shared" si="56"/>
        <v>#DIV/0!</v>
      </c>
      <c r="L222" s="693"/>
      <c r="M222" s="198" t="e">
        <f>RANK(K222, K$218:$K$247)</f>
        <v>#DIV/0!</v>
      </c>
    </row>
    <row r="223" spans="2:53">
      <c r="B223" s="660"/>
      <c r="C223" s="303">
        <v>6</v>
      </c>
      <c r="D223" s="303"/>
      <c r="E223" s="181"/>
      <c r="F223" s="303"/>
      <c r="G223" s="306"/>
      <c r="H223" s="685"/>
      <c r="I223" s="198" t="e">
        <f t="shared" si="55"/>
        <v>#DIV/0!</v>
      </c>
      <c r="J223" s="198" t="e">
        <f t="shared" si="55"/>
        <v>#DIV/0!</v>
      </c>
      <c r="K223" s="198" t="e">
        <f t="shared" si="56"/>
        <v>#DIV/0!</v>
      </c>
      <c r="L223" s="693"/>
      <c r="M223" s="198" t="e">
        <f>RANK(K223, K$218:$K$247)</f>
        <v>#DIV/0!</v>
      </c>
    </row>
    <row r="224" spans="2:53">
      <c r="B224" s="660"/>
      <c r="C224" s="303">
        <v>7</v>
      </c>
      <c r="D224" s="303"/>
      <c r="E224" s="181"/>
      <c r="F224" s="303"/>
      <c r="G224" s="306"/>
      <c r="H224" s="685"/>
      <c r="I224" s="198" t="e">
        <f t="shared" si="55"/>
        <v>#DIV/0!</v>
      </c>
      <c r="J224" s="198" t="e">
        <f t="shared" si="55"/>
        <v>#DIV/0!</v>
      </c>
      <c r="K224" s="198" t="e">
        <f t="shared" si="56"/>
        <v>#DIV/0!</v>
      </c>
      <c r="L224" s="693"/>
      <c r="M224" s="198" t="e">
        <f>RANK(K224, K$218:$K$247)</f>
        <v>#DIV/0!</v>
      </c>
    </row>
    <row r="225" spans="2:39">
      <c r="B225" s="660"/>
      <c r="C225" s="303">
        <v>8</v>
      </c>
      <c r="D225" s="303"/>
      <c r="E225" s="181"/>
      <c r="F225" s="303"/>
      <c r="G225" s="306"/>
      <c r="H225" s="685"/>
      <c r="I225" s="198" t="e">
        <f t="shared" si="55"/>
        <v>#DIV/0!</v>
      </c>
      <c r="J225" s="198" t="e">
        <f t="shared" si="55"/>
        <v>#DIV/0!</v>
      </c>
      <c r="K225" s="198" t="e">
        <f t="shared" si="56"/>
        <v>#DIV/0!</v>
      </c>
      <c r="L225" s="693"/>
      <c r="M225" s="198" t="e">
        <f>RANK(K225, K$218:$K$247)</f>
        <v>#DIV/0!</v>
      </c>
      <c r="N225" s="107"/>
      <c r="O225" s="107"/>
      <c r="P225" s="107"/>
      <c r="Q225" s="107"/>
      <c r="R225" s="107"/>
      <c r="S225" s="107"/>
      <c r="T225" s="107"/>
      <c r="X225" s="107"/>
      <c r="AC225" s="107"/>
      <c r="AH225" s="107"/>
      <c r="AM225" s="107"/>
    </row>
    <row r="226" spans="2:39">
      <c r="B226" s="660"/>
      <c r="C226" s="303">
        <v>9</v>
      </c>
      <c r="D226" s="303"/>
      <c r="E226" s="181"/>
      <c r="F226" s="303"/>
      <c r="G226" s="306"/>
      <c r="H226" s="685"/>
      <c r="I226" s="198" t="e">
        <f t="shared" si="55"/>
        <v>#DIV/0!</v>
      </c>
      <c r="J226" s="198" t="e">
        <f t="shared" si="55"/>
        <v>#DIV/0!</v>
      </c>
      <c r="K226" s="198" t="e">
        <f t="shared" si="56"/>
        <v>#DIV/0!</v>
      </c>
      <c r="L226" s="693"/>
      <c r="M226" s="198" t="e">
        <f>RANK(K226, K$218:$K$247)</f>
        <v>#DIV/0!</v>
      </c>
      <c r="N226" s="107"/>
      <c r="O226" s="107"/>
      <c r="P226" s="107"/>
      <c r="Q226" s="107"/>
      <c r="R226" s="107"/>
      <c r="S226" s="107"/>
      <c r="T226" s="107"/>
      <c r="X226" s="107"/>
      <c r="AC226" s="107"/>
      <c r="AH226" s="107"/>
      <c r="AM226" s="107"/>
    </row>
    <row r="227" spans="2:39">
      <c r="B227" s="660"/>
      <c r="C227" s="303">
        <v>10</v>
      </c>
      <c r="D227" s="303"/>
      <c r="E227" s="181"/>
      <c r="F227" s="303"/>
      <c r="G227" s="306"/>
      <c r="H227" s="685"/>
      <c r="I227" s="198" t="e">
        <f t="shared" si="55"/>
        <v>#DIV/0!</v>
      </c>
      <c r="J227" s="198" t="e">
        <f t="shared" si="55"/>
        <v>#DIV/0!</v>
      </c>
      <c r="K227" s="198" t="e">
        <f t="shared" si="56"/>
        <v>#DIV/0!</v>
      </c>
      <c r="L227" s="693"/>
      <c r="M227" s="198" t="e">
        <f>RANK(K227, K$218:$K$247)</f>
        <v>#DIV/0!</v>
      </c>
      <c r="N227" s="107"/>
      <c r="O227" s="107"/>
      <c r="P227" s="107"/>
      <c r="Q227" s="107"/>
      <c r="R227" s="107"/>
      <c r="S227" s="107"/>
      <c r="T227" s="107"/>
      <c r="X227" s="107"/>
      <c r="AC227" s="107"/>
      <c r="AH227" s="107"/>
      <c r="AM227" s="107"/>
    </row>
    <row r="228" spans="2:39">
      <c r="B228" s="660"/>
      <c r="C228" s="303">
        <v>11</v>
      </c>
      <c r="D228" s="303"/>
      <c r="E228" s="181"/>
      <c r="F228" s="303"/>
      <c r="G228" s="306"/>
      <c r="H228" s="685"/>
      <c r="I228" s="198" t="e">
        <f t="shared" si="55"/>
        <v>#DIV/0!</v>
      </c>
      <c r="J228" s="198" t="e">
        <f t="shared" si="55"/>
        <v>#DIV/0!</v>
      </c>
      <c r="K228" s="198" t="e">
        <f t="shared" si="56"/>
        <v>#DIV/0!</v>
      </c>
      <c r="L228" s="693"/>
      <c r="M228" s="198" t="e">
        <f>RANK(K228, K$218:$K$247)</f>
        <v>#DIV/0!</v>
      </c>
      <c r="N228" s="107"/>
      <c r="O228" s="107"/>
      <c r="P228" s="107"/>
      <c r="Q228" s="107"/>
      <c r="R228" s="107"/>
      <c r="S228" s="107"/>
      <c r="T228" s="107"/>
      <c r="X228" s="107"/>
      <c r="AC228" s="107"/>
      <c r="AH228" s="107"/>
      <c r="AM228" s="107"/>
    </row>
    <row r="229" spans="2:39">
      <c r="B229" s="660"/>
      <c r="C229" s="303">
        <v>12</v>
      </c>
      <c r="D229" s="303"/>
      <c r="E229" s="181"/>
      <c r="F229" s="303"/>
      <c r="G229" s="306"/>
      <c r="H229" s="685"/>
      <c r="I229" s="198" t="e">
        <f t="shared" si="55"/>
        <v>#DIV/0!</v>
      </c>
      <c r="J229" s="198" t="e">
        <f t="shared" si="55"/>
        <v>#DIV/0!</v>
      </c>
      <c r="K229" s="198" t="e">
        <f t="shared" si="56"/>
        <v>#DIV/0!</v>
      </c>
      <c r="L229" s="693"/>
      <c r="M229" s="198" t="e">
        <f>RANK(K229, K$218:$K$247)</f>
        <v>#DIV/0!</v>
      </c>
      <c r="N229" s="107"/>
      <c r="O229" s="107"/>
      <c r="P229" s="107"/>
      <c r="Q229" s="107"/>
      <c r="R229" s="107"/>
      <c r="S229" s="107"/>
      <c r="T229" s="107"/>
      <c r="X229" s="107"/>
      <c r="AC229" s="107"/>
      <c r="AH229" s="107"/>
      <c r="AM229" s="107"/>
    </row>
    <row r="230" spans="2:39">
      <c r="B230" s="660"/>
      <c r="C230" s="303">
        <v>13</v>
      </c>
      <c r="D230" s="303"/>
      <c r="E230" s="181"/>
      <c r="F230" s="303"/>
      <c r="G230" s="306"/>
      <c r="H230" s="685"/>
      <c r="I230" s="198" t="e">
        <f t="shared" si="55"/>
        <v>#DIV/0!</v>
      </c>
      <c r="J230" s="198" t="e">
        <f t="shared" si="55"/>
        <v>#DIV/0!</v>
      </c>
      <c r="K230" s="198" t="e">
        <f t="shared" si="56"/>
        <v>#DIV/0!</v>
      </c>
      <c r="L230" s="693"/>
      <c r="M230" s="198" t="e">
        <f>RANK(K230, K$218:$K$247)</f>
        <v>#DIV/0!</v>
      </c>
      <c r="N230" s="107"/>
      <c r="O230" s="107"/>
      <c r="P230" s="107"/>
      <c r="Q230" s="107"/>
      <c r="R230" s="107"/>
      <c r="S230" s="107"/>
      <c r="T230" s="107"/>
      <c r="X230" s="107"/>
      <c r="AC230" s="107"/>
      <c r="AH230" s="107"/>
      <c r="AM230" s="107"/>
    </row>
    <row r="231" spans="2:39">
      <c r="B231" s="660"/>
      <c r="C231" s="303">
        <v>14</v>
      </c>
      <c r="D231" s="303"/>
      <c r="E231" s="181"/>
      <c r="F231" s="303"/>
      <c r="G231" s="306"/>
      <c r="H231" s="685"/>
      <c r="I231" s="198" t="e">
        <f t="shared" si="55"/>
        <v>#DIV/0!</v>
      </c>
      <c r="J231" s="198" t="e">
        <f t="shared" si="55"/>
        <v>#DIV/0!</v>
      </c>
      <c r="K231" s="198" t="e">
        <f t="shared" si="56"/>
        <v>#DIV/0!</v>
      </c>
      <c r="L231" s="693"/>
      <c r="M231" s="198" t="e">
        <f>RANK(K231, K$218:$K$247)</f>
        <v>#DIV/0!</v>
      </c>
      <c r="N231" s="107"/>
      <c r="O231" s="107"/>
      <c r="P231" s="107"/>
      <c r="Q231" s="107"/>
      <c r="R231" s="107"/>
      <c r="S231" s="107"/>
      <c r="T231" s="107"/>
      <c r="X231" s="107"/>
      <c r="AC231" s="107"/>
      <c r="AH231" s="107"/>
      <c r="AM231" s="107"/>
    </row>
    <row r="232" spans="2:39">
      <c r="B232" s="660"/>
      <c r="C232" s="303">
        <v>15</v>
      </c>
      <c r="D232" s="303"/>
      <c r="E232" s="181"/>
      <c r="F232" s="303"/>
      <c r="G232" s="306"/>
      <c r="H232" s="685"/>
      <c r="I232" s="198" t="e">
        <f t="shared" si="55"/>
        <v>#DIV/0!</v>
      </c>
      <c r="J232" s="198" t="e">
        <f t="shared" si="55"/>
        <v>#DIV/0!</v>
      </c>
      <c r="K232" s="198" t="e">
        <f t="shared" si="56"/>
        <v>#DIV/0!</v>
      </c>
      <c r="L232" s="693"/>
      <c r="M232" s="198" t="e">
        <f>RANK(K232, K$218:$K$247)</f>
        <v>#DIV/0!</v>
      </c>
      <c r="N232" s="107"/>
      <c r="O232" s="107"/>
      <c r="P232" s="107"/>
      <c r="Q232" s="107"/>
      <c r="R232" s="107"/>
      <c r="S232" s="107"/>
      <c r="T232" s="107"/>
      <c r="X232" s="107"/>
      <c r="AC232" s="107"/>
      <c r="AH232" s="107"/>
      <c r="AM232" s="107"/>
    </row>
    <row r="233" spans="2:39">
      <c r="B233" s="660"/>
      <c r="C233" s="303">
        <v>16</v>
      </c>
      <c r="D233" s="303"/>
      <c r="E233" s="181"/>
      <c r="F233" s="303"/>
      <c r="G233" s="306"/>
      <c r="H233" s="685"/>
      <c r="I233" s="198" t="e">
        <f t="shared" si="55"/>
        <v>#DIV/0!</v>
      </c>
      <c r="J233" s="198" t="e">
        <f t="shared" si="55"/>
        <v>#DIV/0!</v>
      </c>
      <c r="K233" s="198" t="e">
        <f t="shared" si="56"/>
        <v>#DIV/0!</v>
      </c>
      <c r="L233" s="693"/>
      <c r="M233" s="198" t="e">
        <f>RANK(K233, K$218:$K$247)</f>
        <v>#DIV/0!</v>
      </c>
      <c r="N233" s="107"/>
      <c r="O233" s="107"/>
      <c r="P233" s="107"/>
      <c r="Q233" s="107"/>
      <c r="R233" s="107"/>
      <c r="S233" s="107"/>
      <c r="T233" s="107"/>
      <c r="X233" s="107"/>
      <c r="AC233" s="107"/>
      <c r="AH233" s="107"/>
      <c r="AM233" s="107"/>
    </row>
    <row r="234" spans="2:39">
      <c r="B234" s="660"/>
      <c r="C234" s="303">
        <v>17</v>
      </c>
      <c r="D234" s="303"/>
      <c r="E234" s="181"/>
      <c r="F234" s="303"/>
      <c r="G234" s="306"/>
      <c r="H234" s="685"/>
      <c r="I234" s="198" t="e">
        <f t="shared" si="55"/>
        <v>#DIV/0!</v>
      </c>
      <c r="J234" s="198" t="e">
        <f t="shared" si="55"/>
        <v>#DIV/0!</v>
      </c>
      <c r="K234" s="198" t="e">
        <f t="shared" si="56"/>
        <v>#DIV/0!</v>
      </c>
      <c r="L234" s="693"/>
      <c r="M234" s="198" t="e">
        <f>RANK(K234, K$218:$K$247)</f>
        <v>#DIV/0!</v>
      </c>
      <c r="N234" s="107"/>
      <c r="O234" s="107"/>
      <c r="P234" s="107"/>
      <c r="Q234" s="107"/>
      <c r="R234" s="107"/>
      <c r="S234" s="107"/>
      <c r="T234" s="107"/>
      <c r="X234" s="107"/>
      <c r="AC234" s="107"/>
      <c r="AH234" s="107"/>
      <c r="AM234" s="107"/>
    </row>
    <row r="235" spans="2:39">
      <c r="B235" s="660"/>
      <c r="C235" s="303">
        <v>18</v>
      </c>
      <c r="D235" s="303"/>
      <c r="E235" s="181"/>
      <c r="F235" s="303"/>
      <c r="G235" s="306"/>
      <c r="H235" s="685"/>
      <c r="I235" s="198" t="e">
        <f t="shared" si="55"/>
        <v>#DIV/0!</v>
      </c>
      <c r="J235" s="198" t="e">
        <f t="shared" si="55"/>
        <v>#DIV/0!</v>
      </c>
      <c r="K235" s="198" t="e">
        <f t="shared" si="56"/>
        <v>#DIV/0!</v>
      </c>
      <c r="L235" s="693"/>
      <c r="M235" s="198" t="e">
        <f>RANK(K235, K$218:$K$247)</f>
        <v>#DIV/0!</v>
      </c>
      <c r="N235" s="107"/>
      <c r="O235" s="107"/>
      <c r="P235" s="107"/>
      <c r="Q235" s="107"/>
      <c r="R235" s="107"/>
      <c r="S235" s="107"/>
      <c r="T235" s="107"/>
      <c r="X235" s="107"/>
      <c r="AC235" s="107"/>
      <c r="AH235" s="107"/>
      <c r="AM235" s="107"/>
    </row>
    <row r="236" spans="2:39">
      <c r="B236" s="660"/>
      <c r="C236" s="303">
        <v>19</v>
      </c>
      <c r="D236" s="303"/>
      <c r="E236" s="181"/>
      <c r="F236" s="303"/>
      <c r="G236" s="306"/>
      <c r="H236" s="685"/>
      <c r="I236" s="198" t="e">
        <f t="shared" si="55"/>
        <v>#DIV/0!</v>
      </c>
      <c r="J236" s="198" t="e">
        <f t="shared" si="55"/>
        <v>#DIV/0!</v>
      </c>
      <c r="K236" s="198" t="e">
        <f t="shared" si="56"/>
        <v>#DIV/0!</v>
      </c>
      <c r="L236" s="693"/>
      <c r="M236" s="198" t="e">
        <f>RANK(K236, K$218:$K$247)</f>
        <v>#DIV/0!</v>
      </c>
      <c r="N236" s="107"/>
      <c r="O236" s="107"/>
      <c r="P236" s="107"/>
      <c r="Q236" s="107"/>
      <c r="R236" s="107"/>
      <c r="S236" s="107"/>
      <c r="T236" s="107"/>
      <c r="X236" s="107"/>
      <c r="AC236" s="107"/>
      <c r="AH236" s="107"/>
      <c r="AM236" s="107"/>
    </row>
    <row r="237" spans="2:39">
      <c r="B237" s="660"/>
      <c r="C237" s="303">
        <v>20</v>
      </c>
      <c r="D237" s="303"/>
      <c r="E237" s="181"/>
      <c r="F237" s="303"/>
      <c r="G237" s="306"/>
      <c r="H237" s="685"/>
      <c r="I237" s="198" t="e">
        <f t="shared" si="55"/>
        <v>#DIV/0!</v>
      </c>
      <c r="J237" s="198" t="e">
        <f t="shared" si="55"/>
        <v>#DIV/0!</v>
      </c>
      <c r="K237" s="198" t="e">
        <f t="shared" si="56"/>
        <v>#DIV/0!</v>
      </c>
      <c r="L237" s="693"/>
      <c r="M237" s="198" t="e">
        <f>RANK(K237, K$218:$K$247)</f>
        <v>#DIV/0!</v>
      </c>
      <c r="N237" s="107"/>
      <c r="O237" s="107"/>
      <c r="P237" s="107"/>
      <c r="Q237" s="107"/>
      <c r="R237" s="107"/>
      <c r="S237" s="107"/>
      <c r="T237" s="107"/>
      <c r="X237" s="107"/>
      <c r="AC237" s="107"/>
      <c r="AH237" s="107"/>
      <c r="AM237" s="107"/>
    </row>
    <row r="238" spans="2:39">
      <c r="B238" s="660"/>
      <c r="C238" s="303">
        <v>21</v>
      </c>
      <c r="D238" s="303"/>
      <c r="E238" s="181"/>
      <c r="F238" s="303"/>
      <c r="G238" s="306"/>
      <c r="H238" s="685"/>
      <c r="I238" s="198" t="e">
        <f t="shared" si="55"/>
        <v>#DIV/0!</v>
      </c>
      <c r="J238" s="198" t="e">
        <f t="shared" si="55"/>
        <v>#DIV/0!</v>
      </c>
      <c r="K238" s="198" t="e">
        <f t="shared" si="56"/>
        <v>#DIV/0!</v>
      </c>
      <c r="L238" s="693"/>
      <c r="M238" s="198" t="e">
        <f>RANK(K238, K$218:$K$247)</f>
        <v>#DIV/0!</v>
      </c>
      <c r="N238" s="107"/>
      <c r="O238" s="107"/>
      <c r="P238" s="107"/>
      <c r="Q238" s="107"/>
      <c r="R238" s="107"/>
      <c r="S238" s="107"/>
      <c r="T238" s="107"/>
      <c r="X238" s="107"/>
      <c r="AC238" s="107"/>
      <c r="AH238" s="107"/>
      <c r="AM238" s="107"/>
    </row>
    <row r="239" spans="2:39">
      <c r="B239" s="660"/>
      <c r="C239" s="303">
        <v>22</v>
      </c>
      <c r="D239" s="303"/>
      <c r="E239" s="181"/>
      <c r="F239" s="303"/>
      <c r="G239" s="306"/>
      <c r="H239" s="685"/>
      <c r="I239" s="198" t="e">
        <f t="shared" si="55"/>
        <v>#DIV/0!</v>
      </c>
      <c r="J239" s="198" t="e">
        <f t="shared" si="55"/>
        <v>#DIV/0!</v>
      </c>
      <c r="K239" s="198" t="e">
        <f t="shared" si="56"/>
        <v>#DIV/0!</v>
      </c>
      <c r="L239" s="693"/>
      <c r="M239" s="198" t="e">
        <f>RANK(K239, K$218:$K$247)</f>
        <v>#DIV/0!</v>
      </c>
      <c r="N239" s="107"/>
      <c r="O239" s="107"/>
      <c r="P239" s="107"/>
      <c r="Q239" s="107"/>
      <c r="R239" s="107"/>
      <c r="S239" s="107"/>
      <c r="T239" s="107"/>
      <c r="X239" s="107"/>
      <c r="AC239" s="107"/>
      <c r="AH239" s="107"/>
      <c r="AM239" s="107"/>
    </row>
    <row r="240" spans="2:39">
      <c r="B240" s="660"/>
      <c r="C240" s="303">
        <v>23</v>
      </c>
      <c r="D240" s="303"/>
      <c r="E240" s="181"/>
      <c r="F240" s="303"/>
      <c r="G240" s="306"/>
      <c r="H240" s="685"/>
      <c r="I240" s="198" t="e">
        <f t="shared" si="55"/>
        <v>#DIV/0!</v>
      </c>
      <c r="J240" s="198" t="e">
        <f t="shared" si="55"/>
        <v>#DIV/0!</v>
      </c>
      <c r="K240" s="198" t="e">
        <f t="shared" si="56"/>
        <v>#DIV/0!</v>
      </c>
      <c r="L240" s="693"/>
      <c r="M240" s="198" t="e">
        <f>RANK(K240, K$218:$K$247)</f>
        <v>#DIV/0!</v>
      </c>
      <c r="N240" s="107"/>
      <c r="O240" s="107"/>
      <c r="P240" s="107"/>
      <c r="Q240" s="107"/>
      <c r="R240" s="107"/>
      <c r="S240" s="107"/>
      <c r="T240" s="107"/>
      <c r="X240" s="107"/>
      <c r="AC240" s="107"/>
      <c r="AH240" s="107"/>
      <c r="AM240" s="107"/>
    </row>
    <row r="241" spans="2:39">
      <c r="B241" s="660"/>
      <c r="C241" s="303">
        <v>24</v>
      </c>
      <c r="D241" s="303"/>
      <c r="E241" s="181"/>
      <c r="F241" s="303"/>
      <c r="G241" s="306"/>
      <c r="H241" s="685"/>
      <c r="I241" s="198" t="e">
        <f t="shared" si="55"/>
        <v>#DIV/0!</v>
      </c>
      <c r="J241" s="198" t="e">
        <f t="shared" si="55"/>
        <v>#DIV/0!</v>
      </c>
      <c r="K241" s="198" t="e">
        <f t="shared" si="56"/>
        <v>#DIV/0!</v>
      </c>
      <c r="L241" s="693"/>
      <c r="M241" s="198" t="e">
        <f>RANK(K241, K$218:$K$247)</f>
        <v>#DIV/0!</v>
      </c>
      <c r="N241" s="107"/>
      <c r="O241" s="107"/>
      <c r="P241" s="107"/>
      <c r="Q241" s="107"/>
      <c r="R241" s="107"/>
      <c r="S241" s="107"/>
      <c r="T241" s="107"/>
      <c r="X241" s="107"/>
      <c r="AC241" s="107"/>
      <c r="AH241" s="107"/>
      <c r="AM241" s="107"/>
    </row>
    <row r="242" spans="2:39">
      <c r="B242" s="660"/>
      <c r="C242" s="303">
        <v>25</v>
      </c>
      <c r="D242" s="303"/>
      <c r="E242" s="181"/>
      <c r="F242" s="303"/>
      <c r="G242" s="306"/>
      <c r="H242" s="685"/>
      <c r="I242" s="198"/>
      <c r="J242" s="198"/>
      <c r="K242" s="198"/>
      <c r="L242" s="693"/>
      <c r="M242" s="198" t="e">
        <f>RANK(K242, K$218:$K$247)</f>
        <v>#DIV/0!</v>
      </c>
      <c r="N242" s="107"/>
      <c r="O242" s="107"/>
      <c r="P242" s="107"/>
      <c r="Q242" s="107"/>
      <c r="R242" s="107"/>
      <c r="S242" s="107"/>
      <c r="T242" s="107"/>
      <c r="X242" s="107"/>
      <c r="AC242" s="107"/>
      <c r="AH242" s="107"/>
      <c r="AM242" s="107"/>
    </row>
    <row r="243" spans="2:39">
      <c r="B243" s="660"/>
      <c r="C243" s="303">
        <v>26</v>
      </c>
      <c r="D243" s="303"/>
      <c r="E243" s="181"/>
      <c r="F243" s="303"/>
      <c r="G243" s="306"/>
      <c r="H243" s="685"/>
      <c r="I243" s="198"/>
      <c r="J243" s="198"/>
      <c r="K243" s="198"/>
      <c r="L243" s="693"/>
      <c r="M243" s="198" t="e">
        <f>RANK(K243, K$218:$K$247)</f>
        <v>#DIV/0!</v>
      </c>
      <c r="N243" s="107"/>
      <c r="O243" s="107"/>
      <c r="P243" s="107"/>
      <c r="Q243" s="107"/>
      <c r="R243" s="107"/>
      <c r="S243" s="107"/>
      <c r="T243" s="107"/>
      <c r="X243" s="107"/>
      <c r="AC243" s="107"/>
      <c r="AH243" s="107"/>
      <c r="AM243" s="107"/>
    </row>
    <row r="244" spans="2:39">
      <c r="B244" s="660"/>
      <c r="C244" s="303">
        <v>27</v>
      </c>
      <c r="D244" s="303"/>
      <c r="E244" s="181"/>
      <c r="F244" s="303"/>
      <c r="G244" s="306"/>
      <c r="H244" s="685"/>
      <c r="I244" s="198"/>
      <c r="J244" s="198"/>
      <c r="K244" s="198"/>
      <c r="L244" s="693"/>
      <c r="M244" s="198" t="e">
        <f>RANK(K244, K$218:$K$247)</f>
        <v>#DIV/0!</v>
      </c>
      <c r="N244" s="107"/>
      <c r="O244" s="107"/>
      <c r="P244" s="107"/>
      <c r="Q244" s="107"/>
      <c r="R244" s="107"/>
      <c r="S244" s="107"/>
      <c r="T244" s="107"/>
      <c r="X244" s="107"/>
      <c r="AC244" s="107"/>
      <c r="AH244" s="107"/>
      <c r="AM244" s="107"/>
    </row>
    <row r="245" spans="2:39">
      <c r="B245" s="660"/>
      <c r="C245" s="303">
        <v>28</v>
      </c>
      <c r="D245" s="303"/>
      <c r="E245" s="181"/>
      <c r="F245" s="303"/>
      <c r="G245" s="306"/>
      <c r="H245" s="685"/>
      <c r="I245" s="198"/>
      <c r="J245" s="198"/>
      <c r="K245" s="198"/>
      <c r="L245" s="693"/>
      <c r="M245" s="198" t="e">
        <f>RANK(K245, K$218:$K$247)</f>
        <v>#DIV/0!</v>
      </c>
      <c r="N245" s="107"/>
      <c r="O245" s="107"/>
      <c r="P245" s="107"/>
      <c r="Q245" s="107"/>
      <c r="R245" s="107"/>
      <c r="S245" s="107"/>
      <c r="T245" s="107"/>
      <c r="X245" s="107"/>
      <c r="AC245" s="107"/>
      <c r="AH245" s="107"/>
      <c r="AM245" s="107"/>
    </row>
    <row r="246" spans="2:39">
      <c r="B246" s="660"/>
      <c r="C246" s="303">
        <v>29</v>
      </c>
      <c r="D246" s="303"/>
      <c r="E246" s="181"/>
      <c r="F246" s="303"/>
      <c r="G246" s="306"/>
      <c r="H246" s="685"/>
      <c r="I246" s="198"/>
      <c r="J246" s="198"/>
      <c r="K246" s="198"/>
      <c r="L246" s="693"/>
      <c r="M246" s="198" t="e">
        <f>RANK(K246, K$218:$K$247)</f>
        <v>#DIV/0!</v>
      </c>
      <c r="N246" s="107"/>
      <c r="O246" s="107"/>
      <c r="P246" s="107"/>
      <c r="Q246" s="107"/>
      <c r="R246" s="107"/>
      <c r="S246" s="107"/>
      <c r="T246" s="107"/>
      <c r="X246" s="107"/>
      <c r="AC246" s="107"/>
      <c r="AH246" s="107"/>
      <c r="AM246" s="107"/>
    </row>
    <row r="247" spans="2:39">
      <c r="B247" s="660"/>
      <c r="C247" s="303">
        <v>30</v>
      </c>
      <c r="D247" s="303"/>
      <c r="E247" s="181"/>
      <c r="F247" s="303"/>
      <c r="G247" s="306"/>
      <c r="H247" s="685"/>
      <c r="I247" s="198"/>
      <c r="J247" s="198"/>
      <c r="K247" s="198"/>
      <c r="L247" s="693"/>
      <c r="M247" s="198" t="e">
        <f>RANK(K247, K$218:$K$247)</f>
        <v>#DIV/0!</v>
      </c>
      <c r="N247" s="107"/>
      <c r="O247" s="107"/>
      <c r="P247" s="107"/>
      <c r="Q247" s="107"/>
      <c r="R247" s="107"/>
      <c r="S247" s="107"/>
      <c r="T247" s="107"/>
      <c r="X247" s="107"/>
      <c r="AC247" s="107"/>
      <c r="AH247" s="107"/>
      <c r="AM247" s="107"/>
    </row>
  </sheetData>
  <mergeCells count="379">
    <mergeCell ref="B218:B247"/>
    <mergeCell ref="H218:H247"/>
    <mergeCell ref="L218:L247"/>
    <mergeCell ref="B213:H214"/>
    <mergeCell ref="B215:B217"/>
    <mergeCell ref="C215:D217"/>
    <mergeCell ref="E215:G215"/>
    <mergeCell ref="H215:H217"/>
    <mergeCell ref="I215:K215"/>
    <mergeCell ref="L215:L217"/>
    <mergeCell ref="M215:M217"/>
    <mergeCell ref="E216:G216"/>
    <mergeCell ref="I216:K216"/>
    <mergeCell ref="AX179:AX181"/>
    <mergeCell ref="B182:B211"/>
    <mergeCell ref="H182:H211"/>
    <mergeCell ref="L182:L211"/>
    <mergeCell ref="T182:T211"/>
    <mergeCell ref="Y182:Y211"/>
    <mergeCell ref="AD182:AD211"/>
    <mergeCell ref="AI182:AI211"/>
    <mergeCell ref="AN182:AN211"/>
    <mergeCell ref="AS182:AS211"/>
    <mergeCell ref="AX182:AX211"/>
    <mergeCell ref="AT179:AW179"/>
    <mergeCell ref="P179:S179"/>
    <mergeCell ref="T179:T181"/>
    <mergeCell ref="U179:X179"/>
    <mergeCell ref="Y179:Y181"/>
    <mergeCell ref="AJ180:AM180"/>
    <mergeCell ref="AO180:AR180"/>
    <mergeCell ref="AT180:AW180"/>
    <mergeCell ref="AD179:AD181"/>
    <mergeCell ref="AE179:AH179"/>
    <mergeCell ref="AI179:AI181"/>
    <mergeCell ref="AJ179:AM179"/>
    <mergeCell ref="AN179:AN181"/>
    <mergeCell ref="AO179:AR179"/>
    <mergeCell ref="AS179:AS181"/>
    <mergeCell ref="B179:B181"/>
    <mergeCell ref="C179:D181"/>
    <mergeCell ref="E179:G179"/>
    <mergeCell ref="H179:H181"/>
    <mergeCell ref="I179:K179"/>
    <mergeCell ref="L179:L181"/>
    <mergeCell ref="M179:M181"/>
    <mergeCell ref="N179:N211"/>
    <mergeCell ref="O179:O211"/>
    <mergeCell ref="AT178:AX178"/>
    <mergeCell ref="E180:G180"/>
    <mergeCell ref="I180:K180"/>
    <mergeCell ref="P180:S180"/>
    <mergeCell ref="U180:X180"/>
    <mergeCell ref="Z180:AC180"/>
    <mergeCell ref="AE180:AH180"/>
    <mergeCell ref="P178:T178"/>
    <mergeCell ref="U178:Y178"/>
    <mergeCell ref="Z178:AD178"/>
    <mergeCell ref="AE178:AI178"/>
    <mergeCell ref="AJ178:AN178"/>
    <mergeCell ref="AO178:AS178"/>
    <mergeCell ref="Z179:AC179"/>
    <mergeCell ref="B177:H178"/>
    <mergeCell ref="N177:N178"/>
    <mergeCell ref="O177:O178"/>
    <mergeCell ref="P177:T177"/>
    <mergeCell ref="U177:Y177"/>
    <mergeCell ref="Z177:AD177"/>
    <mergeCell ref="AE177:AI177"/>
    <mergeCell ref="AJ177:AN177"/>
    <mergeCell ref="AO177:AS177"/>
    <mergeCell ref="AT177:AX177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36"/>
    <mergeCell ref="H7:H36"/>
    <mergeCell ref="L7:L36"/>
    <mergeCell ref="T7:T36"/>
    <mergeCell ref="Y7:Y36"/>
    <mergeCell ref="AD7:AD36"/>
    <mergeCell ref="AI7:AI36"/>
    <mergeCell ref="AN7:AN36"/>
    <mergeCell ref="AS7:AS36"/>
    <mergeCell ref="B4:B6"/>
    <mergeCell ref="C4:D6"/>
    <mergeCell ref="E4:G4"/>
    <mergeCell ref="H4:H6"/>
    <mergeCell ref="I4:K4"/>
    <mergeCell ref="L4:L6"/>
    <mergeCell ref="M4:M6"/>
    <mergeCell ref="N4:N36"/>
    <mergeCell ref="O4:O36"/>
    <mergeCell ref="B37:H38"/>
    <mergeCell ref="N37:N38"/>
    <mergeCell ref="O37:O38"/>
    <mergeCell ref="P37:T37"/>
    <mergeCell ref="U37:Y37"/>
    <mergeCell ref="Z37:AD37"/>
    <mergeCell ref="AE37:AI37"/>
    <mergeCell ref="AJ37:AN37"/>
    <mergeCell ref="AO37:AS37"/>
    <mergeCell ref="AT37:AX37"/>
    <mergeCell ref="P38:T38"/>
    <mergeCell ref="U38:Y38"/>
    <mergeCell ref="Z38:AD38"/>
    <mergeCell ref="AE38:AI38"/>
    <mergeCell ref="AJ38:AN38"/>
    <mergeCell ref="AO38:AS38"/>
    <mergeCell ref="AT38:AX38"/>
    <mergeCell ref="AX7:AX36"/>
    <mergeCell ref="AX39:AX41"/>
    <mergeCell ref="E40:G40"/>
    <mergeCell ref="I40:K40"/>
    <mergeCell ref="P40:S40"/>
    <mergeCell ref="U40:X40"/>
    <mergeCell ref="Z40:AC40"/>
    <mergeCell ref="Y39:Y41"/>
    <mergeCell ref="Z39:AC39"/>
    <mergeCell ref="AD39:AD41"/>
    <mergeCell ref="AE39:AH39"/>
    <mergeCell ref="AI39:AI41"/>
    <mergeCell ref="AJ39:AM39"/>
    <mergeCell ref="AE40:AH40"/>
    <mergeCell ref="AJ40:AM40"/>
    <mergeCell ref="M39:M41"/>
    <mergeCell ref="N39:N71"/>
    <mergeCell ref="O39:O71"/>
    <mergeCell ref="P39:S39"/>
    <mergeCell ref="T39:T41"/>
    <mergeCell ref="U39:X39"/>
    <mergeCell ref="E39:G39"/>
    <mergeCell ref="H39:H41"/>
    <mergeCell ref="I39:K39"/>
    <mergeCell ref="L39:L41"/>
    <mergeCell ref="AO40:AR40"/>
    <mergeCell ref="AT40:AW40"/>
    <mergeCell ref="B42:B71"/>
    <mergeCell ref="H42:H71"/>
    <mergeCell ref="L42:L71"/>
    <mergeCell ref="T42:T71"/>
    <mergeCell ref="Y42:Y71"/>
    <mergeCell ref="AD42:AD71"/>
    <mergeCell ref="AI42:AI71"/>
    <mergeCell ref="AN42:AN71"/>
    <mergeCell ref="AN39:AN41"/>
    <mergeCell ref="AO39:AR39"/>
    <mergeCell ref="AS39:AS41"/>
    <mergeCell ref="AT39:AW39"/>
    <mergeCell ref="B39:B41"/>
    <mergeCell ref="C39:D41"/>
    <mergeCell ref="AS42:AS71"/>
    <mergeCell ref="AX42:AX71"/>
    <mergeCell ref="B72:H73"/>
    <mergeCell ref="N72:N73"/>
    <mergeCell ref="O72:O73"/>
    <mergeCell ref="P72:T72"/>
    <mergeCell ref="U72:Y72"/>
    <mergeCell ref="Z72:AD72"/>
    <mergeCell ref="AE72:AI72"/>
    <mergeCell ref="AJ72:AN72"/>
    <mergeCell ref="AO72:AS72"/>
    <mergeCell ref="AT72:AX72"/>
    <mergeCell ref="P73:T73"/>
    <mergeCell ref="U73:Y73"/>
    <mergeCell ref="Z73:AD73"/>
    <mergeCell ref="AE73:AI73"/>
    <mergeCell ref="AJ73:AN73"/>
    <mergeCell ref="AO73:AS73"/>
    <mergeCell ref="AT73:AX73"/>
    <mergeCell ref="AX74:AX76"/>
    <mergeCell ref="E75:G75"/>
    <mergeCell ref="I75:K75"/>
    <mergeCell ref="P75:S75"/>
    <mergeCell ref="U75:X75"/>
    <mergeCell ref="Z75:AC75"/>
    <mergeCell ref="Y74:Y76"/>
    <mergeCell ref="Z74:AC74"/>
    <mergeCell ref="AD74:AD76"/>
    <mergeCell ref="AE74:AH74"/>
    <mergeCell ref="AI74:AI76"/>
    <mergeCell ref="AJ74:AM74"/>
    <mergeCell ref="AE75:AH75"/>
    <mergeCell ref="AJ75:AM75"/>
    <mergeCell ref="M74:M76"/>
    <mergeCell ref="N74:N106"/>
    <mergeCell ref="O74:O106"/>
    <mergeCell ref="P74:S74"/>
    <mergeCell ref="T74:T76"/>
    <mergeCell ref="U74:X74"/>
    <mergeCell ref="E74:G74"/>
    <mergeCell ref="H74:H76"/>
    <mergeCell ref="I74:K74"/>
    <mergeCell ref="L74:L76"/>
    <mergeCell ref="AO75:AR75"/>
    <mergeCell ref="AT75:AW75"/>
    <mergeCell ref="B77:B106"/>
    <mergeCell ref="H77:H106"/>
    <mergeCell ref="L77:L106"/>
    <mergeCell ref="T77:T106"/>
    <mergeCell ref="Y77:Y106"/>
    <mergeCell ref="AD77:AD106"/>
    <mergeCell ref="AI77:AI106"/>
    <mergeCell ref="AN77:AN106"/>
    <mergeCell ref="AN74:AN76"/>
    <mergeCell ref="AO74:AR74"/>
    <mergeCell ref="AS74:AS76"/>
    <mergeCell ref="AT74:AW74"/>
    <mergeCell ref="B74:B76"/>
    <mergeCell ref="C74:D76"/>
    <mergeCell ref="AS77:AS106"/>
    <mergeCell ref="AX77:AX106"/>
    <mergeCell ref="B107:H108"/>
    <mergeCell ref="N107:N108"/>
    <mergeCell ref="O107:O108"/>
    <mergeCell ref="P107:T107"/>
    <mergeCell ref="U107:Y107"/>
    <mergeCell ref="Z107:AD107"/>
    <mergeCell ref="AE107:AI107"/>
    <mergeCell ref="AJ107:AN107"/>
    <mergeCell ref="AO107:AS107"/>
    <mergeCell ref="AT107:AX107"/>
    <mergeCell ref="P108:T108"/>
    <mergeCell ref="U108:Y108"/>
    <mergeCell ref="Z108:AD108"/>
    <mergeCell ref="AE108:AI108"/>
    <mergeCell ref="AJ108:AN108"/>
    <mergeCell ref="AO108:AS108"/>
    <mergeCell ref="AT108:AX108"/>
    <mergeCell ref="AD147:AD176"/>
    <mergeCell ref="AI147:AI176"/>
    <mergeCell ref="B144:B146"/>
    <mergeCell ref="AX109:AX111"/>
    <mergeCell ref="E110:G110"/>
    <mergeCell ref="I110:K110"/>
    <mergeCell ref="P110:S110"/>
    <mergeCell ref="U110:X110"/>
    <mergeCell ref="Z110:AC110"/>
    <mergeCell ref="Y109:Y111"/>
    <mergeCell ref="Z109:AC109"/>
    <mergeCell ref="AD109:AD111"/>
    <mergeCell ref="AE109:AH109"/>
    <mergeCell ref="AI109:AI111"/>
    <mergeCell ref="AJ109:AM109"/>
    <mergeCell ref="AE110:AH110"/>
    <mergeCell ref="AJ110:AM110"/>
    <mergeCell ref="M109:M111"/>
    <mergeCell ref="N109:N141"/>
    <mergeCell ref="O109:O141"/>
    <mergeCell ref="P109:S109"/>
    <mergeCell ref="T109:T111"/>
    <mergeCell ref="U109:X109"/>
    <mergeCell ref="E109:G109"/>
    <mergeCell ref="AO110:AR110"/>
    <mergeCell ref="AT110:AW110"/>
    <mergeCell ref="B112:B141"/>
    <mergeCell ref="H112:H141"/>
    <mergeCell ref="L112:L141"/>
    <mergeCell ref="T112:T141"/>
    <mergeCell ref="Y112:Y141"/>
    <mergeCell ref="AD112:AD141"/>
    <mergeCell ref="AI112:AI141"/>
    <mergeCell ref="AN112:AN141"/>
    <mergeCell ref="AN109:AN111"/>
    <mergeCell ref="AO109:AR109"/>
    <mergeCell ref="AS109:AS111"/>
    <mergeCell ref="AT109:AW109"/>
    <mergeCell ref="B109:B111"/>
    <mergeCell ref="C109:D111"/>
    <mergeCell ref="AS112:AS141"/>
    <mergeCell ref="H109:H111"/>
    <mergeCell ref="I109:K109"/>
    <mergeCell ref="L109:L111"/>
    <mergeCell ref="AX112:AX141"/>
    <mergeCell ref="B142:H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Z144:AC144"/>
    <mergeCell ref="P144:S144"/>
    <mergeCell ref="T144:T146"/>
    <mergeCell ref="U144:X144"/>
    <mergeCell ref="E145:G145"/>
    <mergeCell ref="I145:K145"/>
    <mergeCell ref="P145:S145"/>
    <mergeCell ref="U145:X145"/>
    <mergeCell ref="M144:M146"/>
    <mergeCell ref="N144:N176"/>
    <mergeCell ref="O144:O176"/>
    <mergeCell ref="H147:H176"/>
    <mergeCell ref="L147:L176"/>
    <mergeCell ref="T147:T176"/>
    <mergeCell ref="Y147:Y176"/>
    <mergeCell ref="B147:B176"/>
    <mergeCell ref="AS147:AS176"/>
    <mergeCell ref="AX147:AX176"/>
    <mergeCell ref="AO145:AR145"/>
    <mergeCell ref="AT145:AW145"/>
    <mergeCell ref="AO144:AR144"/>
    <mergeCell ref="AS144:AS146"/>
    <mergeCell ref="AT144:AW144"/>
    <mergeCell ref="AX144:AX146"/>
    <mergeCell ref="AJ145:AM145"/>
    <mergeCell ref="AN147:AN176"/>
    <mergeCell ref="AN144:AN146"/>
    <mergeCell ref="AJ144:AM144"/>
    <mergeCell ref="C144:D146"/>
    <mergeCell ref="E144:G144"/>
    <mergeCell ref="H144:H146"/>
    <mergeCell ref="I144:K144"/>
    <mergeCell ref="L144:L146"/>
    <mergeCell ref="AD144:AD146"/>
    <mergeCell ref="AE144:AH144"/>
    <mergeCell ref="AI144:AI146"/>
    <mergeCell ref="AE145:AH145"/>
    <mergeCell ref="Z145:AC145"/>
    <mergeCell ref="Y144:Y146"/>
    <mergeCell ref="BA147:BA176"/>
    <mergeCell ref="BA179:BA181"/>
    <mergeCell ref="BA182:BA211"/>
    <mergeCell ref="BA4:BA6"/>
    <mergeCell ref="BA7:BA36"/>
    <mergeCell ref="BA39:BA41"/>
    <mergeCell ref="BA42:BA71"/>
    <mergeCell ref="BA74:BA76"/>
    <mergeCell ref="BA77:BA106"/>
    <mergeCell ref="BA109:BA111"/>
    <mergeCell ref="BA112:BA141"/>
    <mergeCell ref="BA144:BA146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A142"/>
  <sheetViews>
    <sheetView topLeftCell="A34" zoomScale="40" zoomScaleNormal="40" workbookViewId="0">
      <pane xSplit="15" topLeftCell="P1" activePane="topRight" state="frozen"/>
      <selection activeCell="A8" sqref="A8:L28"/>
      <selection pane="topRight" activeCell="D87" sqref="D87:G101"/>
    </sheetView>
  </sheetViews>
  <sheetFormatPr defaultColWidth="8.85546875" defaultRowHeight="12.75"/>
  <cols>
    <col min="1" max="1" width="5.5703125" style="107" customWidth="1"/>
    <col min="2" max="2" width="12.42578125" style="107" customWidth="1"/>
    <col min="3" max="3" width="8.85546875" style="106"/>
    <col min="4" max="4" width="26.42578125" style="106" customWidth="1"/>
    <col min="5" max="7" width="8.42578125" style="106" customWidth="1"/>
    <col min="8" max="8" width="11.140625" style="106" bestFit="1" customWidth="1"/>
    <col min="9" max="12" width="11.140625" style="106" customWidth="1"/>
    <col min="13" max="13" width="13.5703125" style="106" customWidth="1"/>
    <col min="14" max="14" width="9.85546875" style="106" customWidth="1"/>
    <col min="15" max="15" width="7.140625" style="106" customWidth="1"/>
    <col min="16" max="18" width="12.85546875" style="106" customWidth="1"/>
    <col min="19" max="19" width="5.42578125" style="106" customWidth="1"/>
    <col min="20" max="20" width="12.85546875" style="106" customWidth="1"/>
    <col min="21" max="23" width="12.85546875" style="107" customWidth="1"/>
    <col min="24" max="24" width="5.42578125" style="106" customWidth="1"/>
    <col min="25" max="28" width="12.85546875" style="107" customWidth="1"/>
    <col min="29" max="29" width="5.42578125" style="106" customWidth="1"/>
    <col min="30" max="30" width="12.85546875" style="107" customWidth="1"/>
    <col min="31" max="33" width="12.5703125" style="107" customWidth="1"/>
    <col min="34" max="34" width="5.42578125" style="106" customWidth="1"/>
    <col min="35" max="35" width="13" style="107" customWidth="1"/>
    <col min="36" max="38" width="12.5703125" style="107" customWidth="1"/>
    <col min="39" max="39" width="5.42578125" style="106" customWidth="1"/>
    <col min="40" max="40" width="13" style="107" customWidth="1"/>
    <col min="41" max="43" width="13.140625" style="107" customWidth="1"/>
    <col min="44" max="44" width="5.42578125" style="107" customWidth="1"/>
    <col min="45" max="48" width="13.140625" style="107" customWidth="1"/>
    <col min="49" max="49" width="5.42578125" style="107" customWidth="1"/>
    <col min="50" max="50" width="13.140625" style="107" customWidth="1"/>
    <col min="51" max="51" width="8.85546875" style="107"/>
    <col min="52" max="52" width="5.42578125" style="107" customWidth="1"/>
    <col min="53" max="53" width="13.140625" style="107" customWidth="1"/>
    <col min="54" max="16384" width="8.85546875" style="107"/>
  </cols>
  <sheetData>
    <row r="1" spans="1:53" ht="24">
      <c r="A1" s="75"/>
      <c r="B1" s="220" t="s">
        <v>313</v>
      </c>
      <c r="C1" s="219">
        <f>AVERAGE(L7,L27,L47,L67,L87,L107)</f>
        <v>72.005371898797449</v>
      </c>
    </row>
    <row r="2" spans="1:53" ht="15.75">
      <c r="A2" s="81"/>
      <c r="B2" s="664" t="s">
        <v>162</v>
      </c>
      <c r="C2" s="664"/>
      <c r="D2" s="664"/>
      <c r="E2" s="664"/>
      <c r="F2" s="664"/>
      <c r="G2" s="664"/>
      <c r="H2" s="664"/>
      <c r="I2" s="284"/>
      <c r="J2" s="284"/>
      <c r="K2" s="284"/>
      <c r="L2" s="284"/>
      <c r="M2" s="196"/>
      <c r="N2" s="653" t="s">
        <v>156</v>
      </c>
      <c r="O2" s="653" t="s">
        <v>155</v>
      </c>
      <c r="P2" s="659">
        <v>46231</v>
      </c>
      <c r="Q2" s="660"/>
      <c r="R2" s="660"/>
      <c r="S2" s="660"/>
      <c r="T2" s="660"/>
      <c r="U2" s="656">
        <f>P2+1</f>
        <v>46232</v>
      </c>
      <c r="V2" s="657"/>
      <c r="W2" s="657"/>
      <c r="X2" s="657"/>
      <c r="Y2" s="658"/>
      <c r="Z2" s="656">
        <f>U2+1</f>
        <v>46233</v>
      </c>
      <c r="AA2" s="657"/>
      <c r="AB2" s="657"/>
      <c r="AC2" s="657"/>
      <c r="AD2" s="658"/>
      <c r="AE2" s="656">
        <f>Z2+1</f>
        <v>46234</v>
      </c>
      <c r="AF2" s="657"/>
      <c r="AG2" s="657"/>
      <c r="AH2" s="657"/>
      <c r="AI2" s="658"/>
      <c r="AJ2" s="656">
        <f>AE2+1</f>
        <v>46235</v>
      </c>
      <c r="AK2" s="657"/>
      <c r="AL2" s="657"/>
      <c r="AM2" s="657"/>
      <c r="AN2" s="658"/>
      <c r="AO2" s="656">
        <f>AJ2+1</f>
        <v>46236</v>
      </c>
      <c r="AP2" s="657"/>
      <c r="AQ2" s="657"/>
      <c r="AR2" s="657"/>
      <c r="AS2" s="658"/>
      <c r="AT2" s="656">
        <f>AO2+1</f>
        <v>46237</v>
      </c>
      <c r="AU2" s="657"/>
      <c r="AV2" s="657"/>
      <c r="AW2" s="657"/>
      <c r="AX2" s="658"/>
    </row>
    <row r="3" spans="1:53" ht="15.75">
      <c r="A3" s="81"/>
      <c r="B3" s="697"/>
      <c r="C3" s="697"/>
      <c r="D3" s="697"/>
      <c r="E3" s="697"/>
      <c r="F3" s="697"/>
      <c r="G3" s="697"/>
      <c r="H3" s="697"/>
      <c r="I3" s="285"/>
      <c r="J3" s="285"/>
      <c r="K3" s="285"/>
      <c r="L3" s="285"/>
      <c r="M3" s="197"/>
      <c r="N3" s="655"/>
      <c r="O3" s="655"/>
      <c r="P3" s="659" t="s">
        <v>158</v>
      </c>
      <c r="Q3" s="660"/>
      <c r="R3" s="660"/>
      <c r="S3" s="660"/>
      <c r="T3" s="660"/>
      <c r="U3" s="659" t="s">
        <v>114</v>
      </c>
      <c r="V3" s="660"/>
      <c r="W3" s="660"/>
      <c r="X3" s="660"/>
      <c r="Y3" s="660"/>
      <c r="Z3" s="659" t="s">
        <v>159</v>
      </c>
      <c r="AA3" s="660"/>
      <c r="AB3" s="660"/>
      <c r="AC3" s="660"/>
      <c r="AD3" s="660"/>
      <c r="AE3" s="659" t="s">
        <v>157</v>
      </c>
      <c r="AF3" s="660"/>
      <c r="AG3" s="660"/>
      <c r="AH3" s="660"/>
      <c r="AI3" s="660"/>
      <c r="AJ3" s="659" t="s">
        <v>160</v>
      </c>
      <c r="AK3" s="660"/>
      <c r="AL3" s="660"/>
      <c r="AM3" s="660"/>
      <c r="AN3" s="660"/>
      <c r="AO3" s="659" t="s">
        <v>115</v>
      </c>
      <c r="AP3" s="660"/>
      <c r="AQ3" s="660"/>
      <c r="AR3" s="660"/>
      <c r="AS3" s="660"/>
      <c r="AT3" s="659" t="s">
        <v>161</v>
      </c>
      <c r="AU3" s="660"/>
      <c r="AV3" s="660"/>
      <c r="AW3" s="660"/>
      <c r="AX3" s="660"/>
    </row>
    <row r="4" spans="1:53" ht="14.25">
      <c r="A4" s="81"/>
      <c r="B4" s="652" t="s">
        <v>154</v>
      </c>
      <c r="C4" s="652" t="s">
        <v>379</v>
      </c>
      <c r="D4" s="652"/>
      <c r="E4" s="652" t="s">
        <v>370</v>
      </c>
      <c r="F4" s="652"/>
      <c r="G4" s="652"/>
      <c r="H4" s="668" t="s">
        <v>366</v>
      </c>
      <c r="I4" s="636" t="s">
        <v>371</v>
      </c>
      <c r="J4" s="636"/>
      <c r="K4" s="636"/>
      <c r="L4" s="637" t="s">
        <v>366</v>
      </c>
      <c r="M4" s="643" t="s">
        <v>367</v>
      </c>
      <c r="N4" s="652"/>
      <c r="O4" s="652" t="s">
        <v>372</v>
      </c>
      <c r="P4" s="649" t="s">
        <v>368</v>
      </c>
      <c r="Q4" s="650"/>
      <c r="R4" s="650"/>
      <c r="S4" s="651"/>
      <c r="T4" s="652" t="s">
        <v>366</v>
      </c>
      <c r="U4" s="649" t="s">
        <v>368</v>
      </c>
      <c r="V4" s="650"/>
      <c r="W4" s="650"/>
      <c r="X4" s="651"/>
      <c r="Y4" s="652" t="s">
        <v>366</v>
      </c>
      <c r="Z4" s="649" t="s">
        <v>368</v>
      </c>
      <c r="AA4" s="650"/>
      <c r="AB4" s="650"/>
      <c r="AC4" s="651"/>
      <c r="AD4" s="652" t="s">
        <v>366</v>
      </c>
      <c r="AE4" s="649" t="s">
        <v>368</v>
      </c>
      <c r="AF4" s="650"/>
      <c r="AG4" s="650"/>
      <c r="AH4" s="651"/>
      <c r="AI4" s="652" t="s">
        <v>366</v>
      </c>
      <c r="AJ4" s="649" t="s">
        <v>368</v>
      </c>
      <c r="AK4" s="650"/>
      <c r="AL4" s="650"/>
      <c r="AM4" s="651"/>
      <c r="AN4" s="652" t="s">
        <v>366</v>
      </c>
      <c r="AO4" s="649" t="s">
        <v>368</v>
      </c>
      <c r="AP4" s="650"/>
      <c r="AQ4" s="650"/>
      <c r="AR4" s="651"/>
      <c r="AS4" s="652" t="s">
        <v>366</v>
      </c>
      <c r="AT4" s="649" t="s">
        <v>368</v>
      </c>
      <c r="AU4" s="650"/>
      <c r="AV4" s="650"/>
      <c r="AW4" s="651"/>
      <c r="AX4" s="652" t="s">
        <v>366</v>
      </c>
      <c r="BA4" s="652" t="s">
        <v>366</v>
      </c>
    </row>
    <row r="5" spans="1:53" ht="14.25">
      <c r="A5" s="81"/>
      <c r="B5" s="652"/>
      <c r="C5" s="652"/>
      <c r="D5" s="652"/>
      <c r="E5" s="652" t="s">
        <v>373</v>
      </c>
      <c r="F5" s="652"/>
      <c r="G5" s="652"/>
      <c r="H5" s="669"/>
      <c r="I5" s="636" t="s">
        <v>373</v>
      </c>
      <c r="J5" s="636"/>
      <c r="K5" s="636"/>
      <c r="L5" s="638"/>
      <c r="M5" s="644"/>
      <c r="N5" s="652"/>
      <c r="O5" s="652"/>
      <c r="P5" s="649" t="s">
        <v>374</v>
      </c>
      <c r="Q5" s="650"/>
      <c r="R5" s="650"/>
      <c r="S5" s="651"/>
      <c r="T5" s="652"/>
      <c r="U5" s="649" t="s">
        <v>374</v>
      </c>
      <c r="V5" s="650"/>
      <c r="W5" s="650"/>
      <c r="X5" s="651"/>
      <c r="Y5" s="652"/>
      <c r="Z5" s="649" t="s">
        <v>374</v>
      </c>
      <c r="AA5" s="650"/>
      <c r="AB5" s="650"/>
      <c r="AC5" s="651"/>
      <c r="AD5" s="652"/>
      <c r="AE5" s="649" t="s">
        <v>374</v>
      </c>
      <c r="AF5" s="650"/>
      <c r="AG5" s="650"/>
      <c r="AH5" s="651"/>
      <c r="AI5" s="652"/>
      <c r="AJ5" s="649" t="s">
        <v>374</v>
      </c>
      <c r="AK5" s="650"/>
      <c r="AL5" s="650"/>
      <c r="AM5" s="651"/>
      <c r="AN5" s="652"/>
      <c r="AO5" s="649" t="s">
        <v>374</v>
      </c>
      <c r="AP5" s="650"/>
      <c r="AQ5" s="650"/>
      <c r="AR5" s="651"/>
      <c r="AS5" s="652"/>
      <c r="AT5" s="649" t="s">
        <v>374</v>
      </c>
      <c r="AU5" s="650"/>
      <c r="AV5" s="650"/>
      <c r="AW5" s="651"/>
      <c r="AX5" s="652"/>
      <c r="BA5" s="652"/>
    </row>
    <row r="6" spans="1:53" ht="14.25">
      <c r="A6" s="79"/>
      <c r="B6" s="652"/>
      <c r="C6" s="652"/>
      <c r="D6" s="652"/>
      <c r="E6" s="529" t="s">
        <v>375</v>
      </c>
      <c r="F6" s="529" t="s">
        <v>376</v>
      </c>
      <c r="G6" s="529" t="s">
        <v>377</v>
      </c>
      <c r="H6" s="670"/>
      <c r="I6" s="528" t="s">
        <v>375</v>
      </c>
      <c r="J6" s="528" t="s">
        <v>376</v>
      </c>
      <c r="K6" s="528" t="s">
        <v>377</v>
      </c>
      <c r="L6" s="639"/>
      <c r="M6" s="645"/>
      <c r="N6" s="652"/>
      <c r="O6" s="652"/>
      <c r="P6" s="529" t="s">
        <v>375</v>
      </c>
      <c r="Q6" s="529" t="s">
        <v>376</v>
      </c>
      <c r="R6" s="529" t="s">
        <v>377</v>
      </c>
      <c r="S6" s="529" t="s">
        <v>367</v>
      </c>
      <c r="T6" s="652"/>
      <c r="U6" s="529" t="s">
        <v>375</v>
      </c>
      <c r="V6" s="529" t="s">
        <v>376</v>
      </c>
      <c r="W6" s="529" t="s">
        <v>377</v>
      </c>
      <c r="X6" s="529" t="s">
        <v>367</v>
      </c>
      <c r="Y6" s="652"/>
      <c r="Z6" s="529" t="s">
        <v>375</v>
      </c>
      <c r="AA6" s="529" t="s">
        <v>376</v>
      </c>
      <c r="AB6" s="529" t="s">
        <v>377</v>
      </c>
      <c r="AC6" s="529" t="s">
        <v>367</v>
      </c>
      <c r="AD6" s="652"/>
      <c r="AE6" s="529" t="s">
        <v>375</v>
      </c>
      <c r="AF6" s="529" t="s">
        <v>376</v>
      </c>
      <c r="AG6" s="529" t="s">
        <v>377</v>
      </c>
      <c r="AH6" s="529" t="s">
        <v>367</v>
      </c>
      <c r="AI6" s="652"/>
      <c r="AJ6" s="529" t="s">
        <v>375</v>
      </c>
      <c r="AK6" s="529" t="s">
        <v>376</v>
      </c>
      <c r="AL6" s="529" t="s">
        <v>377</v>
      </c>
      <c r="AM6" s="529" t="s">
        <v>367</v>
      </c>
      <c r="AN6" s="652"/>
      <c r="AO6" s="529" t="s">
        <v>375</v>
      </c>
      <c r="AP6" s="529" t="s">
        <v>376</v>
      </c>
      <c r="AQ6" s="529" t="s">
        <v>377</v>
      </c>
      <c r="AR6" s="529" t="s">
        <v>367</v>
      </c>
      <c r="AS6" s="652"/>
      <c r="AT6" s="529" t="s">
        <v>375</v>
      </c>
      <c r="AU6" s="529" t="s">
        <v>376</v>
      </c>
      <c r="AV6" s="529" t="s">
        <v>377</v>
      </c>
      <c r="AW6" s="529" t="s">
        <v>367</v>
      </c>
      <c r="AX6" s="652"/>
      <c r="AZ6" s="367" t="s">
        <v>367</v>
      </c>
      <c r="BA6" s="652"/>
    </row>
    <row r="7" spans="1:53" ht="14.25">
      <c r="A7" s="81"/>
      <c r="B7" s="652" t="s">
        <v>132</v>
      </c>
      <c r="C7" s="530">
        <v>1</v>
      </c>
      <c r="D7" s="225" t="s">
        <v>604</v>
      </c>
      <c r="E7" s="531">
        <v>17</v>
      </c>
      <c r="F7" s="530">
        <v>1440</v>
      </c>
      <c r="G7" s="532">
        <v>84.7</v>
      </c>
      <c r="H7" s="698">
        <f>AVERAGE(G7:G21)</f>
        <v>79.792307692307688</v>
      </c>
      <c r="I7" s="534">
        <f t="shared" ref="I7:I21" si="0">IFERROR(AVERAGE(P7,U7,Z7,AE7,AJ7,AO7,AT7),"-")</f>
        <v>17</v>
      </c>
      <c r="J7" s="534">
        <f t="shared" ref="J7:J21" si="1">IFERROR(AVERAGE(Q7,V7,AA7,AF7,AK7,AP7,AU7),"-")</f>
        <v>1297.4221759933432</v>
      </c>
      <c r="K7" s="199">
        <f t="shared" ref="K7:K21" si="2">IFERROR(AVERAGE(R7,W7,AB7,AG7,AL7,AQ7,AV7),"-")</f>
        <v>76.318951529020183</v>
      </c>
      <c r="L7" s="633">
        <f>IFERROR(AVERAGE(K7:K21),"-")</f>
        <v>71.052036988374638</v>
      </c>
      <c r="M7" s="535">
        <f>RANK(K7, K$7:$K$21)</f>
        <v>4</v>
      </c>
      <c r="N7" s="652"/>
      <c r="O7" s="652"/>
      <c r="P7" s="530"/>
      <c r="Q7" s="531"/>
      <c r="R7" s="531"/>
      <c r="S7" s="530"/>
      <c r="T7" s="685"/>
      <c r="U7" s="530"/>
      <c r="V7" s="531"/>
      <c r="W7" s="531"/>
      <c r="X7" s="555"/>
      <c r="Y7" s="685"/>
      <c r="Z7" s="530"/>
      <c r="AA7" s="531"/>
      <c r="AB7" s="531"/>
      <c r="AC7" s="555"/>
      <c r="AD7" s="685"/>
      <c r="AE7" s="530"/>
      <c r="AF7" s="531"/>
      <c r="AG7" s="531"/>
      <c r="AH7" s="555"/>
      <c r="AI7" s="685"/>
      <c r="AJ7" s="530">
        <v>17</v>
      </c>
      <c r="AK7" s="531">
        <v>1300.909090909091</v>
      </c>
      <c r="AL7" s="531">
        <v>76.524064171123001</v>
      </c>
      <c r="AM7" s="555">
        <f>RANK(AL7, AL$7:AL$21)</f>
        <v>4</v>
      </c>
      <c r="AN7" s="685">
        <f t="shared" ref="AN7" si="3">AVERAGE(AL7:AL21)</f>
        <v>69.456470523528466</v>
      </c>
      <c r="AO7" s="530">
        <v>17</v>
      </c>
      <c r="AP7" s="531">
        <v>1297.7052631578949</v>
      </c>
      <c r="AQ7" s="531">
        <v>76.335603715170294</v>
      </c>
      <c r="AR7" s="555">
        <f>RANK(AQ7, AQ$7:AQ$21)</f>
        <v>4</v>
      </c>
      <c r="AS7" s="685">
        <f t="shared" ref="AS7" si="4">AVERAGE(AQ7:AQ21)</f>
        <v>71.951386057829751</v>
      </c>
      <c r="AT7" s="530">
        <v>17</v>
      </c>
      <c r="AU7" s="531">
        <v>1293.6521739130435</v>
      </c>
      <c r="AV7" s="531">
        <v>76.097186700767267</v>
      </c>
      <c r="AW7" s="555">
        <f>RANK(AV7, AV$7:AV$21)</f>
        <v>5</v>
      </c>
      <c r="AX7" s="685">
        <f t="shared" ref="AX7" si="5">AVERAGE(AV7:AV21)</f>
        <v>71.748254383765726</v>
      </c>
      <c r="AZ7" s="368" t="e">
        <f t="shared" ref="AZ7:AZ21" si="6">RANK(AY7, AY$7:AY$21)</f>
        <v>#N/A</v>
      </c>
      <c r="BA7" s="685" t="e">
        <f t="shared" ref="BA7" si="7">AVERAGE(AY7:AY21)</f>
        <v>#DIV/0!</v>
      </c>
    </row>
    <row r="8" spans="1:53" ht="15" customHeight="1">
      <c r="A8" s="81"/>
      <c r="B8" s="660"/>
      <c r="C8" s="530">
        <v>2</v>
      </c>
      <c r="D8" s="225" t="s">
        <v>346</v>
      </c>
      <c r="E8" s="531">
        <v>18</v>
      </c>
      <c r="F8" s="530">
        <v>1440</v>
      </c>
      <c r="G8" s="532">
        <v>80</v>
      </c>
      <c r="H8" s="699"/>
      <c r="I8" s="534">
        <f t="shared" si="0"/>
        <v>18</v>
      </c>
      <c r="J8" s="534">
        <f t="shared" si="1"/>
        <v>1226.9260504201654</v>
      </c>
      <c r="K8" s="199">
        <f t="shared" si="2"/>
        <v>68.162558356675859</v>
      </c>
      <c r="L8" s="634"/>
      <c r="M8" s="558">
        <f>RANK(K8, K$7:$K$21)</f>
        <v>8</v>
      </c>
      <c r="N8" s="652"/>
      <c r="O8" s="652"/>
      <c r="P8" s="530"/>
      <c r="Q8" s="531"/>
      <c r="R8" s="531"/>
      <c r="S8" s="555"/>
      <c r="T8" s="685"/>
      <c r="U8" s="530"/>
      <c r="V8" s="531"/>
      <c r="W8" s="531"/>
      <c r="X8" s="555"/>
      <c r="Y8" s="685"/>
      <c r="Z8" s="530"/>
      <c r="AA8" s="531"/>
      <c r="AB8" s="531"/>
      <c r="AC8" s="555"/>
      <c r="AD8" s="685"/>
      <c r="AE8" s="530"/>
      <c r="AF8" s="531"/>
      <c r="AG8" s="531"/>
      <c r="AH8" s="555"/>
      <c r="AI8" s="685"/>
      <c r="AJ8" s="530">
        <v>18</v>
      </c>
      <c r="AK8" s="531">
        <v>1130.3999999999969</v>
      </c>
      <c r="AL8" s="531">
        <v>62.799999999999827</v>
      </c>
      <c r="AM8" s="555">
        <f t="shared" ref="AM8:AM21" si="8">RANK(AL8, AL$7:AL$21)</f>
        <v>10</v>
      </c>
      <c r="AN8" s="685"/>
      <c r="AO8" s="530">
        <v>18</v>
      </c>
      <c r="AP8" s="531">
        <v>1322.1428571428544</v>
      </c>
      <c r="AQ8" s="531">
        <v>73.452380952380793</v>
      </c>
      <c r="AR8" s="555">
        <f t="shared" ref="AR8:AR21" si="9">RANK(AQ8, AQ$7:AQ$21)</f>
        <v>7</v>
      </c>
      <c r="AS8" s="685"/>
      <c r="AT8" s="530">
        <v>18</v>
      </c>
      <c r="AU8" s="531">
        <v>1228.2352941176455</v>
      </c>
      <c r="AV8" s="531">
        <v>68.235294117646973</v>
      </c>
      <c r="AW8" s="555">
        <f t="shared" ref="AW8:AW21" si="10">RANK(AV8, AV$7:AV$21)</f>
        <v>9</v>
      </c>
      <c r="AX8" s="685"/>
      <c r="AZ8" s="368" t="e">
        <f t="shared" si="6"/>
        <v>#N/A</v>
      </c>
      <c r="BA8" s="685"/>
    </row>
    <row r="9" spans="1:53" ht="14.25">
      <c r="A9" s="81"/>
      <c r="B9" s="660"/>
      <c r="C9" s="530">
        <v>3</v>
      </c>
      <c r="D9" s="225" t="s">
        <v>347</v>
      </c>
      <c r="E9" s="531">
        <v>17</v>
      </c>
      <c r="F9" s="530">
        <v>1440</v>
      </c>
      <c r="G9" s="532">
        <v>84.7</v>
      </c>
      <c r="H9" s="699"/>
      <c r="I9" s="534">
        <f t="shared" si="0"/>
        <v>17</v>
      </c>
      <c r="J9" s="534">
        <f t="shared" si="1"/>
        <v>1336.6984126984119</v>
      </c>
      <c r="K9" s="199">
        <f t="shared" si="2"/>
        <v>78.629318394024224</v>
      </c>
      <c r="L9" s="634"/>
      <c r="M9" s="558">
        <f>RANK(K9, K$7:$K$21)</f>
        <v>3</v>
      </c>
      <c r="N9" s="652"/>
      <c r="O9" s="652"/>
      <c r="P9" s="530"/>
      <c r="Q9" s="531"/>
      <c r="R9" s="531"/>
      <c r="S9" s="555"/>
      <c r="T9" s="685"/>
      <c r="U9" s="530"/>
      <c r="V9" s="531"/>
      <c r="W9" s="531"/>
      <c r="X9" s="555"/>
      <c r="Y9" s="685"/>
      <c r="Z9" s="530"/>
      <c r="AA9" s="531"/>
      <c r="AB9" s="531"/>
      <c r="AC9" s="555"/>
      <c r="AD9" s="685"/>
      <c r="AE9" s="530"/>
      <c r="AF9" s="531"/>
      <c r="AG9" s="531"/>
      <c r="AH9" s="555"/>
      <c r="AI9" s="685"/>
      <c r="AJ9" s="530">
        <v>17</v>
      </c>
      <c r="AK9" s="531">
        <v>1316.6666666666656</v>
      </c>
      <c r="AL9" s="531">
        <v>77.450980392156794</v>
      </c>
      <c r="AM9" s="555">
        <f t="shared" si="8"/>
        <v>3</v>
      </c>
      <c r="AN9" s="685"/>
      <c r="AO9" s="530">
        <v>17</v>
      </c>
      <c r="AP9" s="531">
        <v>1346.9999999999995</v>
      </c>
      <c r="AQ9" s="531">
        <v>79.23529411764703</v>
      </c>
      <c r="AR9" s="555">
        <f t="shared" si="9"/>
        <v>3</v>
      </c>
      <c r="AS9" s="685"/>
      <c r="AT9" s="530">
        <v>17</v>
      </c>
      <c r="AU9" s="531">
        <v>1346.4285714285709</v>
      </c>
      <c r="AV9" s="531">
        <v>79.201680672268878</v>
      </c>
      <c r="AW9" s="555">
        <f t="shared" si="10"/>
        <v>3</v>
      </c>
      <c r="AX9" s="685"/>
      <c r="AZ9" s="368" t="e">
        <f t="shared" si="6"/>
        <v>#N/A</v>
      </c>
      <c r="BA9" s="685"/>
    </row>
    <row r="10" spans="1:53" ht="14.25">
      <c r="A10" s="81"/>
      <c r="B10" s="660"/>
      <c r="C10" s="530">
        <v>4</v>
      </c>
      <c r="D10" s="225" t="s">
        <v>348</v>
      </c>
      <c r="E10" s="531">
        <v>21</v>
      </c>
      <c r="F10" s="530">
        <v>1385</v>
      </c>
      <c r="G10" s="532">
        <v>65.900000000000006</v>
      </c>
      <c r="H10" s="699"/>
      <c r="I10" s="534">
        <f t="shared" si="0"/>
        <v>21</v>
      </c>
      <c r="J10" s="534">
        <f t="shared" si="1"/>
        <v>1276.4679694727101</v>
      </c>
      <c r="K10" s="199">
        <f t="shared" si="2"/>
        <v>60.784189022509999</v>
      </c>
      <c r="L10" s="634"/>
      <c r="M10" s="558">
        <f>RANK(K10, K$7:$K$21)</f>
        <v>12</v>
      </c>
      <c r="N10" s="652"/>
      <c r="O10" s="652"/>
      <c r="P10" s="530"/>
      <c r="Q10" s="531"/>
      <c r="R10" s="531"/>
      <c r="S10" s="555"/>
      <c r="T10" s="685"/>
      <c r="U10" s="530"/>
      <c r="V10" s="531"/>
      <c r="W10" s="531"/>
      <c r="X10" s="555"/>
      <c r="Y10" s="685"/>
      <c r="Z10" s="530"/>
      <c r="AA10" s="531"/>
      <c r="AB10" s="531"/>
      <c r="AC10" s="555"/>
      <c r="AD10" s="685"/>
      <c r="AE10" s="530"/>
      <c r="AF10" s="531"/>
      <c r="AG10" s="531"/>
      <c r="AH10" s="555"/>
      <c r="AI10" s="685"/>
      <c r="AJ10" s="530">
        <v>21</v>
      </c>
      <c r="AK10" s="531">
        <v>1282.6086956521726</v>
      </c>
      <c r="AL10" s="531">
        <v>61.076604554865362</v>
      </c>
      <c r="AM10" s="555">
        <f t="shared" si="8"/>
        <v>11</v>
      </c>
      <c r="AN10" s="685"/>
      <c r="AO10" s="530">
        <v>21</v>
      </c>
      <c r="AP10" s="531">
        <v>1286.1702127659578</v>
      </c>
      <c r="AQ10" s="531">
        <v>61.24620060790275</v>
      </c>
      <c r="AR10" s="555">
        <f t="shared" si="9"/>
        <v>12</v>
      </c>
      <c r="AS10" s="685"/>
      <c r="AT10" s="530">
        <v>21</v>
      </c>
      <c r="AU10" s="531">
        <v>1260.6250000000002</v>
      </c>
      <c r="AV10" s="531">
        <v>60.029761904761912</v>
      </c>
      <c r="AW10" s="555">
        <f t="shared" si="10"/>
        <v>12</v>
      </c>
      <c r="AX10" s="685"/>
      <c r="AZ10" s="368" t="e">
        <f t="shared" si="6"/>
        <v>#N/A</v>
      </c>
      <c r="BA10" s="685"/>
    </row>
    <row r="11" spans="1:53" ht="14.25">
      <c r="A11" s="81"/>
      <c r="B11" s="660"/>
      <c r="C11" s="530">
        <v>5</v>
      </c>
      <c r="D11" s="225" t="s">
        <v>349</v>
      </c>
      <c r="E11" s="531">
        <v>19</v>
      </c>
      <c r="F11" s="530">
        <v>1440</v>
      </c>
      <c r="G11" s="532">
        <v>75.8</v>
      </c>
      <c r="H11" s="699"/>
      <c r="I11" s="534">
        <f t="shared" si="0"/>
        <v>19</v>
      </c>
      <c r="J11" s="534">
        <f t="shared" si="1"/>
        <v>1332.8663853727148</v>
      </c>
      <c r="K11" s="199">
        <f t="shared" si="2"/>
        <v>70.150862388037623</v>
      </c>
      <c r="L11" s="634"/>
      <c r="M11" s="558">
        <f>RANK(K11, K$7:$K$21)</f>
        <v>7</v>
      </c>
      <c r="N11" s="652"/>
      <c r="O11" s="652"/>
      <c r="P11" s="530"/>
      <c r="Q11" s="531"/>
      <c r="R11" s="531"/>
      <c r="S11" s="555"/>
      <c r="T11" s="685"/>
      <c r="U11" s="530"/>
      <c r="V11" s="531"/>
      <c r="W11" s="531"/>
      <c r="X11" s="555"/>
      <c r="Y11" s="685"/>
      <c r="Z11" s="530"/>
      <c r="AA11" s="531"/>
      <c r="AB11" s="531"/>
      <c r="AC11" s="555"/>
      <c r="AD11" s="685"/>
      <c r="AE11" s="530"/>
      <c r="AF11" s="531"/>
      <c r="AG11" s="531"/>
      <c r="AH11" s="555"/>
      <c r="AI11" s="685"/>
      <c r="AJ11" s="530">
        <v>19</v>
      </c>
      <c r="AK11" s="531">
        <v>1313.3333333333346</v>
      </c>
      <c r="AL11" s="531">
        <v>69.122807017543934</v>
      </c>
      <c r="AM11" s="555">
        <f t="shared" si="8"/>
        <v>7</v>
      </c>
      <c r="AN11" s="685"/>
      <c r="AO11" s="530">
        <v>19</v>
      </c>
      <c r="AP11" s="531">
        <v>1344</v>
      </c>
      <c r="AQ11" s="531">
        <v>70.736842105263165</v>
      </c>
      <c r="AR11" s="555">
        <f t="shared" si="9"/>
        <v>8</v>
      </c>
      <c r="AS11" s="685"/>
      <c r="AT11" s="530">
        <v>19</v>
      </c>
      <c r="AU11" s="531">
        <v>1341.2658227848094</v>
      </c>
      <c r="AV11" s="531">
        <v>70.592938041305757</v>
      </c>
      <c r="AW11" s="555">
        <f t="shared" si="10"/>
        <v>7</v>
      </c>
      <c r="AX11" s="685"/>
      <c r="AZ11" s="368" t="e">
        <f t="shared" si="6"/>
        <v>#N/A</v>
      </c>
      <c r="BA11" s="685"/>
    </row>
    <row r="12" spans="1:53" ht="14.25">
      <c r="A12" s="81"/>
      <c r="B12" s="660"/>
      <c r="C12" s="530">
        <v>6</v>
      </c>
      <c r="D12" s="225" t="s">
        <v>491</v>
      </c>
      <c r="E12" s="531">
        <v>18</v>
      </c>
      <c r="F12" s="530">
        <v>1385</v>
      </c>
      <c r="G12" s="532">
        <v>76.900000000000006</v>
      </c>
      <c r="H12" s="699"/>
      <c r="I12" s="534">
        <f t="shared" si="0"/>
        <v>18</v>
      </c>
      <c r="J12" s="534">
        <f t="shared" si="1"/>
        <v>1190.9912234815458</v>
      </c>
      <c r="K12" s="199">
        <f t="shared" si="2"/>
        <v>66.166179082308119</v>
      </c>
      <c r="L12" s="634"/>
      <c r="M12" s="558">
        <f>RANK(K12, K$7:$K$21)</f>
        <v>10</v>
      </c>
      <c r="N12" s="652"/>
      <c r="O12" s="652"/>
      <c r="P12" s="530"/>
      <c r="Q12" s="531"/>
      <c r="R12" s="531"/>
      <c r="S12" s="555"/>
      <c r="T12" s="685"/>
      <c r="U12" s="530"/>
      <c r="V12" s="531"/>
      <c r="W12" s="531"/>
      <c r="X12" s="555"/>
      <c r="Y12" s="685"/>
      <c r="Z12" s="530"/>
      <c r="AA12" s="531"/>
      <c r="AB12" s="531"/>
      <c r="AC12" s="555"/>
      <c r="AD12" s="685"/>
      <c r="AE12" s="530"/>
      <c r="AF12" s="531"/>
      <c r="AG12" s="531"/>
      <c r="AH12" s="555"/>
      <c r="AI12" s="685"/>
      <c r="AJ12" s="530">
        <v>18</v>
      </c>
      <c r="AK12" s="531">
        <v>1173.8709677419367</v>
      </c>
      <c r="AL12" s="531">
        <v>65.215053763440935</v>
      </c>
      <c r="AM12" s="555">
        <f t="shared" si="8"/>
        <v>9</v>
      </c>
      <c r="AN12" s="685"/>
      <c r="AO12" s="530">
        <v>18</v>
      </c>
      <c r="AP12" s="531">
        <v>1192.7027027027018</v>
      </c>
      <c r="AQ12" s="531">
        <v>66.261261261261211</v>
      </c>
      <c r="AR12" s="555">
        <f t="shared" si="9"/>
        <v>10</v>
      </c>
      <c r="AS12" s="685"/>
      <c r="AT12" s="530">
        <v>18</v>
      </c>
      <c r="AU12" s="531">
        <v>1206.3999999999992</v>
      </c>
      <c r="AV12" s="531">
        <v>67.022222222222183</v>
      </c>
      <c r="AW12" s="555">
        <f t="shared" si="10"/>
        <v>11</v>
      </c>
      <c r="AX12" s="685"/>
      <c r="AZ12" s="368" t="e">
        <f t="shared" si="6"/>
        <v>#N/A</v>
      </c>
      <c r="BA12" s="685"/>
    </row>
    <row r="13" spans="1:53" ht="14.25">
      <c r="A13" s="81"/>
      <c r="B13" s="660"/>
      <c r="C13" s="530">
        <v>7</v>
      </c>
      <c r="D13" s="225" t="s">
        <v>493</v>
      </c>
      <c r="E13" s="531">
        <v>18</v>
      </c>
      <c r="F13" s="530">
        <v>1385</v>
      </c>
      <c r="G13" s="532">
        <v>76.900000000000006</v>
      </c>
      <c r="H13" s="699"/>
      <c r="I13" s="534">
        <f t="shared" si="0"/>
        <v>18</v>
      </c>
      <c r="J13" s="534">
        <f t="shared" si="1"/>
        <v>1193.9345063538606</v>
      </c>
      <c r="K13" s="199">
        <f t="shared" si="2"/>
        <v>66.329694797436687</v>
      </c>
      <c r="L13" s="634"/>
      <c r="M13" s="558">
        <f>RANK(K13, K$7:$K$21)</f>
        <v>9</v>
      </c>
      <c r="N13" s="652"/>
      <c r="O13" s="652"/>
      <c r="P13" s="530"/>
      <c r="Q13" s="531"/>
      <c r="R13" s="531"/>
      <c r="S13" s="555"/>
      <c r="T13" s="685"/>
      <c r="U13" s="530"/>
      <c r="V13" s="531"/>
      <c r="W13" s="531"/>
      <c r="X13" s="555"/>
      <c r="Y13" s="685"/>
      <c r="Z13" s="530"/>
      <c r="AA13" s="531"/>
      <c r="AB13" s="531"/>
      <c r="AC13" s="555"/>
      <c r="AD13" s="685"/>
      <c r="AE13" s="530"/>
      <c r="AF13" s="531"/>
      <c r="AG13" s="531"/>
      <c r="AH13" s="555"/>
      <c r="AI13" s="685"/>
      <c r="AJ13" s="530">
        <v>18</v>
      </c>
      <c r="AK13" s="531">
        <v>1192.2580645161272</v>
      </c>
      <c r="AL13" s="531">
        <v>66.236559139784845</v>
      </c>
      <c r="AM13" s="555">
        <f t="shared" si="8"/>
        <v>8</v>
      </c>
      <c r="AN13" s="685"/>
      <c r="AO13" s="530">
        <v>18</v>
      </c>
      <c r="AP13" s="531">
        <v>1179.9999999999995</v>
      </c>
      <c r="AQ13" s="531">
        <v>65.555555555555529</v>
      </c>
      <c r="AR13" s="555">
        <f t="shared" si="9"/>
        <v>11</v>
      </c>
      <c r="AS13" s="685"/>
      <c r="AT13" s="530">
        <v>18</v>
      </c>
      <c r="AU13" s="531">
        <v>1209.5454545454545</v>
      </c>
      <c r="AV13" s="531">
        <v>67.196969696969688</v>
      </c>
      <c r="AW13" s="555">
        <f t="shared" si="10"/>
        <v>10</v>
      </c>
      <c r="AX13" s="685"/>
      <c r="AZ13" s="368" t="e">
        <f t="shared" si="6"/>
        <v>#N/A</v>
      </c>
      <c r="BA13" s="685"/>
    </row>
    <row r="14" spans="1:53" ht="14.25">
      <c r="A14" s="81"/>
      <c r="B14" s="660"/>
      <c r="C14" s="530">
        <v>8</v>
      </c>
      <c r="D14" s="225" t="s">
        <v>510</v>
      </c>
      <c r="E14" s="531">
        <v>16</v>
      </c>
      <c r="F14" s="530">
        <v>1440</v>
      </c>
      <c r="G14" s="532">
        <v>90</v>
      </c>
      <c r="H14" s="699"/>
      <c r="I14" s="534">
        <f t="shared" si="0"/>
        <v>16</v>
      </c>
      <c r="J14" s="534">
        <f t="shared" si="1"/>
        <v>1345.0230718523401</v>
      </c>
      <c r="K14" s="199">
        <f t="shared" si="2"/>
        <v>84.063941990771255</v>
      </c>
      <c r="L14" s="634"/>
      <c r="M14" s="558">
        <f>RANK(K14, K$7:$K$21)</f>
        <v>1</v>
      </c>
      <c r="N14" s="652"/>
      <c r="O14" s="652"/>
      <c r="P14" s="530"/>
      <c r="Q14" s="531"/>
      <c r="R14" s="531"/>
      <c r="S14" s="555"/>
      <c r="T14" s="685"/>
      <c r="U14" s="530"/>
      <c r="V14" s="531"/>
      <c r="W14" s="531"/>
      <c r="X14" s="555"/>
      <c r="Y14" s="685"/>
      <c r="Z14" s="530"/>
      <c r="AA14" s="531"/>
      <c r="AB14" s="531"/>
      <c r="AC14" s="555"/>
      <c r="AD14" s="685"/>
      <c r="AE14" s="530"/>
      <c r="AF14" s="531"/>
      <c r="AG14" s="531"/>
      <c r="AH14" s="555"/>
      <c r="AI14" s="685"/>
      <c r="AJ14" s="530">
        <v>16</v>
      </c>
      <c r="AK14" s="531">
        <v>1339.4594594594603</v>
      </c>
      <c r="AL14" s="531">
        <v>83.716216216216267</v>
      </c>
      <c r="AM14" s="555">
        <f t="shared" si="8"/>
        <v>1</v>
      </c>
      <c r="AN14" s="685"/>
      <c r="AO14" s="530">
        <v>16</v>
      </c>
      <c r="AP14" s="531">
        <v>1363.9024390243897</v>
      </c>
      <c r="AQ14" s="531">
        <v>85.243902439024353</v>
      </c>
      <c r="AR14" s="555">
        <f t="shared" si="9"/>
        <v>1</v>
      </c>
      <c r="AS14" s="685"/>
      <c r="AT14" s="530">
        <v>16</v>
      </c>
      <c r="AU14" s="531">
        <v>1331.7073170731703</v>
      </c>
      <c r="AV14" s="531">
        <v>83.231707317073145</v>
      </c>
      <c r="AW14" s="555">
        <f t="shared" si="10"/>
        <v>2</v>
      </c>
      <c r="AX14" s="685"/>
      <c r="AZ14" s="368" t="e">
        <f t="shared" si="6"/>
        <v>#N/A</v>
      </c>
      <c r="BA14" s="685"/>
    </row>
    <row r="15" spans="1:53" ht="14.25">
      <c r="A15" s="81"/>
      <c r="B15" s="660"/>
      <c r="C15" s="530">
        <v>9</v>
      </c>
      <c r="D15" s="225" t="s">
        <v>561</v>
      </c>
      <c r="E15" s="531">
        <v>19</v>
      </c>
      <c r="F15" s="530">
        <v>1636</v>
      </c>
      <c r="G15" s="532">
        <v>86.1</v>
      </c>
      <c r="H15" s="699"/>
      <c r="I15" s="534">
        <f t="shared" si="0"/>
        <v>19</v>
      </c>
      <c r="J15" s="534">
        <f t="shared" si="1"/>
        <v>1438.6145252805447</v>
      </c>
      <c r="K15" s="199">
        <f t="shared" si="2"/>
        <v>75.716553962133943</v>
      </c>
      <c r="L15" s="634"/>
      <c r="M15" s="558">
        <f>RANK(K15, K$7:$K$21)</f>
        <v>5</v>
      </c>
      <c r="N15" s="652"/>
      <c r="O15" s="652"/>
      <c r="P15" s="530"/>
      <c r="Q15" s="531"/>
      <c r="R15" s="531"/>
      <c r="S15" s="555"/>
      <c r="T15" s="685"/>
      <c r="U15" s="530"/>
      <c r="V15" s="531"/>
      <c r="W15" s="531"/>
      <c r="X15" s="555"/>
      <c r="Y15" s="685"/>
      <c r="Z15" s="530"/>
      <c r="AA15" s="531"/>
      <c r="AB15" s="531"/>
      <c r="AC15" s="555"/>
      <c r="AD15" s="685"/>
      <c r="AE15" s="530"/>
      <c r="AF15" s="531"/>
      <c r="AG15" s="531"/>
      <c r="AH15" s="555"/>
      <c r="AI15" s="685"/>
      <c r="AJ15" s="530">
        <v>19</v>
      </c>
      <c r="AK15" s="531">
        <v>1431.4285714285713</v>
      </c>
      <c r="AL15" s="531">
        <v>75.338345864661648</v>
      </c>
      <c r="AM15" s="555">
        <f t="shared" si="8"/>
        <v>5</v>
      </c>
      <c r="AN15" s="685"/>
      <c r="AO15" s="530">
        <v>19</v>
      </c>
      <c r="AP15" s="531">
        <v>1429.0363636363636</v>
      </c>
      <c r="AQ15" s="531">
        <v>75.212440191387557</v>
      </c>
      <c r="AR15" s="555">
        <f t="shared" si="9"/>
        <v>5</v>
      </c>
      <c r="AS15" s="685"/>
      <c r="AT15" s="530">
        <v>19</v>
      </c>
      <c r="AU15" s="531">
        <v>1455.3786407766991</v>
      </c>
      <c r="AV15" s="531">
        <v>76.598875830352583</v>
      </c>
      <c r="AW15" s="555">
        <f t="shared" si="10"/>
        <v>4</v>
      </c>
      <c r="AX15" s="685"/>
      <c r="AZ15" s="368" t="e">
        <f t="shared" si="6"/>
        <v>#N/A</v>
      </c>
      <c r="BA15" s="685"/>
    </row>
    <row r="16" spans="1:53" ht="14.25">
      <c r="A16" s="81"/>
      <c r="B16" s="660"/>
      <c r="C16" s="530">
        <v>10</v>
      </c>
      <c r="D16" s="225" t="s">
        <v>582</v>
      </c>
      <c r="E16" s="531">
        <v>19</v>
      </c>
      <c r="F16" s="530">
        <v>1440</v>
      </c>
      <c r="G16" s="532">
        <v>75.8</v>
      </c>
      <c r="H16" s="699"/>
      <c r="I16" s="534">
        <f t="shared" si="0"/>
        <v>18.666666666666668</v>
      </c>
      <c r="J16" s="534">
        <f t="shared" si="1"/>
        <v>1078.6538461538501</v>
      </c>
      <c r="K16" s="199">
        <f t="shared" si="2"/>
        <v>57.783400809716802</v>
      </c>
      <c r="L16" s="634"/>
      <c r="M16" s="558">
        <f>RANK(K16, K$7:$K$21)</f>
        <v>13</v>
      </c>
      <c r="N16" s="652"/>
      <c r="O16" s="652"/>
      <c r="P16" s="530"/>
      <c r="Q16" s="531"/>
      <c r="R16" s="531"/>
      <c r="S16" s="555"/>
      <c r="T16" s="685"/>
      <c r="U16" s="530"/>
      <c r="V16" s="531"/>
      <c r="W16" s="531"/>
      <c r="X16" s="555"/>
      <c r="Y16" s="685"/>
      <c r="Z16" s="530"/>
      <c r="AA16" s="531"/>
      <c r="AB16" s="531"/>
      <c r="AC16" s="555"/>
      <c r="AD16" s="685"/>
      <c r="AE16" s="530"/>
      <c r="AF16" s="531"/>
      <c r="AG16" s="531"/>
      <c r="AH16" s="555"/>
      <c r="AI16" s="685"/>
      <c r="AJ16" s="530">
        <v>19</v>
      </c>
      <c r="AK16" s="531">
        <v>1080.0000000000039</v>
      </c>
      <c r="AL16" s="531">
        <v>56.842105263158096</v>
      </c>
      <c r="AM16" s="555">
        <f t="shared" si="8"/>
        <v>13</v>
      </c>
      <c r="AN16" s="685"/>
      <c r="AO16" s="530">
        <v>19</v>
      </c>
      <c r="AP16" s="531">
        <v>1117.5000000000041</v>
      </c>
      <c r="AQ16" s="531">
        <v>58.815789473684426</v>
      </c>
      <c r="AR16" s="555">
        <f t="shared" si="9"/>
        <v>13</v>
      </c>
      <c r="AS16" s="685"/>
      <c r="AT16" s="530">
        <v>18</v>
      </c>
      <c r="AU16" s="531">
        <v>1038.4615384615422</v>
      </c>
      <c r="AV16" s="531">
        <v>57.692307692307899</v>
      </c>
      <c r="AW16" s="555">
        <f t="shared" si="10"/>
        <v>13</v>
      </c>
      <c r="AX16" s="685"/>
      <c r="AZ16" s="368" t="e">
        <f t="shared" si="6"/>
        <v>#N/A</v>
      </c>
      <c r="BA16" s="685"/>
    </row>
    <row r="17" spans="2:53">
      <c r="B17" s="660"/>
      <c r="C17" s="530">
        <v>11</v>
      </c>
      <c r="D17" s="225" t="s">
        <v>588</v>
      </c>
      <c r="E17" s="531">
        <v>17</v>
      </c>
      <c r="F17" s="530">
        <v>1440</v>
      </c>
      <c r="G17" s="532">
        <v>84.7</v>
      </c>
      <c r="H17" s="699"/>
      <c r="I17" s="534">
        <f t="shared" si="0"/>
        <v>16.666666666666668</v>
      </c>
      <c r="J17" s="534">
        <f t="shared" si="1"/>
        <v>1349.4530187849068</v>
      </c>
      <c r="K17" s="199">
        <f t="shared" si="2"/>
        <v>81.051807625192964</v>
      </c>
      <c r="L17" s="634"/>
      <c r="M17" s="558">
        <f>RANK(K17, K$7:$K$21)</f>
        <v>2</v>
      </c>
      <c r="N17" s="652"/>
      <c r="O17" s="652"/>
      <c r="P17" s="530"/>
      <c r="Q17" s="531"/>
      <c r="R17" s="531"/>
      <c r="S17" s="555"/>
      <c r="T17" s="685"/>
      <c r="U17" s="530"/>
      <c r="V17" s="531"/>
      <c r="W17" s="531"/>
      <c r="X17" s="555"/>
      <c r="Y17" s="685"/>
      <c r="Z17" s="530"/>
      <c r="AA17" s="531"/>
      <c r="AB17" s="531"/>
      <c r="AC17" s="555"/>
      <c r="AD17" s="685"/>
      <c r="AE17" s="530"/>
      <c r="AF17" s="531"/>
      <c r="AG17" s="531"/>
      <c r="AH17" s="555"/>
      <c r="AI17" s="685"/>
      <c r="AJ17" s="530">
        <v>17</v>
      </c>
      <c r="AK17" s="531">
        <v>1331.6949152542365</v>
      </c>
      <c r="AL17" s="531">
        <v>78.334995014955098</v>
      </c>
      <c r="AM17" s="555">
        <f t="shared" si="8"/>
        <v>2</v>
      </c>
      <c r="AN17" s="685"/>
      <c r="AO17" s="530">
        <v>17</v>
      </c>
      <c r="AP17" s="531">
        <v>1352.1340206185571</v>
      </c>
      <c r="AQ17" s="531">
        <v>79.537295330503355</v>
      </c>
      <c r="AR17" s="555">
        <f t="shared" si="9"/>
        <v>2</v>
      </c>
      <c r="AS17" s="685"/>
      <c r="AT17" s="530">
        <v>16</v>
      </c>
      <c r="AU17" s="531">
        <v>1364.5301204819273</v>
      </c>
      <c r="AV17" s="531">
        <v>85.283132530120454</v>
      </c>
      <c r="AW17" s="555">
        <f t="shared" si="10"/>
        <v>1</v>
      </c>
      <c r="AX17" s="685"/>
      <c r="AZ17" s="368" t="e">
        <f t="shared" si="6"/>
        <v>#N/A</v>
      </c>
      <c r="BA17" s="685"/>
    </row>
    <row r="18" spans="2:53">
      <c r="B18" s="660"/>
      <c r="C18" s="530">
        <v>12</v>
      </c>
      <c r="D18" s="225" t="s">
        <v>640</v>
      </c>
      <c r="E18" s="531">
        <v>19</v>
      </c>
      <c r="F18" s="530">
        <v>1440</v>
      </c>
      <c r="G18" s="532">
        <v>75.8</v>
      </c>
      <c r="H18" s="699"/>
      <c r="I18" s="534">
        <f t="shared" si="0"/>
        <v>19</v>
      </c>
      <c r="J18" s="534">
        <f t="shared" si="1"/>
        <v>1238.9262672811039</v>
      </c>
      <c r="K18" s="199">
        <f t="shared" si="2"/>
        <v>65.2066456463739</v>
      </c>
      <c r="L18" s="634"/>
      <c r="M18" s="558">
        <f>RANK(K18, K$7:$K$21)</f>
        <v>11</v>
      </c>
      <c r="N18" s="652"/>
      <c r="O18" s="652"/>
      <c r="P18" s="530"/>
      <c r="Q18" s="531"/>
      <c r="R18" s="531"/>
      <c r="S18" s="555"/>
      <c r="T18" s="685"/>
      <c r="U18" s="530"/>
      <c r="V18" s="531"/>
      <c r="W18" s="531"/>
      <c r="X18" s="555"/>
      <c r="Y18" s="685"/>
      <c r="Z18" s="530"/>
      <c r="AA18" s="531"/>
      <c r="AB18" s="531"/>
      <c r="AC18" s="555"/>
      <c r="AD18" s="685"/>
      <c r="AE18" s="530"/>
      <c r="AF18" s="531"/>
      <c r="AG18" s="531"/>
      <c r="AH18" s="555"/>
      <c r="AI18" s="685"/>
      <c r="AJ18" s="530">
        <v>19</v>
      </c>
      <c r="AK18" s="531">
        <v>1090.7142857142833</v>
      </c>
      <c r="AL18" s="531">
        <v>57.406015037593853</v>
      </c>
      <c r="AM18" s="555">
        <f t="shared" si="8"/>
        <v>12</v>
      </c>
      <c r="AN18" s="685"/>
      <c r="AO18" s="530">
        <v>19</v>
      </c>
      <c r="AP18" s="531">
        <v>1318.0645161290302</v>
      </c>
      <c r="AQ18" s="531">
        <v>69.371816638370007</v>
      </c>
      <c r="AR18" s="555">
        <f t="shared" si="9"/>
        <v>9</v>
      </c>
      <c r="AS18" s="685"/>
      <c r="AT18" s="530">
        <v>19</v>
      </c>
      <c r="AU18" s="531">
        <v>1307.9999999999989</v>
      </c>
      <c r="AV18" s="531">
        <v>68.842105263157833</v>
      </c>
      <c r="AW18" s="555">
        <f t="shared" si="10"/>
        <v>8</v>
      </c>
      <c r="AX18" s="685"/>
      <c r="AZ18" s="368" t="e">
        <f t="shared" si="6"/>
        <v>#N/A</v>
      </c>
      <c r="BA18" s="685"/>
    </row>
    <row r="19" spans="2:53">
      <c r="B19" s="660"/>
      <c r="C19" s="530">
        <v>13</v>
      </c>
      <c r="D19" s="225" t="s">
        <v>699</v>
      </c>
      <c r="E19" s="531">
        <v>18</v>
      </c>
      <c r="F19" s="530">
        <v>1440</v>
      </c>
      <c r="G19" s="532">
        <v>80</v>
      </c>
      <c r="H19" s="699"/>
      <c r="I19" s="534">
        <f t="shared" si="0"/>
        <v>18</v>
      </c>
      <c r="J19" s="534">
        <f t="shared" si="1"/>
        <v>1319.6227904040397</v>
      </c>
      <c r="K19" s="199">
        <f t="shared" si="2"/>
        <v>73.312377244668866</v>
      </c>
      <c r="L19" s="634"/>
      <c r="M19" s="558">
        <f>RANK(K19, K$7:$K$21)</f>
        <v>6</v>
      </c>
      <c r="N19" s="652"/>
      <c r="O19" s="652"/>
      <c r="P19" s="530"/>
      <c r="Q19" s="531"/>
      <c r="R19" s="531"/>
      <c r="S19" s="555"/>
      <c r="T19" s="685"/>
      <c r="U19" s="530"/>
      <c r="V19" s="531"/>
      <c r="W19" s="531"/>
      <c r="X19" s="555"/>
      <c r="Y19" s="685"/>
      <c r="Z19" s="530"/>
      <c r="AA19" s="531"/>
      <c r="AB19" s="531"/>
      <c r="AC19" s="555"/>
      <c r="AD19" s="685"/>
      <c r="AE19" s="530"/>
      <c r="AF19" s="531"/>
      <c r="AG19" s="531"/>
      <c r="AH19" s="555"/>
      <c r="AI19" s="685"/>
      <c r="AJ19" s="530">
        <v>18</v>
      </c>
      <c r="AK19" s="531">
        <v>1311.6666666666656</v>
      </c>
      <c r="AL19" s="531">
        <v>72.87037037037031</v>
      </c>
      <c r="AM19" s="555">
        <f t="shared" si="8"/>
        <v>6</v>
      </c>
      <c r="AN19" s="685"/>
      <c r="AO19" s="530">
        <v>18</v>
      </c>
      <c r="AP19" s="531">
        <v>1338.5454545454534</v>
      </c>
      <c r="AQ19" s="531">
        <v>74.363636363636303</v>
      </c>
      <c r="AR19" s="555">
        <f t="shared" si="9"/>
        <v>6</v>
      </c>
      <c r="AS19" s="685"/>
      <c r="AT19" s="530">
        <v>18</v>
      </c>
      <c r="AU19" s="531">
        <v>1308.6562499999998</v>
      </c>
      <c r="AV19" s="531">
        <v>72.703124999999986</v>
      </c>
      <c r="AW19" s="555">
        <f t="shared" si="10"/>
        <v>6</v>
      </c>
      <c r="AX19" s="685"/>
      <c r="AZ19" s="368" t="e">
        <f t="shared" si="6"/>
        <v>#N/A</v>
      </c>
      <c r="BA19" s="685"/>
    </row>
    <row r="20" spans="2:53">
      <c r="B20" s="660"/>
      <c r="C20" s="530">
        <v>14</v>
      </c>
      <c r="D20" s="225"/>
      <c r="E20" s="531"/>
      <c r="F20" s="530"/>
      <c r="G20" s="532"/>
      <c r="H20" s="699"/>
      <c r="I20" s="534" t="str">
        <f t="shared" si="0"/>
        <v>-</v>
      </c>
      <c r="J20" s="534" t="str">
        <f t="shared" si="1"/>
        <v>-</v>
      </c>
      <c r="K20" s="199" t="str">
        <f t="shared" si="2"/>
        <v>-</v>
      </c>
      <c r="L20" s="634"/>
      <c r="M20" s="558" t="e">
        <f>RANK(K20, K$7:$K$21)</f>
        <v>#VALUE!</v>
      </c>
      <c r="N20" s="652"/>
      <c r="O20" s="652"/>
      <c r="P20" s="530"/>
      <c r="Q20" s="531"/>
      <c r="R20" s="531"/>
      <c r="S20" s="555"/>
      <c r="T20" s="685"/>
      <c r="U20" s="530"/>
      <c r="V20" s="531"/>
      <c r="W20" s="531"/>
      <c r="X20" s="555"/>
      <c r="Y20" s="685"/>
      <c r="Z20" s="530"/>
      <c r="AA20" s="531"/>
      <c r="AB20" s="531"/>
      <c r="AC20" s="555"/>
      <c r="AD20" s="685"/>
      <c r="AE20" s="530"/>
      <c r="AF20" s="531"/>
      <c r="AG20" s="531"/>
      <c r="AH20" s="555"/>
      <c r="AI20" s="685"/>
      <c r="AJ20" s="530" t="s">
        <v>585</v>
      </c>
      <c r="AK20" s="531" t="s">
        <v>585</v>
      </c>
      <c r="AL20" s="531" t="s">
        <v>585</v>
      </c>
      <c r="AM20" s="555" t="e">
        <f t="shared" si="8"/>
        <v>#VALUE!</v>
      </c>
      <c r="AN20" s="685"/>
      <c r="AO20" s="530" t="s">
        <v>585</v>
      </c>
      <c r="AP20" s="531" t="s">
        <v>585</v>
      </c>
      <c r="AQ20" s="531" t="s">
        <v>585</v>
      </c>
      <c r="AR20" s="555" t="e">
        <f t="shared" si="9"/>
        <v>#VALUE!</v>
      </c>
      <c r="AS20" s="685"/>
      <c r="AT20" s="530" t="s">
        <v>585</v>
      </c>
      <c r="AU20" s="531" t="s">
        <v>585</v>
      </c>
      <c r="AV20" s="531" t="s">
        <v>585</v>
      </c>
      <c r="AW20" s="555" t="e">
        <f t="shared" si="10"/>
        <v>#VALUE!</v>
      </c>
      <c r="AX20" s="685"/>
      <c r="AZ20" s="368" t="e">
        <f t="shared" si="6"/>
        <v>#N/A</v>
      </c>
      <c r="BA20" s="685"/>
    </row>
    <row r="21" spans="2:53">
      <c r="B21" s="660"/>
      <c r="C21" s="530">
        <v>15</v>
      </c>
      <c r="D21" s="225"/>
      <c r="E21" s="531"/>
      <c r="F21" s="530"/>
      <c r="G21" s="532"/>
      <c r="H21" s="700"/>
      <c r="I21" s="534" t="str">
        <f t="shared" si="0"/>
        <v>-</v>
      </c>
      <c r="J21" s="534" t="str">
        <f t="shared" si="1"/>
        <v>-</v>
      </c>
      <c r="K21" s="199" t="str">
        <f t="shared" si="2"/>
        <v>-</v>
      </c>
      <c r="L21" s="635"/>
      <c r="M21" s="558" t="e">
        <f>RANK(K21, K$7:$K$21)</f>
        <v>#VALUE!</v>
      </c>
      <c r="N21" s="652"/>
      <c r="O21" s="652"/>
      <c r="P21" s="530"/>
      <c r="Q21" s="531"/>
      <c r="R21" s="531"/>
      <c r="S21" s="555"/>
      <c r="T21" s="685"/>
      <c r="U21" s="530"/>
      <c r="V21" s="531"/>
      <c r="W21" s="531"/>
      <c r="X21" s="555"/>
      <c r="Y21" s="685"/>
      <c r="Z21" s="530"/>
      <c r="AA21" s="531"/>
      <c r="AB21" s="531"/>
      <c r="AC21" s="555"/>
      <c r="AD21" s="685"/>
      <c r="AE21" s="530"/>
      <c r="AF21" s="531"/>
      <c r="AG21" s="531"/>
      <c r="AH21" s="555"/>
      <c r="AI21" s="685"/>
      <c r="AJ21" s="530" t="s">
        <v>585</v>
      </c>
      <c r="AK21" s="531" t="s">
        <v>585</v>
      </c>
      <c r="AL21" s="531" t="s">
        <v>585</v>
      </c>
      <c r="AM21" s="555" t="e">
        <f t="shared" si="8"/>
        <v>#VALUE!</v>
      </c>
      <c r="AN21" s="685"/>
      <c r="AO21" s="530" t="s">
        <v>585</v>
      </c>
      <c r="AP21" s="531" t="s">
        <v>585</v>
      </c>
      <c r="AQ21" s="531" t="s">
        <v>585</v>
      </c>
      <c r="AR21" s="555" t="e">
        <f t="shared" si="9"/>
        <v>#VALUE!</v>
      </c>
      <c r="AS21" s="685"/>
      <c r="AT21" s="530" t="s">
        <v>585</v>
      </c>
      <c r="AU21" s="531" t="s">
        <v>585</v>
      </c>
      <c r="AV21" s="531" t="s">
        <v>585</v>
      </c>
      <c r="AW21" s="555" t="e">
        <f t="shared" si="10"/>
        <v>#VALUE!</v>
      </c>
      <c r="AX21" s="685"/>
      <c r="AZ21" s="368" t="e">
        <f t="shared" si="6"/>
        <v>#N/A</v>
      </c>
      <c r="BA21" s="685"/>
    </row>
    <row r="22" spans="2:53" ht="15.75">
      <c r="B22" s="677" t="s">
        <v>162</v>
      </c>
      <c r="C22" s="678"/>
      <c r="D22" s="678"/>
      <c r="E22" s="678"/>
      <c r="F22" s="678"/>
      <c r="G22" s="678"/>
      <c r="H22" s="678"/>
      <c r="I22" s="202"/>
      <c r="J22" s="202"/>
      <c r="K22" s="202"/>
      <c r="L22" s="202"/>
      <c r="M22" s="203"/>
      <c r="N22" s="653" t="s">
        <v>156</v>
      </c>
      <c r="O22" s="653" t="s">
        <v>105</v>
      </c>
      <c r="P22" s="659">
        <f>P2+7</f>
        <v>46238</v>
      </c>
      <c r="Q22" s="660"/>
      <c r="R22" s="660"/>
      <c r="S22" s="660"/>
      <c r="T22" s="660"/>
      <c r="U22" s="656">
        <f>P22+1</f>
        <v>46239</v>
      </c>
      <c r="V22" s="657"/>
      <c r="W22" s="657"/>
      <c r="X22" s="657"/>
      <c r="Y22" s="658"/>
      <c r="Z22" s="656">
        <f>U22+1</f>
        <v>46240</v>
      </c>
      <c r="AA22" s="657"/>
      <c r="AB22" s="657"/>
      <c r="AC22" s="657"/>
      <c r="AD22" s="658"/>
      <c r="AE22" s="656">
        <f>Z22+1</f>
        <v>46241</v>
      </c>
      <c r="AF22" s="657"/>
      <c r="AG22" s="657"/>
      <c r="AH22" s="657"/>
      <c r="AI22" s="658"/>
      <c r="AJ22" s="656">
        <f>AE22+1</f>
        <v>46242</v>
      </c>
      <c r="AK22" s="657"/>
      <c r="AL22" s="657"/>
      <c r="AM22" s="657"/>
      <c r="AN22" s="658"/>
      <c r="AO22" s="656">
        <f>AJ22+1</f>
        <v>46243</v>
      </c>
      <c r="AP22" s="657"/>
      <c r="AQ22" s="657"/>
      <c r="AR22" s="657"/>
      <c r="AS22" s="658"/>
      <c r="AT22" s="656">
        <f>AO22+1</f>
        <v>46244</v>
      </c>
      <c r="AU22" s="657"/>
      <c r="AV22" s="657"/>
      <c r="AW22" s="657"/>
      <c r="AX22" s="658"/>
    </row>
    <row r="23" spans="2:53" ht="15.75">
      <c r="B23" s="667"/>
      <c r="C23" s="667"/>
      <c r="D23" s="667"/>
      <c r="E23" s="667"/>
      <c r="F23" s="667"/>
      <c r="G23" s="667"/>
      <c r="H23" s="667"/>
      <c r="I23" s="204"/>
      <c r="J23" s="204"/>
      <c r="K23" s="204"/>
      <c r="L23" s="204"/>
      <c r="M23" s="205"/>
      <c r="N23" s="655"/>
      <c r="O23" s="655"/>
      <c r="P23" s="659" t="s">
        <v>317</v>
      </c>
      <c r="Q23" s="660"/>
      <c r="R23" s="660"/>
      <c r="S23" s="660"/>
      <c r="T23" s="660"/>
      <c r="U23" s="659" t="s">
        <v>318</v>
      </c>
      <c r="V23" s="660"/>
      <c r="W23" s="660"/>
      <c r="X23" s="660"/>
      <c r="Y23" s="660"/>
      <c r="Z23" s="659" t="s">
        <v>319</v>
      </c>
      <c r="AA23" s="660"/>
      <c r="AB23" s="660"/>
      <c r="AC23" s="660"/>
      <c r="AD23" s="660"/>
      <c r="AE23" s="659" t="s">
        <v>320</v>
      </c>
      <c r="AF23" s="660"/>
      <c r="AG23" s="660"/>
      <c r="AH23" s="660"/>
      <c r="AI23" s="660"/>
      <c r="AJ23" s="659" t="s">
        <v>321</v>
      </c>
      <c r="AK23" s="660"/>
      <c r="AL23" s="660"/>
      <c r="AM23" s="660"/>
      <c r="AN23" s="660"/>
      <c r="AO23" s="659" t="s">
        <v>322</v>
      </c>
      <c r="AP23" s="660"/>
      <c r="AQ23" s="660"/>
      <c r="AR23" s="660"/>
      <c r="AS23" s="660"/>
      <c r="AT23" s="659" t="s">
        <v>323</v>
      </c>
      <c r="AU23" s="660"/>
      <c r="AV23" s="660"/>
      <c r="AW23" s="660"/>
      <c r="AX23" s="660"/>
    </row>
    <row r="24" spans="2:53">
      <c r="B24" s="652" t="s">
        <v>154</v>
      </c>
      <c r="C24" s="652" t="s">
        <v>379</v>
      </c>
      <c r="D24" s="652"/>
      <c r="E24" s="652" t="s">
        <v>370</v>
      </c>
      <c r="F24" s="652"/>
      <c r="G24" s="652"/>
      <c r="H24" s="668" t="s">
        <v>366</v>
      </c>
      <c r="I24" s="636" t="s">
        <v>371</v>
      </c>
      <c r="J24" s="636"/>
      <c r="K24" s="636"/>
      <c r="L24" s="637" t="s">
        <v>366</v>
      </c>
      <c r="M24" s="643" t="s">
        <v>367</v>
      </c>
      <c r="N24" s="652"/>
      <c r="O24" s="652" t="s">
        <v>372</v>
      </c>
      <c r="P24" s="649" t="s">
        <v>368</v>
      </c>
      <c r="Q24" s="650"/>
      <c r="R24" s="650"/>
      <c r="S24" s="651"/>
      <c r="T24" s="652" t="s">
        <v>366</v>
      </c>
      <c r="U24" s="649" t="s">
        <v>368</v>
      </c>
      <c r="V24" s="650"/>
      <c r="W24" s="650"/>
      <c r="X24" s="651"/>
      <c r="Y24" s="652" t="s">
        <v>366</v>
      </c>
      <c r="Z24" s="649" t="s">
        <v>368</v>
      </c>
      <c r="AA24" s="650"/>
      <c r="AB24" s="650"/>
      <c r="AC24" s="651"/>
      <c r="AD24" s="652" t="s">
        <v>366</v>
      </c>
      <c r="AE24" s="649" t="s">
        <v>368</v>
      </c>
      <c r="AF24" s="650"/>
      <c r="AG24" s="650"/>
      <c r="AH24" s="651"/>
      <c r="AI24" s="652" t="s">
        <v>366</v>
      </c>
      <c r="AJ24" s="649" t="s">
        <v>368</v>
      </c>
      <c r="AK24" s="650"/>
      <c r="AL24" s="650"/>
      <c r="AM24" s="651"/>
      <c r="AN24" s="652" t="s">
        <v>366</v>
      </c>
      <c r="AO24" s="649" t="s">
        <v>368</v>
      </c>
      <c r="AP24" s="650"/>
      <c r="AQ24" s="650"/>
      <c r="AR24" s="651"/>
      <c r="AS24" s="652" t="s">
        <v>366</v>
      </c>
      <c r="AT24" s="649" t="s">
        <v>368</v>
      </c>
      <c r="AU24" s="650"/>
      <c r="AV24" s="650"/>
      <c r="AW24" s="651"/>
      <c r="AX24" s="652" t="s">
        <v>366</v>
      </c>
      <c r="BA24" s="652" t="s">
        <v>366</v>
      </c>
    </row>
    <row r="25" spans="2:53">
      <c r="B25" s="652"/>
      <c r="C25" s="652"/>
      <c r="D25" s="652"/>
      <c r="E25" s="652" t="s">
        <v>373</v>
      </c>
      <c r="F25" s="652"/>
      <c r="G25" s="652"/>
      <c r="H25" s="669"/>
      <c r="I25" s="636" t="s">
        <v>373</v>
      </c>
      <c r="J25" s="636"/>
      <c r="K25" s="636"/>
      <c r="L25" s="638"/>
      <c r="M25" s="644"/>
      <c r="N25" s="652"/>
      <c r="O25" s="652"/>
      <c r="P25" s="649" t="s">
        <v>374</v>
      </c>
      <c r="Q25" s="650"/>
      <c r="R25" s="650"/>
      <c r="S25" s="651"/>
      <c r="T25" s="652"/>
      <c r="U25" s="649" t="s">
        <v>374</v>
      </c>
      <c r="V25" s="650"/>
      <c r="W25" s="650"/>
      <c r="X25" s="651"/>
      <c r="Y25" s="652"/>
      <c r="Z25" s="649" t="s">
        <v>374</v>
      </c>
      <c r="AA25" s="650"/>
      <c r="AB25" s="650"/>
      <c r="AC25" s="651"/>
      <c r="AD25" s="652"/>
      <c r="AE25" s="649" t="s">
        <v>374</v>
      </c>
      <c r="AF25" s="650"/>
      <c r="AG25" s="650"/>
      <c r="AH25" s="651"/>
      <c r="AI25" s="652"/>
      <c r="AJ25" s="649" t="s">
        <v>374</v>
      </c>
      <c r="AK25" s="650"/>
      <c r="AL25" s="650"/>
      <c r="AM25" s="651"/>
      <c r="AN25" s="652"/>
      <c r="AO25" s="649" t="s">
        <v>374</v>
      </c>
      <c r="AP25" s="650"/>
      <c r="AQ25" s="650"/>
      <c r="AR25" s="651"/>
      <c r="AS25" s="652"/>
      <c r="AT25" s="649" t="s">
        <v>374</v>
      </c>
      <c r="AU25" s="650"/>
      <c r="AV25" s="650"/>
      <c r="AW25" s="651"/>
      <c r="AX25" s="652"/>
      <c r="BA25" s="652"/>
    </row>
    <row r="26" spans="2:53">
      <c r="B26" s="652"/>
      <c r="C26" s="652"/>
      <c r="D26" s="652"/>
      <c r="E26" s="378" t="s">
        <v>375</v>
      </c>
      <c r="F26" s="378" t="s">
        <v>376</v>
      </c>
      <c r="G26" s="378" t="s">
        <v>377</v>
      </c>
      <c r="H26" s="670"/>
      <c r="I26" s="377" t="s">
        <v>375</v>
      </c>
      <c r="J26" s="377" t="s">
        <v>376</v>
      </c>
      <c r="K26" s="377" t="s">
        <v>377</v>
      </c>
      <c r="L26" s="639"/>
      <c r="M26" s="645"/>
      <c r="N26" s="652"/>
      <c r="O26" s="652"/>
      <c r="P26" s="378" t="s">
        <v>375</v>
      </c>
      <c r="Q26" s="378" t="s">
        <v>376</v>
      </c>
      <c r="R26" s="378" t="s">
        <v>377</v>
      </c>
      <c r="S26" s="378" t="s">
        <v>367</v>
      </c>
      <c r="T26" s="652"/>
      <c r="U26" s="378" t="s">
        <v>375</v>
      </c>
      <c r="V26" s="378" t="s">
        <v>376</v>
      </c>
      <c r="W26" s="378" t="s">
        <v>377</v>
      </c>
      <c r="X26" s="378" t="s">
        <v>367</v>
      </c>
      <c r="Y26" s="652"/>
      <c r="Z26" s="378" t="s">
        <v>375</v>
      </c>
      <c r="AA26" s="378" t="s">
        <v>376</v>
      </c>
      <c r="AB26" s="378" t="s">
        <v>377</v>
      </c>
      <c r="AC26" s="378" t="s">
        <v>367</v>
      </c>
      <c r="AD26" s="652"/>
      <c r="AE26" s="378" t="s">
        <v>375</v>
      </c>
      <c r="AF26" s="378" t="s">
        <v>376</v>
      </c>
      <c r="AG26" s="378" t="s">
        <v>377</v>
      </c>
      <c r="AH26" s="378" t="s">
        <v>367</v>
      </c>
      <c r="AI26" s="652"/>
      <c r="AJ26" s="378" t="s">
        <v>375</v>
      </c>
      <c r="AK26" s="378" t="s">
        <v>376</v>
      </c>
      <c r="AL26" s="378" t="s">
        <v>377</v>
      </c>
      <c r="AM26" s="378" t="s">
        <v>367</v>
      </c>
      <c r="AN26" s="652"/>
      <c r="AO26" s="378" t="s">
        <v>375</v>
      </c>
      <c r="AP26" s="378" t="s">
        <v>376</v>
      </c>
      <c r="AQ26" s="378" t="s">
        <v>377</v>
      </c>
      <c r="AR26" s="378" t="s">
        <v>367</v>
      </c>
      <c r="AS26" s="652"/>
      <c r="AT26" s="378" t="s">
        <v>375</v>
      </c>
      <c r="AU26" s="378" t="s">
        <v>376</v>
      </c>
      <c r="AV26" s="378" t="s">
        <v>377</v>
      </c>
      <c r="AW26" s="378" t="s">
        <v>367</v>
      </c>
      <c r="AX26" s="652"/>
      <c r="AZ26" s="367" t="s">
        <v>367</v>
      </c>
      <c r="BA26" s="652"/>
    </row>
    <row r="27" spans="2:53">
      <c r="B27" s="652" t="s">
        <v>132</v>
      </c>
      <c r="C27" s="379">
        <v>1</v>
      </c>
      <c r="D27" s="225" t="s">
        <v>604</v>
      </c>
      <c r="E27" s="531">
        <v>17</v>
      </c>
      <c r="F27" s="530">
        <v>1440</v>
      </c>
      <c r="G27" s="532">
        <v>84.7</v>
      </c>
      <c r="H27" s="698">
        <f>AVERAGE(G27:G41)</f>
        <v>79.792307692307688</v>
      </c>
      <c r="I27" s="381">
        <f t="shared" ref="I27:I40" si="11">IFERROR(AVERAGE(P27,U27,Z27,AE27,AJ27,AO27,AT27),"-")</f>
        <v>17</v>
      </c>
      <c r="J27" s="381">
        <f t="shared" ref="J27:J40" si="12">IFERROR(AVERAGE(Q27,V27,AA27,AF27,AK27,AP27,AU27),"-")</f>
        <v>1275.7837390456191</v>
      </c>
      <c r="K27" s="199">
        <f t="shared" ref="K27:K40" si="13">IFERROR(AVERAGE(R27,W27,AB27,AG27,AL27,AQ27,AV27),"-")</f>
        <v>75.046102296801124</v>
      </c>
      <c r="L27" s="633">
        <f>IFERROR(AVERAGE(K27:K41),"-")</f>
        <v>72.33406504220406</v>
      </c>
      <c r="M27" s="383">
        <f>RANK(K27, K$24:$K$41)</f>
        <v>5</v>
      </c>
      <c r="N27" s="652"/>
      <c r="O27" s="652"/>
      <c r="P27" s="552">
        <v>17</v>
      </c>
      <c r="Q27" s="553">
        <v>1292.3529411764712</v>
      </c>
      <c r="R27" s="553">
        <v>76.020761245674777</v>
      </c>
      <c r="S27" s="552">
        <f t="shared" ref="S27:S41" si="14">RANK(R27, R$27:R$41)</f>
        <v>4</v>
      </c>
      <c r="T27" s="661">
        <f t="shared" ref="T27" si="15">AVERAGE(R27:R41)</f>
        <v>70.775066375968677</v>
      </c>
      <c r="U27" s="552">
        <v>17</v>
      </c>
      <c r="V27" s="553">
        <v>1285.0000000000002</v>
      </c>
      <c r="W27" s="553">
        <v>75.588235294117666</v>
      </c>
      <c r="X27" s="552">
        <f t="shared" ref="X27:X41" si="16">RANK(W27, W$27:W$41)</f>
        <v>4</v>
      </c>
      <c r="Y27" s="661">
        <f t="shared" ref="Y27" si="17">AVERAGE(W27:W41)</f>
        <v>70.814492305664672</v>
      </c>
      <c r="Z27" s="552">
        <v>17</v>
      </c>
      <c r="AA27" s="553">
        <v>1297.8947368421054</v>
      </c>
      <c r="AB27" s="553">
        <v>76.346749226006196</v>
      </c>
      <c r="AC27" s="552">
        <f t="shared" ref="AC27:AC41" si="18">RANK(AB27, AB$27:AB$41)</f>
        <v>6</v>
      </c>
      <c r="AD27" s="661">
        <f t="shared" ref="AD27" si="19">AVERAGE(AB27:AB41)</f>
        <v>75.965417913177205</v>
      </c>
      <c r="AE27" s="552">
        <v>17</v>
      </c>
      <c r="AF27" s="553">
        <v>1259.9999999999998</v>
      </c>
      <c r="AG27" s="553">
        <v>74.117647058823522</v>
      </c>
      <c r="AH27" s="552">
        <f t="shared" ref="AH27:AH41" si="20">RANK(AG27, AG$27:AG$41)</f>
        <v>7</v>
      </c>
      <c r="AI27" s="661">
        <f t="shared" ref="AI27" si="21">AVERAGE(AG27:AG41)</f>
        <v>75.210789742660978</v>
      </c>
      <c r="AJ27" s="552">
        <v>17</v>
      </c>
      <c r="AK27" s="553">
        <v>1257.6923076923069</v>
      </c>
      <c r="AL27" s="553">
        <v>73.981900452488645</v>
      </c>
      <c r="AM27" s="552">
        <f t="shared" ref="AM27:AM41" si="22">RANK(AL27, AL$27:AL$41)</f>
        <v>7</v>
      </c>
      <c r="AN27" s="661">
        <f t="shared" ref="AN27" si="23">AVERAGE(AL27:AL41)</f>
        <v>75.039432359804849</v>
      </c>
      <c r="AO27" s="552">
        <v>17</v>
      </c>
      <c r="AP27" s="553">
        <v>1268.0412371134014</v>
      </c>
      <c r="AQ27" s="553">
        <v>74.590661006670672</v>
      </c>
      <c r="AR27" s="552">
        <f t="shared" ref="AR27:AR41" si="24">RANK(AQ27, AQ$27:AQ$41)</f>
        <v>6</v>
      </c>
      <c r="AS27" s="661">
        <f t="shared" ref="AS27" si="25">AVERAGE(AQ27:AQ41)</f>
        <v>74.994707970621988</v>
      </c>
      <c r="AT27" s="552">
        <v>17</v>
      </c>
      <c r="AU27" s="553">
        <v>1269.50495049505</v>
      </c>
      <c r="AV27" s="553">
        <v>74.676761793826472</v>
      </c>
      <c r="AW27" s="552">
        <f t="shared" ref="AW27:AW41" si="26">RANK(AV27, AV$27:AV$41)</f>
        <v>7</v>
      </c>
      <c r="AX27" s="661">
        <f t="shared" ref="AX27" si="27">AVERAGE(AV27:AV41)</f>
        <v>75.55779065360997</v>
      </c>
      <c r="AZ27" s="368" t="e">
        <f t="shared" ref="AZ27:AZ41" si="28">RANK(AY27, AY$27:AY$41)</f>
        <v>#N/A</v>
      </c>
      <c r="BA27" s="661" t="e">
        <f t="shared" ref="BA27" si="29">AVERAGE(AY27:AY41)</f>
        <v>#DIV/0!</v>
      </c>
    </row>
    <row r="28" spans="2:53">
      <c r="B28" s="660"/>
      <c r="C28" s="379">
        <v>2</v>
      </c>
      <c r="D28" s="225" t="s">
        <v>346</v>
      </c>
      <c r="E28" s="531">
        <v>18</v>
      </c>
      <c r="F28" s="530">
        <v>1440</v>
      </c>
      <c r="G28" s="532">
        <v>80</v>
      </c>
      <c r="H28" s="699"/>
      <c r="I28" s="381">
        <f t="shared" si="11"/>
        <v>18</v>
      </c>
      <c r="J28" s="381">
        <f t="shared" si="12"/>
        <v>1279.713931725704</v>
      </c>
      <c r="K28" s="199">
        <f t="shared" si="13"/>
        <v>71.095218429205772</v>
      </c>
      <c r="L28" s="634"/>
      <c r="M28" s="386">
        <f>RANK(K28, K$24:$K$41)</f>
        <v>8</v>
      </c>
      <c r="N28" s="652"/>
      <c r="O28" s="652"/>
      <c r="P28" s="552">
        <v>18</v>
      </c>
      <c r="Q28" s="553">
        <v>1078.1818181818169</v>
      </c>
      <c r="R28" s="553">
        <v>59.898989898989825</v>
      </c>
      <c r="S28" s="552">
        <f t="shared" si="14"/>
        <v>12</v>
      </c>
      <c r="T28" s="662"/>
      <c r="U28" s="552">
        <v>18</v>
      </c>
      <c r="V28" s="553">
        <v>1087.2727272727257</v>
      </c>
      <c r="W28" s="553">
        <v>60.404040404040316</v>
      </c>
      <c r="X28" s="552">
        <f t="shared" si="16"/>
        <v>13</v>
      </c>
      <c r="Y28" s="662"/>
      <c r="Z28" s="552">
        <v>18</v>
      </c>
      <c r="AA28" s="553">
        <v>1359.5876288659799</v>
      </c>
      <c r="AB28" s="553">
        <v>75.532646048109996</v>
      </c>
      <c r="AC28" s="552">
        <f t="shared" si="18"/>
        <v>7</v>
      </c>
      <c r="AD28" s="662"/>
      <c r="AE28" s="552">
        <v>18</v>
      </c>
      <c r="AF28" s="553">
        <v>1364.2105263157898</v>
      </c>
      <c r="AG28" s="553">
        <v>75.789473684210549</v>
      </c>
      <c r="AH28" s="552">
        <f t="shared" si="20"/>
        <v>5</v>
      </c>
      <c r="AI28" s="662"/>
      <c r="AJ28" s="552">
        <v>18</v>
      </c>
      <c r="AK28" s="553">
        <v>1350.76923076923</v>
      </c>
      <c r="AL28" s="553">
        <v>75.042735042735004</v>
      </c>
      <c r="AM28" s="552">
        <f t="shared" si="22"/>
        <v>5</v>
      </c>
      <c r="AN28" s="662"/>
      <c r="AO28" s="552">
        <v>18</v>
      </c>
      <c r="AP28" s="553">
        <v>1365.6623376623379</v>
      </c>
      <c r="AQ28" s="553">
        <v>75.870129870129887</v>
      </c>
      <c r="AR28" s="552">
        <f t="shared" si="24"/>
        <v>5</v>
      </c>
      <c r="AS28" s="662"/>
      <c r="AT28" s="552">
        <v>18</v>
      </c>
      <c r="AU28" s="553">
        <v>1352.3132530120479</v>
      </c>
      <c r="AV28" s="553">
        <v>75.128514056224887</v>
      </c>
      <c r="AW28" s="552">
        <f t="shared" si="26"/>
        <v>6</v>
      </c>
      <c r="AX28" s="662"/>
      <c r="AZ28" s="368" t="e">
        <f t="shared" si="28"/>
        <v>#N/A</v>
      </c>
      <c r="BA28" s="662"/>
    </row>
    <row r="29" spans="2:53">
      <c r="B29" s="660"/>
      <c r="C29" s="379">
        <v>3</v>
      </c>
      <c r="D29" s="225" t="s">
        <v>347</v>
      </c>
      <c r="E29" s="531">
        <v>17</v>
      </c>
      <c r="F29" s="530">
        <v>1440</v>
      </c>
      <c r="G29" s="532">
        <v>84.7</v>
      </c>
      <c r="H29" s="699"/>
      <c r="I29" s="381">
        <f t="shared" si="11"/>
        <v>17</v>
      </c>
      <c r="J29" s="381">
        <f t="shared" si="12"/>
        <v>1346.4587796170072</v>
      </c>
      <c r="K29" s="199">
        <f t="shared" si="13"/>
        <v>79.203457624529833</v>
      </c>
      <c r="L29" s="634"/>
      <c r="M29" s="386">
        <f>RANK(K29, K$24:$K$41)</f>
        <v>3</v>
      </c>
      <c r="N29" s="652"/>
      <c r="O29" s="652"/>
      <c r="P29" s="552">
        <v>17</v>
      </c>
      <c r="Q29" s="553">
        <v>1301.7721518987335</v>
      </c>
      <c r="R29" s="553">
        <v>76.574832464631385</v>
      </c>
      <c r="S29" s="552">
        <f t="shared" si="14"/>
        <v>3</v>
      </c>
      <c r="T29" s="662"/>
      <c r="U29" s="552">
        <v>17</v>
      </c>
      <c r="V29" s="553">
        <v>1334.1666666666656</v>
      </c>
      <c r="W29" s="553">
        <v>78.480392156862678</v>
      </c>
      <c r="X29" s="552">
        <f t="shared" si="16"/>
        <v>3</v>
      </c>
      <c r="Y29" s="662"/>
      <c r="Z29" s="552">
        <v>17</v>
      </c>
      <c r="AA29" s="553">
        <v>1352.3076923076937</v>
      </c>
      <c r="AB29" s="553">
        <v>79.547511312217281</v>
      </c>
      <c r="AC29" s="552">
        <f t="shared" si="18"/>
        <v>3</v>
      </c>
      <c r="AD29" s="662"/>
      <c r="AE29" s="552">
        <v>17</v>
      </c>
      <c r="AF29" s="553">
        <v>1356.9999999999993</v>
      </c>
      <c r="AG29" s="553">
        <v>79.823529411764667</v>
      </c>
      <c r="AH29" s="552">
        <f t="shared" si="20"/>
        <v>3</v>
      </c>
      <c r="AI29" s="662"/>
      <c r="AJ29" s="552">
        <v>17</v>
      </c>
      <c r="AK29" s="553">
        <v>1365.2307692307688</v>
      </c>
      <c r="AL29" s="553">
        <v>80.307692307692278</v>
      </c>
      <c r="AM29" s="552">
        <f t="shared" si="22"/>
        <v>3</v>
      </c>
      <c r="AN29" s="662"/>
      <c r="AO29" s="552">
        <v>17</v>
      </c>
      <c r="AP29" s="553">
        <v>1358.7341772151892</v>
      </c>
      <c r="AQ29" s="553">
        <v>79.925539836187596</v>
      </c>
      <c r="AR29" s="552">
        <f t="shared" si="24"/>
        <v>3</v>
      </c>
      <c r="AS29" s="662"/>
      <c r="AT29" s="552">
        <v>17</v>
      </c>
      <c r="AU29" s="553">
        <v>1355.9999999999995</v>
      </c>
      <c r="AV29" s="553">
        <v>79.764705882352914</v>
      </c>
      <c r="AW29" s="552">
        <f t="shared" si="26"/>
        <v>3</v>
      </c>
      <c r="AX29" s="662"/>
      <c r="AZ29" s="368" t="e">
        <f t="shared" si="28"/>
        <v>#N/A</v>
      </c>
      <c r="BA29" s="662"/>
    </row>
    <row r="30" spans="2:53">
      <c r="B30" s="660"/>
      <c r="C30" s="379">
        <v>4</v>
      </c>
      <c r="D30" s="225" t="s">
        <v>348</v>
      </c>
      <c r="E30" s="531">
        <v>21</v>
      </c>
      <c r="F30" s="530">
        <v>1385</v>
      </c>
      <c r="G30" s="532">
        <v>65.900000000000006</v>
      </c>
      <c r="H30" s="699"/>
      <c r="I30" s="381">
        <f t="shared" si="11"/>
        <v>21</v>
      </c>
      <c r="J30" s="381">
        <f t="shared" si="12"/>
        <v>1296.9059484734394</v>
      </c>
      <c r="K30" s="199">
        <f t="shared" si="13"/>
        <v>61.757426117782835</v>
      </c>
      <c r="L30" s="634"/>
      <c r="M30" s="386">
        <f>RANK(K30, K$24:$K$41)</f>
        <v>12</v>
      </c>
      <c r="N30" s="652"/>
      <c r="O30" s="652"/>
      <c r="P30" s="552">
        <v>21</v>
      </c>
      <c r="Q30" s="553">
        <v>1268.2978723404256</v>
      </c>
      <c r="R30" s="553">
        <v>60.3951367781155</v>
      </c>
      <c r="S30" s="552">
        <f t="shared" si="14"/>
        <v>11</v>
      </c>
      <c r="T30" s="662"/>
      <c r="U30" s="552">
        <v>21</v>
      </c>
      <c r="V30" s="553">
        <v>1275.6818181818182</v>
      </c>
      <c r="W30" s="553">
        <v>60.746753246753251</v>
      </c>
      <c r="X30" s="552">
        <f t="shared" si="16"/>
        <v>11</v>
      </c>
      <c r="Y30" s="662"/>
      <c r="Z30" s="552">
        <v>21</v>
      </c>
      <c r="AA30" s="553">
        <v>1305.569620253164</v>
      </c>
      <c r="AB30" s="553">
        <v>62.169981916817335</v>
      </c>
      <c r="AC30" s="552">
        <f t="shared" si="18"/>
        <v>10</v>
      </c>
      <c r="AD30" s="662"/>
      <c r="AE30" s="552">
        <v>21</v>
      </c>
      <c r="AF30" s="553">
        <v>1306.1538461538453</v>
      </c>
      <c r="AG30" s="553">
        <v>62.197802197802154</v>
      </c>
      <c r="AH30" s="552">
        <f t="shared" si="20"/>
        <v>10</v>
      </c>
      <c r="AI30" s="662"/>
      <c r="AJ30" s="552">
        <v>21</v>
      </c>
      <c r="AK30" s="553">
        <v>1312.6829268292679</v>
      </c>
      <c r="AL30" s="553">
        <v>62.508710801393711</v>
      </c>
      <c r="AM30" s="552">
        <f t="shared" si="22"/>
        <v>10</v>
      </c>
      <c r="AN30" s="662"/>
      <c r="AO30" s="552">
        <v>21</v>
      </c>
      <c r="AP30" s="553">
        <v>1305.5555555555561</v>
      </c>
      <c r="AQ30" s="553">
        <v>62.169312169312192</v>
      </c>
      <c r="AR30" s="552">
        <f t="shared" si="24"/>
        <v>10</v>
      </c>
      <c r="AS30" s="662"/>
      <c r="AT30" s="552">
        <v>21</v>
      </c>
      <c r="AU30" s="553">
        <v>1304.4000000000003</v>
      </c>
      <c r="AV30" s="553">
        <v>62.114285714285728</v>
      </c>
      <c r="AW30" s="552">
        <f t="shared" si="26"/>
        <v>10</v>
      </c>
      <c r="AX30" s="662"/>
      <c r="AZ30" s="368" t="e">
        <f t="shared" si="28"/>
        <v>#N/A</v>
      </c>
      <c r="BA30" s="662"/>
    </row>
    <row r="31" spans="2:53">
      <c r="B31" s="660"/>
      <c r="C31" s="379">
        <v>5</v>
      </c>
      <c r="D31" s="225" t="s">
        <v>349</v>
      </c>
      <c r="E31" s="531">
        <v>19</v>
      </c>
      <c r="F31" s="530">
        <v>1440</v>
      </c>
      <c r="G31" s="532">
        <v>75.8</v>
      </c>
      <c r="H31" s="699"/>
      <c r="I31" s="381">
        <f t="shared" si="11"/>
        <v>19</v>
      </c>
      <c r="J31" s="381">
        <f t="shared" si="12"/>
        <v>1351.990367805405</v>
      </c>
      <c r="K31" s="199">
        <f t="shared" si="13"/>
        <v>71.15738777923184</v>
      </c>
      <c r="L31" s="634"/>
      <c r="M31" s="386">
        <f>RANK(K31, K$24:$K$41)</f>
        <v>7</v>
      </c>
      <c r="N31" s="652"/>
      <c r="O31" s="652"/>
      <c r="P31" s="552">
        <v>19</v>
      </c>
      <c r="Q31" s="553">
        <v>1347.5862068965516</v>
      </c>
      <c r="R31" s="553">
        <v>70.925589836660606</v>
      </c>
      <c r="S31" s="552">
        <f t="shared" si="14"/>
        <v>7</v>
      </c>
      <c r="T31" s="662"/>
      <c r="U31" s="552">
        <v>19</v>
      </c>
      <c r="V31" s="553">
        <v>1316.799999999999</v>
      </c>
      <c r="W31" s="553">
        <v>69.305263157894686</v>
      </c>
      <c r="X31" s="552">
        <f t="shared" si="16"/>
        <v>8</v>
      </c>
      <c r="Y31" s="662"/>
      <c r="Z31" s="552">
        <v>19</v>
      </c>
      <c r="AA31" s="553">
        <v>1357.5000000000011</v>
      </c>
      <c r="AB31" s="553">
        <v>71.447368421052687</v>
      </c>
      <c r="AC31" s="552">
        <f t="shared" si="18"/>
        <v>8</v>
      </c>
      <c r="AD31" s="662"/>
      <c r="AE31" s="552">
        <v>19</v>
      </c>
      <c r="AF31" s="553">
        <v>1366.9090909090917</v>
      </c>
      <c r="AG31" s="553">
        <v>71.942583732057457</v>
      </c>
      <c r="AH31" s="552">
        <f t="shared" si="20"/>
        <v>8</v>
      </c>
      <c r="AI31" s="662"/>
      <c r="AJ31" s="552">
        <v>19</v>
      </c>
      <c r="AK31" s="553">
        <v>1362.7118644067807</v>
      </c>
      <c r="AL31" s="553">
        <v>71.721677074041096</v>
      </c>
      <c r="AM31" s="552">
        <f t="shared" si="22"/>
        <v>8</v>
      </c>
      <c r="AN31" s="662"/>
      <c r="AO31" s="552">
        <v>19</v>
      </c>
      <c r="AP31" s="553">
        <v>1358.9189189189178</v>
      </c>
      <c r="AQ31" s="553">
        <v>71.522048364153576</v>
      </c>
      <c r="AR31" s="552">
        <f t="shared" si="24"/>
        <v>8</v>
      </c>
      <c r="AS31" s="662"/>
      <c r="AT31" s="552">
        <v>19</v>
      </c>
      <c r="AU31" s="553">
        <v>1353.5064935064929</v>
      </c>
      <c r="AV31" s="553">
        <v>71.237183868762784</v>
      </c>
      <c r="AW31" s="552">
        <f t="shared" si="26"/>
        <v>8</v>
      </c>
      <c r="AX31" s="662"/>
      <c r="AZ31" s="368" t="e">
        <f t="shared" si="28"/>
        <v>#N/A</v>
      </c>
      <c r="BA31" s="662"/>
    </row>
    <row r="32" spans="2:53">
      <c r="B32" s="660"/>
      <c r="C32" s="379">
        <v>6</v>
      </c>
      <c r="D32" s="225" t="s">
        <v>491</v>
      </c>
      <c r="E32" s="531">
        <v>18</v>
      </c>
      <c r="F32" s="530">
        <v>1385</v>
      </c>
      <c r="G32" s="532">
        <v>76.900000000000006</v>
      </c>
      <c r="H32" s="699"/>
      <c r="I32" s="381">
        <f t="shared" si="11"/>
        <v>18</v>
      </c>
      <c r="J32" s="381">
        <f t="shared" si="12"/>
        <v>1228.8501569358375</v>
      </c>
      <c r="K32" s="199">
        <f t="shared" si="13"/>
        <v>68.269453163102099</v>
      </c>
      <c r="L32" s="634"/>
      <c r="M32" s="386">
        <f>RANK(K32, K$24:$K$41)</f>
        <v>9</v>
      </c>
      <c r="N32" s="652"/>
      <c r="O32" s="652"/>
      <c r="P32" s="552">
        <v>18</v>
      </c>
      <c r="Q32" s="553">
        <v>1248.3582089552224</v>
      </c>
      <c r="R32" s="553">
        <v>69.353233830845681</v>
      </c>
      <c r="S32" s="552">
        <f t="shared" si="14"/>
        <v>8</v>
      </c>
      <c r="T32" s="662"/>
      <c r="U32" s="552">
        <v>18</v>
      </c>
      <c r="V32" s="553">
        <v>1248.7500000000016</v>
      </c>
      <c r="W32" s="553">
        <v>69.375000000000085</v>
      </c>
      <c r="X32" s="552">
        <f t="shared" si="16"/>
        <v>7</v>
      </c>
      <c r="Y32" s="662"/>
      <c r="Z32" s="552">
        <v>18</v>
      </c>
      <c r="AA32" s="553">
        <v>1244.5161290322592</v>
      </c>
      <c r="AB32" s="553">
        <v>69.139784946236617</v>
      </c>
      <c r="AC32" s="552">
        <f t="shared" si="18"/>
        <v>9</v>
      </c>
      <c r="AD32" s="662"/>
      <c r="AE32" s="552">
        <v>18</v>
      </c>
      <c r="AF32" s="553">
        <v>1220.0000000000005</v>
      </c>
      <c r="AG32" s="553">
        <v>67.7777777777778</v>
      </c>
      <c r="AH32" s="552">
        <f t="shared" si="20"/>
        <v>9</v>
      </c>
      <c r="AI32" s="662"/>
      <c r="AJ32" s="552">
        <v>18</v>
      </c>
      <c r="AK32" s="553">
        <v>1208.0000000000014</v>
      </c>
      <c r="AL32" s="553">
        <v>67.111111111111185</v>
      </c>
      <c r="AM32" s="552">
        <f t="shared" si="22"/>
        <v>9</v>
      </c>
      <c r="AN32" s="662"/>
      <c r="AO32" s="552">
        <v>18</v>
      </c>
      <c r="AP32" s="553">
        <v>1211.1999999999989</v>
      </c>
      <c r="AQ32" s="553">
        <v>67.288888888888835</v>
      </c>
      <c r="AR32" s="552">
        <f t="shared" si="24"/>
        <v>9</v>
      </c>
      <c r="AS32" s="662"/>
      <c r="AT32" s="552">
        <v>18</v>
      </c>
      <c r="AU32" s="553">
        <v>1221.1267605633791</v>
      </c>
      <c r="AV32" s="553">
        <v>67.840375586854393</v>
      </c>
      <c r="AW32" s="552">
        <f t="shared" si="26"/>
        <v>9</v>
      </c>
      <c r="AX32" s="662"/>
      <c r="AZ32" s="368" t="e">
        <f t="shared" si="28"/>
        <v>#N/A</v>
      </c>
      <c r="BA32" s="662"/>
    </row>
    <row r="33" spans="2:53">
      <c r="B33" s="660"/>
      <c r="C33" s="379">
        <v>7</v>
      </c>
      <c r="D33" s="225" t="s">
        <v>493</v>
      </c>
      <c r="E33" s="531">
        <v>18</v>
      </c>
      <c r="F33" s="530">
        <v>1385</v>
      </c>
      <c r="G33" s="532">
        <v>76.900000000000006</v>
      </c>
      <c r="H33" s="699"/>
      <c r="I33" s="381">
        <f t="shared" si="11"/>
        <v>18</v>
      </c>
      <c r="J33" s="381">
        <f t="shared" si="12"/>
        <v>1216.8776671408241</v>
      </c>
      <c r="K33" s="199">
        <f t="shared" si="13"/>
        <v>67.604314841156892</v>
      </c>
      <c r="L33" s="634"/>
      <c r="M33" s="386">
        <f>RANK(K33, K$24:$K$41)</f>
        <v>11</v>
      </c>
      <c r="N33" s="652"/>
      <c r="O33" s="652"/>
      <c r="P33" s="552">
        <v>18</v>
      </c>
      <c r="Q33" s="553">
        <v>1211.0526315789464</v>
      </c>
      <c r="R33" s="553">
        <v>67.280701754385916</v>
      </c>
      <c r="S33" s="552">
        <f t="shared" si="14"/>
        <v>10</v>
      </c>
      <c r="T33" s="662"/>
      <c r="U33" s="552">
        <v>18</v>
      </c>
      <c r="V33" s="553">
        <v>1222.7027027027016</v>
      </c>
      <c r="W33" s="553">
        <v>67.927927927927868</v>
      </c>
      <c r="X33" s="552">
        <f t="shared" si="16"/>
        <v>9</v>
      </c>
      <c r="Y33" s="662"/>
      <c r="Z33" s="552" t="s">
        <v>585</v>
      </c>
      <c r="AA33" s="553" t="s">
        <v>585</v>
      </c>
      <c r="AB33" s="553" t="s">
        <v>585</v>
      </c>
      <c r="AC33" s="552" t="e">
        <f t="shared" si="18"/>
        <v>#VALUE!</v>
      </c>
      <c r="AD33" s="662"/>
      <c r="AE33" s="552" t="s">
        <v>585</v>
      </c>
      <c r="AF33" s="553" t="s">
        <v>585</v>
      </c>
      <c r="AG33" s="553" t="s">
        <v>585</v>
      </c>
      <c r="AH33" s="552" t="e">
        <f t="shared" si="20"/>
        <v>#VALUE!</v>
      </c>
      <c r="AI33" s="662"/>
      <c r="AJ33" s="552" t="s">
        <v>585</v>
      </c>
      <c r="AK33" s="553" t="s">
        <v>585</v>
      </c>
      <c r="AL33" s="553" t="s">
        <v>585</v>
      </c>
      <c r="AM33" s="552" t="e">
        <f t="shared" si="22"/>
        <v>#VALUE!</v>
      </c>
      <c r="AN33" s="662"/>
      <c r="AO33" s="552" t="s">
        <v>585</v>
      </c>
      <c r="AP33" s="553" t="s">
        <v>585</v>
      </c>
      <c r="AQ33" s="553" t="s">
        <v>585</v>
      </c>
      <c r="AR33" s="552" t="e">
        <f t="shared" si="24"/>
        <v>#VALUE!</v>
      </c>
      <c r="AS33" s="662"/>
      <c r="AT33" s="552" t="s">
        <v>585</v>
      </c>
      <c r="AU33" s="553" t="s">
        <v>585</v>
      </c>
      <c r="AV33" s="553" t="s">
        <v>585</v>
      </c>
      <c r="AW33" s="552" t="e">
        <f t="shared" si="26"/>
        <v>#VALUE!</v>
      </c>
      <c r="AX33" s="662"/>
      <c r="AZ33" s="368" t="e">
        <f t="shared" si="28"/>
        <v>#N/A</v>
      </c>
      <c r="BA33" s="662"/>
    </row>
    <row r="34" spans="2:53">
      <c r="B34" s="660"/>
      <c r="C34" s="379">
        <v>8</v>
      </c>
      <c r="D34" s="225" t="s">
        <v>510</v>
      </c>
      <c r="E34" s="531">
        <v>16</v>
      </c>
      <c r="F34" s="530">
        <v>1440</v>
      </c>
      <c r="G34" s="532">
        <v>90</v>
      </c>
      <c r="H34" s="699"/>
      <c r="I34" s="381">
        <f t="shared" si="11"/>
        <v>16</v>
      </c>
      <c r="J34" s="381">
        <f t="shared" si="12"/>
        <v>1348.8055416962816</v>
      </c>
      <c r="K34" s="199">
        <f t="shared" si="13"/>
        <v>84.300346356017599</v>
      </c>
      <c r="L34" s="634"/>
      <c r="M34" s="386">
        <f>RANK(K34, K$24:$K$41)</f>
        <v>1</v>
      </c>
      <c r="N34" s="652"/>
      <c r="O34" s="652"/>
      <c r="P34" s="552">
        <v>16</v>
      </c>
      <c r="Q34" s="553">
        <v>1308.2926829268288</v>
      </c>
      <c r="R34" s="553">
        <v>81.768292682926798</v>
      </c>
      <c r="S34" s="552">
        <f t="shared" si="14"/>
        <v>2</v>
      </c>
      <c r="T34" s="662"/>
      <c r="U34" s="552">
        <v>16</v>
      </c>
      <c r="V34" s="553">
        <v>1324.57627118644</v>
      </c>
      <c r="W34" s="553">
        <v>82.786016949152497</v>
      </c>
      <c r="X34" s="552">
        <f t="shared" si="16"/>
        <v>2</v>
      </c>
      <c r="Y34" s="662"/>
      <c r="Z34" s="552">
        <v>16</v>
      </c>
      <c r="AA34" s="553">
        <v>1362.2222222222231</v>
      </c>
      <c r="AB34" s="553">
        <v>85.138888888888943</v>
      </c>
      <c r="AC34" s="552">
        <f t="shared" si="18"/>
        <v>1</v>
      </c>
      <c r="AD34" s="662"/>
      <c r="AE34" s="552">
        <v>16</v>
      </c>
      <c r="AF34" s="553">
        <v>1359.2857142857138</v>
      </c>
      <c r="AG34" s="553">
        <v>84.95535714285711</v>
      </c>
      <c r="AH34" s="552">
        <f t="shared" si="20"/>
        <v>1</v>
      </c>
      <c r="AI34" s="662"/>
      <c r="AJ34" s="552">
        <v>16</v>
      </c>
      <c r="AK34" s="553">
        <v>1363.2000000000003</v>
      </c>
      <c r="AL34" s="553">
        <v>85.200000000000017</v>
      </c>
      <c r="AM34" s="552">
        <f t="shared" si="22"/>
        <v>1</v>
      </c>
      <c r="AN34" s="662"/>
      <c r="AO34" s="552">
        <v>16</v>
      </c>
      <c r="AP34" s="553">
        <v>1357.6271186440672</v>
      </c>
      <c r="AQ34" s="553">
        <v>84.8516949152542</v>
      </c>
      <c r="AR34" s="552">
        <f t="shared" si="24"/>
        <v>1</v>
      </c>
      <c r="AS34" s="662"/>
      <c r="AT34" s="552">
        <v>16</v>
      </c>
      <c r="AU34" s="553">
        <v>1366.4347826086967</v>
      </c>
      <c r="AV34" s="553">
        <v>85.402173913043541</v>
      </c>
      <c r="AW34" s="552">
        <f t="shared" si="26"/>
        <v>1</v>
      </c>
      <c r="AX34" s="662"/>
      <c r="AZ34" s="368" t="e">
        <f t="shared" si="28"/>
        <v>#N/A</v>
      </c>
      <c r="BA34" s="662"/>
    </row>
    <row r="35" spans="2:53">
      <c r="B35" s="660"/>
      <c r="C35" s="379">
        <v>9</v>
      </c>
      <c r="D35" s="225" t="s">
        <v>561</v>
      </c>
      <c r="E35" s="531">
        <v>19</v>
      </c>
      <c r="F35" s="530">
        <v>1636</v>
      </c>
      <c r="G35" s="532">
        <v>86.1</v>
      </c>
      <c r="H35" s="699"/>
      <c r="I35" s="381">
        <f t="shared" si="11"/>
        <v>19</v>
      </c>
      <c r="J35" s="381">
        <f t="shared" si="12"/>
        <v>1455.1467300124746</v>
      </c>
      <c r="K35" s="199">
        <f t="shared" si="13"/>
        <v>76.586670000656554</v>
      </c>
      <c r="L35" s="634"/>
      <c r="M35" s="386">
        <f>RANK(K35, K$24:$K$41)</f>
        <v>4</v>
      </c>
      <c r="N35" s="652"/>
      <c r="O35" s="652"/>
      <c r="P35" s="552">
        <v>19</v>
      </c>
      <c r="Q35" s="553">
        <v>1431.8104712041888</v>
      </c>
      <c r="R35" s="553">
        <v>75.358445852852043</v>
      </c>
      <c r="S35" s="552">
        <f t="shared" si="14"/>
        <v>5</v>
      </c>
      <c r="T35" s="662"/>
      <c r="U35" s="552">
        <v>19</v>
      </c>
      <c r="V35" s="553">
        <v>1409.6492307692306</v>
      </c>
      <c r="W35" s="553">
        <v>74.192064777327928</v>
      </c>
      <c r="X35" s="552">
        <f t="shared" si="16"/>
        <v>5</v>
      </c>
      <c r="Y35" s="662"/>
      <c r="Z35" s="552">
        <v>19</v>
      </c>
      <c r="AA35" s="553">
        <v>1468.5981308411212</v>
      </c>
      <c r="AB35" s="553">
        <v>77.294638465322166</v>
      </c>
      <c r="AC35" s="552">
        <f t="shared" si="18"/>
        <v>5</v>
      </c>
      <c r="AD35" s="662"/>
      <c r="AE35" s="552">
        <v>19</v>
      </c>
      <c r="AF35" s="553">
        <v>1472.3684210526317</v>
      </c>
      <c r="AG35" s="553">
        <v>77.493074792243775</v>
      </c>
      <c r="AH35" s="552">
        <f t="shared" si="20"/>
        <v>4</v>
      </c>
      <c r="AI35" s="662"/>
      <c r="AJ35" s="552">
        <v>19</v>
      </c>
      <c r="AK35" s="553">
        <v>1468.8281249999995</v>
      </c>
      <c r="AL35" s="553">
        <v>77.306743421052602</v>
      </c>
      <c r="AM35" s="552">
        <f t="shared" si="22"/>
        <v>4</v>
      </c>
      <c r="AN35" s="662"/>
      <c r="AO35" s="552">
        <v>19</v>
      </c>
      <c r="AP35" s="553">
        <v>1465.5319148936173</v>
      </c>
      <c r="AQ35" s="553">
        <v>77.13325867861144</v>
      </c>
      <c r="AR35" s="552">
        <f t="shared" si="24"/>
        <v>4</v>
      </c>
      <c r="AS35" s="662"/>
      <c r="AT35" s="552">
        <v>19</v>
      </c>
      <c r="AU35" s="553">
        <v>1469.2408163265313</v>
      </c>
      <c r="AV35" s="553">
        <v>77.328464017185865</v>
      </c>
      <c r="AW35" s="552">
        <f t="shared" si="26"/>
        <v>5</v>
      </c>
      <c r="AX35" s="662"/>
      <c r="AZ35" s="368" t="e">
        <f t="shared" si="28"/>
        <v>#N/A</v>
      </c>
      <c r="BA35" s="662"/>
    </row>
    <row r="36" spans="2:53">
      <c r="B36" s="660"/>
      <c r="C36" s="379">
        <v>10</v>
      </c>
      <c r="D36" s="225" t="s">
        <v>582</v>
      </c>
      <c r="E36" s="531">
        <v>19</v>
      </c>
      <c r="F36" s="530">
        <v>1440</v>
      </c>
      <c r="G36" s="532">
        <v>75.8</v>
      </c>
      <c r="H36" s="699"/>
      <c r="I36" s="381">
        <f t="shared" si="11"/>
        <v>18</v>
      </c>
      <c r="J36" s="381">
        <f t="shared" si="12"/>
        <v>1070.4545454545494</v>
      </c>
      <c r="K36" s="199">
        <f t="shared" si="13"/>
        <v>59.469696969697182</v>
      </c>
      <c r="L36" s="634"/>
      <c r="M36" s="386">
        <f>RANK(K36, K$24:$K$41)</f>
        <v>13</v>
      </c>
      <c r="N36" s="652"/>
      <c r="O36" s="652"/>
      <c r="P36" s="552">
        <v>18</v>
      </c>
      <c r="Q36" s="553">
        <v>1050.0000000000039</v>
      </c>
      <c r="R36" s="553">
        <v>58.333333333333549</v>
      </c>
      <c r="S36" s="552">
        <f t="shared" si="14"/>
        <v>13</v>
      </c>
      <c r="T36" s="662"/>
      <c r="U36" s="552">
        <v>18</v>
      </c>
      <c r="V36" s="553">
        <v>1090.9090909090949</v>
      </c>
      <c r="W36" s="553">
        <v>60.606060606060822</v>
      </c>
      <c r="X36" s="552">
        <f t="shared" si="16"/>
        <v>12</v>
      </c>
      <c r="Y36" s="662"/>
      <c r="Z36" s="552" t="s">
        <v>585</v>
      </c>
      <c r="AA36" s="553" t="s">
        <v>585</v>
      </c>
      <c r="AB36" s="553" t="s">
        <v>585</v>
      </c>
      <c r="AC36" s="552" t="e">
        <f t="shared" si="18"/>
        <v>#VALUE!</v>
      </c>
      <c r="AD36" s="662"/>
      <c r="AE36" s="552" t="s">
        <v>585</v>
      </c>
      <c r="AF36" s="553" t="s">
        <v>585</v>
      </c>
      <c r="AG36" s="553" t="s">
        <v>585</v>
      </c>
      <c r="AH36" s="552" t="e">
        <f t="shared" si="20"/>
        <v>#VALUE!</v>
      </c>
      <c r="AI36" s="662"/>
      <c r="AJ36" s="552" t="s">
        <v>585</v>
      </c>
      <c r="AK36" s="553" t="s">
        <v>585</v>
      </c>
      <c r="AL36" s="553" t="s">
        <v>585</v>
      </c>
      <c r="AM36" s="552" t="e">
        <f t="shared" si="22"/>
        <v>#VALUE!</v>
      </c>
      <c r="AN36" s="662"/>
      <c r="AO36" s="552" t="s">
        <v>585</v>
      </c>
      <c r="AP36" s="553" t="s">
        <v>585</v>
      </c>
      <c r="AQ36" s="553" t="s">
        <v>585</v>
      </c>
      <c r="AR36" s="552" t="e">
        <f t="shared" si="24"/>
        <v>#VALUE!</v>
      </c>
      <c r="AS36" s="662"/>
      <c r="AT36" s="552" t="s">
        <v>585</v>
      </c>
      <c r="AU36" s="553" t="s">
        <v>585</v>
      </c>
      <c r="AV36" s="553" t="s">
        <v>585</v>
      </c>
      <c r="AW36" s="552" t="e">
        <f t="shared" si="26"/>
        <v>#VALUE!</v>
      </c>
      <c r="AX36" s="662"/>
      <c r="AZ36" s="368" t="e">
        <f t="shared" si="28"/>
        <v>#N/A</v>
      </c>
      <c r="BA36" s="662"/>
    </row>
    <row r="37" spans="2:53">
      <c r="B37" s="660"/>
      <c r="C37" s="379">
        <v>11</v>
      </c>
      <c r="D37" s="225" t="s">
        <v>588</v>
      </c>
      <c r="E37" s="531">
        <v>16</v>
      </c>
      <c r="F37" s="530">
        <v>1440</v>
      </c>
      <c r="G37" s="532">
        <v>84.7</v>
      </c>
      <c r="H37" s="699"/>
      <c r="I37" s="381">
        <f t="shared" si="11"/>
        <v>16</v>
      </c>
      <c r="J37" s="381">
        <f t="shared" si="12"/>
        <v>1338.0716619928839</v>
      </c>
      <c r="K37" s="199">
        <f t="shared" si="13"/>
        <v>83.629478874555247</v>
      </c>
      <c r="L37" s="634"/>
      <c r="M37" s="386">
        <f>RANK(K37, K$24:$K$41)</f>
        <v>2</v>
      </c>
      <c r="N37" s="652"/>
      <c r="O37" s="652"/>
      <c r="P37" s="552">
        <v>16</v>
      </c>
      <c r="Q37" s="553">
        <v>1344.16</v>
      </c>
      <c r="R37" s="553">
        <v>84.01</v>
      </c>
      <c r="S37" s="552">
        <f t="shared" si="14"/>
        <v>1</v>
      </c>
      <c r="T37" s="662"/>
      <c r="U37" s="552">
        <v>16</v>
      </c>
      <c r="V37" s="553">
        <v>1330.4740740740735</v>
      </c>
      <c r="W37" s="553">
        <v>83.154629629629596</v>
      </c>
      <c r="X37" s="552">
        <f t="shared" si="16"/>
        <v>1</v>
      </c>
      <c r="Y37" s="662"/>
      <c r="Z37" s="552">
        <v>16</v>
      </c>
      <c r="AA37" s="553">
        <v>1356.8210526315788</v>
      </c>
      <c r="AB37" s="553">
        <v>84.801315789473676</v>
      </c>
      <c r="AC37" s="552">
        <f t="shared" si="18"/>
        <v>2</v>
      </c>
      <c r="AD37" s="662"/>
      <c r="AE37" s="552">
        <v>16</v>
      </c>
      <c r="AF37" s="553">
        <v>1335.7894736842109</v>
      </c>
      <c r="AG37" s="553">
        <v>83.486842105263179</v>
      </c>
      <c r="AH37" s="552">
        <f t="shared" si="20"/>
        <v>2</v>
      </c>
      <c r="AI37" s="662"/>
      <c r="AJ37" s="552">
        <v>16</v>
      </c>
      <c r="AK37" s="553">
        <v>1330.9756097560971</v>
      </c>
      <c r="AL37" s="553">
        <v>83.185975609756071</v>
      </c>
      <c r="AM37" s="552">
        <f t="shared" si="22"/>
        <v>2</v>
      </c>
      <c r="AN37" s="662"/>
      <c r="AO37" s="552">
        <v>16</v>
      </c>
      <c r="AP37" s="553">
        <v>1330.8620689655174</v>
      </c>
      <c r="AQ37" s="553">
        <v>83.17887931034484</v>
      </c>
      <c r="AR37" s="552">
        <f t="shared" si="24"/>
        <v>2</v>
      </c>
      <c r="AS37" s="662"/>
      <c r="AT37" s="552">
        <v>16</v>
      </c>
      <c r="AU37" s="553">
        <v>1337.4193548387093</v>
      </c>
      <c r="AV37" s="553">
        <v>83.588709677419331</v>
      </c>
      <c r="AW37" s="552">
        <f t="shared" si="26"/>
        <v>2</v>
      </c>
      <c r="AX37" s="662"/>
      <c r="AZ37" s="368" t="e">
        <f t="shared" si="28"/>
        <v>#N/A</v>
      </c>
      <c r="BA37" s="662"/>
    </row>
    <row r="38" spans="2:53">
      <c r="B38" s="660"/>
      <c r="C38" s="379">
        <v>12</v>
      </c>
      <c r="D38" s="225" t="s">
        <v>640</v>
      </c>
      <c r="E38" s="531">
        <v>19</v>
      </c>
      <c r="F38" s="530">
        <v>1440</v>
      </c>
      <c r="G38" s="532">
        <v>75.8</v>
      </c>
      <c r="H38" s="699"/>
      <c r="I38" s="381">
        <f t="shared" si="11"/>
        <v>19</v>
      </c>
      <c r="J38" s="381">
        <f t="shared" si="12"/>
        <v>1286.9999999999977</v>
      </c>
      <c r="K38" s="199">
        <f t="shared" si="13"/>
        <v>67.736842105263037</v>
      </c>
      <c r="L38" s="634"/>
      <c r="M38" s="386">
        <f>RANK(K38, K$24:$K$41)</f>
        <v>10</v>
      </c>
      <c r="N38" s="652"/>
      <c r="O38" s="652"/>
      <c r="P38" s="552">
        <v>19</v>
      </c>
      <c r="Q38" s="553">
        <v>1293.9999999999977</v>
      </c>
      <c r="R38" s="553">
        <v>68.105263157894612</v>
      </c>
      <c r="S38" s="552">
        <f t="shared" si="14"/>
        <v>9</v>
      </c>
      <c r="T38" s="662"/>
      <c r="U38" s="552">
        <v>19</v>
      </c>
      <c r="V38" s="553">
        <v>1279.9999999999977</v>
      </c>
      <c r="W38" s="553">
        <v>67.368421052631462</v>
      </c>
      <c r="X38" s="552">
        <f t="shared" si="16"/>
        <v>10</v>
      </c>
      <c r="Y38" s="662"/>
      <c r="Z38" s="552" t="s">
        <v>585</v>
      </c>
      <c r="AA38" s="553" t="s">
        <v>585</v>
      </c>
      <c r="AB38" s="553" t="s">
        <v>585</v>
      </c>
      <c r="AC38" s="552" t="e">
        <f t="shared" si="18"/>
        <v>#VALUE!</v>
      </c>
      <c r="AD38" s="662"/>
      <c r="AE38" s="552" t="s">
        <v>585</v>
      </c>
      <c r="AF38" s="553" t="s">
        <v>585</v>
      </c>
      <c r="AG38" s="553" t="s">
        <v>585</v>
      </c>
      <c r="AH38" s="552" t="e">
        <f t="shared" si="20"/>
        <v>#VALUE!</v>
      </c>
      <c r="AI38" s="662"/>
      <c r="AJ38" s="552" t="s">
        <v>585</v>
      </c>
      <c r="AK38" s="553" t="s">
        <v>585</v>
      </c>
      <c r="AL38" s="553" t="s">
        <v>585</v>
      </c>
      <c r="AM38" s="552" t="e">
        <f t="shared" si="22"/>
        <v>#VALUE!</v>
      </c>
      <c r="AN38" s="662"/>
      <c r="AO38" s="552" t="s">
        <v>585</v>
      </c>
      <c r="AP38" s="553" t="s">
        <v>585</v>
      </c>
      <c r="AQ38" s="553" t="s">
        <v>585</v>
      </c>
      <c r="AR38" s="552" t="e">
        <f t="shared" si="24"/>
        <v>#VALUE!</v>
      </c>
      <c r="AS38" s="662"/>
      <c r="AT38" s="552" t="s">
        <v>585</v>
      </c>
      <c r="AU38" s="553" t="s">
        <v>585</v>
      </c>
      <c r="AV38" s="553" t="s">
        <v>585</v>
      </c>
      <c r="AW38" s="552" t="e">
        <f t="shared" si="26"/>
        <v>#VALUE!</v>
      </c>
      <c r="AX38" s="662"/>
      <c r="AZ38" s="368" t="e">
        <f t="shared" si="28"/>
        <v>#N/A</v>
      </c>
      <c r="BA38" s="662"/>
    </row>
    <row r="39" spans="2:53">
      <c r="B39" s="660"/>
      <c r="C39" s="379">
        <v>13</v>
      </c>
      <c r="D39" s="225" t="s">
        <v>699</v>
      </c>
      <c r="E39" s="531">
        <v>18</v>
      </c>
      <c r="F39" s="530">
        <v>1440</v>
      </c>
      <c r="G39" s="532">
        <v>80</v>
      </c>
      <c r="H39" s="699"/>
      <c r="I39" s="381">
        <f t="shared" si="11"/>
        <v>17.714285714285715</v>
      </c>
      <c r="J39" s="381">
        <f t="shared" si="12"/>
        <v>1318.3658283826355</v>
      </c>
      <c r="K39" s="199">
        <f t="shared" si="13"/>
        <v>74.486450990652685</v>
      </c>
      <c r="L39" s="634"/>
      <c r="M39" s="386">
        <f>RANK(K39, K$24:$K$41)</f>
        <v>6</v>
      </c>
      <c r="N39" s="652"/>
      <c r="O39" s="652"/>
      <c r="P39" s="552">
        <v>18</v>
      </c>
      <c r="Q39" s="553">
        <v>1296.9230769230776</v>
      </c>
      <c r="R39" s="553">
        <v>72.051282051282087</v>
      </c>
      <c r="S39" s="552">
        <f t="shared" si="14"/>
        <v>6</v>
      </c>
      <c r="T39" s="662"/>
      <c r="U39" s="552">
        <v>18</v>
      </c>
      <c r="V39" s="553">
        <v>1271.7647058823536</v>
      </c>
      <c r="W39" s="553">
        <v>70.65359477124187</v>
      </c>
      <c r="X39" s="552">
        <f t="shared" si="16"/>
        <v>6</v>
      </c>
      <c r="Y39" s="662"/>
      <c r="Z39" s="552">
        <v>17</v>
      </c>
      <c r="AA39" s="553">
        <v>1329.9999999999995</v>
      </c>
      <c r="AB39" s="553">
        <v>78.23529411764703</v>
      </c>
      <c r="AC39" s="552">
        <f t="shared" si="18"/>
        <v>4</v>
      </c>
      <c r="AD39" s="662"/>
      <c r="AE39" s="552">
        <v>18</v>
      </c>
      <c r="AF39" s="553">
        <v>1341.4285714285725</v>
      </c>
      <c r="AG39" s="553">
        <v>74.523809523809575</v>
      </c>
      <c r="AH39" s="552">
        <f t="shared" si="20"/>
        <v>6</v>
      </c>
      <c r="AI39" s="662"/>
      <c r="AJ39" s="552">
        <v>18</v>
      </c>
      <c r="AK39" s="553">
        <v>1332.5000000000005</v>
      </c>
      <c r="AL39" s="553">
        <v>74.0277777777778</v>
      </c>
      <c r="AM39" s="552">
        <f t="shared" si="22"/>
        <v>6</v>
      </c>
      <c r="AN39" s="662"/>
      <c r="AO39" s="552">
        <v>18</v>
      </c>
      <c r="AP39" s="553">
        <v>1321.4999999999995</v>
      </c>
      <c r="AQ39" s="553">
        <v>73.416666666666643</v>
      </c>
      <c r="AR39" s="552">
        <f t="shared" si="24"/>
        <v>7</v>
      </c>
      <c r="AS39" s="662"/>
      <c r="AT39" s="552">
        <v>17</v>
      </c>
      <c r="AU39" s="553">
        <v>1334.444444444445</v>
      </c>
      <c r="AV39" s="553">
        <v>78.496732026143832</v>
      </c>
      <c r="AW39" s="552">
        <f t="shared" si="26"/>
        <v>4</v>
      </c>
      <c r="AX39" s="662"/>
      <c r="AZ39" s="368" t="e">
        <f t="shared" si="28"/>
        <v>#N/A</v>
      </c>
      <c r="BA39" s="662"/>
    </row>
    <row r="40" spans="2:53">
      <c r="B40" s="660"/>
      <c r="C40" s="379">
        <v>14</v>
      </c>
      <c r="D40" s="225"/>
      <c r="E40" s="531"/>
      <c r="F40" s="530"/>
      <c r="G40" s="532"/>
      <c r="H40" s="699"/>
      <c r="I40" s="381" t="str">
        <f t="shared" si="11"/>
        <v>-</v>
      </c>
      <c r="J40" s="381" t="str">
        <f t="shared" si="12"/>
        <v>-</v>
      </c>
      <c r="K40" s="199" t="str">
        <f t="shared" si="13"/>
        <v>-</v>
      </c>
      <c r="L40" s="634"/>
      <c r="M40" s="386" t="e">
        <f>RANK(K40, K$24:$K$41)</f>
        <v>#VALUE!</v>
      </c>
      <c r="N40" s="652"/>
      <c r="O40" s="652"/>
      <c r="P40" s="552" t="s">
        <v>585</v>
      </c>
      <c r="Q40" s="553" t="s">
        <v>585</v>
      </c>
      <c r="R40" s="553" t="s">
        <v>585</v>
      </c>
      <c r="S40" s="552" t="e">
        <f t="shared" si="14"/>
        <v>#VALUE!</v>
      </c>
      <c r="T40" s="662"/>
      <c r="U40" s="552" t="s">
        <v>585</v>
      </c>
      <c r="V40" s="553" t="s">
        <v>585</v>
      </c>
      <c r="W40" s="553" t="s">
        <v>585</v>
      </c>
      <c r="X40" s="552" t="e">
        <f t="shared" si="16"/>
        <v>#VALUE!</v>
      </c>
      <c r="Y40" s="662"/>
      <c r="Z40" s="552" t="s">
        <v>585</v>
      </c>
      <c r="AA40" s="553" t="s">
        <v>585</v>
      </c>
      <c r="AB40" s="553" t="s">
        <v>585</v>
      </c>
      <c r="AC40" s="552" t="e">
        <f t="shared" si="18"/>
        <v>#VALUE!</v>
      </c>
      <c r="AD40" s="662"/>
      <c r="AE40" s="552" t="s">
        <v>585</v>
      </c>
      <c r="AF40" s="553" t="s">
        <v>585</v>
      </c>
      <c r="AG40" s="553" t="s">
        <v>585</v>
      </c>
      <c r="AH40" s="552" t="e">
        <f t="shared" si="20"/>
        <v>#VALUE!</v>
      </c>
      <c r="AI40" s="662"/>
      <c r="AJ40" s="552" t="s">
        <v>585</v>
      </c>
      <c r="AK40" s="553" t="s">
        <v>585</v>
      </c>
      <c r="AL40" s="553" t="s">
        <v>585</v>
      </c>
      <c r="AM40" s="552" t="e">
        <f t="shared" si="22"/>
        <v>#VALUE!</v>
      </c>
      <c r="AN40" s="662"/>
      <c r="AO40" s="552" t="s">
        <v>585</v>
      </c>
      <c r="AP40" s="553" t="s">
        <v>585</v>
      </c>
      <c r="AQ40" s="553" t="s">
        <v>585</v>
      </c>
      <c r="AR40" s="552" t="e">
        <f t="shared" si="24"/>
        <v>#VALUE!</v>
      </c>
      <c r="AS40" s="662"/>
      <c r="AT40" s="552" t="s">
        <v>585</v>
      </c>
      <c r="AU40" s="553" t="s">
        <v>585</v>
      </c>
      <c r="AV40" s="553" t="s">
        <v>585</v>
      </c>
      <c r="AW40" s="552" t="e">
        <f t="shared" si="26"/>
        <v>#VALUE!</v>
      </c>
      <c r="AX40" s="662"/>
      <c r="AZ40" s="368" t="e">
        <f t="shared" si="28"/>
        <v>#N/A</v>
      </c>
      <c r="BA40" s="662"/>
    </row>
    <row r="41" spans="2:53">
      <c r="B41" s="660"/>
      <c r="C41" s="379">
        <v>15</v>
      </c>
      <c r="D41" s="225"/>
      <c r="E41" s="531"/>
      <c r="F41" s="530"/>
      <c r="G41" s="532"/>
      <c r="H41" s="700"/>
      <c r="I41" s="201"/>
      <c r="J41" s="201"/>
      <c r="K41" s="201"/>
      <c r="L41" s="635"/>
      <c r="M41" s="385" t="e">
        <f>RANK(K41, K$24:$K$41)</f>
        <v>#N/A</v>
      </c>
      <c r="N41" s="652"/>
      <c r="O41" s="652"/>
      <c r="P41" s="552" t="s">
        <v>585</v>
      </c>
      <c r="Q41" s="553" t="s">
        <v>585</v>
      </c>
      <c r="R41" s="553" t="s">
        <v>585</v>
      </c>
      <c r="S41" s="552" t="e">
        <f t="shared" si="14"/>
        <v>#VALUE!</v>
      </c>
      <c r="T41" s="663"/>
      <c r="U41" s="552" t="s">
        <v>585</v>
      </c>
      <c r="V41" s="553" t="s">
        <v>585</v>
      </c>
      <c r="W41" s="553" t="s">
        <v>585</v>
      </c>
      <c r="X41" s="552" t="e">
        <f t="shared" si="16"/>
        <v>#VALUE!</v>
      </c>
      <c r="Y41" s="663"/>
      <c r="Z41" s="552" t="s">
        <v>585</v>
      </c>
      <c r="AA41" s="553" t="s">
        <v>585</v>
      </c>
      <c r="AB41" s="553" t="s">
        <v>585</v>
      </c>
      <c r="AC41" s="552" t="e">
        <f t="shared" si="18"/>
        <v>#VALUE!</v>
      </c>
      <c r="AD41" s="663"/>
      <c r="AE41" s="552" t="s">
        <v>585</v>
      </c>
      <c r="AF41" s="553" t="s">
        <v>585</v>
      </c>
      <c r="AG41" s="553" t="s">
        <v>585</v>
      </c>
      <c r="AH41" s="552" t="e">
        <f t="shared" si="20"/>
        <v>#VALUE!</v>
      </c>
      <c r="AI41" s="663"/>
      <c r="AJ41" s="552" t="s">
        <v>585</v>
      </c>
      <c r="AK41" s="553" t="s">
        <v>585</v>
      </c>
      <c r="AL41" s="553" t="s">
        <v>585</v>
      </c>
      <c r="AM41" s="552" t="e">
        <f t="shared" si="22"/>
        <v>#VALUE!</v>
      </c>
      <c r="AN41" s="663"/>
      <c r="AO41" s="552" t="s">
        <v>585</v>
      </c>
      <c r="AP41" s="553" t="s">
        <v>585</v>
      </c>
      <c r="AQ41" s="553" t="s">
        <v>585</v>
      </c>
      <c r="AR41" s="552" t="e">
        <f t="shared" si="24"/>
        <v>#VALUE!</v>
      </c>
      <c r="AS41" s="663"/>
      <c r="AT41" s="552" t="s">
        <v>585</v>
      </c>
      <c r="AU41" s="553" t="s">
        <v>585</v>
      </c>
      <c r="AV41" s="553" t="s">
        <v>585</v>
      </c>
      <c r="AW41" s="552" t="e">
        <f t="shared" si="26"/>
        <v>#VALUE!</v>
      </c>
      <c r="AX41" s="663"/>
      <c r="AZ41" s="368" t="e">
        <f t="shared" si="28"/>
        <v>#N/A</v>
      </c>
      <c r="BA41" s="663"/>
    </row>
    <row r="42" spans="2:53" ht="15.75">
      <c r="B42" s="677" t="s">
        <v>162</v>
      </c>
      <c r="C42" s="678"/>
      <c r="D42" s="678"/>
      <c r="E42" s="678"/>
      <c r="F42" s="678"/>
      <c r="G42" s="678"/>
      <c r="H42" s="678"/>
      <c r="I42" s="207"/>
      <c r="J42" s="202"/>
      <c r="K42" s="207"/>
      <c r="L42" s="207"/>
      <c r="M42" s="203"/>
      <c r="N42" s="653" t="s">
        <v>156</v>
      </c>
      <c r="O42" s="653" t="s">
        <v>105</v>
      </c>
      <c r="P42" s="659">
        <f>P22+7</f>
        <v>46245</v>
      </c>
      <c r="Q42" s="660"/>
      <c r="R42" s="660"/>
      <c r="S42" s="660"/>
      <c r="T42" s="660"/>
      <c r="U42" s="656">
        <f>P42+1</f>
        <v>46246</v>
      </c>
      <c r="V42" s="657"/>
      <c r="W42" s="657"/>
      <c r="X42" s="657"/>
      <c r="Y42" s="658"/>
      <c r="Z42" s="656">
        <f>U42+1</f>
        <v>46247</v>
      </c>
      <c r="AA42" s="657"/>
      <c r="AB42" s="657"/>
      <c r="AC42" s="657"/>
      <c r="AD42" s="658"/>
      <c r="AE42" s="656">
        <f>Z42+1</f>
        <v>46248</v>
      </c>
      <c r="AF42" s="657"/>
      <c r="AG42" s="657"/>
      <c r="AH42" s="657"/>
      <c r="AI42" s="658"/>
      <c r="AJ42" s="656">
        <f>AE42+1</f>
        <v>46249</v>
      </c>
      <c r="AK42" s="657"/>
      <c r="AL42" s="657"/>
      <c r="AM42" s="657"/>
      <c r="AN42" s="658"/>
      <c r="AO42" s="656">
        <f>AJ42+1</f>
        <v>46250</v>
      </c>
      <c r="AP42" s="657"/>
      <c r="AQ42" s="657"/>
      <c r="AR42" s="657"/>
      <c r="AS42" s="658"/>
      <c r="AT42" s="656">
        <f>AO42+1</f>
        <v>46251</v>
      </c>
      <c r="AU42" s="657"/>
      <c r="AV42" s="657"/>
      <c r="AW42" s="657"/>
      <c r="AX42" s="658"/>
    </row>
    <row r="43" spans="2:53" ht="15.75">
      <c r="B43" s="667"/>
      <c r="C43" s="667"/>
      <c r="D43" s="667"/>
      <c r="E43" s="667"/>
      <c r="F43" s="667"/>
      <c r="G43" s="667"/>
      <c r="H43" s="667"/>
      <c r="I43" s="204"/>
      <c r="J43" s="204"/>
      <c r="K43" s="204"/>
      <c r="L43" s="204"/>
      <c r="M43" s="205"/>
      <c r="N43" s="655"/>
      <c r="O43" s="655"/>
      <c r="P43" s="659" t="s">
        <v>317</v>
      </c>
      <c r="Q43" s="660"/>
      <c r="R43" s="660"/>
      <c r="S43" s="660"/>
      <c r="T43" s="660"/>
      <c r="U43" s="659" t="s">
        <v>318</v>
      </c>
      <c r="V43" s="660"/>
      <c r="W43" s="660"/>
      <c r="X43" s="660"/>
      <c r="Y43" s="660"/>
      <c r="Z43" s="659" t="s">
        <v>319</v>
      </c>
      <c r="AA43" s="660"/>
      <c r="AB43" s="660"/>
      <c r="AC43" s="660"/>
      <c r="AD43" s="660"/>
      <c r="AE43" s="659" t="s">
        <v>320</v>
      </c>
      <c r="AF43" s="660"/>
      <c r="AG43" s="660"/>
      <c r="AH43" s="660"/>
      <c r="AI43" s="660"/>
      <c r="AJ43" s="659" t="s">
        <v>321</v>
      </c>
      <c r="AK43" s="660"/>
      <c r="AL43" s="660"/>
      <c r="AM43" s="660"/>
      <c r="AN43" s="660"/>
      <c r="AO43" s="659" t="s">
        <v>322</v>
      </c>
      <c r="AP43" s="660"/>
      <c r="AQ43" s="660"/>
      <c r="AR43" s="660"/>
      <c r="AS43" s="660"/>
      <c r="AT43" s="659" t="s">
        <v>323</v>
      </c>
      <c r="AU43" s="660"/>
      <c r="AV43" s="660"/>
      <c r="AW43" s="660"/>
      <c r="AX43" s="660"/>
    </row>
    <row r="44" spans="2:53">
      <c r="B44" s="652" t="s">
        <v>453</v>
      </c>
      <c r="C44" s="652" t="s">
        <v>379</v>
      </c>
      <c r="D44" s="652"/>
      <c r="E44" s="652" t="s">
        <v>370</v>
      </c>
      <c r="F44" s="652"/>
      <c r="G44" s="652"/>
      <c r="H44" s="668" t="s">
        <v>366</v>
      </c>
      <c r="I44" s="636" t="s">
        <v>371</v>
      </c>
      <c r="J44" s="636"/>
      <c r="K44" s="636"/>
      <c r="L44" s="637" t="s">
        <v>366</v>
      </c>
      <c r="M44" s="643" t="s">
        <v>367</v>
      </c>
      <c r="N44" s="652"/>
      <c r="O44" s="652" t="s">
        <v>372</v>
      </c>
      <c r="P44" s="649" t="s">
        <v>368</v>
      </c>
      <c r="Q44" s="650"/>
      <c r="R44" s="650"/>
      <c r="S44" s="651"/>
      <c r="T44" s="652" t="s">
        <v>366</v>
      </c>
      <c r="U44" s="649" t="s">
        <v>368</v>
      </c>
      <c r="V44" s="650"/>
      <c r="W44" s="650"/>
      <c r="X44" s="651"/>
      <c r="Y44" s="652" t="s">
        <v>366</v>
      </c>
      <c r="Z44" s="649" t="s">
        <v>368</v>
      </c>
      <c r="AA44" s="650"/>
      <c r="AB44" s="650"/>
      <c r="AC44" s="651"/>
      <c r="AD44" s="652" t="s">
        <v>366</v>
      </c>
      <c r="AE44" s="649" t="s">
        <v>368</v>
      </c>
      <c r="AF44" s="650"/>
      <c r="AG44" s="650"/>
      <c r="AH44" s="651"/>
      <c r="AI44" s="652" t="s">
        <v>366</v>
      </c>
      <c r="AJ44" s="649" t="s">
        <v>368</v>
      </c>
      <c r="AK44" s="650"/>
      <c r="AL44" s="650"/>
      <c r="AM44" s="651"/>
      <c r="AN44" s="652" t="s">
        <v>366</v>
      </c>
      <c r="AO44" s="649" t="s">
        <v>368</v>
      </c>
      <c r="AP44" s="650"/>
      <c r="AQ44" s="650"/>
      <c r="AR44" s="651"/>
      <c r="AS44" s="652" t="s">
        <v>366</v>
      </c>
      <c r="AT44" s="649" t="s">
        <v>368</v>
      </c>
      <c r="AU44" s="650"/>
      <c r="AV44" s="650"/>
      <c r="AW44" s="651"/>
      <c r="AX44" s="652" t="s">
        <v>366</v>
      </c>
      <c r="BA44" s="652" t="s">
        <v>366</v>
      </c>
    </row>
    <row r="45" spans="2:53">
      <c r="B45" s="652"/>
      <c r="C45" s="652"/>
      <c r="D45" s="652"/>
      <c r="E45" s="652" t="s">
        <v>373</v>
      </c>
      <c r="F45" s="652"/>
      <c r="G45" s="652"/>
      <c r="H45" s="669"/>
      <c r="I45" s="636" t="s">
        <v>373</v>
      </c>
      <c r="J45" s="636"/>
      <c r="K45" s="636"/>
      <c r="L45" s="638"/>
      <c r="M45" s="644"/>
      <c r="N45" s="652"/>
      <c r="O45" s="652"/>
      <c r="P45" s="649" t="s">
        <v>374</v>
      </c>
      <c r="Q45" s="650"/>
      <c r="R45" s="650"/>
      <c r="S45" s="651"/>
      <c r="T45" s="652"/>
      <c r="U45" s="649" t="s">
        <v>374</v>
      </c>
      <c r="V45" s="650"/>
      <c r="W45" s="650"/>
      <c r="X45" s="651"/>
      <c r="Y45" s="652"/>
      <c r="Z45" s="649" t="s">
        <v>374</v>
      </c>
      <c r="AA45" s="650"/>
      <c r="AB45" s="650"/>
      <c r="AC45" s="651"/>
      <c r="AD45" s="652"/>
      <c r="AE45" s="649" t="s">
        <v>374</v>
      </c>
      <c r="AF45" s="650"/>
      <c r="AG45" s="650"/>
      <c r="AH45" s="651"/>
      <c r="AI45" s="652"/>
      <c r="AJ45" s="649" t="s">
        <v>374</v>
      </c>
      <c r="AK45" s="650"/>
      <c r="AL45" s="650"/>
      <c r="AM45" s="651"/>
      <c r="AN45" s="652"/>
      <c r="AO45" s="649" t="s">
        <v>374</v>
      </c>
      <c r="AP45" s="650"/>
      <c r="AQ45" s="650"/>
      <c r="AR45" s="651"/>
      <c r="AS45" s="652"/>
      <c r="AT45" s="649" t="s">
        <v>374</v>
      </c>
      <c r="AU45" s="650"/>
      <c r="AV45" s="650"/>
      <c r="AW45" s="651"/>
      <c r="AX45" s="652"/>
      <c r="BA45" s="652"/>
    </row>
    <row r="46" spans="2:53">
      <c r="B46" s="652"/>
      <c r="C46" s="652"/>
      <c r="D46" s="652"/>
      <c r="E46" s="378" t="s">
        <v>375</v>
      </c>
      <c r="F46" s="378" t="s">
        <v>376</v>
      </c>
      <c r="G46" s="378" t="s">
        <v>377</v>
      </c>
      <c r="H46" s="670"/>
      <c r="I46" s="377" t="s">
        <v>375</v>
      </c>
      <c r="J46" s="377" t="s">
        <v>376</v>
      </c>
      <c r="K46" s="377" t="s">
        <v>377</v>
      </c>
      <c r="L46" s="639"/>
      <c r="M46" s="645"/>
      <c r="N46" s="652"/>
      <c r="O46" s="652"/>
      <c r="P46" s="378" t="s">
        <v>375</v>
      </c>
      <c r="Q46" s="378" t="s">
        <v>376</v>
      </c>
      <c r="R46" s="378" t="s">
        <v>377</v>
      </c>
      <c r="S46" s="378" t="s">
        <v>367</v>
      </c>
      <c r="T46" s="652"/>
      <c r="U46" s="378" t="s">
        <v>375</v>
      </c>
      <c r="V46" s="378" t="s">
        <v>376</v>
      </c>
      <c r="W46" s="378" t="s">
        <v>377</v>
      </c>
      <c r="X46" s="378" t="s">
        <v>367</v>
      </c>
      <c r="Y46" s="652"/>
      <c r="Z46" s="378" t="s">
        <v>375</v>
      </c>
      <c r="AA46" s="378" t="s">
        <v>376</v>
      </c>
      <c r="AB46" s="378" t="s">
        <v>377</v>
      </c>
      <c r="AC46" s="378" t="s">
        <v>367</v>
      </c>
      <c r="AD46" s="652"/>
      <c r="AE46" s="378" t="s">
        <v>375</v>
      </c>
      <c r="AF46" s="378" t="s">
        <v>376</v>
      </c>
      <c r="AG46" s="378" t="s">
        <v>377</v>
      </c>
      <c r="AH46" s="378" t="s">
        <v>367</v>
      </c>
      <c r="AI46" s="652"/>
      <c r="AJ46" s="378" t="s">
        <v>375</v>
      </c>
      <c r="AK46" s="378" t="s">
        <v>376</v>
      </c>
      <c r="AL46" s="378" t="s">
        <v>377</v>
      </c>
      <c r="AM46" s="378" t="s">
        <v>367</v>
      </c>
      <c r="AN46" s="652"/>
      <c r="AO46" s="378" t="s">
        <v>375</v>
      </c>
      <c r="AP46" s="378" t="s">
        <v>376</v>
      </c>
      <c r="AQ46" s="378" t="s">
        <v>377</v>
      </c>
      <c r="AR46" s="378" t="s">
        <v>367</v>
      </c>
      <c r="AS46" s="652"/>
      <c r="AT46" s="378" t="s">
        <v>375</v>
      </c>
      <c r="AU46" s="378" t="s">
        <v>376</v>
      </c>
      <c r="AV46" s="378" t="s">
        <v>377</v>
      </c>
      <c r="AW46" s="378" t="s">
        <v>367</v>
      </c>
      <c r="AX46" s="652"/>
      <c r="AZ46" s="367" t="s">
        <v>560</v>
      </c>
      <c r="BA46" s="652"/>
    </row>
    <row r="47" spans="2:53">
      <c r="B47" s="652" t="s">
        <v>467</v>
      </c>
      <c r="C47" s="379">
        <v>1</v>
      </c>
      <c r="D47" s="225" t="s">
        <v>604</v>
      </c>
      <c r="E47" s="531">
        <v>17</v>
      </c>
      <c r="F47" s="530">
        <v>1440</v>
      </c>
      <c r="G47" s="532">
        <v>84.7</v>
      </c>
      <c r="H47" s="698">
        <f>AVERAGE(G47:G61)</f>
        <v>80.88000000000001</v>
      </c>
      <c r="I47" s="381">
        <f t="shared" ref="I47:I60" si="30">IFERROR(AVERAGE(P47,U47,Z47,AE47,AJ47,AO47,AT47),"-")</f>
        <v>17</v>
      </c>
      <c r="J47" s="381">
        <f t="shared" ref="J47:J60" si="31">IFERROR(AVERAGE(Q47,V47,AA47,AF47,AK47,AP47,AU47),"-")</f>
        <v>1290.8399347521665</v>
      </c>
      <c r="K47" s="199">
        <f t="shared" ref="K47:K60" si="32">IFERROR(AVERAGE(R47,W47,AB47,AG47,AL47,AQ47,AV47),"-")</f>
        <v>75.9317608677745</v>
      </c>
      <c r="L47" s="633">
        <f>IFERROR(AVERAGE(K47:K61),"-")</f>
        <v>73.243043233558595</v>
      </c>
      <c r="M47" s="383">
        <f>RANK(K47, K$47:$K$61)</f>
        <v>4</v>
      </c>
      <c r="N47" s="652"/>
      <c r="O47" s="652"/>
      <c r="P47" s="555">
        <v>17</v>
      </c>
      <c r="Q47" s="559">
        <v>1282.1739130434783</v>
      </c>
      <c r="R47" s="559">
        <v>75.42199488491049</v>
      </c>
      <c r="S47" s="555">
        <f t="shared" ref="S47:S61" si="33">RANK(R47, R$47:R$61)</f>
        <v>4</v>
      </c>
      <c r="T47" s="661">
        <f t="shared" ref="T47" si="34">AVERAGE(R47:R61)</f>
        <v>73.086892125216792</v>
      </c>
      <c r="U47" s="555">
        <v>17</v>
      </c>
      <c r="V47" s="559">
        <v>1292.4705882352939</v>
      </c>
      <c r="W47" s="559">
        <v>76.027681660899646</v>
      </c>
      <c r="X47" s="555">
        <f t="shared" ref="X47:X61" si="35">RANK(W47, W$47:W$61)</f>
        <v>3</v>
      </c>
      <c r="Y47" s="661">
        <f t="shared" ref="Y47" si="36">AVERAGE(W47:W61)</f>
        <v>73.312987338520216</v>
      </c>
      <c r="Z47" s="555">
        <v>17</v>
      </c>
      <c r="AA47" s="559">
        <v>1301.2500000000005</v>
      </c>
      <c r="AB47" s="559">
        <v>76.544117647058854</v>
      </c>
      <c r="AC47" s="555">
        <f t="shared" ref="AC47:AC61" si="37">RANK(AB47, AB$47:AB$61)</f>
        <v>3</v>
      </c>
      <c r="AD47" s="661">
        <f t="shared" ref="AD47" si="38">AVERAGE(AB47:AB61)</f>
        <v>73.275338073313861</v>
      </c>
      <c r="AE47" s="555">
        <v>17</v>
      </c>
      <c r="AF47" s="559">
        <v>1263.7037037037044</v>
      </c>
      <c r="AG47" s="559">
        <v>74.33551198257085</v>
      </c>
      <c r="AH47" s="555">
        <f t="shared" ref="AH47:AH61" si="39">RANK(AG47, AG$47:AG$61)</f>
        <v>4</v>
      </c>
      <c r="AI47" s="661">
        <f t="shared" ref="AI47" si="40">AVERAGE(AG47:AG61)</f>
        <v>72.464055395038287</v>
      </c>
      <c r="AJ47" s="555">
        <v>17</v>
      </c>
      <c r="AK47" s="559">
        <v>1280.2247191011245</v>
      </c>
      <c r="AL47" s="559">
        <v>75.307336417713202</v>
      </c>
      <c r="AM47" s="555">
        <f t="shared" ref="AM47:AM61" si="41">RANK(AL47, AL$47:AL$61)</f>
        <v>4</v>
      </c>
      <c r="AN47" s="661">
        <f t="shared" ref="AN47" si="42">AVERAGE(AL47:AL61)</f>
        <v>72.82309950075819</v>
      </c>
      <c r="AO47" s="555">
        <v>17</v>
      </c>
      <c r="AP47" s="559">
        <v>1306.5420560747671</v>
      </c>
      <c r="AQ47" s="559">
        <v>76.855415063221585</v>
      </c>
      <c r="AR47" s="555">
        <f t="shared" ref="AR47:AR61" si="43">RANK(AQ47, AQ$47:AQ$61)</f>
        <v>3</v>
      </c>
      <c r="AS47" s="661">
        <f t="shared" ref="AS47" si="44">AVERAGE(AQ47:AQ61)</f>
        <v>73.459019224820651</v>
      </c>
      <c r="AT47" s="555">
        <v>17</v>
      </c>
      <c r="AU47" s="559">
        <v>1309.5145631067967</v>
      </c>
      <c r="AV47" s="559">
        <v>77.030268418046859</v>
      </c>
      <c r="AW47" s="555">
        <f t="shared" ref="AW47:AW61" si="45">RANK(AV47, AV$47:AV$61)</f>
        <v>3</v>
      </c>
      <c r="AX47" s="661">
        <f t="shared" ref="AX47" si="46">AVERAGE(AV47:AV61)</f>
        <v>74.27991097724221</v>
      </c>
      <c r="AZ47" s="368" t="e">
        <f t="shared" ref="AZ47:AZ61" si="47">RANK(AY47, AY$47:AY$61)</f>
        <v>#N/A</v>
      </c>
      <c r="BA47" s="661" t="e">
        <f t="shared" ref="BA47" si="48">AVERAGE(AY47:AY61)</f>
        <v>#DIV/0!</v>
      </c>
    </row>
    <row r="48" spans="2:53">
      <c r="B48" s="660"/>
      <c r="C48" s="379">
        <v>2</v>
      </c>
      <c r="D48" s="225" t="s">
        <v>346</v>
      </c>
      <c r="E48" s="531">
        <v>18</v>
      </c>
      <c r="F48" s="530">
        <v>1440</v>
      </c>
      <c r="G48" s="532">
        <v>80</v>
      </c>
      <c r="H48" s="699"/>
      <c r="I48" s="381">
        <f t="shared" si="30"/>
        <v>18</v>
      </c>
      <c r="J48" s="381">
        <f t="shared" si="31"/>
        <v>1297.1135448040482</v>
      </c>
      <c r="K48" s="199">
        <f t="shared" si="32"/>
        <v>72.061863600224896</v>
      </c>
      <c r="L48" s="634"/>
      <c r="M48" s="417">
        <f>RANK(K48, K$47:$K$61)</f>
        <v>6</v>
      </c>
      <c r="N48" s="652"/>
      <c r="O48" s="652"/>
      <c r="P48" s="555">
        <v>18</v>
      </c>
      <c r="Q48" s="559">
        <v>1290.5925925925922</v>
      </c>
      <c r="R48" s="559">
        <v>71.699588477366234</v>
      </c>
      <c r="S48" s="555">
        <f t="shared" si="33"/>
        <v>6</v>
      </c>
      <c r="T48" s="662"/>
      <c r="U48" s="555">
        <v>18</v>
      </c>
      <c r="V48" s="559">
        <v>1291.5105882352939</v>
      </c>
      <c r="W48" s="559">
        <v>71.750588235294103</v>
      </c>
      <c r="X48" s="555">
        <f t="shared" si="35"/>
        <v>6</v>
      </c>
      <c r="Y48" s="662"/>
      <c r="Z48" s="555">
        <v>18</v>
      </c>
      <c r="AA48" s="559">
        <v>1293.2965517241378</v>
      </c>
      <c r="AB48" s="559">
        <v>71.849808429118767</v>
      </c>
      <c r="AC48" s="555">
        <f t="shared" si="37"/>
        <v>6</v>
      </c>
      <c r="AD48" s="662"/>
      <c r="AE48" s="555">
        <v>18</v>
      </c>
      <c r="AF48" s="559">
        <v>1303.7837837837842</v>
      </c>
      <c r="AG48" s="559">
        <v>72.432432432432449</v>
      </c>
      <c r="AH48" s="555">
        <f t="shared" si="39"/>
        <v>6</v>
      </c>
      <c r="AI48" s="662"/>
      <c r="AJ48" s="555">
        <v>18</v>
      </c>
      <c r="AK48" s="559">
        <v>1311.4588235294116</v>
      </c>
      <c r="AL48" s="559">
        <v>72.858823529411751</v>
      </c>
      <c r="AM48" s="555">
        <f t="shared" si="41"/>
        <v>6</v>
      </c>
      <c r="AN48" s="662"/>
      <c r="AO48" s="555">
        <v>18</v>
      </c>
      <c r="AP48" s="559">
        <v>1290.586956521739</v>
      </c>
      <c r="AQ48" s="559">
        <v>71.699275362318829</v>
      </c>
      <c r="AR48" s="555">
        <f t="shared" si="43"/>
        <v>6</v>
      </c>
      <c r="AS48" s="662"/>
      <c r="AT48" s="555">
        <v>18</v>
      </c>
      <c r="AU48" s="559">
        <v>1298.565517241379</v>
      </c>
      <c r="AV48" s="559">
        <v>72.142528735632169</v>
      </c>
      <c r="AW48" s="555">
        <f t="shared" si="45"/>
        <v>6</v>
      </c>
      <c r="AX48" s="662"/>
      <c r="AZ48" s="368" t="e">
        <f t="shared" si="47"/>
        <v>#N/A</v>
      </c>
      <c r="BA48" s="662"/>
    </row>
    <row r="49" spans="2:53">
      <c r="B49" s="660"/>
      <c r="C49" s="379">
        <v>3</v>
      </c>
      <c r="D49" s="225" t="s">
        <v>347</v>
      </c>
      <c r="E49" s="531">
        <v>17</v>
      </c>
      <c r="F49" s="530">
        <v>1440</v>
      </c>
      <c r="G49" s="532">
        <v>84.7</v>
      </c>
      <c r="H49" s="699"/>
      <c r="I49" s="381">
        <f t="shared" si="30"/>
        <v>17</v>
      </c>
      <c r="J49" s="381">
        <f t="shared" si="31"/>
        <v>1301.8524115031894</v>
      </c>
      <c r="K49" s="199">
        <f t="shared" si="32"/>
        <v>76.579553617834677</v>
      </c>
      <c r="L49" s="634"/>
      <c r="M49" s="417">
        <f>RANK(K49, K$47:$K$61)</f>
        <v>3</v>
      </c>
      <c r="N49" s="652"/>
      <c r="O49" s="652"/>
      <c r="P49" s="555">
        <v>17</v>
      </c>
      <c r="Q49" s="559">
        <v>1304.9999999999989</v>
      </c>
      <c r="R49" s="559">
        <v>76.764705882352871</v>
      </c>
      <c r="S49" s="555">
        <f t="shared" si="33"/>
        <v>3</v>
      </c>
      <c r="T49" s="662"/>
      <c r="U49" s="555">
        <v>17</v>
      </c>
      <c r="V49" s="559">
        <v>1290.4109589041086</v>
      </c>
      <c r="W49" s="559">
        <v>75.906526994359325</v>
      </c>
      <c r="X49" s="555">
        <f t="shared" si="35"/>
        <v>4</v>
      </c>
      <c r="Y49" s="662"/>
      <c r="Z49" s="555">
        <v>17</v>
      </c>
      <c r="AA49" s="559">
        <v>1294.7826086956509</v>
      </c>
      <c r="AB49" s="559">
        <v>76.163682864450053</v>
      </c>
      <c r="AC49" s="555">
        <f t="shared" si="37"/>
        <v>4</v>
      </c>
      <c r="AD49" s="662"/>
      <c r="AE49" s="555">
        <v>17</v>
      </c>
      <c r="AF49" s="559">
        <v>1320.0000000000011</v>
      </c>
      <c r="AG49" s="559">
        <v>77.647058823529477</v>
      </c>
      <c r="AH49" s="555">
        <f t="shared" si="39"/>
        <v>3</v>
      </c>
      <c r="AI49" s="662"/>
      <c r="AJ49" s="555">
        <v>17</v>
      </c>
      <c r="AK49" s="559">
        <v>1302.0895522388075</v>
      </c>
      <c r="AL49" s="559">
        <v>76.59350307287103</v>
      </c>
      <c r="AM49" s="555">
        <f t="shared" si="41"/>
        <v>3</v>
      </c>
      <c r="AN49" s="662"/>
      <c r="AO49" s="555">
        <v>17</v>
      </c>
      <c r="AP49" s="559">
        <v>1298.4615384615377</v>
      </c>
      <c r="AQ49" s="559">
        <v>76.380090497737513</v>
      </c>
      <c r="AR49" s="555">
        <f t="shared" si="43"/>
        <v>4</v>
      </c>
      <c r="AS49" s="662"/>
      <c r="AT49" s="555">
        <v>17</v>
      </c>
      <c r="AU49" s="559">
        <v>1302.2222222222217</v>
      </c>
      <c r="AV49" s="559">
        <v>76.601307189542453</v>
      </c>
      <c r="AW49" s="555">
        <f t="shared" si="45"/>
        <v>4</v>
      </c>
      <c r="AX49" s="662"/>
      <c r="AZ49" s="368" t="e">
        <f t="shared" si="47"/>
        <v>#N/A</v>
      </c>
      <c r="BA49" s="662"/>
    </row>
    <row r="50" spans="2:53">
      <c r="B50" s="660"/>
      <c r="C50" s="379">
        <v>4</v>
      </c>
      <c r="D50" s="225" t="s">
        <v>348</v>
      </c>
      <c r="E50" s="531">
        <v>21</v>
      </c>
      <c r="F50" s="530">
        <v>1385</v>
      </c>
      <c r="G50" s="532">
        <v>65.900000000000006</v>
      </c>
      <c r="H50" s="699"/>
      <c r="I50" s="381">
        <f t="shared" si="30"/>
        <v>21</v>
      </c>
      <c r="J50" s="381">
        <f t="shared" si="31"/>
        <v>1274.1818806426868</v>
      </c>
      <c r="K50" s="199">
        <f t="shared" si="32"/>
        <v>60.675327649651749</v>
      </c>
      <c r="L50" s="634"/>
      <c r="M50" s="417">
        <f>RANK(K50, K$47:$K$61)</f>
        <v>10</v>
      </c>
      <c r="N50" s="652"/>
      <c r="O50" s="652"/>
      <c r="P50" s="555">
        <v>21</v>
      </c>
      <c r="Q50" s="559">
        <v>1269.8076923076931</v>
      </c>
      <c r="R50" s="559">
        <v>60.467032967033006</v>
      </c>
      <c r="S50" s="555">
        <f t="shared" si="33"/>
        <v>10</v>
      </c>
      <c r="T50" s="662"/>
      <c r="U50" s="555">
        <v>21</v>
      </c>
      <c r="V50" s="559">
        <v>1265.6842105263161</v>
      </c>
      <c r="W50" s="559">
        <v>60.270676691729335</v>
      </c>
      <c r="X50" s="555">
        <f t="shared" si="35"/>
        <v>10</v>
      </c>
      <c r="Y50" s="662"/>
      <c r="Z50" s="555">
        <v>21</v>
      </c>
      <c r="AA50" s="559">
        <v>1292.5531914893618</v>
      </c>
      <c r="AB50" s="559">
        <v>61.550151975683896</v>
      </c>
      <c r="AC50" s="555">
        <f t="shared" si="37"/>
        <v>10</v>
      </c>
      <c r="AD50" s="662"/>
      <c r="AE50" s="555">
        <v>21</v>
      </c>
      <c r="AF50" s="559">
        <v>1282.8947368421043</v>
      </c>
      <c r="AG50" s="559">
        <v>61.090225563909726</v>
      </c>
      <c r="AH50" s="555">
        <f t="shared" si="39"/>
        <v>9</v>
      </c>
      <c r="AI50" s="662"/>
      <c r="AJ50" s="555">
        <v>21</v>
      </c>
      <c r="AK50" s="559">
        <v>1255.8333333333323</v>
      </c>
      <c r="AL50" s="559">
        <v>59.801587301587254</v>
      </c>
      <c r="AM50" s="555">
        <f t="shared" si="41"/>
        <v>9</v>
      </c>
      <c r="AN50" s="662"/>
      <c r="AO50" s="555">
        <v>21</v>
      </c>
      <c r="AP50" s="559">
        <v>1292.5000000000002</v>
      </c>
      <c r="AQ50" s="559">
        <v>61.547619047619058</v>
      </c>
      <c r="AR50" s="555">
        <f t="shared" si="43"/>
        <v>10</v>
      </c>
      <c r="AS50" s="662"/>
      <c r="AT50" s="555">
        <v>21</v>
      </c>
      <c r="AU50" s="559">
        <v>1260.0000000000005</v>
      </c>
      <c r="AV50" s="559">
        <v>60.000000000000021</v>
      </c>
      <c r="AW50" s="555">
        <f t="shared" si="45"/>
        <v>10</v>
      </c>
      <c r="AX50" s="662"/>
      <c r="AZ50" s="368" t="e">
        <f t="shared" si="47"/>
        <v>#N/A</v>
      </c>
      <c r="BA50" s="662"/>
    </row>
    <row r="51" spans="2:53">
      <c r="B51" s="660"/>
      <c r="C51" s="379">
        <v>5</v>
      </c>
      <c r="D51" s="225" t="s">
        <v>349</v>
      </c>
      <c r="E51" s="531">
        <v>19</v>
      </c>
      <c r="F51" s="530">
        <v>1440</v>
      </c>
      <c r="G51" s="532">
        <v>75.8</v>
      </c>
      <c r="H51" s="699"/>
      <c r="I51" s="381">
        <f t="shared" si="30"/>
        <v>19</v>
      </c>
      <c r="J51" s="381">
        <f t="shared" si="31"/>
        <v>1317.2356130124037</v>
      </c>
      <c r="K51" s="199">
        <f t="shared" si="32"/>
        <v>69.328190158547571</v>
      </c>
      <c r="L51" s="634"/>
      <c r="M51" s="417">
        <f>RANK(K51, K$47:$K$61)</f>
        <v>7</v>
      </c>
      <c r="N51" s="652"/>
      <c r="O51" s="652"/>
      <c r="P51" s="555">
        <v>19</v>
      </c>
      <c r="Q51" s="559">
        <v>1315.4999999999995</v>
      </c>
      <c r="R51" s="559">
        <v>69.236842105263136</v>
      </c>
      <c r="S51" s="555">
        <f t="shared" si="33"/>
        <v>8</v>
      </c>
      <c r="T51" s="662"/>
      <c r="U51" s="555">
        <v>19</v>
      </c>
      <c r="V51" s="559">
        <v>1324.1666666666656</v>
      </c>
      <c r="W51" s="559">
        <v>69.6929824561403</v>
      </c>
      <c r="X51" s="555">
        <f t="shared" si="35"/>
        <v>8</v>
      </c>
      <c r="Y51" s="662"/>
      <c r="Z51" s="555">
        <v>19</v>
      </c>
      <c r="AA51" s="559">
        <v>1298.7341772151892</v>
      </c>
      <c r="AB51" s="559">
        <v>68.354430379746802</v>
      </c>
      <c r="AC51" s="555">
        <f t="shared" si="37"/>
        <v>9</v>
      </c>
      <c r="AD51" s="662"/>
      <c r="AE51" s="555">
        <v>19</v>
      </c>
      <c r="AF51" s="559">
        <v>1317.8571428571438</v>
      </c>
      <c r="AG51" s="559">
        <v>69.360902255639147</v>
      </c>
      <c r="AH51" s="555">
        <f t="shared" si="39"/>
        <v>7</v>
      </c>
      <c r="AI51" s="662"/>
      <c r="AJ51" s="555">
        <v>19</v>
      </c>
      <c r="AK51" s="559">
        <v>1342.0000000000014</v>
      </c>
      <c r="AL51" s="559">
        <v>70.631578947368496</v>
      </c>
      <c r="AM51" s="555">
        <f t="shared" si="41"/>
        <v>7</v>
      </c>
      <c r="AN51" s="662"/>
      <c r="AO51" s="555">
        <v>19</v>
      </c>
      <c r="AP51" s="559">
        <v>1302.391304347826</v>
      </c>
      <c r="AQ51" s="559">
        <v>68.546910755148744</v>
      </c>
      <c r="AR51" s="555">
        <f t="shared" si="43"/>
        <v>9</v>
      </c>
      <c r="AS51" s="662"/>
      <c r="AT51" s="555">
        <v>19</v>
      </c>
      <c r="AU51" s="559">
        <v>1319.9999999999993</v>
      </c>
      <c r="AV51" s="559">
        <v>69.473684210526287</v>
      </c>
      <c r="AW51" s="555">
        <f t="shared" si="45"/>
        <v>8</v>
      </c>
      <c r="AX51" s="662"/>
      <c r="AZ51" s="368" t="e">
        <f t="shared" si="47"/>
        <v>#N/A</v>
      </c>
      <c r="BA51" s="662"/>
    </row>
    <row r="52" spans="2:53">
      <c r="B52" s="660"/>
      <c r="C52" s="379">
        <v>6</v>
      </c>
      <c r="D52" s="225" t="s">
        <v>491</v>
      </c>
      <c r="E52" s="531">
        <v>18</v>
      </c>
      <c r="F52" s="530">
        <v>1385</v>
      </c>
      <c r="G52" s="532">
        <v>76.900000000000006</v>
      </c>
      <c r="H52" s="699"/>
      <c r="I52" s="381">
        <f t="shared" si="30"/>
        <v>18</v>
      </c>
      <c r="J52" s="381">
        <f t="shared" si="31"/>
        <v>1234.9318951534219</v>
      </c>
      <c r="K52" s="199">
        <f t="shared" si="32"/>
        <v>68.60732750852344</v>
      </c>
      <c r="L52" s="634"/>
      <c r="M52" s="417">
        <f>RANK(K52, K$47:$K$61)</f>
        <v>8</v>
      </c>
      <c r="N52" s="652"/>
      <c r="O52" s="652"/>
      <c r="P52" s="555">
        <v>18</v>
      </c>
      <c r="Q52" s="559">
        <v>1226.8656716417927</v>
      </c>
      <c r="R52" s="559">
        <v>68.159203980099591</v>
      </c>
      <c r="S52" s="555">
        <f t="shared" si="33"/>
        <v>9</v>
      </c>
      <c r="T52" s="662"/>
      <c r="U52" s="555">
        <v>18</v>
      </c>
      <c r="V52" s="559">
        <v>1237.5000000000014</v>
      </c>
      <c r="W52" s="559">
        <v>68.750000000000071</v>
      </c>
      <c r="X52" s="555">
        <f t="shared" si="35"/>
        <v>9</v>
      </c>
      <c r="Y52" s="662"/>
      <c r="Z52" s="555">
        <v>18</v>
      </c>
      <c r="AA52" s="559">
        <v>1236.7741935483882</v>
      </c>
      <c r="AB52" s="559">
        <v>68.709677419354904</v>
      </c>
      <c r="AC52" s="555">
        <f t="shared" si="37"/>
        <v>8</v>
      </c>
      <c r="AD52" s="662"/>
      <c r="AE52" s="555">
        <v>18</v>
      </c>
      <c r="AF52" s="559">
        <v>1213.0909090909099</v>
      </c>
      <c r="AG52" s="559">
        <v>67.393939393939434</v>
      </c>
      <c r="AH52" s="555">
        <f t="shared" si="39"/>
        <v>8</v>
      </c>
      <c r="AI52" s="662"/>
      <c r="AJ52" s="555">
        <v>18</v>
      </c>
      <c r="AK52" s="559">
        <v>1235.7894736842115</v>
      </c>
      <c r="AL52" s="559">
        <v>68.654970760233979</v>
      </c>
      <c r="AM52" s="555">
        <f t="shared" si="41"/>
        <v>8</v>
      </c>
      <c r="AN52" s="662"/>
      <c r="AO52" s="555">
        <v>18</v>
      </c>
      <c r="AP52" s="559">
        <v>1249.7142857142844</v>
      </c>
      <c r="AQ52" s="559">
        <v>69.42857142857136</v>
      </c>
      <c r="AR52" s="555">
        <f t="shared" si="43"/>
        <v>8</v>
      </c>
      <c r="AS52" s="662"/>
      <c r="AT52" s="555">
        <v>18</v>
      </c>
      <c r="AU52" s="559">
        <v>1244.7887323943648</v>
      </c>
      <c r="AV52" s="559">
        <v>69.154929577464713</v>
      </c>
      <c r="AW52" s="555">
        <f t="shared" si="45"/>
        <v>9</v>
      </c>
      <c r="AX52" s="662"/>
      <c r="AZ52" s="368" t="e">
        <f t="shared" si="47"/>
        <v>#N/A</v>
      </c>
      <c r="BA52" s="662"/>
    </row>
    <row r="53" spans="2:53">
      <c r="B53" s="660"/>
      <c r="C53" s="379">
        <v>7</v>
      </c>
      <c r="D53" s="225" t="s">
        <v>510</v>
      </c>
      <c r="E53" s="531">
        <v>16</v>
      </c>
      <c r="F53" s="530">
        <v>1440</v>
      </c>
      <c r="G53" s="532">
        <v>90</v>
      </c>
      <c r="H53" s="699"/>
      <c r="I53" s="381">
        <f t="shared" si="30"/>
        <v>16</v>
      </c>
      <c r="J53" s="381">
        <f t="shared" si="31"/>
        <v>1297.7749180260676</v>
      </c>
      <c r="K53" s="199">
        <f t="shared" si="32"/>
        <v>81.110932376629222</v>
      </c>
      <c r="L53" s="634"/>
      <c r="M53" s="417">
        <f>RANK(K53, K$47:$K$61)</f>
        <v>2</v>
      </c>
      <c r="N53" s="652"/>
      <c r="O53" s="652"/>
      <c r="P53" s="555">
        <v>16</v>
      </c>
      <c r="Q53" s="559">
        <v>1282.9999999999993</v>
      </c>
      <c r="R53" s="559">
        <v>80.187499999999957</v>
      </c>
      <c r="S53" s="555">
        <f t="shared" si="33"/>
        <v>2</v>
      </c>
      <c r="T53" s="662"/>
      <c r="U53" s="555">
        <v>16</v>
      </c>
      <c r="V53" s="559">
        <v>1288.0373831775707</v>
      </c>
      <c r="W53" s="559">
        <v>80.502336448598172</v>
      </c>
      <c r="X53" s="555">
        <f t="shared" si="35"/>
        <v>2</v>
      </c>
      <c r="Y53" s="662"/>
      <c r="Z53" s="555">
        <v>16</v>
      </c>
      <c r="AA53" s="559">
        <v>1292.2689075630246</v>
      </c>
      <c r="AB53" s="559">
        <v>80.76680672268904</v>
      </c>
      <c r="AC53" s="555">
        <f t="shared" si="37"/>
        <v>2</v>
      </c>
      <c r="AD53" s="662"/>
      <c r="AE53" s="555">
        <v>16</v>
      </c>
      <c r="AF53" s="559">
        <v>1313.0097087378647</v>
      </c>
      <c r="AG53" s="559">
        <v>82.063106796116543</v>
      </c>
      <c r="AH53" s="555">
        <f t="shared" si="39"/>
        <v>2</v>
      </c>
      <c r="AI53" s="662"/>
      <c r="AJ53" s="555">
        <v>16</v>
      </c>
      <c r="AK53" s="559">
        <v>1301.3445378151255</v>
      </c>
      <c r="AL53" s="559">
        <v>81.334033613445342</v>
      </c>
      <c r="AM53" s="555">
        <f t="shared" si="41"/>
        <v>2</v>
      </c>
      <c r="AN53" s="662"/>
      <c r="AO53" s="555">
        <v>16</v>
      </c>
      <c r="AP53" s="559">
        <v>1284.8888888888889</v>
      </c>
      <c r="AQ53" s="559">
        <v>80.305555555555557</v>
      </c>
      <c r="AR53" s="555">
        <f t="shared" si="43"/>
        <v>2</v>
      </c>
      <c r="AS53" s="662"/>
      <c r="AT53" s="555">
        <v>16</v>
      </c>
      <c r="AU53" s="559">
        <v>1321.8749999999998</v>
      </c>
      <c r="AV53" s="559">
        <v>82.617187499999986</v>
      </c>
      <c r="AW53" s="555">
        <f t="shared" si="45"/>
        <v>2</v>
      </c>
      <c r="AX53" s="662"/>
      <c r="AZ53" s="368" t="e">
        <f t="shared" si="47"/>
        <v>#N/A</v>
      </c>
      <c r="BA53" s="662"/>
    </row>
    <row r="54" spans="2:53">
      <c r="B54" s="660"/>
      <c r="C54" s="379">
        <v>8</v>
      </c>
      <c r="D54" s="225" t="s">
        <v>561</v>
      </c>
      <c r="E54" s="531">
        <v>19</v>
      </c>
      <c r="F54" s="530">
        <v>1636</v>
      </c>
      <c r="G54" s="532">
        <v>86.1</v>
      </c>
      <c r="H54" s="699"/>
      <c r="I54" s="381">
        <f t="shared" si="30"/>
        <v>19</v>
      </c>
      <c r="J54" s="381">
        <f t="shared" si="31"/>
        <v>1409.3778895119581</v>
      </c>
      <c r="K54" s="199">
        <f t="shared" si="32"/>
        <v>74.17778365852412</v>
      </c>
      <c r="L54" s="634"/>
      <c r="M54" s="417">
        <f>RANK(K54, K$47:$K$61)</f>
        <v>5</v>
      </c>
      <c r="N54" s="652"/>
      <c r="O54" s="652"/>
      <c r="P54" s="555">
        <v>19</v>
      </c>
      <c r="Q54" s="559">
        <v>1408.68947368421</v>
      </c>
      <c r="R54" s="559">
        <v>74.141551246537375</v>
      </c>
      <c r="S54" s="555">
        <f t="shared" si="33"/>
        <v>5</v>
      </c>
      <c r="T54" s="662"/>
      <c r="U54" s="555">
        <v>19</v>
      </c>
      <c r="V54" s="559">
        <v>1422.9202453987732</v>
      </c>
      <c r="W54" s="559">
        <v>74.890539231514381</v>
      </c>
      <c r="X54" s="555">
        <f t="shared" si="35"/>
        <v>5</v>
      </c>
      <c r="Y54" s="662"/>
      <c r="Z54" s="555">
        <v>19</v>
      </c>
      <c r="AA54" s="559">
        <v>1415.0886075949368</v>
      </c>
      <c r="AB54" s="559">
        <v>74.478347768154563</v>
      </c>
      <c r="AC54" s="555">
        <f t="shared" si="37"/>
        <v>5</v>
      </c>
      <c r="AD54" s="662"/>
      <c r="AE54" s="555">
        <v>19</v>
      </c>
      <c r="AF54" s="559">
        <v>1403.9999999999995</v>
      </c>
      <c r="AG54" s="559">
        <v>73.894736842105246</v>
      </c>
      <c r="AH54" s="555">
        <f t="shared" si="39"/>
        <v>5</v>
      </c>
      <c r="AI54" s="662"/>
      <c r="AJ54" s="555">
        <v>19</v>
      </c>
      <c r="AK54" s="559">
        <v>1415.0769230769231</v>
      </c>
      <c r="AL54" s="559">
        <v>74.477732793522264</v>
      </c>
      <c r="AM54" s="555">
        <f t="shared" si="41"/>
        <v>5</v>
      </c>
      <c r="AN54" s="662"/>
      <c r="AO54" s="555">
        <v>19</v>
      </c>
      <c r="AP54" s="559">
        <v>1393.1228070175441</v>
      </c>
      <c r="AQ54" s="559">
        <v>73.322253000923368</v>
      </c>
      <c r="AR54" s="555">
        <f t="shared" si="43"/>
        <v>5</v>
      </c>
      <c r="AS54" s="662"/>
      <c r="AT54" s="555">
        <v>19</v>
      </c>
      <c r="AU54" s="559">
        <v>1406.7471698113206</v>
      </c>
      <c r="AV54" s="559">
        <v>74.039324726911616</v>
      </c>
      <c r="AW54" s="555">
        <f t="shared" si="45"/>
        <v>5</v>
      </c>
      <c r="AX54" s="662"/>
      <c r="AZ54" s="368" t="e">
        <f t="shared" si="47"/>
        <v>#N/A</v>
      </c>
      <c r="BA54" s="662"/>
    </row>
    <row r="55" spans="2:53">
      <c r="B55" s="660"/>
      <c r="C55" s="379">
        <v>9</v>
      </c>
      <c r="D55" s="225" t="s">
        <v>588</v>
      </c>
      <c r="E55" s="531">
        <v>16</v>
      </c>
      <c r="F55" s="530">
        <v>1440</v>
      </c>
      <c r="G55" s="532">
        <v>84.7</v>
      </c>
      <c r="H55" s="699"/>
      <c r="I55" s="381">
        <f t="shared" si="30"/>
        <v>15.714285714285714</v>
      </c>
      <c r="J55" s="381">
        <f t="shared" si="31"/>
        <v>1355.995046006142</v>
      </c>
      <c r="K55" s="199">
        <f t="shared" si="32"/>
        <v>86.351203848990394</v>
      </c>
      <c r="L55" s="634"/>
      <c r="M55" s="417">
        <f>RANK(K55, K$47:$K$61)</f>
        <v>1</v>
      </c>
      <c r="N55" s="652"/>
      <c r="O55" s="652"/>
      <c r="P55" s="555">
        <v>16</v>
      </c>
      <c r="Q55" s="559">
        <v>1362.4137931034486</v>
      </c>
      <c r="R55" s="559">
        <v>85.150862068965537</v>
      </c>
      <c r="S55" s="555">
        <f t="shared" si="33"/>
        <v>1</v>
      </c>
      <c r="T55" s="662"/>
      <c r="U55" s="555">
        <v>16</v>
      </c>
      <c r="V55" s="559">
        <v>1338.75</v>
      </c>
      <c r="W55" s="559">
        <v>83.671875</v>
      </c>
      <c r="X55" s="555">
        <f t="shared" si="35"/>
        <v>1</v>
      </c>
      <c r="Y55" s="662"/>
      <c r="Z55" s="555">
        <v>16</v>
      </c>
      <c r="AA55" s="559">
        <v>1342.4999999999995</v>
      </c>
      <c r="AB55" s="559">
        <v>83.906249999999972</v>
      </c>
      <c r="AC55" s="555">
        <f t="shared" si="37"/>
        <v>1</v>
      </c>
      <c r="AD55" s="662"/>
      <c r="AE55" s="555">
        <v>16</v>
      </c>
      <c r="AF55" s="559">
        <v>1370.4545454545455</v>
      </c>
      <c r="AG55" s="559">
        <v>85.653409090909093</v>
      </c>
      <c r="AH55" s="555">
        <f t="shared" si="39"/>
        <v>1</v>
      </c>
      <c r="AI55" s="662"/>
      <c r="AJ55" s="555">
        <v>15</v>
      </c>
      <c r="AK55" s="559">
        <v>1333.3333333333333</v>
      </c>
      <c r="AL55" s="559">
        <v>88.888888888888886</v>
      </c>
      <c r="AM55" s="555">
        <f t="shared" si="41"/>
        <v>1</v>
      </c>
      <c r="AN55" s="662"/>
      <c r="AO55" s="555">
        <v>16</v>
      </c>
      <c r="AP55" s="559">
        <v>1387.3043478260872</v>
      </c>
      <c r="AQ55" s="559">
        <v>86.706521739130451</v>
      </c>
      <c r="AR55" s="555">
        <f t="shared" si="43"/>
        <v>1</v>
      </c>
      <c r="AS55" s="662"/>
      <c r="AT55" s="555">
        <v>15</v>
      </c>
      <c r="AU55" s="559">
        <v>1357.2093023255811</v>
      </c>
      <c r="AV55" s="559">
        <v>90.480620155038736</v>
      </c>
      <c r="AW55" s="555">
        <f t="shared" si="45"/>
        <v>1</v>
      </c>
      <c r="AX55" s="662"/>
      <c r="AZ55" s="368" t="e">
        <f t="shared" si="47"/>
        <v>#N/A</v>
      </c>
      <c r="BA55" s="662"/>
    </row>
    <row r="56" spans="2:53">
      <c r="B56" s="660"/>
      <c r="C56" s="379">
        <v>10</v>
      </c>
      <c r="D56" s="225" t="s">
        <v>699</v>
      </c>
      <c r="E56" s="531">
        <v>18</v>
      </c>
      <c r="F56" s="530">
        <v>1440</v>
      </c>
      <c r="G56" s="532">
        <v>80</v>
      </c>
      <c r="H56" s="699"/>
      <c r="I56" s="381">
        <f t="shared" si="30"/>
        <v>18</v>
      </c>
      <c r="J56" s="381">
        <f t="shared" si="31"/>
        <v>1216.916802879937</v>
      </c>
      <c r="K56" s="199">
        <f t="shared" si="32"/>
        <v>67.606489048885379</v>
      </c>
      <c r="L56" s="634"/>
      <c r="M56" s="417">
        <f>RANK(K56, K$47:$K$61)</f>
        <v>9</v>
      </c>
      <c r="N56" s="652"/>
      <c r="O56" s="652"/>
      <c r="P56" s="555">
        <v>18</v>
      </c>
      <c r="Q56" s="559">
        <v>1253.5135135135126</v>
      </c>
      <c r="R56" s="559">
        <v>69.639639639639597</v>
      </c>
      <c r="S56" s="555">
        <f t="shared" si="33"/>
        <v>7</v>
      </c>
      <c r="T56" s="662"/>
      <c r="U56" s="555">
        <v>18</v>
      </c>
      <c r="V56" s="559">
        <v>1290.0000000000018</v>
      </c>
      <c r="W56" s="559">
        <v>71.666666666666771</v>
      </c>
      <c r="X56" s="555">
        <f t="shared" si="35"/>
        <v>7</v>
      </c>
      <c r="Y56" s="662"/>
      <c r="Z56" s="555">
        <v>18</v>
      </c>
      <c r="AA56" s="559">
        <v>1267.7419354838721</v>
      </c>
      <c r="AB56" s="559">
        <v>70.430107526881784</v>
      </c>
      <c r="AC56" s="555">
        <f t="shared" si="37"/>
        <v>7</v>
      </c>
      <c r="AD56" s="662"/>
      <c r="AE56" s="555">
        <v>18</v>
      </c>
      <c r="AF56" s="559">
        <v>1093.8461538461545</v>
      </c>
      <c r="AG56" s="559">
        <v>60.769230769230802</v>
      </c>
      <c r="AH56" s="555">
        <f t="shared" si="39"/>
        <v>10</v>
      </c>
      <c r="AI56" s="662"/>
      <c r="AJ56" s="555">
        <v>18</v>
      </c>
      <c r="AK56" s="559">
        <v>1074.2857142857138</v>
      </c>
      <c r="AL56" s="559">
        <v>59.682539682539655</v>
      </c>
      <c r="AM56" s="555">
        <f t="shared" si="41"/>
        <v>10</v>
      </c>
      <c r="AN56" s="662"/>
      <c r="AO56" s="555">
        <v>18</v>
      </c>
      <c r="AP56" s="559">
        <v>1256.3636363636379</v>
      </c>
      <c r="AQ56" s="559">
        <v>69.797979797979878</v>
      </c>
      <c r="AR56" s="555">
        <f t="shared" si="43"/>
        <v>7</v>
      </c>
      <c r="AS56" s="662"/>
      <c r="AT56" s="555">
        <v>18</v>
      </c>
      <c r="AU56" s="559">
        <v>1282.6666666666665</v>
      </c>
      <c r="AV56" s="559">
        <v>71.259259259259252</v>
      </c>
      <c r="AW56" s="555">
        <f t="shared" si="45"/>
        <v>7</v>
      </c>
      <c r="AX56" s="662"/>
      <c r="AZ56" s="368" t="e">
        <f t="shared" si="47"/>
        <v>#N/A</v>
      </c>
      <c r="BA56" s="662"/>
    </row>
    <row r="57" spans="2:53">
      <c r="B57" s="660"/>
      <c r="C57" s="379">
        <v>11</v>
      </c>
      <c r="D57" s="225"/>
      <c r="E57" s="531"/>
      <c r="F57" s="530"/>
      <c r="G57" s="532"/>
      <c r="H57" s="699"/>
      <c r="I57" s="381" t="str">
        <f t="shared" si="30"/>
        <v>-</v>
      </c>
      <c r="J57" s="381" t="str">
        <f t="shared" si="31"/>
        <v>-</v>
      </c>
      <c r="K57" s="199" t="str">
        <f t="shared" si="32"/>
        <v>-</v>
      </c>
      <c r="L57" s="634"/>
      <c r="M57" s="417" t="e">
        <f>RANK(K57, K$47:$K$61)</f>
        <v>#VALUE!</v>
      </c>
      <c r="N57" s="652"/>
      <c r="O57" s="652"/>
      <c r="P57" s="555" t="s">
        <v>585</v>
      </c>
      <c r="Q57" s="559" t="s">
        <v>585</v>
      </c>
      <c r="R57" s="559" t="s">
        <v>585</v>
      </c>
      <c r="S57" s="555" t="e">
        <f t="shared" si="33"/>
        <v>#VALUE!</v>
      </c>
      <c r="T57" s="662"/>
      <c r="U57" s="555" t="s">
        <v>585</v>
      </c>
      <c r="V57" s="559" t="s">
        <v>585</v>
      </c>
      <c r="W57" s="559" t="s">
        <v>585</v>
      </c>
      <c r="X57" s="555" t="e">
        <f t="shared" si="35"/>
        <v>#VALUE!</v>
      </c>
      <c r="Y57" s="662"/>
      <c r="Z57" s="555" t="s">
        <v>585</v>
      </c>
      <c r="AA57" s="559" t="s">
        <v>585</v>
      </c>
      <c r="AB57" s="559" t="s">
        <v>585</v>
      </c>
      <c r="AC57" s="555" t="e">
        <f t="shared" si="37"/>
        <v>#VALUE!</v>
      </c>
      <c r="AD57" s="662"/>
      <c r="AE57" s="555" t="s">
        <v>585</v>
      </c>
      <c r="AF57" s="559" t="s">
        <v>585</v>
      </c>
      <c r="AG57" s="559" t="s">
        <v>585</v>
      </c>
      <c r="AH57" s="555" t="e">
        <f t="shared" si="39"/>
        <v>#VALUE!</v>
      </c>
      <c r="AI57" s="662"/>
      <c r="AJ57" s="555" t="s">
        <v>585</v>
      </c>
      <c r="AK57" s="559" t="s">
        <v>585</v>
      </c>
      <c r="AL57" s="559" t="s">
        <v>585</v>
      </c>
      <c r="AM57" s="555" t="e">
        <f t="shared" si="41"/>
        <v>#VALUE!</v>
      </c>
      <c r="AN57" s="662"/>
      <c r="AO57" s="555" t="s">
        <v>585</v>
      </c>
      <c r="AP57" s="559" t="s">
        <v>585</v>
      </c>
      <c r="AQ57" s="559" t="s">
        <v>585</v>
      </c>
      <c r="AR57" s="555" t="e">
        <f t="shared" si="43"/>
        <v>#VALUE!</v>
      </c>
      <c r="AS57" s="662"/>
      <c r="AT57" s="555" t="s">
        <v>585</v>
      </c>
      <c r="AU57" s="559" t="s">
        <v>585</v>
      </c>
      <c r="AV57" s="559" t="s">
        <v>585</v>
      </c>
      <c r="AW57" s="555" t="e">
        <f t="shared" si="45"/>
        <v>#VALUE!</v>
      </c>
      <c r="AX57" s="662"/>
      <c r="AZ57" s="368" t="e">
        <f t="shared" si="47"/>
        <v>#N/A</v>
      </c>
      <c r="BA57" s="662"/>
    </row>
    <row r="58" spans="2:53">
      <c r="B58" s="660"/>
      <c r="C58" s="379">
        <v>12</v>
      </c>
      <c r="D58" s="225"/>
      <c r="E58" s="531"/>
      <c r="F58" s="530"/>
      <c r="G58" s="532"/>
      <c r="H58" s="699"/>
      <c r="I58" s="381" t="str">
        <f t="shared" si="30"/>
        <v>-</v>
      </c>
      <c r="J58" s="381" t="str">
        <f t="shared" si="31"/>
        <v>-</v>
      </c>
      <c r="K58" s="199" t="str">
        <f t="shared" si="32"/>
        <v>-</v>
      </c>
      <c r="L58" s="634"/>
      <c r="M58" s="417" t="e">
        <f>RANK(K58, K$47:$K$61)</f>
        <v>#VALUE!</v>
      </c>
      <c r="N58" s="652"/>
      <c r="O58" s="652"/>
      <c r="P58" s="555" t="s">
        <v>585</v>
      </c>
      <c r="Q58" s="559" t="s">
        <v>585</v>
      </c>
      <c r="R58" s="559" t="s">
        <v>585</v>
      </c>
      <c r="S58" s="555" t="e">
        <f t="shared" si="33"/>
        <v>#VALUE!</v>
      </c>
      <c r="T58" s="662"/>
      <c r="U58" s="555" t="s">
        <v>585</v>
      </c>
      <c r="V58" s="559" t="s">
        <v>585</v>
      </c>
      <c r="W58" s="559" t="s">
        <v>585</v>
      </c>
      <c r="X58" s="555" t="e">
        <f t="shared" si="35"/>
        <v>#VALUE!</v>
      </c>
      <c r="Y58" s="662"/>
      <c r="Z58" s="555" t="s">
        <v>585</v>
      </c>
      <c r="AA58" s="559" t="s">
        <v>585</v>
      </c>
      <c r="AB58" s="559" t="s">
        <v>585</v>
      </c>
      <c r="AC58" s="555" t="e">
        <f t="shared" si="37"/>
        <v>#VALUE!</v>
      </c>
      <c r="AD58" s="662"/>
      <c r="AE58" s="555" t="s">
        <v>585</v>
      </c>
      <c r="AF58" s="559" t="s">
        <v>585</v>
      </c>
      <c r="AG58" s="559" t="s">
        <v>585</v>
      </c>
      <c r="AH58" s="555" t="e">
        <f t="shared" si="39"/>
        <v>#VALUE!</v>
      </c>
      <c r="AI58" s="662"/>
      <c r="AJ58" s="555" t="s">
        <v>585</v>
      </c>
      <c r="AK58" s="559" t="s">
        <v>585</v>
      </c>
      <c r="AL58" s="559" t="s">
        <v>585</v>
      </c>
      <c r="AM58" s="555" t="e">
        <f t="shared" si="41"/>
        <v>#VALUE!</v>
      </c>
      <c r="AN58" s="662"/>
      <c r="AO58" s="555" t="s">
        <v>585</v>
      </c>
      <c r="AP58" s="559" t="s">
        <v>585</v>
      </c>
      <c r="AQ58" s="559" t="s">
        <v>585</v>
      </c>
      <c r="AR58" s="555" t="e">
        <f t="shared" si="43"/>
        <v>#VALUE!</v>
      </c>
      <c r="AS58" s="662"/>
      <c r="AT58" s="555" t="s">
        <v>585</v>
      </c>
      <c r="AU58" s="559" t="s">
        <v>585</v>
      </c>
      <c r="AV58" s="559" t="s">
        <v>585</v>
      </c>
      <c r="AW58" s="555" t="e">
        <f t="shared" si="45"/>
        <v>#VALUE!</v>
      </c>
      <c r="AX58" s="662"/>
      <c r="AZ58" s="368" t="e">
        <f t="shared" si="47"/>
        <v>#N/A</v>
      </c>
      <c r="BA58" s="662"/>
    </row>
    <row r="59" spans="2:53">
      <c r="B59" s="660"/>
      <c r="C59" s="379">
        <v>13</v>
      </c>
      <c r="D59" s="225"/>
      <c r="E59" s="531"/>
      <c r="F59" s="530"/>
      <c r="G59" s="532"/>
      <c r="H59" s="699"/>
      <c r="I59" s="381" t="str">
        <f t="shared" si="30"/>
        <v>-</v>
      </c>
      <c r="J59" s="381" t="str">
        <f t="shared" si="31"/>
        <v>-</v>
      </c>
      <c r="K59" s="199" t="str">
        <f t="shared" si="32"/>
        <v>-</v>
      </c>
      <c r="L59" s="634"/>
      <c r="M59" s="417" t="e">
        <f>RANK(K59, K$47:$K$61)</f>
        <v>#VALUE!</v>
      </c>
      <c r="N59" s="652"/>
      <c r="O59" s="652"/>
      <c r="P59" s="555" t="s">
        <v>585</v>
      </c>
      <c r="Q59" s="559" t="s">
        <v>585</v>
      </c>
      <c r="R59" s="559" t="s">
        <v>585</v>
      </c>
      <c r="S59" s="555" t="e">
        <f t="shared" si="33"/>
        <v>#VALUE!</v>
      </c>
      <c r="T59" s="662"/>
      <c r="U59" s="555" t="s">
        <v>585</v>
      </c>
      <c r="V59" s="559" t="s">
        <v>585</v>
      </c>
      <c r="W59" s="559" t="s">
        <v>585</v>
      </c>
      <c r="X59" s="555" t="e">
        <f t="shared" si="35"/>
        <v>#VALUE!</v>
      </c>
      <c r="Y59" s="662"/>
      <c r="Z59" s="555" t="s">
        <v>585</v>
      </c>
      <c r="AA59" s="559" t="s">
        <v>585</v>
      </c>
      <c r="AB59" s="559" t="s">
        <v>585</v>
      </c>
      <c r="AC59" s="555" t="e">
        <f t="shared" si="37"/>
        <v>#VALUE!</v>
      </c>
      <c r="AD59" s="662"/>
      <c r="AE59" s="555" t="s">
        <v>585</v>
      </c>
      <c r="AF59" s="559" t="s">
        <v>585</v>
      </c>
      <c r="AG59" s="559" t="s">
        <v>585</v>
      </c>
      <c r="AH59" s="555" t="e">
        <f t="shared" si="39"/>
        <v>#VALUE!</v>
      </c>
      <c r="AI59" s="662"/>
      <c r="AJ59" s="555" t="s">
        <v>585</v>
      </c>
      <c r="AK59" s="559" t="s">
        <v>585</v>
      </c>
      <c r="AL59" s="559" t="s">
        <v>585</v>
      </c>
      <c r="AM59" s="555" t="e">
        <f t="shared" si="41"/>
        <v>#VALUE!</v>
      </c>
      <c r="AN59" s="662"/>
      <c r="AO59" s="555" t="s">
        <v>585</v>
      </c>
      <c r="AP59" s="559" t="s">
        <v>585</v>
      </c>
      <c r="AQ59" s="559" t="s">
        <v>585</v>
      </c>
      <c r="AR59" s="555" t="e">
        <f t="shared" si="43"/>
        <v>#VALUE!</v>
      </c>
      <c r="AS59" s="662"/>
      <c r="AT59" s="555" t="s">
        <v>585</v>
      </c>
      <c r="AU59" s="559" t="s">
        <v>585</v>
      </c>
      <c r="AV59" s="559" t="s">
        <v>585</v>
      </c>
      <c r="AW59" s="555" t="e">
        <f t="shared" si="45"/>
        <v>#VALUE!</v>
      </c>
      <c r="AX59" s="662"/>
      <c r="AZ59" s="368" t="e">
        <f t="shared" si="47"/>
        <v>#N/A</v>
      </c>
      <c r="BA59" s="662"/>
    </row>
    <row r="60" spans="2:53">
      <c r="B60" s="660"/>
      <c r="C60" s="379">
        <v>14</v>
      </c>
      <c r="D60" s="225"/>
      <c r="E60" s="531"/>
      <c r="F60" s="530"/>
      <c r="G60" s="532"/>
      <c r="H60" s="699"/>
      <c r="I60" s="381" t="str">
        <f t="shared" si="30"/>
        <v>-</v>
      </c>
      <c r="J60" s="381" t="str">
        <f t="shared" si="31"/>
        <v>-</v>
      </c>
      <c r="K60" s="199" t="str">
        <f t="shared" si="32"/>
        <v>-</v>
      </c>
      <c r="L60" s="634"/>
      <c r="M60" s="417" t="e">
        <f>RANK(K60, K$47:$K$61)</f>
        <v>#VALUE!</v>
      </c>
      <c r="N60" s="652"/>
      <c r="O60" s="652"/>
      <c r="P60" s="555" t="s">
        <v>585</v>
      </c>
      <c r="Q60" s="559" t="s">
        <v>585</v>
      </c>
      <c r="R60" s="559" t="s">
        <v>585</v>
      </c>
      <c r="S60" s="555" t="e">
        <f t="shared" si="33"/>
        <v>#VALUE!</v>
      </c>
      <c r="T60" s="662"/>
      <c r="U60" s="555" t="s">
        <v>585</v>
      </c>
      <c r="V60" s="559" t="s">
        <v>585</v>
      </c>
      <c r="W60" s="559" t="s">
        <v>585</v>
      </c>
      <c r="X60" s="555" t="e">
        <f t="shared" si="35"/>
        <v>#VALUE!</v>
      </c>
      <c r="Y60" s="662"/>
      <c r="Z60" s="555" t="s">
        <v>585</v>
      </c>
      <c r="AA60" s="559" t="s">
        <v>585</v>
      </c>
      <c r="AB60" s="559" t="s">
        <v>585</v>
      </c>
      <c r="AC60" s="555" t="e">
        <f t="shared" si="37"/>
        <v>#VALUE!</v>
      </c>
      <c r="AD60" s="662"/>
      <c r="AE60" s="555" t="s">
        <v>585</v>
      </c>
      <c r="AF60" s="559" t="s">
        <v>585</v>
      </c>
      <c r="AG60" s="559" t="s">
        <v>585</v>
      </c>
      <c r="AH60" s="555" t="e">
        <f t="shared" si="39"/>
        <v>#VALUE!</v>
      </c>
      <c r="AI60" s="662"/>
      <c r="AJ60" s="555" t="s">
        <v>585</v>
      </c>
      <c r="AK60" s="559" t="s">
        <v>585</v>
      </c>
      <c r="AL60" s="559" t="s">
        <v>585</v>
      </c>
      <c r="AM60" s="555" t="e">
        <f t="shared" si="41"/>
        <v>#VALUE!</v>
      </c>
      <c r="AN60" s="662"/>
      <c r="AO60" s="555" t="s">
        <v>585</v>
      </c>
      <c r="AP60" s="559" t="s">
        <v>585</v>
      </c>
      <c r="AQ60" s="559" t="s">
        <v>585</v>
      </c>
      <c r="AR60" s="555" t="e">
        <f t="shared" si="43"/>
        <v>#VALUE!</v>
      </c>
      <c r="AS60" s="662"/>
      <c r="AT60" s="555" t="s">
        <v>585</v>
      </c>
      <c r="AU60" s="559" t="s">
        <v>585</v>
      </c>
      <c r="AV60" s="559" t="s">
        <v>585</v>
      </c>
      <c r="AW60" s="555" t="e">
        <f t="shared" si="45"/>
        <v>#VALUE!</v>
      </c>
      <c r="AX60" s="662"/>
      <c r="AZ60" s="368" t="e">
        <f t="shared" si="47"/>
        <v>#N/A</v>
      </c>
      <c r="BA60" s="662"/>
    </row>
    <row r="61" spans="2:53">
      <c r="B61" s="660"/>
      <c r="C61" s="379">
        <v>15</v>
      </c>
      <c r="D61" s="225"/>
      <c r="E61" s="531"/>
      <c r="F61" s="530"/>
      <c r="G61" s="532"/>
      <c r="H61" s="700"/>
      <c r="I61" s="419" t="str">
        <f t="shared" ref="I61" si="49">IFERROR(AVERAGE(P61,U61,Z61,AE61,AJ61,AO61,AT61),"-")</f>
        <v>-</v>
      </c>
      <c r="J61" s="419" t="str">
        <f t="shared" ref="J61" si="50">IFERROR(AVERAGE(Q61,V61,AA61,AF61,AK61,AP61,AU61),"-")</f>
        <v>-</v>
      </c>
      <c r="K61" s="199" t="str">
        <f t="shared" ref="K61" si="51">IFERROR(AVERAGE(R61,W61,AB61,AG61,AL61,AQ61,AV61),"-")</f>
        <v>-</v>
      </c>
      <c r="L61" s="635"/>
      <c r="M61" s="417" t="e">
        <f>RANK(K61, K$47:$K$61)</f>
        <v>#VALUE!</v>
      </c>
      <c r="N61" s="652"/>
      <c r="O61" s="652"/>
      <c r="P61" s="555" t="s">
        <v>585</v>
      </c>
      <c r="Q61" s="559" t="s">
        <v>585</v>
      </c>
      <c r="R61" s="559" t="s">
        <v>585</v>
      </c>
      <c r="S61" s="555" t="e">
        <f t="shared" si="33"/>
        <v>#VALUE!</v>
      </c>
      <c r="T61" s="663"/>
      <c r="U61" s="555" t="s">
        <v>585</v>
      </c>
      <c r="V61" s="559" t="s">
        <v>585</v>
      </c>
      <c r="W61" s="559" t="s">
        <v>585</v>
      </c>
      <c r="X61" s="555" t="e">
        <f t="shared" si="35"/>
        <v>#VALUE!</v>
      </c>
      <c r="Y61" s="663"/>
      <c r="Z61" s="555" t="s">
        <v>585</v>
      </c>
      <c r="AA61" s="559" t="s">
        <v>585</v>
      </c>
      <c r="AB61" s="559" t="s">
        <v>585</v>
      </c>
      <c r="AC61" s="555" t="e">
        <f t="shared" si="37"/>
        <v>#VALUE!</v>
      </c>
      <c r="AD61" s="663"/>
      <c r="AE61" s="555" t="s">
        <v>585</v>
      </c>
      <c r="AF61" s="559" t="s">
        <v>585</v>
      </c>
      <c r="AG61" s="559" t="s">
        <v>585</v>
      </c>
      <c r="AH61" s="555" t="e">
        <f t="shared" si="39"/>
        <v>#VALUE!</v>
      </c>
      <c r="AI61" s="663"/>
      <c r="AJ61" s="555" t="s">
        <v>585</v>
      </c>
      <c r="AK61" s="559" t="s">
        <v>585</v>
      </c>
      <c r="AL61" s="559" t="s">
        <v>585</v>
      </c>
      <c r="AM61" s="555" t="e">
        <f t="shared" si="41"/>
        <v>#VALUE!</v>
      </c>
      <c r="AN61" s="663"/>
      <c r="AO61" s="555" t="s">
        <v>585</v>
      </c>
      <c r="AP61" s="559" t="s">
        <v>585</v>
      </c>
      <c r="AQ61" s="559" t="s">
        <v>585</v>
      </c>
      <c r="AR61" s="555" t="e">
        <f t="shared" si="43"/>
        <v>#VALUE!</v>
      </c>
      <c r="AS61" s="663"/>
      <c r="AT61" s="555" t="s">
        <v>585</v>
      </c>
      <c r="AU61" s="559" t="s">
        <v>585</v>
      </c>
      <c r="AV61" s="559" t="s">
        <v>585</v>
      </c>
      <c r="AW61" s="555" t="e">
        <f t="shared" si="45"/>
        <v>#VALUE!</v>
      </c>
      <c r="AX61" s="663"/>
      <c r="AZ61" s="368" t="e">
        <f t="shared" si="47"/>
        <v>#N/A</v>
      </c>
      <c r="BA61" s="663"/>
    </row>
    <row r="62" spans="2:53" ht="15.75">
      <c r="B62" s="664" t="s">
        <v>162</v>
      </c>
      <c r="C62" s="665"/>
      <c r="D62" s="665"/>
      <c r="E62" s="665"/>
      <c r="F62" s="665"/>
      <c r="G62" s="665"/>
      <c r="H62" s="666"/>
      <c r="I62" s="207"/>
      <c r="J62" s="207"/>
      <c r="K62" s="207"/>
      <c r="L62" s="207"/>
      <c r="M62" s="206"/>
      <c r="N62" s="653" t="s">
        <v>156</v>
      </c>
      <c r="O62" s="653" t="s">
        <v>105</v>
      </c>
      <c r="P62" s="659">
        <f>P42+7</f>
        <v>46252</v>
      </c>
      <c r="Q62" s="660"/>
      <c r="R62" s="660"/>
      <c r="S62" s="660"/>
      <c r="T62" s="660"/>
      <c r="U62" s="656">
        <f>P62+1</f>
        <v>46253</v>
      </c>
      <c r="V62" s="657"/>
      <c r="W62" s="657"/>
      <c r="X62" s="657"/>
      <c r="Y62" s="658"/>
      <c r="Z62" s="656">
        <f>U62+1</f>
        <v>46254</v>
      </c>
      <c r="AA62" s="657"/>
      <c r="AB62" s="657"/>
      <c r="AC62" s="657"/>
      <c r="AD62" s="658"/>
      <c r="AE62" s="656">
        <f>Z62+1</f>
        <v>46255</v>
      </c>
      <c r="AF62" s="657"/>
      <c r="AG62" s="657"/>
      <c r="AH62" s="657"/>
      <c r="AI62" s="658"/>
      <c r="AJ62" s="656">
        <f>AE62+1</f>
        <v>46256</v>
      </c>
      <c r="AK62" s="657"/>
      <c r="AL62" s="657"/>
      <c r="AM62" s="657"/>
      <c r="AN62" s="658"/>
      <c r="AO62" s="656">
        <f>AJ62+1</f>
        <v>46257</v>
      </c>
      <c r="AP62" s="657"/>
      <c r="AQ62" s="657"/>
      <c r="AR62" s="657"/>
      <c r="AS62" s="658"/>
      <c r="AT62" s="656">
        <f>AO62+1</f>
        <v>46258</v>
      </c>
      <c r="AU62" s="657"/>
      <c r="AV62" s="657"/>
      <c r="AW62" s="657"/>
      <c r="AX62" s="658"/>
    </row>
    <row r="63" spans="2:53" ht="15.75">
      <c r="B63" s="667"/>
      <c r="C63" s="667"/>
      <c r="D63" s="667"/>
      <c r="E63" s="667"/>
      <c r="F63" s="667"/>
      <c r="G63" s="667"/>
      <c r="H63" s="667"/>
      <c r="I63" s="204"/>
      <c r="J63" s="204"/>
      <c r="K63" s="204"/>
      <c r="L63" s="204"/>
      <c r="M63" s="205"/>
      <c r="N63" s="655"/>
      <c r="O63" s="655"/>
      <c r="P63" s="659" t="s">
        <v>317</v>
      </c>
      <c r="Q63" s="660"/>
      <c r="R63" s="660"/>
      <c r="S63" s="660"/>
      <c r="T63" s="660"/>
      <c r="U63" s="659" t="s">
        <v>318</v>
      </c>
      <c r="V63" s="660"/>
      <c r="W63" s="660"/>
      <c r="X63" s="660"/>
      <c r="Y63" s="660"/>
      <c r="Z63" s="659" t="s">
        <v>319</v>
      </c>
      <c r="AA63" s="660"/>
      <c r="AB63" s="660"/>
      <c r="AC63" s="660"/>
      <c r="AD63" s="660"/>
      <c r="AE63" s="659" t="s">
        <v>320</v>
      </c>
      <c r="AF63" s="660"/>
      <c r="AG63" s="660"/>
      <c r="AH63" s="660"/>
      <c r="AI63" s="660"/>
      <c r="AJ63" s="659" t="s">
        <v>321</v>
      </c>
      <c r="AK63" s="660"/>
      <c r="AL63" s="660"/>
      <c r="AM63" s="660"/>
      <c r="AN63" s="660"/>
      <c r="AO63" s="659" t="s">
        <v>322</v>
      </c>
      <c r="AP63" s="660"/>
      <c r="AQ63" s="660"/>
      <c r="AR63" s="660"/>
      <c r="AS63" s="660"/>
      <c r="AT63" s="659" t="s">
        <v>323</v>
      </c>
      <c r="AU63" s="660"/>
      <c r="AV63" s="660"/>
      <c r="AW63" s="660"/>
      <c r="AX63" s="660"/>
    </row>
    <row r="64" spans="2:53">
      <c r="B64" s="652" t="s">
        <v>369</v>
      </c>
      <c r="C64" s="652" t="s">
        <v>379</v>
      </c>
      <c r="D64" s="652"/>
      <c r="E64" s="652" t="s">
        <v>370</v>
      </c>
      <c r="F64" s="652"/>
      <c r="G64" s="652"/>
      <c r="H64" s="668" t="s">
        <v>366</v>
      </c>
      <c r="I64" s="636" t="s">
        <v>371</v>
      </c>
      <c r="J64" s="636"/>
      <c r="K64" s="636"/>
      <c r="L64" s="637" t="s">
        <v>366</v>
      </c>
      <c r="M64" s="643" t="s">
        <v>367</v>
      </c>
      <c r="N64" s="652"/>
      <c r="O64" s="652" t="s">
        <v>372</v>
      </c>
      <c r="P64" s="649" t="s">
        <v>368</v>
      </c>
      <c r="Q64" s="650"/>
      <c r="R64" s="650"/>
      <c r="S64" s="651"/>
      <c r="T64" s="652" t="s">
        <v>366</v>
      </c>
      <c r="U64" s="649" t="s">
        <v>368</v>
      </c>
      <c r="V64" s="650"/>
      <c r="W64" s="650"/>
      <c r="X64" s="651"/>
      <c r="Y64" s="652" t="s">
        <v>366</v>
      </c>
      <c r="Z64" s="649" t="s">
        <v>368</v>
      </c>
      <c r="AA64" s="650"/>
      <c r="AB64" s="650"/>
      <c r="AC64" s="651"/>
      <c r="AD64" s="652" t="s">
        <v>366</v>
      </c>
      <c r="AE64" s="649" t="s">
        <v>368</v>
      </c>
      <c r="AF64" s="650"/>
      <c r="AG64" s="650"/>
      <c r="AH64" s="651"/>
      <c r="AI64" s="652" t="s">
        <v>366</v>
      </c>
      <c r="AJ64" s="649" t="s">
        <v>368</v>
      </c>
      <c r="AK64" s="650"/>
      <c r="AL64" s="650"/>
      <c r="AM64" s="651"/>
      <c r="AN64" s="652" t="s">
        <v>366</v>
      </c>
      <c r="AO64" s="649" t="s">
        <v>368</v>
      </c>
      <c r="AP64" s="650"/>
      <c r="AQ64" s="650"/>
      <c r="AR64" s="651"/>
      <c r="AS64" s="652" t="s">
        <v>366</v>
      </c>
      <c r="AT64" s="649" t="s">
        <v>368</v>
      </c>
      <c r="AU64" s="650"/>
      <c r="AV64" s="650"/>
      <c r="AW64" s="651"/>
      <c r="AX64" s="652" t="s">
        <v>366</v>
      </c>
      <c r="BA64" s="652" t="s">
        <v>366</v>
      </c>
    </row>
    <row r="65" spans="2:53">
      <c r="B65" s="652"/>
      <c r="C65" s="652"/>
      <c r="D65" s="652"/>
      <c r="E65" s="652" t="s">
        <v>373</v>
      </c>
      <c r="F65" s="652"/>
      <c r="G65" s="652"/>
      <c r="H65" s="669"/>
      <c r="I65" s="636" t="s">
        <v>373</v>
      </c>
      <c r="J65" s="636"/>
      <c r="K65" s="636"/>
      <c r="L65" s="638"/>
      <c r="M65" s="644"/>
      <c r="N65" s="652"/>
      <c r="O65" s="652"/>
      <c r="P65" s="649" t="s">
        <v>374</v>
      </c>
      <c r="Q65" s="650"/>
      <c r="R65" s="650"/>
      <c r="S65" s="651"/>
      <c r="T65" s="652"/>
      <c r="U65" s="649" t="s">
        <v>374</v>
      </c>
      <c r="V65" s="650"/>
      <c r="W65" s="650"/>
      <c r="X65" s="651"/>
      <c r="Y65" s="652"/>
      <c r="Z65" s="649" t="s">
        <v>374</v>
      </c>
      <c r="AA65" s="650"/>
      <c r="AB65" s="650"/>
      <c r="AC65" s="651"/>
      <c r="AD65" s="652"/>
      <c r="AE65" s="649" t="s">
        <v>374</v>
      </c>
      <c r="AF65" s="650"/>
      <c r="AG65" s="650"/>
      <c r="AH65" s="651"/>
      <c r="AI65" s="652"/>
      <c r="AJ65" s="649" t="s">
        <v>374</v>
      </c>
      <c r="AK65" s="650"/>
      <c r="AL65" s="650"/>
      <c r="AM65" s="651"/>
      <c r="AN65" s="652"/>
      <c r="AO65" s="649" t="s">
        <v>374</v>
      </c>
      <c r="AP65" s="650"/>
      <c r="AQ65" s="650"/>
      <c r="AR65" s="651"/>
      <c r="AS65" s="652"/>
      <c r="AT65" s="649" t="s">
        <v>374</v>
      </c>
      <c r="AU65" s="650"/>
      <c r="AV65" s="650"/>
      <c r="AW65" s="651"/>
      <c r="AX65" s="652"/>
      <c r="BA65" s="652"/>
    </row>
    <row r="66" spans="2:53">
      <c r="B66" s="652"/>
      <c r="C66" s="652"/>
      <c r="D66" s="652"/>
      <c r="E66" s="378" t="s">
        <v>375</v>
      </c>
      <c r="F66" s="378" t="s">
        <v>376</v>
      </c>
      <c r="G66" s="378" t="s">
        <v>377</v>
      </c>
      <c r="H66" s="670"/>
      <c r="I66" s="377" t="s">
        <v>375</v>
      </c>
      <c r="J66" s="377" t="s">
        <v>376</v>
      </c>
      <c r="K66" s="377" t="s">
        <v>377</v>
      </c>
      <c r="L66" s="639"/>
      <c r="M66" s="645"/>
      <c r="N66" s="652"/>
      <c r="O66" s="652"/>
      <c r="P66" s="378" t="s">
        <v>375</v>
      </c>
      <c r="Q66" s="378" t="s">
        <v>376</v>
      </c>
      <c r="R66" s="378" t="s">
        <v>377</v>
      </c>
      <c r="S66" s="378" t="s">
        <v>367</v>
      </c>
      <c r="T66" s="652"/>
      <c r="U66" s="378" t="s">
        <v>375</v>
      </c>
      <c r="V66" s="378" t="s">
        <v>376</v>
      </c>
      <c r="W66" s="378" t="s">
        <v>377</v>
      </c>
      <c r="X66" s="378" t="s">
        <v>367</v>
      </c>
      <c r="Y66" s="652"/>
      <c r="Z66" s="378" t="s">
        <v>375</v>
      </c>
      <c r="AA66" s="378" t="s">
        <v>376</v>
      </c>
      <c r="AB66" s="378" t="s">
        <v>377</v>
      </c>
      <c r="AC66" s="378" t="s">
        <v>367</v>
      </c>
      <c r="AD66" s="652"/>
      <c r="AE66" s="378" t="s">
        <v>375</v>
      </c>
      <c r="AF66" s="378" t="s">
        <v>376</v>
      </c>
      <c r="AG66" s="378" t="s">
        <v>377</v>
      </c>
      <c r="AH66" s="378" t="s">
        <v>367</v>
      </c>
      <c r="AI66" s="652"/>
      <c r="AJ66" s="378" t="s">
        <v>375</v>
      </c>
      <c r="AK66" s="378" t="s">
        <v>376</v>
      </c>
      <c r="AL66" s="378" t="s">
        <v>377</v>
      </c>
      <c r="AM66" s="378" t="s">
        <v>367</v>
      </c>
      <c r="AN66" s="652"/>
      <c r="AO66" s="378" t="s">
        <v>375</v>
      </c>
      <c r="AP66" s="378" t="s">
        <v>376</v>
      </c>
      <c r="AQ66" s="378" t="s">
        <v>377</v>
      </c>
      <c r="AR66" s="378" t="s">
        <v>367</v>
      </c>
      <c r="AS66" s="652"/>
      <c r="AT66" s="378" t="s">
        <v>375</v>
      </c>
      <c r="AU66" s="378" t="s">
        <v>376</v>
      </c>
      <c r="AV66" s="378" t="s">
        <v>377</v>
      </c>
      <c r="AW66" s="378" t="s">
        <v>367</v>
      </c>
      <c r="AX66" s="652"/>
      <c r="AZ66" s="367" t="s">
        <v>367</v>
      </c>
      <c r="BA66" s="652"/>
    </row>
    <row r="67" spans="2:53">
      <c r="B67" s="652" t="s">
        <v>387</v>
      </c>
      <c r="C67" s="379">
        <v>1</v>
      </c>
      <c r="D67" s="225" t="s">
        <v>604</v>
      </c>
      <c r="E67" s="531">
        <v>17</v>
      </c>
      <c r="F67" s="530">
        <v>1440</v>
      </c>
      <c r="G67" s="532">
        <v>84.7</v>
      </c>
      <c r="H67" s="698">
        <f>AVERAGE(G67:G81)</f>
        <v>79.245394736842115</v>
      </c>
      <c r="I67" s="381">
        <f t="shared" ref="I67:I79" si="52">IFERROR(AVERAGE(P67,U67,Z67,AE67,AJ67,AO67,AT67),"-")</f>
        <v>17</v>
      </c>
      <c r="J67" s="381">
        <f t="shared" ref="J67:J79" si="53">IFERROR(AVERAGE(Q67,V67,AA67,AF67,AK67,AP67,AU67),"-")</f>
        <v>1291.4971728065796</v>
      </c>
      <c r="K67" s="199">
        <f t="shared" ref="K67:K79" si="54">IFERROR(AVERAGE(R67,W67,AB67,AG67,AL67,AQ67,AV67),"-")</f>
        <v>75.970421929798803</v>
      </c>
      <c r="L67" s="633">
        <f>IFERROR(AVERAGE(K67:K81),"-")</f>
        <v>71.694686003464312</v>
      </c>
      <c r="M67" s="383">
        <f>RANK(K67, K$67:$K$81)</f>
        <v>5</v>
      </c>
      <c r="N67" s="652"/>
      <c r="O67" s="652"/>
      <c r="P67" s="560">
        <v>17</v>
      </c>
      <c r="Q67" s="562">
        <v>1294.3689320388355</v>
      </c>
      <c r="R67" s="562">
        <v>76.139348943460917</v>
      </c>
      <c r="S67" s="560">
        <f t="shared" ref="S67:S81" si="55">RANK(R67, R$67:R$81)</f>
        <v>5</v>
      </c>
      <c r="T67" s="661">
        <f t="shared" ref="T67" si="56">AVERAGE(R67:R81)</f>
        <v>71.789463195907487</v>
      </c>
      <c r="U67" s="560">
        <v>17</v>
      </c>
      <c r="V67" s="562">
        <v>1293.6263736263736</v>
      </c>
      <c r="W67" s="562">
        <v>76.095669036845507</v>
      </c>
      <c r="X67" s="560">
        <f t="shared" ref="X67:X81" si="57">RANK(W67, W$67:W$81)</f>
        <v>5</v>
      </c>
      <c r="Y67" s="661">
        <f t="shared" ref="Y67" si="58">AVERAGE(W67:W81)</f>
        <v>71.477237191422475</v>
      </c>
      <c r="Z67" s="560">
        <v>17</v>
      </c>
      <c r="AA67" s="562">
        <v>1291.9148936170216</v>
      </c>
      <c r="AB67" s="562">
        <v>75.994993742177741</v>
      </c>
      <c r="AC67" s="560">
        <f t="shared" ref="AC67:AC81" si="59">RANK(AB67, AB$67:AB$81)</f>
        <v>4</v>
      </c>
      <c r="AD67" s="661">
        <f t="shared" ref="AD67" si="60">AVERAGE(AB67:AB81)</f>
        <v>71.666758219413722</v>
      </c>
      <c r="AE67" s="560">
        <v>17</v>
      </c>
      <c r="AF67" s="562">
        <v>1282.8571428571427</v>
      </c>
      <c r="AG67" s="562">
        <v>75.462184873949568</v>
      </c>
      <c r="AH67" s="560">
        <f t="shared" ref="AH67:AH81" si="61">RANK(AG67, AG$67:AG$81)</f>
        <v>4</v>
      </c>
      <c r="AI67" s="661">
        <f t="shared" ref="AI67" si="62">AVERAGE(AG67:AG81)</f>
        <v>71.371943266353824</v>
      </c>
      <c r="AJ67" s="560">
        <v>17</v>
      </c>
      <c r="AK67" s="562">
        <v>1299.25925925926</v>
      </c>
      <c r="AL67" s="562">
        <v>76.427015250544713</v>
      </c>
      <c r="AM67" s="560">
        <f t="shared" ref="AM67:AM81" si="63">RANK(AL67, AL$67:AL$81)</f>
        <v>4</v>
      </c>
      <c r="AN67" s="661">
        <f t="shared" ref="AN67" si="64">AVERAGE(AL67:AL81)</f>
        <v>71.873826252783942</v>
      </c>
      <c r="AO67" s="560">
        <v>17</v>
      </c>
      <c r="AP67" s="562">
        <v>1288.4536082474231</v>
      </c>
      <c r="AQ67" s="562">
        <v>75.791388720436657</v>
      </c>
      <c r="AR67" s="560">
        <f t="shared" ref="AR67:AR81" si="65">RANK(AQ67, AQ$67:AQ$81)</f>
        <v>5</v>
      </c>
      <c r="AS67" s="661">
        <f t="shared" ref="AS67" si="66">AVERAGE(AQ67:AQ81)</f>
        <v>72.427999487188231</v>
      </c>
      <c r="AT67" s="560">
        <v>17</v>
      </c>
      <c r="AU67" s="562">
        <v>1290.0000000000007</v>
      </c>
      <c r="AV67" s="562">
        <v>75.882352941176507</v>
      </c>
      <c r="AW67" s="560">
        <f t="shared" ref="AW67:AW81" si="67">RANK(AV67, AV$67:AV$81)</f>
        <v>5</v>
      </c>
      <c r="AX67" s="661">
        <f t="shared" ref="AX67" si="68">AVERAGE(AV67:AV81)</f>
        <v>71.255574411180461</v>
      </c>
      <c r="AZ67" s="368" t="e">
        <f t="shared" ref="AZ67:AZ81" si="69">RANK(AY67, AY$67:AY$81)</f>
        <v>#N/A</v>
      </c>
      <c r="BA67" s="661" t="e">
        <f t="shared" ref="BA67" si="70">AVERAGE(AY67:AY81)</f>
        <v>#DIV/0!</v>
      </c>
    </row>
    <row r="68" spans="2:53">
      <c r="B68" s="660"/>
      <c r="C68" s="379">
        <v>2</v>
      </c>
      <c r="D68" s="225" t="s">
        <v>346</v>
      </c>
      <c r="E68" s="531">
        <v>18</v>
      </c>
      <c r="F68" s="530">
        <v>1440</v>
      </c>
      <c r="G68" s="532">
        <v>80</v>
      </c>
      <c r="H68" s="699"/>
      <c r="I68" s="381">
        <f t="shared" si="52"/>
        <v>18</v>
      </c>
      <c r="J68" s="381">
        <f t="shared" si="53"/>
        <v>1309.0865492463399</v>
      </c>
      <c r="K68" s="199">
        <f t="shared" si="54"/>
        <v>72.727030513685563</v>
      </c>
      <c r="L68" s="634"/>
      <c r="M68" s="420">
        <f>RANK(K68, K$67:$K$81)</f>
        <v>6</v>
      </c>
      <c r="N68" s="652"/>
      <c r="O68" s="652"/>
      <c r="P68" s="560">
        <v>18</v>
      </c>
      <c r="Q68" s="562">
        <v>1317.0731707317068</v>
      </c>
      <c r="R68" s="562">
        <v>73.170731707317046</v>
      </c>
      <c r="S68" s="560">
        <f t="shared" si="55"/>
        <v>6</v>
      </c>
      <c r="T68" s="662"/>
      <c r="U68" s="560">
        <v>18</v>
      </c>
      <c r="V68" s="562">
        <v>1287.5333333333328</v>
      </c>
      <c r="W68" s="562">
        <v>71.529629629629596</v>
      </c>
      <c r="X68" s="560">
        <f t="shared" si="57"/>
        <v>6</v>
      </c>
      <c r="Y68" s="662"/>
      <c r="Z68" s="560">
        <v>18</v>
      </c>
      <c r="AA68" s="562">
        <v>1310.1257142857146</v>
      </c>
      <c r="AB68" s="562">
        <v>72.784761904761922</v>
      </c>
      <c r="AC68" s="560">
        <f t="shared" si="59"/>
        <v>7</v>
      </c>
      <c r="AD68" s="662"/>
      <c r="AE68" s="560">
        <v>18</v>
      </c>
      <c r="AF68" s="562">
        <v>1319.9999999999998</v>
      </c>
      <c r="AG68" s="562">
        <v>73.333333333333314</v>
      </c>
      <c r="AH68" s="560">
        <f t="shared" si="61"/>
        <v>6</v>
      </c>
      <c r="AI68" s="662"/>
      <c r="AJ68" s="560">
        <v>18</v>
      </c>
      <c r="AK68" s="562">
        <v>1324.6153846153843</v>
      </c>
      <c r="AL68" s="562">
        <v>73.589743589743577</v>
      </c>
      <c r="AM68" s="560">
        <f t="shared" si="63"/>
        <v>7</v>
      </c>
      <c r="AN68" s="662"/>
      <c r="AO68" s="560">
        <v>18</v>
      </c>
      <c r="AP68" s="562">
        <v>1304.6153846153848</v>
      </c>
      <c r="AQ68" s="562">
        <v>72.478632478632491</v>
      </c>
      <c r="AR68" s="560">
        <f t="shared" si="65"/>
        <v>7</v>
      </c>
      <c r="AS68" s="662"/>
      <c r="AT68" s="560">
        <v>18</v>
      </c>
      <c r="AU68" s="562">
        <v>1299.6428571428571</v>
      </c>
      <c r="AV68" s="562">
        <v>72.202380952380949</v>
      </c>
      <c r="AW68" s="560">
        <f t="shared" si="67"/>
        <v>6</v>
      </c>
      <c r="AX68" s="662"/>
      <c r="AZ68" s="368" t="e">
        <f t="shared" si="69"/>
        <v>#N/A</v>
      </c>
      <c r="BA68" s="662"/>
    </row>
    <row r="69" spans="2:53">
      <c r="B69" s="660"/>
      <c r="C69" s="379">
        <v>3</v>
      </c>
      <c r="D69" s="225" t="s">
        <v>347</v>
      </c>
      <c r="E69" s="531">
        <v>17</v>
      </c>
      <c r="F69" s="530">
        <v>1440</v>
      </c>
      <c r="G69" s="532">
        <v>84.7</v>
      </c>
      <c r="H69" s="699"/>
      <c r="I69" s="381">
        <f t="shared" si="52"/>
        <v>17</v>
      </c>
      <c r="J69" s="381">
        <f t="shared" si="53"/>
        <v>1311.350692419825</v>
      </c>
      <c r="K69" s="199">
        <f t="shared" si="54"/>
        <v>77.138276024695571</v>
      </c>
      <c r="L69" s="634"/>
      <c r="M69" s="420">
        <f>RANK(K69, K$67:$K$81)</f>
        <v>3</v>
      </c>
      <c r="N69" s="652"/>
      <c r="O69" s="652"/>
      <c r="P69" s="560">
        <v>17</v>
      </c>
      <c r="Q69" s="562">
        <v>1315.9999999999989</v>
      </c>
      <c r="R69" s="562">
        <v>77.411764705882291</v>
      </c>
      <c r="S69" s="560">
        <f t="shared" si="55"/>
        <v>3</v>
      </c>
      <c r="T69" s="662"/>
      <c r="U69" s="560">
        <v>17</v>
      </c>
      <c r="V69" s="562">
        <v>1327.248979591837</v>
      </c>
      <c r="W69" s="562">
        <v>78.073469387755125</v>
      </c>
      <c r="X69" s="560">
        <f t="shared" si="57"/>
        <v>4</v>
      </c>
      <c r="Y69" s="662"/>
      <c r="Z69" s="560">
        <v>17</v>
      </c>
      <c r="AA69" s="562">
        <v>1305.599999999999</v>
      </c>
      <c r="AB69" s="562">
        <v>76.79999999999994</v>
      </c>
      <c r="AC69" s="560">
        <f t="shared" si="59"/>
        <v>3</v>
      </c>
      <c r="AD69" s="662"/>
      <c r="AE69" s="560">
        <v>17</v>
      </c>
      <c r="AF69" s="562">
        <v>1309.6875000000016</v>
      </c>
      <c r="AG69" s="562">
        <v>77.040441176470679</v>
      </c>
      <c r="AH69" s="560">
        <f t="shared" si="61"/>
        <v>3</v>
      </c>
      <c r="AI69" s="662"/>
      <c r="AJ69" s="560">
        <v>17</v>
      </c>
      <c r="AK69" s="562">
        <v>1314.9999999999991</v>
      </c>
      <c r="AL69" s="562">
        <v>77.352941176470537</v>
      </c>
      <c r="AM69" s="560">
        <f t="shared" si="63"/>
        <v>3</v>
      </c>
      <c r="AN69" s="662"/>
      <c r="AO69" s="560">
        <v>17</v>
      </c>
      <c r="AP69" s="562">
        <v>1299.9999999999998</v>
      </c>
      <c r="AQ69" s="562">
        <v>76.470588235294102</v>
      </c>
      <c r="AR69" s="560">
        <f t="shared" si="65"/>
        <v>4</v>
      </c>
      <c r="AS69" s="662"/>
      <c r="AT69" s="560">
        <v>17</v>
      </c>
      <c r="AU69" s="562">
        <v>1305.9183673469392</v>
      </c>
      <c r="AV69" s="562">
        <v>76.818727490996423</v>
      </c>
      <c r="AW69" s="560">
        <f t="shared" si="67"/>
        <v>4</v>
      </c>
      <c r="AX69" s="662"/>
      <c r="AZ69" s="368" t="e">
        <f t="shared" si="69"/>
        <v>#N/A</v>
      </c>
      <c r="BA69" s="662"/>
    </row>
    <row r="70" spans="2:53">
      <c r="B70" s="660"/>
      <c r="C70" s="379">
        <v>4</v>
      </c>
      <c r="D70" s="225" t="s">
        <v>348</v>
      </c>
      <c r="E70" s="531">
        <v>21</v>
      </c>
      <c r="F70" s="530">
        <v>1385</v>
      </c>
      <c r="G70" s="532">
        <v>65.900000000000006</v>
      </c>
      <c r="H70" s="699"/>
      <c r="I70" s="381">
        <f t="shared" si="52"/>
        <v>21</v>
      </c>
      <c r="J70" s="381">
        <f t="shared" si="53"/>
        <v>1252.362157619646</v>
      </c>
      <c r="K70" s="199">
        <f t="shared" si="54"/>
        <v>59.636293219983152</v>
      </c>
      <c r="L70" s="634"/>
      <c r="M70" s="420">
        <f>RANK(K70, K$67:$K$81)</f>
        <v>12</v>
      </c>
      <c r="N70" s="652"/>
      <c r="O70" s="652"/>
      <c r="P70" s="560">
        <v>21</v>
      </c>
      <c r="Q70" s="562">
        <v>1249.677419354839</v>
      </c>
      <c r="R70" s="562">
        <v>59.508448540706617</v>
      </c>
      <c r="S70" s="560">
        <f t="shared" si="55"/>
        <v>12</v>
      </c>
      <c r="T70" s="662"/>
      <c r="U70" s="560">
        <v>21</v>
      </c>
      <c r="V70" s="562">
        <v>1249.285714285714</v>
      </c>
      <c r="W70" s="562">
        <v>59.489795918367335</v>
      </c>
      <c r="X70" s="560">
        <f t="shared" si="57"/>
        <v>12</v>
      </c>
      <c r="Y70" s="662"/>
      <c r="Z70" s="560">
        <v>21</v>
      </c>
      <c r="AA70" s="562">
        <v>1261.8750000000005</v>
      </c>
      <c r="AB70" s="562">
        <v>60.089285714285737</v>
      </c>
      <c r="AC70" s="560">
        <f t="shared" si="59"/>
        <v>12</v>
      </c>
      <c r="AD70" s="662"/>
      <c r="AE70" s="560">
        <v>21</v>
      </c>
      <c r="AF70" s="562">
        <v>1246.6666666666656</v>
      </c>
      <c r="AG70" s="562">
        <v>59.365079365079318</v>
      </c>
      <c r="AH70" s="560">
        <f t="shared" si="61"/>
        <v>12</v>
      </c>
      <c r="AI70" s="662"/>
      <c r="AJ70" s="560">
        <v>21</v>
      </c>
      <c r="AK70" s="562">
        <v>1247.9999999999995</v>
      </c>
      <c r="AL70" s="562">
        <v>59.428571428571409</v>
      </c>
      <c r="AM70" s="560">
        <f t="shared" si="63"/>
        <v>12</v>
      </c>
      <c r="AN70" s="662"/>
      <c r="AO70" s="560">
        <v>21</v>
      </c>
      <c r="AP70" s="562">
        <v>1258.9090909090917</v>
      </c>
      <c r="AQ70" s="562">
        <v>59.948051948051983</v>
      </c>
      <c r="AR70" s="560">
        <f t="shared" si="65"/>
        <v>12</v>
      </c>
      <c r="AS70" s="662"/>
      <c r="AT70" s="560">
        <v>21</v>
      </c>
      <c r="AU70" s="562">
        <v>1252.1212121212125</v>
      </c>
      <c r="AV70" s="562">
        <v>59.624819624819644</v>
      </c>
      <c r="AW70" s="560">
        <f t="shared" si="67"/>
        <v>12</v>
      </c>
      <c r="AX70" s="662"/>
      <c r="AZ70" s="368" t="e">
        <f t="shared" si="69"/>
        <v>#N/A</v>
      </c>
      <c r="BA70" s="662"/>
    </row>
    <row r="71" spans="2:53">
      <c r="B71" s="660"/>
      <c r="C71" s="379">
        <v>5</v>
      </c>
      <c r="D71" s="225" t="s">
        <v>349</v>
      </c>
      <c r="E71" s="531">
        <v>19</v>
      </c>
      <c r="F71" s="530">
        <v>1440</v>
      </c>
      <c r="G71" s="532">
        <v>75.8</v>
      </c>
      <c r="H71" s="699"/>
      <c r="I71" s="381">
        <f t="shared" si="52"/>
        <v>19</v>
      </c>
      <c r="J71" s="381">
        <f t="shared" si="53"/>
        <v>1300.1306105404074</v>
      </c>
      <c r="K71" s="199">
        <f t="shared" si="54"/>
        <v>68.427926870547765</v>
      </c>
      <c r="L71" s="634"/>
      <c r="M71" s="420">
        <f>RANK(K71, K$67:$K$81)</f>
        <v>9</v>
      </c>
      <c r="N71" s="652"/>
      <c r="O71" s="652"/>
      <c r="P71" s="560">
        <v>19</v>
      </c>
      <c r="Q71" s="562">
        <v>1304.1379310344826</v>
      </c>
      <c r="R71" s="562">
        <v>68.638838475499085</v>
      </c>
      <c r="S71" s="560">
        <f t="shared" si="55"/>
        <v>7</v>
      </c>
      <c r="T71" s="662"/>
      <c r="U71" s="560">
        <v>19</v>
      </c>
      <c r="V71" s="562">
        <v>1301.842105263157</v>
      </c>
      <c r="W71" s="562">
        <v>68.518005540166158</v>
      </c>
      <c r="X71" s="560">
        <f t="shared" si="57"/>
        <v>8</v>
      </c>
      <c r="Y71" s="662"/>
      <c r="Z71" s="560">
        <v>19</v>
      </c>
      <c r="AA71" s="562">
        <v>1298.7341772151892</v>
      </c>
      <c r="AB71" s="562">
        <v>68.354430379746802</v>
      </c>
      <c r="AC71" s="560">
        <f t="shared" si="59"/>
        <v>9</v>
      </c>
      <c r="AD71" s="662"/>
      <c r="AE71" s="560">
        <v>19</v>
      </c>
      <c r="AF71" s="562">
        <v>1291.698113207548</v>
      </c>
      <c r="AG71" s="562">
        <v>67.984111221449893</v>
      </c>
      <c r="AH71" s="560">
        <f t="shared" si="61"/>
        <v>9</v>
      </c>
      <c r="AI71" s="662"/>
      <c r="AJ71" s="560">
        <v>19</v>
      </c>
      <c r="AK71" s="562">
        <v>1300.3448275862077</v>
      </c>
      <c r="AL71" s="562">
        <v>68.43920145190566</v>
      </c>
      <c r="AM71" s="560">
        <f t="shared" si="63"/>
        <v>8</v>
      </c>
      <c r="AN71" s="662"/>
      <c r="AO71" s="560">
        <v>19</v>
      </c>
      <c r="AP71" s="562">
        <v>1307.2340425531916</v>
      </c>
      <c r="AQ71" s="562">
        <v>68.801791713325869</v>
      </c>
      <c r="AR71" s="560">
        <f t="shared" si="65"/>
        <v>9</v>
      </c>
      <c r="AS71" s="662"/>
      <c r="AT71" s="560">
        <v>19</v>
      </c>
      <c r="AU71" s="562">
        <v>1296.9230769230762</v>
      </c>
      <c r="AV71" s="562">
        <v>68.259109311740858</v>
      </c>
      <c r="AW71" s="560">
        <f t="shared" si="67"/>
        <v>9</v>
      </c>
      <c r="AX71" s="662"/>
      <c r="AZ71" s="368" t="e">
        <f t="shared" si="69"/>
        <v>#N/A</v>
      </c>
      <c r="BA71" s="662"/>
    </row>
    <row r="72" spans="2:53">
      <c r="B72" s="660"/>
      <c r="C72" s="379">
        <v>6</v>
      </c>
      <c r="D72" s="225" t="s">
        <v>491</v>
      </c>
      <c r="E72" s="531">
        <v>18</v>
      </c>
      <c r="F72" s="530">
        <v>1385</v>
      </c>
      <c r="G72" s="532">
        <v>76.900000000000006</v>
      </c>
      <c r="H72" s="699"/>
      <c r="I72" s="381">
        <f t="shared" si="52"/>
        <v>18</v>
      </c>
      <c r="J72" s="381">
        <f t="shared" si="53"/>
        <v>1235.271412941835</v>
      </c>
      <c r="K72" s="199">
        <f t="shared" si="54"/>
        <v>68.626189607879709</v>
      </c>
      <c r="L72" s="634"/>
      <c r="M72" s="420">
        <f>RANK(K72, K$67:$K$81)</f>
        <v>8</v>
      </c>
      <c r="N72" s="652"/>
      <c r="O72" s="652"/>
      <c r="P72" s="560">
        <v>18</v>
      </c>
      <c r="Q72" s="562">
        <v>1232.3809523809537</v>
      </c>
      <c r="R72" s="562">
        <v>68.46560846560854</v>
      </c>
      <c r="S72" s="560">
        <f t="shared" si="55"/>
        <v>8</v>
      </c>
      <c r="T72" s="662"/>
      <c r="U72" s="560">
        <v>18</v>
      </c>
      <c r="V72" s="562">
        <v>1241.3793103448284</v>
      </c>
      <c r="W72" s="562">
        <v>68.965517241379359</v>
      </c>
      <c r="X72" s="560">
        <f t="shared" si="57"/>
        <v>7</v>
      </c>
      <c r="Y72" s="662"/>
      <c r="Z72" s="560">
        <v>18</v>
      </c>
      <c r="AA72" s="562">
        <v>1234.1379310344837</v>
      </c>
      <c r="AB72" s="562">
        <v>68.56321839080465</v>
      </c>
      <c r="AC72" s="560">
        <f t="shared" si="59"/>
        <v>8</v>
      </c>
      <c r="AD72" s="662"/>
      <c r="AE72" s="560">
        <v>18</v>
      </c>
      <c r="AF72" s="562">
        <v>1232.4999999999982</v>
      </c>
      <c r="AG72" s="562">
        <v>68.472222222222115</v>
      </c>
      <c r="AH72" s="560">
        <f t="shared" si="61"/>
        <v>8</v>
      </c>
      <c r="AI72" s="662"/>
      <c r="AJ72" s="560">
        <v>18</v>
      </c>
      <c r="AK72" s="562">
        <v>1226.5384615384623</v>
      </c>
      <c r="AL72" s="562">
        <v>68.141025641025692</v>
      </c>
      <c r="AM72" s="560">
        <f t="shared" si="63"/>
        <v>9</v>
      </c>
      <c r="AN72" s="662"/>
      <c r="AO72" s="560">
        <v>18</v>
      </c>
      <c r="AP72" s="562">
        <v>1239.3750000000014</v>
      </c>
      <c r="AQ72" s="562">
        <v>68.854166666666742</v>
      </c>
      <c r="AR72" s="560">
        <f t="shared" si="65"/>
        <v>8</v>
      </c>
      <c r="AS72" s="662"/>
      <c r="AT72" s="560">
        <v>18</v>
      </c>
      <c r="AU72" s="562">
        <v>1240.5882352941162</v>
      </c>
      <c r="AV72" s="562">
        <v>68.921568627450895</v>
      </c>
      <c r="AW72" s="560">
        <f t="shared" si="67"/>
        <v>8</v>
      </c>
      <c r="AX72" s="662"/>
      <c r="AZ72" s="368" t="e">
        <f t="shared" si="69"/>
        <v>#N/A</v>
      </c>
      <c r="BA72" s="662"/>
    </row>
    <row r="73" spans="2:53">
      <c r="B73" s="660"/>
      <c r="C73" s="379">
        <v>7</v>
      </c>
      <c r="D73" s="225" t="s">
        <v>510</v>
      </c>
      <c r="E73" s="531">
        <v>16</v>
      </c>
      <c r="F73" s="530">
        <v>1440</v>
      </c>
      <c r="G73" s="532">
        <v>90</v>
      </c>
      <c r="H73" s="699"/>
      <c r="I73" s="381">
        <f t="shared" si="52"/>
        <v>16</v>
      </c>
      <c r="J73" s="381">
        <f t="shared" si="53"/>
        <v>1322.4655758672893</v>
      </c>
      <c r="K73" s="199">
        <f t="shared" si="54"/>
        <v>82.654098491705582</v>
      </c>
      <c r="L73" s="634"/>
      <c r="M73" s="420">
        <f>RANK(K73, K$67:$K$81)</f>
        <v>1</v>
      </c>
      <c r="N73" s="652"/>
      <c r="O73" s="652"/>
      <c r="P73" s="560">
        <v>16</v>
      </c>
      <c r="Q73" s="562">
        <v>1348.7394957983186</v>
      </c>
      <c r="R73" s="562">
        <v>84.29621848739491</v>
      </c>
      <c r="S73" s="560">
        <f t="shared" si="55"/>
        <v>2</v>
      </c>
      <c r="T73" s="662"/>
      <c r="U73" s="560">
        <v>16</v>
      </c>
      <c r="V73" s="562">
        <v>1329.9999999999993</v>
      </c>
      <c r="W73" s="562">
        <v>83.124999999999957</v>
      </c>
      <c r="X73" s="560">
        <f t="shared" si="57"/>
        <v>2</v>
      </c>
      <c r="Y73" s="662"/>
      <c r="Z73" s="560">
        <v>16</v>
      </c>
      <c r="AA73" s="562">
        <v>1316.2831858407069</v>
      </c>
      <c r="AB73" s="562">
        <v>82.267699115044181</v>
      </c>
      <c r="AC73" s="560">
        <f t="shared" si="59"/>
        <v>1</v>
      </c>
      <c r="AD73" s="662"/>
      <c r="AE73" s="560">
        <v>16</v>
      </c>
      <c r="AF73" s="562">
        <v>1329.3506493506486</v>
      </c>
      <c r="AG73" s="562">
        <v>83.084415584415538</v>
      </c>
      <c r="AH73" s="560">
        <f t="shared" si="61"/>
        <v>1</v>
      </c>
      <c r="AI73" s="662"/>
      <c r="AJ73" s="560">
        <v>16</v>
      </c>
      <c r="AK73" s="562">
        <v>1321.2391304347827</v>
      </c>
      <c r="AL73" s="562">
        <v>82.577445652173921</v>
      </c>
      <c r="AM73" s="560">
        <f t="shared" si="63"/>
        <v>1</v>
      </c>
      <c r="AN73" s="662"/>
      <c r="AO73" s="560">
        <v>16</v>
      </c>
      <c r="AP73" s="562">
        <v>1310.108108108109</v>
      </c>
      <c r="AQ73" s="562">
        <v>81.881756756756815</v>
      </c>
      <c r="AR73" s="560">
        <f t="shared" si="65"/>
        <v>2</v>
      </c>
      <c r="AS73" s="662"/>
      <c r="AT73" s="560">
        <v>16</v>
      </c>
      <c r="AU73" s="562">
        <v>1301.538461538461</v>
      </c>
      <c r="AV73" s="562">
        <v>81.346153846153811</v>
      </c>
      <c r="AW73" s="560">
        <f t="shared" si="67"/>
        <v>1</v>
      </c>
      <c r="AX73" s="662"/>
      <c r="AZ73" s="368" t="e">
        <f t="shared" si="69"/>
        <v>#N/A</v>
      </c>
      <c r="BA73" s="662"/>
    </row>
    <row r="74" spans="2:53">
      <c r="B74" s="660"/>
      <c r="C74" s="379">
        <v>8</v>
      </c>
      <c r="D74" s="225" t="s">
        <v>561</v>
      </c>
      <c r="E74" s="531">
        <v>19</v>
      </c>
      <c r="F74" s="530">
        <v>1636</v>
      </c>
      <c r="G74" s="532">
        <v>86.1</v>
      </c>
      <c r="H74" s="699"/>
      <c r="I74" s="381">
        <f t="shared" si="52"/>
        <v>19</v>
      </c>
      <c r="J74" s="381">
        <f t="shared" si="53"/>
        <v>1444.7154698687625</v>
      </c>
      <c r="K74" s="199">
        <f t="shared" si="54"/>
        <v>76.037656308882234</v>
      </c>
      <c r="L74" s="634"/>
      <c r="M74" s="420">
        <f>RANK(K74, K$67:$K$81)</f>
        <v>4</v>
      </c>
      <c r="N74" s="652"/>
      <c r="O74" s="652"/>
      <c r="P74" s="560">
        <v>19</v>
      </c>
      <c r="Q74" s="562">
        <v>1460.6832298136646</v>
      </c>
      <c r="R74" s="562">
        <v>76.878064727034982</v>
      </c>
      <c r="S74" s="560">
        <f t="shared" si="55"/>
        <v>4</v>
      </c>
      <c r="T74" s="662"/>
      <c r="U74" s="560">
        <v>19</v>
      </c>
      <c r="V74" s="562">
        <v>1492.7407407407409</v>
      </c>
      <c r="W74" s="562">
        <v>78.565302144249515</v>
      </c>
      <c r="X74" s="560">
        <f t="shared" si="57"/>
        <v>3</v>
      </c>
      <c r="Y74" s="662"/>
      <c r="Z74" s="560">
        <v>19</v>
      </c>
      <c r="AA74" s="562">
        <v>1415.2542372881358</v>
      </c>
      <c r="AB74" s="562">
        <v>74.487065120428198</v>
      </c>
      <c r="AC74" s="560">
        <f t="shared" si="59"/>
        <v>5</v>
      </c>
      <c r="AD74" s="662"/>
      <c r="AE74" s="560">
        <v>19</v>
      </c>
      <c r="AF74" s="562">
        <v>1371.592356687898</v>
      </c>
      <c r="AG74" s="562">
        <v>72.189071404626205</v>
      </c>
      <c r="AH74" s="560">
        <f t="shared" si="61"/>
        <v>7</v>
      </c>
      <c r="AI74" s="662"/>
      <c r="AJ74" s="560">
        <v>19</v>
      </c>
      <c r="AK74" s="562">
        <v>1400.0000000000002</v>
      </c>
      <c r="AL74" s="562">
        <v>73.684210526315795</v>
      </c>
      <c r="AM74" s="560">
        <f t="shared" si="63"/>
        <v>6</v>
      </c>
      <c r="AN74" s="662"/>
      <c r="AO74" s="560">
        <v>19</v>
      </c>
      <c r="AP74" s="562">
        <v>1497.700598802395</v>
      </c>
      <c r="AQ74" s="562">
        <v>78.826347305389206</v>
      </c>
      <c r="AR74" s="560">
        <f t="shared" si="65"/>
        <v>3</v>
      </c>
      <c r="AS74" s="662"/>
      <c r="AT74" s="560">
        <v>19</v>
      </c>
      <c r="AU74" s="562">
        <v>1475.0371257485026</v>
      </c>
      <c r="AV74" s="562">
        <v>77.633532934131722</v>
      </c>
      <c r="AW74" s="560">
        <f t="shared" si="67"/>
        <v>3</v>
      </c>
      <c r="AX74" s="662"/>
      <c r="AZ74" s="368" t="e">
        <f t="shared" si="69"/>
        <v>#N/A</v>
      </c>
      <c r="BA74" s="662"/>
    </row>
    <row r="75" spans="2:53">
      <c r="B75" s="660"/>
      <c r="C75" s="379">
        <v>9</v>
      </c>
      <c r="D75" s="225" t="s">
        <v>588</v>
      </c>
      <c r="E75" s="531">
        <v>16</v>
      </c>
      <c r="F75" s="530">
        <v>1440</v>
      </c>
      <c r="G75" s="532">
        <v>84.7</v>
      </c>
      <c r="H75" s="699"/>
      <c r="I75" s="381">
        <f t="shared" si="52"/>
        <v>15.571428571428571</v>
      </c>
      <c r="J75" s="381">
        <f t="shared" si="53"/>
        <v>1273.6192701572606</v>
      </c>
      <c r="K75" s="199">
        <f t="shared" si="54"/>
        <v>81.891335546980045</v>
      </c>
      <c r="L75" s="634"/>
      <c r="M75" s="420">
        <f>RANK(K75, K$67:$K$81)</f>
        <v>2</v>
      </c>
      <c r="N75" s="652"/>
      <c r="O75" s="652"/>
      <c r="P75" s="560">
        <v>15</v>
      </c>
      <c r="Q75" s="562">
        <v>1279.8305084745764</v>
      </c>
      <c r="R75" s="562">
        <v>85.322033898305094</v>
      </c>
      <c r="S75" s="560">
        <f t="shared" si="55"/>
        <v>1</v>
      </c>
      <c r="T75" s="662"/>
      <c r="U75" s="560">
        <v>15</v>
      </c>
      <c r="V75" s="562">
        <v>1295.7831325301202</v>
      </c>
      <c r="W75" s="562">
        <v>86.385542168674675</v>
      </c>
      <c r="X75" s="560">
        <f t="shared" si="57"/>
        <v>1</v>
      </c>
      <c r="Y75" s="662"/>
      <c r="Z75" s="560">
        <v>16</v>
      </c>
      <c r="AA75" s="562">
        <v>1269.1666666666661</v>
      </c>
      <c r="AB75" s="562">
        <v>79.322916666666629</v>
      </c>
      <c r="AC75" s="560">
        <f t="shared" si="59"/>
        <v>2</v>
      </c>
      <c r="AD75" s="662"/>
      <c r="AE75" s="560">
        <v>16</v>
      </c>
      <c r="AF75" s="562">
        <v>1261.3483146067415</v>
      </c>
      <c r="AG75" s="562">
        <v>78.834269662921344</v>
      </c>
      <c r="AH75" s="560">
        <f t="shared" si="61"/>
        <v>2</v>
      </c>
      <c r="AI75" s="662"/>
      <c r="AJ75" s="560">
        <v>16</v>
      </c>
      <c r="AK75" s="562">
        <v>1271.2771084337346</v>
      </c>
      <c r="AL75" s="562">
        <v>79.454819277108413</v>
      </c>
      <c r="AM75" s="560">
        <f t="shared" si="63"/>
        <v>2</v>
      </c>
      <c r="AN75" s="662"/>
      <c r="AO75" s="560">
        <v>15</v>
      </c>
      <c r="AP75" s="562">
        <v>1271.8067114093958</v>
      </c>
      <c r="AQ75" s="562">
        <v>84.787114093959715</v>
      </c>
      <c r="AR75" s="560">
        <f t="shared" si="65"/>
        <v>1</v>
      </c>
      <c r="AS75" s="662"/>
      <c r="AT75" s="560">
        <v>16</v>
      </c>
      <c r="AU75" s="562">
        <v>1266.1224489795916</v>
      </c>
      <c r="AV75" s="562">
        <v>79.132653061224474</v>
      </c>
      <c r="AW75" s="560">
        <f t="shared" si="67"/>
        <v>2</v>
      </c>
      <c r="AX75" s="662"/>
      <c r="AZ75" s="368" t="e">
        <f t="shared" si="69"/>
        <v>#N/A</v>
      </c>
      <c r="BA75" s="662"/>
    </row>
    <row r="76" spans="2:53">
      <c r="B76" s="660"/>
      <c r="C76" s="379">
        <v>10</v>
      </c>
      <c r="D76" s="225" t="s">
        <v>699</v>
      </c>
      <c r="E76" s="531">
        <v>18</v>
      </c>
      <c r="F76" s="530">
        <v>1440</v>
      </c>
      <c r="G76" s="532">
        <v>80</v>
      </c>
      <c r="H76" s="699"/>
      <c r="I76" s="381">
        <f t="shared" si="52"/>
        <v>17.428571428571427</v>
      </c>
      <c r="J76" s="381">
        <f t="shared" si="53"/>
        <v>1227.977225672877</v>
      </c>
      <c r="K76" s="199">
        <f t="shared" si="54"/>
        <v>70.585917458770908</v>
      </c>
      <c r="L76" s="634"/>
      <c r="M76" s="420">
        <f>RANK(K76, K$67:$K$81)</f>
        <v>7</v>
      </c>
      <c r="N76" s="652"/>
      <c r="O76" s="652"/>
      <c r="P76" s="560">
        <v>18</v>
      </c>
      <c r="Q76" s="562">
        <v>1132.0000000000011</v>
      </c>
      <c r="R76" s="562">
        <v>62.88888888888895</v>
      </c>
      <c r="S76" s="560">
        <f t="shared" si="55"/>
        <v>10</v>
      </c>
      <c r="T76" s="662"/>
      <c r="U76" s="560">
        <v>18</v>
      </c>
      <c r="V76" s="562">
        <v>1116.4285714285722</v>
      </c>
      <c r="W76" s="562">
        <v>62.023809523809568</v>
      </c>
      <c r="X76" s="560">
        <f t="shared" si="57"/>
        <v>10</v>
      </c>
      <c r="Y76" s="662"/>
      <c r="Z76" s="560">
        <v>17</v>
      </c>
      <c r="AA76" s="562">
        <v>1252.1739130434783</v>
      </c>
      <c r="AB76" s="562">
        <v>73.657289002557548</v>
      </c>
      <c r="AC76" s="560">
        <f t="shared" si="59"/>
        <v>6</v>
      </c>
      <c r="AD76" s="662"/>
      <c r="AE76" s="560">
        <v>17</v>
      </c>
      <c r="AF76" s="562">
        <v>1268.5714285714257</v>
      </c>
      <c r="AG76" s="562">
        <v>74.621848739495633</v>
      </c>
      <c r="AH76" s="560">
        <f t="shared" si="61"/>
        <v>5</v>
      </c>
      <c r="AI76" s="662"/>
      <c r="AJ76" s="560">
        <v>17</v>
      </c>
      <c r="AK76" s="562">
        <v>1294.9999999999959</v>
      </c>
      <c r="AL76" s="562">
        <v>76.176470588235048</v>
      </c>
      <c r="AM76" s="560">
        <f t="shared" si="63"/>
        <v>5</v>
      </c>
      <c r="AN76" s="662"/>
      <c r="AO76" s="560">
        <v>17</v>
      </c>
      <c r="AP76" s="562">
        <v>1250.0000000000005</v>
      </c>
      <c r="AQ76" s="562">
        <v>73.529411764705912</v>
      </c>
      <c r="AR76" s="560">
        <f t="shared" si="65"/>
        <v>6</v>
      </c>
      <c r="AS76" s="662"/>
      <c r="AT76" s="560">
        <v>18</v>
      </c>
      <c r="AU76" s="562">
        <v>1281.6666666666656</v>
      </c>
      <c r="AV76" s="562">
        <v>71.203703703703638</v>
      </c>
      <c r="AW76" s="560">
        <f t="shared" si="67"/>
        <v>7</v>
      </c>
      <c r="AX76" s="662"/>
      <c r="AZ76" s="368" t="e">
        <f t="shared" si="69"/>
        <v>#N/A</v>
      </c>
      <c r="BA76" s="662"/>
    </row>
    <row r="77" spans="2:53">
      <c r="B77" s="660"/>
      <c r="C77" s="379">
        <v>11</v>
      </c>
      <c r="D77" s="225" t="s">
        <v>752</v>
      </c>
      <c r="E77" s="531">
        <v>20</v>
      </c>
      <c r="F77" s="530">
        <v>1385</v>
      </c>
      <c r="G77" s="532">
        <v>69.25</v>
      </c>
      <c r="H77" s="699"/>
      <c r="I77" s="381">
        <f t="shared" si="52"/>
        <v>20</v>
      </c>
      <c r="J77" s="381">
        <f t="shared" si="53"/>
        <v>1219.4026486874939</v>
      </c>
      <c r="K77" s="199">
        <f t="shared" si="54"/>
        <v>60.970132434374705</v>
      </c>
      <c r="L77" s="634"/>
      <c r="M77" s="420">
        <f>RANK(K77, K$67:$K$81)</f>
        <v>11</v>
      </c>
      <c r="N77" s="652"/>
      <c r="O77" s="652"/>
      <c r="P77" s="560">
        <v>20</v>
      </c>
      <c r="Q77" s="562">
        <v>1239.3600000000013</v>
      </c>
      <c r="R77" s="562">
        <v>61.96800000000006</v>
      </c>
      <c r="S77" s="560">
        <f t="shared" si="55"/>
        <v>11</v>
      </c>
      <c r="T77" s="662"/>
      <c r="U77" s="560">
        <v>20</v>
      </c>
      <c r="V77" s="562">
        <v>1212.7670103092787</v>
      </c>
      <c r="W77" s="562">
        <v>60.638350515463934</v>
      </c>
      <c r="X77" s="560">
        <f t="shared" si="57"/>
        <v>11</v>
      </c>
      <c r="Y77" s="662"/>
      <c r="Z77" s="560">
        <v>20</v>
      </c>
      <c r="AA77" s="562">
        <v>1216.7466666666669</v>
      </c>
      <c r="AB77" s="562">
        <v>60.837333333333348</v>
      </c>
      <c r="AC77" s="560">
        <f t="shared" si="59"/>
        <v>11</v>
      </c>
      <c r="AD77" s="662"/>
      <c r="AE77" s="560">
        <v>20</v>
      </c>
      <c r="AF77" s="562">
        <v>1210.1694915254247</v>
      </c>
      <c r="AG77" s="562">
        <v>60.50847457627124</v>
      </c>
      <c r="AH77" s="560">
        <f t="shared" si="61"/>
        <v>11</v>
      </c>
      <c r="AI77" s="662"/>
      <c r="AJ77" s="560">
        <v>20</v>
      </c>
      <c r="AK77" s="562">
        <v>1220.2702702702693</v>
      </c>
      <c r="AL77" s="562">
        <v>61.013513513513466</v>
      </c>
      <c r="AM77" s="560">
        <f t="shared" si="63"/>
        <v>11</v>
      </c>
      <c r="AN77" s="662"/>
      <c r="AO77" s="560">
        <v>20</v>
      </c>
      <c r="AP77" s="562">
        <v>1223.0357142857151</v>
      </c>
      <c r="AQ77" s="562">
        <v>61.151785714285758</v>
      </c>
      <c r="AR77" s="560">
        <f t="shared" si="65"/>
        <v>11</v>
      </c>
      <c r="AS77" s="662"/>
      <c r="AT77" s="560">
        <v>20</v>
      </c>
      <c r="AU77" s="562">
        <v>1213.4693877551024</v>
      </c>
      <c r="AV77" s="562">
        <v>60.673469387755119</v>
      </c>
      <c r="AW77" s="560">
        <f t="shared" si="67"/>
        <v>11</v>
      </c>
      <c r="AX77" s="662"/>
      <c r="AZ77" s="368" t="e">
        <f t="shared" si="69"/>
        <v>#N/A</v>
      </c>
      <c r="BA77" s="662"/>
    </row>
    <row r="78" spans="2:53">
      <c r="B78" s="660"/>
      <c r="C78" s="379">
        <v>12</v>
      </c>
      <c r="D78" s="225" t="s">
        <v>742</v>
      </c>
      <c r="E78" s="531">
        <v>19</v>
      </c>
      <c r="F78" s="530">
        <v>1385</v>
      </c>
      <c r="G78" s="532">
        <v>72.89473684210526</v>
      </c>
      <c r="H78" s="699"/>
      <c r="I78" s="381">
        <f t="shared" si="52"/>
        <v>19</v>
      </c>
      <c r="J78" s="381">
        <f t="shared" si="53"/>
        <v>1247.7481190510848</v>
      </c>
      <c r="K78" s="199">
        <f t="shared" si="54"/>
        <v>65.670953634267633</v>
      </c>
      <c r="L78" s="634"/>
      <c r="M78" s="420">
        <f>RANK(K78, K$67:$K$81)</f>
        <v>10</v>
      </c>
      <c r="N78" s="652"/>
      <c r="O78" s="652"/>
      <c r="P78" s="560">
        <v>19</v>
      </c>
      <c r="Q78" s="562">
        <v>1268.9266187050357</v>
      </c>
      <c r="R78" s="562">
        <v>66.785611510791355</v>
      </c>
      <c r="S78" s="560">
        <f t="shared" si="55"/>
        <v>9</v>
      </c>
      <c r="T78" s="662"/>
      <c r="U78" s="560">
        <v>19</v>
      </c>
      <c r="V78" s="562">
        <v>1222.0183486238523</v>
      </c>
      <c r="W78" s="562">
        <v>64.316755190729069</v>
      </c>
      <c r="X78" s="560">
        <f t="shared" si="57"/>
        <v>9</v>
      </c>
      <c r="Y78" s="662"/>
      <c r="Z78" s="560">
        <v>19</v>
      </c>
      <c r="AA78" s="562">
        <v>1270.0000000000002</v>
      </c>
      <c r="AB78" s="562">
        <v>66.842105263157904</v>
      </c>
      <c r="AC78" s="560">
        <f t="shared" si="59"/>
        <v>10</v>
      </c>
      <c r="AD78" s="662"/>
      <c r="AE78" s="560">
        <v>19</v>
      </c>
      <c r="AF78" s="562">
        <v>1245.7894736842097</v>
      </c>
      <c r="AG78" s="562">
        <v>65.567867036011037</v>
      </c>
      <c r="AH78" s="560">
        <f t="shared" si="61"/>
        <v>10</v>
      </c>
      <c r="AI78" s="662"/>
      <c r="AJ78" s="560">
        <v>19</v>
      </c>
      <c r="AK78" s="562">
        <v>1257.8181818181827</v>
      </c>
      <c r="AL78" s="562">
        <v>66.200956937799091</v>
      </c>
      <c r="AM78" s="560">
        <f t="shared" si="63"/>
        <v>10</v>
      </c>
      <c r="AN78" s="662"/>
      <c r="AO78" s="560">
        <v>19</v>
      </c>
      <c r="AP78" s="562">
        <v>1265.6842105263161</v>
      </c>
      <c r="AQ78" s="562">
        <v>66.614958448753484</v>
      </c>
      <c r="AR78" s="560">
        <f t="shared" si="65"/>
        <v>10</v>
      </c>
      <c r="AS78" s="662"/>
      <c r="AT78" s="560">
        <v>19</v>
      </c>
      <c r="AU78" s="562">
        <v>1203.999999999998</v>
      </c>
      <c r="AV78" s="562">
        <v>63.368421052631469</v>
      </c>
      <c r="AW78" s="560">
        <f t="shared" si="67"/>
        <v>10</v>
      </c>
      <c r="AX78" s="662"/>
      <c r="AZ78" s="368" t="e">
        <f t="shared" si="69"/>
        <v>#N/A</v>
      </c>
      <c r="BA78" s="662"/>
    </row>
    <row r="79" spans="2:53">
      <c r="B79" s="660"/>
      <c r="C79" s="379">
        <v>13</v>
      </c>
      <c r="D79" s="225"/>
      <c r="E79" s="531"/>
      <c r="F79" s="530"/>
      <c r="G79" s="532"/>
      <c r="H79" s="699"/>
      <c r="I79" s="381" t="str">
        <f t="shared" si="52"/>
        <v>-</v>
      </c>
      <c r="J79" s="381" t="str">
        <f t="shared" si="53"/>
        <v>-</v>
      </c>
      <c r="K79" s="199" t="str">
        <f t="shared" si="54"/>
        <v>-</v>
      </c>
      <c r="L79" s="634"/>
      <c r="M79" s="420" t="e">
        <f>RANK(K79, K$67:$K$81)</f>
        <v>#VALUE!</v>
      </c>
      <c r="N79" s="652"/>
      <c r="O79" s="652"/>
      <c r="P79" s="560" t="s">
        <v>585</v>
      </c>
      <c r="Q79" s="562" t="s">
        <v>585</v>
      </c>
      <c r="R79" s="562" t="s">
        <v>585</v>
      </c>
      <c r="S79" s="560" t="e">
        <f t="shared" si="55"/>
        <v>#VALUE!</v>
      </c>
      <c r="T79" s="662"/>
      <c r="U79" s="560" t="s">
        <v>585</v>
      </c>
      <c r="V79" s="562" t="s">
        <v>585</v>
      </c>
      <c r="W79" s="562" t="s">
        <v>585</v>
      </c>
      <c r="X79" s="560" t="e">
        <f t="shared" si="57"/>
        <v>#VALUE!</v>
      </c>
      <c r="Y79" s="662"/>
      <c r="Z79" s="560" t="s">
        <v>585</v>
      </c>
      <c r="AA79" s="562" t="s">
        <v>585</v>
      </c>
      <c r="AB79" s="562" t="s">
        <v>585</v>
      </c>
      <c r="AC79" s="560" t="e">
        <f t="shared" si="59"/>
        <v>#VALUE!</v>
      </c>
      <c r="AD79" s="662"/>
      <c r="AE79" s="560" t="s">
        <v>585</v>
      </c>
      <c r="AF79" s="562" t="s">
        <v>585</v>
      </c>
      <c r="AG79" s="562" t="s">
        <v>585</v>
      </c>
      <c r="AH79" s="560" t="e">
        <f t="shared" si="61"/>
        <v>#VALUE!</v>
      </c>
      <c r="AI79" s="662"/>
      <c r="AJ79" s="560" t="s">
        <v>585</v>
      </c>
      <c r="AK79" s="562" t="s">
        <v>585</v>
      </c>
      <c r="AL79" s="562" t="s">
        <v>585</v>
      </c>
      <c r="AM79" s="560" t="e">
        <f t="shared" si="63"/>
        <v>#VALUE!</v>
      </c>
      <c r="AN79" s="662"/>
      <c r="AO79" s="560" t="s">
        <v>585</v>
      </c>
      <c r="AP79" s="562" t="s">
        <v>585</v>
      </c>
      <c r="AQ79" s="562" t="s">
        <v>585</v>
      </c>
      <c r="AR79" s="560" t="e">
        <f t="shared" si="65"/>
        <v>#VALUE!</v>
      </c>
      <c r="AS79" s="662"/>
      <c r="AT79" s="560" t="s">
        <v>585</v>
      </c>
      <c r="AU79" s="562" t="s">
        <v>585</v>
      </c>
      <c r="AV79" s="562" t="s">
        <v>585</v>
      </c>
      <c r="AW79" s="560" t="e">
        <f t="shared" si="67"/>
        <v>#VALUE!</v>
      </c>
      <c r="AX79" s="662"/>
      <c r="AZ79" s="368" t="e">
        <f t="shared" si="69"/>
        <v>#N/A</v>
      </c>
      <c r="BA79" s="662"/>
    </row>
    <row r="80" spans="2:53">
      <c r="B80" s="660"/>
      <c r="C80" s="379">
        <v>14</v>
      </c>
      <c r="D80" s="225"/>
      <c r="E80" s="531"/>
      <c r="F80" s="530"/>
      <c r="G80" s="532"/>
      <c r="H80" s="699"/>
      <c r="I80" s="419" t="str">
        <f t="shared" ref="I80:I81" si="71">IFERROR(AVERAGE(P80,U80,Z80,AE80,AJ80,AO80,AT80),"-")</f>
        <v>-</v>
      </c>
      <c r="J80" s="419" t="str">
        <f t="shared" ref="J80:J81" si="72">IFERROR(AVERAGE(Q80,V80,AA80,AF80,AK80,AP80,AU80),"-")</f>
        <v>-</v>
      </c>
      <c r="K80" s="199" t="str">
        <f t="shared" ref="K80:K81" si="73">IFERROR(AVERAGE(R80,W80,AB80,AG80,AL80,AQ80,AV80),"-")</f>
        <v>-</v>
      </c>
      <c r="L80" s="634"/>
      <c r="M80" s="420" t="e">
        <f>RANK(K80, K$67:$K$81)</f>
        <v>#VALUE!</v>
      </c>
      <c r="N80" s="652"/>
      <c r="O80" s="652"/>
      <c r="P80" s="560" t="s">
        <v>585</v>
      </c>
      <c r="Q80" s="562" t="s">
        <v>585</v>
      </c>
      <c r="R80" s="562" t="s">
        <v>585</v>
      </c>
      <c r="S80" s="560" t="e">
        <f t="shared" si="55"/>
        <v>#VALUE!</v>
      </c>
      <c r="T80" s="662"/>
      <c r="U80" s="560" t="s">
        <v>585</v>
      </c>
      <c r="V80" s="562" t="s">
        <v>585</v>
      </c>
      <c r="W80" s="562" t="s">
        <v>585</v>
      </c>
      <c r="X80" s="560" t="e">
        <f t="shared" si="57"/>
        <v>#VALUE!</v>
      </c>
      <c r="Y80" s="662"/>
      <c r="Z80" s="560" t="s">
        <v>585</v>
      </c>
      <c r="AA80" s="562" t="s">
        <v>585</v>
      </c>
      <c r="AB80" s="562" t="s">
        <v>585</v>
      </c>
      <c r="AC80" s="560" t="e">
        <f t="shared" si="59"/>
        <v>#VALUE!</v>
      </c>
      <c r="AD80" s="662"/>
      <c r="AE80" s="560" t="s">
        <v>585</v>
      </c>
      <c r="AF80" s="562" t="s">
        <v>585</v>
      </c>
      <c r="AG80" s="562" t="s">
        <v>585</v>
      </c>
      <c r="AH80" s="560" t="e">
        <f t="shared" si="61"/>
        <v>#VALUE!</v>
      </c>
      <c r="AI80" s="662"/>
      <c r="AJ80" s="560" t="s">
        <v>585</v>
      </c>
      <c r="AK80" s="562" t="s">
        <v>585</v>
      </c>
      <c r="AL80" s="562" t="s">
        <v>585</v>
      </c>
      <c r="AM80" s="560" t="e">
        <f t="shared" si="63"/>
        <v>#VALUE!</v>
      </c>
      <c r="AN80" s="662"/>
      <c r="AO80" s="560" t="s">
        <v>585</v>
      </c>
      <c r="AP80" s="562" t="s">
        <v>585</v>
      </c>
      <c r="AQ80" s="562" t="s">
        <v>585</v>
      </c>
      <c r="AR80" s="560" t="e">
        <f t="shared" si="65"/>
        <v>#VALUE!</v>
      </c>
      <c r="AS80" s="662"/>
      <c r="AT80" s="560" t="s">
        <v>585</v>
      </c>
      <c r="AU80" s="562" t="s">
        <v>585</v>
      </c>
      <c r="AV80" s="562" t="s">
        <v>585</v>
      </c>
      <c r="AW80" s="560" t="e">
        <f t="shared" si="67"/>
        <v>#VALUE!</v>
      </c>
      <c r="AX80" s="662"/>
      <c r="AZ80" s="368" t="e">
        <f t="shared" si="69"/>
        <v>#N/A</v>
      </c>
      <c r="BA80" s="662"/>
    </row>
    <row r="81" spans="2:53">
      <c r="B81" s="660"/>
      <c r="C81" s="379">
        <v>15</v>
      </c>
      <c r="D81" s="225"/>
      <c r="E81" s="531"/>
      <c r="F81" s="530"/>
      <c r="G81" s="532"/>
      <c r="H81" s="700"/>
      <c r="I81" s="419" t="str">
        <f t="shared" si="71"/>
        <v>-</v>
      </c>
      <c r="J81" s="419" t="str">
        <f t="shared" si="72"/>
        <v>-</v>
      </c>
      <c r="K81" s="199" t="str">
        <f t="shared" si="73"/>
        <v>-</v>
      </c>
      <c r="L81" s="635"/>
      <c r="M81" s="420" t="e">
        <f>RANK(K81, K$67:$K$81)</f>
        <v>#VALUE!</v>
      </c>
      <c r="N81" s="652"/>
      <c r="O81" s="652"/>
      <c r="P81" s="560" t="s">
        <v>585</v>
      </c>
      <c r="Q81" s="562" t="s">
        <v>585</v>
      </c>
      <c r="R81" s="562" t="s">
        <v>585</v>
      </c>
      <c r="S81" s="560" t="e">
        <f t="shared" si="55"/>
        <v>#VALUE!</v>
      </c>
      <c r="T81" s="663"/>
      <c r="U81" s="560" t="s">
        <v>585</v>
      </c>
      <c r="V81" s="562" t="s">
        <v>585</v>
      </c>
      <c r="W81" s="562" t="s">
        <v>585</v>
      </c>
      <c r="X81" s="560" t="e">
        <f t="shared" si="57"/>
        <v>#VALUE!</v>
      </c>
      <c r="Y81" s="663"/>
      <c r="Z81" s="560" t="s">
        <v>585</v>
      </c>
      <c r="AA81" s="562" t="s">
        <v>585</v>
      </c>
      <c r="AB81" s="562" t="s">
        <v>585</v>
      </c>
      <c r="AC81" s="560" t="e">
        <f t="shared" si="59"/>
        <v>#VALUE!</v>
      </c>
      <c r="AD81" s="663"/>
      <c r="AE81" s="560" t="s">
        <v>585</v>
      </c>
      <c r="AF81" s="562" t="s">
        <v>585</v>
      </c>
      <c r="AG81" s="562" t="s">
        <v>585</v>
      </c>
      <c r="AH81" s="560" t="e">
        <f t="shared" si="61"/>
        <v>#VALUE!</v>
      </c>
      <c r="AI81" s="663"/>
      <c r="AJ81" s="560" t="s">
        <v>585</v>
      </c>
      <c r="AK81" s="562" t="s">
        <v>585</v>
      </c>
      <c r="AL81" s="562" t="s">
        <v>585</v>
      </c>
      <c r="AM81" s="560" t="e">
        <f t="shared" si="63"/>
        <v>#VALUE!</v>
      </c>
      <c r="AN81" s="663"/>
      <c r="AO81" s="560" t="s">
        <v>585</v>
      </c>
      <c r="AP81" s="562" t="s">
        <v>585</v>
      </c>
      <c r="AQ81" s="562" t="s">
        <v>585</v>
      </c>
      <c r="AR81" s="560" t="e">
        <f t="shared" si="65"/>
        <v>#VALUE!</v>
      </c>
      <c r="AS81" s="663"/>
      <c r="AT81" s="560" t="s">
        <v>585</v>
      </c>
      <c r="AU81" s="562" t="s">
        <v>585</v>
      </c>
      <c r="AV81" s="562" t="s">
        <v>585</v>
      </c>
      <c r="AW81" s="560" t="e">
        <f t="shared" si="67"/>
        <v>#VALUE!</v>
      </c>
      <c r="AX81" s="663"/>
      <c r="AZ81" s="368" t="e">
        <f t="shared" si="69"/>
        <v>#N/A</v>
      </c>
      <c r="BA81" s="663"/>
    </row>
    <row r="82" spans="2:53" ht="15.75">
      <c r="B82" s="664" t="s">
        <v>162</v>
      </c>
      <c r="C82" s="665"/>
      <c r="D82" s="665"/>
      <c r="E82" s="665"/>
      <c r="F82" s="665"/>
      <c r="G82" s="665"/>
      <c r="H82" s="666"/>
      <c r="I82" s="207"/>
      <c r="J82" s="207"/>
      <c r="K82" s="207"/>
      <c r="L82" s="207"/>
      <c r="M82" s="206"/>
      <c r="N82" s="653" t="s">
        <v>156</v>
      </c>
      <c r="O82" s="653" t="s">
        <v>105</v>
      </c>
      <c r="P82" s="659">
        <f>P62+7</f>
        <v>46259</v>
      </c>
      <c r="Q82" s="660"/>
      <c r="R82" s="660"/>
      <c r="S82" s="660"/>
      <c r="T82" s="660"/>
      <c r="U82" s="656">
        <f>P82+1</f>
        <v>46260</v>
      </c>
      <c r="V82" s="657"/>
      <c r="W82" s="657"/>
      <c r="X82" s="657"/>
      <c r="Y82" s="658"/>
      <c r="Z82" s="656">
        <f>U82+1</f>
        <v>46261</v>
      </c>
      <c r="AA82" s="657"/>
      <c r="AB82" s="657"/>
      <c r="AC82" s="657"/>
      <c r="AD82" s="658"/>
      <c r="AE82" s="656">
        <f>Z82+1</f>
        <v>46262</v>
      </c>
      <c r="AF82" s="657"/>
      <c r="AG82" s="657"/>
      <c r="AH82" s="657"/>
      <c r="AI82" s="658"/>
      <c r="AJ82" s="656">
        <f>AE82+1</f>
        <v>46263</v>
      </c>
      <c r="AK82" s="657"/>
      <c r="AL82" s="657"/>
      <c r="AM82" s="657"/>
      <c r="AN82" s="658"/>
      <c r="AO82" s="656">
        <f>AJ82+1</f>
        <v>46264</v>
      </c>
      <c r="AP82" s="657"/>
      <c r="AQ82" s="657"/>
      <c r="AR82" s="657"/>
      <c r="AS82" s="658"/>
      <c r="AT82" s="656">
        <f>AO82+1</f>
        <v>46265</v>
      </c>
      <c r="AU82" s="657"/>
      <c r="AV82" s="657"/>
      <c r="AW82" s="657"/>
      <c r="AX82" s="658"/>
    </row>
    <row r="83" spans="2:53" ht="15.75">
      <c r="B83" s="667"/>
      <c r="C83" s="667"/>
      <c r="D83" s="667"/>
      <c r="E83" s="667"/>
      <c r="F83" s="667"/>
      <c r="G83" s="667"/>
      <c r="H83" s="667"/>
      <c r="I83" s="204"/>
      <c r="J83" s="204"/>
      <c r="K83" s="204"/>
      <c r="L83" s="204"/>
      <c r="M83" s="205"/>
      <c r="N83" s="655"/>
      <c r="O83" s="655"/>
      <c r="P83" s="659" t="s">
        <v>317</v>
      </c>
      <c r="Q83" s="660"/>
      <c r="R83" s="660"/>
      <c r="S83" s="660"/>
      <c r="T83" s="660"/>
      <c r="U83" s="659" t="s">
        <v>318</v>
      </c>
      <c r="V83" s="660"/>
      <c r="W83" s="660"/>
      <c r="X83" s="660"/>
      <c r="Y83" s="660"/>
      <c r="Z83" s="659" t="s">
        <v>319</v>
      </c>
      <c r="AA83" s="660"/>
      <c r="AB83" s="660"/>
      <c r="AC83" s="660"/>
      <c r="AD83" s="660"/>
      <c r="AE83" s="659" t="s">
        <v>320</v>
      </c>
      <c r="AF83" s="660"/>
      <c r="AG83" s="660"/>
      <c r="AH83" s="660"/>
      <c r="AI83" s="660"/>
      <c r="AJ83" s="659" t="s">
        <v>321</v>
      </c>
      <c r="AK83" s="660"/>
      <c r="AL83" s="660"/>
      <c r="AM83" s="660"/>
      <c r="AN83" s="660"/>
      <c r="AO83" s="659" t="s">
        <v>322</v>
      </c>
      <c r="AP83" s="660"/>
      <c r="AQ83" s="660"/>
      <c r="AR83" s="660"/>
      <c r="AS83" s="660"/>
      <c r="AT83" s="659" t="s">
        <v>323</v>
      </c>
      <c r="AU83" s="660"/>
      <c r="AV83" s="660"/>
      <c r="AW83" s="660"/>
      <c r="AX83" s="660"/>
    </row>
    <row r="84" spans="2:53">
      <c r="B84" s="652" t="s">
        <v>389</v>
      </c>
      <c r="C84" s="652" t="s">
        <v>379</v>
      </c>
      <c r="D84" s="652"/>
      <c r="E84" s="652" t="s">
        <v>370</v>
      </c>
      <c r="F84" s="652"/>
      <c r="G84" s="652"/>
      <c r="H84" s="668" t="s">
        <v>366</v>
      </c>
      <c r="I84" s="636" t="s">
        <v>371</v>
      </c>
      <c r="J84" s="636"/>
      <c r="K84" s="636"/>
      <c r="L84" s="637" t="s">
        <v>366</v>
      </c>
      <c r="M84" s="643" t="s">
        <v>367</v>
      </c>
      <c r="N84" s="652"/>
      <c r="O84" s="652" t="s">
        <v>372</v>
      </c>
      <c r="P84" s="649" t="s">
        <v>368</v>
      </c>
      <c r="Q84" s="650"/>
      <c r="R84" s="650"/>
      <c r="S84" s="651"/>
      <c r="T84" s="652" t="s">
        <v>366</v>
      </c>
      <c r="U84" s="649" t="s">
        <v>368</v>
      </c>
      <c r="V84" s="650"/>
      <c r="W84" s="650"/>
      <c r="X84" s="651"/>
      <c r="Y84" s="652" t="s">
        <v>366</v>
      </c>
      <c r="Z84" s="649" t="s">
        <v>368</v>
      </c>
      <c r="AA84" s="650"/>
      <c r="AB84" s="650"/>
      <c r="AC84" s="651"/>
      <c r="AD84" s="652" t="s">
        <v>366</v>
      </c>
      <c r="AE84" s="649" t="s">
        <v>368</v>
      </c>
      <c r="AF84" s="650"/>
      <c r="AG84" s="650"/>
      <c r="AH84" s="651"/>
      <c r="AI84" s="652" t="s">
        <v>366</v>
      </c>
      <c r="AJ84" s="649" t="s">
        <v>368</v>
      </c>
      <c r="AK84" s="650"/>
      <c r="AL84" s="650"/>
      <c r="AM84" s="651"/>
      <c r="AN84" s="652" t="s">
        <v>366</v>
      </c>
      <c r="AO84" s="649" t="s">
        <v>368</v>
      </c>
      <c r="AP84" s="650"/>
      <c r="AQ84" s="650"/>
      <c r="AR84" s="651"/>
      <c r="AS84" s="652" t="s">
        <v>366</v>
      </c>
      <c r="AT84" s="649" t="s">
        <v>368</v>
      </c>
      <c r="AU84" s="650"/>
      <c r="AV84" s="650"/>
      <c r="AW84" s="651"/>
      <c r="AX84" s="652" t="s">
        <v>366</v>
      </c>
      <c r="BA84" s="652" t="s">
        <v>366</v>
      </c>
    </row>
    <row r="85" spans="2:53">
      <c r="B85" s="652"/>
      <c r="C85" s="652"/>
      <c r="D85" s="652"/>
      <c r="E85" s="652" t="s">
        <v>373</v>
      </c>
      <c r="F85" s="652"/>
      <c r="G85" s="652"/>
      <c r="H85" s="669"/>
      <c r="I85" s="636" t="s">
        <v>373</v>
      </c>
      <c r="J85" s="636"/>
      <c r="K85" s="636"/>
      <c r="L85" s="638"/>
      <c r="M85" s="644"/>
      <c r="N85" s="652"/>
      <c r="O85" s="652"/>
      <c r="P85" s="649" t="s">
        <v>374</v>
      </c>
      <c r="Q85" s="650"/>
      <c r="R85" s="650"/>
      <c r="S85" s="651"/>
      <c r="T85" s="652"/>
      <c r="U85" s="649" t="s">
        <v>374</v>
      </c>
      <c r="V85" s="650"/>
      <c r="W85" s="650"/>
      <c r="X85" s="651"/>
      <c r="Y85" s="652"/>
      <c r="Z85" s="649" t="s">
        <v>374</v>
      </c>
      <c r="AA85" s="650"/>
      <c r="AB85" s="650"/>
      <c r="AC85" s="651"/>
      <c r="AD85" s="652"/>
      <c r="AE85" s="649" t="s">
        <v>374</v>
      </c>
      <c r="AF85" s="650"/>
      <c r="AG85" s="650"/>
      <c r="AH85" s="651"/>
      <c r="AI85" s="652"/>
      <c r="AJ85" s="649" t="s">
        <v>374</v>
      </c>
      <c r="AK85" s="650"/>
      <c r="AL85" s="650"/>
      <c r="AM85" s="651"/>
      <c r="AN85" s="652"/>
      <c r="AO85" s="649" t="s">
        <v>374</v>
      </c>
      <c r="AP85" s="650"/>
      <c r="AQ85" s="650"/>
      <c r="AR85" s="651"/>
      <c r="AS85" s="652"/>
      <c r="AT85" s="649" t="s">
        <v>374</v>
      </c>
      <c r="AU85" s="650"/>
      <c r="AV85" s="650"/>
      <c r="AW85" s="651"/>
      <c r="AX85" s="652"/>
      <c r="BA85" s="652"/>
    </row>
    <row r="86" spans="2:53">
      <c r="B86" s="652"/>
      <c r="C86" s="652"/>
      <c r="D86" s="652"/>
      <c r="E86" s="378" t="s">
        <v>375</v>
      </c>
      <c r="F86" s="378" t="s">
        <v>376</v>
      </c>
      <c r="G86" s="378" t="s">
        <v>377</v>
      </c>
      <c r="H86" s="670"/>
      <c r="I86" s="377" t="s">
        <v>375</v>
      </c>
      <c r="J86" s="377" t="s">
        <v>376</v>
      </c>
      <c r="K86" s="377" t="s">
        <v>377</v>
      </c>
      <c r="L86" s="639"/>
      <c r="M86" s="645"/>
      <c r="N86" s="652"/>
      <c r="O86" s="652"/>
      <c r="P86" s="378" t="s">
        <v>375</v>
      </c>
      <c r="Q86" s="378" t="s">
        <v>376</v>
      </c>
      <c r="R86" s="378" t="s">
        <v>377</v>
      </c>
      <c r="S86" s="378" t="s">
        <v>367</v>
      </c>
      <c r="T86" s="652"/>
      <c r="U86" s="378" t="s">
        <v>375</v>
      </c>
      <c r="V86" s="378" t="s">
        <v>376</v>
      </c>
      <c r="W86" s="378" t="s">
        <v>377</v>
      </c>
      <c r="X86" s="378" t="s">
        <v>367</v>
      </c>
      <c r="Y86" s="652"/>
      <c r="Z86" s="378" t="s">
        <v>375</v>
      </c>
      <c r="AA86" s="378" t="s">
        <v>376</v>
      </c>
      <c r="AB86" s="378" t="s">
        <v>377</v>
      </c>
      <c r="AC86" s="378" t="s">
        <v>367</v>
      </c>
      <c r="AD86" s="652"/>
      <c r="AE86" s="378" t="s">
        <v>375</v>
      </c>
      <c r="AF86" s="378" t="s">
        <v>376</v>
      </c>
      <c r="AG86" s="378" t="s">
        <v>377</v>
      </c>
      <c r="AH86" s="378" t="s">
        <v>367</v>
      </c>
      <c r="AI86" s="652"/>
      <c r="AJ86" s="378" t="s">
        <v>375</v>
      </c>
      <c r="AK86" s="378" t="s">
        <v>376</v>
      </c>
      <c r="AL86" s="378" t="s">
        <v>377</v>
      </c>
      <c r="AM86" s="378" t="s">
        <v>367</v>
      </c>
      <c r="AN86" s="652"/>
      <c r="AO86" s="378" t="s">
        <v>375</v>
      </c>
      <c r="AP86" s="378" t="s">
        <v>376</v>
      </c>
      <c r="AQ86" s="378" t="s">
        <v>377</v>
      </c>
      <c r="AR86" s="378" t="s">
        <v>367</v>
      </c>
      <c r="AS86" s="652"/>
      <c r="AT86" s="378" t="s">
        <v>375</v>
      </c>
      <c r="AU86" s="378" t="s">
        <v>376</v>
      </c>
      <c r="AV86" s="378" t="s">
        <v>377</v>
      </c>
      <c r="AW86" s="378" t="s">
        <v>367</v>
      </c>
      <c r="AX86" s="652"/>
      <c r="AZ86" s="367" t="s">
        <v>367</v>
      </c>
      <c r="BA86" s="652"/>
    </row>
    <row r="87" spans="2:53">
      <c r="B87" s="652" t="s">
        <v>405</v>
      </c>
      <c r="C87" s="379">
        <v>1</v>
      </c>
      <c r="D87" s="225" t="s">
        <v>604</v>
      </c>
      <c r="E87" s="516">
        <v>17</v>
      </c>
      <c r="F87" s="513">
        <v>1440</v>
      </c>
      <c r="G87" s="512">
        <v>84.7</v>
      </c>
      <c r="H87" s="698">
        <f>AVERAGE(G87:G101)</f>
        <v>79.245394736842115</v>
      </c>
      <c r="I87" s="381">
        <f t="shared" ref="I87:I100" si="74">IFERROR(AVERAGE(P87,U87,Z87,AE87,AJ87,AO87,AT87),"-")</f>
        <v>17</v>
      </c>
      <c r="J87" s="381">
        <f t="shared" ref="J87:J100" si="75">IFERROR(AVERAGE(Q87,V87,AA87,AF87,AK87,AP87,AU87),"-")</f>
        <v>1294.9771465745175</v>
      </c>
      <c r="K87" s="199">
        <f t="shared" ref="K87:K100" si="76">IFERROR(AVERAGE(R87,W87,AB87,AG87,AL87,AQ87,AV87),"-")</f>
        <v>76.175126269089262</v>
      </c>
      <c r="L87" s="633">
        <f>IFERROR(AVERAGE(K87:K101),"-")</f>
        <v>71.703028226385655</v>
      </c>
      <c r="M87" s="383">
        <f>RANK(K87, K$87:$K$101)</f>
        <v>5</v>
      </c>
      <c r="N87" s="652"/>
      <c r="O87" s="652"/>
      <c r="P87" s="571">
        <v>17</v>
      </c>
      <c r="Q87" s="573">
        <v>1296.2264150943402</v>
      </c>
      <c r="R87" s="573">
        <v>76.248612652608244</v>
      </c>
      <c r="S87" s="571">
        <f t="shared" ref="S87:S101" si="77">RANK(R87, R$87:R$101)</f>
        <v>5</v>
      </c>
      <c r="T87" s="685">
        <f t="shared" ref="T87" si="78">AVERAGE(R87:R101)</f>
        <v>71.528990351922872</v>
      </c>
      <c r="U87" s="571">
        <v>17</v>
      </c>
      <c r="V87" s="573">
        <v>1290.3157894736844</v>
      </c>
      <c r="W87" s="573">
        <v>75.900928792569673</v>
      </c>
      <c r="X87" s="571">
        <f t="shared" ref="X87:X101" si="79">RANK(W87, W$87:W$101)</f>
        <v>5</v>
      </c>
      <c r="Y87" s="685">
        <f t="shared" ref="Y87" si="80">AVERAGE(W87:W101)</f>
        <v>72.088073207520139</v>
      </c>
      <c r="Z87" s="571">
        <v>17</v>
      </c>
      <c r="AA87" s="573">
        <v>1295.284090909091</v>
      </c>
      <c r="AB87" s="573">
        <v>76.193181818181827</v>
      </c>
      <c r="AC87" s="571">
        <f t="shared" ref="AC87:AC101" si="81">RANK(AB87, AB$87:AB$101)</f>
        <v>5</v>
      </c>
      <c r="AD87" s="685">
        <f t="shared" ref="AD87" si="82">AVERAGE(AB87:AB101)</f>
        <v>71.018036932007817</v>
      </c>
      <c r="AE87" s="571">
        <v>17</v>
      </c>
      <c r="AF87" s="573">
        <v>1293.8630136986292</v>
      </c>
      <c r="AG87" s="573">
        <v>76.10958904109583</v>
      </c>
      <c r="AH87" s="571">
        <f t="shared" ref="AH87:AH101" si="83">RANK(AG87, AG$87:AG$101)</f>
        <v>5</v>
      </c>
      <c r="AI87" s="685">
        <f t="shared" ref="AI87" si="84">AVERAGE(AG87:AG101)</f>
        <v>71.626312478731236</v>
      </c>
      <c r="AJ87" s="571">
        <v>17</v>
      </c>
      <c r="AK87" s="573">
        <v>1297.9499999999994</v>
      </c>
      <c r="AL87" s="573">
        <v>76.349999999999966</v>
      </c>
      <c r="AM87" s="571">
        <f t="shared" ref="AM87:AM101" si="85">RANK(AL87, AL$87:AL$101)</f>
        <v>4</v>
      </c>
      <c r="AN87" s="685">
        <f t="shared" ref="AN87" si="86">AVERAGE(AL87:AL101)</f>
        <v>71.71542614416957</v>
      </c>
      <c r="AO87" s="571">
        <v>17</v>
      </c>
      <c r="AP87" s="573">
        <v>1290.5555555555561</v>
      </c>
      <c r="AQ87" s="573">
        <v>75.915032679738601</v>
      </c>
      <c r="AR87" s="571">
        <f t="shared" ref="AR87:AR101" si="87">RANK(AQ87, AQ$87:AQ$101)</f>
        <v>5</v>
      </c>
      <c r="AS87" s="685">
        <f t="shared" ref="AS87" si="88">AVERAGE(AQ87:AQ101)</f>
        <v>71.89887003862475</v>
      </c>
      <c r="AT87" s="571">
        <v>17</v>
      </c>
      <c r="AU87" s="573">
        <v>1300.6451612903227</v>
      </c>
      <c r="AV87" s="573">
        <v>76.508538899430746</v>
      </c>
      <c r="AW87" s="571">
        <f t="shared" ref="AW87:AW101" si="89">RANK(AV87, AV$87:AV$101)</f>
        <v>4</v>
      </c>
      <c r="AX87" s="685">
        <f t="shared" ref="AX87" si="90">AVERAGE(AV87:AV101)</f>
        <v>71.89835048771225</v>
      </c>
      <c r="AZ87" s="368" t="e">
        <f t="shared" ref="AZ87:AZ101" si="91">RANK(AY87, AY$87:AY$101)</f>
        <v>#N/A</v>
      </c>
      <c r="BA87" s="685" t="e">
        <f t="shared" ref="BA87" si="92">AVERAGE(AY87:AY101)</f>
        <v>#DIV/0!</v>
      </c>
    </row>
    <row r="88" spans="2:53">
      <c r="B88" s="660"/>
      <c r="C88" s="379">
        <v>2</v>
      </c>
      <c r="D88" s="225" t="s">
        <v>346</v>
      </c>
      <c r="E88" s="516">
        <v>18</v>
      </c>
      <c r="F88" s="513">
        <v>1440</v>
      </c>
      <c r="G88" s="512">
        <v>80</v>
      </c>
      <c r="H88" s="699"/>
      <c r="I88" s="381">
        <f t="shared" si="74"/>
        <v>18</v>
      </c>
      <c r="J88" s="381">
        <f t="shared" si="75"/>
        <v>1314.5399029931154</v>
      </c>
      <c r="K88" s="199">
        <f t="shared" si="76"/>
        <v>73.029994610728636</v>
      </c>
      <c r="L88" s="634"/>
      <c r="M88" s="466">
        <f>RANK(K88, K$87:$K$101)</f>
        <v>6</v>
      </c>
      <c r="N88" s="652"/>
      <c r="O88" s="652"/>
      <c r="P88" s="571">
        <v>18</v>
      </c>
      <c r="Q88" s="573">
        <v>1310.2040816326535</v>
      </c>
      <c r="R88" s="573">
        <v>72.789115646258523</v>
      </c>
      <c r="S88" s="571">
        <f t="shared" si="77"/>
        <v>7</v>
      </c>
      <c r="T88" s="685"/>
      <c r="U88" s="571">
        <v>18</v>
      </c>
      <c r="V88" s="573">
        <v>1305.3333333333335</v>
      </c>
      <c r="W88" s="573">
        <v>72.518518518518533</v>
      </c>
      <c r="X88" s="571">
        <f t="shared" si="79"/>
        <v>7</v>
      </c>
      <c r="Y88" s="685"/>
      <c r="Z88" s="571">
        <v>18</v>
      </c>
      <c r="AA88" s="573">
        <v>1307.4074074074069</v>
      </c>
      <c r="AB88" s="573">
        <v>72.633744855967052</v>
      </c>
      <c r="AC88" s="571">
        <f t="shared" si="81"/>
        <v>6</v>
      </c>
      <c r="AD88" s="685"/>
      <c r="AE88" s="571">
        <v>18</v>
      </c>
      <c r="AF88" s="573">
        <v>1333.6842105263149</v>
      </c>
      <c r="AG88" s="573">
        <v>74.093567251461934</v>
      </c>
      <c r="AH88" s="571">
        <f t="shared" si="83"/>
        <v>6</v>
      </c>
      <c r="AI88" s="685"/>
      <c r="AJ88" s="571">
        <v>18</v>
      </c>
      <c r="AK88" s="573">
        <v>1302.7118644067791</v>
      </c>
      <c r="AL88" s="573">
        <v>72.372881355932179</v>
      </c>
      <c r="AM88" s="571">
        <f t="shared" si="85"/>
        <v>6</v>
      </c>
      <c r="AN88" s="685"/>
      <c r="AO88" s="571">
        <v>18</v>
      </c>
      <c r="AP88" s="573">
        <v>1321.7142857142853</v>
      </c>
      <c r="AQ88" s="573">
        <v>73.428571428571402</v>
      </c>
      <c r="AR88" s="571">
        <f t="shared" si="87"/>
        <v>6</v>
      </c>
      <c r="AS88" s="685"/>
      <c r="AT88" s="571">
        <v>18</v>
      </c>
      <c r="AU88" s="573">
        <v>1320.7241379310342</v>
      </c>
      <c r="AV88" s="573">
        <v>73.373563218390785</v>
      </c>
      <c r="AW88" s="571">
        <f t="shared" si="89"/>
        <v>5</v>
      </c>
      <c r="AX88" s="685"/>
      <c r="AZ88" s="368" t="e">
        <f t="shared" si="91"/>
        <v>#N/A</v>
      </c>
      <c r="BA88" s="685"/>
    </row>
    <row r="89" spans="2:53">
      <c r="B89" s="660"/>
      <c r="C89" s="379">
        <v>3</v>
      </c>
      <c r="D89" s="225" t="s">
        <v>347</v>
      </c>
      <c r="E89" s="516">
        <v>17</v>
      </c>
      <c r="F89" s="513">
        <v>1440</v>
      </c>
      <c r="G89" s="512">
        <v>84.7</v>
      </c>
      <c r="H89" s="699"/>
      <c r="I89" s="381">
        <f t="shared" si="74"/>
        <v>17</v>
      </c>
      <c r="J89" s="381">
        <f t="shared" si="75"/>
        <v>1301.3821659863552</v>
      </c>
      <c r="K89" s="199">
        <f t="shared" si="76"/>
        <v>76.551892116844428</v>
      </c>
      <c r="L89" s="634"/>
      <c r="M89" s="466">
        <f>RANK(K89, K$87:$K$101)</f>
        <v>4</v>
      </c>
      <c r="N89" s="652"/>
      <c r="O89" s="652"/>
      <c r="P89" s="571">
        <v>17</v>
      </c>
      <c r="Q89" s="573">
        <v>1301.2500000000005</v>
      </c>
      <c r="R89" s="573">
        <v>76.544117647058854</v>
      </c>
      <c r="S89" s="571">
        <f t="shared" si="77"/>
        <v>4</v>
      </c>
      <c r="T89" s="685"/>
      <c r="U89" s="571">
        <v>17</v>
      </c>
      <c r="V89" s="573">
        <v>1301.2421052631569</v>
      </c>
      <c r="W89" s="573">
        <v>76.543653250773929</v>
      </c>
      <c r="X89" s="571">
        <f t="shared" si="79"/>
        <v>4</v>
      </c>
      <c r="Y89" s="685"/>
      <c r="Z89" s="571">
        <v>17</v>
      </c>
      <c r="AA89" s="573">
        <v>1319.9999999999995</v>
      </c>
      <c r="AB89" s="573">
        <v>77.647058823529392</v>
      </c>
      <c r="AC89" s="571">
        <f t="shared" si="81"/>
        <v>4</v>
      </c>
      <c r="AD89" s="685"/>
      <c r="AE89" s="571">
        <v>17</v>
      </c>
      <c r="AF89" s="573">
        <v>1297.4999999999989</v>
      </c>
      <c r="AG89" s="573">
        <v>76.323529411764639</v>
      </c>
      <c r="AH89" s="571">
        <f t="shared" si="83"/>
        <v>4</v>
      </c>
      <c r="AI89" s="685"/>
      <c r="AJ89" s="571">
        <v>17</v>
      </c>
      <c r="AK89" s="573">
        <v>1287.8048780487813</v>
      </c>
      <c r="AL89" s="573">
        <v>75.753228120516553</v>
      </c>
      <c r="AM89" s="571">
        <f t="shared" si="85"/>
        <v>5</v>
      </c>
      <c r="AN89" s="685"/>
      <c r="AO89" s="571">
        <v>17</v>
      </c>
      <c r="AP89" s="573">
        <v>1296.4044943820224</v>
      </c>
      <c r="AQ89" s="573">
        <v>76.259087904824852</v>
      </c>
      <c r="AR89" s="571">
        <f t="shared" si="87"/>
        <v>4</v>
      </c>
      <c r="AS89" s="685"/>
      <c r="AT89" s="571">
        <v>17</v>
      </c>
      <c r="AU89" s="573">
        <v>1305.4736842105265</v>
      </c>
      <c r="AV89" s="573">
        <v>76.792569659442734</v>
      </c>
      <c r="AW89" s="571">
        <f t="shared" si="89"/>
        <v>3</v>
      </c>
      <c r="AX89" s="685"/>
      <c r="AZ89" s="368" t="e">
        <f t="shared" si="91"/>
        <v>#N/A</v>
      </c>
      <c r="BA89" s="685"/>
    </row>
    <row r="90" spans="2:53">
      <c r="B90" s="660"/>
      <c r="C90" s="379">
        <v>4</v>
      </c>
      <c r="D90" s="225" t="s">
        <v>348</v>
      </c>
      <c r="E90" s="516">
        <v>21</v>
      </c>
      <c r="F90" s="513">
        <v>1385</v>
      </c>
      <c r="G90" s="512">
        <v>65.900000000000006</v>
      </c>
      <c r="H90" s="699"/>
      <c r="I90" s="381">
        <f t="shared" si="74"/>
        <v>21</v>
      </c>
      <c r="J90" s="381">
        <f t="shared" si="75"/>
        <v>1258.6246740750228</v>
      </c>
      <c r="K90" s="199">
        <f t="shared" si="76"/>
        <v>59.934508289286796</v>
      </c>
      <c r="L90" s="634"/>
      <c r="M90" s="466">
        <f>RANK(K90, K$87:$K$101)</f>
        <v>12</v>
      </c>
      <c r="N90" s="652"/>
      <c r="O90" s="652"/>
      <c r="P90" s="571">
        <v>21</v>
      </c>
      <c r="Q90" s="573">
        <v>1253.7142857142865</v>
      </c>
      <c r="R90" s="573">
        <v>59.700680272108876</v>
      </c>
      <c r="S90" s="571">
        <f t="shared" si="77"/>
        <v>11</v>
      </c>
      <c r="T90" s="685"/>
      <c r="U90" s="571">
        <v>21</v>
      </c>
      <c r="V90" s="573">
        <v>1257.41935483871</v>
      </c>
      <c r="W90" s="573">
        <v>59.877112135176667</v>
      </c>
      <c r="X90" s="571">
        <f t="shared" si="79"/>
        <v>12</v>
      </c>
      <c r="Y90" s="685"/>
      <c r="Z90" s="571">
        <v>21</v>
      </c>
      <c r="AA90" s="573">
        <v>1257.5257731958768</v>
      </c>
      <c r="AB90" s="573">
        <v>59.882179675994131</v>
      </c>
      <c r="AC90" s="571">
        <f t="shared" si="81"/>
        <v>11</v>
      </c>
      <c r="AD90" s="685"/>
      <c r="AE90" s="571">
        <v>21</v>
      </c>
      <c r="AF90" s="573">
        <v>1243.728813559323</v>
      </c>
      <c r="AG90" s="573">
        <v>59.225181598063003</v>
      </c>
      <c r="AH90" s="571">
        <f t="shared" si="83"/>
        <v>11</v>
      </c>
      <c r="AI90" s="685"/>
      <c r="AJ90" s="571">
        <v>21</v>
      </c>
      <c r="AK90" s="573">
        <v>1246.4788732394354</v>
      </c>
      <c r="AL90" s="573">
        <v>59.356136820925499</v>
      </c>
      <c r="AM90" s="571">
        <f t="shared" si="85"/>
        <v>11</v>
      </c>
      <c r="AN90" s="685"/>
      <c r="AO90" s="571">
        <v>21</v>
      </c>
      <c r="AP90" s="573">
        <v>1276</v>
      </c>
      <c r="AQ90" s="573">
        <v>60.761904761904759</v>
      </c>
      <c r="AR90" s="571">
        <f t="shared" si="87"/>
        <v>11</v>
      </c>
      <c r="AS90" s="685"/>
      <c r="AT90" s="571">
        <v>21</v>
      </c>
      <c r="AU90" s="573">
        <v>1275.5056179775281</v>
      </c>
      <c r="AV90" s="573">
        <v>60.738362760834676</v>
      </c>
      <c r="AW90" s="571">
        <f t="shared" si="89"/>
        <v>11</v>
      </c>
      <c r="AX90" s="685"/>
      <c r="AZ90" s="368" t="e">
        <f t="shared" si="91"/>
        <v>#N/A</v>
      </c>
      <c r="BA90" s="685"/>
    </row>
    <row r="91" spans="2:53">
      <c r="B91" s="660"/>
      <c r="C91" s="379">
        <v>5</v>
      </c>
      <c r="D91" s="225" t="s">
        <v>349</v>
      </c>
      <c r="E91" s="516">
        <v>19</v>
      </c>
      <c r="F91" s="513">
        <v>1440</v>
      </c>
      <c r="G91" s="512">
        <v>75.8</v>
      </c>
      <c r="H91" s="699"/>
      <c r="I91" s="381">
        <f t="shared" si="74"/>
        <v>19</v>
      </c>
      <c r="J91" s="381">
        <f t="shared" si="75"/>
        <v>1297.6110243506034</v>
      </c>
      <c r="K91" s="199">
        <f t="shared" si="76"/>
        <v>68.295317071084398</v>
      </c>
      <c r="L91" s="634"/>
      <c r="M91" s="466">
        <f>RANK(K91, K$87:$K$101)</f>
        <v>9</v>
      </c>
      <c r="N91" s="652"/>
      <c r="O91" s="652"/>
      <c r="P91" s="571">
        <v>19</v>
      </c>
      <c r="Q91" s="573">
        <v>1308.5393258426966</v>
      </c>
      <c r="R91" s="573">
        <v>68.870490833826139</v>
      </c>
      <c r="S91" s="571">
        <f t="shared" si="77"/>
        <v>8</v>
      </c>
      <c r="T91" s="685"/>
      <c r="U91" s="571">
        <v>19</v>
      </c>
      <c r="V91" s="573">
        <v>1301.599999999999</v>
      </c>
      <c r="W91" s="573">
        <v>68.505263157894689</v>
      </c>
      <c r="X91" s="571">
        <f t="shared" si="79"/>
        <v>9</v>
      </c>
      <c r="Y91" s="685"/>
      <c r="Z91" s="571">
        <v>19</v>
      </c>
      <c r="AA91" s="573">
        <v>1311.0000000000011</v>
      </c>
      <c r="AB91" s="573">
        <v>69.000000000000057</v>
      </c>
      <c r="AC91" s="571">
        <f t="shared" si="81"/>
        <v>7</v>
      </c>
      <c r="AD91" s="685"/>
      <c r="AE91" s="571">
        <v>19</v>
      </c>
      <c r="AF91" s="573">
        <v>1310.3571428571438</v>
      </c>
      <c r="AG91" s="573">
        <v>68.966165413533886</v>
      </c>
      <c r="AH91" s="571">
        <f t="shared" si="83"/>
        <v>7</v>
      </c>
      <c r="AI91" s="685"/>
      <c r="AJ91" s="571">
        <v>19</v>
      </c>
      <c r="AK91" s="573">
        <v>1292.0000000000011</v>
      </c>
      <c r="AL91" s="573">
        <v>68.000000000000057</v>
      </c>
      <c r="AM91" s="571">
        <f t="shared" si="85"/>
        <v>8</v>
      </c>
      <c r="AN91" s="685"/>
      <c r="AO91" s="571">
        <v>19</v>
      </c>
      <c r="AP91" s="573">
        <v>1280.8333333333321</v>
      </c>
      <c r="AQ91" s="573">
        <v>67.412280701754327</v>
      </c>
      <c r="AR91" s="571">
        <f t="shared" si="87"/>
        <v>8</v>
      </c>
      <c r="AS91" s="685"/>
      <c r="AT91" s="571">
        <v>19</v>
      </c>
      <c r="AU91" s="573">
        <v>1278.9473684210516</v>
      </c>
      <c r="AV91" s="573">
        <v>67.313019390581658</v>
      </c>
      <c r="AW91" s="571">
        <f t="shared" si="89"/>
        <v>8</v>
      </c>
      <c r="AX91" s="685"/>
      <c r="AZ91" s="368" t="e">
        <f t="shared" si="91"/>
        <v>#N/A</v>
      </c>
      <c r="BA91" s="685"/>
    </row>
    <row r="92" spans="2:53">
      <c r="B92" s="660"/>
      <c r="C92" s="379">
        <v>6</v>
      </c>
      <c r="D92" s="225" t="s">
        <v>491</v>
      </c>
      <c r="E92" s="516">
        <v>18</v>
      </c>
      <c r="F92" s="513">
        <v>1385</v>
      </c>
      <c r="G92" s="512">
        <v>76.900000000000006</v>
      </c>
      <c r="H92" s="699"/>
      <c r="I92" s="381">
        <f t="shared" si="74"/>
        <v>18</v>
      </c>
      <c r="J92" s="381">
        <f t="shared" si="75"/>
        <v>1237.0562564609161</v>
      </c>
      <c r="K92" s="199">
        <f t="shared" si="76"/>
        <v>68.725347581162012</v>
      </c>
      <c r="L92" s="634"/>
      <c r="M92" s="466">
        <f>RANK(K92, K$87:$K$101)</f>
        <v>8</v>
      </c>
      <c r="N92" s="652"/>
      <c r="O92" s="652"/>
      <c r="P92" s="571">
        <v>18</v>
      </c>
      <c r="Q92" s="573">
        <v>1235.2380952380963</v>
      </c>
      <c r="R92" s="573">
        <v>68.624338624338691</v>
      </c>
      <c r="S92" s="571">
        <f t="shared" si="77"/>
        <v>9</v>
      </c>
      <c r="T92" s="685"/>
      <c r="U92" s="571">
        <v>18</v>
      </c>
      <c r="V92" s="573">
        <v>1235.5932203389841</v>
      </c>
      <c r="W92" s="573">
        <v>68.64406779661023</v>
      </c>
      <c r="X92" s="571">
        <f t="shared" si="79"/>
        <v>8</v>
      </c>
      <c r="Y92" s="685"/>
      <c r="Z92" s="571">
        <v>18</v>
      </c>
      <c r="AA92" s="573">
        <v>1231.5254237288148</v>
      </c>
      <c r="AB92" s="573">
        <v>68.418079096045261</v>
      </c>
      <c r="AC92" s="571">
        <f t="shared" si="81"/>
        <v>9</v>
      </c>
      <c r="AD92" s="685"/>
      <c r="AE92" s="571">
        <v>18</v>
      </c>
      <c r="AF92" s="573">
        <v>1234.4680851063831</v>
      </c>
      <c r="AG92" s="573">
        <v>68.581560283687949</v>
      </c>
      <c r="AH92" s="571">
        <f t="shared" si="83"/>
        <v>8</v>
      </c>
      <c r="AI92" s="685"/>
      <c r="AJ92" s="571">
        <v>18</v>
      </c>
      <c r="AK92" s="573">
        <v>1232.4000000000003</v>
      </c>
      <c r="AL92" s="573">
        <v>68.466666666666683</v>
      </c>
      <c r="AM92" s="571">
        <f t="shared" si="85"/>
        <v>7</v>
      </c>
      <c r="AN92" s="685"/>
      <c r="AO92" s="571">
        <v>18</v>
      </c>
      <c r="AP92" s="573">
        <v>1240.6451612903238</v>
      </c>
      <c r="AQ92" s="573">
        <v>68.924731182795767</v>
      </c>
      <c r="AR92" s="571">
        <f t="shared" si="87"/>
        <v>7</v>
      </c>
      <c r="AS92" s="685"/>
      <c r="AT92" s="571">
        <v>18</v>
      </c>
      <c r="AU92" s="573">
        <v>1249.5238095238108</v>
      </c>
      <c r="AV92" s="573">
        <v>69.417989417989489</v>
      </c>
      <c r="AW92" s="571">
        <f t="shared" si="89"/>
        <v>7</v>
      </c>
      <c r="AX92" s="685"/>
      <c r="AZ92" s="368" t="e">
        <f t="shared" si="91"/>
        <v>#N/A</v>
      </c>
      <c r="BA92" s="685"/>
    </row>
    <row r="93" spans="2:53">
      <c r="B93" s="660"/>
      <c r="C93" s="379">
        <v>7</v>
      </c>
      <c r="D93" s="225" t="s">
        <v>510</v>
      </c>
      <c r="E93" s="516">
        <v>16</v>
      </c>
      <c r="F93" s="513">
        <v>1440</v>
      </c>
      <c r="G93" s="512">
        <v>90</v>
      </c>
      <c r="H93" s="699"/>
      <c r="I93" s="381">
        <f t="shared" si="74"/>
        <v>16.142857142857142</v>
      </c>
      <c r="J93" s="381">
        <f t="shared" si="75"/>
        <v>1317.4801605508449</v>
      </c>
      <c r="K93" s="199">
        <f t="shared" si="76"/>
        <v>81.645698599573478</v>
      </c>
      <c r="L93" s="634"/>
      <c r="M93" s="466">
        <f>RANK(K93, K$87:$K$101)</f>
        <v>2</v>
      </c>
      <c r="N93" s="652"/>
      <c r="O93" s="652"/>
      <c r="P93" s="571">
        <v>16</v>
      </c>
      <c r="Q93" s="573">
        <v>1313.7599999999995</v>
      </c>
      <c r="R93" s="573">
        <v>82.109999999999971</v>
      </c>
      <c r="S93" s="571">
        <f t="shared" si="77"/>
        <v>2</v>
      </c>
      <c r="T93" s="685"/>
      <c r="U93" s="571">
        <v>16</v>
      </c>
      <c r="V93" s="573">
        <v>1306.6666666666661</v>
      </c>
      <c r="W93" s="573">
        <v>81.666666666666629</v>
      </c>
      <c r="X93" s="571">
        <f t="shared" si="79"/>
        <v>2</v>
      </c>
      <c r="Y93" s="685"/>
      <c r="Z93" s="571">
        <v>16</v>
      </c>
      <c r="AA93" s="573">
        <v>1315.5737704918029</v>
      </c>
      <c r="AB93" s="573">
        <v>82.223360655737679</v>
      </c>
      <c r="AC93" s="571">
        <f t="shared" si="81"/>
        <v>1</v>
      </c>
      <c r="AD93" s="685"/>
      <c r="AE93" s="571">
        <v>17</v>
      </c>
      <c r="AF93" s="573">
        <v>1326.7289719626174</v>
      </c>
      <c r="AG93" s="573">
        <v>78.04288070368338</v>
      </c>
      <c r="AH93" s="571">
        <f t="shared" si="83"/>
        <v>3</v>
      </c>
      <c r="AI93" s="685"/>
      <c r="AJ93" s="571">
        <v>16</v>
      </c>
      <c r="AK93" s="573">
        <v>1324.57627118644</v>
      </c>
      <c r="AL93" s="573">
        <v>82.786016949152497</v>
      </c>
      <c r="AM93" s="571">
        <f t="shared" si="85"/>
        <v>2</v>
      </c>
      <c r="AN93" s="685"/>
      <c r="AO93" s="571">
        <v>16</v>
      </c>
      <c r="AP93" s="573">
        <v>1308.2812499999998</v>
      </c>
      <c r="AQ93" s="573">
        <v>81.767578124999986</v>
      </c>
      <c r="AR93" s="571">
        <f t="shared" si="87"/>
        <v>2</v>
      </c>
      <c r="AS93" s="685"/>
      <c r="AT93" s="571">
        <v>16</v>
      </c>
      <c r="AU93" s="573">
        <v>1326.7741935483866</v>
      </c>
      <c r="AV93" s="573">
        <v>82.923387096774164</v>
      </c>
      <c r="AW93" s="571">
        <f t="shared" si="89"/>
        <v>2</v>
      </c>
      <c r="AX93" s="685"/>
      <c r="AZ93" s="368" t="e">
        <f t="shared" si="91"/>
        <v>#N/A</v>
      </c>
      <c r="BA93" s="685"/>
    </row>
    <row r="94" spans="2:53">
      <c r="B94" s="660"/>
      <c r="C94" s="379">
        <v>8</v>
      </c>
      <c r="D94" s="225" t="s">
        <v>561</v>
      </c>
      <c r="E94" s="516">
        <v>19</v>
      </c>
      <c r="F94" s="513">
        <v>1636</v>
      </c>
      <c r="G94" s="512">
        <v>86.1</v>
      </c>
      <c r="H94" s="699"/>
      <c r="I94" s="381">
        <f t="shared" si="74"/>
        <v>19</v>
      </c>
      <c r="J94" s="381">
        <f t="shared" si="75"/>
        <v>1482.9843329124117</v>
      </c>
      <c r="K94" s="199">
        <f t="shared" si="76"/>
        <v>78.051806995390081</v>
      </c>
      <c r="L94" s="634"/>
      <c r="M94" s="466">
        <f>RANK(K94, K$87:$K$101)</f>
        <v>3</v>
      </c>
      <c r="N94" s="652"/>
      <c r="O94" s="652"/>
      <c r="P94" s="571">
        <v>19</v>
      </c>
      <c r="Q94" s="573">
        <v>1497.0075949367088</v>
      </c>
      <c r="R94" s="573">
        <v>78.789873417721509</v>
      </c>
      <c r="S94" s="571">
        <f t="shared" si="77"/>
        <v>3</v>
      </c>
      <c r="T94" s="685"/>
      <c r="U94" s="571">
        <v>19</v>
      </c>
      <c r="V94" s="573">
        <v>1488.5427135678392</v>
      </c>
      <c r="W94" s="573">
        <v>78.344353345675742</v>
      </c>
      <c r="X94" s="571">
        <f t="shared" si="79"/>
        <v>3</v>
      </c>
      <c r="Y94" s="685"/>
      <c r="Z94" s="571">
        <v>19</v>
      </c>
      <c r="AA94" s="573">
        <v>1495.096153846154</v>
      </c>
      <c r="AB94" s="573">
        <v>78.689271255060746</v>
      </c>
      <c r="AC94" s="571">
        <f t="shared" si="81"/>
        <v>3</v>
      </c>
      <c r="AD94" s="685"/>
      <c r="AE94" s="571">
        <v>19</v>
      </c>
      <c r="AF94" s="573">
        <v>1518.846153846154</v>
      </c>
      <c r="AG94" s="573">
        <v>79.939271255060746</v>
      </c>
      <c r="AH94" s="571">
        <f t="shared" si="83"/>
        <v>2</v>
      </c>
      <c r="AI94" s="685"/>
      <c r="AJ94" s="571">
        <v>19</v>
      </c>
      <c r="AK94" s="573">
        <v>1496.1627906976742</v>
      </c>
      <c r="AL94" s="573">
        <v>78.74541003671969</v>
      </c>
      <c r="AM94" s="571">
        <f t="shared" si="85"/>
        <v>3</v>
      </c>
      <c r="AN94" s="685"/>
      <c r="AO94" s="571">
        <v>19</v>
      </c>
      <c r="AP94" s="573">
        <v>1500.3636363636372</v>
      </c>
      <c r="AQ94" s="573">
        <v>78.966507177033535</v>
      </c>
      <c r="AR94" s="571">
        <f t="shared" si="87"/>
        <v>3</v>
      </c>
      <c r="AS94" s="685"/>
      <c r="AT94" s="571">
        <v>19</v>
      </c>
      <c r="AU94" s="573">
        <v>1384.871287128713</v>
      </c>
      <c r="AV94" s="573">
        <v>72.887962480458583</v>
      </c>
      <c r="AW94" s="571">
        <f t="shared" si="89"/>
        <v>6</v>
      </c>
      <c r="AX94" s="685"/>
      <c r="AZ94" s="368" t="e">
        <f t="shared" si="91"/>
        <v>#N/A</v>
      </c>
      <c r="BA94" s="685"/>
    </row>
    <row r="95" spans="2:53">
      <c r="B95" s="660"/>
      <c r="C95" s="379">
        <v>9</v>
      </c>
      <c r="D95" s="225" t="s">
        <v>588</v>
      </c>
      <c r="E95" s="516">
        <v>16</v>
      </c>
      <c r="F95" s="513">
        <v>1440</v>
      </c>
      <c r="G95" s="512">
        <v>84.7</v>
      </c>
      <c r="H95" s="699"/>
      <c r="I95" s="381">
        <f t="shared" si="74"/>
        <v>15.142857142857142</v>
      </c>
      <c r="J95" s="381">
        <f t="shared" si="75"/>
        <v>1270.6475869273213</v>
      </c>
      <c r="K95" s="199">
        <f t="shared" si="76"/>
        <v>83.95445752379139</v>
      </c>
      <c r="L95" s="634"/>
      <c r="M95" s="466">
        <f>RANK(K95, K$87:$K$101)</f>
        <v>1</v>
      </c>
      <c r="N95" s="652"/>
      <c r="O95" s="652"/>
      <c r="P95" s="571">
        <v>15</v>
      </c>
      <c r="Q95" s="573">
        <v>1265.7324840764331</v>
      </c>
      <c r="R95" s="573">
        <v>84.382165605095537</v>
      </c>
      <c r="S95" s="571">
        <f t="shared" si="77"/>
        <v>1</v>
      </c>
      <c r="T95" s="685"/>
      <c r="U95" s="571">
        <v>15</v>
      </c>
      <c r="V95" s="573">
        <v>1271.5068493150682</v>
      </c>
      <c r="W95" s="573">
        <v>84.767123287671211</v>
      </c>
      <c r="X95" s="571">
        <f t="shared" si="79"/>
        <v>1</v>
      </c>
      <c r="Y95" s="685"/>
      <c r="Z95" s="571">
        <v>16</v>
      </c>
      <c r="AA95" s="573">
        <v>1269.0410958904108</v>
      </c>
      <c r="AB95" s="573">
        <v>79.315068493150676</v>
      </c>
      <c r="AC95" s="571">
        <f t="shared" si="81"/>
        <v>2</v>
      </c>
      <c r="AD95" s="685"/>
      <c r="AE95" s="571">
        <v>15</v>
      </c>
      <c r="AF95" s="573">
        <v>1264</v>
      </c>
      <c r="AG95" s="573">
        <v>84.266666666666666</v>
      </c>
      <c r="AH95" s="571">
        <f t="shared" si="83"/>
        <v>1</v>
      </c>
      <c r="AI95" s="685"/>
      <c r="AJ95" s="571">
        <v>15</v>
      </c>
      <c r="AK95" s="573">
        <v>1270.7368421052633</v>
      </c>
      <c r="AL95" s="573">
        <v>84.715789473684225</v>
      </c>
      <c r="AM95" s="571">
        <f t="shared" si="85"/>
        <v>1</v>
      </c>
      <c r="AN95" s="685"/>
      <c r="AO95" s="571">
        <v>15</v>
      </c>
      <c r="AP95" s="573">
        <v>1269.6923076923074</v>
      </c>
      <c r="AQ95" s="573">
        <v>84.646153846153823</v>
      </c>
      <c r="AR95" s="571">
        <f t="shared" si="87"/>
        <v>1</v>
      </c>
      <c r="AS95" s="685"/>
      <c r="AT95" s="571">
        <v>15</v>
      </c>
      <c r="AU95" s="573">
        <v>1283.8235294117649</v>
      </c>
      <c r="AV95" s="573">
        <v>85.588235294117652</v>
      </c>
      <c r="AW95" s="571">
        <f t="shared" si="89"/>
        <v>1</v>
      </c>
      <c r="AX95" s="685"/>
      <c r="AZ95" s="368" t="e">
        <f t="shared" si="91"/>
        <v>#N/A</v>
      </c>
      <c r="BA95" s="685"/>
    </row>
    <row r="96" spans="2:53">
      <c r="B96" s="660"/>
      <c r="C96" s="379">
        <v>10</v>
      </c>
      <c r="D96" s="225" t="s">
        <v>699</v>
      </c>
      <c r="E96" s="516">
        <v>18</v>
      </c>
      <c r="F96" s="513">
        <v>1440</v>
      </c>
      <c r="G96" s="512">
        <v>80</v>
      </c>
      <c r="H96" s="699"/>
      <c r="I96" s="381">
        <f t="shared" si="74"/>
        <v>17.333333333333332</v>
      </c>
      <c r="J96" s="381">
        <f t="shared" si="75"/>
        <v>1250.8270676691725</v>
      </c>
      <c r="K96" s="199">
        <f t="shared" si="76"/>
        <v>72.22615361934244</v>
      </c>
      <c r="L96" s="634"/>
      <c r="M96" s="466">
        <f>RANK(K96, K$87:$K$101)</f>
        <v>7</v>
      </c>
      <c r="N96" s="652"/>
      <c r="O96" s="652"/>
      <c r="P96" s="571">
        <v>17</v>
      </c>
      <c r="Q96" s="573">
        <v>1262.8571428571424</v>
      </c>
      <c r="R96" s="573">
        <v>74.285714285714263</v>
      </c>
      <c r="S96" s="571">
        <f t="shared" si="77"/>
        <v>6</v>
      </c>
      <c r="T96" s="685"/>
      <c r="U96" s="571">
        <v>17</v>
      </c>
      <c r="V96" s="573">
        <v>1248.5714285714282</v>
      </c>
      <c r="W96" s="573">
        <v>73.445378151260485</v>
      </c>
      <c r="X96" s="571">
        <f t="shared" si="79"/>
        <v>6</v>
      </c>
      <c r="Y96" s="685"/>
      <c r="Z96" s="571">
        <v>18</v>
      </c>
      <c r="AA96" s="573">
        <v>1241.0526315789464</v>
      </c>
      <c r="AB96" s="573">
        <v>68.947368421052573</v>
      </c>
      <c r="AC96" s="571">
        <f t="shared" si="81"/>
        <v>8</v>
      </c>
      <c r="AD96" s="685"/>
      <c r="AE96" s="571" t="s">
        <v>585</v>
      </c>
      <c r="AF96" s="573" t="s">
        <v>585</v>
      </c>
      <c r="AG96" s="573" t="s">
        <v>585</v>
      </c>
      <c r="AH96" s="571" t="e">
        <f t="shared" si="83"/>
        <v>#VALUE!</v>
      </c>
      <c r="AI96" s="685"/>
      <c r="AJ96" s="571" t="s">
        <v>585</v>
      </c>
      <c r="AK96" s="573" t="s">
        <v>585</v>
      </c>
      <c r="AL96" s="573" t="s">
        <v>585</v>
      </c>
      <c r="AM96" s="571" t="e">
        <f t="shared" si="85"/>
        <v>#VALUE!</v>
      </c>
      <c r="AN96" s="685"/>
      <c r="AO96" s="571" t="s">
        <v>585</v>
      </c>
      <c r="AP96" s="573" t="s">
        <v>585</v>
      </c>
      <c r="AQ96" s="573" t="s">
        <v>585</v>
      </c>
      <c r="AR96" s="571" t="e">
        <f t="shared" si="87"/>
        <v>#VALUE!</v>
      </c>
      <c r="AS96" s="685"/>
      <c r="AT96" s="571" t="s">
        <v>585</v>
      </c>
      <c r="AU96" s="573" t="s">
        <v>585</v>
      </c>
      <c r="AV96" s="573" t="s">
        <v>585</v>
      </c>
      <c r="AW96" s="571" t="e">
        <f t="shared" si="89"/>
        <v>#VALUE!</v>
      </c>
      <c r="AX96" s="685"/>
      <c r="AZ96" s="368" t="e">
        <f t="shared" si="91"/>
        <v>#N/A</v>
      </c>
      <c r="BA96" s="685"/>
    </row>
    <row r="97" spans="2:53">
      <c r="B97" s="660"/>
      <c r="C97" s="379">
        <v>11</v>
      </c>
      <c r="D97" s="225" t="s">
        <v>752</v>
      </c>
      <c r="E97" s="516">
        <v>20</v>
      </c>
      <c r="F97" s="513">
        <v>1385</v>
      </c>
      <c r="G97" s="512">
        <v>69.25</v>
      </c>
      <c r="H97" s="699"/>
      <c r="I97" s="381">
        <f t="shared" si="74"/>
        <v>20</v>
      </c>
      <c r="J97" s="381">
        <f t="shared" si="75"/>
        <v>1214.4206456084605</v>
      </c>
      <c r="K97" s="199">
        <f t="shared" si="76"/>
        <v>60.721032280423017</v>
      </c>
      <c r="L97" s="634"/>
      <c r="M97" s="466">
        <f>RANK(K97, K$87:$K$101)</f>
        <v>11</v>
      </c>
      <c r="N97" s="652"/>
      <c r="O97" s="652"/>
      <c r="P97" s="571">
        <v>20</v>
      </c>
      <c r="Q97" s="573">
        <v>1221.9230769230776</v>
      </c>
      <c r="R97" s="573">
        <v>61.096153846153882</v>
      </c>
      <c r="S97" s="571">
        <f t="shared" si="77"/>
        <v>10</v>
      </c>
      <c r="T97" s="685"/>
      <c r="U97" s="571">
        <v>20</v>
      </c>
      <c r="V97" s="573">
        <v>1214.1176470588241</v>
      </c>
      <c r="W97" s="573">
        <v>60.705882352941202</v>
      </c>
      <c r="X97" s="571">
        <f t="shared" si="79"/>
        <v>11</v>
      </c>
      <c r="Y97" s="685"/>
      <c r="Z97" s="571">
        <v>20</v>
      </c>
      <c r="AA97" s="573">
        <v>1201.1320754716987</v>
      </c>
      <c r="AB97" s="573">
        <v>60.056603773584939</v>
      </c>
      <c r="AC97" s="571">
        <f t="shared" si="81"/>
        <v>10</v>
      </c>
      <c r="AD97" s="685"/>
      <c r="AE97" s="571">
        <v>20</v>
      </c>
      <c r="AF97" s="573">
        <v>1210.1538461538473</v>
      </c>
      <c r="AG97" s="573">
        <v>60.507692307692366</v>
      </c>
      <c r="AH97" s="571">
        <f t="shared" si="83"/>
        <v>10</v>
      </c>
      <c r="AI97" s="685"/>
      <c r="AJ97" s="571">
        <v>20</v>
      </c>
      <c r="AK97" s="573">
        <v>1216.3636363636372</v>
      </c>
      <c r="AL97" s="573">
        <v>60.818181818181856</v>
      </c>
      <c r="AM97" s="571">
        <f t="shared" si="85"/>
        <v>10</v>
      </c>
      <c r="AN97" s="685"/>
      <c r="AO97" s="571">
        <v>20</v>
      </c>
      <c r="AP97" s="573">
        <v>1215.2542372881367</v>
      </c>
      <c r="AQ97" s="573">
        <v>60.762711864406832</v>
      </c>
      <c r="AR97" s="571">
        <f t="shared" si="87"/>
        <v>10</v>
      </c>
      <c r="AS97" s="685"/>
      <c r="AT97" s="571">
        <v>20</v>
      </c>
      <c r="AU97" s="573">
        <v>1222.0000000000011</v>
      </c>
      <c r="AV97" s="573">
        <v>61.100000000000058</v>
      </c>
      <c r="AW97" s="571">
        <f t="shared" si="89"/>
        <v>10</v>
      </c>
      <c r="AX97" s="685"/>
      <c r="AZ97" s="368" t="e">
        <f t="shared" si="91"/>
        <v>#N/A</v>
      </c>
      <c r="BA97" s="685"/>
    </row>
    <row r="98" spans="2:53">
      <c r="B98" s="660"/>
      <c r="C98" s="379">
        <v>12</v>
      </c>
      <c r="D98" s="225" t="s">
        <v>742</v>
      </c>
      <c r="E98" s="516">
        <v>19</v>
      </c>
      <c r="F98" s="513">
        <v>1385</v>
      </c>
      <c r="G98" s="512">
        <v>72.89473684210526</v>
      </c>
      <c r="H98" s="699"/>
      <c r="I98" s="381">
        <f t="shared" si="74"/>
        <v>18.571428571428573</v>
      </c>
      <c r="J98" s="381">
        <f t="shared" si="75"/>
        <v>1134.8919685197418</v>
      </c>
      <c r="K98" s="199">
        <f t="shared" si="76"/>
        <v>61.125003759912033</v>
      </c>
      <c r="L98" s="634"/>
      <c r="M98" s="466">
        <f>RANK(K98, K$87:$K$101)</f>
        <v>10</v>
      </c>
      <c r="N98" s="652"/>
      <c r="O98" s="652"/>
      <c r="P98" s="571">
        <v>19</v>
      </c>
      <c r="Q98" s="573">
        <v>1043.2258064516111</v>
      </c>
      <c r="R98" s="573">
        <v>54.906621392190061</v>
      </c>
      <c r="S98" s="571">
        <f t="shared" si="77"/>
        <v>12</v>
      </c>
      <c r="T98" s="685"/>
      <c r="U98" s="571">
        <v>19</v>
      </c>
      <c r="V98" s="573">
        <v>1218.6206896551701</v>
      </c>
      <c r="W98" s="573">
        <v>64.137931034482634</v>
      </c>
      <c r="X98" s="571">
        <f t="shared" si="79"/>
        <v>10</v>
      </c>
      <c r="Y98" s="685"/>
      <c r="Z98" s="571">
        <v>19</v>
      </c>
      <c r="AA98" s="573">
        <v>1125.0000000000014</v>
      </c>
      <c r="AB98" s="573">
        <v>59.210526315789544</v>
      </c>
      <c r="AC98" s="571">
        <f t="shared" si="81"/>
        <v>12</v>
      </c>
      <c r="AD98" s="685"/>
      <c r="AE98" s="571">
        <v>18</v>
      </c>
      <c r="AF98" s="573">
        <v>1112.9999999999995</v>
      </c>
      <c r="AG98" s="573">
        <v>61.833333333333307</v>
      </c>
      <c r="AH98" s="571">
        <f t="shared" si="83"/>
        <v>9</v>
      </c>
      <c r="AI98" s="685"/>
      <c r="AJ98" s="571">
        <v>18</v>
      </c>
      <c r="AK98" s="573">
        <v>1107.0967741935492</v>
      </c>
      <c r="AL98" s="573">
        <v>61.505376344086066</v>
      </c>
      <c r="AM98" s="571">
        <f t="shared" si="85"/>
        <v>9</v>
      </c>
      <c r="AN98" s="685"/>
      <c r="AO98" s="571">
        <v>18</v>
      </c>
      <c r="AP98" s="573">
        <v>1116.7741935483882</v>
      </c>
      <c r="AQ98" s="573">
        <v>62.043010752688232</v>
      </c>
      <c r="AR98" s="571">
        <f t="shared" si="87"/>
        <v>9</v>
      </c>
      <c r="AS98" s="685"/>
      <c r="AT98" s="571">
        <v>19</v>
      </c>
      <c r="AU98" s="573">
        <v>1220.5263157894728</v>
      </c>
      <c r="AV98" s="573">
        <v>64.238227146814367</v>
      </c>
      <c r="AW98" s="571">
        <f t="shared" si="89"/>
        <v>9</v>
      </c>
      <c r="AX98" s="685"/>
      <c r="AZ98" s="368" t="e">
        <f t="shared" si="91"/>
        <v>#N/A</v>
      </c>
      <c r="BA98" s="685"/>
    </row>
    <row r="99" spans="2:53">
      <c r="B99" s="660"/>
      <c r="C99" s="379">
        <v>13</v>
      </c>
      <c r="D99" s="225"/>
      <c r="E99" s="516"/>
      <c r="F99" s="513"/>
      <c r="G99" s="512"/>
      <c r="H99" s="699"/>
      <c r="I99" s="381" t="str">
        <f t="shared" si="74"/>
        <v>-</v>
      </c>
      <c r="J99" s="381" t="str">
        <f t="shared" si="75"/>
        <v>-</v>
      </c>
      <c r="K99" s="199" t="str">
        <f t="shared" si="76"/>
        <v>-</v>
      </c>
      <c r="L99" s="634"/>
      <c r="M99" s="466" t="e">
        <f>RANK(K99, K$87:$K$101)</f>
        <v>#VALUE!</v>
      </c>
      <c r="N99" s="652"/>
      <c r="O99" s="652"/>
      <c r="P99" s="571" t="s">
        <v>585</v>
      </c>
      <c r="Q99" s="573" t="s">
        <v>585</v>
      </c>
      <c r="R99" s="573" t="s">
        <v>585</v>
      </c>
      <c r="S99" s="571" t="e">
        <f t="shared" si="77"/>
        <v>#VALUE!</v>
      </c>
      <c r="T99" s="685"/>
      <c r="U99" s="571" t="s">
        <v>585</v>
      </c>
      <c r="V99" s="573" t="s">
        <v>585</v>
      </c>
      <c r="W99" s="573" t="s">
        <v>585</v>
      </c>
      <c r="X99" s="571" t="e">
        <f t="shared" si="79"/>
        <v>#VALUE!</v>
      </c>
      <c r="Y99" s="685"/>
      <c r="Z99" s="571" t="s">
        <v>585</v>
      </c>
      <c r="AA99" s="573" t="s">
        <v>585</v>
      </c>
      <c r="AB99" s="573" t="s">
        <v>585</v>
      </c>
      <c r="AC99" s="571" t="e">
        <f t="shared" si="81"/>
        <v>#VALUE!</v>
      </c>
      <c r="AD99" s="685"/>
      <c r="AE99" s="571" t="s">
        <v>585</v>
      </c>
      <c r="AF99" s="573" t="s">
        <v>585</v>
      </c>
      <c r="AG99" s="573" t="s">
        <v>585</v>
      </c>
      <c r="AH99" s="571" t="e">
        <f t="shared" si="83"/>
        <v>#VALUE!</v>
      </c>
      <c r="AI99" s="685"/>
      <c r="AJ99" s="571" t="s">
        <v>585</v>
      </c>
      <c r="AK99" s="573" t="s">
        <v>585</v>
      </c>
      <c r="AL99" s="573" t="s">
        <v>585</v>
      </c>
      <c r="AM99" s="571" t="e">
        <f t="shared" si="85"/>
        <v>#VALUE!</v>
      </c>
      <c r="AN99" s="685"/>
      <c r="AO99" s="571" t="s">
        <v>585</v>
      </c>
      <c r="AP99" s="573" t="s">
        <v>585</v>
      </c>
      <c r="AQ99" s="573" t="s">
        <v>585</v>
      </c>
      <c r="AR99" s="571" t="e">
        <f t="shared" si="87"/>
        <v>#VALUE!</v>
      </c>
      <c r="AS99" s="685"/>
      <c r="AT99" s="571" t="s">
        <v>585</v>
      </c>
      <c r="AU99" s="573" t="s">
        <v>585</v>
      </c>
      <c r="AV99" s="573" t="s">
        <v>585</v>
      </c>
      <c r="AW99" s="571" t="e">
        <f t="shared" si="89"/>
        <v>#VALUE!</v>
      </c>
      <c r="AX99" s="685"/>
      <c r="AZ99" s="368" t="e">
        <f t="shared" si="91"/>
        <v>#N/A</v>
      </c>
      <c r="BA99" s="685"/>
    </row>
    <row r="100" spans="2:53">
      <c r="B100" s="660"/>
      <c r="C100" s="379">
        <v>14</v>
      </c>
      <c r="D100" s="225"/>
      <c r="E100" s="516"/>
      <c r="F100" s="513"/>
      <c r="G100" s="512"/>
      <c r="H100" s="699"/>
      <c r="I100" s="381" t="str">
        <f t="shared" si="74"/>
        <v>-</v>
      </c>
      <c r="J100" s="381" t="str">
        <f t="shared" si="75"/>
        <v>-</v>
      </c>
      <c r="K100" s="199" t="str">
        <f t="shared" si="76"/>
        <v>-</v>
      </c>
      <c r="L100" s="634"/>
      <c r="M100" s="466" t="e">
        <f>RANK(K100, K$87:$K$101)</f>
        <v>#VALUE!</v>
      </c>
      <c r="N100" s="652"/>
      <c r="O100" s="652"/>
      <c r="P100" s="571" t="s">
        <v>585</v>
      </c>
      <c r="Q100" s="573" t="s">
        <v>585</v>
      </c>
      <c r="R100" s="573" t="s">
        <v>585</v>
      </c>
      <c r="S100" s="571" t="e">
        <f t="shared" si="77"/>
        <v>#VALUE!</v>
      </c>
      <c r="T100" s="685"/>
      <c r="U100" s="571" t="s">
        <v>585</v>
      </c>
      <c r="V100" s="573" t="s">
        <v>585</v>
      </c>
      <c r="W100" s="573" t="s">
        <v>585</v>
      </c>
      <c r="X100" s="571" t="e">
        <f t="shared" si="79"/>
        <v>#VALUE!</v>
      </c>
      <c r="Y100" s="685"/>
      <c r="Z100" s="571" t="s">
        <v>585</v>
      </c>
      <c r="AA100" s="573" t="s">
        <v>585</v>
      </c>
      <c r="AB100" s="573" t="s">
        <v>585</v>
      </c>
      <c r="AC100" s="571" t="e">
        <f t="shared" si="81"/>
        <v>#VALUE!</v>
      </c>
      <c r="AD100" s="685"/>
      <c r="AE100" s="571" t="s">
        <v>585</v>
      </c>
      <c r="AF100" s="573" t="s">
        <v>585</v>
      </c>
      <c r="AG100" s="573" t="s">
        <v>585</v>
      </c>
      <c r="AH100" s="571" t="e">
        <f t="shared" si="83"/>
        <v>#VALUE!</v>
      </c>
      <c r="AI100" s="685"/>
      <c r="AJ100" s="571" t="s">
        <v>585</v>
      </c>
      <c r="AK100" s="573" t="s">
        <v>585</v>
      </c>
      <c r="AL100" s="573" t="s">
        <v>585</v>
      </c>
      <c r="AM100" s="571" t="e">
        <f t="shared" si="85"/>
        <v>#VALUE!</v>
      </c>
      <c r="AN100" s="685"/>
      <c r="AO100" s="571" t="s">
        <v>585</v>
      </c>
      <c r="AP100" s="573" t="s">
        <v>585</v>
      </c>
      <c r="AQ100" s="573" t="s">
        <v>585</v>
      </c>
      <c r="AR100" s="571" t="e">
        <f t="shared" si="87"/>
        <v>#VALUE!</v>
      </c>
      <c r="AS100" s="685"/>
      <c r="AT100" s="571" t="s">
        <v>585</v>
      </c>
      <c r="AU100" s="573" t="s">
        <v>585</v>
      </c>
      <c r="AV100" s="573" t="s">
        <v>585</v>
      </c>
      <c r="AW100" s="571" t="e">
        <f t="shared" si="89"/>
        <v>#VALUE!</v>
      </c>
      <c r="AX100" s="685"/>
      <c r="AZ100" s="368" t="e">
        <f t="shared" si="91"/>
        <v>#N/A</v>
      </c>
      <c r="BA100" s="685"/>
    </row>
    <row r="101" spans="2:53">
      <c r="B101" s="660"/>
      <c r="C101" s="379">
        <v>15</v>
      </c>
      <c r="D101" s="225"/>
      <c r="E101" s="516"/>
      <c r="F101" s="513"/>
      <c r="G101" s="512"/>
      <c r="H101" s="700"/>
      <c r="I101" s="419" t="str">
        <f t="shared" ref="I101" si="93">IFERROR(AVERAGE(P101,U101,Z101,AE101,AJ101,AO101,AT101),"-")</f>
        <v>-</v>
      </c>
      <c r="J101" s="419" t="str">
        <f t="shared" ref="J101" si="94">IFERROR(AVERAGE(Q101,V101,AA101,AF101,AK101,AP101,AU101),"-")</f>
        <v>-</v>
      </c>
      <c r="K101" s="199" t="str">
        <f t="shared" ref="K101" si="95">IFERROR(AVERAGE(R101,W101,AB101,AG101,AL101,AQ101,AV101),"-")</f>
        <v>-</v>
      </c>
      <c r="L101" s="635"/>
      <c r="M101" s="466" t="e">
        <f>RANK(K101, K$87:$K$101)</f>
        <v>#VALUE!</v>
      </c>
      <c r="N101" s="652"/>
      <c r="O101" s="652"/>
      <c r="P101" s="571" t="s">
        <v>585</v>
      </c>
      <c r="Q101" s="573" t="s">
        <v>585</v>
      </c>
      <c r="R101" s="573" t="s">
        <v>585</v>
      </c>
      <c r="S101" s="571" t="e">
        <f t="shared" si="77"/>
        <v>#VALUE!</v>
      </c>
      <c r="T101" s="685"/>
      <c r="U101" s="571" t="s">
        <v>585</v>
      </c>
      <c r="V101" s="573" t="s">
        <v>585</v>
      </c>
      <c r="W101" s="573" t="s">
        <v>585</v>
      </c>
      <c r="X101" s="571" t="e">
        <f t="shared" si="79"/>
        <v>#VALUE!</v>
      </c>
      <c r="Y101" s="685"/>
      <c r="Z101" s="571" t="s">
        <v>585</v>
      </c>
      <c r="AA101" s="573" t="s">
        <v>585</v>
      </c>
      <c r="AB101" s="573" t="s">
        <v>585</v>
      </c>
      <c r="AC101" s="571" t="e">
        <f t="shared" si="81"/>
        <v>#VALUE!</v>
      </c>
      <c r="AD101" s="685"/>
      <c r="AE101" s="571" t="s">
        <v>585</v>
      </c>
      <c r="AF101" s="573" t="s">
        <v>585</v>
      </c>
      <c r="AG101" s="573" t="s">
        <v>585</v>
      </c>
      <c r="AH101" s="571" t="e">
        <f t="shared" si="83"/>
        <v>#VALUE!</v>
      </c>
      <c r="AI101" s="685"/>
      <c r="AJ101" s="571" t="s">
        <v>585</v>
      </c>
      <c r="AK101" s="573" t="s">
        <v>585</v>
      </c>
      <c r="AL101" s="573" t="s">
        <v>585</v>
      </c>
      <c r="AM101" s="571" t="e">
        <f t="shared" si="85"/>
        <v>#VALUE!</v>
      </c>
      <c r="AN101" s="685"/>
      <c r="AO101" s="571" t="s">
        <v>585</v>
      </c>
      <c r="AP101" s="573" t="s">
        <v>585</v>
      </c>
      <c r="AQ101" s="573" t="s">
        <v>585</v>
      </c>
      <c r="AR101" s="571" t="e">
        <f t="shared" si="87"/>
        <v>#VALUE!</v>
      </c>
      <c r="AS101" s="685"/>
      <c r="AT101" s="571" t="s">
        <v>585</v>
      </c>
      <c r="AU101" s="573" t="s">
        <v>585</v>
      </c>
      <c r="AV101" s="573" t="s">
        <v>585</v>
      </c>
      <c r="AW101" s="571" t="e">
        <f t="shared" si="89"/>
        <v>#VALUE!</v>
      </c>
      <c r="AX101" s="685"/>
      <c r="AZ101" s="368" t="e">
        <f t="shared" si="91"/>
        <v>#N/A</v>
      </c>
      <c r="BA101" s="685"/>
    </row>
    <row r="102" spans="2:53" ht="15.75">
      <c r="B102" s="664" t="s">
        <v>162</v>
      </c>
      <c r="C102" s="665"/>
      <c r="D102" s="665"/>
      <c r="E102" s="665"/>
      <c r="F102" s="665"/>
      <c r="G102" s="665"/>
      <c r="H102" s="666"/>
      <c r="I102" s="207"/>
      <c r="J102" s="207"/>
      <c r="K102" s="207"/>
      <c r="L102" s="207"/>
      <c r="M102" s="206"/>
      <c r="N102" s="653" t="s">
        <v>156</v>
      </c>
      <c r="O102" s="653" t="s">
        <v>105</v>
      </c>
      <c r="P102" s="659">
        <f>P82+7</f>
        <v>46266</v>
      </c>
      <c r="Q102" s="660"/>
      <c r="R102" s="660"/>
      <c r="S102" s="660"/>
      <c r="T102" s="660"/>
      <c r="U102" s="656">
        <f>P102+1</f>
        <v>46267</v>
      </c>
      <c r="V102" s="657"/>
      <c r="W102" s="657"/>
      <c r="X102" s="657"/>
      <c r="Y102" s="658"/>
      <c r="Z102" s="656">
        <f>U102+1</f>
        <v>46268</v>
      </c>
      <c r="AA102" s="657"/>
      <c r="AB102" s="657"/>
      <c r="AC102" s="657"/>
      <c r="AD102" s="658"/>
      <c r="AE102" s="656">
        <f>Z102+1</f>
        <v>46269</v>
      </c>
      <c r="AF102" s="657"/>
      <c r="AG102" s="657"/>
      <c r="AH102" s="657"/>
      <c r="AI102" s="658"/>
      <c r="AJ102" s="656">
        <f>AE102+1</f>
        <v>46270</v>
      </c>
      <c r="AK102" s="657"/>
      <c r="AL102" s="657"/>
      <c r="AM102" s="657"/>
      <c r="AN102" s="658"/>
      <c r="AO102" s="656">
        <f>AJ102+1</f>
        <v>46271</v>
      </c>
      <c r="AP102" s="657"/>
      <c r="AQ102" s="657"/>
      <c r="AR102" s="657"/>
      <c r="AS102" s="658"/>
      <c r="AT102" s="656">
        <f>AO102+1</f>
        <v>46272</v>
      </c>
      <c r="AU102" s="657"/>
      <c r="AV102" s="657"/>
      <c r="AW102" s="657"/>
      <c r="AX102" s="658"/>
    </row>
    <row r="103" spans="2:53" ht="15.75">
      <c r="B103" s="667"/>
      <c r="C103" s="667"/>
      <c r="D103" s="667"/>
      <c r="E103" s="667"/>
      <c r="F103" s="667"/>
      <c r="G103" s="667"/>
      <c r="H103" s="667"/>
      <c r="I103" s="204"/>
      <c r="J103" s="204"/>
      <c r="K103" s="204"/>
      <c r="L103" s="204"/>
      <c r="M103" s="205"/>
      <c r="N103" s="655"/>
      <c r="O103" s="655"/>
      <c r="P103" s="659" t="s">
        <v>158</v>
      </c>
      <c r="Q103" s="660"/>
      <c r="R103" s="660"/>
      <c r="S103" s="660"/>
      <c r="T103" s="660"/>
      <c r="U103" s="659" t="s">
        <v>114</v>
      </c>
      <c r="V103" s="660"/>
      <c r="W103" s="660"/>
      <c r="X103" s="660"/>
      <c r="Y103" s="660"/>
      <c r="Z103" s="659" t="s">
        <v>159</v>
      </c>
      <c r="AA103" s="660"/>
      <c r="AB103" s="660"/>
      <c r="AC103" s="660"/>
      <c r="AD103" s="660"/>
      <c r="AE103" s="659" t="s">
        <v>157</v>
      </c>
      <c r="AF103" s="660"/>
      <c r="AG103" s="660"/>
      <c r="AH103" s="660"/>
      <c r="AI103" s="660"/>
      <c r="AJ103" s="659" t="s">
        <v>160</v>
      </c>
      <c r="AK103" s="660"/>
      <c r="AL103" s="660"/>
      <c r="AM103" s="660"/>
      <c r="AN103" s="660"/>
      <c r="AO103" s="659" t="s">
        <v>115</v>
      </c>
      <c r="AP103" s="660"/>
      <c r="AQ103" s="660"/>
      <c r="AR103" s="660"/>
      <c r="AS103" s="660"/>
      <c r="AT103" s="659" t="s">
        <v>161</v>
      </c>
      <c r="AU103" s="660"/>
      <c r="AV103" s="660"/>
      <c r="AW103" s="660"/>
      <c r="AX103" s="660"/>
    </row>
    <row r="104" spans="2:53">
      <c r="B104" s="652" t="s">
        <v>154</v>
      </c>
      <c r="C104" s="652" t="s">
        <v>379</v>
      </c>
      <c r="D104" s="652"/>
      <c r="E104" s="652" t="s">
        <v>370</v>
      </c>
      <c r="F104" s="652"/>
      <c r="G104" s="652"/>
      <c r="H104" s="668" t="s">
        <v>366</v>
      </c>
      <c r="I104" s="636" t="s">
        <v>371</v>
      </c>
      <c r="J104" s="636"/>
      <c r="K104" s="636"/>
      <c r="L104" s="637" t="s">
        <v>366</v>
      </c>
      <c r="M104" s="643" t="s">
        <v>367</v>
      </c>
      <c r="N104" s="652"/>
      <c r="O104" s="652" t="s">
        <v>372</v>
      </c>
      <c r="P104" s="649" t="s">
        <v>368</v>
      </c>
      <c r="Q104" s="650"/>
      <c r="R104" s="650"/>
      <c r="S104" s="651"/>
      <c r="T104" s="652" t="s">
        <v>366</v>
      </c>
      <c r="U104" s="649" t="s">
        <v>368</v>
      </c>
      <c r="V104" s="650"/>
      <c r="W104" s="650"/>
      <c r="X104" s="651"/>
      <c r="Y104" s="652" t="s">
        <v>366</v>
      </c>
      <c r="Z104" s="649" t="s">
        <v>368</v>
      </c>
      <c r="AA104" s="650"/>
      <c r="AB104" s="650"/>
      <c r="AC104" s="651"/>
      <c r="AD104" s="652" t="s">
        <v>366</v>
      </c>
      <c r="AE104" s="649" t="s">
        <v>368</v>
      </c>
      <c r="AF104" s="650"/>
      <c r="AG104" s="650"/>
      <c r="AH104" s="651"/>
      <c r="AI104" s="652" t="s">
        <v>366</v>
      </c>
      <c r="AJ104" s="649" t="s">
        <v>368</v>
      </c>
      <c r="AK104" s="650"/>
      <c r="AL104" s="650"/>
      <c r="AM104" s="651"/>
      <c r="AN104" s="652" t="s">
        <v>366</v>
      </c>
      <c r="AO104" s="649" t="s">
        <v>368</v>
      </c>
      <c r="AP104" s="650"/>
      <c r="AQ104" s="650"/>
      <c r="AR104" s="651"/>
      <c r="AS104" s="652" t="s">
        <v>366</v>
      </c>
      <c r="AT104" s="649" t="s">
        <v>368</v>
      </c>
      <c r="AU104" s="650"/>
      <c r="AV104" s="650"/>
      <c r="AW104" s="651"/>
      <c r="AX104" s="652" t="s">
        <v>366</v>
      </c>
      <c r="BA104" s="652" t="s">
        <v>366</v>
      </c>
    </row>
    <row r="105" spans="2:53">
      <c r="B105" s="652"/>
      <c r="C105" s="652"/>
      <c r="D105" s="652"/>
      <c r="E105" s="652" t="s">
        <v>373</v>
      </c>
      <c r="F105" s="652"/>
      <c r="G105" s="652"/>
      <c r="H105" s="669"/>
      <c r="I105" s="636" t="s">
        <v>373</v>
      </c>
      <c r="J105" s="636"/>
      <c r="K105" s="636"/>
      <c r="L105" s="638"/>
      <c r="M105" s="644"/>
      <c r="N105" s="652"/>
      <c r="O105" s="652"/>
      <c r="P105" s="649" t="s">
        <v>374</v>
      </c>
      <c r="Q105" s="650"/>
      <c r="R105" s="650"/>
      <c r="S105" s="651"/>
      <c r="T105" s="652"/>
      <c r="U105" s="649" t="s">
        <v>374</v>
      </c>
      <c r="V105" s="650"/>
      <c r="W105" s="650"/>
      <c r="X105" s="651"/>
      <c r="Y105" s="652"/>
      <c r="Z105" s="649" t="s">
        <v>374</v>
      </c>
      <c r="AA105" s="650"/>
      <c r="AB105" s="650"/>
      <c r="AC105" s="651"/>
      <c r="AD105" s="652"/>
      <c r="AE105" s="649" t="s">
        <v>374</v>
      </c>
      <c r="AF105" s="650"/>
      <c r="AG105" s="650"/>
      <c r="AH105" s="651"/>
      <c r="AI105" s="652"/>
      <c r="AJ105" s="649" t="s">
        <v>374</v>
      </c>
      <c r="AK105" s="650"/>
      <c r="AL105" s="650"/>
      <c r="AM105" s="651"/>
      <c r="AN105" s="652"/>
      <c r="AO105" s="649" t="s">
        <v>374</v>
      </c>
      <c r="AP105" s="650"/>
      <c r="AQ105" s="650"/>
      <c r="AR105" s="651"/>
      <c r="AS105" s="652"/>
      <c r="AT105" s="649" t="s">
        <v>374</v>
      </c>
      <c r="AU105" s="650"/>
      <c r="AV105" s="650"/>
      <c r="AW105" s="651"/>
      <c r="AX105" s="652"/>
      <c r="BA105" s="652"/>
    </row>
    <row r="106" spans="2:53">
      <c r="B106" s="652"/>
      <c r="C106" s="652"/>
      <c r="D106" s="652"/>
      <c r="E106" s="304" t="s">
        <v>375</v>
      </c>
      <c r="F106" s="304" t="s">
        <v>376</v>
      </c>
      <c r="G106" s="304" t="s">
        <v>377</v>
      </c>
      <c r="H106" s="670"/>
      <c r="I106" s="305" t="s">
        <v>375</v>
      </c>
      <c r="J106" s="305" t="s">
        <v>376</v>
      </c>
      <c r="K106" s="305" t="s">
        <v>377</v>
      </c>
      <c r="L106" s="639"/>
      <c r="M106" s="645"/>
      <c r="N106" s="652"/>
      <c r="O106" s="652"/>
      <c r="P106" s="304" t="s">
        <v>375</v>
      </c>
      <c r="Q106" s="304" t="s">
        <v>376</v>
      </c>
      <c r="R106" s="304" t="s">
        <v>377</v>
      </c>
      <c r="S106" s="304" t="s">
        <v>367</v>
      </c>
      <c r="T106" s="652"/>
      <c r="U106" s="304" t="s">
        <v>375</v>
      </c>
      <c r="V106" s="304" t="s">
        <v>376</v>
      </c>
      <c r="W106" s="304" t="s">
        <v>377</v>
      </c>
      <c r="X106" s="304" t="s">
        <v>367</v>
      </c>
      <c r="Y106" s="652"/>
      <c r="Z106" s="304" t="s">
        <v>375</v>
      </c>
      <c r="AA106" s="304" t="s">
        <v>376</v>
      </c>
      <c r="AB106" s="304" t="s">
        <v>377</v>
      </c>
      <c r="AC106" s="304" t="s">
        <v>367</v>
      </c>
      <c r="AD106" s="652"/>
      <c r="AE106" s="304" t="s">
        <v>375</v>
      </c>
      <c r="AF106" s="304" t="s">
        <v>376</v>
      </c>
      <c r="AG106" s="304" t="s">
        <v>377</v>
      </c>
      <c r="AH106" s="304" t="s">
        <v>367</v>
      </c>
      <c r="AI106" s="652"/>
      <c r="AJ106" s="304" t="s">
        <v>375</v>
      </c>
      <c r="AK106" s="304" t="s">
        <v>376</v>
      </c>
      <c r="AL106" s="304" t="s">
        <v>377</v>
      </c>
      <c r="AM106" s="304" t="s">
        <v>367</v>
      </c>
      <c r="AN106" s="652"/>
      <c r="AO106" s="304" t="s">
        <v>375</v>
      </c>
      <c r="AP106" s="304" t="s">
        <v>376</v>
      </c>
      <c r="AQ106" s="304" t="s">
        <v>377</v>
      </c>
      <c r="AR106" s="304" t="s">
        <v>367</v>
      </c>
      <c r="AS106" s="652"/>
      <c r="AT106" s="304" t="s">
        <v>375</v>
      </c>
      <c r="AU106" s="304" t="s">
        <v>376</v>
      </c>
      <c r="AV106" s="304" t="s">
        <v>377</v>
      </c>
      <c r="AW106" s="304" t="s">
        <v>367</v>
      </c>
      <c r="AX106" s="652"/>
      <c r="AZ106" s="367" t="s">
        <v>367</v>
      </c>
      <c r="BA106" s="652"/>
    </row>
    <row r="107" spans="2:53">
      <c r="B107" s="652" t="s">
        <v>132</v>
      </c>
      <c r="C107" s="303">
        <v>1</v>
      </c>
      <c r="D107" s="225"/>
      <c r="E107" s="181"/>
      <c r="F107" s="353"/>
      <c r="G107" s="354"/>
      <c r="H107" s="698" t="e">
        <f>AVERAGE(G107:G121)</f>
        <v>#DIV/0!</v>
      </c>
      <c r="I107" s="363" t="str">
        <f t="shared" ref="I107:I120" si="96">IFERROR(AVERAGE(P107,U107,Z107,AE107,AJ107,AO107,AT107),"-")</f>
        <v>-</v>
      </c>
      <c r="J107" s="363" t="str">
        <f t="shared" ref="J107:J120" si="97">IFERROR(AVERAGE(Q107,V107,AA107,AF107,AK107,AP107,AU107),"-")</f>
        <v>-</v>
      </c>
      <c r="K107" s="199" t="str">
        <f t="shared" ref="K107:K120" si="98">IFERROR(AVERAGE(R107,W107,AB107,AG107,AL107,AQ107,AV107),"-")</f>
        <v>-</v>
      </c>
      <c r="L107" s="633" t="str">
        <f>IFERROR(AVERAGE(K107:K121),"-")</f>
        <v>-</v>
      </c>
      <c r="M107" s="200" t="e">
        <f>RANK(K107, K$107:$K$121)</f>
        <v>#VALUE!</v>
      </c>
      <c r="N107" s="652"/>
      <c r="O107" s="652"/>
      <c r="P107" s="507"/>
      <c r="Q107" s="509"/>
      <c r="R107" s="509"/>
      <c r="S107" s="507"/>
      <c r="T107" s="685"/>
      <c r="U107" s="507"/>
      <c r="V107" s="509"/>
      <c r="W107" s="509"/>
      <c r="X107" s="507"/>
      <c r="Y107" s="685"/>
      <c r="Z107" s="507"/>
      <c r="AA107" s="509"/>
      <c r="AB107" s="509"/>
      <c r="AC107" s="507"/>
      <c r="AD107" s="685"/>
      <c r="AE107" s="507"/>
      <c r="AF107" s="509"/>
      <c r="AG107" s="509"/>
      <c r="AH107" s="507"/>
      <c r="AI107" s="685"/>
      <c r="AJ107" s="507"/>
      <c r="AK107" s="509"/>
      <c r="AL107" s="509"/>
      <c r="AM107" s="507"/>
      <c r="AN107" s="685"/>
      <c r="AO107" s="507"/>
      <c r="AP107" s="509"/>
      <c r="AQ107" s="509"/>
      <c r="AR107" s="507"/>
      <c r="AS107" s="685"/>
      <c r="AT107" s="507"/>
      <c r="AU107" s="509"/>
      <c r="AV107" s="509"/>
      <c r="AW107" s="507"/>
      <c r="AX107" s="685"/>
      <c r="AZ107" s="368" t="e">
        <f>RANK(AY107, AY$107:AY$121)</f>
        <v>#N/A</v>
      </c>
      <c r="BA107" s="685" t="e">
        <f>AVERAGE(AY107:AY121)</f>
        <v>#DIV/0!</v>
      </c>
    </row>
    <row r="108" spans="2:53">
      <c r="B108" s="660"/>
      <c r="C108" s="303">
        <v>2</v>
      </c>
      <c r="D108" s="225"/>
      <c r="E108" s="181"/>
      <c r="F108" s="353"/>
      <c r="G108" s="354"/>
      <c r="H108" s="699"/>
      <c r="I108" s="363" t="str">
        <f t="shared" si="96"/>
        <v>-</v>
      </c>
      <c r="J108" s="363" t="str">
        <f t="shared" si="97"/>
        <v>-</v>
      </c>
      <c r="K108" s="199" t="str">
        <f t="shared" si="98"/>
        <v>-</v>
      </c>
      <c r="L108" s="634"/>
      <c r="M108" s="313" t="e">
        <f>RANK(K108, K$107:$K$121)</f>
        <v>#VALUE!</v>
      </c>
      <c r="N108" s="652"/>
      <c r="O108" s="652"/>
      <c r="P108" s="507"/>
      <c r="Q108" s="509"/>
      <c r="R108" s="509"/>
      <c r="S108" s="507"/>
      <c r="T108" s="685"/>
      <c r="U108" s="507"/>
      <c r="V108" s="509"/>
      <c r="W108" s="509"/>
      <c r="X108" s="507"/>
      <c r="Y108" s="685"/>
      <c r="Z108" s="507"/>
      <c r="AA108" s="509"/>
      <c r="AB108" s="509"/>
      <c r="AC108" s="507"/>
      <c r="AD108" s="685"/>
      <c r="AE108" s="507"/>
      <c r="AF108" s="509"/>
      <c r="AG108" s="509"/>
      <c r="AH108" s="507"/>
      <c r="AI108" s="685"/>
      <c r="AJ108" s="507"/>
      <c r="AK108" s="509"/>
      <c r="AL108" s="509"/>
      <c r="AM108" s="507"/>
      <c r="AN108" s="685"/>
      <c r="AO108" s="507"/>
      <c r="AP108" s="509"/>
      <c r="AQ108" s="509"/>
      <c r="AR108" s="507"/>
      <c r="AS108" s="685"/>
      <c r="AT108" s="507"/>
      <c r="AU108" s="509"/>
      <c r="AV108" s="509"/>
      <c r="AW108" s="507"/>
      <c r="AX108" s="685"/>
      <c r="AZ108" s="368" t="e">
        <f t="shared" ref="AZ108:AZ121" si="99">RANK(AY108, AY$107:AY$121)</f>
        <v>#N/A</v>
      </c>
      <c r="BA108" s="685"/>
    </row>
    <row r="109" spans="2:53">
      <c r="B109" s="660"/>
      <c r="C109" s="303">
        <v>3</v>
      </c>
      <c r="D109" s="225"/>
      <c r="E109" s="181"/>
      <c r="F109" s="353"/>
      <c r="G109" s="354"/>
      <c r="H109" s="699"/>
      <c r="I109" s="363" t="str">
        <f t="shared" si="96"/>
        <v>-</v>
      </c>
      <c r="J109" s="363" t="str">
        <f t="shared" si="97"/>
        <v>-</v>
      </c>
      <c r="K109" s="199" t="str">
        <f t="shared" si="98"/>
        <v>-</v>
      </c>
      <c r="L109" s="634"/>
      <c r="M109" s="313" t="e">
        <f>RANK(K109, K$107:$K$121)</f>
        <v>#VALUE!</v>
      </c>
      <c r="N109" s="652"/>
      <c r="O109" s="652"/>
      <c r="P109" s="507"/>
      <c r="Q109" s="509"/>
      <c r="R109" s="509"/>
      <c r="S109" s="507"/>
      <c r="T109" s="685"/>
      <c r="U109" s="507"/>
      <c r="V109" s="509"/>
      <c r="W109" s="509"/>
      <c r="X109" s="507"/>
      <c r="Y109" s="685"/>
      <c r="Z109" s="507"/>
      <c r="AA109" s="509"/>
      <c r="AB109" s="509"/>
      <c r="AC109" s="507"/>
      <c r="AD109" s="685"/>
      <c r="AE109" s="507"/>
      <c r="AF109" s="509"/>
      <c r="AG109" s="509"/>
      <c r="AH109" s="507"/>
      <c r="AI109" s="685"/>
      <c r="AJ109" s="507"/>
      <c r="AK109" s="509"/>
      <c r="AL109" s="509"/>
      <c r="AM109" s="507"/>
      <c r="AN109" s="685"/>
      <c r="AO109" s="507"/>
      <c r="AP109" s="509"/>
      <c r="AQ109" s="509"/>
      <c r="AR109" s="507"/>
      <c r="AS109" s="685"/>
      <c r="AT109" s="507"/>
      <c r="AU109" s="509"/>
      <c r="AV109" s="509"/>
      <c r="AW109" s="507"/>
      <c r="AX109" s="685"/>
      <c r="AZ109" s="368" t="e">
        <f t="shared" si="99"/>
        <v>#N/A</v>
      </c>
      <c r="BA109" s="685"/>
    </row>
    <row r="110" spans="2:53">
      <c r="B110" s="660"/>
      <c r="C110" s="303">
        <v>4</v>
      </c>
      <c r="D110" s="225"/>
      <c r="E110" s="181"/>
      <c r="F110" s="353"/>
      <c r="G110" s="354"/>
      <c r="H110" s="699"/>
      <c r="I110" s="363" t="str">
        <f t="shared" si="96"/>
        <v>-</v>
      </c>
      <c r="J110" s="363" t="str">
        <f t="shared" si="97"/>
        <v>-</v>
      </c>
      <c r="K110" s="199" t="str">
        <f t="shared" si="98"/>
        <v>-</v>
      </c>
      <c r="L110" s="634"/>
      <c r="M110" s="313" t="e">
        <f>RANK(K110, K$107:$K$121)</f>
        <v>#VALUE!</v>
      </c>
      <c r="N110" s="652"/>
      <c r="O110" s="652"/>
      <c r="P110" s="507"/>
      <c r="Q110" s="509"/>
      <c r="R110" s="509"/>
      <c r="S110" s="507"/>
      <c r="T110" s="685"/>
      <c r="U110" s="507"/>
      <c r="V110" s="509"/>
      <c r="W110" s="509"/>
      <c r="X110" s="507"/>
      <c r="Y110" s="685"/>
      <c r="Z110" s="507"/>
      <c r="AA110" s="509"/>
      <c r="AB110" s="509"/>
      <c r="AC110" s="507"/>
      <c r="AD110" s="685"/>
      <c r="AE110" s="507"/>
      <c r="AF110" s="509"/>
      <c r="AG110" s="509"/>
      <c r="AH110" s="507"/>
      <c r="AI110" s="685"/>
      <c r="AJ110" s="507"/>
      <c r="AK110" s="509"/>
      <c r="AL110" s="509"/>
      <c r="AM110" s="507"/>
      <c r="AN110" s="685"/>
      <c r="AO110" s="507"/>
      <c r="AP110" s="509"/>
      <c r="AQ110" s="509"/>
      <c r="AR110" s="507"/>
      <c r="AS110" s="685"/>
      <c r="AT110" s="507"/>
      <c r="AU110" s="509"/>
      <c r="AV110" s="509"/>
      <c r="AW110" s="507"/>
      <c r="AX110" s="685"/>
      <c r="AZ110" s="368" t="e">
        <f t="shared" si="99"/>
        <v>#N/A</v>
      </c>
      <c r="BA110" s="685"/>
    </row>
    <row r="111" spans="2:53">
      <c r="B111" s="660"/>
      <c r="C111" s="303">
        <v>5</v>
      </c>
      <c r="D111" s="225"/>
      <c r="E111" s="181"/>
      <c r="F111" s="353"/>
      <c r="G111" s="354"/>
      <c r="H111" s="699"/>
      <c r="I111" s="363" t="str">
        <f t="shared" si="96"/>
        <v>-</v>
      </c>
      <c r="J111" s="363" t="str">
        <f t="shared" si="97"/>
        <v>-</v>
      </c>
      <c r="K111" s="199" t="str">
        <f t="shared" si="98"/>
        <v>-</v>
      </c>
      <c r="L111" s="634"/>
      <c r="M111" s="313" t="e">
        <f>RANK(K111, K$107:$K$121)</f>
        <v>#VALUE!</v>
      </c>
      <c r="N111" s="652"/>
      <c r="O111" s="652"/>
      <c r="P111" s="507"/>
      <c r="Q111" s="509"/>
      <c r="R111" s="509"/>
      <c r="S111" s="507"/>
      <c r="T111" s="685"/>
      <c r="U111" s="507"/>
      <c r="V111" s="509"/>
      <c r="W111" s="509"/>
      <c r="X111" s="507"/>
      <c r="Y111" s="685"/>
      <c r="Z111" s="507"/>
      <c r="AA111" s="509"/>
      <c r="AB111" s="509"/>
      <c r="AC111" s="507"/>
      <c r="AD111" s="685"/>
      <c r="AE111" s="507"/>
      <c r="AF111" s="509"/>
      <c r="AG111" s="509"/>
      <c r="AH111" s="507"/>
      <c r="AI111" s="685"/>
      <c r="AJ111" s="507"/>
      <c r="AK111" s="509"/>
      <c r="AL111" s="509"/>
      <c r="AM111" s="507"/>
      <c r="AN111" s="685"/>
      <c r="AO111" s="507"/>
      <c r="AP111" s="509"/>
      <c r="AQ111" s="509"/>
      <c r="AR111" s="507"/>
      <c r="AS111" s="685"/>
      <c r="AT111" s="507"/>
      <c r="AU111" s="509"/>
      <c r="AV111" s="509"/>
      <c r="AW111" s="507"/>
      <c r="AX111" s="685"/>
      <c r="AZ111" s="368" t="e">
        <f t="shared" si="99"/>
        <v>#N/A</v>
      </c>
      <c r="BA111" s="685"/>
    </row>
    <row r="112" spans="2:53">
      <c r="B112" s="660"/>
      <c r="C112" s="303">
        <v>6</v>
      </c>
      <c r="D112" s="225"/>
      <c r="E112" s="181"/>
      <c r="F112" s="353"/>
      <c r="G112" s="354"/>
      <c r="H112" s="699"/>
      <c r="I112" s="363" t="str">
        <f t="shared" si="96"/>
        <v>-</v>
      </c>
      <c r="J112" s="363" t="str">
        <f t="shared" si="97"/>
        <v>-</v>
      </c>
      <c r="K112" s="199" t="str">
        <f t="shared" si="98"/>
        <v>-</v>
      </c>
      <c r="L112" s="634"/>
      <c r="M112" s="313" t="e">
        <f>RANK(K112, K$107:$K$121)</f>
        <v>#VALUE!</v>
      </c>
      <c r="N112" s="652"/>
      <c r="O112" s="652"/>
      <c r="P112" s="507"/>
      <c r="Q112" s="509"/>
      <c r="R112" s="509"/>
      <c r="S112" s="507"/>
      <c r="T112" s="685"/>
      <c r="U112" s="507"/>
      <c r="V112" s="509"/>
      <c r="W112" s="509"/>
      <c r="X112" s="507"/>
      <c r="Y112" s="685"/>
      <c r="Z112" s="507"/>
      <c r="AA112" s="509"/>
      <c r="AB112" s="509"/>
      <c r="AC112" s="507"/>
      <c r="AD112" s="685"/>
      <c r="AE112" s="507"/>
      <c r="AF112" s="509"/>
      <c r="AG112" s="509"/>
      <c r="AH112" s="507"/>
      <c r="AI112" s="685"/>
      <c r="AJ112" s="507"/>
      <c r="AK112" s="509"/>
      <c r="AL112" s="509"/>
      <c r="AM112" s="507"/>
      <c r="AN112" s="685"/>
      <c r="AO112" s="507"/>
      <c r="AP112" s="509"/>
      <c r="AQ112" s="509"/>
      <c r="AR112" s="507"/>
      <c r="AS112" s="685"/>
      <c r="AT112" s="507"/>
      <c r="AU112" s="509"/>
      <c r="AV112" s="509"/>
      <c r="AW112" s="507"/>
      <c r="AX112" s="685"/>
      <c r="AZ112" s="368" t="e">
        <f t="shared" si="99"/>
        <v>#N/A</v>
      </c>
      <c r="BA112" s="685"/>
    </row>
    <row r="113" spans="2:53">
      <c r="B113" s="660"/>
      <c r="C113" s="303">
        <v>7</v>
      </c>
      <c r="D113" s="225"/>
      <c r="E113" s="181"/>
      <c r="F113" s="353"/>
      <c r="G113" s="354"/>
      <c r="H113" s="699"/>
      <c r="I113" s="363" t="str">
        <f t="shared" si="96"/>
        <v>-</v>
      </c>
      <c r="J113" s="363" t="str">
        <f t="shared" si="97"/>
        <v>-</v>
      </c>
      <c r="K113" s="199" t="str">
        <f t="shared" si="98"/>
        <v>-</v>
      </c>
      <c r="L113" s="634"/>
      <c r="M113" s="313" t="e">
        <f>RANK(K113, K$107:$K$121)</f>
        <v>#VALUE!</v>
      </c>
      <c r="N113" s="652"/>
      <c r="O113" s="652"/>
      <c r="P113" s="507"/>
      <c r="Q113" s="509"/>
      <c r="R113" s="509"/>
      <c r="S113" s="507"/>
      <c r="T113" s="685"/>
      <c r="U113" s="507"/>
      <c r="V113" s="509"/>
      <c r="W113" s="509"/>
      <c r="X113" s="507"/>
      <c r="Y113" s="685"/>
      <c r="Z113" s="507"/>
      <c r="AA113" s="509"/>
      <c r="AB113" s="509"/>
      <c r="AC113" s="507"/>
      <c r="AD113" s="685"/>
      <c r="AE113" s="507"/>
      <c r="AF113" s="509"/>
      <c r="AG113" s="509"/>
      <c r="AH113" s="507"/>
      <c r="AI113" s="685"/>
      <c r="AJ113" s="507"/>
      <c r="AK113" s="509"/>
      <c r="AL113" s="509"/>
      <c r="AM113" s="507"/>
      <c r="AN113" s="685"/>
      <c r="AO113" s="507"/>
      <c r="AP113" s="509"/>
      <c r="AQ113" s="509"/>
      <c r="AR113" s="507"/>
      <c r="AS113" s="685"/>
      <c r="AT113" s="507"/>
      <c r="AU113" s="509"/>
      <c r="AV113" s="509"/>
      <c r="AW113" s="507"/>
      <c r="AX113" s="685"/>
      <c r="AZ113" s="368" t="e">
        <f t="shared" si="99"/>
        <v>#N/A</v>
      </c>
      <c r="BA113" s="685"/>
    </row>
    <row r="114" spans="2:53">
      <c r="B114" s="660"/>
      <c r="C114" s="303">
        <v>8</v>
      </c>
      <c r="D114" s="225"/>
      <c r="E114" s="181"/>
      <c r="F114" s="353"/>
      <c r="G114" s="354"/>
      <c r="H114" s="699"/>
      <c r="I114" s="363" t="str">
        <f t="shared" si="96"/>
        <v>-</v>
      </c>
      <c r="J114" s="363" t="str">
        <f t="shared" si="97"/>
        <v>-</v>
      </c>
      <c r="K114" s="199" t="str">
        <f t="shared" si="98"/>
        <v>-</v>
      </c>
      <c r="L114" s="634"/>
      <c r="M114" s="313" t="e">
        <f>RANK(K114, K$107:$K$121)</f>
        <v>#VALUE!</v>
      </c>
      <c r="N114" s="652"/>
      <c r="O114" s="652"/>
      <c r="P114" s="507"/>
      <c r="Q114" s="509"/>
      <c r="R114" s="509"/>
      <c r="S114" s="507"/>
      <c r="T114" s="685"/>
      <c r="U114" s="507"/>
      <c r="V114" s="509"/>
      <c r="W114" s="509"/>
      <c r="X114" s="507"/>
      <c r="Y114" s="685"/>
      <c r="Z114" s="507"/>
      <c r="AA114" s="509"/>
      <c r="AB114" s="509"/>
      <c r="AC114" s="507"/>
      <c r="AD114" s="685"/>
      <c r="AE114" s="507"/>
      <c r="AF114" s="509"/>
      <c r="AG114" s="509"/>
      <c r="AH114" s="507"/>
      <c r="AI114" s="685"/>
      <c r="AJ114" s="507"/>
      <c r="AK114" s="509"/>
      <c r="AL114" s="509"/>
      <c r="AM114" s="507"/>
      <c r="AN114" s="685"/>
      <c r="AO114" s="507"/>
      <c r="AP114" s="509"/>
      <c r="AQ114" s="509"/>
      <c r="AR114" s="507"/>
      <c r="AS114" s="685"/>
      <c r="AT114" s="507"/>
      <c r="AU114" s="509"/>
      <c r="AV114" s="509"/>
      <c r="AW114" s="507"/>
      <c r="AX114" s="685"/>
      <c r="AZ114" s="368" t="e">
        <f t="shared" si="99"/>
        <v>#N/A</v>
      </c>
      <c r="BA114" s="685"/>
    </row>
    <row r="115" spans="2:53">
      <c r="B115" s="660"/>
      <c r="C115" s="303">
        <v>9</v>
      </c>
      <c r="D115" s="225"/>
      <c r="E115" s="181"/>
      <c r="F115" s="353"/>
      <c r="G115" s="354"/>
      <c r="H115" s="699"/>
      <c r="I115" s="363" t="str">
        <f t="shared" si="96"/>
        <v>-</v>
      </c>
      <c r="J115" s="363" t="str">
        <f t="shared" si="97"/>
        <v>-</v>
      </c>
      <c r="K115" s="199" t="str">
        <f t="shared" si="98"/>
        <v>-</v>
      </c>
      <c r="L115" s="634"/>
      <c r="M115" s="313" t="e">
        <f>RANK(K115, K$107:$K$121)</f>
        <v>#VALUE!</v>
      </c>
      <c r="N115" s="652"/>
      <c r="O115" s="652"/>
      <c r="P115" s="507"/>
      <c r="Q115" s="509"/>
      <c r="R115" s="509"/>
      <c r="S115" s="507"/>
      <c r="T115" s="685"/>
      <c r="U115" s="507"/>
      <c r="V115" s="509"/>
      <c r="W115" s="509"/>
      <c r="X115" s="507"/>
      <c r="Y115" s="685"/>
      <c r="Z115" s="507"/>
      <c r="AA115" s="509"/>
      <c r="AB115" s="509"/>
      <c r="AC115" s="507"/>
      <c r="AD115" s="685"/>
      <c r="AE115" s="507"/>
      <c r="AF115" s="509"/>
      <c r="AG115" s="509"/>
      <c r="AH115" s="507"/>
      <c r="AI115" s="685"/>
      <c r="AJ115" s="507"/>
      <c r="AK115" s="509"/>
      <c r="AL115" s="509"/>
      <c r="AM115" s="507"/>
      <c r="AN115" s="685"/>
      <c r="AO115" s="507"/>
      <c r="AP115" s="509"/>
      <c r="AQ115" s="509"/>
      <c r="AR115" s="507"/>
      <c r="AS115" s="685"/>
      <c r="AT115" s="507"/>
      <c r="AU115" s="509"/>
      <c r="AV115" s="509"/>
      <c r="AW115" s="507"/>
      <c r="AX115" s="685"/>
      <c r="AZ115" s="368" t="e">
        <f t="shared" si="99"/>
        <v>#N/A</v>
      </c>
      <c r="BA115" s="685"/>
    </row>
    <row r="116" spans="2:53">
      <c r="B116" s="660"/>
      <c r="C116" s="303">
        <v>10</v>
      </c>
      <c r="D116" s="225"/>
      <c r="E116" s="181"/>
      <c r="F116" s="353"/>
      <c r="G116" s="354"/>
      <c r="H116" s="699"/>
      <c r="I116" s="363" t="str">
        <f t="shared" si="96"/>
        <v>-</v>
      </c>
      <c r="J116" s="363" t="str">
        <f t="shared" si="97"/>
        <v>-</v>
      </c>
      <c r="K116" s="199" t="str">
        <f t="shared" si="98"/>
        <v>-</v>
      </c>
      <c r="L116" s="634"/>
      <c r="M116" s="313" t="e">
        <f>RANK(K116, K$107:$K$121)</f>
        <v>#VALUE!</v>
      </c>
      <c r="N116" s="652"/>
      <c r="O116" s="652"/>
      <c r="P116" s="507"/>
      <c r="Q116" s="509"/>
      <c r="R116" s="509"/>
      <c r="S116" s="507"/>
      <c r="T116" s="685"/>
      <c r="U116" s="507"/>
      <c r="V116" s="509"/>
      <c r="W116" s="509"/>
      <c r="X116" s="507"/>
      <c r="Y116" s="685"/>
      <c r="Z116" s="507"/>
      <c r="AA116" s="509"/>
      <c r="AB116" s="509"/>
      <c r="AC116" s="507"/>
      <c r="AD116" s="685"/>
      <c r="AE116" s="507"/>
      <c r="AF116" s="509"/>
      <c r="AG116" s="509"/>
      <c r="AH116" s="507"/>
      <c r="AI116" s="685"/>
      <c r="AJ116" s="507"/>
      <c r="AK116" s="509"/>
      <c r="AL116" s="509"/>
      <c r="AM116" s="507"/>
      <c r="AN116" s="685"/>
      <c r="AO116" s="507"/>
      <c r="AP116" s="509"/>
      <c r="AQ116" s="509"/>
      <c r="AR116" s="507"/>
      <c r="AS116" s="685"/>
      <c r="AT116" s="507"/>
      <c r="AU116" s="509"/>
      <c r="AV116" s="509"/>
      <c r="AW116" s="507"/>
      <c r="AX116" s="685"/>
      <c r="AZ116" s="368" t="e">
        <f t="shared" si="99"/>
        <v>#N/A</v>
      </c>
      <c r="BA116" s="685"/>
    </row>
    <row r="117" spans="2:53">
      <c r="B117" s="660"/>
      <c r="C117" s="303">
        <v>11</v>
      </c>
      <c r="D117" s="225"/>
      <c r="E117" s="181"/>
      <c r="F117" s="353"/>
      <c r="G117" s="354"/>
      <c r="H117" s="699"/>
      <c r="I117" s="363" t="str">
        <f t="shared" si="96"/>
        <v>-</v>
      </c>
      <c r="J117" s="363" t="str">
        <f t="shared" si="97"/>
        <v>-</v>
      </c>
      <c r="K117" s="199" t="str">
        <f t="shared" si="98"/>
        <v>-</v>
      </c>
      <c r="L117" s="634"/>
      <c r="M117" s="313" t="e">
        <f>RANK(K117, K$107:$K$121)</f>
        <v>#VALUE!</v>
      </c>
      <c r="N117" s="652"/>
      <c r="O117" s="652"/>
      <c r="P117" s="507"/>
      <c r="Q117" s="509"/>
      <c r="R117" s="509"/>
      <c r="S117" s="507"/>
      <c r="T117" s="685"/>
      <c r="U117" s="507"/>
      <c r="V117" s="509"/>
      <c r="W117" s="509"/>
      <c r="X117" s="507"/>
      <c r="Y117" s="685"/>
      <c r="Z117" s="507"/>
      <c r="AA117" s="509"/>
      <c r="AB117" s="509"/>
      <c r="AC117" s="507"/>
      <c r="AD117" s="685"/>
      <c r="AE117" s="507"/>
      <c r="AF117" s="509"/>
      <c r="AG117" s="509"/>
      <c r="AH117" s="507"/>
      <c r="AI117" s="685"/>
      <c r="AJ117" s="507"/>
      <c r="AK117" s="509"/>
      <c r="AL117" s="509"/>
      <c r="AM117" s="507"/>
      <c r="AN117" s="685"/>
      <c r="AO117" s="507"/>
      <c r="AP117" s="509"/>
      <c r="AQ117" s="509"/>
      <c r="AR117" s="507"/>
      <c r="AS117" s="685"/>
      <c r="AT117" s="507"/>
      <c r="AU117" s="509"/>
      <c r="AV117" s="509"/>
      <c r="AW117" s="507"/>
      <c r="AX117" s="685"/>
      <c r="AZ117" s="368" t="e">
        <f t="shared" si="99"/>
        <v>#N/A</v>
      </c>
      <c r="BA117" s="685"/>
    </row>
    <row r="118" spans="2:53">
      <c r="B118" s="660"/>
      <c r="C118" s="303">
        <v>12</v>
      </c>
      <c r="D118" s="225"/>
      <c r="E118" s="181"/>
      <c r="F118" s="353"/>
      <c r="G118" s="354"/>
      <c r="H118" s="699"/>
      <c r="I118" s="363" t="str">
        <f t="shared" si="96"/>
        <v>-</v>
      </c>
      <c r="J118" s="363" t="str">
        <f t="shared" si="97"/>
        <v>-</v>
      </c>
      <c r="K118" s="199" t="str">
        <f t="shared" si="98"/>
        <v>-</v>
      </c>
      <c r="L118" s="634"/>
      <c r="M118" s="313" t="e">
        <f>RANK(K118, K$107:$K$121)</f>
        <v>#VALUE!</v>
      </c>
      <c r="N118" s="652"/>
      <c r="O118" s="652"/>
      <c r="P118" s="507"/>
      <c r="Q118" s="509"/>
      <c r="R118" s="509"/>
      <c r="S118" s="507"/>
      <c r="T118" s="685"/>
      <c r="U118" s="507"/>
      <c r="V118" s="509"/>
      <c r="W118" s="509"/>
      <c r="X118" s="507"/>
      <c r="Y118" s="685"/>
      <c r="Z118" s="507"/>
      <c r="AA118" s="509"/>
      <c r="AB118" s="509"/>
      <c r="AC118" s="507"/>
      <c r="AD118" s="685"/>
      <c r="AE118" s="507"/>
      <c r="AF118" s="509"/>
      <c r="AG118" s="509"/>
      <c r="AH118" s="507"/>
      <c r="AI118" s="685"/>
      <c r="AJ118" s="507"/>
      <c r="AK118" s="509"/>
      <c r="AL118" s="509"/>
      <c r="AM118" s="507"/>
      <c r="AN118" s="685"/>
      <c r="AO118" s="507"/>
      <c r="AP118" s="509"/>
      <c r="AQ118" s="509"/>
      <c r="AR118" s="507"/>
      <c r="AS118" s="685"/>
      <c r="AT118" s="507"/>
      <c r="AU118" s="509"/>
      <c r="AV118" s="509"/>
      <c r="AW118" s="507"/>
      <c r="AX118" s="685"/>
      <c r="AZ118" s="368" t="e">
        <f t="shared" si="99"/>
        <v>#N/A</v>
      </c>
      <c r="BA118" s="685"/>
    </row>
    <row r="119" spans="2:53">
      <c r="B119" s="660"/>
      <c r="C119" s="303">
        <v>13</v>
      </c>
      <c r="D119" s="225"/>
      <c r="E119" s="181"/>
      <c r="F119" s="353"/>
      <c r="G119" s="354"/>
      <c r="H119" s="699"/>
      <c r="I119" s="363" t="str">
        <f t="shared" si="96"/>
        <v>-</v>
      </c>
      <c r="J119" s="363" t="str">
        <f t="shared" si="97"/>
        <v>-</v>
      </c>
      <c r="K119" s="199" t="str">
        <f t="shared" si="98"/>
        <v>-</v>
      </c>
      <c r="L119" s="634"/>
      <c r="M119" s="313" t="e">
        <f>RANK(K119, K$107:$K$121)</f>
        <v>#VALUE!</v>
      </c>
      <c r="N119" s="652"/>
      <c r="O119" s="652"/>
      <c r="P119" s="507"/>
      <c r="Q119" s="509"/>
      <c r="R119" s="509"/>
      <c r="S119" s="507"/>
      <c r="T119" s="685"/>
      <c r="U119" s="507"/>
      <c r="V119" s="509"/>
      <c r="W119" s="509"/>
      <c r="X119" s="507"/>
      <c r="Y119" s="685"/>
      <c r="Z119" s="507"/>
      <c r="AA119" s="509"/>
      <c r="AB119" s="509"/>
      <c r="AC119" s="507"/>
      <c r="AD119" s="685"/>
      <c r="AE119" s="507"/>
      <c r="AF119" s="509"/>
      <c r="AG119" s="509"/>
      <c r="AH119" s="507"/>
      <c r="AI119" s="685"/>
      <c r="AJ119" s="507"/>
      <c r="AK119" s="509"/>
      <c r="AL119" s="509"/>
      <c r="AM119" s="507"/>
      <c r="AN119" s="685"/>
      <c r="AO119" s="507"/>
      <c r="AP119" s="509"/>
      <c r="AQ119" s="509"/>
      <c r="AR119" s="507"/>
      <c r="AS119" s="685"/>
      <c r="AT119" s="507"/>
      <c r="AU119" s="509"/>
      <c r="AV119" s="509"/>
      <c r="AW119" s="507"/>
      <c r="AX119" s="685"/>
      <c r="AZ119" s="368" t="e">
        <f t="shared" si="99"/>
        <v>#N/A</v>
      </c>
      <c r="BA119" s="685"/>
    </row>
    <row r="120" spans="2:53">
      <c r="B120" s="660"/>
      <c r="C120" s="303">
        <v>14</v>
      </c>
      <c r="D120" s="225"/>
      <c r="E120" s="181"/>
      <c r="F120" s="353"/>
      <c r="G120" s="354"/>
      <c r="H120" s="699"/>
      <c r="I120" s="363" t="str">
        <f t="shared" si="96"/>
        <v>-</v>
      </c>
      <c r="J120" s="363" t="str">
        <f t="shared" si="97"/>
        <v>-</v>
      </c>
      <c r="K120" s="199" t="str">
        <f t="shared" si="98"/>
        <v>-</v>
      </c>
      <c r="L120" s="634"/>
      <c r="M120" s="313" t="e">
        <f>RANK(K120, K$107:$K$121)</f>
        <v>#VALUE!</v>
      </c>
      <c r="N120" s="652"/>
      <c r="O120" s="652"/>
      <c r="P120" s="507"/>
      <c r="Q120" s="509"/>
      <c r="R120" s="509"/>
      <c r="S120" s="507"/>
      <c r="T120" s="685"/>
      <c r="U120" s="507"/>
      <c r="V120" s="509"/>
      <c r="W120" s="509"/>
      <c r="X120" s="507"/>
      <c r="Y120" s="685"/>
      <c r="Z120" s="507"/>
      <c r="AA120" s="509"/>
      <c r="AB120" s="509"/>
      <c r="AC120" s="507"/>
      <c r="AD120" s="685"/>
      <c r="AE120" s="507"/>
      <c r="AF120" s="509"/>
      <c r="AG120" s="509"/>
      <c r="AH120" s="507"/>
      <c r="AI120" s="685"/>
      <c r="AJ120" s="507"/>
      <c r="AK120" s="509"/>
      <c r="AL120" s="509"/>
      <c r="AM120" s="507"/>
      <c r="AN120" s="685"/>
      <c r="AO120" s="507"/>
      <c r="AP120" s="509"/>
      <c r="AQ120" s="509"/>
      <c r="AR120" s="507"/>
      <c r="AS120" s="685"/>
      <c r="AT120" s="507"/>
      <c r="AU120" s="509"/>
      <c r="AV120" s="509"/>
      <c r="AW120" s="507"/>
      <c r="AX120" s="685"/>
      <c r="AZ120" s="368" t="e">
        <f t="shared" si="99"/>
        <v>#N/A</v>
      </c>
      <c r="BA120" s="685"/>
    </row>
    <row r="121" spans="2:53">
      <c r="B121" s="660"/>
      <c r="C121" s="303">
        <v>15</v>
      </c>
      <c r="D121" s="225"/>
      <c r="E121" s="181"/>
      <c r="F121" s="353"/>
      <c r="G121" s="354"/>
      <c r="H121" s="700"/>
      <c r="I121" s="201"/>
      <c r="J121" s="201"/>
      <c r="K121" s="201"/>
      <c r="L121" s="635"/>
      <c r="M121" s="313" t="e">
        <f>RANK(K121, K$107:$K$121)</f>
        <v>#N/A</v>
      </c>
      <c r="N121" s="652"/>
      <c r="O121" s="652"/>
      <c r="P121" s="507"/>
      <c r="Q121" s="509"/>
      <c r="R121" s="509"/>
      <c r="S121" s="507"/>
      <c r="T121" s="685"/>
      <c r="U121" s="507"/>
      <c r="V121" s="509"/>
      <c r="W121" s="509"/>
      <c r="X121" s="507"/>
      <c r="Y121" s="685"/>
      <c r="Z121" s="507"/>
      <c r="AA121" s="509"/>
      <c r="AB121" s="509"/>
      <c r="AC121" s="507"/>
      <c r="AD121" s="685"/>
      <c r="AE121" s="507"/>
      <c r="AF121" s="509"/>
      <c r="AG121" s="509"/>
      <c r="AH121" s="507"/>
      <c r="AI121" s="685"/>
      <c r="AJ121" s="507"/>
      <c r="AK121" s="509"/>
      <c r="AL121" s="509"/>
      <c r="AM121" s="507"/>
      <c r="AN121" s="685"/>
      <c r="AO121" s="507"/>
      <c r="AP121" s="509"/>
      <c r="AQ121" s="509"/>
      <c r="AR121" s="507"/>
      <c r="AS121" s="685"/>
      <c r="AT121" s="507"/>
      <c r="AU121" s="509"/>
      <c r="AV121" s="509"/>
      <c r="AW121" s="507"/>
      <c r="AX121" s="685"/>
      <c r="AZ121" s="368" t="e">
        <f t="shared" si="99"/>
        <v>#N/A</v>
      </c>
      <c r="BA121" s="685"/>
    </row>
    <row r="123" spans="2:53" ht="15.75">
      <c r="B123" s="686" t="s">
        <v>472</v>
      </c>
      <c r="C123" s="687"/>
      <c r="D123" s="687"/>
      <c r="E123" s="687"/>
      <c r="F123" s="687"/>
      <c r="G123" s="687"/>
      <c r="H123" s="688"/>
      <c r="I123" s="307"/>
      <c r="J123" s="307"/>
      <c r="K123" s="307"/>
      <c r="L123" s="307"/>
      <c r="M123" s="308"/>
    </row>
    <row r="124" spans="2:53" ht="15.75">
      <c r="B124" s="689"/>
      <c r="C124" s="689"/>
      <c r="D124" s="689"/>
      <c r="E124" s="689"/>
      <c r="F124" s="689"/>
      <c r="G124" s="689"/>
      <c r="H124" s="689"/>
      <c r="I124" s="309"/>
      <c r="J124" s="309"/>
      <c r="K124" s="309"/>
      <c r="L124" s="309"/>
      <c r="M124" s="310"/>
    </row>
    <row r="125" spans="2:53">
      <c r="B125" s="652" t="s">
        <v>473</v>
      </c>
      <c r="C125" s="652" t="s">
        <v>474</v>
      </c>
      <c r="D125" s="652"/>
      <c r="E125" s="652" t="s">
        <v>475</v>
      </c>
      <c r="F125" s="652"/>
      <c r="G125" s="652"/>
      <c r="H125" s="668" t="s">
        <v>476</v>
      </c>
      <c r="I125" s="690" t="s">
        <v>477</v>
      </c>
      <c r="J125" s="690"/>
      <c r="K125" s="690"/>
      <c r="L125" s="704" t="s">
        <v>476</v>
      </c>
      <c r="M125" s="707" t="s">
        <v>478</v>
      </c>
    </row>
    <row r="126" spans="2:53">
      <c r="B126" s="652"/>
      <c r="C126" s="652"/>
      <c r="D126" s="652"/>
      <c r="E126" s="652" t="s">
        <v>479</v>
      </c>
      <c r="F126" s="652"/>
      <c r="G126" s="652"/>
      <c r="H126" s="669"/>
      <c r="I126" s="690" t="s">
        <v>479</v>
      </c>
      <c r="J126" s="690"/>
      <c r="K126" s="690"/>
      <c r="L126" s="705"/>
      <c r="M126" s="708"/>
    </row>
    <row r="127" spans="2:53">
      <c r="B127" s="652"/>
      <c r="C127" s="652"/>
      <c r="D127" s="652"/>
      <c r="E127" s="304" t="s">
        <v>480</v>
      </c>
      <c r="F127" s="304" t="s">
        <v>481</v>
      </c>
      <c r="G127" s="304" t="s">
        <v>482</v>
      </c>
      <c r="H127" s="670"/>
      <c r="I127" s="311" t="s">
        <v>480</v>
      </c>
      <c r="J127" s="311" t="s">
        <v>481</v>
      </c>
      <c r="K127" s="311" t="s">
        <v>482</v>
      </c>
      <c r="L127" s="706"/>
      <c r="M127" s="709"/>
    </row>
    <row r="128" spans="2:53">
      <c r="B128" s="652" t="s">
        <v>488</v>
      </c>
      <c r="C128" s="303">
        <v>1</v>
      </c>
      <c r="D128" s="225"/>
      <c r="E128" s="181"/>
      <c r="F128" s="303"/>
      <c r="G128" s="306"/>
      <c r="H128" s="698" t="e">
        <f>AVERAGE(G128:G142)</f>
        <v>#DIV/0!</v>
      </c>
      <c r="I128" s="198" t="e">
        <f t="shared" ref="I128:J135" si="100">AVERAGEIF($D$7:$D$121,$D128,I$7:I$121)</f>
        <v>#DIV/0!</v>
      </c>
      <c r="J128" s="198" t="e">
        <f t="shared" si="100"/>
        <v>#DIV/0!</v>
      </c>
      <c r="K128" s="198" t="e">
        <f t="shared" ref="K128:K135" si="101">AVERAGEIF($D$7:$D$121,$D128,K$7:K$121)</f>
        <v>#DIV/0!</v>
      </c>
      <c r="L128" s="701" t="e">
        <f>AVERAGE(K128:K142)</f>
        <v>#DIV/0!</v>
      </c>
      <c r="M128" s="198" t="e">
        <f>RANK(K128, K$128:$K$142)</f>
        <v>#DIV/0!</v>
      </c>
    </row>
    <row r="129" spans="2:39">
      <c r="B129" s="660"/>
      <c r="C129" s="303">
        <v>2</v>
      </c>
      <c r="D129" s="225"/>
      <c r="E129" s="181"/>
      <c r="F129" s="303"/>
      <c r="G129" s="306"/>
      <c r="H129" s="699"/>
      <c r="I129" s="198" t="e">
        <f t="shared" si="100"/>
        <v>#DIV/0!</v>
      </c>
      <c r="J129" s="198" t="e">
        <f t="shared" si="100"/>
        <v>#DIV/0!</v>
      </c>
      <c r="K129" s="198" t="e">
        <f t="shared" si="101"/>
        <v>#DIV/0!</v>
      </c>
      <c r="L129" s="702"/>
      <c r="M129" s="198" t="e">
        <f>RANK(K129, K$128:$K$142)</f>
        <v>#DIV/0!</v>
      </c>
      <c r="N129" s="107"/>
      <c r="O129" s="107"/>
      <c r="P129" s="107"/>
      <c r="Q129" s="107"/>
      <c r="R129" s="107"/>
      <c r="S129" s="107"/>
      <c r="T129" s="107"/>
      <c r="X129" s="107"/>
      <c r="AC129" s="107"/>
      <c r="AH129" s="107"/>
      <c r="AM129" s="107"/>
    </row>
    <row r="130" spans="2:39">
      <c r="B130" s="660"/>
      <c r="C130" s="303">
        <v>3</v>
      </c>
      <c r="D130" s="225"/>
      <c r="E130" s="181"/>
      <c r="F130" s="303"/>
      <c r="G130" s="306"/>
      <c r="H130" s="699"/>
      <c r="I130" s="198" t="e">
        <f t="shared" si="100"/>
        <v>#DIV/0!</v>
      </c>
      <c r="J130" s="198" t="e">
        <f t="shared" si="100"/>
        <v>#DIV/0!</v>
      </c>
      <c r="K130" s="198" t="e">
        <f t="shared" si="101"/>
        <v>#DIV/0!</v>
      </c>
      <c r="L130" s="702"/>
      <c r="M130" s="198" t="e">
        <f>RANK(K130, K$128:$K$142)</f>
        <v>#DIV/0!</v>
      </c>
      <c r="N130" s="107"/>
      <c r="O130" s="107"/>
      <c r="P130" s="107"/>
      <c r="Q130" s="107"/>
      <c r="R130" s="107"/>
      <c r="S130" s="107"/>
      <c r="T130" s="107"/>
      <c r="X130" s="107"/>
      <c r="AC130" s="107"/>
      <c r="AH130" s="107"/>
      <c r="AM130" s="107"/>
    </row>
    <row r="131" spans="2:39">
      <c r="B131" s="660"/>
      <c r="C131" s="303">
        <v>4</v>
      </c>
      <c r="D131" s="225"/>
      <c r="E131" s="181"/>
      <c r="F131" s="303"/>
      <c r="G131" s="306"/>
      <c r="H131" s="699"/>
      <c r="I131" s="198" t="e">
        <f t="shared" si="100"/>
        <v>#DIV/0!</v>
      </c>
      <c r="J131" s="198" t="e">
        <f t="shared" si="100"/>
        <v>#DIV/0!</v>
      </c>
      <c r="K131" s="198" t="e">
        <f t="shared" si="101"/>
        <v>#DIV/0!</v>
      </c>
      <c r="L131" s="702"/>
      <c r="M131" s="198" t="e">
        <f>RANK(K131, K$128:$K$142)</f>
        <v>#DIV/0!</v>
      </c>
      <c r="N131" s="107"/>
      <c r="O131" s="107"/>
      <c r="P131" s="107"/>
      <c r="Q131" s="107"/>
      <c r="R131" s="107"/>
      <c r="S131" s="107"/>
      <c r="T131" s="107"/>
      <c r="X131" s="107"/>
      <c r="AC131" s="107"/>
      <c r="AH131" s="107"/>
      <c r="AM131" s="107"/>
    </row>
    <row r="132" spans="2:39">
      <c r="B132" s="660"/>
      <c r="C132" s="303">
        <v>5</v>
      </c>
      <c r="D132" s="225"/>
      <c r="E132" s="181"/>
      <c r="F132" s="303"/>
      <c r="G132" s="306"/>
      <c r="H132" s="699"/>
      <c r="I132" s="198" t="e">
        <f t="shared" si="100"/>
        <v>#DIV/0!</v>
      </c>
      <c r="J132" s="198" t="e">
        <f t="shared" si="100"/>
        <v>#DIV/0!</v>
      </c>
      <c r="K132" s="198" t="e">
        <f t="shared" si="101"/>
        <v>#DIV/0!</v>
      </c>
      <c r="L132" s="702"/>
      <c r="M132" s="198" t="e">
        <f>RANK(K132, K$128:$K$142)</f>
        <v>#DIV/0!</v>
      </c>
      <c r="N132" s="107"/>
      <c r="O132" s="107"/>
      <c r="P132" s="107"/>
      <c r="Q132" s="107"/>
      <c r="R132" s="107"/>
      <c r="S132" s="107"/>
      <c r="T132" s="107"/>
      <c r="X132" s="107"/>
      <c r="AC132" s="107"/>
      <c r="AH132" s="107"/>
      <c r="AM132" s="107"/>
    </row>
    <row r="133" spans="2:39">
      <c r="B133" s="660"/>
      <c r="C133" s="303">
        <v>6</v>
      </c>
      <c r="D133" s="312"/>
      <c r="E133" s="181"/>
      <c r="F133" s="303"/>
      <c r="G133" s="306"/>
      <c r="H133" s="699"/>
      <c r="I133" s="198" t="e">
        <f t="shared" si="100"/>
        <v>#DIV/0!</v>
      </c>
      <c r="J133" s="198" t="e">
        <f t="shared" si="100"/>
        <v>#DIV/0!</v>
      </c>
      <c r="K133" s="198" t="e">
        <f t="shared" si="101"/>
        <v>#DIV/0!</v>
      </c>
      <c r="L133" s="702"/>
      <c r="M133" s="198" t="e">
        <f>RANK(K133, K$128:$K$142)</f>
        <v>#DIV/0!</v>
      </c>
      <c r="N133" s="107"/>
      <c r="O133" s="107"/>
      <c r="P133" s="107"/>
      <c r="Q133" s="107"/>
      <c r="R133" s="107"/>
      <c r="S133" s="107"/>
      <c r="T133" s="107"/>
      <c r="X133" s="107"/>
      <c r="AC133" s="107"/>
      <c r="AH133" s="107"/>
      <c r="AM133" s="107"/>
    </row>
    <row r="134" spans="2:39">
      <c r="B134" s="660"/>
      <c r="C134" s="303">
        <v>7</v>
      </c>
      <c r="D134" s="225"/>
      <c r="E134" s="181"/>
      <c r="F134" s="303"/>
      <c r="G134" s="306"/>
      <c r="H134" s="699"/>
      <c r="I134" s="198" t="e">
        <f t="shared" si="100"/>
        <v>#DIV/0!</v>
      </c>
      <c r="J134" s="198" t="e">
        <f t="shared" si="100"/>
        <v>#DIV/0!</v>
      </c>
      <c r="K134" s="198" t="e">
        <f t="shared" si="101"/>
        <v>#DIV/0!</v>
      </c>
      <c r="L134" s="702"/>
      <c r="M134" s="198" t="e">
        <f>RANK(K134, K$128:$K$142)</f>
        <v>#DIV/0!</v>
      </c>
      <c r="N134" s="107"/>
      <c r="O134" s="107"/>
      <c r="P134" s="107"/>
      <c r="Q134" s="107"/>
      <c r="R134" s="107"/>
      <c r="S134" s="107"/>
      <c r="T134" s="107"/>
      <c r="X134" s="107"/>
      <c r="AC134" s="107"/>
      <c r="AH134" s="107"/>
      <c r="AM134" s="107"/>
    </row>
    <row r="135" spans="2:39">
      <c r="B135" s="660"/>
      <c r="C135" s="303">
        <v>8</v>
      </c>
      <c r="D135" s="225"/>
      <c r="E135" s="181"/>
      <c r="F135" s="303"/>
      <c r="G135" s="306"/>
      <c r="H135" s="699"/>
      <c r="I135" s="198" t="e">
        <f t="shared" si="100"/>
        <v>#DIV/0!</v>
      </c>
      <c r="J135" s="198" t="e">
        <f t="shared" si="100"/>
        <v>#DIV/0!</v>
      </c>
      <c r="K135" s="198" t="e">
        <f t="shared" si="101"/>
        <v>#DIV/0!</v>
      </c>
      <c r="L135" s="702"/>
      <c r="M135" s="198" t="e">
        <f>RANK(K135, K$128:$K$142)</f>
        <v>#DIV/0!</v>
      </c>
      <c r="N135" s="107"/>
      <c r="O135" s="107"/>
      <c r="P135" s="107"/>
      <c r="Q135" s="107"/>
      <c r="R135" s="107"/>
      <c r="S135" s="107"/>
      <c r="T135" s="107"/>
      <c r="X135" s="107"/>
      <c r="AC135" s="107"/>
      <c r="AH135" s="107"/>
      <c r="AM135" s="107"/>
    </row>
    <row r="136" spans="2:39">
      <c r="B136" s="660"/>
      <c r="C136" s="303">
        <v>9</v>
      </c>
      <c r="D136" s="225"/>
      <c r="E136" s="303"/>
      <c r="F136" s="303"/>
      <c r="G136" s="303"/>
      <c r="H136" s="699"/>
      <c r="I136" s="198"/>
      <c r="J136" s="198"/>
      <c r="K136" s="198"/>
      <c r="L136" s="702"/>
      <c r="M136" s="198" t="e">
        <f>RANK(K136, K$128:$K$142)</f>
        <v>#DIV/0!</v>
      </c>
      <c r="N136" s="107"/>
      <c r="O136" s="107"/>
      <c r="P136" s="107"/>
      <c r="Q136" s="107"/>
      <c r="R136" s="107"/>
      <c r="S136" s="107"/>
      <c r="T136" s="107"/>
      <c r="X136" s="107"/>
      <c r="AC136" s="107"/>
      <c r="AH136" s="107"/>
      <c r="AM136" s="107"/>
    </row>
    <row r="137" spans="2:39">
      <c r="B137" s="660"/>
      <c r="C137" s="303">
        <v>10</v>
      </c>
      <c r="D137" s="225"/>
      <c r="E137" s="303"/>
      <c r="F137" s="303"/>
      <c r="G137" s="303"/>
      <c r="H137" s="699"/>
      <c r="I137" s="198"/>
      <c r="J137" s="198"/>
      <c r="K137" s="198"/>
      <c r="L137" s="702"/>
      <c r="M137" s="198" t="e">
        <f>RANK(K137, K$128:$K$142)</f>
        <v>#DIV/0!</v>
      </c>
      <c r="N137" s="107"/>
      <c r="O137" s="107"/>
      <c r="P137" s="107"/>
      <c r="Q137" s="107"/>
      <c r="R137" s="107"/>
      <c r="S137" s="107"/>
      <c r="T137" s="107"/>
      <c r="X137" s="107"/>
      <c r="AC137" s="107"/>
      <c r="AH137" s="107"/>
      <c r="AM137" s="107"/>
    </row>
    <row r="138" spans="2:39">
      <c r="B138" s="660"/>
      <c r="C138" s="303">
        <v>11</v>
      </c>
      <c r="D138" s="225"/>
      <c r="E138" s="303"/>
      <c r="F138" s="303"/>
      <c r="G138" s="303"/>
      <c r="H138" s="699"/>
      <c r="I138" s="198"/>
      <c r="J138" s="198"/>
      <c r="K138" s="198"/>
      <c r="L138" s="702"/>
      <c r="M138" s="198" t="e">
        <f>RANK(K138, K$128:$K$142)</f>
        <v>#DIV/0!</v>
      </c>
      <c r="N138" s="107"/>
      <c r="O138" s="107"/>
      <c r="P138" s="107"/>
      <c r="Q138" s="107"/>
      <c r="R138" s="107"/>
      <c r="S138" s="107"/>
      <c r="T138" s="107"/>
      <c r="X138" s="107"/>
      <c r="AC138" s="107"/>
      <c r="AH138" s="107"/>
      <c r="AM138" s="107"/>
    </row>
    <row r="139" spans="2:39">
      <c r="B139" s="660"/>
      <c r="C139" s="303">
        <v>12</v>
      </c>
      <c r="D139" s="225"/>
      <c r="E139" s="303"/>
      <c r="F139" s="303"/>
      <c r="G139" s="303"/>
      <c r="H139" s="699"/>
      <c r="I139" s="198"/>
      <c r="J139" s="198"/>
      <c r="K139" s="198"/>
      <c r="L139" s="702"/>
      <c r="M139" s="198" t="e">
        <f>RANK(K139, K$128:$K$142)</f>
        <v>#DIV/0!</v>
      </c>
      <c r="N139" s="107"/>
      <c r="O139" s="107"/>
      <c r="P139" s="107"/>
      <c r="Q139" s="107"/>
      <c r="R139" s="107"/>
      <c r="S139" s="107"/>
      <c r="T139" s="107"/>
      <c r="X139" s="107"/>
      <c r="AC139" s="107"/>
      <c r="AH139" s="107"/>
      <c r="AM139" s="107"/>
    </row>
    <row r="140" spans="2:39">
      <c r="B140" s="660"/>
      <c r="C140" s="303">
        <v>13</v>
      </c>
      <c r="D140" s="225"/>
      <c r="E140" s="303"/>
      <c r="F140" s="303"/>
      <c r="G140" s="303"/>
      <c r="H140" s="699"/>
      <c r="I140" s="198"/>
      <c r="J140" s="198"/>
      <c r="K140" s="198"/>
      <c r="L140" s="702"/>
      <c r="M140" s="198" t="e">
        <f>RANK(K140, K$128:$K$142)</f>
        <v>#DIV/0!</v>
      </c>
      <c r="N140" s="107"/>
      <c r="O140" s="107"/>
      <c r="P140" s="107"/>
      <c r="Q140" s="107"/>
      <c r="R140" s="107"/>
      <c r="S140" s="107"/>
      <c r="T140" s="107"/>
      <c r="X140" s="107"/>
      <c r="AC140" s="107"/>
      <c r="AH140" s="107"/>
      <c r="AM140" s="107"/>
    </row>
    <row r="141" spans="2:39">
      <c r="B141" s="660"/>
      <c r="C141" s="303">
        <v>14</v>
      </c>
      <c r="D141" s="225"/>
      <c r="E141" s="303"/>
      <c r="F141" s="303"/>
      <c r="G141" s="303"/>
      <c r="H141" s="699"/>
      <c r="I141" s="198"/>
      <c r="J141" s="198"/>
      <c r="K141" s="198"/>
      <c r="L141" s="702"/>
      <c r="M141" s="198" t="e">
        <f>RANK(K141, K$128:$K$142)</f>
        <v>#DIV/0!</v>
      </c>
      <c r="N141" s="107"/>
      <c r="O141" s="107"/>
      <c r="P141" s="107"/>
      <c r="Q141" s="107"/>
      <c r="R141" s="107"/>
      <c r="S141" s="107"/>
      <c r="T141" s="107"/>
      <c r="X141" s="107"/>
      <c r="AC141" s="107"/>
      <c r="AH141" s="107"/>
      <c r="AM141" s="107"/>
    </row>
    <row r="142" spans="2:39">
      <c r="B142" s="660"/>
      <c r="C142" s="303">
        <v>15</v>
      </c>
      <c r="D142" s="225"/>
      <c r="E142" s="303"/>
      <c r="F142" s="303"/>
      <c r="G142" s="303"/>
      <c r="H142" s="700"/>
      <c r="I142" s="198"/>
      <c r="J142" s="198"/>
      <c r="K142" s="198"/>
      <c r="L142" s="703"/>
      <c r="M142" s="198" t="e">
        <f>RANK(K142, K$128:$K$142)</f>
        <v>#DIV/0!</v>
      </c>
      <c r="N142" s="107"/>
      <c r="O142" s="107"/>
      <c r="P142" s="107"/>
      <c r="Q142" s="107"/>
      <c r="R142" s="107"/>
      <c r="S142" s="107"/>
      <c r="T142" s="107"/>
      <c r="X142" s="107"/>
      <c r="AC142" s="107"/>
      <c r="AH142" s="107"/>
      <c r="AM142" s="107"/>
    </row>
  </sheetData>
  <mergeCells count="379"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BA87:BA101"/>
    <mergeCell ref="BA104:BA106"/>
    <mergeCell ref="BA107:BA121"/>
    <mergeCell ref="BA4:BA6"/>
    <mergeCell ref="BA7:BA21"/>
    <mergeCell ref="BA24:BA26"/>
    <mergeCell ref="BA27:BA41"/>
    <mergeCell ref="BA44:BA46"/>
    <mergeCell ref="BA47:BA61"/>
    <mergeCell ref="BA64:BA66"/>
    <mergeCell ref="BA67:BA81"/>
    <mergeCell ref="BA84:BA86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A142"/>
  <sheetViews>
    <sheetView topLeftCell="A28" zoomScale="40" zoomScaleNormal="40" workbookViewId="0">
      <pane xSplit="15" topLeftCell="P1" activePane="topRight" state="frozen"/>
      <selection activeCell="A8" sqref="A8:L28"/>
      <selection pane="topRight" activeCell="D87" sqref="D87:G101"/>
    </sheetView>
  </sheetViews>
  <sheetFormatPr defaultColWidth="8.85546875" defaultRowHeight="12.75"/>
  <cols>
    <col min="1" max="1" width="5.5703125" style="107" customWidth="1"/>
    <col min="2" max="2" width="12.42578125" style="107" customWidth="1"/>
    <col min="3" max="3" width="8.85546875" style="106"/>
    <col min="4" max="4" width="26.42578125" style="106" customWidth="1"/>
    <col min="5" max="7" width="8.42578125" style="106" customWidth="1"/>
    <col min="8" max="8" width="11.140625" style="106" bestFit="1" customWidth="1"/>
    <col min="9" max="12" width="11.140625" style="106" customWidth="1"/>
    <col min="13" max="13" width="13.5703125" style="106" customWidth="1"/>
    <col min="14" max="14" width="9.85546875" style="106" customWidth="1"/>
    <col min="15" max="15" width="7.140625" style="106" customWidth="1"/>
    <col min="16" max="18" width="12.85546875" style="106" customWidth="1"/>
    <col min="19" max="19" width="5.42578125" style="106" customWidth="1"/>
    <col min="20" max="20" width="12.85546875" style="106" customWidth="1"/>
    <col min="21" max="23" width="12.85546875" style="107" customWidth="1"/>
    <col min="24" max="24" width="5.42578125" style="106" customWidth="1"/>
    <col min="25" max="28" width="12.85546875" style="107" customWidth="1"/>
    <col min="29" max="29" width="5.42578125" style="106" customWidth="1"/>
    <col min="30" max="30" width="12.85546875" style="107" customWidth="1"/>
    <col min="31" max="33" width="12.5703125" style="107" customWidth="1"/>
    <col min="34" max="34" width="5.42578125" style="106" customWidth="1"/>
    <col min="35" max="35" width="13" style="107" customWidth="1"/>
    <col min="36" max="38" width="12.5703125" style="107" customWidth="1"/>
    <col min="39" max="39" width="5.42578125" style="106" customWidth="1"/>
    <col min="40" max="40" width="13" style="107" customWidth="1"/>
    <col min="41" max="43" width="13.140625" style="107" customWidth="1"/>
    <col min="44" max="44" width="5.42578125" style="107" customWidth="1"/>
    <col min="45" max="48" width="13.140625" style="107" customWidth="1"/>
    <col min="49" max="49" width="5.42578125" style="107" customWidth="1"/>
    <col min="50" max="50" width="13.140625" style="107" customWidth="1"/>
    <col min="51" max="51" width="8.85546875" style="107"/>
    <col min="52" max="52" width="5.42578125" style="107" customWidth="1"/>
    <col min="53" max="53" width="13.140625" style="107" customWidth="1"/>
    <col min="54" max="16384" width="8.85546875" style="107"/>
  </cols>
  <sheetData>
    <row r="1" spans="1:53" ht="24">
      <c r="A1" s="75"/>
      <c r="B1" s="220" t="s">
        <v>313</v>
      </c>
      <c r="C1" s="219">
        <f>AVERAGE(L7,L27,L47,L67,L87,L107)</f>
        <v>79.761775622504771</v>
      </c>
    </row>
    <row r="2" spans="1:53" ht="15.75">
      <c r="A2" s="81"/>
      <c r="B2" s="664" t="s">
        <v>162</v>
      </c>
      <c r="C2" s="664"/>
      <c r="D2" s="664"/>
      <c r="E2" s="664"/>
      <c r="F2" s="664"/>
      <c r="G2" s="664"/>
      <c r="H2" s="664"/>
      <c r="I2" s="284"/>
      <c r="J2" s="284"/>
      <c r="K2" s="284"/>
      <c r="L2" s="284"/>
      <c r="M2" s="196"/>
      <c r="N2" s="653" t="s">
        <v>156</v>
      </c>
      <c r="O2" s="653" t="s">
        <v>155</v>
      </c>
      <c r="P2" s="659">
        <v>46231</v>
      </c>
      <c r="Q2" s="660"/>
      <c r="R2" s="660"/>
      <c r="S2" s="660"/>
      <c r="T2" s="660"/>
      <c r="U2" s="656">
        <f>P2+1</f>
        <v>46232</v>
      </c>
      <c r="V2" s="657"/>
      <c r="W2" s="657"/>
      <c r="X2" s="657"/>
      <c r="Y2" s="658"/>
      <c r="Z2" s="656">
        <f>U2+1</f>
        <v>46233</v>
      </c>
      <c r="AA2" s="657"/>
      <c r="AB2" s="657"/>
      <c r="AC2" s="657"/>
      <c r="AD2" s="658"/>
      <c r="AE2" s="656">
        <f>Z2+1</f>
        <v>46234</v>
      </c>
      <c r="AF2" s="657"/>
      <c r="AG2" s="657"/>
      <c r="AH2" s="657"/>
      <c r="AI2" s="658"/>
      <c r="AJ2" s="656">
        <f>AE2+1</f>
        <v>46235</v>
      </c>
      <c r="AK2" s="657"/>
      <c r="AL2" s="657"/>
      <c r="AM2" s="657"/>
      <c r="AN2" s="658"/>
      <c r="AO2" s="656">
        <f>AJ2+1</f>
        <v>46236</v>
      </c>
      <c r="AP2" s="657"/>
      <c r="AQ2" s="657"/>
      <c r="AR2" s="657"/>
      <c r="AS2" s="658"/>
      <c r="AT2" s="656">
        <f>AO2+1</f>
        <v>46237</v>
      </c>
      <c r="AU2" s="657"/>
      <c r="AV2" s="657"/>
      <c r="AW2" s="657"/>
      <c r="AX2" s="658"/>
    </row>
    <row r="3" spans="1:53" ht="15.75">
      <c r="A3" s="81"/>
      <c r="B3" s="697"/>
      <c r="C3" s="697"/>
      <c r="D3" s="697"/>
      <c r="E3" s="697"/>
      <c r="F3" s="697"/>
      <c r="G3" s="697"/>
      <c r="H3" s="697"/>
      <c r="I3" s="285"/>
      <c r="J3" s="285"/>
      <c r="K3" s="285"/>
      <c r="L3" s="285"/>
      <c r="M3" s="197"/>
      <c r="N3" s="655"/>
      <c r="O3" s="655"/>
      <c r="P3" s="659" t="s">
        <v>158</v>
      </c>
      <c r="Q3" s="660"/>
      <c r="R3" s="660"/>
      <c r="S3" s="660"/>
      <c r="T3" s="660"/>
      <c r="U3" s="659" t="s">
        <v>114</v>
      </c>
      <c r="V3" s="660"/>
      <c r="W3" s="660"/>
      <c r="X3" s="660"/>
      <c r="Y3" s="660"/>
      <c r="Z3" s="659" t="s">
        <v>159</v>
      </c>
      <c r="AA3" s="660"/>
      <c r="AB3" s="660"/>
      <c r="AC3" s="660"/>
      <c r="AD3" s="660"/>
      <c r="AE3" s="659" t="s">
        <v>157</v>
      </c>
      <c r="AF3" s="660"/>
      <c r="AG3" s="660"/>
      <c r="AH3" s="660"/>
      <c r="AI3" s="660"/>
      <c r="AJ3" s="659" t="s">
        <v>160</v>
      </c>
      <c r="AK3" s="660"/>
      <c r="AL3" s="660"/>
      <c r="AM3" s="660"/>
      <c r="AN3" s="660"/>
      <c r="AO3" s="659" t="s">
        <v>115</v>
      </c>
      <c r="AP3" s="660"/>
      <c r="AQ3" s="660"/>
      <c r="AR3" s="660"/>
      <c r="AS3" s="660"/>
      <c r="AT3" s="659" t="s">
        <v>161</v>
      </c>
      <c r="AU3" s="660"/>
      <c r="AV3" s="660"/>
      <c r="AW3" s="660"/>
      <c r="AX3" s="660"/>
    </row>
    <row r="4" spans="1:53" ht="14.25">
      <c r="A4" s="81"/>
      <c r="B4" s="652" t="s">
        <v>531</v>
      </c>
      <c r="C4" s="652" t="s">
        <v>532</v>
      </c>
      <c r="D4" s="652"/>
      <c r="E4" s="652" t="s">
        <v>533</v>
      </c>
      <c r="F4" s="652"/>
      <c r="G4" s="652"/>
      <c r="H4" s="668" t="s">
        <v>534</v>
      </c>
      <c r="I4" s="652" t="s">
        <v>535</v>
      </c>
      <c r="J4" s="652"/>
      <c r="K4" s="652"/>
      <c r="L4" s="668" t="s">
        <v>366</v>
      </c>
      <c r="M4" s="653" t="s">
        <v>536</v>
      </c>
      <c r="N4" s="652"/>
      <c r="O4" s="652" t="s">
        <v>537</v>
      </c>
      <c r="P4" s="649" t="s">
        <v>368</v>
      </c>
      <c r="Q4" s="650"/>
      <c r="R4" s="650"/>
      <c r="S4" s="651"/>
      <c r="T4" s="652" t="s">
        <v>366</v>
      </c>
      <c r="U4" s="649" t="s">
        <v>368</v>
      </c>
      <c r="V4" s="650"/>
      <c r="W4" s="650"/>
      <c r="X4" s="651"/>
      <c r="Y4" s="652" t="s">
        <v>366</v>
      </c>
      <c r="Z4" s="649" t="s">
        <v>368</v>
      </c>
      <c r="AA4" s="650"/>
      <c r="AB4" s="650"/>
      <c r="AC4" s="651"/>
      <c r="AD4" s="652" t="s">
        <v>366</v>
      </c>
      <c r="AE4" s="649" t="s">
        <v>368</v>
      </c>
      <c r="AF4" s="650"/>
      <c r="AG4" s="650"/>
      <c r="AH4" s="651"/>
      <c r="AI4" s="652" t="s">
        <v>366</v>
      </c>
      <c r="AJ4" s="649" t="s">
        <v>368</v>
      </c>
      <c r="AK4" s="650"/>
      <c r="AL4" s="650"/>
      <c r="AM4" s="651"/>
      <c r="AN4" s="652" t="s">
        <v>366</v>
      </c>
      <c r="AO4" s="649" t="s">
        <v>368</v>
      </c>
      <c r="AP4" s="650"/>
      <c r="AQ4" s="650"/>
      <c r="AR4" s="651"/>
      <c r="AS4" s="652" t="s">
        <v>366</v>
      </c>
      <c r="AT4" s="649" t="s">
        <v>368</v>
      </c>
      <c r="AU4" s="650"/>
      <c r="AV4" s="650"/>
      <c r="AW4" s="651"/>
      <c r="AX4" s="652" t="s">
        <v>366</v>
      </c>
      <c r="BA4" s="652" t="s">
        <v>366</v>
      </c>
    </row>
    <row r="5" spans="1:53" ht="14.25">
      <c r="A5" s="81"/>
      <c r="B5" s="652"/>
      <c r="C5" s="652"/>
      <c r="D5" s="652"/>
      <c r="E5" s="652" t="s">
        <v>538</v>
      </c>
      <c r="F5" s="652"/>
      <c r="G5" s="652"/>
      <c r="H5" s="669"/>
      <c r="I5" s="652" t="s">
        <v>538</v>
      </c>
      <c r="J5" s="652"/>
      <c r="K5" s="652"/>
      <c r="L5" s="669"/>
      <c r="M5" s="654"/>
      <c r="N5" s="652"/>
      <c r="O5" s="652"/>
      <c r="P5" s="649" t="s">
        <v>374</v>
      </c>
      <c r="Q5" s="650"/>
      <c r="R5" s="650"/>
      <c r="S5" s="651"/>
      <c r="T5" s="652"/>
      <c r="U5" s="649" t="s">
        <v>374</v>
      </c>
      <c r="V5" s="650"/>
      <c r="W5" s="650"/>
      <c r="X5" s="651"/>
      <c r="Y5" s="652"/>
      <c r="Z5" s="649" t="s">
        <v>374</v>
      </c>
      <c r="AA5" s="650"/>
      <c r="AB5" s="650"/>
      <c r="AC5" s="651"/>
      <c r="AD5" s="652"/>
      <c r="AE5" s="649" t="s">
        <v>374</v>
      </c>
      <c r="AF5" s="650"/>
      <c r="AG5" s="650"/>
      <c r="AH5" s="651"/>
      <c r="AI5" s="652"/>
      <c r="AJ5" s="649" t="s">
        <v>374</v>
      </c>
      <c r="AK5" s="650"/>
      <c r="AL5" s="650"/>
      <c r="AM5" s="651"/>
      <c r="AN5" s="652"/>
      <c r="AO5" s="649" t="s">
        <v>374</v>
      </c>
      <c r="AP5" s="650"/>
      <c r="AQ5" s="650"/>
      <c r="AR5" s="651"/>
      <c r="AS5" s="652"/>
      <c r="AT5" s="649" t="s">
        <v>374</v>
      </c>
      <c r="AU5" s="650"/>
      <c r="AV5" s="650"/>
      <c r="AW5" s="651"/>
      <c r="AX5" s="652"/>
      <c r="BA5" s="652"/>
    </row>
    <row r="6" spans="1:53" ht="14.25">
      <c r="A6" s="79"/>
      <c r="B6" s="652"/>
      <c r="C6" s="652"/>
      <c r="D6" s="652"/>
      <c r="E6" s="529" t="s">
        <v>539</v>
      </c>
      <c r="F6" s="529" t="s">
        <v>540</v>
      </c>
      <c r="G6" s="529" t="s">
        <v>541</v>
      </c>
      <c r="H6" s="670"/>
      <c r="I6" s="529" t="s">
        <v>539</v>
      </c>
      <c r="J6" s="529" t="s">
        <v>540</v>
      </c>
      <c r="K6" s="529" t="s">
        <v>541</v>
      </c>
      <c r="L6" s="670"/>
      <c r="M6" s="655"/>
      <c r="N6" s="652"/>
      <c r="O6" s="652"/>
      <c r="P6" s="529" t="s">
        <v>375</v>
      </c>
      <c r="Q6" s="529" t="s">
        <v>376</v>
      </c>
      <c r="R6" s="529" t="s">
        <v>377</v>
      </c>
      <c r="S6" s="529" t="s">
        <v>367</v>
      </c>
      <c r="T6" s="652"/>
      <c r="U6" s="529" t="s">
        <v>375</v>
      </c>
      <c r="V6" s="529" t="s">
        <v>376</v>
      </c>
      <c r="W6" s="529" t="s">
        <v>377</v>
      </c>
      <c r="X6" s="529" t="s">
        <v>367</v>
      </c>
      <c r="Y6" s="652"/>
      <c r="Z6" s="529" t="s">
        <v>375</v>
      </c>
      <c r="AA6" s="529" t="s">
        <v>376</v>
      </c>
      <c r="AB6" s="529" t="s">
        <v>377</v>
      </c>
      <c r="AC6" s="529" t="s">
        <v>367</v>
      </c>
      <c r="AD6" s="652"/>
      <c r="AE6" s="529" t="s">
        <v>375</v>
      </c>
      <c r="AF6" s="529" t="s">
        <v>376</v>
      </c>
      <c r="AG6" s="529" t="s">
        <v>377</v>
      </c>
      <c r="AH6" s="529" t="s">
        <v>367</v>
      </c>
      <c r="AI6" s="652"/>
      <c r="AJ6" s="529" t="s">
        <v>375</v>
      </c>
      <c r="AK6" s="529" t="s">
        <v>376</v>
      </c>
      <c r="AL6" s="529" t="s">
        <v>377</v>
      </c>
      <c r="AM6" s="529" t="s">
        <v>367</v>
      </c>
      <c r="AN6" s="652"/>
      <c r="AO6" s="529" t="s">
        <v>375</v>
      </c>
      <c r="AP6" s="529" t="s">
        <v>376</v>
      </c>
      <c r="AQ6" s="529" t="s">
        <v>377</v>
      </c>
      <c r="AR6" s="529" t="s">
        <v>367</v>
      </c>
      <c r="AS6" s="652"/>
      <c r="AT6" s="529" t="s">
        <v>375</v>
      </c>
      <c r="AU6" s="529" t="s">
        <v>376</v>
      </c>
      <c r="AV6" s="529" t="s">
        <v>377</v>
      </c>
      <c r="AW6" s="529" t="s">
        <v>367</v>
      </c>
      <c r="AX6" s="652"/>
      <c r="AZ6" s="367" t="s">
        <v>367</v>
      </c>
      <c r="BA6" s="652"/>
    </row>
    <row r="7" spans="1:53" ht="14.25">
      <c r="A7" s="81"/>
      <c r="B7" s="652" t="s">
        <v>135</v>
      </c>
      <c r="C7" s="533">
        <v>1</v>
      </c>
      <c r="D7" s="225" t="s">
        <v>587</v>
      </c>
      <c r="E7" s="531">
        <v>17</v>
      </c>
      <c r="F7" s="530">
        <v>1565</v>
      </c>
      <c r="G7" s="532">
        <v>92.058823529411768</v>
      </c>
      <c r="H7" s="691">
        <f>AVERAGE(G7:G21)</f>
        <v>88.413656690746478</v>
      </c>
      <c r="I7" s="534">
        <f t="shared" ref="I7:I20" si="0">IFERROR(AVERAGE(P7,U7,Z7,AE7,AJ7,AO7,AT7),"-")</f>
        <v>17</v>
      </c>
      <c r="J7" s="534">
        <f t="shared" ref="J7:J20" si="1">IFERROR(AVERAGE(Q7,V7,AA7,AF7,AK7,AP7,AU7),"-")</f>
        <v>1451.8999597499569</v>
      </c>
      <c r="K7" s="199">
        <f t="shared" ref="K7:K20" si="2">IFERROR(AVERAGE(R7,W7,AB7,AG7,AL7,AQ7,AV7),"-")</f>
        <v>85.405879985291577</v>
      </c>
      <c r="L7" s="633">
        <f>IFERROR(AVERAGE(K7:K21),"-")</f>
        <v>78.336977085163241</v>
      </c>
      <c r="M7" s="510">
        <f>RANK(K7, K$7:$K$21)</f>
        <v>1</v>
      </c>
      <c r="N7" s="652"/>
      <c r="O7" s="652"/>
      <c r="P7" s="530"/>
      <c r="Q7" s="531"/>
      <c r="R7" s="531"/>
      <c r="S7" s="530"/>
      <c r="T7" s="685"/>
      <c r="U7" s="530"/>
      <c r="V7" s="531"/>
      <c r="W7" s="531"/>
      <c r="X7" s="555"/>
      <c r="Y7" s="685"/>
      <c r="Z7" s="530"/>
      <c r="AA7" s="531"/>
      <c r="AB7" s="531"/>
      <c r="AC7" s="555"/>
      <c r="AD7" s="685"/>
      <c r="AE7" s="530"/>
      <c r="AF7" s="531"/>
      <c r="AG7" s="531"/>
      <c r="AH7" s="555"/>
      <c r="AI7" s="685"/>
      <c r="AJ7" s="530">
        <v>17</v>
      </c>
      <c r="AK7" s="531">
        <v>1452.9850746268655</v>
      </c>
      <c r="AL7" s="531">
        <v>85.469710272168555</v>
      </c>
      <c r="AM7" s="555">
        <f>RANK(AL7, AL$7:AL$21)</f>
        <v>1</v>
      </c>
      <c r="AN7" s="685">
        <f t="shared" ref="AN7" si="3">AVERAGE(AL7:AL21)</f>
        <v>78.074923518538341</v>
      </c>
      <c r="AO7" s="530">
        <v>17</v>
      </c>
      <c r="AP7" s="531">
        <v>1466.0869565217392</v>
      </c>
      <c r="AQ7" s="531">
        <v>86.240409207161136</v>
      </c>
      <c r="AR7" s="555">
        <f>RANK(AQ7, AQ$7:AQ$21)</f>
        <v>1</v>
      </c>
      <c r="AS7" s="685">
        <f t="shared" ref="AS7" si="4">AVERAGE(AQ7:AQ21)</f>
        <v>78.975018210326908</v>
      </c>
      <c r="AT7" s="530">
        <v>17</v>
      </c>
      <c r="AU7" s="531">
        <v>1436.6278481012657</v>
      </c>
      <c r="AV7" s="531">
        <v>84.507520476545039</v>
      </c>
      <c r="AW7" s="555">
        <f>RANK(AV7, AV$7:AV$21)</f>
        <v>1</v>
      </c>
      <c r="AX7" s="685">
        <f t="shared" ref="AX7" si="5">AVERAGE(AV7:AV21)</f>
        <v>77.960989526624488</v>
      </c>
      <c r="AZ7" s="370" t="e">
        <f t="shared" ref="AZ7:AZ21" si="6">RANK(AY7, AY$7:AY$21)</f>
        <v>#N/A</v>
      </c>
      <c r="BA7" s="715" t="e">
        <f t="shared" ref="BA7" si="7">AVERAGE(AY7:AY21)</f>
        <v>#DIV/0!</v>
      </c>
    </row>
    <row r="8" spans="1:53" ht="15" customHeight="1">
      <c r="A8" s="81"/>
      <c r="B8" s="680"/>
      <c r="C8" s="533">
        <v>2</v>
      </c>
      <c r="D8" s="225" t="s">
        <v>608</v>
      </c>
      <c r="E8" s="531">
        <v>19</v>
      </c>
      <c r="F8" s="530">
        <v>1500</v>
      </c>
      <c r="G8" s="532">
        <v>78.94736842105263</v>
      </c>
      <c r="H8" s="692"/>
      <c r="I8" s="534">
        <f t="shared" si="0"/>
        <v>19</v>
      </c>
      <c r="J8" s="534">
        <f t="shared" si="1"/>
        <v>1388.2802572881008</v>
      </c>
      <c r="K8" s="199">
        <f t="shared" si="2"/>
        <v>73.067381962531613</v>
      </c>
      <c r="L8" s="634"/>
      <c r="M8" s="510">
        <f>RANK(K8, K$7:$K$21)</f>
        <v>5</v>
      </c>
      <c r="N8" s="652"/>
      <c r="O8" s="652"/>
      <c r="P8" s="530"/>
      <c r="Q8" s="531"/>
      <c r="R8" s="531"/>
      <c r="S8" s="555"/>
      <c r="T8" s="685"/>
      <c r="U8" s="530"/>
      <c r="V8" s="531"/>
      <c r="W8" s="531"/>
      <c r="X8" s="555"/>
      <c r="Y8" s="685"/>
      <c r="Z8" s="530"/>
      <c r="AA8" s="531"/>
      <c r="AB8" s="531"/>
      <c r="AC8" s="555"/>
      <c r="AD8" s="685"/>
      <c r="AE8" s="530"/>
      <c r="AF8" s="531"/>
      <c r="AG8" s="531"/>
      <c r="AH8" s="555"/>
      <c r="AI8" s="685"/>
      <c r="AJ8" s="530">
        <v>19</v>
      </c>
      <c r="AK8" s="531">
        <v>1377.6000000000004</v>
      </c>
      <c r="AL8" s="531">
        <v>72.50526315789476</v>
      </c>
      <c r="AM8" s="555">
        <f t="shared" ref="AM8:AM21" si="8">RANK(AL8, AL$7:AL$21)</f>
        <v>5</v>
      </c>
      <c r="AN8" s="685"/>
      <c r="AO8" s="530">
        <v>19</v>
      </c>
      <c r="AP8" s="531">
        <v>1399.2592592592594</v>
      </c>
      <c r="AQ8" s="531">
        <v>73.645224171539965</v>
      </c>
      <c r="AR8" s="555">
        <f t="shared" ref="AR8:AR21" si="9">RANK(AQ8, AQ$7:AQ$21)</f>
        <v>5</v>
      </c>
      <c r="AS8" s="685"/>
      <c r="AT8" s="530">
        <v>19</v>
      </c>
      <c r="AU8" s="531">
        <v>1387.9815126050423</v>
      </c>
      <c r="AV8" s="531">
        <v>73.051658558160128</v>
      </c>
      <c r="AW8" s="555">
        <f t="shared" ref="AW8:AW21" si="10">RANK(AV8, AV$7:AV$21)</f>
        <v>5</v>
      </c>
      <c r="AX8" s="685"/>
      <c r="AZ8" s="370" t="e">
        <f t="shared" si="6"/>
        <v>#N/A</v>
      </c>
      <c r="BA8" s="716"/>
    </row>
    <row r="9" spans="1:53" ht="14.25">
      <c r="A9" s="81"/>
      <c r="B9" s="680"/>
      <c r="C9" s="533">
        <v>3</v>
      </c>
      <c r="D9" s="225" t="s">
        <v>615</v>
      </c>
      <c r="E9" s="531">
        <v>18</v>
      </c>
      <c r="F9" s="530">
        <v>1565</v>
      </c>
      <c r="G9" s="532">
        <v>86.944444444444443</v>
      </c>
      <c r="H9" s="692"/>
      <c r="I9" s="534">
        <f t="shared" si="0"/>
        <v>18</v>
      </c>
      <c r="J9" s="534">
        <f t="shared" si="1"/>
        <v>1369.1897435897438</v>
      </c>
      <c r="K9" s="199">
        <f t="shared" si="2"/>
        <v>76.066096866096885</v>
      </c>
      <c r="L9" s="634"/>
      <c r="M9" s="510">
        <f>RANK(K9, K$7:$K$21)</f>
        <v>3</v>
      </c>
      <c r="N9" s="652"/>
      <c r="O9" s="652"/>
      <c r="P9" s="530"/>
      <c r="Q9" s="531"/>
      <c r="R9" s="531"/>
      <c r="S9" s="555"/>
      <c r="T9" s="685"/>
      <c r="U9" s="530"/>
      <c r="V9" s="531"/>
      <c r="W9" s="531"/>
      <c r="X9" s="555"/>
      <c r="Y9" s="685"/>
      <c r="Z9" s="530"/>
      <c r="AA9" s="531"/>
      <c r="AB9" s="531"/>
      <c r="AC9" s="555"/>
      <c r="AD9" s="685"/>
      <c r="AE9" s="530"/>
      <c r="AF9" s="531"/>
      <c r="AG9" s="531"/>
      <c r="AH9" s="555"/>
      <c r="AI9" s="685"/>
      <c r="AJ9" s="530">
        <v>18</v>
      </c>
      <c r="AK9" s="531">
        <v>1355.7692307692314</v>
      </c>
      <c r="AL9" s="531">
        <v>75.32051282051286</v>
      </c>
      <c r="AM9" s="555">
        <f t="shared" si="8"/>
        <v>4</v>
      </c>
      <c r="AN9" s="685"/>
      <c r="AO9" s="530">
        <v>18</v>
      </c>
      <c r="AP9" s="531">
        <v>1376.8000000000006</v>
      </c>
      <c r="AQ9" s="531">
        <v>76.488888888888923</v>
      </c>
      <c r="AR9" s="555">
        <f t="shared" si="9"/>
        <v>4</v>
      </c>
      <c r="AS9" s="685"/>
      <c r="AT9" s="530">
        <v>18</v>
      </c>
      <c r="AU9" s="531">
        <v>1374.9999999999995</v>
      </c>
      <c r="AV9" s="531">
        <v>76.388888888888857</v>
      </c>
      <c r="AW9" s="555">
        <f t="shared" si="10"/>
        <v>3</v>
      </c>
      <c r="AX9" s="685"/>
      <c r="AZ9" s="370" t="e">
        <f t="shared" si="6"/>
        <v>#N/A</v>
      </c>
      <c r="BA9" s="716"/>
    </row>
    <row r="10" spans="1:53" ht="14.25">
      <c r="A10" s="81"/>
      <c r="B10" s="680"/>
      <c r="C10" s="533">
        <v>4</v>
      </c>
      <c r="D10" s="225" t="s">
        <v>623</v>
      </c>
      <c r="E10" s="531">
        <v>17</v>
      </c>
      <c r="F10" s="530">
        <v>1565</v>
      </c>
      <c r="G10" s="532">
        <v>92.058823529411768</v>
      </c>
      <c r="H10" s="692"/>
      <c r="I10" s="534">
        <f t="shared" si="0"/>
        <v>17</v>
      </c>
      <c r="J10" s="534">
        <f t="shared" si="1"/>
        <v>1378.9592583620124</v>
      </c>
      <c r="K10" s="199">
        <f t="shared" si="2"/>
        <v>81.115250491883089</v>
      </c>
      <c r="L10" s="634"/>
      <c r="M10" s="510">
        <f>RANK(K10, K$7:$K$21)</f>
        <v>2</v>
      </c>
      <c r="N10" s="652"/>
      <c r="O10" s="652"/>
      <c r="P10" s="530"/>
      <c r="Q10" s="531"/>
      <c r="R10" s="531"/>
      <c r="S10" s="555"/>
      <c r="T10" s="685"/>
      <c r="U10" s="530"/>
      <c r="V10" s="531"/>
      <c r="W10" s="531"/>
      <c r="X10" s="555"/>
      <c r="Y10" s="685"/>
      <c r="Z10" s="530"/>
      <c r="AA10" s="531"/>
      <c r="AB10" s="531"/>
      <c r="AC10" s="555"/>
      <c r="AD10" s="685"/>
      <c r="AE10" s="530"/>
      <c r="AF10" s="531"/>
      <c r="AG10" s="531"/>
      <c r="AH10" s="555"/>
      <c r="AI10" s="685"/>
      <c r="AJ10" s="530">
        <v>17</v>
      </c>
      <c r="AK10" s="531">
        <v>1381.4634146341459</v>
      </c>
      <c r="AL10" s="531">
        <v>81.262553802008583</v>
      </c>
      <c r="AM10" s="555">
        <f t="shared" si="8"/>
        <v>2</v>
      </c>
      <c r="AN10" s="685"/>
      <c r="AO10" s="530">
        <v>17</v>
      </c>
      <c r="AP10" s="531">
        <v>1393.7614678899081</v>
      </c>
      <c r="AQ10" s="531">
        <v>81.985968699406357</v>
      </c>
      <c r="AR10" s="555">
        <f t="shared" si="9"/>
        <v>2</v>
      </c>
      <c r="AS10" s="685"/>
      <c r="AT10" s="530">
        <v>17</v>
      </c>
      <c r="AU10" s="531">
        <v>1361.6528925619837</v>
      </c>
      <c r="AV10" s="531">
        <v>80.097228974234326</v>
      </c>
      <c r="AW10" s="555">
        <f t="shared" si="10"/>
        <v>2</v>
      </c>
      <c r="AX10" s="685"/>
      <c r="AZ10" s="370" t="e">
        <f t="shared" si="6"/>
        <v>#N/A</v>
      </c>
      <c r="BA10" s="716"/>
    </row>
    <row r="11" spans="1:53" ht="14.25">
      <c r="A11" s="81"/>
      <c r="B11" s="680"/>
      <c r="C11" s="533">
        <v>5</v>
      </c>
      <c r="D11" s="225" t="s">
        <v>714</v>
      </c>
      <c r="E11" s="531">
        <v>17</v>
      </c>
      <c r="F11" s="530">
        <v>1565</v>
      </c>
      <c r="G11" s="532">
        <v>92.058823529411768</v>
      </c>
      <c r="H11" s="692"/>
      <c r="I11" s="534">
        <f t="shared" si="0"/>
        <v>17</v>
      </c>
      <c r="J11" s="534">
        <f t="shared" si="1"/>
        <v>1292.5146940402221</v>
      </c>
      <c r="K11" s="199">
        <f t="shared" si="2"/>
        <v>76.03027612001307</v>
      </c>
      <c r="L11" s="634"/>
      <c r="M11" s="510">
        <f>RANK(K11, K$7:$K$21)</f>
        <v>4</v>
      </c>
      <c r="N11" s="652"/>
      <c r="O11" s="652"/>
      <c r="P11" s="530"/>
      <c r="Q11" s="531"/>
      <c r="R11" s="531"/>
      <c r="S11" s="555"/>
      <c r="T11" s="685"/>
      <c r="U11" s="530"/>
      <c r="V11" s="531"/>
      <c r="W11" s="531"/>
      <c r="X11" s="555"/>
      <c r="Y11" s="685"/>
      <c r="Z11" s="530"/>
      <c r="AA11" s="531"/>
      <c r="AB11" s="531"/>
      <c r="AC11" s="555"/>
      <c r="AD11" s="685"/>
      <c r="AE11" s="530"/>
      <c r="AF11" s="531"/>
      <c r="AG11" s="531"/>
      <c r="AH11" s="555"/>
      <c r="AI11" s="685"/>
      <c r="AJ11" s="530">
        <v>17</v>
      </c>
      <c r="AK11" s="531">
        <v>1288.8818181818181</v>
      </c>
      <c r="AL11" s="531">
        <v>75.816577540106948</v>
      </c>
      <c r="AM11" s="555">
        <f t="shared" si="8"/>
        <v>3</v>
      </c>
      <c r="AN11" s="685"/>
      <c r="AO11" s="530">
        <v>17</v>
      </c>
      <c r="AP11" s="531">
        <v>1300.7482014388488</v>
      </c>
      <c r="AQ11" s="531">
        <v>76.514600084638161</v>
      </c>
      <c r="AR11" s="555">
        <f t="shared" si="9"/>
        <v>3</v>
      </c>
      <c r="AS11" s="685"/>
      <c r="AT11" s="530">
        <v>17</v>
      </c>
      <c r="AU11" s="531">
        <v>1287.9140624999998</v>
      </c>
      <c r="AV11" s="531">
        <v>75.759650735294102</v>
      </c>
      <c r="AW11" s="555">
        <f t="shared" si="10"/>
        <v>4</v>
      </c>
      <c r="AX11" s="685"/>
      <c r="AZ11" s="370" t="e">
        <f t="shared" si="6"/>
        <v>#N/A</v>
      </c>
      <c r="BA11" s="716"/>
    </row>
    <row r="12" spans="1:53" ht="14.25">
      <c r="A12" s="81"/>
      <c r="B12" s="680"/>
      <c r="C12" s="533">
        <v>6</v>
      </c>
      <c r="D12" s="225"/>
      <c r="E12" s="531"/>
      <c r="F12" s="530"/>
      <c r="G12" s="532"/>
      <c r="H12" s="692"/>
      <c r="I12" s="534" t="str">
        <f t="shared" si="0"/>
        <v>-</v>
      </c>
      <c r="J12" s="534" t="str">
        <f t="shared" si="1"/>
        <v>-</v>
      </c>
      <c r="K12" s="199" t="str">
        <f t="shared" si="2"/>
        <v>-</v>
      </c>
      <c r="L12" s="634"/>
      <c r="M12" s="510" t="e">
        <f>RANK(K12, K$7:$K$21)</f>
        <v>#VALUE!</v>
      </c>
      <c r="N12" s="652"/>
      <c r="O12" s="652"/>
      <c r="P12" s="530"/>
      <c r="Q12" s="531"/>
      <c r="R12" s="531"/>
      <c r="S12" s="555"/>
      <c r="T12" s="685"/>
      <c r="U12" s="530"/>
      <c r="V12" s="531"/>
      <c r="W12" s="531"/>
      <c r="X12" s="555"/>
      <c r="Y12" s="685"/>
      <c r="Z12" s="530"/>
      <c r="AA12" s="531"/>
      <c r="AB12" s="531"/>
      <c r="AC12" s="555"/>
      <c r="AD12" s="685"/>
      <c r="AE12" s="530"/>
      <c r="AF12" s="531"/>
      <c r="AG12" s="531"/>
      <c r="AH12" s="555"/>
      <c r="AI12" s="685"/>
      <c r="AJ12" s="530" t="s">
        <v>585</v>
      </c>
      <c r="AK12" s="531" t="s">
        <v>585</v>
      </c>
      <c r="AL12" s="531" t="s">
        <v>585</v>
      </c>
      <c r="AM12" s="555" t="e">
        <f t="shared" si="8"/>
        <v>#VALUE!</v>
      </c>
      <c r="AN12" s="685"/>
      <c r="AO12" s="530" t="s">
        <v>585</v>
      </c>
      <c r="AP12" s="531" t="s">
        <v>585</v>
      </c>
      <c r="AQ12" s="531" t="s">
        <v>585</v>
      </c>
      <c r="AR12" s="555" t="e">
        <f t="shared" si="9"/>
        <v>#VALUE!</v>
      </c>
      <c r="AS12" s="685"/>
      <c r="AT12" s="530" t="s">
        <v>585</v>
      </c>
      <c r="AU12" s="531" t="s">
        <v>585</v>
      </c>
      <c r="AV12" s="531" t="s">
        <v>585</v>
      </c>
      <c r="AW12" s="555" t="e">
        <f t="shared" si="10"/>
        <v>#VALUE!</v>
      </c>
      <c r="AX12" s="685"/>
      <c r="AZ12" s="370" t="e">
        <f t="shared" si="6"/>
        <v>#N/A</v>
      </c>
      <c r="BA12" s="716"/>
    </row>
    <row r="13" spans="1:53" ht="14.25">
      <c r="A13" s="81"/>
      <c r="B13" s="680"/>
      <c r="C13" s="533">
        <v>7</v>
      </c>
      <c r="D13" s="225"/>
      <c r="E13" s="531"/>
      <c r="F13" s="530"/>
      <c r="G13" s="532"/>
      <c r="H13" s="692"/>
      <c r="I13" s="534" t="str">
        <f t="shared" si="0"/>
        <v>-</v>
      </c>
      <c r="J13" s="534" t="str">
        <f t="shared" si="1"/>
        <v>-</v>
      </c>
      <c r="K13" s="199" t="str">
        <f t="shared" si="2"/>
        <v>-</v>
      </c>
      <c r="L13" s="634"/>
      <c r="M13" s="510" t="e">
        <f>RANK(K13, K$7:$K$21)</f>
        <v>#VALUE!</v>
      </c>
      <c r="N13" s="652"/>
      <c r="O13" s="652"/>
      <c r="P13" s="530"/>
      <c r="Q13" s="531"/>
      <c r="R13" s="531"/>
      <c r="S13" s="555"/>
      <c r="T13" s="685"/>
      <c r="U13" s="530"/>
      <c r="V13" s="531"/>
      <c r="W13" s="531"/>
      <c r="X13" s="555"/>
      <c r="Y13" s="685"/>
      <c r="Z13" s="530"/>
      <c r="AA13" s="531"/>
      <c r="AB13" s="531"/>
      <c r="AC13" s="555"/>
      <c r="AD13" s="685"/>
      <c r="AE13" s="530"/>
      <c r="AF13" s="531"/>
      <c r="AG13" s="531"/>
      <c r="AH13" s="555"/>
      <c r="AI13" s="685"/>
      <c r="AJ13" s="530" t="s">
        <v>585</v>
      </c>
      <c r="AK13" s="531" t="s">
        <v>585</v>
      </c>
      <c r="AL13" s="531" t="s">
        <v>585</v>
      </c>
      <c r="AM13" s="555" t="e">
        <f t="shared" si="8"/>
        <v>#VALUE!</v>
      </c>
      <c r="AN13" s="685"/>
      <c r="AO13" s="530" t="s">
        <v>585</v>
      </c>
      <c r="AP13" s="531" t="s">
        <v>585</v>
      </c>
      <c r="AQ13" s="531" t="s">
        <v>585</v>
      </c>
      <c r="AR13" s="555" t="e">
        <f t="shared" si="9"/>
        <v>#VALUE!</v>
      </c>
      <c r="AS13" s="685"/>
      <c r="AT13" s="530" t="s">
        <v>585</v>
      </c>
      <c r="AU13" s="531" t="s">
        <v>585</v>
      </c>
      <c r="AV13" s="531" t="s">
        <v>585</v>
      </c>
      <c r="AW13" s="555" t="e">
        <f t="shared" si="10"/>
        <v>#VALUE!</v>
      </c>
      <c r="AX13" s="685"/>
      <c r="AZ13" s="370" t="e">
        <f t="shared" si="6"/>
        <v>#N/A</v>
      </c>
      <c r="BA13" s="716"/>
    </row>
    <row r="14" spans="1:53" ht="14.25">
      <c r="A14" s="81"/>
      <c r="B14" s="680"/>
      <c r="C14" s="533">
        <v>8</v>
      </c>
      <c r="D14" s="225"/>
      <c r="E14" s="531"/>
      <c r="F14" s="530"/>
      <c r="G14" s="532"/>
      <c r="H14" s="692"/>
      <c r="I14" s="534" t="str">
        <f t="shared" si="0"/>
        <v>-</v>
      </c>
      <c r="J14" s="534" t="str">
        <f t="shared" si="1"/>
        <v>-</v>
      </c>
      <c r="K14" s="199" t="str">
        <f t="shared" si="2"/>
        <v>-</v>
      </c>
      <c r="L14" s="634"/>
      <c r="M14" s="510" t="e">
        <f>RANK(K14, K$7:$K$21)</f>
        <v>#VALUE!</v>
      </c>
      <c r="N14" s="652"/>
      <c r="O14" s="652"/>
      <c r="P14" s="530"/>
      <c r="Q14" s="531"/>
      <c r="R14" s="531"/>
      <c r="S14" s="555"/>
      <c r="T14" s="685"/>
      <c r="U14" s="530"/>
      <c r="V14" s="531"/>
      <c r="W14" s="531"/>
      <c r="X14" s="555"/>
      <c r="Y14" s="685"/>
      <c r="Z14" s="530"/>
      <c r="AA14" s="531"/>
      <c r="AB14" s="531"/>
      <c r="AC14" s="555"/>
      <c r="AD14" s="685"/>
      <c r="AE14" s="530"/>
      <c r="AF14" s="531"/>
      <c r="AG14" s="531"/>
      <c r="AH14" s="555"/>
      <c r="AI14" s="685"/>
      <c r="AJ14" s="530" t="s">
        <v>585</v>
      </c>
      <c r="AK14" s="531" t="s">
        <v>585</v>
      </c>
      <c r="AL14" s="531" t="s">
        <v>585</v>
      </c>
      <c r="AM14" s="555" t="e">
        <f t="shared" si="8"/>
        <v>#VALUE!</v>
      </c>
      <c r="AN14" s="685"/>
      <c r="AO14" s="530" t="s">
        <v>585</v>
      </c>
      <c r="AP14" s="531" t="s">
        <v>585</v>
      </c>
      <c r="AQ14" s="531" t="s">
        <v>585</v>
      </c>
      <c r="AR14" s="555" t="e">
        <f t="shared" si="9"/>
        <v>#VALUE!</v>
      </c>
      <c r="AS14" s="685"/>
      <c r="AT14" s="530" t="s">
        <v>585</v>
      </c>
      <c r="AU14" s="531" t="s">
        <v>585</v>
      </c>
      <c r="AV14" s="531" t="s">
        <v>585</v>
      </c>
      <c r="AW14" s="555" t="e">
        <f t="shared" si="10"/>
        <v>#VALUE!</v>
      </c>
      <c r="AX14" s="685"/>
      <c r="AZ14" s="370" t="e">
        <f t="shared" si="6"/>
        <v>#N/A</v>
      </c>
      <c r="BA14" s="716"/>
    </row>
    <row r="15" spans="1:53" ht="14.25">
      <c r="A15" s="81"/>
      <c r="B15" s="680"/>
      <c r="C15" s="533">
        <v>9</v>
      </c>
      <c r="D15" s="225"/>
      <c r="E15" s="531"/>
      <c r="F15" s="530"/>
      <c r="G15" s="532"/>
      <c r="H15" s="692"/>
      <c r="I15" s="534" t="str">
        <f t="shared" si="0"/>
        <v>-</v>
      </c>
      <c r="J15" s="534" t="str">
        <f t="shared" si="1"/>
        <v>-</v>
      </c>
      <c r="K15" s="199" t="str">
        <f t="shared" si="2"/>
        <v>-</v>
      </c>
      <c r="L15" s="634"/>
      <c r="M15" s="510" t="e">
        <f>RANK(K15, K$7:$K$21)</f>
        <v>#VALUE!</v>
      </c>
      <c r="N15" s="652"/>
      <c r="O15" s="652"/>
      <c r="P15" s="530"/>
      <c r="Q15" s="531"/>
      <c r="R15" s="531"/>
      <c r="S15" s="555"/>
      <c r="T15" s="685"/>
      <c r="U15" s="530"/>
      <c r="V15" s="531"/>
      <c r="W15" s="531"/>
      <c r="X15" s="555"/>
      <c r="Y15" s="685"/>
      <c r="Z15" s="530"/>
      <c r="AA15" s="531"/>
      <c r="AB15" s="531"/>
      <c r="AC15" s="555"/>
      <c r="AD15" s="685"/>
      <c r="AE15" s="530"/>
      <c r="AF15" s="531"/>
      <c r="AG15" s="531"/>
      <c r="AH15" s="555"/>
      <c r="AI15" s="685"/>
      <c r="AJ15" s="530" t="s">
        <v>585</v>
      </c>
      <c r="AK15" s="531" t="s">
        <v>585</v>
      </c>
      <c r="AL15" s="531" t="s">
        <v>585</v>
      </c>
      <c r="AM15" s="555" t="e">
        <f t="shared" si="8"/>
        <v>#VALUE!</v>
      </c>
      <c r="AN15" s="685"/>
      <c r="AO15" s="530" t="s">
        <v>585</v>
      </c>
      <c r="AP15" s="531" t="s">
        <v>585</v>
      </c>
      <c r="AQ15" s="531" t="s">
        <v>585</v>
      </c>
      <c r="AR15" s="555" t="e">
        <f t="shared" si="9"/>
        <v>#VALUE!</v>
      </c>
      <c r="AS15" s="685"/>
      <c r="AT15" s="530" t="s">
        <v>585</v>
      </c>
      <c r="AU15" s="531" t="s">
        <v>585</v>
      </c>
      <c r="AV15" s="531" t="s">
        <v>585</v>
      </c>
      <c r="AW15" s="555" t="e">
        <f t="shared" si="10"/>
        <v>#VALUE!</v>
      </c>
      <c r="AX15" s="685"/>
      <c r="AZ15" s="370" t="e">
        <f t="shared" si="6"/>
        <v>#N/A</v>
      </c>
      <c r="BA15" s="716"/>
    </row>
    <row r="16" spans="1:53" ht="14.25">
      <c r="A16" s="81"/>
      <c r="B16" s="680"/>
      <c r="C16" s="533">
        <v>10</v>
      </c>
      <c r="D16" s="225"/>
      <c r="E16" s="531"/>
      <c r="F16" s="530"/>
      <c r="G16" s="532"/>
      <c r="H16" s="692"/>
      <c r="I16" s="534" t="str">
        <f t="shared" si="0"/>
        <v>-</v>
      </c>
      <c r="J16" s="534" t="str">
        <f t="shared" si="1"/>
        <v>-</v>
      </c>
      <c r="K16" s="199" t="str">
        <f t="shared" si="2"/>
        <v>-</v>
      </c>
      <c r="L16" s="634"/>
      <c r="M16" s="510" t="e">
        <f>RANK(K16, K$7:$K$21)</f>
        <v>#VALUE!</v>
      </c>
      <c r="N16" s="652"/>
      <c r="O16" s="652"/>
      <c r="P16" s="530"/>
      <c r="Q16" s="531"/>
      <c r="R16" s="531"/>
      <c r="S16" s="555"/>
      <c r="T16" s="685"/>
      <c r="U16" s="530"/>
      <c r="V16" s="531"/>
      <c r="W16" s="531"/>
      <c r="X16" s="555"/>
      <c r="Y16" s="685"/>
      <c r="Z16" s="530"/>
      <c r="AA16" s="531"/>
      <c r="AB16" s="531"/>
      <c r="AC16" s="555"/>
      <c r="AD16" s="685"/>
      <c r="AE16" s="530"/>
      <c r="AF16" s="531"/>
      <c r="AG16" s="531"/>
      <c r="AH16" s="555"/>
      <c r="AI16" s="685"/>
      <c r="AJ16" s="530" t="s">
        <v>585</v>
      </c>
      <c r="AK16" s="531" t="s">
        <v>585</v>
      </c>
      <c r="AL16" s="531" t="s">
        <v>585</v>
      </c>
      <c r="AM16" s="555" t="e">
        <f t="shared" si="8"/>
        <v>#VALUE!</v>
      </c>
      <c r="AN16" s="685"/>
      <c r="AO16" s="530" t="s">
        <v>585</v>
      </c>
      <c r="AP16" s="531" t="s">
        <v>585</v>
      </c>
      <c r="AQ16" s="531" t="s">
        <v>585</v>
      </c>
      <c r="AR16" s="555" t="e">
        <f t="shared" si="9"/>
        <v>#VALUE!</v>
      </c>
      <c r="AS16" s="685"/>
      <c r="AT16" s="530" t="s">
        <v>585</v>
      </c>
      <c r="AU16" s="531" t="s">
        <v>585</v>
      </c>
      <c r="AV16" s="531" t="s">
        <v>585</v>
      </c>
      <c r="AW16" s="555" t="e">
        <f t="shared" si="10"/>
        <v>#VALUE!</v>
      </c>
      <c r="AX16" s="685"/>
      <c r="AZ16" s="370" t="e">
        <f t="shared" si="6"/>
        <v>#N/A</v>
      </c>
      <c r="BA16" s="716"/>
    </row>
    <row r="17" spans="2:53">
      <c r="B17" s="680"/>
      <c r="C17" s="533">
        <v>11</v>
      </c>
      <c r="D17" s="225"/>
      <c r="E17" s="531"/>
      <c r="F17" s="530"/>
      <c r="G17" s="532"/>
      <c r="H17" s="692"/>
      <c r="I17" s="534" t="str">
        <f t="shared" si="0"/>
        <v>-</v>
      </c>
      <c r="J17" s="534" t="str">
        <f t="shared" si="1"/>
        <v>-</v>
      </c>
      <c r="K17" s="199" t="str">
        <f t="shared" si="2"/>
        <v>-</v>
      </c>
      <c r="L17" s="634"/>
      <c r="M17" s="510" t="e">
        <f>RANK(K17, K$7:$K$21)</f>
        <v>#VALUE!</v>
      </c>
      <c r="N17" s="652"/>
      <c r="O17" s="652"/>
      <c r="P17" s="530"/>
      <c r="Q17" s="531"/>
      <c r="R17" s="531"/>
      <c r="S17" s="555"/>
      <c r="T17" s="685"/>
      <c r="U17" s="530"/>
      <c r="V17" s="531"/>
      <c r="W17" s="531"/>
      <c r="X17" s="555"/>
      <c r="Y17" s="685"/>
      <c r="Z17" s="530"/>
      <c r="AA17" s="531"/>
      <c r="AB17" s="531"/>
      <c r="AC17" s="555"/>
      <c r="AD17" s="685"/>
      <c r="AE17" s="530"/>
      <c r="AF17" s="531"/>
      <c r="AG17" s="531"/>
      <c r="AH17" s="555"/>
      <c r="AI17" s="685"/>
      <c r="AJ17" s="530" t="s">
        <v>585</v>
      </c>
      <c r="AK17" s="531" t="s">
        <v>585</v>
      </c>
      <c r="AL17" s="531" t="s">
        <v>585</v>
      </c>
      <c r="AM17" s="555" t="e">
        <f t="shared" si="8"/>
        <v>#VALUE!</v>
      </c>
      <c r="AN17" s="685"/>
      <c r="AO17" s="530" t="s">
        <v>585</v>
      </c>
      <c r="AP17" s="531" t="s">
        <v>585</v>
      </c>
      <c r="AQ17" s="531" t="s">
        <v>585</v>
      </c>
      <c r="AR17" s="555" t="e">
        <f t="shared" si="9"/>
        <v>#VALUE!</v>
      </c>
      <c r="AS17" s="685"/>
      <c r="AT17" s="530" t="s">
        <v>585</v>
      </c>
      <c r="AU17" s="531" t="s">
        <v>585</v>
      </c>
      <c r="AV17" s="531" t="s">
        <v>585</v>
      </c>
      <c r="AW17" s="555" t="e">
        <f t="shared" si="10"/>
        <v>#VALUE!</v>
      </c>
      <c r="AX17" s="685"/>
      <c r="AZ17" s="370" t="e">
        <f t="shared" si="6"/>
        <v>#N/A</v>
      </c>
      <c r="BA17" s="716"/>
    </row>
    <row r="18" spans="2:53">
      <c r="B18" s="680"/>
      <c r="C18" s="533">
        <v>12</v>
      </c>
      <c r="D18" s="225"/>
      <c r="E18" s="531"/>
      <c r="F18" s="530"/>
      <c r="G18" s="532"/>
      <c r="H18" s="692"/>
      <c r="I18" s="534" t="str">
        <f t="shared" si="0"/>
        <v>-</v>
      </c>
      <c r="J18" s="534" t="str">
        <f t="shared" si="1"/>
        <v>-</v>
      </c>
      <c r="K18" s="199" t="str">
        <f t="shared" si="2"/>
        <v>-</v>
      </c>
      <c r="L18" s="634"/>
      <c r="M18" s="510" t="e">
        <f>RANK(K18, K$7:$K$21)</f>
        <v>#VALUE!</v>
      </c>
      <c r="N18" s="652"/>
      <c r="O18" s="652"/>
      <c r="P18" s="530"/>
      <c r="Q18" s="531"/>
      <c r="R18" s="531"/>
      <c r="S18" s="555"/>
      <c r="T18" s="685"/>
      <c r="U18" s="530"/>
      <c r="V18" s="531"/>
      <c r="W18" s="531"/>
      <c r="X18" s="555"/>
      <c r="Y18" s="685"/>
      <c r="Z18" s="530"/>
      <c r="AA18" s="531"/>
      <c r="AB18" s="531"/>
      <c r="AC18" s="555"/>
      <c r="AD18" s="685"/>
      <c r="AE18" s="530"/>
      <c r="AF18" s="531"/>
      <c r="AG18" s="531"/>
      <c r="AH18" s="555"/>
      <c r="AI18" s="685"/>
      <c r="AJ18" s="530" t="s">
        <v>585</v>
      </c>
      <c r="AK18" s="531" t="s">
        <v>585</v>
      </c>
      <c r="AL18" s="531" t="s">
        <v>585</v>
      </c>
      <c r="AM18" s="555" t="e">
        <f t="shared" si="8"/>
        <v>#VALUE!</v>
      </c>
      <c r="AN18" s="685"/>
      <c r="AO18" s="530" t="s">
        <v>585</v>
      </c>
      <c r="AP18" s="531" t="s">
        <v>585</v>
      </c>
      <c r="AQ18" s="531" t="s">
        <v>585</v>
      </c>
      <c r="AR18" s="555" t="e">
        <f t="shared" si="9"/>
        <v>#VALUE!</v>
      </c>
      <c r="AS18" s="685"/>
      <c r="AT18" s="530" t="s">
        <v>585</v>
      </c>
      <c r="AU18" s="531" t="s">
        <v>585</v>
      </c>
      <c r="AV18" s="531" t="s">
        <v>585</v>
      </c>
      <c r="AW18" s="555" t="e">
        <f t="shared" si="10"/>
        <v>#VALUE!</v>
      </c>
      <c r="AX18" s="685"/>
      <c r="AZ18" s="370" t="e">
        <f t="shared" si="6"/>
        <v>#N/A</v>
      </c>
      <c r="BA18" s="716"/>
    </row>
    <row r="19" spans="2:53">
      <c r="B19" s="680"/>
      <c r="C19" s="533">
        <v>13</v>
      </c>
      <c r="D19" s="225"/>
      <c r="E19" s="531"/>
      <c r="F19" s="530"/>
      <c r="G19" s="532"/>
      <c r="H19" s="692"/>
      <c r="I19" s="534" t="str">
        <f t="shared" si="0"/>
        <v>-</v>
      </c>
      <c r="J19" s="534" t="str">
        <f t="shared" si="1"/>
        <v>-</v>
      </c>
      <c r="K19" s="199" t="str">
        <f t="shared" si="2"/>
        <v>-</v>
      </c>
      <c r="L19" s="634"/>
      <c r="M19" s="510" t="e">
        <f>RANK(K19, K$7:$K$21)</f>
        <v>#VALUE!</v>
      </c>
      <c r="N19" s="652"/>
      <c r="O19" s="652"/>
      <c r="P19" s="530"/>
      <c r="Q19" s="531"/>
      <c r="R19" s="531"/>
      <c r="S19" s="555"/>
      <c r="T19" s="685"/>
      <c r="U19" s="530"/>
      <c r="V19" s="531"/>
      <c r="W19" s="531"/>
      <c r="X19" s="555"/>
      <c r="Y19" s="685"/>
      <c r="Z19" s="530"/>
      <c r="AA19" s="531"/>
      <c r="AB19" s="531"/>
      <c r="AC19" s="555"/>
      <c r="AD19" s="685"/>
      <c r="AE19" s="530"/>
      <c r="AF19" s="531"/>
      <c r="AG19" s="531"/>
      <c r="AH19" s="555"/>
      <c r="AI19" s="685"/>
      <c r="AJ19" s="530" t="s">
        <v>585</v>
      </c>
      <c r="AK19" s="531" t="s">
        <v>585</v>
      </c>
      <c r="AL19" s="531" t="s">
        <v>585</v>
      </c>
      <c r="AM19" s="555" t="e">
        <f t="shared" si="8"/>
        <v>#VALUE!</v>
      </c>
      <c r="AN19" s="685"/>
      <c r="AO19" s="530" t="s">
        <v>585</v>
      </c>
      <c r="AP19" s="531" t="s">
        <v>585</v>
      </c>
      <c r="AQ19" s="531" t="s">
        <v>585</v>
      </c>
      <c r="AR19" s="555" t="e">
        <f t="shared" si="9"/>
        <v>#VALUE!</v>
      </c>
      <c r="AS19" s="685"/>
      <c r="AT19" s="530" t="s">
        <v>585</v>
      </c>
      <c r="AU19" s="531" t="s">
        <v>585</v>
      </c>
      <c r="AV19" s="531" t="s">
        <v>585</v>
      </c>
      <c r="AW19" s="555" t="e">
        <f t="shared" si="10"/>
        <v>#VALUE!</v>
      </c>
      <c r="AX19" s="685"/>
      <c r="AZ19" s="370" t="e">
        <f t="shared" si="6"/>
        <v>#N/A</v>
      </c>
      <c r="BA19" s="716"/>
    </row>
    <row r="20" spans="2:53">
      <c r="B20" s="680"/>
      <c r="C20" s="533">
        <v>14</v>
      </c>
      <c r="D20" s="225"/>
      <c r="E20" s="531"/>
      <c r="F20" s="530"/>
      <c r="G20" s="532"/>
      <c r="H20" s="692"/>
      <c r="I20" s="534" t="str">
        <f t="shared" si="0"/>
        <v>-</v>
      </c>
      <c r="J20" s="534" t="str">
        <f t="shared" si="1"/>
        <v>-</v>
      </c>
      <c r="K20" s="199" t="str">
        <f t="shared" si="2"/>
        <v>-</v>
      </c>
      <c r="L20" s="634"/>
      <c r="M20" s="510" t="e">
        <f>RANK(K20, K$7:$K$21)</f>
        <v>#VALUE!</v>
      </c>
      <c r="N20" s="652"/>
      <c r="O20" s="652"/>
      <c r="P20" s="530"/>
      <c r="Q20" s="531"/>
      <c r="R20" s="531"/>
      <c r="S20" s="555"/>
      <c r="T20" s="685"/>
      <c r="U20" s="530"/>
      <c r="V20" s="531"/>
      <c r="W20" s="531"/>
      <c r="X20" s="555"/>
      <c r="Y20" s="685"/>
      <c r="Z20" s="530"/>
      <c r="AA20" s="531"/>
      <c r="AB20" s="531"/>
      <c r="AC20" s="555"/>
      <c r="AD20" s="685"/>
      <c r="AE20" s="530"/>
      <c r="AF20" s="531"/>
      <c r="AG20" s="531"/>
      <c r="AH20" s="555"/>
      <c r="AI20" s="685"/>
      <c r="AJ20" s="530" t="s">
        <v>585</v>
      </c>
      <c r="AK20" s="531" t="s">
        <v>585</v>
      </c>
      <c r="AL20" s="531" t="s">
        <v>585</v>
      </c>
      <c r="AM20" s="555" t="e">
        <f t="shared" si="8"/>
        <v>#VALUE!</v>
      </c>
      <c r="AN20" s="685"/>
      <c r="AO20" s="530" t="s">
        <v>585</v>
      </c>
      <c r="AP20" s="531" t="s">
        <v>585</v>
      </c>
      <c r="AQ20" s="531" t="s">
        <v>585</v>
      </c>
      <c r="AR20" s="555" t="e">
        <f t="shared" si="9"/>
        <v>#VALUE!</v>
      </c>
      <c r="AS20" s="685"/>
      <c r="AT20" s="530" t="s">
        <v>585</v>
      </c>
      <c r="AU20" s="531" t="s">
        <v>585</v>
      </c>
      <c r="AV20" s="531" t="s">
        <v>585</v>
      </c>
      <c r="AW20" s="555" t="e">
        <f t="shared" si="10"/>
        <v>#VALUE!</v>
      </c>
      <c r="AX20" s="685"/>
      <c r="AZ20" s="370" t="e">
        <f t="shared" si="6"/>
        <v>#N/A</v>
      </c>
      <c r="BA20" s="716"/>
    </row>
    <row r="21" spans="2:53">
      <c r="B21" s="680"/>
      <c r="C21" s="533">
        <v>15</v>
      </c>
      <c r="D21" s="225"/>
      <c r="E21" s="531"/>
      <c r="F21" s="530"/>
      <c r="G21" s="532"/>
      <c r="H21" s="696"/>
      <c r="I21" s="533"/>
      <c r="J21" s="533"/>
      <c r="K21" s="533"/>
      <c r="L21" s="635"/>
      <c r="M21" s="510" t="e">
        <f>RANK(K21, K$7:$K$21)</f>
        <v>#N/A</v>
      </c>
      <c r="N21" s="652"/>
      <c r="O21" s="652"/>
      <c r="P21" s="530"/>
      <c r="Q21" s="531"/>
      <c r="R21" s="531"/>
      <c r="S21" s="555"/>
      <c r="T21" s="685"/>
      <c r="U21" s="530"/>
      <c r="V21" s="531"/>
      <c r="W21" s="531"/>
      <c r="X21" s="555"/>
      <c r="Y21" s="685"/>
      <c r="Z21" s="530"/>
      <c r="AA21" s="531"/>
      <c r="AB21" s="531"/>
      <c r="AC21" s="555"/>
      <c r="AD21" s="685"/>
      <c r="AE21" s="530"/>
      <c r="AF21" s="531"/>
      <c r="AG21" s="531"/>
      <c r="AH21" s="555"/>
      <c r="AI21" s="685"/>
      <c r="AJ21" s="530" t="s">
        <v>585</v>
      </c>
      <c r="AK21" s="531" t="s">
        <v>585</v>
      </c>
      <c r="AL21" s="531" t="s">
        <v>585</v>
      </c>
      <c r="AM21" s="555" t="e">
        <f t="shared" si="8"/>
        <v>#VALUE!</v>
      </c>
      <c r="AN21" s="685"/>
      <c r="AO21" s="530" t="s">
        <v>585</v>
      </c>
      <c r="AP21" s="531" t="s">
        <v>585</v>
      </c>
      <c r="AQ21" s="531" t="s">
        <v>585</v>
      </c>
      <c r="AR21" s="555" t="e">
        <f t="shared" si="9"/>
        <v>#VALUE!</v>
      </c>
      <c r="AS21" s="685"/>
      <c r="AT21" s="530" t="s">
        <v>585</v>
      </c>
      <c r="AU21" s="531" t="s">
        <v>585</v>
      </c>
      <c r="AV21" s="531" t="s">
        <v>585</v>
      </c>
      <c r="AW21" s="555" t="e">
        <f t="shared" si="10"/>
        <v>#VALUE!</v>
      </c>
      <c r="AX21" s="685"/>
      <c r="AZ21" s="370" t="e">
        <f t="shared" si="6"/>
        <v>#N/A</v>
      </c>
      <c r="BA21" s="717"/>
    </row>
    <row r="22" spans="2:53" ht="15.75">
      <c r="B22" s="677" t="s">
        <v>162</v>
      </c>
      <c r="C22" s="678"/>
      <c r="D22" s="678"/>
      <c r="E22" s="678"/>
      <c r="F22" s="678"/>
      <c r="G22" s="678"/>
      <c r="H22" s="678"/>
      <c r="I22" s="202"/>
      <c r="J22" s="202"/>
      <c r="K22" s="202"/>
      <c r="L22" s="202"/>
      <c r="M22" s="203"/>
      <c r="N22" s="653" t="s">
        <v>156</v>
      </c>
      <c r="O22" s="653" t="s">
        <v>105</v>
      </c>
      <c r="P22" s="659">
        <f>P2+7</f>
        <v>46238</v>
      </c>
      <c r="Q22" s="660"/>
      <c r="R22" s="660"/>
      <c r="S22" s="660"/>
      <c r="T22" s="660"/>
      <c r="U22" s="656">
        <f>P22+1</f>
        <v>46239</v>
      </c>
      <c r="V22" s="657"/>
      <c r="W22" s="657"/>
      <c r="X22" s="657"/>
      <c r="Y22" s="658"/>
      <c r="Z22" s="656">
        <f>U22+1</f>
        <v>46240</v>
      </c>
      <c r="AA22" s="657"/>
      <c r="AB22" s="657"/>
      <c r="AC22" s="657"/>
      <c r="AD22" s="658"/>
      <c r="AE22" s="656">
        <f>Z22+1</f>
        <v>46241</v>
      </c>
      <c r="AF22" s="657"/>
      <c r="AG22" s="657"/>
      <c r="AH22" s="657"/>
      <c r="AI22" s="658"/>
      <c r="AJ22" s="656">
        <f>AE22+1</f>
        <v>46242</v>
      </c>
      <c r="AK22" s="657"/>
      <c r="AL22" s="657"/>
      <c r="AM22" s="657"/>
      <c r="AN22" s="658"/>
      <c r="AO22" s="656">
        <f>AJ22+1</f>
        <v>46243</v>
      </c>
      <c r="AP22" s="657"/>
      <c r="AQ22" s="657"/>
      <c r="AR22" s="657"/>
      <c r="AS22" s="658"/>
      <c r="AT22" s="656">
        <f>AO22+1</f>
        <v>46244</v>
      </c>
      <c r="AU22" s="657"/>
      <c r="AV22" s="657"/>
      <c r="AW22" s="657"/>
      <c r="AX22" s="658"/>
    </row>
    <row r="23" spans="2:53" ht="15.75">
      <c r="B23" s="667"/>
      <c r="C23" s="667"/>
      <c r="D23" s="667"/>
      <c r="E23" s="667"/>
      <c r="F23" s="667"/>
      <c r="G23" s="667"/>
      <c r="H23" s="667"/>
      <c r="I23" s="204"/>
      <c r="J23" s="204"/>
      <c r="K23" s="204"/>
      <c r="L23" s="204"/>
      <c r="M23" s="205"/>
      <c r="N23" s="655"/>
      <c r="O23" s="655"/>
      <c r="P23" s="659" t="s">
        <v>317</v>
      </c>
      <c r="Q23" s="660"/>
      <c r="R23" s="660"/>
      <c r="S23" s="660"/>
      <c r="T23" s="660"/>
      <c r="U23" s="659" t="s">
        <v>318</v>
      </c>
      <c r="V23" s="660"/>
      <c r="W23" s="660"/>
      <c r="X23" s="660"/>
      <c r="Y23" s="660"/>
      <c r="Z23" s="659" t="s">
        <v>319</v>
      </c>
      <c r="AA23" s="660"/>
      <c r="AB23" s="660"/>
      <c r="AC23" s="660"/>
      <c r="AD23" s="660"/>
      <c r="AE23" s="659" t="s">
        <v>320</v>
      </c>
      <c r="AF23" s="660"/>
      <c r="AG23" s="660"/>
      <c r="AH23" s="660"/>
      <c r="AI23" s="660"/>
      <c r="AJ23" s="659" t="s">
        <v>321</v>
      </c>
      <c r="AK23" s="660"/>
      <c r="AL23" s="660"/>
      <c r="AM23" s="660"/>
      <c r="AN23" s="660"/>
      <c r="AO23" s="659" t="s">
        <v>322</v>
      </c>
      <c r="AP23" s="660"/>
      <c r="AQ23" s="660"/>
      <c r="AR23" s="660"/>
      <c r="AS23" s="660"/>
      <c r="AT23" s="659" t="s">
        <v>323</v>
      </c>
      <c r="AU23" s="660"/>
      <c r="AV23" s="660"/>
      <c r="AW23" s="660"/>
      <c r="AX23" s="660"/>
    </row>
    <row r="24" spans="2:53">
      <c r="B24" s="652" t="s">
        <v>369</v>
      </c>
      <c r="C24" s="652" t="s">
        <v>532</v>
      </c>
      <c r="D24" s="652"/>
      <c r="E24" s="652" t="s">
        <v>533</v>
      </c>
      <c r="F24" s="652"/>
      <c r="G24" s="652"/>
      <c r="H24" s="668" t="s">
        <v>534</v>
      </c>
      <c r="I24" s="652" t="s">
        <v>535</v>
      </c>
      <c r="J24" s="652"/>
      <c r="K24" s="652"/>
      <c r="L24" s="668" t="s">
        <v>366</v>
      </c>
      <c r="M24" s="653" t="s">
        <v>536</v>
      </c>
      <c r="N24" s="652"/>
      <c r="O24" s="652" t="s">
        <v>537</v>
      </c>
      <c r="P24" s="649" t="s">
        <v>368</v>
      </c>
      <c r="Q24" s="650"/>
      <c r="R24" s="650"/>
      <c r="S24" s="651"/>
      <c r="T24" s="652" t="s">
        <v>366</v>
      </c>
      <c r="U24" s="649" t="s">
        <v>368</v>
      </c>
      <c r="V24" s="650"/>
      <c r="W24" s="650"/>
      <c r="X24" s="651"/>
      <c r="Y24" s="652" t="s">
        <v>366</v>
      </c>
      <c r="Z24" s="649" t="s">
        <v>368</v>
      </c>
      <c r="AA24" s="650"/>
      <c r="AB24" s="650"/>
      <c r="AC24" s="651"/>
      <c r="AD24" s="652" t="s">
        <v>366</v>
      </c>
      <c r="AE24" s="649" t="s">
        <v>368</v>
      </c>
      <c r="AF24" s="650"/>
      <c r="AG24" s="650"/>
      <c r="AH24" s="651"/>
      <c r="AI24" s="652" t="s">
        <v>366</v>
      </c>
      <c r="AJ24" s="649" t="s">
        <v>368</v>
      </c>
      <c r="AK24" s="650"/>
      <c r="AL24" s="650"/>
      <c r="AM24" s="651"/>
      <c r="AN24" s="652" t="s">
        <v>366</v>
      </c>
      <c r="AO24" s="649" t="s">
        <v>368</v>
      </c>
      <c r="AP24" s="650"/>
      <c r="AQ24" s="650"/>
      <c r="AR24" s="651"/>
      <c r="AS24" s="652" t="s">
        <v>366</v>
      </c>
      <c r="AT24" s="649" t="s">
        <v>368</v>
      </c>
      <c r="AU24" s="650"/>
      <c r="AV24" s="650"/>
      <c r="AW24" s="651"/>
      <c r="AX24" s="652" t="s">
        <v>366</v>
      </c>
      <c r="BA24" s="652" t="s">
        <v>366</v>
      </c>
    </row>
    <row r="25" spans="2:53">
      <c r="B25" s="652"/>
      <c r="C25" s="652"/>
      <c r="D25" s="652"/>
      <c r="E25" s="652" t="s">
        <v>538</v>
      </c>
      <c r="F25" s="652"/>
      <c r="G25" s="652"/>
      <c r="H25" s="669"/>
      <c r="I25" s="652" t="s">
        <v>538</v>
      </c>
      <c r="J25" s="652"/>
      <c r="K25" s="652"/>
      <c r="L25" s="669"/>
      <c r="M25" s="654"/>
      <c r="N25" s="652"/>
      <c r="O25" s="652"/>
      <c r="P25" s="649" t="s">
        <v>374</v>
      </c>
      <c r="Q25" s="650"/>
      <c r="R25" s="650"/>
      <c r="S25" s="651"/>
      <c r="T25" s="652"/>
      <c r="U25" s="649" t="s">
        <v>374</v>
      </c>
      <c r="V25" s="650"/>
      <c r="W25" s="650"/>
      <c r="X25" s="651"/>
      <c r="Y25" s="652"/>
      <c r="Z25" s="649" t="s">
        <v>374</v>
      </c>
      <c r="AA25" s="650"/>
      <c r="AB25" s="650"/>
      <c r="AC25" s="651"/>
      <c r="AD25" s="652"/>
      <c r="AE25" s="649" t="s">
        <v>374</v>
      </c>
      <c r="AF25" s="650"/>
      <c r="AG25" s="650"/>
      <c r="AH25" s="651"/>
      <c r="AI25" s="652"/>
      <c r="AJ25" s="649" t="s">
        <v>374</v>
      </c>
      <c r="AK25" s="650"/>
      <c r="AL25" s="650"/>
      <c r="AM25" s="651"/>
      <c r="AN25" s="652"/>
      <c r="AO25" s="649" t="s">
        <v>374</v>
      </c>
      <c r="AP25" s="650"/>
      <c r="AQ25" s="650"/>
      <c r="AR25" s="651"/>
      <c r="AS25" s="652"/>
      <c r="AT25" s="649" t="s">
        <v>374</v>
      </c>
      <c r="AU25" s="650"/>
      <c r="AV25" s="650"/>
      <c r="AW25" s="651"/>
      <c r="AX25" s="652"/>
      <c r="BA25" s="652"/>
    </row>
    <row r="26" spans="2:53">
      <c r="B26" s="652"/>
      <c r="C26" s="652"/>
      <c r="D26" s="652"/>
      <c r="E26" s="378" t="s">
        <v>539</v>
      </c>
      <c r="F26" s="378" t="s">
        <v>540</v>
      </c>
      <c r="G26" s="378" t="s">
        <v>541</v>
      </c>
      <c r="H26" s="670"/>
      <c r="I26" s="378" t="s">
        <v>539</v>
      </c>
      <c r="J26" s="378" t="s">
        <v>540</v>
      </c>
      <c r="K26" s="378" t="s">
        <v>541</v>
      </c>
      <c r="L26" s="670"/>
      <c r="M26" s="655"/>
      <c r="N26" s="652"/>
      <c r="O26" s="652"/>
      <c r="P26" s="378" t="s">
        <v>375</v>
      </c>
      <c r="Q26" s="378" t="s">
        <v>376</v>
      </c>
      <c r="R26" s="378" t="s">
        <v>377</v>
      </c>
      <c r="S26" s="378" t="s">
        <v>367</v>
      </c>
      <c r="T26" s="652"/>
      <c r="U26" s="378" t="s">
        <v>375</v>
      </c>
      <c r="V26" s="378" t="s">
        <v>376</v>
      </c>
      <c r="W26" s="378" t="s">
        <v>377</v>
      </c>
      <c r="X26" s="378" t="s">
        <v>367</v>
      </c>
      <c r="Y26" s="652"/>
      <c r="Z26" s="378" t="s">
        <v>375</v>
      </c>
      <c r="AA26" s="378" t="s">
        <v>376</v>
      </c>
      <c r="AB26" s="378" t="s">
        <v>377</v>
      </c>
      <c r="AC26" s="378" t="s">
        <v>367</v>
      </c>
      <c r="AD26" s="652"/>
      <c r="AE26" s="378" t="s">
        <v>375</v>
      </c>
      <c r="AF26" s="378" t="s">
        <v>376</v>
      </c>
      <c r="AG26" s="378" t="s">
        <v>377</v>
      </c>
      <c r="AH26" s="378" t="s">
        <v>367</v>
      </c>
      <c r="AI26" s="652"/>
      <c r="AJ26" s="378" t="s">
        <v>375</v>
      </c>
      <c r="AK26" s="378" t="s">
        <v>376</v>
      </c>
      <c r="AL26" s="378" t="s">
        <v>377</v>
      </c>
      <c r="AM26" s="378" t="s">
        <v>367</v>
      </c>
      <c r="AN26" s="652"/>
      <c r="AO26" s="378" t="s">
        <v>375</v>
      </c>
      <c r="AP26" s="378" t="s">
        <v>376</v>
      </c>
      <c r="AQ26" s="378" t="s">
        <v>377</v>
      </c>
      <c r="AR26" s="378" t="s">
        <v>367</v>
      </c>
      <c r="AS26" s="652"/>
      <c r="AT26" s="378" t="s">
        <v>375</v>
      </c>
      <c r="AU26" s="378" t="s">
        <v>376</v>
      </c>
      <c r="AV26" s="378" t="s">
        <v>377</v>
      </c>
      <c r="AW26" s="378" t="s">
        <v>367</v>
      </c>
      <c r="AX26" s="652"/>
      <c r="AZ26" s="367" t="s">
        <v>367</v>
      </c>
      <c r="BA26" s="652"/>
    </row>
    <row r="27" spans="2:53">
      <c r="B27" s="652" t="s">
        <v>381</v>
      </c>
      <c r="C27" s="380">
        <v>1</v>
      </c>
      <c r="D27" s="225" t="s">
        <v>587</v>
      </c>
      <c r="E27" s="531">
        <v>17</v>
      </c>
      <c r="F27" s="530">
        <v>1565</v>
      </c>
      <c r="G27" s="532">
        <v>92.058823529411768</v>
      </c>
      <c r="H27" s="691">
        <f>AVERAGE(G27:G41)</f>
        <v>88.413656690746478</v>
      </c>
      <c r="I27" s="381">
        <f t="shared" ref="I27:I40" si="11">IFERROR(AVERAGE(P27,U27,Z27,AE27,AJ27,AO27,AT27),"-")</f>
        <v>17</v>
      </c>
      <c r="J27" s="381">
        <f t="shared" ref="J27:J40" si="12">IFERROR(AVERAGE(Q27,V27,AA27,AF27,AK27,AP27,AU27),"-")</f>
        <v>1353.2714264524914</v>
      </c>
      <c r="K27" s="199">
        <f t="shared" ref="K27:K40" si="13">IFERROR(AVERAGE(R27,W27,AB27,AG27,AL27,AQ27,AV27),"-")</f>
        <v>79.604201556028897</v>
      </c>
      <c r="L27" s="633">
        <f>IFERROR(AVERAGE(K27:K41),"-")</f>
        <v>79.740748911099814</v>
      </c>
      <c r="M27" s="384">
        <f>RANK(K27, K$24:$K$41)</f>
        <v>3</v>
      </c>
      <c r="N27" s="652"/>
      <c r="O27" s="652"/>
      <c r="P27" s="552">
        <v>17</v>
      </c>
      <c r="Q27" s="553">
        <v>1367.6521739130435</v>
      </c>
      <c r="R27" s="553">
        <v>80.450127877237847</v>
      </c>
      <c r="S27" s="552">
        <f t="shared" ref="S27:S41" si="14">RANK(R27, R$27:R$41)</f>
        <v>3</v>
      </c>
      <c r="T27" s="661">
        <f t="shared" ref="T27" si="15">AVERAGE(R27:R41)</f>
        <v>78.52807866289514</v>
      </c>
      <c r="U27" s="552">
        <v>17</v>
      </c>
      <c r="V27" s="553">
        <v>1373.5555555555552</v>
      </c>
      <c r="W27" s="553">
        <v>80.797385620915009</v>
      </c>
      <c r="X27" s="552">
        <f t="shared" ref="X27:X41" si="16">RANK(W27, W$27:W$41)</f>
        <v>2</v>
      </c>
      <c r="Y27" s="661">
        <f t="shared" ref="Y27" si="17">AVERAGE(W27:W41)</f>
        <v>78.599633931761531</v>
      </c>
      <c r="Z27" s="552">
        <v>17</v>
      </c>
      <c r="AA27" s="553">
        <v>1329.6774193548388</v>
      </c>
      <c r="AB27" s="553">
        <v>78.21631878557875</v>
      </c>
      <c r="AC27" s="552">
        <f t="shared" ref="AC27:AC41" si="18">RANK(AB27, AB$27:AB$41)</f>
        <v>4</v>
      </c>
      <c r="AD27" s="661">
        <f t="shared" ref="AD27" si="19">AVERAGE(AB27:AB41)</f>
        <v>80.215104575163409</v>
      </c>
      <c r="AE27" s="552">
        <v>17</v>
      </c>
      <c r="AF27" s="553">
        <v>1336.030534351145</v>
      </c>
      <c r="AG27" s="553">
        <v>78.59003143242029</v>
      </c>
      <c r="AH27" s="552">
        <f t="shared" ref="AH27:AH41" si="20">RANK(AG27, AG$27:AG$41)</f>
        <v>4</v>
      </c>
      <c r="AI27" s="661">
        <f t="shared" ref="AI27" si="21">AVERAGE(AG27:AG41)</f>
        <v>80.051694549586642</v>
      </c>
      <c r="AJ27" s="552">
        <v>17</v>
      </c>
      <c r="AK27" s="553">
        <v>1334.3835616438359</v>
      </c>
      <c r="AL27" s="553">
        <v>78.493150684931521</v>
      </c>
      <c r="AM27" s="552">
        <f t="shared" ref="AM27:AM41" si="22">RANK(AL27, AL$27:AL$41)</f>
        <v>4</v>
      </c>
      <c r="AN27" s="661">
        <f t="shared" ref="AN27" si="23">AVERAGE(AL27:AL41)</f>
        <v>80.001379202101788</v>
      </c>
      <c r="AO27" s="552">
        <v>17</v>
      </c>
      <c r="AP27" s="553">
        <v>1366.3548387096778</v>
      </c>
      <c r="AQ27" s="553">
        <v>80.373814041745746</v>
      </c>
      <c r="AR27" s="552">
        <f t="shared" ref="AR27:AR41" si="24">RANK(AQ27, AQ$27:AQ$41)</f>
        <v>3</v>
      </c>
      <c r="AS27" s="661">
        <f t="shared" ref="AS27" si="25">AVERAGE(AQ27:AQ41)</f>
        <v>80.397716318547225</v>
      </c>
      <c r="AT27" s="552">
        <v>17</v>
      </c>
      <c r="AU27" s="553">
        <v>1365.2459016393443</v>
      </c>
      <c r="AV27" s="553">
        <v>80.308582449373191</v>
      </c>
      <c r="AW27" s="552">
        <f t="shared" ref="AW27:AW41" si="26">RANK(AV27, AV$27:AV$41)</f>
        <v>3</v>
      </c>
      <c r="AX27" s="661">
        <f t="shared" ref="AX27" si="27">AVERAGE(AV27:AV41)</f>
        <v>80.391635137642908</v>
      </c>
      <c r="AZ27" s="368" t="e">
        <f t="shared" ref="AZ27:AZ41" si="28">RANK(AY27, AY$27:AY$41)</f>
        <v>#N/A</v>
      </c>
      <c r="BA27" s="661" t="e">
        <f t="shared" ref="BA27" si="29">AVERAGE(AY27:AY41)</f>
        <v>#DIV/0!</v>
      </c>
    </row>
    <row r="28" spans="2:53">
      <c r="B28" s="660"/>
      <c r="C28" s="380">
        <v>2</v>
      </c>
      <c r="D28" s="225" t="s">
        <v>608</v>
      </c>
      <c r="E28" s="531">
        <v>19</v>
      </c>
      <c r="F28" s="530">
        <v>1500</v>
      </c>
      <c r="G28" s="532">
        <v>78.94736842105263</v>
      </c>
      <c r="H28" s="692"/>
      <c r="I28" s="381">
        <f t="shared" si="11"/>
        <v>19</v>
      </c>
      <c r="J28" s="381">
        <f t="shared" si="12"/>
        <v>1407.5949179694292</v>
      </c>
      <c r="K28" s="199">
        <f t="shared" si="13"/>
        <v>74.083943051022615</v>
      </c>
      <c r="L28" s="634"/>
      <c r="M28" s="387">
        <f>RANK(K28, K$24:$K$41)</f>
        <v>5</v>
      </c>
      <c r="N28" s="652"/>
      <c r="O28" s="652"/>
      <c r="P28" s="552">
        <v>19</v>
      </c>
      <c r="Q28" s="553">
        <v>1383.2523364485978</v>
      </c>
      <c r="R28" s="553">
        <v>72.802754549926206</v>
      </c>
      <c r="S28" s="552">
        <f t="shared" si="14"/>
        <v>5</v>
      </c>
      <c r="T28" s="662"/>
      <c r="U28" s="552">
        <v>19</v>
      </c>
      <c r="V28" s="553">
        <v>1381.7889908256877</v>
      </c>
      <c r="W28" s="553">
        <v>72.725736359246724</v>
      </c>
      <c r="X28" s="552">
        <f t="shared" si="16"/>
        <v>5</v>
      </c>
      <c r="Y28" s="662"/>
      <c r="Z28" s="552">
        <v>19</v>
      </c>
      <c r="AA28" s="553">
        <v>1413.1250000000005</v>
      </c>
      <c r="AB28" s="553">
        <v>74.375000000000028</v>
      </c>
      <c r="AC28" s="552">
        <f t="shared" si="18"/>
        <v>5</v>
      </c>
      <c r="AD28" s="662"/>
      <c r="AE28" s="552">
        <v>19</v>
      </c>
      <c r="AF28" s="553">
        <v>1418.6086956521744</v>
      </c>
      <c r="AG28" s="553">
        <v>74.663615560640764</v>
      </c>
      <c r="AH28" s="552">
        <f t="shared" si="20"/>
        <v>5</v>
      </c>
      <c r="AI28" s="662"/>
      <c r="AJ28" s="552">
        <v>19</v>
      </c>
      <c r="AK28" s="553">
        <v>1420.9756097560978</v>
      </c>
      <c r="AL28" s="553">
        <v>74.788189987163037</v>
      </c>
      <c r="AM28" s="552">
        <f t="shared" si="22"/>
        <v>5</v>
      </c>
      <c r="AN28" s="662"/>
      <c r="AO28" s="552">
        <v>19</v>
      </c>
      <c r="AP28" s="553">
        <v>1418.9999999999993</v>
      </c>
      <c r="AQ28" s="553">
        <v>74.684210526315752</v>
      </c>
      <c r="AR28" s="552">
        <f t="shared" si="24"/>
        <v>5</v>
      </c>
      <c r="AS28" s="662"/>
      <c r="AT28" s="552">
        <v>19</v>
      </c>
      <c r="AU28" s="553">
        <v>1416.4137931034481</v>
      </c>
      <c r="AV28" s="553">
        <v>74.548094373865695</v>
      </c>
      <c r="AW28" s="552">
        <f t="shared" si="26"/>
        <v>5</v>
      </c>
      <c r="AX28" s="662"/>
      <c r="AZ28" s="368" t="e">
        <f t="shared" si="28"/>
        <v>#N/A</v>
      </c>
      <c r="BA28" s="662"/>
    </row>
    <row r="29" spans="2:53">
      <c r="B29" s="660"/>
      <c r="C29" s="380">
        <v>3</v>
      </c>
      <c r="D29" s="225" t="s">
        <v>615</v>
      </c>
      <c r="E29" s="531">
        <v>18</v>
      </c>
      <c r="F29" s="530">
        <v>1565</v>
      </c>
      <c r="G29" s="532">
        <v>86.944444444444443</v>
      </c>
      <c r="H29" s="692"/>
      <c r="I29" s="381">
        <f t="shared" si="11"/>
        <v>18</v>
      </c>
      <c r="J29" s="381">
        <f t="shared" si="12"/>
        <v>1449.6381480825003</v>
      </c>
      <c r="K29" s="199">
        <f t="shared" si="13"/>
        <v>80.535452671250013</v>
      </c>
      <c r="L29" s="634"/>
      <c r="M29" s="387">
        <f>RANK(K29, K$24:$K$41)</f>
        <v>2</v>
      </c>
      <c r="N29" s="652"/>
      <c r="O29" s="652"/>
      <c r="P29" s="552">
        <v>18</v>
      </c>
      <c r="Q29" s="553">
        <v>1452.7272727272727</v>
      </c>
      <c r="R29" s="553">
        <v>80.707070707070713</v>
      </c>
      <c r="S29" s="552">
        <f t="shared" si="14"/>
        <v>2</v>
      </c>
      <c r="T29" s="662"/>
      <c r="U29" s="552">
        <v>18</v>
      </c>
      <c r="V29" s="553">
        <v>1413.7499999999998</v>
      </c>
      <c r="W29" s="553">
        <v>78.541666666666657</v>
      </c>
      <c r="X29" s="552">
        <f t="shared" si="16"/>
        <v>3</v>
      </c>
      <c r="Y29" s="662"/>
      <c r="Z29" s="552">
        <v>18</v>
      </c>
      <c r="AA29" s="553">
        <v>1469.0000000000002</v>
      </c>
      <c r="AB29" s="553">
        <v>81.611111111111128</v>
      </c>
      <c r="AC29" s="552">
        <f t="shared" si="18"/>
        <v>2</v>
      </c>
      <c r="AD29" s="662"/>
      <c r="AE29" s="552">
        <v>18</v>
      </c>
      <c r="AF29" s="553">
        <v>1451.1627906976742</v>
      </c>
      <c r="AG29" s="553">
        <v>80.620155038759677</v>
      </c>
      <c r="AH29" s="552">
        <f t="shared" si="20"/>
        <v>2</v>
      </c>
      <c r="AI29" s="662"/>
      <c r="AJ29" s="552">
        <v>18</v>
      </c>
      <c r="AK29" s="553">
        <v>1444.1860465116276</v>
      </c>
      <c r="AL29" s="553">
        <v>80.232558139534873</v>
      </c>
      <c r="AM29" s="552">
        <f t="shared" si="22"/>
        <v>2</v>
      </c>
      <c r="AN29" s="662"/>
      <c r="AO29" s="552">
        <v>18</v>
      </c>
      <c r="AP29" s="553">
        <v>1462.8571428571427</v>
      </c>
      <c r="AQ29" s="553">
        <v>81.269841269841265</v>
      </c>
      <c r="AR29" s="552">
        <f t="shared" si="24"/>
        <v>2</v>
      </c>
      <c r="AS29" s="662"/>
      <c r="AT29" s="552">
        <v>18</v>
      </c>
      <c r="AU29" s="553">
        <v>1453.7837837837835</v>
      </c>
      <c r="AV29" s="553">
        <v>80.76576576576575</v>
      </c>
      <c r="AW29" s="552">
        <f t="shared" si="26"/>
        <v>2</v>
      </c>
      <c r="AX29" s="662"/>
      <c r="AZ29" s="368" t="e">
        <f t="shared" si="28"/>
        <v>#N/A</v>
      </c>
      <c r="BA29" s="662"/>
    </row>
    <row r="30" spans="2:53">
      <c r="B30" s="660"/>
      <c r="C30" s="380">
        <v>4</v>
      </c>
      <c r="D30" s="225" t="s">
        <v>623</v>
      </c>
      <c r="E30" s="531">
        <v>17</v>
      </c>
      <c r="F30" s="530">
        <v>1565</v>
      </c>
      <c r="G30" s="532">
        <v>92.058823529411768</v>
      </c>
      <c r="H30" s="692"/>
      <c r="I30" s="381">
        <f t="shared" si="11"/>
        <v>17</v>
      </c>
      <c r="J30" s="381">
        <f t="shared" si="12"/>
        <v>1454.4829687554416</v>
      </c>
      <c r="K30" s="199">
        <f t="shared" si="13"/>
        <v>85.557821691496542</v>
      </c>
      <c r="L30" s="634"/>
      <c r="M30" s="387">
        <f>RANK(K30, K$24:$K$41)</f>
        <v>1</v>
      </c>
      <c r="N30" s="652"/>
      <c r="O30" s="652"/>
      <c r="P30" s="552">
        <v>17</v>
      </c>
      <c r="Q30" s="553">
        <v>1408.5148514851485</v>
      </c>
      <c r="R30" s="553">
        <v>82.853814793244027</v>
      </c>
      <c r="S30" s="552">
        <f t="shared" si="14"/>
        <v>1</v>
      </c>
      <c r="T30" s="662"/>
      <c r="U30" s="552">
        <v>17</v>
      </c>
      <c r="V30" s="553">
        <v>1442.5531914893613</v>
      </c>
      <c r="W30" s="553">
        <v>84.856070087609496</v>
      </c>
      <c r="X30" s="552">
        <f t="shared" si="16"/>
        <v>1</v>
      </c>
      <c r="Y30" s="662"/>
      <c r="Z30" s="552">
        <v>17</v>
      </c>
      <c r="AA30" s="553">
        <v>1469.3225806451617</v>
      </c>
      <c r="AB30" s="553">
        <v>86.430740037950684</v>
      </c>
      <c r="AC30" s="552">
        <f t="shared" si="18"/>
        <v>1</v>
      </c>
      <c r="AD30" s="662"/>
      <c r="AE30" s="552">
        <v>17</v>
      </c>
      <c r="AF30" s="553">
        <v>1468.695652173913</v>
      </c>
      <c r="AG30" s="553">
        <v>86.393861892583118</v>
      </c>
      <c r="AH30" s="552">
        <f t="shared" si="20"/>
        <v>1</v>
      </c>
      <c r="AI30" s="662"/>
      <c r="AJ30" s="552">
        <v>17</v>
      </c>
      <c r="AK30" s="553">
        <v>1466.5714285714289</v>
      </c>
      <c r="AL30" s="553">
        <v>86.268907563025223</v>
      </c>
      <c r="AM30" s="552">
        <f t="shared" si="22"/>
        <v>1</v>
      </c>
      <c r="AN30" s="662"/>
      <c r="AO30" s="552">
        <v>17</v>
      </c>
      <c r="AP30" s="553">
        <v>1457.7230769230764</v>
      </c>
      <c r="AQ30" s="553">
        <v>85.748416289592726</v>
      </c>
      <c r="AR30" s="552">
        <f t="shared" si="24"/>
        <v>1</v>
      </c>
      <c r="AS30" s="662"/>
      <c r="AT30" s="552">
        <v>17</v>
      </c>
      <c r="AU30" s="553">
        <v>1468</v>
      </c>
      <c r="AV30" s="553">
        <v>86.352941176470594</v>
      </c>
      <c r="AW30" s="552">
        <f t="shared" si="26"/>
        <v>1</v>
      </c>
      <c r="AX30" s="662"/>
      <c r="AZ30" s="368" t="e">
        <f t="shared" si="28"/>
        <v>#N/A</v>
      </c>
      <c r="BA30" s="662"/>
    </row>
    <row r="31" spans="2:53">
      <c r="B31" s="660"/>
      <c r="C31" s="380">
        <v>5</v>
      </c>
      <c r="D31" s="225" t="s">
        <v>714</v>
      </c>
      <c r="E31" s="531">
        <v>17</v>
      </c>
      <c r="F31" s="530">
        <v>1565</v>
      </c>
      <c r="G31" s="532">
        <v>92.058823529411768</v>
      </c>
      <c r="H31" s="692"/>
      <c r="I31" s="381">
        <f t="shared" si="11"/>
        <v>17</v>
      </c>
      <c r="J31" s="381">
        <f t="shared" si="12"/>
        <v>1341.6795349569163</v>
      </c>
      <c r="K31" s="199">
        <f t="shared" si="13"/>
        <v>78.922325585700946</v>
      </c>
      <c r="L31" s="634"/>
      <c r="M31" s="387">
        <f>RANK(K31, K$24:$K$41)</f>
        <v>4</v>
      </c>
      <c r="N31" s="652"/>
      <c r="O31" s="652"/>
      <c r="P31" s="552">
        <v>17</v>
      </c>
      <c r="Q31" s="553">
        <v>1289.0526315789475</v>
      </c>
      <c r="R31" s="553">
        <v>75.826625386996909</v>
      </c>
      <c r="S31" s="552">
        <f t="shared" si="14"/>
        <v>4</v>
      </c>
      <c r="T31" s="662"/>
      <c r="U31" s="552">
        <v>17</v>
      </c>
      <c r="V31" s="553">
        <v>1293.3142857142855</v>
      </c>
      <c r="W31" s="553">
        <v>76.077310924369726</v>
      </c>
      <c r="X31" s="552">
        <f t="shared" si="16"/>
        <v>4</v>
      </c>
      <c r="Y31" s="662"/>
      <c r="Z31" s="552">
        <v>17</v>
      </c>
      <c r="AA31" s="553">
        <v>1367.5200000000002</v>
      </c>
      <c r="AB31" s="553">
        <v>80.44235294117648</v>
      </c>
      <c r="AC31" s="552">
        <f t="shared" si="18"/>
        <v>3</v>
      </c>
      <c r="AD31" s="662"/>
      <c r="AE31" s="552">
        <v>17</v>
      </c>
      <c r="AF31" s="553">
        <v>1359.8437499999998</v>
      </c>
      <c r="AG31" s="553">
        <v>79.990808823529392</v>
      </c>
      <c r="AH31" s="552">
        <f t="shared" si="20"/>
        <v>3</v>
      </c>
      <c r="AI31" s="662"/>
      <c r="AJ31" s="552">
        <v>17</v>
      </c>
      <c r="AK31" s="553">
        <v>1363.8095238095234</v>
      </c>
      <c r="AL31" s="553">
        <v>80.224089635854313</v>
      </c>
      <c r="AM31" s="552">
        <f t="shared" si="22"/>
        <v>3</v>
      </c>
      <c r="AN31" s="662"/>
      <c r="AO31" s="552">
        <v>17</v>
      </c>
      <c r="AP31" s="553">
        <v>1358.5090909090907</v>
      </c>
      <c r="AQ31" s="553">
        <v>79.912299465240622</v>
      </c>
      <c r="AR31" s="552">
        <f t="shared" si="24"/>
        <v>4</v>
      </c>
      <c r="AS31" s="662"/>
      <c r="AT31" s="552">
        <v>17</v>
      </c>
      <c r="AU31" s="553">
        <v>1359.7074626865672</v>
      </c>
      <c r="AV31" s="553">
        <v>79.982791922739239</v>
      </c>
      <c r="AW31" s="552">
        <f t="shared" si="26"/>
        <v>4</v>
      </c>
      <c r="AX31" s="662"/>
      <c r="AZ31" s="368" t="e">
        <f t="shared" si="28"/>
        <v>#N/A</v>
      </c>
      <c r="BA31" s="662"/>
    </row>
    <row r="32" spans="2:53">
      <c r="B32" s="660"/>
      <c r="C32" s="380">
        <v>6</v>
      </c>
      <c r="D32" s="225"/>
      <c r="E32" s="531"/>
      <c r="F32" s="530"/>
      <c r="G32" s="532"/>
      <c r="H32" s="692"/>
      <c r="I32" s="381" t="str">
        <f t="shared" si="11"/>
        <v>-</v>
      </c>
      <c r="J32" s="381" t="str">
        <f t="shared" si="12"/>
        <v>-</v>
      </c>
      <c r="K32" s="199" t="str">
        <f t="shared" si="13"/>
        <v>-</v>
      </c>
      <c r="L32" s="634"/>
      <c r="M32" s="387" t="e">
        <f>RANK(K32, K$24:$K$41)</f>
        <v>#VALUE!</v>
      </c>
      <c r="N32" s="652"/>
      <c r="O32" s="652"/>
      <c r="P32" s="552" t="s">
        <v>585</v>
      </c>
      <c r="Q32" s="553" t="s">
        <v>585</v>
      </c>
      <c r="R32" s="553" t="s">
        <v>585</v>
      </c>
      <c r="S32" s="552" t="e">
        <f t="shared" si="14"/>
        <v>#VALUE!</v>
      </c>
      <c r="T32" s="662"/>
      <c r="U32" s="552" t="s">
        <v>585</v>
      </c>
      <c r="V32" s="553" t="s">
        <v>585</v>
      </c>
      <c r="W32" s="553" t="s">
        <v>585</v>
      </c>
      <c r="X32" s="552" t="e">
        <f t="shared" si="16"/>
        <v>#VALUE!</v>
      </c>
      <c r="Y32" s="662"/>
      <c r="Z32" s="552" t="s">
        <v>585</v>
      </c>
      <c r="AA32" s="553" t="s">
        <v>585</v>
      </c>
      <c r="AB32" s="553" t="s">
        <v>585</v>
      </c>
      <c r="AC32" s="552" t="e">
        <f t="shared" si="18"/>
        <v>#VALUE!</v>
      </c>
      <c r="AD32" s="662"/>
      <c r="AE32" s="552" t="s">
        <v>585</v>
      </c>
      <c r="AF32" s="553" t="s">
        <v>585</v>
      </c>
      <c r="AG32" s="553" t="s">
        <v>585</v>
      </c>
      <c r="AH32" s="552" t="e">
        <f t="shared" si="20"/>
        <v>#VALUE!</v>
      </c>
      <c r="AI32" s="662"/>
      <c r="AJ32" s="552" t="s">
        <v>585</v>
      </c>
      <c r="AK32" s="553" t="s">
        <v>585</v>
      </c>
      <c r="AL32" s="553" t="s">
        <v>585</v>
      </c>
      <c r="AM32" s="552" t="e">
        <f t="shared" si="22"/>
        <v>#VALUE!</v>
      </c>
      <c r="AN32" s="662"/>
      <c r="AO32" s="552" t="s">
        <v>585</v>
      </c>
      <c r="AP32" s="553" t="s">
        <v>585</v>
      </c>
      <c r="AQ32" s="553" t="s">
        <v>585</v>
      </c>
      <c r="AR32" s="552" t="e">
        <f t="shared" si="24"/>
        <v>#VALUE!</v>
      </c>
      <c r="AS32" s="662"/>
      <c r="AT32" s="552" t="s">
        <v>585</v>
      </c>
      <c r="AU32" s="553" t="s">
        <v>585</v>
      </c>
      <c r="AV32" s="553" t="s">
        <v>585</v>
      </c>
      <c r="AW32" s="552" t="e">
        <f t="shared" si="26"/>
        <v>#VALUE!</v>
      </c>
      <c r="AX32" s="662"/>
      <c r="AZ32" s="368" t="e">
        <f t="shared" si="28"/>
        <v>#N/A</v>
      </c>
      <c r="BA32" s="662"/>
    </row>
    <row r="33" spans="2:53">
      <c r="B33" s="660"/>
      <c r="C33" s="380">
        <v>7</v>
      </c>
      <c r="D33" s="225"/>
      <c r="E33" s="531"/>
      <c r="F33" s="530"/>
      <c r="G33" s="532"/>
      <c r="H33" s="692"/>
      <c r="I33" s="381" t="str">
        <f t="shared" si="11"/>
        <v>-</v>
      </c>
      <c r="J33" s="381" t="str">
        <f t="shared" si="12"/>
        <v>-</v>
      </c>
      <c r="K33" s="199" t="str">
        <f t="shared" si="13"/>
        <v>-</v>
      </c>
      <c r="L33" s="634"/>
      <c r="M33" s="387" t="e">
        <f>RANK(K33, K$24:$K$41)</f>
        <v>#VALUE!</v>
      </c>
      <c r="N33" s="652"/>
      <c r="O33" s="652"/>
      <c r="P33" s="552" t="s">
        <v>585</v>
      </c>
      <c r="Q33" s="553" t="s">
        <v>585</v>
      </c>
      <c r="R33" s="553" t="s">
        <v>585</v>
      </c>
      <c r="S33" s="552" t="e">
        <f t="shared" si="14"/>
        <v>#VALUE!</v>
      </c>
      <c r="T33" s="662"/>
      <c r="U33" s="552" t="s">
        <v>585</v>
      </c>
      <c r="V33" s="553" t="s">
        <v>585</v>
      </c>
      <c r="W33" s="553" t="s">
        <v>585</v>
      </c>
      <c r="X33" s="552" t="e">
        <f t="shared" si="16"/>
        <v>#VALUE!</v>
      </c>
      <c r="Y33" s="662"/>
      <c r="Z33" s="552" t="s">
        <v>585</v>
      </c>
      <c r="AA33" s="553" t="s">
        <v>585</v>
      </c>
      <c r="AB33" s="553" t="s">
        <v>585</v>
      </c>
      <c r="AC33" s="552" t="e">
        <f t="shared" si="18"/>
        <v>#VALUE!</v>
      </c>
      <c r="AD33" s="662"/>
      <c r="AE33" s="552" t="s">
        <v>585</v>
      </c>
      <c r="AF33" s="553" t="s">
        <v>585</v>
      </c>
      <c r="AG33" s="553" t="s">
        <v>585</v>
      </c>
      <c r="AH33" s="552" t="e">
        <f t="shared" si="20"/>
        <v>#VALUE!</v>
      </c>
      <c r="AI33" s="662"/>
      <c r="AJ33" s="552" t="s">
        <v>585</v>
      </c>
      <c r="AK33" s="553" t="s">
        <v>585</v>
      </c>
      <c r="AL33" s="553" t="s">
        <v>585</v>
      </c>
      <c r="AM33" s="552" t="e">
        <f t="shared" si="22"/>
        <v>#VALUE!</v>
      </c>
      <c r="AN33" s="662"/>
      <c r="AO33" s="552" t="s">
        <v>585</v>
      </c>
      <c r="AP33" s="553" t="s">
        <v>585</v>
      </c>
      <c r="AQ33" s="553" t="s">
        <v>585</v>
      </c>
      <c r="AR33" s="552" t="e">
        <f t="shared" si="24"/>
        <v>#VALUE!</v>
      </c>
      <c r="AS33" s="662"/>
      <c r="AT33" s="552" t="s">
        <v>585</v>
      </c>
      <c r="AU33" s="553" t="s">
        <v>585</v>
      </c>
      <c r="AV33" s="553" t="s">
        <v>585</v>
      </c>
      <c r="AW33" s="552" t="e">
        <f t="shared" si="26"/>
        <v>#VALUE!</v>
      </c>
      <c r="AX33" s="662"/>
      <c r="AZ33" s="368" t="e">
        <f t="shared" si="28"/>
        <v>#N/A</v>
      </c>
      <c r="BA33" s="662"/>
    </row>
    <row r="34" spans="2:53">
      <c r="B34" s="660"/>
      <c r="C34" s="380">
        <v>8</v>
      </c>
      <c r="D34" s="225"/>
      <c r="E34" s="531"/>
      <c r="F34" s="530"/>
      <c r="G34" s="532"/>
      <c r="H34" s="692"/>
      <c r="I34" s="381" t="str">
        <f t="shared" si="11"/>
        <v>-</v>
      </c>
      <c r="J34" s="381" t="str">
        <f t="shared" si="12"/>
        <v>-</v>
      </c>
      <c r="K34" s="199" t="str">
        <f t="shared" si="13"/>
        <v>-</v>
      </c>
      <c r="L34" s="634"/>
      <c r="M34" s="387" t="e">
        <f>RANK(K34, K$24:$K$41)</f>
        <v>#VALUE!</v>
      </c>
      <c r="N34" s="652"/>
      <c r="O34" s="652"/>
      <c r="P34" s="552" t="s">
        <v>585</v>
      </c>
      <c r="Q34" s="553" t="s">
        <v>585</v>
      </c>
      <c r="R34" s="553" t="s">
        <v>585</v>
      </c>
      <c r="S34" s="552" t="e">
        <f t="shared" si="14"/>
        <v>#VALUE!</v>
      </c>
      <c r="T34" s="662"/>
      <c r="U34" s="552" t="s">
        <v>585</v>
      </c>
      <c r="V34" s="553" t="s">
        <v>585</v>
      </c>
      <c r="W34" s="553" t="s">
        <v>585</v>
      </c>
      <c r="X34" s="552" t="e">
        <f t="shared" si="16"/>
        <v>#VALUE!</v>
      </c>
      <c r="Y34" s="662"/>
      <c r="Z34" s="552" t="s">
        <v>585</v>
      </c>
      <c r="AA34" s="553" t="s">
        <v>585</v>
      </c>
      <c r="AB34" s="553" t="s">
        <v>585</v>
      </c>
      <c r="AC34" s="552" t="e">
        <f t="shared" si="18"/>
        <v>#VALUE!</v>
      </c>
      <c r="AD34" s="662"/>
      <c r="AE34" s="552" t="s">
        <v>585</v>
      </c>
      <c r="AF34" s="553" t="s">
        <v>585</v>
      </c>
      <c r="AG34" s="553" t="s">
        <v>585</v>
      </c>
      <c r="AH34" s="552" t="e">
        <f t="shared" si="20"/>
        <v>#VALUE!</v>
      </c>
      <c r="AI34" s="662"/>
      <c r="AJ34" s="552" t="s">
        <v>585</v>
      </c>
      <c r="AK34" s="553" t="s">
        <v>585</v>
      </c>
      <c r="AL34" s="553" t="s">
        <v>585</v>
      </c>
      <c r="AM34" s="552" t="e">
        <f t="shared" si="22"/>
        <v>#VALUE!</v>
      </c>
      <c r="AN34" s="662"/>
      <c r="AO34" s="552" t="s">
        <v>585</v>
      </c>
      <c r="AP34" s="553" t="s">
        <v>585</v>
      </c>
      <c r="AQ34" s="553" t="s">
        <v>585</v>
      </c>
      <c r="AR34" s="552" t="e">
        <f t="shared" si="24"/>
        <v>#VALUE!</v>
      </c>
      <c r="AS34" s="662"/>
      <c r="AT34" s="552" t="s">
        <v>585</v>
      </c>
      <c r="AU34" s="553" t="s">
        <v>585</v>
      </c>
      <c r="AV34" s="553" t="s">
        <v>585</v>
      </c>
      <c r="AW34" s="552" t="e">
        <f t="shared" si="26"/>
        <v>#VALUE!</v>
      </c>
      <c r="AX34" s="662"/>
      <c r="AZ34" s="368" t="e">
        <f t="shared" si="28"/>
        <v>#N/A</v>
      </c>
      <c r="BA34" s="662"/>
    </row>
    <row r="35" spans="2:53">
      <c r="B35" s="660"/>
      <c r="C35" s="380">
        <v>9</v>
      </c>
      <c r="D35" s="225"/>
      <c r="E35" s="531"/>
      <c r="F35" s="530"/>
      <c r="G35" s="532"/>
      <c r="H35" s="692"/>
      <c r="I35" s="381" t="str">
        <f t="shared" si="11"/>
        <v>-</v>
      </c>
      <c r="J35" s="381" t="str">
        <f t="shared" si="12"/>
        <v>-</v>
      </c>
      <c r="K35" s="199" t="str">
        <f t="shared" si="13"/>
        <v>-</v>
      </c>
      <c r="L35" s="634"/>
      <c r="M35" s="387" t="e">
        <f>RANK(K35, K$24:$K$41)</f>
        <v>#VALUE!</v>
      </c>
      <c r="N35" s="652"/>
      <c r="O35" s="652"/>
      <c r="P35" s="552" t="s">
        <v>585</v>
      </c>
      <c r="Q35" s="553" t="s">
        <v>585</v>
      </c>
      <c r="R35" s="553" t="s">
        <v>585</v>
      </c>
      <c r="S35" s="552" t="e">
        <f t="shared" si="14"/>
        <v>#VALUE!</v>
      </c>
      <c r="T35" s="662"/>
      <c r="U35" s="552" t="s">
        <v>585</v>
      </c>
      <c r="V35" s="553" t="s">
        <v>585</v>
      </c>
      <c r="W35" s="553" t="s">
        <v>585</v>
      </c>
      <c r="X35" s="552" t="e">
        <f t="shared" si="16"/>
        <v>#VALUE!</v>
      </c>
      <c r="Y35" s="662"/>
      <c r="Z35" s="552" t="s">
        <v>585</v>
      </c>
      <c r="AA35" s="553" t="s">
        <v>585</v>
      </c>
      <c r="AB35" s="553" t="s">
        <v>585</v>
      </c>
      <c r="AC35" s="552" t="e">
        <f t="shared" si="18"/>
        <v>#VALUE!</v>
      </c>
      <c r="AD35" s="662"/>
      <c r="AE35" s="552" t="s">
        <v>585</v>
      </c>
      <c r="AF35" s="553" t="s">
        <v>585</v>
      </c>
      <c r="AG35" s="553" t="s">
        <v>585</v>
      </c>
      <c r="AH35" s="552" t="e">
        <f t="shared" si="20"/>
        <v>#VALUE!</v>
      </c>
      <c r="AI35" s="662"/>
      <c r="AJ35" s="552" t="s">
        <v>585</v>
      </c>
      <c r="AK35" s="553" t="s">
        <v>585</v>
      </c>
      <c r="AL35" s="553" t="s">
        <v>585</v>
      </c>
      <c r="AM35" s="552" t="e">
        <f t="shared" si="22"/>
        <v>#VALUE!</v>
      </c>
      <c r="AN35" s="662"/>
      <c r="AO35" s="552" t="s">
        <v>585</v>
      </c>
      <c r="AP35" s="553" t="s">
        <v>585</v>
      </c>
      <c r="AQ35" s="553" t="s">
        <v>585</v>
      </c>
      <c r="AR35" s="552" t="e">
        <f t="shared" si="24"/>
        <v>#VALUE!</v>
      </c>
      <c r="AS35" s="662"/>
      <c r="AT35" s="552" t="s">
        <v>585</v>
      </c>
      <c r="AU35" s="553" t="s">
        <v>585</v>
      </c>
      <c r="AV35" s="553" t="s">
        <v>585</v>
      </c>
      <c r="AW35" s="552" t="e">
        <f t="shared" si="26"/>
        <v>#VALUE!</v>
      </c>
      <c r="AX35" s="662"/>
      <c r="AZ35" s="368" t="e">
        <f t="shared" si="28"/>
        <v>#N/A</v>
      </c>
      <c r="BA35" s="662"/>
    </row>
    <row r="36" spans="2:53">
      <c r="B36" s="660"/>
      <c r="C36" s="380">
        <v>10</v>
      </c>
      <c r="D36" s="225"/>
      <c r="E36" s="531"/>
      <c r="F36" s="530"/>
      <c r="G36" s="532"/>
      <c r="H36" s="692"/>
      <c r="I36" s="381" t="str">
        <f t="shared" si="11"/>
        <v>-</v>
      </c>
      <c r="J36" s="381" t="str">
        <f t="shared" si="12"/>
        <v>-</v>
      </c>
      <c r="K36" s="199" t="str">
        <f t="shared" si="13"/>
        <v>-</v>
      </c>
      <c r="L36" s="634"/>
      <c r="M36" s="387" t="e">
        <f>RANK(K36, K$24:$K$41)</f>
        <v>#VALUE!</v>
      </c>
      <c r="N36" s="652"/>
      <c r="O36" s="652"/>
      <c r="P36" s="552" t="s">
        <v>585</v>
      </c>
      <c r="Q36" s="553" t="s">
        <v>585</v>
      </c>
      <c r="R36" s="553" t="s">
        <v>585</v>
      </c>
      <c r="S36" s="552" t="e">
        <f t="shared" si="14"/>
        <v>#VALUE!</v>
      </c>
      <c r="T36" s="662"/>
      <c r="U36" s="552" t="s">
        <v>585</v>
      </c>
      <c r="V36" s="553" t="s">
        <v>585</v>
      </c>
      <c r="W36" s="553" t="s">
        <v>585</v>
      </c>
      <c r="X36" s="552" t="e">
        <f t="shared" si="16"/>
        <v>#VALUE!</v>
      </c>
      <c r="Y36" s="662"/>
      <c r="Z36" s="552" t="s">
        <v>585</v>
      </c>
      <c r="AA36" s="553" t="s">
        <v>585</v>
      </c>
      <c r="AB36" s="553" t="s">
        <v>585</v>
      </c>
      <c r="AC36" s="552" t="e">
        <f t="shared" si="18"/>
        <v>#VALUE!</v>
      </c>
      <c r="AD36" s="662"/>
      <c r="AE36" s="552" t="s">
        <v>585</v>
      </c>
      <c r="AF36" s="553" t="s">
        <v>585</v>
      </c>
      <c r="AG36" s="553" t="s">
        <v>585</v>
      </c>
      <c r="AH36" s="552" t="e">
        <f t="shared" si="20"/>
        <v>#VALUE!</v>
      </c>
      <c r="AI36" s="662"/>
      <c r="AJ36" s="552" t="s">
        <v>585</v>
      </c>
      <c r="AK36" s="553" t="s">
        <v>585</v>
      </c>
      <c r="AL36" s="553" t="s">
        <v>585</v>
      </c>
      <c r="AM36" s="552" t="e">
        <f t="shared" si="22"/>
        <v>#VALUE!</v>
      </c>
      <c r="AN36" s="662"/>
      <c r="AO36" s="552" t="s">
        <v>585</v>
      </c>
      <c r="AP36" s="553" t="s">
        <v>585</v>
      </c>
      <c r="AQ36" s="553" t="s">
        <v>585</v>
      </c>
      <c r="AR36" s="552" t="e">
        <f t="shared" si="24"/>
        <v>#VALUE!</v>
      </c>
      <c r="AS36" s="662"/>
      <c r="AT36" s="552" t="s">
        <v>585</v>
      </c>
      <c r="AU36" s="553" t="s">
        <v>585</v>
      </c>
      <c r="AV36" s="553" t="s">
        <v>585</v>
      </c>
      <c r="AW36" s="552" t="e">
        <f t="shared" si="26"/>
        <v>#VALUE!</v>
      </c>
      <c r="AX36" s="662"/>
      <c r="AZ36" s="368" t="e">
        <f t="shared" si="28"/>
        <v>#N/A</v>
      </c>
      <c r="BA36" s="662"/>
    </row>
    <row r="37" spans="2:53">
      <c r="B37" s="660"/>
      <c r="C37" s="380">
        <v>11</v>
      </c>
      <c r="D37" s="225"/>
      <c r="E37" s="531"/>
      <c r="F37" s="530"/>
      <c r="G37" s="532"/>
      <c r="H37" s="692"/>
      <c r="I37" s="381" t="str">
        <f t="shared" si="11"/>
        <v>-</v>
      </c>
      <c r="J37" s="381" t="str">
        <f t="shared" si="12"/>
        <v>-</v>
      </c>
      <c r="K37" s="199" t="str">
        <f t="shared" si="13"/>
        <v>-</v>
      </c>
      <c r="L37" s="634"/>
      <c r="M37" s="387" t="e">
        <f>RANK(K37, K$24:$K$41)</f>
        <v>#VALUE!</v>
      </c>
      <c r="N37" s="652"/>
      <c r="O37" s="652"/>
      <c r="P37" s="552" t="s">
        <v>585</v>
      </c>
      <c r="Q37" s="553" t="s">
        <v>585</v>
      </c>
      <c r="R37" s="553" t="s">
        <v>585</v>
      </c>
      <c r="S37" s="552" t="e">
        <f t="shared" si="14"/>
        <v>#VALUE!</v>
      </c>
      <c r="T37" s="662"/>
      <c r="U37" s="552" t="s">
        <v>585</v>
      </c>
      <c r="V37" s="553" t="s">
        <v>585</v>
      </c>
      <c r="W37" s="553" t="s">
        <v>585</v>
      </c>
      <c r="X37" s="552" t="e">
        <f t="shared" si="16"/>
        <v>#VALUE!</v>
      </c>
      <c r="Y37" s="662"/>
      <c r="Z37" s="552" t="s">
        <v>585</v>
      </c>
      <c r="AA37" s="553" t="s">
        <v>585</v>
      </c>
      <c r="AB37" s="553" t="s">
        <v>585</v>
      </c>
      <c r="AC37" s="552" t="e">
        <f t="shared" si="18"/>
        <v>#VALUE!</v>
      </c>
      <c r="AD37" s="662"/>
      <c r="AE37" s="552" t="s">
        <v>585</v>
      </c>
      <c r="AF37" s="553" t="s">
        <v>585</v>
      </c>
      <c r="AG37" s="553" t="s">
        <v>585</v>
      </c>
      <c r="AH37" s="552" t="e">
        <f t="shared" si="20"/>
        <v>#VALUE!</v>
      </c>
      <c r="AI37" s="662"/>
      <c r="AJ37" s="552" t="s">
        <v>585</v>
      </c>
      <c r="AK37" s="553" t="s">
        <v>585</v>
      </c>
      <c r="AL37" s="553" t="s">
        <v>585</v>
      </c>
      <c r="AM37" s="552" t="e">
        <f t="shared" si="22"/>
        <v>#VALUE!</v>
      </c>
      <c r="AN37" s="662"/>
      <c r="AO37" s="552" t="s">
        <v>585</v>
      </c>
      <c r="AP37" s="553" t="s">
        <v>585</v>
      </c>
      <c r="AQ37" s="553" t="s">
        <v>585</v>
      </c>
      <c r="AR37" s="552" t="e">
        <f t="shared" si="24"/>
        <v>#VALUE!</v>
      </c>
      <c r="AS37" s="662"/>
      <c r="AT37" s="552" t="s">
        <v>585</v>
      </c>
      <c r="AU37" s="553" t="s">
        <v>585</v>
      </c>
      <c r="AV37" s="553" t="s">
        <v>585</v>
      </c>
      <c r="AW37" s="552" t="e">
        <f t="shared" si="26"/>
        <v>#VALUE!</v>
      </c>
      <c r="AX37" s="662"/>
      <c r="AZ37" s="368" t="e">
        <f t="shared" si="28"/>
        <v>#N/A</v>
      </c>
      <c r="BA37" s="662"/>
    </row>
    <row r="38" spans="2:53">
      <c r="B38" s="660"/>
      <c r="C38" s="380">
        <v>12</v>
      </c>
      <c r="D38" s="225"/>
      <c r="E38" s="531"/>
      <c r="F38" s="530"/>
      <c r="G38" s="532"/>
      <c r="H38" s="692"/>
      <c r="I38" s="381" t="str">
        <f t="shared" si="11"/>
        <v>-</v>
      </c>
      <c r="J38" s="381" t="str">
        <f t="shared" si="12"/>
        <v>-</v>
      </c>
      <c r="K38" s="199" t="str">
        <f t="shared" si="13"/>
        <v>-</v>
      </c>
      <c r="L38" s="634"/>
      <c r="M38" s="387" t="e">
        <f>RANK(K38, K$24:$K$41)</f>
        <v>#VALUE!</v>
      </c>
      <c r="N38" s="652"/>
      <c r="O38" s="652"/>
      <c r="P38" s="552" t="s">
        <v>585</v>
      </c>
      <c r="Q38" s="553" t="s">
        <v>585</v>
      </c>
      <c r="R38" s="553" t="s">
        <v>585</v>
      </c>
      <c r="S38" s="552" t="e">
        <f t="shared" si="14"/>
        <v>#VALUE!</v>
      </c>
      <c r="T38" s="662"/>
      <c r="U38" s="552" t="s">
        <v>585</v>
      </c>
      <c r="V38" s="553" t="s">
        <v>585</v>
      </c>
      <c r="W38" s="553" t="s">
        <v>585</v>
      </c>
      <c r="X38" s="552" t="e">
        <f t="shared" si="16"/>
        <v>#VALUE!</v>
      </c>
      <c r="Y38" s="662"/>
      <c r="Z38" s="552" t="s">
        <v>585</v>
      </c>
      <c r="AA38" s="553" t="s">
        <v>585</v>
      </c>
      <c r="AB38" s="553" t="s">
        <v>585</v>
      </c>
      <c r="AC38" s="552" t="e">
        <f t="shared" si="18"/>
        <v>#VALUE!</v>
      </c>
      <c r="AD38" s="662"/>
      <c r="AE38" s="552" t="s">
        <v>585</v>
      </c>
      <c r="AF38" s="553" t="s">
        <v>585</v>
      </c>
      <c r="AG38" s="553" t="s">
        <v>585</v>
      </c>
      <c r="AH38" s="552" t="e">
        <f t="shared" si="20"/>
        <v>#VALUE!</v>
      </c>
      <c r="AI38" s="662"/>
      <c r="AJ38" s="552" t="s">
        <v>585</v>
      </c>
      <c r="AK38" s="553" t="s">
        <v>585</v>
      </c>
      <c r="AL38" s="553" t="s">
        <v>585</v>
      </c>
      <c r="AM38" s="552" t="e">
        <f t="shared" si="22"/>
        <v>#VALUE!</v>
      </c>
      <c r="AN38" s="662"/>
      <c r="AO38" s="552" t="s">
        <v>585</v>
      </c>
      <c r="AP38" s="553" t="s">
        <v>585</v>
      </c>
      <c r="AQ38" s="553" t="s">
        <v>585</v>
      </c>
      <c r="AR38" s="552" t="e">
        <f t="shared" si="24"/>
        <v>#VALUE!</v>
      </c>
      <c r="AS38" s="662"/>
      <c r="AT38" s="552" t="s">
        <v>585</v>
      </c>
      <c r="AU38" s="553" t="s">
        <v>585</v>
      </c>
      <c r="AV38" s="553" t="s">
        <v>585</v>
      </c>
      <c r="AW38" s="552" t="e">
        <f t="shared" si="26"/>
        <v>#VALUE!</v>
      </c>
      <c r="AX38" s="662"/>
      <c r="AZ38" s="368" t="e">
        <f t="shared" si="28"/>
        <v>#N/A</v>
      </c>
      <c r="BA38" s="662"/>
    </row>
    <row r="39" spans="2:53">
      <c r="B39" s="660"/>
      <c r="C39" s="380">
        <v>13</v>
      </c>
      <c r="D39" s="225"/>
      <c r="E39" s="531"/>
      <c r="F39" s="530"/>
      <c r="G39" s="532"/>
      <c r="H39" s="692"/>
      <c r="I39" s="381" t="str">
        <f t="shared" si="11"/>
        <v>-</v>
      </c>
      <c r="J39" s="381" t="str">
        <f t="shared" si="12"/>
        <v>-</v>
      </c>
      <c r="K39" s="199" t="str">
        <f t="shared" si="13"/>
        <v>-</v>
      </c>
      <c r="L39" s="634"/>
      <c r="M39" s="387" t="e">
        <f>RANK(K39, K$24:$K$41)</f>
        <v>#VALUE!</v>
      </c>
      <c r="N39" s="652"/>
      <c r="O39" s="652"/>
      <c r="P39" s="552" t="s">
        <v>585</v>
      </c>
      <c r="Q39" s="553" t="s">
        <v>585</v>
      </c>
      <c r="R39" s="553" t="s">
        <v>585</v>
      </c>
      <c r="S39" s="552" t="e">
        <f t="shared" si="14"/>
        <v>#VALUE!</v>
      </c>
      <c r="T39" s="662"/>
      <c r="U39" s="552" t="s">
        <v>585</v>
      </c>
      <c r="V39" s="553" t="s">
        <v>585</v>
      </c>
      <c r="W39" s="553" t="s">
        <v>585</v>
      </c>
      <c r="X39" s="552" t="e">
        <f t="shared" si="16"/>
        <v>#VALUE!</v>
      </c>
      <c r="Y39" s="662"/>
      <c r="Z39" s="552" t="s">
        <v>585</v>
      </c>
      <c r="AA39" s="553" t="s">
        <v>585</v>
      </c>
      <c r="AB39" s="553" t="s">
        <v>585</v>
      </c>
      <c r="AC39" s="552" t="e">
        <f t="shared" si="18"/>
        <v>#VALUE!</v>
      </c>
      <c r="AD39" s="662"/>
      <c r="AE39" s="552" t="s">
        <v>585</v>
      </c>
      <c r="AF39" s="553" t="s">
        <v>585</v>
      </c>
      <c r="AG39" s="553" t="s">
        <v>585</v>
      </c>
      <c r="AH39" s="552" t="e">
        <f t="shared" si="20"/>
        <v>#VALUE!</v>
      </c>
      <c r="AI39" s="662"/>
      <c r="AJ39" s="552" t="s">
        <v>585</v>
      </c>
      <c r="AK39" s="553" t="s">
        <v>585</v>
      </c>
      <c r="AL39" s="553" t="s">
        <v>585</v>
      </c>
      <c r="AM39" s="552" t="e">
        <f t="shared" si="22"/>
        <v>#VALUE!</v>
      </c>
      <c r="AN39" s="662"/>
      <c r="AO39" s="552" t="s">
        <v>585</v>
      </c>
      <c r="AP39" s="553" t="s">
        <v>585</v>
      </c>
      <c r="AQ39" s="553" t="s">
        <v>585</v>
      </c>
      <c r="AR39" s="552" t="e">
        <f t="shared" si="24"/>
        <v>#VALUE!</v>
      </c>
      <c r="AS39" s="662"/>
      <c r="AT39" s="552" t="s">
        <v>585</v>
      </c>
      <c r="AU39" s="553" t="s">
        <v>585</v>
      </c>
      <c r="AV39" s="553" t="s">
        <v>585</v>
      </c>
      <c r="AW39" s="552" t="e">
        <f t="shared" si="26"/>
        <v>#VALUE!</v>
      </c>
      <c r="AX39" s="662"/>
      <c r="AZ39" s="368" t="e">
        <f t="shared" si="28"/>
        <v>#N/A</v>
      </c>
      <c r="BA39" s="662"/>
    </row>
    <row r="40" spans="2:53">
      <c r="B40" s="660"/>
      <c r="C40" s="380">
        <v>14</v>
      </c>
      <c r="D40" s="225"/>
      <c r="E40" s="531"/>
      <c r="F40" s="530"/>
      <c r="G40" s="532"/>
      <c r="H40" s="692"/>
      <c r="I40" s="381" t="str">
        <f t="shared" si="11"/>
        <v>-</v>
      </c>
      <c r="J40" s="381" t="str">
        <f t="shared" si="12"/>
        <v>-</v>
      </c>
      <c r="K40" s="199" t="str">
        <f t="shared" si="13"/>
        <v>-</v>
      </c>
      <c r="L40" s="634"/>
      <c r="M40" s="387" t="e">
        <f>RANK(K40, K$24:$K$41)</f>
        <v>#VALUE!</v>
      </c>
      <c r="N40" s="652"/>
      <c r="O40" s="652"/>
      <c r="P40" s="552" t="s">
        <v>585</v>
      </c>
      <c r="Q40" s="553" t="s">
        <v>585</v>
      </c>
      <c r="R40" s="553" t="s">
        <v>585</v>
      </c>
      <c r="S40" s="552" t="e">
        <f t="shared" si="14"/>
        <v>#VALUE!</v>
      </c>
      <c r="T40" s="662"/>
      <c r="U40" s="552" t="s">
        <v>585</v>
      </c>
      <c r="V40" s="553" t="s">
        <v>585</v>
      </c>
      <c r="W40" s="553" t="s">
        <v>585</v>
      </c>
      <c r="X40" s="552" t="e">
        <f t="shared" si="16"/>
        <v>#VALUE!</v>
      </c>
      <c r="Y40" s="662"/>
      <c r="Z40" s="552" t="s">
        <v>585</v>
      </c>
      <c r="AA40" s="553" t="s">
        <v>585</v>
      </c>
      <c r="AB40" s="553" t="s">
        <v>585</v>
      </c>
      <c r="AC40" s="552" t="e">
        <f t="shared" si="18"/>
        <v>#VALUE!</v>
      </c>
      <c r="AD40" s="662"/>
      <c r="AE40" s="552" t="s">
        <v>585</v>
      </c>
      <c r="AF40" s="553" t="s">
        <v>585</v>
      </c>
      <c r="AG40" s="553" t="s">
        <v>585</v>
      </c>
      <c r="AH40" s="552" t="e">
        <f t="shared" si="20"/>
        <v>#VALUE!</v>
      </c>
      <c r="AI40" s="662"/>
      <c r="AJ40" s="552" t="s">
        <v>585</v>
      </c>
      <c r="AK40" s="553" t="s">
        <v>585</v>
      </c>
      <c r="AL40" s="553" t="s">
        <v>585</v>
      </c>
      <c r="AM40" s="552" t="e">
        <f t="shared" si="22"/>
        <v>#VALUE!</v>
      </c>
      <c r="AN40" s="662"/>
      <c r="AO40" s="552" t="s">
        <v>585</v>
      </c>
      <c r="AP40" s="553" t="s">
        <v>585</v>
      </c>
      <c r="AQ40" s="553" t="s">
        <v>585</v>
      </c>
      <c r="AR40" s="552" t="e">
        <f t="shared" si="24"/>
        <v>#VALUE!</v>
      </c>
      <c r="AS40" s="662"/>
      <c r="AT40" s="552" t="s">
        <v>585</v>
      </c>
      <c r="AU40" s="553" t="s">
        <v>585</v>
      </c>
      <c r="AV40" s="553" t="s">
        <v>585</v>
      </c>
      <c r="AW40" s="552" t="e">
        <f t="shared" si="26"/>
        <v>#VALUE!</v>
      </c>
      <c r="AX40" s="662"/>
      <c r="AZ40" s="368" t="e">
        <f t="shared" si="28"/>
        <v>#N/A</v>
      </c>
      <c r="BA40" s="662"/>
    </row>
    <row r="41" spans="2:53">
      <c r="B41" s="660"/>
      <c r="C41" s="380">
        <v>15</v>
      </c>
      <c r="D41" s="225"/>
      <c r="E41" s="531"/>
      <c r="F41" s="530"/>
      <c r="G41" s="532"/>
      <c r="H41" s="696"/>
      <c r="I41" s="380"/>
      <c r="J41" s="380"/>
      <c r="K41" s="380"/>
      <c r="L41" s="635"/>
      <c r="M41" s="387" t="e">
        <f>RANK(K41, K$24:$K$41)</f>
        <v>#N/A</v>
      </c>
      <c r="N41" s="652"/>
      <c r="O41" s="652"/>
      <c r="P41" s="552" t="s">
        <v>585</v>
      </c>
      <c r="Q41" s="553" t="s">
        <v>585</v>
      </c>
      <c r="R41" s="553" t="s">
        <v>585</v>
      </c>
      <c r="S41" s="552" t="e">
        <f t="shared" si="14"/>
        <v>#VALUE!</v>
      </c>
      <c r="T41" s="663"/>
      <c r="U41" s="552" t="s">
        <v>585</v>
      </c>
      <c r="V41" s="553" t="s">
        <v>585</v>
      </c>
      <c r="W41" s="553" t="s">
        <v>585</v>
      </c>
      <c r="X41" s="552" t="e">
        <f t="shared" si="16"/>
        <v>#VALUE!</v>
      </c>
      <c r="Y41" s="663"/>
      <c r="Z41" s="552" t="s">
        <v>585</v>
      </c>
      <c r="AA41" s="553" t="s">
        <v>585</v>
      </c>
      <c r="AB41" s="553" t="s">
        <v>585</v>
      </c>
      <c r="AC41" s="552" t="e">
        <f t="shared" si="18"/>
        <v>#VALUE!</v>
      </c>
      <c r="AD41" s="663"/>
      <c r="AE41" s="552" t="s">
        <v>585</v>
      </c>
      <c r="AF41" s="553" t="s">
        <v>585</v>
      </c>
      <c r="AG41" s="553" t="s">
        <v>585</v>
      </c>
      <c r="AH41" s="552" t="e">
        <f t="shared" si="20"/>
        <v>#VALUE!</v>
      </c>
      <c r="AI41" s="663"/>
      <c r="AJ41" s="552" t="s">
        <v>585</v>
      </c>
      <c r="AK41" s="553" t="s">
        <v>585</v>
      </c>
      <c r="AL41" s="553" t="s">
        <v>585</v>
      </c>
      <c r="AM41" s="552" t="e">
        <f t="shared" si="22"/>
        <v>#VALUE!</v>
      </c>
      <c r="AN41" s="663"/>
      <c r="AO41" s="552" t="s">
        <v>585</v>
      </c>
      <c r="AP41" s="553" t="s">
        <v>585</v>
      </c>
      <c r="AQ41" s="553" t="s">
        <v>585</v>
      </c>
      <c r="AR41" s="552" t="e">
        <f t="shared" si="24"/>
        <v>#VALUE!</v>
      </c>
      <c r="AS41" s="663"/>
      <c r="AT41" s="552" t="s">
        <v>585</v>
      </c>
      <c r="AU41" s="553" t="s">
        <v>585</v>
      </c>
      <c r="AV41" s="553" t="s">
        <v>585</v>
      </c>
      <c r="AW41" s="552" t="e">
        <f t="shared" si="26"/>
        <v>#VALUE!</v>
      </c>
      <c r="AX41" s="663"/>
      <c r="AZ41" s="368" t="e">
        <f t="shared" si="28"/>
        <v>#N/A</v>
      </c>
      <c r="BA41" s="663"/>
    </row>
    <row r="42" spans="2:53" ht="15.75">
      <c r="B42" s="677" t="s">
        <v>162</v>
      </c>
      <c r="C42" s="678"/>
      <c r="D42" s="678"/>
      <c r="E42" s="678"/>
      <c r="F42" s="678"/>
      <c r="G42" s="678"/>
      <c r="H42" s="678"/>
      <c r="I42" s="207"/>
      <c r="J42" s="202"/>
      <c r="K42" s="207"/>
      <c r="L42" s="207"/>
      <c r="M42" s="203"/>
      <c r="N42" s="653" t="s">
        <v>156</v>
      </c>
      <c r="O42" s="653" t="s">
        <v>105</v>
      </c>
      <c r="P42" s="659">
        <f>P22+7</f>
        <v>46245</v>
      </c>
      <c r="Q42" s="660"/>
      <c r="R42" s="660"/>
      <c r="S42" s="660"/>
      <c r="T42" s="660"/>
      <c r="U42" s="656">
        <f>P42+1</f>
        <v>46246</v>
      </c>
      <c r="V42" s="657"/>
      <c r="W42" s="657"/>
      <c r="X42" s="657"/>
      <c r="Y42" s="658"/>
      <c r="Z42" s="656">
        <f>U42+1</f>
        <v>46247</v>
      </c>
      <c r="AA42" s="657"/>
      <c r="AB42" s="657"/>
      <c r="AC42" s="657"/>
      <c r="AD42" s="658"/>
      <c r="AE42" s="656">
        <f>Z42+1</f>
        <v>46248</v>
      </c>
      <c r="AF42" s="657"/>
      <c r="AG42" s="657"/>
      <c r="AH42" s="657"/>
      <c r="AI42" s="658"/>
      <c r="AJ42" s="656">
        <f>AE42+1</f>
        <v>46249</v>
      </c>
      <c r="AK42" s="657"/>
      <c r="AL42" s="657"/>
      <c r="AM42" s="657"/>
      <c r="AN42" s="658"/>
      <c r="AO42" s="656">
        <f>AJ42+1</f>
        <v>46250</v>
      </c>
      <c r="AP42" s="657"/>
      <c r="AQ42" s="657"/>
      <c r="AR42" s="657"/>
      <c r="AS42" s="658"/>
      <c r="AT42" s="656">
        <f>AO42+1</f>
        <v>46251</v>
      </c>
      <c r="AU42" s="657"/>
      <c r="AV42" s="657"/>
      <c r="AW42" s="657"/>
      <c r="AX42" s="658"/>
    </row>
    <row r="43" spans="2:53" ht="15.75">
      <c r="B43" s="667"/>
      <c r="C43" s="667"/>
      <c r="D43" s="667"/>
      <c r="E43" s="667"/>
      <c r="F43" s="667"/>
      <c r="G43" s="667"/>
      <c r="H43" s="667"/>
      <c r="I43" s="204"/>
      <c r="J43" s="204"/>
      <c r="K43" s="204"/>
      <c r="L43" s="204"/>
      <c r="M43" s="205"/>
      <c r="N43" s="655"/>
      <c r="O43" s="655"/>
      <c r="P43" s="659" t="s">
        <v>317</v>
      </c>
      <c r="Q43" s="660"/>
      <c r="R43" s="660"/>
      <c r="S43" s="660"/>
      <c r="T43" s="660"/>
      <c r="U43" s="659" t="s">
        <v>318</v>
      </c>
      <c r="V43" s="660"/>
      <c r="W43" s="660"/>
      <c r="X43" s="660"/>
      <c r="Y43" s="660"/>
      <c r="Z43" s="659" t="s">
        <v>319</v>
      </c>
      <c r="AA43" s="660"/>
      <c r="AB43" s="660"/>
      <c r="AC43" s="660"/>
      <c r="AD43" s="660"/>
      <c r="AE43" s="659" t="s">
        <v>320</v>
      </c>
      <c r="AF43" s="660"/>
      <c r="AG43" s="660"/>
      <c r="AH43" s="660"/>
      <c r="AI43" s="660"/>
      <c r="AJ43" s="659" t="s">
        <v>321</v>
      </c>
      <c r="AK43" s="660"/>
      <c r="AL43" s="660"/>
      <c r="AM43" s="660"/>
      <c r="AN43" s="660"/>
      <c r="AO43" s="659" t="s">
        <v>322</v>
      </c>
      <c r="AP43" s="660"/>
      <c r="AQ43" s="660"/>
      <c r="AR43" s="660"/>
      <c r="AS43" s="660"/>
      <c r="AT43" s="659" t="s">
        <v>323</v>
      </c>
      <c r="AU43" s="660"/>
      <c r="AV43" s="660"/>
      <c r="AW43" s="660"/>
      <c r="AX43" s="660"/>
    </row>
    <row r="44" spans="2:53">
      <c r="B44" s="652" t="s">
        <v>369</v>
      </c>
      <c r="C44" s="652" t="s">
        <v>532</v>
      </c>
      <c r="D44" s="652"/>
      <c r="E44" s="652" t="s">
        <v>533</v>
      </c>
      <c r="F44" s="652"/>
      <c r="G44" s="652"/>
      <c r="H44" s="668" t="s">
        <v>534</v>
      </c>
      <c r="I44" s="652" t="s">
        <v>535</v>
      </c>
      <c r="J44" s="652"/>
      <c r="K44" s="652"/>
      <c r="L44" s="668" t="s">
        <v>366</v>
      </c>
      <c r="M44" s="653" t="s">
        <v>536</v>
      </c>
      <c r="N44" s="652"/>
      <c r="O44" s="652" t="s">
        <v>537</v>
      </c>
      <c r="P44" s="649" t="s">
        <v>368</v>
      </c>
      <c r="Q44" s="650"/>
      <c r="R44" s="650"/>
      <c r="S44" s="651"/>
      <c r="T44" s="652" t="s">
        <v>366</v>
      </c>
      <c r="U44" s="649" t="s">
        <v>368</v>
      </c>
      <c r="V44" s="650"/>
      <c r="W44" s="650"/>
      <c r="X44" s="651"/>
      <c r="Y44" s="652" t="s">
        <v>366</v>
      </c>
      <c r="Z44" s="649" t="s">
        <v>368</v>
      </c>
      <c r="AA44" s="650"/>
      <c r="AB44" s="650"/>
      <c r="AC44" s="651"/>
      <c r="AD44" s="652" t="s">
        <v>366</v>
      </c>
      <c r="AE44" s="649" t="s">
        <v>368</v>
      </c>
      <c r="AF44" s="650"/>
      <c r="AG44" s="650"/>
      <c r="AH44" s="651"/>
      <c r="AI44" s="652" t="s">
        <v>366</v>
      </c>
      <c r="AJ44" s="649" t="s">
        <v>368</v>
      </c>
      <c r="AK44" s="650"/>
      <c r="AL44" s="650"/>
      <c r="AM44" s="651"/>
      <c r="AN44" s="652" t="s">
        <v>366</v>
      </c>
      <c r="AO44" s="649" t="s">
        <v>368</v>
      </c>
      <c r="AP44" s="650"/>
      <c r="AQ44" s="650"/>
      <c r="AR44" s="651"/>
      <c r="AS44" s="652" t="s">
        <v>366</v>
      </c>
      <c r="AT44" s="649" t="s">
        <v>368</v>
      </c>
      <c r="AU44" s="650"/>
      <c r="AV44" s="650"/>
      <c r="AW44" s="651"/>
      <c r="AX44" s="652" t="s">
        <v>366</v>
      </c>
      <c r="BA44" s="652" t="s">
        <v>366</v>
      </c>
    </row>
    <row r="45" spans="2:53">
      <c r="B45" s="652"/>
      <c r="C45" s="652"/>
      <c r="D45" s="652"/>
      <c r="E45" s="652" t="s">
        <v>538</v>
      </c>
      <c r="F45" s="652"/>
      <c r="G45" s="652"/>
      <c r="H45" s="669"/>
      <c r="I45" s="652" t="s">
        <v>538</v>
      </c>
      <c r="J45" s="652"/>
      <c r="K45" s="652"/>
      <c r="L45" s="669"/>
      <c r="M45" s="654"/>
      <c r="N45" s="652"/>
      <c r="O45" s="652"/>
      <c r="P45" s="649" t="s">
        <v>374</v>
      </c>
      <c r="Q45" s="650"/>
      <c r="R45" s="650"/>
      <c r="S45" s="651"/>
      <c r="T45" s="652"/>
      <c r="U45" s="649" t="s">
        <v>374</v>
      </c>
      <c r="V45" s="650"/>
      <c r="W45" s="650"/>
      <c r="X45" s="651"/>
      <c r="Y45" s="652"/>
      <c r="Z45" s="649" t="s">
        <v>374</v>
      </c>
      <c r="AA45" s="650"/>
      <c r="AB45" s="650"/>
      <c r="AC45" s="651"/>
      <c r="AD45" s="652"/>
      <c r="AE45" s="649" t="s">
        <v>374</v>
      </c>
      <c r="AF45" s="650"/>
      <c r="AG45" s="650"/>
      <c r="AH45" s="651"/>
      <c r="AI45" s="652"/>
      <c r="AJ45" s="649" t="s">
        <v>374</v>
      </c>
      <c r="AK45" s="650"/>
      <c r="AL45" s="650"/>
      <c r="AM45" s="651"/>
      <c r="AN45" s="652"/>
      <c r="AO45" s="649" t="s">
        <v>374</v>
      </c>
      <c r="AP45" s="650"/>
      <c r="AQ45" s="650"/>
      <c r="AR45" s="651"/>
      <c r="AS45" s="652"/>
      <c r="AT45" s="649" t="s">
        <v>374</v>
      </c>
      <c r="AU45" s="650"/>
      <c r="AV45" s="650"/>
      <c r="AW45" s="651"/>
      <c r="AX45" s="652"/>
      <c r="BA45" s="652"/>
    </row>
    <row r="46" spans="2:53">
      <c r="B46" s="652"/>
      <c r="C46" s="652"/>
      <c r="D46" s="652"/>
      <c r="E46" s="378" t="s">
        <v>539</v>
      </c>
      <c r="F46" s="378" t="s">
        <v>540</v>
      </c>
      <c r="G46" s="378" t="s">
        <v>541</v>
      </c>
      <c r="H46" s="670"/>
      <c r="I46" s="378" t="s">
        <v>539</v>
      </c>
      <c r="J46" s="378" t="s">
        <v>540</v>
      </c>
      <c r="K46" s="378" t="s">
        <v>541</v>
      </c>
      <c r="L46" s="670"/>
      <c r="M46" s="655"/>
      <c r="N46" s="652"/>
      <c r="O46" s="652"/>
      <c r="P46" s="378" t="s">
        <v>375</v>
      </c>
      <c r="Q46" s="378" t="s">
        <v>376</v>
      </c>
      <c r="R46" s="378" t="s">
        <v>377</v>
      </c>
      <c r="S46" s="378" t="s">
        <v>367</v>
      </c>
      <c r="T46" s="652"/>
      <c r="U46" s="378" t="s">
        <v>375</v>
      </c>
      <c r="V46" s="378" t="s">
        <v>376</v>
      </c>
      <c r="W46" s="378" t="s">
        <v>377</v>
      </c>
      <c r="X46" s="378" t="s">
        <v>367</v>
      </c>
      <c r="Y46" s="652"/>
      <c r="Z46" s="378" t="s">
        <v>375</v>
      </c>
      <c r="AA46" s="378" t="s">
        <v>376</v>
      </c>
      <c r="AB46" s="378" t="s">
        <v>377</v>
      </c>
      <c r="AC46" s="378" t="s">
        <v>367</v>
      </c>
      <c r="AD46" s="652"/>
      <c r="AE46" s="378" t="s">
        <v>375</v>
      </c>
      <c r="AF46" s="378" t="s">
        <v>376</v>
      </c>
      <c r="AG46" s="378" t="s">
        <v>377</v>
      </c>
      <c r="AH46" s="378" t="s">
        <v>367</v>
      </c>
      <c r="AI46" s="652"/>
      <c r="AJ46" s="378" t="s">
        <v>375</v>
      </c>
      <c r="AK46" s="378" t="s">
        <v>376</v>
      </c>
      <c r="AL46" s="378" t="s">
        <v>377</v>
      </c>
      <c r="AM46" s="378" t="s">
        <v>367</v>
      </c>
      <c r="AN46" s="652"/>
      <c r="AO46" s="378" t="s">
        <v>375</v>
      </c>
      <c r="AP46" s="378" t="s">
        <v>376</v>
      </c>
      <c r="AQ46" s="378" t="s">
        <v>377</v>
      </c>
      <c r="AR46" s="378" t="s">
        <v>367</v>
      </c>
      <c r="AS46" s="652"/>
      <c r="AT46" s="378" t="s">
        <v>375</v>
      </c>
      <c r="AU46" s="378" t="s">
        <v>376</v>
      </c>
      <c r="AV46" s="378" t="s">
        <v>377</v>
      </c>
      <c r="AW46" s="378" t="s">
        <v>367</v>
      </c>
      <c r="AX46" s="652"/>
      <c r="AZ46" s="367" t="s">
        <v>560</v>
      </c>
      <c r="BA46" s="652"/>
    </row>
    <row r="47" spans="2:53">
      <c r="B47" s="652" t="s">
        <v>381</v>
      </c>
      <c r="C47" s="380">
        <v>1</v>
      </c>
      <c r="D47" s="225" t="s">
        <v>587</v>
      </c>
      <c r="E47" s="531">
        <v>17</v>
      </c>
      <c r="F47" s="530">
        <v>1565</v>
      </c>
      <c r="G47" s="532">
        <v>92.058823529411768</v>
      </c>
      <c r="H47" s="691">
        <f>AVERAGE(G47:G61)</f>
        <v>88.413656690746478</v>
      </c>
      <c r="I47" s="381">
        <f t="shared" ref="I47:I60" si="30">IFERROR(AVERAGE(P47,U47,Z47,AE47,AJ47,AO47,AT47),"-")</f>
        <v>17</v>
      </c>
      <c r="J47" s="381">
        <f t="shared" ref="J47:J60" si="31">IFERROR(AVERAGE(Q47,V47,AA47,AF47,AK47,AP47,AU47),"-")</f>
        <v>1405.2841020149276</v>
      </c>
      <c r="K47" s="199">
        <f t="shared" ref="K47:K60" si="32">IFERROR(AVERAGE(R47,W47,AB47,AG47,AL47,AQ47,AV47),"-")</f>
        <v>82.663770706760459</v>
      </c>
      <c r="L47" s="633">
        <f>IFERROR(AVERAGE(K47:K61),"-")</f>
        <v>78.826599166932567</v>
      </c>
      <c r="M47" s="418">
        <f>RANK(K47, K$47:$K$61)</f>
        <v>2</v>
      </c>
      <c r="N47" s="652"/>
      <c r="O47" s="652"/>
      <c r="P47" s="555">
        <v>17</v>
      </c>
      <c r="Q47" s="559">
        <v>1405.4545454545455</v>
      </c>
      <c r="R47" s="559">
        <v>82.673796791443849</v>
      </c>
      <c r="S47" s="555">
        <f t="shared" ref="S47:S61" si="33">RANK(R47, R$47:R$61)</f>
        <v>1</v>
      </c>
      <c r="T47" s="661">
        <f t="shared" ref="T47" si="34">AVERAGE(R47:R61)</f>
        <v>79.394266509691462</v>
      </c>
      <c r="U47" s="555">
        <v>17</v>
      </c>
      <c r="V47" s="559">
        <v>1404.6719999999996</v>
      </c>
      <c r="W47" s="559">
        <v>82.627764705882328</v>
      </c>
      <c r="X47" s="555">
        <f t="shared" ref="X47:X61" si="35">RANK(W47, W$47:W$61)</f>
        <v>2</v>
      </c>
      <c r="Y47" s="661">
        <f t="shared" ref="Y47" si="36">AVERAGE(W47:W61)</f>
        <v>78.567452663411956</v>
      </c>
      <c r="Z47" s="555">
        <v>17</v>
      </c>
      <c r="AA47" s="559">
        <v>1395.9183673469386</v>
      </c>
      <c r="AB47" s="559">
        <v>82.112845138055206</v>
      </c>
      <c r="AC47" s="555">
        <f t="shared" ref="AC47:AC61" si="37">RANK(AB47, AB$47:AB$61)</f>
        <v>2</v>
      </c>
      <c r="AD47" s="661">
        <f t="shared" ref="AD47" si="38">AVERAGE(AB47:AB61)</f>
        <v>78.713312523685687</v>
      </c>
      <c r="AE47" s="555">
        <v>17</v>
      </c>
      <c r="AF47" s="559">
        <v>1416.3934426229512</v>
      </c>
      <c r="AG47" s="559">
        <v>83.317261330761838</v>
      </c>
      <c r="AH47" s="555">
        <f t="shared" ref="AH47:AH61" si="39">RANK(AG47, AG$47:AG$61)</f>
        <v>2</v>
      </c>
      <c r="AI47" s="661">
        <f t="shared" ref="AI47" si="40">AVERAGE(AG47:AG61)</f>
        <v>79.148853854854934</v>
      </c>
      <c r="AJ47" s="555">
        <v>17</v>
      </c>
      <c r="AK47" s="559">
        <v>1415.7268292682932</v>
      </c>
      <c r="AL47" s="559">
        <v>83.278048780487836</v>
      </c>
      <c r="AM47" s="555">
        <f t="shared" ref="AM47:AM61" si="41">RANK(AL47, AL$47:AL$61)</f>
        <v>1</v>
      </c>
      <c r="AN47" s="661">
        <f t="shared" ref="AN47" si="42">AVERAGE(AL47:AL61)</f>
        <v>78.367109602794457</v>
      </c>
      <c r="AO47" s="555">
        <v>17</v>
      </c>
      <c r="AP47" s="559">
        <v>1382.042016806723</v>
      </c>
      <c r="AQ47" s="559">
        <v>81.296589223924883</v>
      </c>
      <c r="AR47" s="555">
        <f t="shared" ref="AR47:AR61" si="43">RANK(AQ47, AQ$47:AQ$61)</f>
        <v>2</v>
      </c>
      <c r="AS47" s="661">
        <f t="shared" ref="AS47" si="44">AVERAGE(AQ47:AQ61)</f>
        <v>78.500225641119854</v>
      </c>
      <c r="AT47" s="555">
        <v>17</v>
      </c>
      <c r="AU47" s="559">
        <v>1416.7815126050425</v>
      </c>
      <c r="AV47" s="559">
        <v>83.340088976767206</v>
      </c>
      <c r="AW47" s="555">
        <f t="shared" ref="AW47:AW61" si="45">RANK(AV47, AV$47:AV$61)</f>
        <v>1</v>
      </c>
      <c r="AX47" s="661">
        <f t="shared" ref="AX47" si="46">AVERAGE(AV47:AV61)</f>
        <v>79.09497337296969</v>
      </c>
      <c r="AZ47" s="368" t="e">
        <f t="shared" ref="AZ47:AZ61" si="47">RANK(AY47, AY$47:AY$61)</f>
        <v>#N/A</v>
      </c>
      <c r="BA47" s="674" t="e">
        <f t="shared" ref="BA47" si="48">AVERAGE(AY47:AY61)</f>
        <v>#DIV/0!</v>
      </c>
    </row>
    <row r="48" spans="2:53">
      <c r="B48" s="660"/>
      <c r="C48" s="380">
        <v>2</v>
      </c>
      <c r="D48" s="225" t="s">
        <v>608</v>
      </c>
      <c r="E48" s="531">
        <v>19</v>
      </c>
      <c r="F48" s="530">
        <v>1500</v>
      </c>
      <c r="G48" s="532">
        <v>78.94736842105263</v>
      </c>
      <c r="H48" s="692"/>
      <c r="I48" s="381">
        <f t="shared" si="30"/>
        <v>19</v>
      </c>
      <c r="J48" s="381">
        <f t="shared" si="31"/>
        <v>1385.3775046702015</v>
      </c>
      <c r="K48" s="199">
        <f t="shared" si="32"/>
        <v>72.914605508957976</v>
      </c>
      <c r="L48" s="634"/>
      <c r="M48" s="418">
        <f>RANK(K48, K$47:$K$61)</f>
        <v>5</v>
      </c>
      <c r="N48" s="652"/>
      <c r="O48" s="652"/>
      <c r="P48" s="555">
        <v>19</v>
      </c>
      <c r="Q48" s="559">
        <v>1408.627450980392</v>
      </c>
      <c r="R48" s="559">
        <v>74.138286893704844</v>
      </c>
      <c r="S48" s="555">
        <f t="shared" si="33"/>
        <v>5</v>
      </c>
      <c r="T48" s="662"/>
      <c r="U48" s="555">
        <v>19</v>
      </c>
      <c r="V48" s="559">
        <v>1370.2040816326532</v>
      </c>
      <c r="W48" s="559">
        <v>72.116004296455429</v>
      </c>
      <c r="X48" s="555">
        <f t="shared" si="35"/>
        <v>5</v>
      </c>
      <c r="Y48" s="662"/>
      <c r="Z48" s="555">
        <v>19</v>
      </c>
      <c r="AA48" s="559">
        <v>1383.4285714285713</v>
      </c>
      <c r="AB48" s="559">
        <v>72.812030075187963</v>
      </c>
      <c r="AC48" s="555">
        <f t="shared" si="37"/>
        <v>5</v>
      </c>
      <c r="AD48" s="662"/>
      <c r="AE48" s="555">
        <v>19</v>
      </c>
      <c r="AF48" s="559">
        <v>1392.3495145631073</v>
      </c>
      <c r="AG48" s="559">
        <v>73.281553398058279</v>
      </c>
      <c r="AH48" s="555">
        <f t="shared" si="39"/>
        <v>5</v>
      </c>
      <c r="AI48" s="662"/>
      <c r="AJ48" s="555">
        <v>19</v>
      </c>
      <c r="AK48" s="559">
        <v>1367.3437499999998</v>
      </c>
      <c r="AL48" s="559">
        <v>71.96546052631578</v>
      </c>
      <c r="AM48" s="555">
        <f t="shared" si="41"/>
        <v>5</v>
      </c>
      <c r="AN48" s="662"/>
      <c r="AO48" s="555">
        <v>19</v>
      </c>
      <c r="AP48" s="559">
        <v>1374.4421052631574</v>
      </c>
      <c r="AQ48" s="559">
        <v>72.339058171745123</v>
      </c>
      <c r="AR48" s="555">
        <f t="shared" si="43"/>
        <v>5</v>
      </c>
      <c r="AS48" s="662"/>
      <c r="AT48" s="555">
        <v>19</v>
      </c>
      <c r="AU48" s="559">
        <v>1401.2470588235294</v>
      </c>
      <c r="AV48" s="559">
        <v>73.749845201238386</v>
      </c>
      <c r="AW48" s="555">
        <f t="shared" si="45"/>
        <v>5</v>
      </c>
      <c r="AX48" s="662"/>
      <c r="AZ48" s="368" t="e">
        <f t="shared" si="47"/>
        <v>#N/A</v>
      </c>
      <c r="BA48" s="675"/>
    </row>
    <row r="49" spans="2:53">
      <c r="B49" s="660"/>
      <c r="C49" s="380">
        <v>3</v>
      </c>
      <c r="D49" s="225" t="s">
        <v>615</v>
      </c>
      <c r="E49" s="531">
        <v>18</v>
      </c>
      <c r="F49" s="530">
        <v>1565</v>
      </c>
      <c r="G49" s="532">
        <v>86.944444444444443</v>
      </c>
      <c r="H49" s="692"/>
      <c r="I49" s="381">
        <f t="shared" si="30"/>
        <v>18</v>
      </c>
      <c r="J49" s="381">
        <f t="shared" si="31"/>
        <v>1388.6996892628467</v>
      </c>
      <c r="K49" s="199">
        <f t="shared" si="32"/>
        <v>77.149982736824811</v>
      </c>
      <c r="L49" s="634"/>
      <c r="M49" s="418">
        <f>RANK(K49, K$47:$K$61)</f>
        <v>4</v>
      </c>
      <c r="N49" s="652"/>
      <c r="O49" s="652"/>
      <c r="P49" s="555">
        <v>18</v>
      </c>
      <c r="Q49" s="559">
        <v>1434.6666666666672</v>
      </c>
      <c r="R49" s="559">
        <v>79.703703703703738</v>
      </c>
      <c r="S49" s="555">
        <f t="shared" si="33"/>
        <v>3</v>
      </c>
      <c r="T49" s="662"/>
      <c r="U49" s="555">
        <v>18</v>
      </c>
      <c r="V49" s="559">
        <v>1393.0434782608695</v>
      </c>
      <c r="W49" s="559">
        <v>77.391304347826079</v>
      </c>
      <c r="X49" s="555">
        <f t="shared" si="35"/>
        <v>3</v>
      </c>
      <c r="Y49" s="662"/>
      <c r="Z49" s="555">
        <v>18</v>
      </c>
      <c r="AA49" s="559">
        <v>1361.2499999999998</v>
      </c>
      <c r="AB49" s="559">
        <v>75.624999999999986</v>
      </c>
      <c r="AC49" s="555">
        <f t="shared" si="37"/>
        <v>4</v>
      </c>
      <c r="AD49" s="662"/>
      <c r="AE49" s="555">
        <v>18</v>
      </c>
      <c r="AF49" s="559">
        <v>1387.0588235294117</v>
      </c>
      <c r="AG49" s="559">
        <v>77.058823529411768</v>
      </c>
      <c r="AH49" s="555">
        <f t="shared" si="39"/>
        <v>4</v>
      </c>
      <c r="AI49" s="662"/>
      <c r="AJ49" s="555">
        <v>18</v>
      </c>
      <c r="AK49" s="559">
        <v>1375.0000000000002</v>
      </c>
      <c r="AL49" s="559">
        <v>76.3888888888889</v>
      </c>
      <c r="AM49" s="555">
        <f t="shared" si="41"/>
        <v>4</v>
      </c>
      <c r="AN49" s="662"/>
      <c r="AO49" s="555">
        <v>18</v>
      </c>
      <c r="AP49" s="559">
        <v>1371.0851063829782</v>
      </c>
      <c r="AQ49" s="559">
        <v>76.17139479905434</v>
      </c>
      <c r="AR49" s="555">
        <f t="shared" si="43"/>
        <v>4</v>
      </c>
      <c r="AS49" s="662"/>
      <c r="AT49" s="555">
        <v>18</v>
      </c>
      <c r="AU49" s="559">
        <v>1398.7937500000005</v>
      </c>
      <c r="AV49" s="559">
        <v>77.71076388888892</v>
      </c>
      <c r="AW49" s="555">
        <f t="shared" si="45"/>
        <v>4</v>
      </c>
      <c r="AX49" s="662"/>
      <c r="AZ49" s="368" t="e">
        <f t="shared" si="47"/>
        <v>#N/A</v>
      </c>
      <c r="BA49" s="675"/>
    </row>
    <row r="50" spans="2:53">
      <c r="B50" s="660"/>
      <c r="C50" s="380">
        <v>4</v>
      </c>
      <c r="D50" s="225" t="s">
        <v>623</v>
      </c>
      <c r="E50" s="531">
        <v>17</v>
      </c>
      <c r="F50" s="530">
        <v>1565</v>
      </c>
      <c r="G50" s="532">
        <v>92.058823529411768</v>
      </c>
      <c r="H50" s="692"/>
      <c r="I50" s="381">
        <f t="shared" si="30"/>
        <v>17</v>
      </c>
      <c r="J50" s="381">
        <f t="shared" si="31"/>
        <v>1420.0382617130231</v>
      </c>
      <c r="K50" s="199">
        <f t="shared" si="32"/>
        <v>83.531662453707227</v>
      </c>
      <c r="L50" s="634"/>
      <c r="M50" s="418">
        <f>RANK(K50, K$47:$K$61)</f>
        <v>1</v>
      </c>
      <c r="N50" s="652"/>
      <c r="O50" s="652"/>
      <c r="P50" s="555">
        <v>17</v>
      </c>
      <c r="Q50" s="559">
        <v>1390.8510638297876</v>
      </c>
      <c r="R50" s="559">
        <v>81.814768460575735</v>
      </c>
      <c r="S50" s="555">
        <f t="shared" si="33"/>
        <v>2</v>
      </c>
      <c r="T50" s="662"/>
      <c r="U50" s="555">
        <v>17</v>
      </c>
      <c r="V50" s="559">
        <v>1424.3181818181818</v>
      </c>
      <c r="W50" s="559">
        <v>83.783422459893046</v>
      </c>
      <c r="X50" s="555">
        <f t="shared" si="35"/>
        <v>1</v>
      </c>
      <c r="Y50" s="662"/>
      <c r="Z50" s="555">
        <v>17</v>
      </c>
      <c r="AA50" s="559">
        <v>1427.5862068965514</v>
      </c>
      <c r="AB50" s="559">
        <v>83.975659229208901</v>
      </c>
      <c r="AC50" s="555">
        <f t="shared" si="37"/>
        <v>1</v>
      </c>
      <c r="AD50" s="662"/>
      <c r="AE50" s="555">
        <v>17</v>
      </c>
      <c r="AF50" s="559">
        <v>1437.2727272727273</v>
      </c>
      <c r="AG50" s="559">
        <v>84.545454545454547</v>
      </c>
      <c r="AH50" s="555">
        <f t="shared" si="39"/>
        <v>1</v>
      </c>
      <c r="AI50" s="662"/>
      <c r="AJ50" s="555">
        <v>17</v>
      </c>
      <c r="AK50" s="559">
        <v>1408.695652173913</v>
      </c>
      <c r="AL50" s="559">
        <v>82.864450127877234</v>
      </c>
      <c r="AM50" s="555">
        <f t="shared" si="41"/>
        <v>2</v>
      </c>
      <c r="AN50" s="662"/>
      <c r="AO50" s="555">
        <v>17</v>
      </c>
      <c r="AP50" s="559">
        <v>1441.5440000000003</v>
      </c>
      <c r="AQ50" s="559">
        <v>84.796705882352967</v>
      </c>
      <c r="AR50" s="555">
        <f t="shared" si="43"/>
        <v>1</v>
      </c>
      <c r="AS50" s="662"/>
      <c r="AT50" s="555">
        <v>17</v>
      </c>
      <c r="AU50" s="559">
        <v>1409.9999999999998</v>
      </c>
      <c r="AV50" s="559">
        <v>82.941176470588218</v>
      </c>
      <c r="AW50" s="555">
        <f t="shared" si="45"/>
        <v>2</v>
      </c>
      <c r="AX50" s="662"/>
      <c r="AZ50" s="368" t="e">
        <f t="shared" si="47"/>
        <v>#N/A</v>
      </c>
      <c r="BA50" s="675"/>
    </row>
    <row r="51" spans="2:53">
      <c r="B51" s="660"/>
      <c r="C51" s="380">
        <v>5</v>
      </c>
      <c r="D51" s="225" t="s">
        <v>714</v>
      </c>
      <c r="E51" s="531">
        <v>17</v>
      </c>
      <c r="F51" s="530">
        <v>1565</v>
      </c>
      <c r="G51" s="532">
        <v>92.058823529411768</v>
      </c>
      <c r="H51" s="692"/>
      <c r="I51" s="381">
        <f t="shared" si="30"/>
        <v>17</v>
      </c>
      <c r="J51" s="381">
        <f t="shared" si="31"/>
        <v>1323.8405652830104</v>
      </c>
      <c r="K51" s="199">
        <f t="shared" si="32"/>
        <v>77.872974428412377</v>
      </c>
      <c r="L51" s="634"/>
      <c r="M51" s="418">
        <f>RANK(K51, K$47:$K$61)</f>
        <v>3</v>
      </c>
      <c r="N51" s="652"/>
      <c r="O51" s="652"/>
      <c r="P51" s="555">
        <v>17</v>
      </c>
      <c r="Q51" s="559">
        <v>1336.8932038834948</v>
      </c>
      <c r="R51" s="559">
        <v>78.640776699029104</v>
      </c>
      <c r="S51" s="555">
        <f t="shared" si="33"/>
        <v>4</v>
      </c>
      <c r="T51" s="662"/>
      <c r="U51" s="555">
        <v>17</v>
      </c>
      <c r="V51" s="559">
        <v>1307.6190476190482</v>
      </c>
      <c r="W51" s="559">
        <v>76.918767507002826</v>
      </c>
      <c r="X51" s="555">
        <f t="shared" si="35"/>
        <v>4</v>
      </c>
      <c r="Y51" s="662"/>
      <c r="Z51" s="555">
        <v>17</v>
      </c>
      <c r="AA51" s="559">
        <v>1343.6974789915969</v>
      </c>
      <c r="AB51" s="559">
        <v>79.041028175976294</v>
      </c>
      <c r="AC51" s="555">
        <f t="shared" si="37"/>
        <v>3</v>
      </c>
      <c r="AD51" s="662"/>
      <c r="AE51" s="555">
        <v>17</v>
      </c>
      <c r="AF51" s="559">
        <v>1318.1999999999996</v>
      </c>
      <c r="AG51" s="559">
        <v>77.541176470588212</v>
      </c>
      <c r="AH51" s="555">
        <f t="shared" si="39"/>
        <v>3</v>
      </c>
      <c r="AI51" s="662"/>
      <c r="AJ51" s="555">
        <v>17</v>
      </c>
      <c r="AK51" s="559">
        <v>1314.7578947368424</v>
      </c>
      <c r="AL51" s="559">
        <v>77.338699690402493</v>
      </c>
      <c r="AM51" s="555">
        <f t="shared" si="41"/>
        <v>3</v>
      </c>
      <c r="AN51" s="662"/>
      <c r="AO51" s="555">
        <v>17</v>
      </c>
      <c r="AP51" s="559">
        <v>1324.2554621848742</v>
      </c>
      <c r="AQ51" s="559">
        <v>77.897380128522016</v>
      </c>
      <c r="AR51" s="555">
        <f t="shared" si="43"/>
        <v>3</v>
      </c>
      <c r="AS51" s="662"/>
      <c r="AT51" s="555">
        <v>17</v>
      </c>
      <c r="AU51" s="559">
        <v>1321.4608695652175</v>
      </c>
      <c r="AV51" s="559">
        <v>77.732992327365736</v>
      </c>
      <c r="AW51" s="555">
        <f t="shared" si="45"/>
        <v>3</v>
      </c>
      <c r="AX51" s="662"/>
      <c r="AZ51" s="368" t="e">
        <f t="shared" si="47"/>
        <v>#N/A</v>
      </c>
      <c r="BA51" s="675"/>
    </row>
    <row r="52" spans="2:53">
      <c r="B52" s="660"/>
      <c r="C52" s="380">
        <v>6</v>
      </c>
      <c r="D52" s="225"/>
      <c r="E52" s="531"/>
      <c r="F52" s="530"/>
      <c r="G52" s="532"/>
      <c r="H52" s="692"/>
      <c r="I52" s="381" t="str">
        <f t="shared" si="30"/>
        <v>-</v>
      </c>
      <c r="J52" s="381" t="str">
        <f t="shared" si="31"/>
        <v>-</v>
      </c>
      <c r="K52" s="199" t="str">
        <f t="shared" si="32"/>
        <v>-</v>
      </c>
      <c r="L52" s="634"/>
      <c r="M52" s="418" t="e">
        <f>RANK(K52, K$47:$K$61)</f>
        <v>#VALUE!</v>
      </c>
      <c r="N52" s="652"/>
      <c r="O52" s="652"/>
      <c r="P52" s="555" t="s">
        <v>585</v>
      </c>
      <c r="Q52" s="559" t="s">
        <v>585</v>
      </c>
      <c r="R52" s="559" t="s">
        <v>585</v>
      </c>
      <c r="S52" s="555" t="e">
        <f t="shared" si="33"/>
        <v>#VALUE!</v>
      </c>
      <c r="T52" s="662"/>
      <c r="U52" s="555" t="s">
        <v>585</v>
      </c>
      <c r="V52" s="559" t="s">
        <v>585</v>
      </c>
      <c r="W52" s="559" t="s">
        <v>585</v>
      </c>
      <c r="X52" s="555" t="e">
        <f t="shared" si="35"/>
        <v>#VALUE!</v>
      </c>
      <c r="Y52" s="662"/>
      <c r="Z52" s="555" t="s">
        <v>585</v>
      </c>
      <c r="AA52" s="559" t="s">
        <v>585</v>
      </c>
      <c r="AB52" s="559" t="s">
        <v>585</v>
      </c>
      <c r="AC52" s="555" t="e">
        <f t="shared" si="37"/>
        <v>#VALUE!</v>
      </c>
      <c r="AD52" s="662"/>
      <c r="AE52" s="555" t="s">
        <v>585</v>
      </c>
      <c r="AF52" s="559" t="s">
        <v>585</v>
      </c>
      <c r="AG52" s="559" t="s">
        <v>585</v>
      </c>
      <c r="AH52" s="555" t="e">
        <f t="shared" si="39"/>
        <v>#VALUE!</v>
      </c>
      <c r="AI52" s="662"/>
      <c r="AJ52" s="555" t="s">
        <v>585</v>
      </c>
      <c r="AK52" s="559" t="s">
        <v>585</v>
      </c>
      <c r="AL52" s="559" t="s">
        <v>585</v>
      </c>
      <c r="AM52" s="555" t="e">
        <f t="shared" si="41"/>
        <v>#VALUE!</v>
      </c>
      <c r="AN52" s="662"/>
      <c r="AO52" s="555" t="s">
        <v>585</v>
      </c>
      <c r="AP52" s="559" t="s">
        <v>585</v>
      </c>
      <c r="AQ52" s="559" t="s">
        <v>585</v>
      </c>
      <c r="AR52" s="555" t="e">
        <f t="shared" si="43"/>
        <v>#VALUE!</v>
      </c>
      <c r="AS52" s="662"/>
      <c r="AT52" s="555" t="s">
        <v>585</v>
      </c>
      <c r="AU52" s="559" t="s">
        <v>585</v>
      </c>
      <c r="AV52" s="559" t="s">
        <v>585</v>
      </c>
      <c r="AW52" s="555" t="e">
        <f t="shared" si="45"/>
        <v>#VALUE!</v>
      </c>
      <c r="AX52" s="662"/>
      <c r="AZ52" s="368" t="e">
        <f t="shared" si="47"/>
        <v>#N/A</v>
      </c>
      <c r="BA52" s="675"/>
    </row>
    <row r="53" spans="2:53">
      <c r="B53" s="660"/>
      <c r="C53" s="380">
        <v>7</v>
      </c>
      <c r="D53" s="225"/>
      <c r="E53" s="531"/>
      <c r="F53" s="530"/>
      <c r="G53" s="532"/>
      <c r="H53" s="692"/>
      <c r="I53" s="381" t="str">
        <f t="shared" si="30"/>
        <v>-</v>
      </c>
      <c r="J53" s="381" t="str">
        <f t="shared" si="31"/>
        <v>-</v>
      </c>
      <c r="K53" s="199" t="str">
        <f t="shared" si="32"/>
        <v>-</v>
      </c>
      <c r="L53" s="634"/>
      <c r="M53" s="418" t="e">
        <f>RANK(K53, K$47:$K$61)</f>
        <v>#VALUE!</v>
      </c>
      <c r="N53" s="652"/>
      <c r="O53" s="652"/>
      <c r="P53" s="555" t="s">
        <v>585</v>
      </c>
      <c r="Q53" s="559" t="s">
        <v>585</v>
      </c>
      <c r="R53" s="559" t="s">
        <v>585</v>
      </c>
      <c r="S53" s="555" t="e">
        <f t="shared" si="33"/>
        <v>#VALUE!</v>
      </c>
      <c r="T53" s="662"/>
      <c r="U53" s="555" t="s">
        <v>585</v>
      </c>
      <c r="V53" s="559" t="s">
        <v>585</v>
      </c>
      <c r="W53" s="559" t="s">
        <v>585</v>
      </c>
      <c r="X53" s="555" t="e">
        <f t="shared" si="35"/>
        <v>#VALUE!</v>
      </c>
      <c r="Y53" s="662"/>
      <c r="Z53" s="555" t="s">
        <v>585</v>
      </c>
      <c r="AA53" s="559" t="s">
        <v>585</v>
      </c>
      <c r="AB53" s="559" t="s">
        <v>585</v>
      </c>
      <c r="AC53" s="555" t="e">
        <f t="shared" si="37"/>
        <v>#VALUE!</v>
      </c>
      <c r="AD53" s="662"/>
      <c r="AE53" s="555" t="s">
        <v>585</v>
      </c>
      <c r="AF53" s="559" t="s">
        <v>585</v>
      </c>
      <c r="AG53" s="559" t="s">
        <v>585</v>
      </c>
      <c r="AH53" s="555" t="e">
        <f t="shared" si="39"/>
        <v>#VALUE!</v>
      </c>
      <c r="AI53" s="662"/>
      <c r="AJ53" s="555" t="s">
        <v>585</v>
      </c>
      <c r="AK53" s="559" t="s">
        <v>585</v>
      </c>
      <c r="AL53" s="559" t="s">
        <v>585</v>
      </c>
      <c r="AM53" s="555" t="e">
        <f t="shared" si="41"/>
        <v>#VALUE!</v>
      </c>
      <c r="AN53" s="662"/>
      <c r="AO53" s="555" t="s">
        <v>585</v>
      </c>
      <c r="AP53" s="559" t="s">
        <v>585</v>
      </c>
      <c r="AQ53" s="559" t="s">
        <v>585</v>
      </c>
      <c r="AR53" s="555" t="e">
        <f t="shared" si="43"/>
        <v>#VALUE!</v>
      </c>
      <c r="AS53" s="662"/>
      <c r="AT53" s="555" t="s">
        <v>585</v>
      </c>
      <c r="AU53" s="559" t="s">
        <v>585</v>
      </c>
      <c r="AV53" s="559" t="s">
        <v>585</v>
      </c>
      <c r="AW53" s="555" t="e">
        <f t="shared" si="45"/>
        <v>#VALUE!</v>
      </c>
      <c r="AX53" s="662"/>
      <c r="AZ53" s="368" t="e">
        <f t="shared" si="47"/>
        <v>#N/A</v>
      </c>
      <c r="BA53" s="675"/>
    </row>
    <row r="54" spans="2:53">
      <c r="B54" s="660"/>
      <c r="C54" s="380">
        <v>8</v>
      </c>
      <c r="D54" s="225"/>
      <c r="E54" s="531"/>
      <c r="F54" s="530"/>
      <c r="G54" s="532"/>
      <c r="H54" s="692"/>
      <c r="I54" s="381" t="str">
        <f t="shared" si="30"/>
        <v>-</v>
      </c>
      <c r="J54" s="381" t="str">
        <f t="shared" si="31"/>
        <v>-</v>
      </c>
      <c r="K54" s="199" t="str">
        <f t="shared" si="32"/>
        <v>-</v>
      </c>
      <c r="L54" s="634"/>
      <c r="M54" s="418" t="e">
        <f>RANK(K54, K$47:$K$61)</f>
        <v>#VALUE!</v>
      </c>
      <c r="N54" s="652"/>
      <c r="O54" s="652"/>
      <c r="P54" s="555" t="s">
        <v>585</v>
      </c>
      <c r="Q54" s="559" t="s">
        <v>585</v>
      </c>
      <c r="R54" s="559" t="s">
        <v>585</v>
      </c>
      <c r="S54" s="555" t="e">
        <f t="shared" si="33"/>
        <v>#VALUE!</v>
      </c>
      <c r="T54" s="662"/>
      <c r="U54" s="555" t="s">
        <v>585</v>
      </c>
      <c r="V54" s="559" t="s">
        <v>585</v>
      </c>
      <c r="W54" s="559" t="s">
        <v>585</v>
      </c>
      <c r="X54" s="555" t="e">
        <f t="shared" si="35"/>
        <v>#VALUE!</v>
      </c>
      <c r="Y54" s="662"/>
      <c r="Z54" s="555" t="s">
        <v>585</v>
      </c>
      <c r="AA54" s="559" t="s">
        <v>585</v>
      </c>
      <c r="AB54" s="559" t="s">
        <v>585</v>
      </c>
      <c r="AC54" s="555" t="e">
        <f t="shared" si="37"/>
        <v>#VALUE!</v>
      </c>
      <c r="AD54" s="662"/>
      <c r="AE54" s="555" t="s">
        <v>585</v>
      </c>
      <c r="AF54" s="559" t="s">
        <v>585</v>
      </c>
      <c r="AG54" s="559" t="s">
        <v>585</v>
      </c>
      <c r="AH54" s="555" t="e">
        <f t="shared" si="39"/>
        <v>#VALUE!</v>
      </c>
      <c r="AI54" s="662"/>
      <c r="AJ54" s="555" t="s">
        <v>585</v>
      </c>
      <c r="AK54" s="559" t="s">
        <v>585</v>
      </c>
      <c r="AL54" s="559" t="s">
        <v>585</v>
      </c>
      <c r="AM54" s="555" t="e">
        <f t="shared" si="41"/>
        <v>#VALUE!</v>
      </c>
      <c r="AN54" s="662"/>
      <c r="AO54" s="555" t="s">
        <v>585</v>
      </c>
      <c r="AP54" s="559" t="s">
        <v>585</v>
      </c>
      <c r="AQ54" s="559" t="s">
        <v>585</v>
      </c>
      <c r="AR54" s="555" t="e">
        <f t="shared" si="43"/>
        <v>#VALUE!</v>
      </c>
      <c r="AS54" s="662"/>
      <c r="AT54" s="555" t="s">
        <v>585</v>
      </c>
      <c r="AU54" s="559" t="s">
        <v>585</v>
      </c>
      <c r="AV54" s="559" t="s">
        <v>585</v>
      </c>
      <c r="AW54" s="555" t="e">
        <f t="shared" si="45"/>
        <v>#VALUE!</v>
      </c>
      <c r="AX54" s="662"/>
      <c r="AZ54" s="368" t="e">
        <f t="shared" si="47"/>
        <v>#N/A</v>
      </c>
      <c r="BA54" s="675"/>
    </row>
    <row r="55" spans="2:53">
      <c r="B55" s="660"/>
      <c r="C55" s="380">
        <v>9</v>
      </c>
      <c r="D55" s="225"/>
      <c r="E55" s="531"/>
      <c r="F55" s="530"/>
      <c r="G55" s="532"/>
      <c r="H55" s="692"/>
      <c r="I55" s="381" t="str">
        <f t="shared" si="30"/>
        <v>-</v>
      </c>
      <c r="J55" s="381" t="str">
        <f t="shared" si="31"/>
        <v>-</v>
      </c>
      <c r="K55" s="199" t="str">
        <f t="shared" si="32"/>
        <v>-</v>
      </c>
      <c r="L55" s="634"/>
      <c r="M55" s="418" t="e">
        <f>RANK(K55, K$47:$K$61)</f>
        <v>#VALUE!</v>
      </c>
      <c r="N55" s="652"/>
      <c r="O55" s="652"/>
      <c r="P55" s="555" t="s">
        <v>585</v>
      </c>
      <c r="Q55" s="559" t="s">
        <v>585</v>
      </c>
      <c r="R55" s="559" t="s">
        <v>585</v>
      </c>
      <c r="S55" s="555" t="e">
        <f t="shared" si="33"/>
        <v>#VALUE!</v>
      </c>
      <c r="T55" s="662"/>
      <c r="U55" s="555" t="s">
        <v>585</v>
      </c>
      <c r="V55" s="559" t="s">
        <v>585</v>
      </c>
      <c r="W55" s="559" t="s">
        <v>585</v>
      </c>
      <c r="X55" s="555" t="e">
        <f t="shared" si="35"/>
        <v>#VALUE!</v>
      </c>
      <c r="Y55" s="662"/>
      <c r="Z55" s="555" t="s">
        <v>585</v>
      </c>
      <c r="AA55" s="559" t="s">
        <v>585</v>
      </c>
      <c r="AB55" s="559" t="s">
        <v>585</v>
      </c>
      <c r="AC55" s="555" t="e">
        <f t="shared" si="37"/>
        <v>#VALUE!</v>
      </c>
      <c r="AD55" s="662"/>
      <c r="AE55" s="555" t="s">
        <v>585</v>
      </c>
      <c r="AF55" s="559" t="s">
        <v>585</v>
      </c>
      <c r="AG55" s="559" t="s">
        <v>585</v>
      </c>
      <c r="AH55" s="555" t="e">
        <f t="shared" si="39"/>
        <v>#VALUE!</v>
      </c>
      <c r="AI55" s="662"/>
      <c r="AJ55" s="555" t="s">
        <v>585</v>
      </c>
      <c r="AK55" s="559" t="s">
        <v>585</v>
      </c>
      <c r="AL55" s="559" t="s">
        <v>585</v>
      </c>
      <c r="AM55" s="555" t="e">
        <f t="shared" si="41"/>
        <v>#VALUE!</v>
      </c>
      <c r="AN55" s="662"/>
      <c r="AO55" s="555" t="s">
        <v>585</v>
      </c>
      <c r="AP55" s="559" t="s">
        <v>585</v>
      </c>
      <c r="AQ55" s="559" t="s">
        <v>585</v>
      </c>
      <c r="AR55" s="555" t="e">
        <f t="shared" si="43"/>
        <v>#VALUE!</v>
      </c>
      <c r="AS55" s="662"/>
      <c r="AT55" s="555" t="s">
        <v>585</v>
      </c>
      <c r="AU55" s="559" t="s">
        <v>585</v>
      </c>
      <c r="AV55" s="559" t="s">
        <v>585</v>
      </c>
      <c r="AW55" s="555" t="e">
        <f t="shared" si="45"/>
        <v>#VALUE!</v>
      </c>
      <c r="AX55" s="662"/>
      <c r="AZ55" s="368" t="e">
        <f t="shared" si="47"/>
        <v>#N/A</v>
      </c>
      <c r="BA55" s="675"/>
    </row>
    <row r="56" spans="2:53">
      <c r="B56" s="660"/>
      <c r="C56" s="380">
        <v>10</v>
      </c>
      <c r="D56" s="225"/>
      <c r="E56" s="531"/>
      <c r="F56" s="530"/>
      <c r="G56" s="532"/>
      <c r="H56" s="692"/>
      <c r="I56" s="381" t="str">
        <f t="shared" si="30"/>
        <v>-</v>
      </c>
      <c r="J56" s="381" t="str">
        <f t="shared" si="31"/>
        <v>-</v>
      </c>
      <c r="K56" s="199" t="str">
        <f t="shared" si="32"/>
        <v>-</v>
      </c>
      <c r="L56" s="634"/>
      <c r="M56" s="418" t="e">
        <f>RANK(K56, K$47:$K$61)</f>
        <v>#VALUE!</v>
      </c>
      <c r="N56" s="652"/>
      <c r="O56" s="652"/>
      <c r="P56" s="555" t="s">
        <v>585</v>
      </c>
      <c r="Q56" s="559" t="s">
        <v>585</v>
      </c>
      <c r="R56" s="559" t="s">
        <v>585</v>
      </c>
      <c r="S56" s="555" t="e">
        <f t="shared" si="33"/>
        <v>#VALUE!</v>
      </c>
      <c r="T56" s="662"/>
      <c r="U56" s="555" t="s">
        <v>585</v>
      </c>
      <c r="V56" s="559" t="s">
        <v>585</v>
      </c>
      <c r="W56" s="559" t="s">
        <v>585</v>
      </c>
      <c r="X56" s="555" t="e">
        <f t="shared" si="35"/>
        <v>#VALUE!</v>
      </c>
      <c r="Y56" s="662"/>
      <c r="Z56" s="555" t="s">
        <v>585</v>
      </c>
      <c r="AA56" s="559" t="s">
        <v>585</v>
      </c>
      <c r="AB56" s="559" t="s">
        <v>585</v>
      </c>
      <c r="AC56" s="555" t="e">
        <f t="shared" si="37"/>
        <v>#VALUE!</v>
      </c>
      <c r="AD56" s="662"/>
      <c r="AE56" s="555" t="s">
        <v>585</v>
      </c>
      <c r="AF56" s="559" t="s">
        <v>585</v>
      </c>
      <c r="AG56" s="559" t="s">
        <v>585</v>
      </c>
      <c r="AH56" s="555" t="e">
        <f t="shared" si="39"/>
        <v>#VALUE!</v>
      </c>
      <c r="AI56" s="662"/>
      <c r="AJ56" s="555" t="s">
        <v>585</v>
      </c>
      <c r="AK56" s="559" t="s">
        <v>585</v>
      </c>
      <c r="AL56" s="559" t="s">
        <v>585</v>
      </c>
      <c r="AM56" s="555" t="e">
        <f t="shared" si="41"/>
        <v>#VALUE!</v>
      </c>
      <c r="AN56" s="662"/>
      <c r="AO56" s="555" t="s">
        <v>585</v>
      </c>
      <c r="AP56" s="559" t="s">
        <v>585</v>
      </c>
      <c r="AQ56" s="559" t="s">
        <v>585</v>
      </c>
      <c r="AR56" s="555" t="e">
        <f t="shared" si="43"/>
        <v>#VALUE!</v>
      </c>
      <c r="AS56" s="662"/>
      <c r="AT56" s="555" t="s">
        <v>585</v>
      </c>
      <c r="AU56" s="559" t="s">
        <v>585</v>
      </c>
      <c r="AV56" s="559" t="s">
        <v>585</v>
      </c>
      <c r="AW56" s="555" t="e">
        <f t="shared" si="45"/>
        <v>#VALUE!</v>
      </c>
      <c r="AX56" s="662"/>
      <c r="AZ56" s="368" t="e">
        <f t="shared" si="47"/>
        <v>#N/A</v>
      </c>
      <c r="BA56" s="675"/>
    </row>
    <row r="57" spans="2:53">
      <c r="B57" s="660"/>
      <c r="C57" s="380">
        <v>11</v>
      </c>
      <c r="D57" s="225"/>
      <c r="E57" s="531"/>
      <c r="F57" s="530"/>
      <c r="G57" s="532"/>
      <c r="H57" s="692"/>
      <c r="I57" s="381" t="str">
        <f t="shared" si="30"/>
        <v>-</v>
      </c>
      <c r="J57" s="381" t="str">
        <f t="shared" si="31"/>
        <v>-</v>
      </c>
      <c r="K57" s="199" t="str">
        <f t="shared" si="32"/>
        <v>-</v>
      </c>
      <c r="L57" s="634"/>
      <c r="M57" s="418" t="e">
        <f>RANK(K57, K$47:$K$61)</f>
        <v>#VALUE!</v>
      </c>
      <c r="N57" s="652"/>
      <c r="O57" s="652"/>
      <c r="P57" s="555" t="s">
        <v>585</v>
      </c>
      <c r="Q57" s="559" t="s">
        <v>585</v>
      </c>
      <c r="R57" s="559" t="s">
        <v>585</v>
      </c>
      <c r="S57" s="555" t="e">
        <f t="shared" si="33"/>
        <v>#VALUE!</v>
      </c>
      <c r="T57" s="662"/>
      <c r="U57" s="555" t="s">
        <v>585</v>
      </c>
      <c r="V57" s="559" t="s">
        <v>585</v>
      </c>
      <c r="W57" s="559" t="s">
        <v>585</v>
      </c>
      <c r="X57" s="555" t="e">
        <f t="shared" si="35"/>
        <v>#VALUE!</v>
      </c>
      <c r="Y57" s="662"/>
      <c r="Z57" s="555" t="s">
        <v>585</v>
      </c>
      <c r="AA57" s="559" t="s">
        <v>585</v>
      </c>
      <c r="AB57" s="559" t="s">
        <v>585</v>
      </c>
      <c r="AC57" s="555" t="e">
        <f t="shared" si="37"/>
        <v>#VALUE!</v>
      </c>
      <c r="AD57" s="662"/>
      <c r="AE57" s="555" t="s">
        <v>585</v>
      </c>
      <c r="AF57" s="559" t="s">
        <v>585</v>
      </c>
      <c r="AG57" s="559" t="s">
        <v>585</v>
      </c>
      <c r="AH57" s="555" t="e">
        <f t="shared" si="39"/>
        <v>#VALUE!</v>
      </c>
      <c r="AI57" s="662"/>
      <c r="AJ57" s="554" t="s">
        <v>585</v>
      </c>
      <c r="AK57" s="559" t="s">
        <v>585</v>
      </c>
      <c r="AL57" s="559" t="s">
        <v>585</v>
      </c>
      <c r="AM57" s="555" t="e">
        <f t="shared" si="41"/>
        <v>#VALUE!</v>
      </c>
      <c r="AN57" s="662"/>
      <c r="AO57" s="555" t="s">
        <v>585</v>
      </c>
      <c r="AP57" s="559" t="s">
        <v>585</v>
      </c>
      <c r="AQ57" s="559" t="s">
        <v>585</v>
      </c>
      <c r="AR57" s="555" t="e">
        <f t="shared" si="43"/>
        <v>#VALUE!</v>
      </c>
      <c r="AS57" s="662"/>
      <c r="AT57" s="555" t="s">
        <v>585</v>
      </c>
      <c r="AU57" s="559" t="s">
        <v>585</v>
      </c>
      <c r="AV57" s="559" t="s">
        <v>585</v>
      </c>
      <c r="AW57" s="555" t="e">
        <f t="shared" si="45"/>
        <v>#VALUE!</v>
      </c>
      <c r="AX57" s="662"/>
      <c r="AZ57" s="368" t="e">
        <f t="shared" si="47"/>
        <v>#N/A</v>
      </c>
      <c r="BA57" s="675"/>
    </row>
    <row r="58" spans="2:53">
      <c r="B58" s="660"/>
      <c r="C58" s="380">
        <v>12</v>
      </c>
      <c r="D58" s="225"/>
      <c r="E58" s="531"/>
      <c r="F58" s="530"/>
      <c r="G58" s="532"/>
      <c r="H58" s="692"/>
      <c r="I58" s="381" t="str">
        <f t="shared" si="30"/>
        <v>-</v>
      </c>
      <c r="J58" s="381" t="str">
        <f t="shared" si="31"/>
        <v>-</v>
      </c>
      <c r="K58" s="199" t="str">
        <f t="shared" si="32"/>
        <v>-</v>
      </c>
      <c r="L58" s="634"/>
      <c r="M58" s="418" t="e">
        <f>RANK(K58, K$47:$K$61)</f>
        <v>#VALUE!</v>
      </c>
      <c r="N58" s="652"/>
      <c r="O58" s="652"/>
      <c r="P58" s="555" t="s">
        <v>585</v>
      </c>
      <c r="Q58" s="559" t="s">
        <v>585</v>
      </c>
      <c r="R58" s="559" t="s">
        <v>585</v>
      </c>
      <c r="S58" s="555" t="e">
        <f t="shared" si="33"/>
        <v>#VALUE!</v>
      </c>
      <c r="T58" s="662"/>
      <c r="U58" s="555" t="s">
        <v>585</v>
      </c>
      <c r="V58" s="559" t="s">
        <v>585</v>
      </c>
      <c r="W58" s="559" t="s">
        <v>585</v>
      </c>
      <c r="X58" s="555" t="e">
        <f t="shared" si="35"/>
        <v>#VALUE!</v>
      </c>
      <c r="Y58" s="662"/>
      <c r="Z58" s="555" t="s">
        <v>585</v>
      </c>
      <c r="AA58" s="559" t="s">
        <v>585</v>
      </c>
      <c r="AB58" s="559" t="s">
        <v>585</v>
      </c>
      <c r="AC58" s="555" t="e">
        <f t="shared" si="37"/>
        <v>#VALUE!</v>
      </c>
      <c r="AD58" s="662"/>
      <c r="AE58" s="555" t="s">
        <v>585</v>
      </c>
      <c r="AF58" s="559" t="s">
        <v>585</v>
      </c>
      <c r="AG58" s="559" t="s">
        <v>585</v>
      </c>
      <c r="AH58" s="555" t="e">
        <f t="shared" si="39"/>
        <v>#VALUE!</v>
      </c>
      <c r="AI58" s="662"/>
      <c r="AJ58" s="555" t="s">
        <v>585</v>
      </c>
      <c r="AK58" s="559" t="s">
        <v>585</v>
      </c>
      <c r="AL58" s="559" t="s">
        <v>585</v>
      </c>
      <c r="AM58" s="555" t="e">
        <f t="shared" si="41"/>
        <v>#VALUE!</v>
      </c>
      <c r="AN58" s="662"/>
      <c r="AO58" s="555" t="s">
        <v>585</v>
      </c>
      <c r="AP58" s="559" t="s">
        <v>585</v>
      </c>
      <c r="AQ58" s="559" t="s">
        <v>585</v>
      </c>
      <c r="AR58" s="555" t="e">
        <f t="shared" si="43"/>
        <v>#VALUE!</v>
      </c>
      <c r="AS58" s="662"/>
      <c r="AT58" s="555" t="s">
        <v>585</v>
      </c>
      <c r="AU58" s="559" t="s">
        <v>585</v>
      </c>
      <c r="AV58" s="559" t="s">
        <v>585</v>
      </c>
      <c r="AW58" s="555" t="e">
        <f t="shared" si="45"/>
        <v>#VALUE!</v>
      </c>
      <c r="AX58" s="662"/>
      <c r="AZ58" s="368" t="e">
        <f t="shared" si="47"/>
        <v>#N/A</v>
      </c>
      <c r="BA58" s="675"/>
    </row>
    <row r="59" spans="2:53">
      <c r="B59" s="660"/>
      <c r="C59" s="380">
        <v>13</v>
      </c>
      <c r="D59" s="225"/>
      <c r="E59" s="531"/>
      <c r="F59" s="530"/>
      <c r="G59" s="532"/>
      <c r="H59" s="692"/>
      <c r="I59" s="381" t="str">
        <f t="shared" si="30"/>
        <v>-</v>
      </c>
      <c r="J59" s="381" t="str">
        <f t="shared" si="31"/>
        <v>-</v>
      </c>
      <c r="K59" s="199" t="str">
        <f t="shared" si="32"/>
        <v>-</v>
      </c>
      <c r="L59" s="634"/>
      <c r="M59" s="418" t="e">
        <f>RANK(K59, K$47:$K$61)</f>
        <v>#VALUE!</v>
      </c>
      <c r="N59" s="652"/>
      <c r="O59" s="652"/>
      <c r="P59" s="555" t="s">
        <v>585</v>
      </c>
      <c r="Q59" s="559" t="s">
        <v>585</v>
      </c>
      <c r="R59" s="559" t="s">
        <v>585</v>
      </c>
      <c r="S59" s="555" t="e">
        <f t="shared" si="33"/>
        <v>#VALUE!</v>
      </c>
      <c r="T59" s="662"/>
      <c r="U59" s="555" t="s">
        <v>585</v>
      </c>
      <c r="V59" s="559" t="s">
        <v>585</v>
      </c>
      <c r="W59" s="559" t="s">
        <v>585</v>
      </c>
      <c r="X59" s="555" t="e">
        <f t="shared" si="35"/>
        <v>#VALUE!</v>
      </c>
      <c r="Y59" s="662"/>
      <c r="Z59" s="555" t="s">
        <v>585</v>
      </c>
      <c r="AA59" s="559" t="s">
        <v>585</v>
      </c>
      <c r="AB59" s="559" t="s">
        <v>585</v>
      </c>
      <c r="AC59" s="555" t="e">
        <f t="shared" si="37"/>
        <v>#VALUE!</v>
      </c>
      <c r="AD59" s="662"/>
      <c r="AE59" s="555" t="s">
        <v>585</v>
      </c>
      <c r="AF59" s="559" t="s">
        <v>585</v>
      </c>
      <c r="AG59" s="559" t="s">
        <v>585</v>
      </c>
      <c r="AH59" s="555" t="e">
        <f t="shared" si="39"/>
        <v>#VALUE!</v>
      </c>
      <c r="AI59" s="662"/>
      <c r="AJ59" s="555" t="s">
        <v>585</v>
      </c>
      <c r="AK59" s="559" t="s">
        <v>585</v>
      </c>
      <c r="AL59" s="559" t="s">
        <v>585</v>
      </c>
      <c r="AM59" s="555" t="e">
        <f t="shared" si="41"/>
        <v>#VALUE!</v>
      </c>
      <c r="AN59" s="662"/>
      <c r="AO59" s="555" t="s">
        <v>585</v>
      </c>
      <c r="AP59" s="559" t="s">
        <v>585</v>
      </c>
      <c r="AQ59" s="559" t="s">
        <v>585</v>
      </c>
      <c r="AR59" s="555" t="e">
        <f t="shared" si="43"/>
        <v>#VALUE!</v>
      </c>
      <c r="AS59" s="662"/>
      <c r="AT59" s="555" t="s">
        <v>585</v>
      </c>
      <c r="AU59" s="559" t="s">
        <v>585</v>
      </c>
      <c r="AV59" s="559" t="s">
        <v>585</v>
      </c>
      <c r="AW59" s="555" t="e">
        <f t="shared" si="45"/>
        <v>#VALUE!</v>
      </c>
      <c r="AX59" s="662"/>
      <c r="AZ59" s="368" t="e">
        <f t="shared" si="47"/>
        <v>#N/A</v>
      </c>
      <c r="BA59" s="675"/>
    </row>
    <row r="60" spans="2:53">
      <c r="B60" s="660"/>
      <c r="C60" s="380">
        <v>14</v>
      </c>
      <c r="D60" s="225"/>
      <c r="E60" s="531"/>
      <c r="F60" s="530"/>
      <c r="G60" s="532"/>
      <c r="H60" s="692"/>
      <c r="I60" s="381" t="str">
        <f t="shared" si="30"/>
        <v>-</v>
      </c>
      <c r="J60" s="381" t="str">
        <f t="shared" si="31"/>
        <v>-</v>
      </c>
      <c r="K60" s="199" t="str">
        <f t="shared" si="32"/>
        <v>-</v>
      </c>
      <c r="L60" s="634"/>
      <c r="M60" s="418" t="e">
        <f>RANK(K60, K$47:$K$61)</f>
        <v>#VALUE!</v>
      </c>
      <c r="N60" s="652"/>
      <c r="O60" s="652"/>
      <c r="P60" s="555" t="s">
        <v>585</v>
      </c>
      <c r="Q60" s="559" t="s">
        <v>585</v>
      </c>
      <c r="R60" s="559" t="s">
        <v>585</v>
      </c>
      <c r="S60" s="555" t="e">
        <f t="shared" si="33"/>
        <v>#VALUE!</v>
      </c>
      <c r="T60" s="662"/>
      <c r="U60" s="555" t="s">
        <v>585</v>
      </c>
      <c r="V60" s="559" t="s">
        <v>585</v>
      </c>
      <c r="W60" s="559" t="s">
        <v>585</v>
      </c>
      <c r="X60" s="555" t="e">
        <f t="shared" si="35"/>
        <v>#VALUE!</v>
      </c>
      <c r="Y60" s="662"/>
      <c r="Z60" s="555" t="s">
        <v>585</v>
      </c>
      <c r="AA60" s="559" t="s">
        <v>585</v>
      </c>
      <c r="AB60" s="559" t="s">
        <v>585</v>
      </c>
      <c r="AC60" s="555" t="e">
        <f t="shared" si="37"/>
        <v>#VALUE!</v>
      </c>
      <c r="AD60" s="662"/>
      <c r="AE60" s="555" t="s">
        <v>585</v>
      </c>
      <c r="AF60" s="559" t="s">
        <v>585</v>
      </c>
      <c r="AG60" s="559" t="s">
        <v>585</v>
      </c>
      <c r="AH60" s="555" t="e">
        <f t="shared" si="39"/>
        <v>#VALUE!</v>
      </c>
      <c r="AI60" s="662"/>
      <c r="AJ60" s="555" t="s">
        <v>585</v>
      </c>
      <c r="AK60" s="559" t="s">
        <v>585</v>
      </c>
      <c r="AL60" s="559" t="s">
        <v>585</v>
      </c>
      <c r="AM60" s="555" t="e">
        <f t="shared" si="41"/>
        <v>#VALUE!</v>
      </c>
      <c r="AN60" s="662"/>
      <c r="AO60" s="555" t="s">
        <v>585</v>
      </c>
      <c r="AP60" s="559" t="s">
        <v>585</v>
      </c>
      <c r="AQ60" s="559" t="s">
        <v>585</v>
      </c>
      <c r="AR60" s="555" t="e">
        <f t="shared" si="43"/>
        <v>#VALUE!</v>
      </c>
      <c r="AS60" s="662"/>
      <c r="AT60" s="555" t="s">
        <v>585</v>
      </c>
      <c r="AU60" s="559" t="s">
        <v>585</v>
      </c>
      <c r="AV60" s="559" t="s">
        <v>585</v>
      </c>
      <c r="AW60" s="555" t="e">
        <f t="shared" si="45"/>
        <v>#VALUE!</v>
      </c>
      <c r="AX60" s="662"/>
      <c r="AZ60" s="368" t="e">
        <f t="shared" si="47"/>
        <v>#N/A</v>
      </c>
      <c r="BA60" s="675"/>
    </row>
    <row r="61" spans="2:53">
      <c r="B61" s="660"/>
      <c r="C61" s="380">
        <v>15</v>
      </c>
      <c r="D61" s="225"/>
      <c r="E61" s="531"/>
      <c r="F61" s="530"/>
      <c r="G61" s="532"/>
      <c r="H61" s="696"/>
      <c r="I61" s="380"/>
      <c r="J61" s="380"/>
      <c r="K61" s="380"/>
      <c r="L61" s="635"/>
      <c r="M61" s="418" t="e">
        <f>RANK(K61, K$47:$K$61)</f>
        <v>#N/A</v>
      </c>
      <c r="N61" s="652"/>
      <c r="O61" s="652"/>
      <c r="P61" s="555" t="s">
        <v>585</v>
      </c>
      <c r="Q61" s="559" t="s">
        <v>585</v>
      </c>
      <c r="R61" s="559" t="s">
        <v>585</v>
      </c>
      <c r="S61" s="555" t="e">
        <f t="shared" si="33"/>
        <v>#VALUE!</v>
      </c>
      <c r="T61" s="663"/>
      <c r="U61" s="555" t="s">
        <v>585</v>
      </c>
      <c r="V61" s="559" t="s">
        <v>585</v>
      </c>
      <c r="W61" s="559" t="s">
        <v>585</v>
      </c>
      <c r="X61" s="555" t="e">
        <f t="shared" si="35"/>
        <v>#VALUE!</v>
      </c>
      <c r="Y61" s="663"/>
      <c r="Z61" s="555" t="s">
        <v>585</v>
      </c>
      <c r="AA61" s="559" t="s">
        <v>585</v>
      </c>
      <c r="AB61" s="559" t="s">
        <v>585</v>
      </c>
      <c r="AC61" s="555" t="e">
        <f t="shared" si="37"/>
        <v>#VALUE!</v>
      </c>
      <c r="AD61" s="663"/>
      <c r="AE61" s="555" t="s">
        <v>585</v>
      </c>
      <c r="AF61" s="559" t="s">
        <v>585</v>
      </c>
      <c r="AG61" s="559" t="s">
        <v>585</v>
      </c>
      <c r="AH61" s="555" t="e">
        <f t="shared" si="39"/>
        <v>#VALUE!</v>
      </c>
      <c r="AI61" s="663"/>
      <c r="AJ61" s="555" t="s">
        <v>585</v>
      </c>
      <c r="AK61" s="559" t="s">
        <v>585</v>
      </c>
      <c r="AL61" s="559" t="s">
        <v>585</v>
      </c>
      <c r="AM61" s="555" t="e">
        <f t="shared" si="41"/>
        <v>#VALUE!</v>
      </c>
      <c r="AN61" s="663"/>
      <c r="AO61" s="555" t="s">
        <v>585</v>
      </c>
      <c r="AP61" s="559" t="s">
        <v>585</v>
      </c>
      <c r="AQ61" s="559" t="s">
        <v>585</v>
      </c>
      <c r="AR61" s="555" t="e">
        <f t="shared" si="43"/>
        <v>#VALUE!</v>
      </c>
      <c r="AS61" s="663"/>
      <c r="AT61" s="555" t="s">
        <v>585</v>
      </c>
      <c r="AU61" s="559" t="s">
        <v>585</v>
      </c>
      <c r="AV61" s="559" t="s">
        <v>585</v>
      </c>
      <c r="AW61" s="555" t="e">
        <f t="shared" si="45"/>
        <v>#VALUE!</v>
      </c>
      <c r="AX61" s="663"/>
      <c r="AZ61" s="368" t="e">
        <f t="shared" si="47"/>
        <v>#N/A</v>
      </c>
      <c r="BA61" s="676"/>
    </row>
    <row r="62" spans="2:53" ht="15.75">
      <c r="B62" s="664" t="s">
        <v>162</v>
      </c>
      <c r="C62" s="665"/>
      <c r="D62" s="665"/>
      <c r="E62" s="665"/>
      <c r="F62" s="665"/>
      <c r="G62" s="665"/>
      <c r="H62" s="666"/>
      <c r="I62" s="207"/>
      <c r="J62" s="207"/>
      <c r="K62" s="207"/>
      <c r="L62" s="207"/>
      <c r="M62" s="206"/>
      <c r="N62" s="653" t="s">
        <v>156</v>
      </c>
      <c r="O62" s="653" t="s">
        <v>105</v>
      </c>
      <c r="P62" s="659">
        <f>P42+7</f>
        <v>46252</v>
      </c>
      <c r="Q62" s="660"/>
      <c r="R62" s="660"/>
      <c r="S62" s="660"/>
      <c r="T62" s="660"/>
      <c r="U62" s="656">
        <f>P62+1</f>
        <v>46253</v>
      </c>
      <c r="V62" s="657"/>
      <c r="W62" s="657"/>
      <c r="X62" s="657"/>
      <c r="Y62" s="658"/>
      <c r="Z62" s="656">
        <f>U62+1</f>
        <v>46254</v>
      </c>
      <c r="AA62" s="657"/>
      <c r="AB62" s="657"/>
      <c r="AC62" s="657"/>
      <c r="AD62" s="658"/>
      <c r="AE62" s="656">
        <f>Z62+1</f>
        <v>46255</v>
      </c>
      <c r="AF62" s="657"/>
      <c r="AG62" s="657"/>
      <c r="AH62" s="657"/>
      <c r="AI62" s="658"/>
      <c r="AJ62" s="656">
        <f>AE62+1</f>
        <v>46256</v>
      </c>
      <c r="AK62" s="657"/>
      <c r="AL62" s="657"/>
      <c r="AM62" s="657"/>
      <c r="AN62" s="658"/>
      <c r="AO62" s="656">
        <f>AJ62+1</f>
        <v>46257</v>
      </c>
      <c r="AP62" s="657"/>
      <c r="AQ62" s="657"/>
      <c r="AR62" s="657"/>
      <c r="AS62" s="658"/>
      <c r="AT62" s="656">
        <f>AO62+1</f>
        <v>46258</v>
      </c>
      <c r="AU62" s="657"/>
      <c r="AV62" s="657"/>
      <c r="AW62" s="657"/>
      <c r="AX62" s="658"/>
    </row>
    <row r="63" spans="2:53" ht="15.75">
      <c r="B63" s="667"/>
      <c r="C63" s="667"/>
      <c r="D63" s="667"/>
      <c r="E63" s="667"/>
      <c r="F63" s="667"/>
      <c r="G63" s="667"/>
      <c r="H63" s="667"/>
      <c r="I63" s="204"/>
      <c r="J63" s="204"/>
      <c r="K63" s="204"/>
      <c r="L63" s="204"/>
      <c r="M63" s="205"/>
      <c r="N63" s="655"/>
      <c r="O63" s="655"/>
      <c r="P63" s="659" t="s">
        <v>317</v>
      </c>
      <c r="Q63" s="660"/>
      <c r="R63" s="660"/>
      <c r="S63" s="660"/>
      <c r="T63" s="660"/>
      <c r="U63" s="659" t="s">
        <v>318</v>
      </c>
      <c r="V63" s="660"/>
      <c r="W63" s="660"/>
      <c r="X63" s="660"/>
      <c r="Y63" s="660"/>
      <c r="Z63" s="659" t="s">
        <v>319</v>
      </c>
      <c r="AA63" s="660"/>
      <c r="AB63" s="660"/>
      <c r="AC63" s="660"/>
      <c r="AD63" s="660"/>
      <c r="AE63" s="659" t="s">
        <v>320</v>
      </c>
      <c r="AF63" s="660"/>
      <c r="AG63" s="660"/>
      <c r="AH63" s="660"/>
      <c r="AI63" s="660"/>
      <c r="AJ63" s="659" t="s">
        <v>321</v>
      </c>
      <c r="AK63" s="660"/>
      <c r="AL63" s="660"/>
      <c r="AM63" s="660"/>
      <c r="AN63" s="660"/>
      <c r="AO63" s="659" t="s">
        <v>322</v>
      </c>
      <c r="AP63" s="660"/>
      <c r="AQ63" s="660"/>
      <c r="AR63" s="660"/>
      <c r="AS63" s="660"/>
      <c r="AT63" s="659" t="s">
        <v>323</v>
      </c>
      <c r="AU63" s="660"/>
      <c r="AV63" s="660"/>
      <c r="AW63" s="660"/>
      <c r="AX63" s="660"/>
    </row>
    <row r="64" spans="2:53">
      <c r="B64" s="652" t="s">
        <v>369</v>
      </c>
      <c r="C64" s="652" t="s">
        <v>532</v>
      </c>
      <c r="D64" s="652"/>
      <c r="E64" s="652" t="s">
        <v>533</v>
      </c>
      <c r="F64" s="652"/>
      <c r="G64" s="652"/>
      <c r="H64" s="668" t="s">
        <v>534</v>
      </c>
      <c r="I64" s="652" t="s">
        <v>535</v>
      </c>
      <c r="J64" s="652"/>
      <c r="K64" s="652"/>
      <c r="L64" s="668" t="s">
        <v>366</v>
      </c>
      <c r="M64" s="653" t="s">
        <v>536</v>
      </c>
      <c r="N64" s="652"/>
      <c r="O64" s="652" t="s">
        <v>537</v>
      </c>
      <c r="P64" s="649" t="s">
        <v>368</v>
      </c>
      <c r="Q64" s="650"/>
      <c r="R64" s="650"/>
      <c r="S64" s="651"/>
      <c r="T64" s="652" t="s">
        <v>366</v>
      </c>
      <c r="U64" s="649" t="s">
        <v>368</v>
      </c>
      <c r="V64" s="650"/>
      <c r="W64" s="650"/>
      <c r="X64" s="651"/>
      <c r="Y64" s="652" t="s">
        <v>366</v>
      </c>
      <c r="Z64" s="649" t="s">
        <v>368</v>
      </c>
      <c r="AA64" s="650"/>
      <c r="AB64" s="650"/>
      <c r="AC64" s="651"/>
      <c r="AD64" s="652" t="s">
        <v>366</v>
      </c>
      <c r="AE64" s="649" t="s">
        <v>368</v>
      </c>
      <c r="AF64" s="650"/>
      <c r="AG64" s="650"/>
      <c r="AH64" s="651"/>
      <c r="AI64" s="652" t="s">
        <v>366</v>
      </c>
      <c r="AJ64" s="649" t="s">
        <v>368</v>
      </c>
      <c r="AK64" s="650"/>
      <c r="AL64" s="650"/>
      <c r="AM64" s="651"/>
      <c r="AN64" s="652" t="s">
        <v>366</v>
      </c>
      <c r="AO64" s="649" t="s">
        <v>368</v>
      </c>
      <c r="AP64" s="650"/>
      <c r="AQ64" s="650"/>
      <c r="AR64" s="651"/>
      <c r="AS64" s="652" t="s">
        <v>366</v>
      </c>
      <c r="AT64" s="649" t="s">
        <v>368</v>
      </c>
      <c r="AU64" s="650"/>
      <c r="AV64" s="650"/>
      <c r="AW64" s="651"/>
      <c r="AX64" s="652" t="s">
        <v>366</v>
      </c>
      <c r="BA64" s="652" t="s">
        <v>366</v>
      </c>
    </row>
    <row r="65" spans="2:53">
      <c r="B65" s="652"/>
      <c r="C65" s="652"/>
      <c r="D65" s="652"/>
      <c r="E65" s="652" t="s">
        <v>538</v>
      </c>
      <c r="F65" s="652"/>
      <c r="G65" s="652"/>
      <c r="H65" s="669"/>
      <c r="I65" s="652" t="s">
        <v>538</v>
      </c>
      <c r="J65" s="652"/>
      <c r="K65" s="652"/>
      <c r="L65" s="669"/>
      <c r="M65" s="654"/>
      <c r="N65" s="652"/>
      <c r="O65" s="652"/>
      <c r="P65" s="649" t="s">
        <v>374</v>
      </c>
      <c r="Q65" s="650"/>
      <c r="R65" s="650"/>
      <c r="S65" s="651"/>
      <c r="T65" s="652"/>
      <c r="U65" s="649" t="s">
        <v>374</v>
      </c>
      <c r="V65" s="650"/>
      <c r="W65" s="650"/>
      <c r="X65" s="651"/>
      <c r="Y65" s="652"/>
      <c r="Z65" s="649" t="s">
        <v>374</v>
      </c>
      <c r="AA65" s="650"/>
      <c r="AB65" s="650"/>
      <c r="AC65" s="651"/>
      <c r="AD65" s="652"/>
      <c r="AE65" s="649" t="s">
        <v>374</v>
      </c>
      <c r="AF65" s="650"/>
      <c r="AG65" s="650"/>
      <c r="AH65" s="651"/>
      <c r="AI65" s="652"/>
      <c r="AJ65" s="649" t="s">
        <v>374</v>
      </c>
      <c r="AK65" s="650"/>
      <c r="AL65" s="650"/>
      <c r="AM65" s="651"/>
      <c r="AN65" s="652"/>
      <c r="AO65" s="649" t="s">
        <v>374</v>
      </c>
      <c r="AP65" s="650"/>
      <c r="AQ65" s="650"/>
      <c r="AR65" s="651"/>
      <c r="AS65" s="652"/>
      <c r="AT65" s="649" t="s">
        <v>374</v>
      </c>
      <c r="AU65" s="650"/>
      <c r="AV65" s="650"/>
      <c r="AW65" s="651"/>
      <c r="AX65" s="652"/>
      <c r="BA65" s="652"/>
    </row>
    <row r="66" spans="2:53">
      <c r="B66" s="652"/>
      <c r="C66" s="652"/>
      <c r="D66" s="652"/>
      <c r="E66" s="378" t="s">
        <v>539</v>
      </c>
      <c r="F66" s="378" t="s">
        <v>540</v>
      </c>
      <c r="G66" s="378" t="s">
        <v>541</v>
      </c>
      <c r="H66" s="670"/>
      <c r="I66" s="378" t="s">
        <v>539</v>
      </c>
      <c r="J66" s="378" t="s">
        <v>540</v>
      </c>
      <c r="K66" s="378" t="s">
        <v>541</v>
      </c>
      <c r="L66" s="670"/>
      <c r="M66" s="655"/>
      <c r="N66" s="652"/>
      <c r="O66" s="652"/>
      <c r="P66" s="378" t="s">
        <v>375</v>
      </c>
      <c r="Q66" s="378" t="s">
        <v>376</v>
      </c>
      <c r="R66" s="378" t="s">
        <v>377</v>
      </c>
      <c r="S66" s="378" t="s">
        <v>367</v>
      </c>
      <c r="T66" s="652"/>
      <c r="U66" s="378" t="s">
        <v>375</v>
      </c>
      <c r="V66" s="378" t="s">
        <v>376</v>
      </c>
      <c r="W66" s="378" t="s">
        <v>377</v>
      </c>
      <c r="X66" s="378" t="s">
        <v>367</v>
      </c>
      <c r="Y66" s="652"/>
      <c r="Z66" s="378" t="s">
        <v>375</v>
      </c>
      <c r="AA66" s="378" t="s">
        <v>376</v>
      </c>
      <c r="AB66" s="378" t="s">
        <v>377</v>
      </c>
      <c r="AC66" s="378" t="s">
        <v>367</v>
      </c>
      <c r="AD66" s="652"/>
      <c r="AE66" s="378" t="s">
        <v>375</v>
      </c>
      <c r="AF66" s="378" t="s">
        <v>376</v>
      </c>
      <c r="AG66" s="378" t="s">
        <v>377</v>
      </c>
      <c r="AH66" s="378" t="s">
        <v>367</v>
      </c>
      <c r="AI66" s="652"/>
      <c r="AJ66" s="378" t="s">
        <v>375</v>
      </c>
      <c r="AK66" s="378" t="s">
        <v>376</v>
      </c>
      <c r="AL66" s="378" t="s">
        <v>377</v>
      </c>
      <c r="AM66" s="378" t="s">
        <v>367</v>
      </c>
      <c r="AN66" s="652"/>
      <c r="AO66" s="378" t="s">
        <v>375</v>
      </c>
      <c r="AP66" s="378" t="s">
        <v>376</v>
      </c>
      <c r="AQ66" s="378" t="s">
        <v>377</v>
      </c>
      <c r="AR66" s="378" t="s">
        <v>367</v>
      </c>
      <c r="AS66" s="652"/>
      <c r="AT66" s="378" t="s">
        <v>375</v>
      </c>
      <c r="AU66" s="378" t="s">
        <v>376</v>
      </c>
      <c r="AV66" s="378" t="s">
        <v>377</v>
      </c>
      <c r="AW66" s="378" t="s">
        <v>367</v>
      </c>
      <c r="AX66" s="652"/>
      <c r="AZ66" s="367" t="s">
        <v>367</v>
      </c>
      <c r="BA66" s="652"/>
    </row>
    <row r="67" spans="2:53">
      <c r="B67" s="652" t="s">
        <v>381</v>
      </c>
      <c r="C67" s="380">
        <v>1</v>
      </c>
      <c r="D67" s="225" t="s">
        <v>587</v>
      </c>
      <c r="E67" s="531">
        <v>17</v>
      </c>
      <c r="F67" s="530">
        <v>1565</v>
      </c>
      <c r="G67" s="532">
        <v>92.058823529411768</v>
      </c>
      <c r="H67" s="691">
        <f>AVERAGE(G67:G81)</f>
        <v>91.035947712418306</v>
      </c>
      <c r="I67" s="381">
        <f t="shared" ref="I67:I80" si="49">IFERROR(AVERAGE(P67,U67,Z67,AE67,AJ67,AO67,AT67),"-")</f>
        <v>17</v>
      </c>
      <c r="J67" s="381">
        <f t="shared" ref="J67:J80" si="50">IFERROR(AVERAGE(Q67,V67,AA67,AF67,AK67,AP67,AU67),"-")</f>
        <v>1387.9263570873959</v>
      </c>
      <c r="K67" s="199">
        <f t="shared" ref="K67:K80" si="51">IFERROR(AVERAGE(R67,W67,AB67,AG67,AL67,AQ67,AV67),"-")</f>
        <v>81.642726887493879</v>
      </c>
      <c r="L67" s="633">
        <f>IFERROR(AVERAGE(K67:K81),"-")</f>
        <v>81.016372046828806</v>
      </c>
      <c r="M67" s="384">
        <f>RANK(K67, K$67:$K$81)</f>
        <v>3</v>
      </c>
      <c r="N67" s="652"/>
      <c r="O67" s="652"/>
      <c r="P67" s="560">
        <v>17</v>
      </c>
      <c r="Q67" s="562">
        <v>1388.1405405405412</v>
      </c>
      <c r="R67" s="562">
        <v>81.655325914149486</v>
      </c>
      <c r="S67" s="560">
        <f t="shared" ref="S67:S81" si="52">RANK(R67, R$67:R$81)</f>
        <v>3</v>
      </c>
      <c r="T67" s="661">
        <f t="shared" ref="T67" si="53">AVERAGE(R67:R81)</f>
        <v>80.260756633527308</v>
      </c>
      <c r="U67" s="560">
        <v>17</v>
      </c>
      <c r="V67" s="562">
        <v>1383.5064935064934</v>
      </c>
      <c r="W67" s="562">
        <v>81.382734912146674</v>
      </c>
      <c r="X67" s="560">
        <f t="shared" ref="X67:X81" si="54">RANK(W67, W$67:W$81)</f>
        <v>3</v>
      </c>
      <c r="Y67" s="661">
        <f t="shared" ref="Y67" si="55">AVERAGE(W67:W81)</f>
        <v>81.369450142596918</v>
      </c>
      <c r="Z67" s="560">
        <v>17</v>
      </c>
      <c r="AA67" s="562">
        <v>1381.1999999999998</v>
      </c>
      <c r="AB67" s="562">
        <v>81.2470588235294</v>
      </c>
      <c r="AC67" s="560">
        <f t="shared" ref="AC67:AC81" si="56">RANK(AB67, AB$67:AB$81)</f>
        <v>3</v>
      </c>
      <c r="AD67" s="661">
        <f t="shared" ref="AD67" si="57">AVERAGE(AB67:AB81)</f>
        <v>80.972916560143702</v>
      </c>
      <c r="AE67" s="560">
        <v>17</v>
      </c>
      <c r="AF67" s="562">
        <v>1392.0000000000002</v>
      </c>
      <c r="AG67" s="562">
        <v>81.882352941176478</v>
      </c>
      <c r="AH67" s="560">
        <f t="shared" ref="AH67:AH81" si="58">RANK(AG67, AG$67:AG$81)</f>
        <v>3</v>
      </c>
      <c r="AI67" s="661">
        <f t="shared" ref="AI67" si="59">AVERAGE(AG67:AG81)</f>
        <v>80.213547257184302</v>
      </c>
      <c r="AJ67" s="560">
        <v>17</v>
      </c>
      <c r="AK67" s="562">
        <v>1397.3333333333333</v>
      </c>
      <c r="AL67" s="562">
        <v>82.196078431372541</v>
      </c>
      <c r="AM67" s="560">
        <f t="shared" ref="AM67:AM81" si="60">RANK(AL67, AL$67:AL$81)</f>
        <v>3</v>
      </c>
      <c r="AN67" s="661">
        <f t="shared" ref="AN67" si="61">AVERAGE(AL67:AL81)</f>
        <v>81.528596561789485</v>
      </c>
      <c r="AO67" s="560">
        <v>17</v>
      </c>
      <c r="AP67" s="562">
        <v>1395.7041322314044</v>
      </c>
      <c r="AQ67" s="562">
        <v>82.100243072435546</v>
      </c>
      <c r="AR67" s="560">
        <f t="shared" ref="AR67:AR81" si="62">RANK(AQ67, AQ$67:AQ$81)</f>
        <v>3</v>
      </c>
      <c r="AS67" s="661">
        <f t="shared" ref="AS67" si="63">AVERAGE(AQ67:AQ81)</f>
        <v>81.37627101601602</v>
      </c>
      <c r="AT67" s="560">
        <v>17</v>
      </c>
      <c r="AU67" s="562">
        <v>1377.6</v>
      </c>
      <c r="AV67" s="562">
        <v>81.035294117647055</v>
      </c>
      <c r="AW67" s="560">
        <f t="shared" ref="AW67:AW81" si="64">RANK(AV67, AV$67:AV$81)</f>
        <v>3</v>
      </c>
      <c r="AX67" s="661">
        <f t="shared" ref="AX67" si="65">AVERAGE(AV67:AV81)</f>
        <v>81.393066156543924</v>
      </c>
      <c r="AZ67" s="368" t="e">
        <f t="shared" ref="AZ67:AZ81" si="66">RANK(AY67, AY$67:AY$81)</f>
        <v>#N/A</v>
      </c>
      <c r="BA67" s="674" t="e">
        <f t="shared" ref="BA67" si="67">AVERAGE(AY67:AY81)</f>
        <v>#DIV/0!</v>
      </c>
    </row>
    <row r="68" spans="2:53">
      <c r="B68" s="660"/>
      <c r="C68" s="380">
        <v>2</v>
      </c>
      <c r="D68" s="225" t="s">
        <v>615</v>
      </c>
      <c r="E68" s="531">
        <v>18</v>
      </c>
      <c r="F68" s="530">
        <v>1565</v>
      </c>
      <c r="G68" s="532">
        <v>86.944444444444443</v>
      </c>
      <c r="H68" s="692"/>
      <c r="I68" s="381">
        <f t="shared" si="49"/>
        <v>18</v>
      </c>
      <c r="J68" s="381">
        <f t="shared" si="50"/>
        <v>1389.1792517797383</v>
      </c>
      <c r="K68" s="199">
        <f t="shared" si="51"/>
        <v>77.176625098874339</v>
      </c>
      <c r="L68" s="634"/>
      <c r="M68" s="384">
        <f>RANK(K68, K$67:$K$81)</f>
        <v>5</v>
      </c>
      <c r="N68" s="652"/>
      <c r="O68" s="652"/>
      <c r="P68" s="560">
        <v>18</v>
      </c>
      <c r="Q68" s="562">
        <v>1338.8059701492537</v>
      </c>
      <c r="R68" s="562">
        <v>74.378109452736311</v>
      </c>
      <c r="S68" s="560">
        <f t="shared" si="52"/>
        <v>5</v>
      </c>
      <c r="T68" s="662"/>
      <c r="U68" s="560">
        <v>18</v>
      </c>
      <c r="V68" s="562">
        <v>1412.9032258064517</v>
      </c>
      <c r="W68" s="562">
        <v>78.494623655913983</v>
      </c>
      <c r="X68" s="560">
        <f t="shared" si="54"/>
        <v>4</v>
      </c>
      <c r="Y68" s="662"/>
      <c r="Z68" s="560">
        <v>18</v>
      </c>
      <c r="AA68" s="562">
        <v>1396.2500000000005</v>
      </c>
      <c r="AB68" s="562">
        <v>77.569444444444471</v>
      </c>
      <c r="AC68" s="560">
        <f t="shared" si="56"/>
        <v>4</v>
      </c>
      <c r="AD68" s="662"/>
      <c r="AE68" s="560">
        <v>18</v>
      </c>
      <c r="AF68" s="562">
        <v>1368.6206896551716</v>
      </c>
      <c r="AG68" s="562">
        <v>76.034482758620641</v>
      </c>
      <c r="AH68" s="560">
        <f t="shared" si="58"/>
        <v>5</v>
      </c>
      <c r="AI68" s="662"/>
      <c r="AJ68" s="560">
        <v>18</v>
      </c>
      <c r="AK68" s="562">
        <v>1413.1034482758612</v>
      </c>
      <c r="AL68" s="562">
        <v>78.505747126436731</v>
      </c>
      <c r="AM68" s="560">
        <f t="shared" si="60"/>
        <v>4</v>
      </c>
      <c r="AN68" s="662"/>
      <c r="AO68" s="560">
        <v>18</v>
      </c>
      <c r="AP68" s="562">
        <v>1398.5714285714282</v>
      </c>
      <c r="AQ68" s="562">
        <v>77.698412698412682</v>
      </c>
      <c r="AR68" s="560">
        <f t="shared" si="62"/>
        <v>5</v>
      </c>
      <c r="AS68" s="662"/>
      <c r="AT68" s="560">
        <v>18</v>
      </c>
      <c r="AU68" s="562">
        <v>1396.0000000000005</v>
      </c>
      <c r="AV68" s="562">
        <v>77.555555555555586</v>
      </c>
      <c r="AW68" s="560">
        <f t="shared" si="64"/>
        <v>4</v>
      </c>
      <c r="AX68" s="662"/>
      <c r="AZ68" s="368" t="e">
        <f t="shared" si="66"/>
        <v>#N/A</v>
      </c>
      <c r="BA68" s="675"/>
    </row>
    <row r="69" spans="2:53">
      <c r="B69" s="660"/>
      <c r="C69" s="380">
        <v>3</v>
      </c>
      <c r="D69" s="225" t="s">
        <v>623</v>
      </c>
      <c r="E69" s="531">
        <v>17</v>
      </c>
      <c r="F69" s="530">
        <v>1565</v>
      </c>
      <c r="G69" s="532">
        <v>92.058823529411768</v>
      </c>
      <c r="H69" s="692"/>
      <c r="I69" s="381">
        <f t="shared" si="49"/>
        <v>17</v>
      </c>
      <c r="J69" s="381">
        <f t="shared" si="50"/>
        <v>1432.0774165685241</v>
      </c>
      <c r="K69" s="199">
        <f t="shared" si="51"/>
        <v>84.239848033442598</v>
      </c>
      <c r="L69" s="634"/>
      <c r="M69" s="384">
        <f>RANK(K69, K$67:$K$81)</f>
        <v>2</v>
      </c>
      <c r="N69" s="652"/>
      <c r="O69" s="652"/>
      <c r="P69" s="560">
        <v>17</v>
      </c>
      <c r="Q69" s="562">
        <v>1432.0481927710839</v>
      </c>
      <c r="R69" s="562">
        <v>84.238128986534349</v>
      </c>
      <c r="S69" s="560">
        <f t="shared" si="52"/>
        <v>1</v>
      </c>
      <c r="T69" s="662"/>
      <c r="U69" s="560">
        <v>17</v>
      </c>
      <c r="V69" s="562">
        <v>1434.0000000000007</v>
      </c>
      <c r="W69" s="562">
        <v>84.352941176470623</v>
      </c>
      <c r="X69" s="560">
        <f t="shared" si="54"/>
        <v>2</v>
      </c>
      <c r="Y69" s="662"/>
      <c r="Z69" s="560">
        <v>17</v>
      </c>
      <c r="AA69" s="562">
        <v>1419.4936708860769</v>
      </c>
      <c r="AB69" s="562">
        <v>83.499627699180991</v>
      </c>
      <c r="AC69" s="560">
        <f t="shared" si="56"/>
        <v>2</v>
      </c>
      <c r="AD69" s="662"/>
      <c r="AE69" s="560">
        <v>17</v>
      </c>
      <c r="AF69" s="562">
        <v>1416.2068965517242</v>
      </c>
      <c r="AG69" s="562">
        <v>83.306288032454361</v>
      </c>
      <c r="AH69" s="560">
        <f t="shared" si="58"/>
        <v>2</v>
      </c>
      <c r="AI69" s="662"/>
      <c r="AJ69" s="560">
        <v>17</v>
      </c>
      <c r="AK69" s="562">
        <v>1435.9322033898306</v>
      </c>
      <c r="AL69" s="562">
        <v>84.466600199401796</v>
      </c>
      <c r="AM69" s="560">
        <f t="shared" si="60"/>
        <v>2</v>
      </c>
      <c r="AN69" s="662"/>
      <c r="AO69" s="560">
        <v>17</v>
      </c>
      <c r="AP69" s="562">
        <v>1435.7142857142851</v>
      </c>
      <c r="AQ69" s="562">
        <v>84.453781512605005</v>
      </c>
      <c r="AR69" s="560">
        <f t="shared" si="62"/>
        <v>1</v>
      </c>
      <c r="AS69" s="662"/>
      <c r="AT69" s="560">
        <v>17</v>
      </c>
      <c r="AU69" s="562">
        <v>1451.1466666666668</v>
      </c>
      <c r="AV69" s="562">
        <v>85.361568627450993</v>
      </c>
      <c r="AW69" s="560">
        <f t="shared" si="64"/>
        <v>2</v>
      </c>
      <c r="AX69" s="662"/>
      <c r="AZ69" s="368" t="e">
        <f t="shared" si="66"/>
        <v>#N/A</v>
      </c>
      <c r="BA69" s="675"/>
    </row>
    <row r="70" spans="2:53">
      <c r="B70" s="660"/>
      <c r="C70" s="380">
        <v>4</v>
      </c>
      <c r="D70" s="225" t="s">
        <v>714</v>
      </c>
      <c r="E70" s="531">
        <v>17</v>
      </c>
      <c r="F70" s="530">
        <v>1565</v>
      </c>
      <c r="G70" s="532">
        <v>92.058823529411768</v>
      </c>
      <c r="H70" s="692"/>
      <c r="I70" s="381">
        <f t="shared" si="49"/>
        <v>17</v>
      </c>
      <c r="J70" s="381">
        <f t="shared" si="50"/>
        <v>1315.5045708748719</v>
      </c>
      <c r="K70" s="199">
        <f t="shared" si="51"/>
        <v>77.382621816168921</v>
      </c>
      <c r="L70" s="634"/>
      <c r="M70" s="384">
        <f>RANK(K70, K$67:$K$81)</f>
        <v>4</v>
      </c>
      <c r="N70" s="652"/>
      <c r="O70" s="652"/>
      <c r="P70" s="560">
        <v>17</v>
      </c>
      <c r="Q70" s="562">
        <v>1320.5128205128208</v>
      </c>
      <c r="R70" s="562">
        <v>77.677224736048288</v>
      </c>
      <c r="S70" s="560">
        <f t="shared" si="52"/>
        <v>4</v>
      </c>
      <c r="T70" s="662"/>
      <c r="U70" s="560">
        <v>17</v>
      </c>
      <c r="V70" s="562">
        <v>1315.2475247524753</v>
      </c>
      <c r="W70" s="562">
        <v>77.367501456027966</v>
      </c>
      <c r="X70" s="560">
        <f t="shared" si="54"/>
        <v>5</v>
      </c>
      <c r="Y70" s="662"/>
      <c r="Z70" s="560">
        <v>17</v>
      </c>
      <c r="AA70" s="562">
        <v>1316.9387755102039</v>
      </c>
      <c r="AB70" s="562">
        <v>77.466986794717869</v>
      </c>
      <c r="AC70" s="560">
        <f t="shared" si="56"/>
        <v>5</v>
      </c>
      <c r="AD70" s="662"/>
      <c r="AE70" s="560">
        <v>17</v>
      </c>
      <c r="AF70" s="562">
        <v>1296.1643835616442</v>
      </c>
      <c r="AG70" s="562">
        <v>76.244963738920248</v>
      </c>
      <c r="AH70" s="560">
        <f t="shared" si="58"/>
        <v>4</v>
      </c>
      <c r="AI70" s="662"/>
      <c r="AJ70" s="560">
        <v>17</v>
      </c>
      <c r="AK70" s="562">
        <v>1315.1999999999996</v>
      </c>
      <c r="AL70" s="562">
        <v>77.364705882352922</v>
      </c>
      <c r="AM70" s="560">
        <f t="shared" si="60"/>
        <v>5</v>
      </c>
      <c r="AN70" s="662"/>
      <c r="AO70" s="560">
        <v>17</v>
      </c>
      <c r="AP70" s="562">
        <v>1333.248979591837</v>
      </c>
      <c r="AQ70" s="562">
        <v>78.426410564225705</v>
      </c>
      <c r="AR70" s="560">
        <f t="shared" si="62"/>
        <v>4</v>
      </c>
      <c r="AS70" s="662"/>
      <c r="AT70" s="560">
        <v>17</v>
      </c>
      <c r="AU70" s="562">
        <v>1311.219512195122</v>
      </c>
      <c r="AV70" s="562">
        <v>77.130559540889521</v>
      </c>
      <c r="AW70" s="560">
        <f t="shared" si="64"/>
        <v>5</v>
      </c>
      <c r="AX70" s="662"/>
      <c r="AZ70" s="368" t="e">
        <f t="shared" si="66"/>
        <v>#N/A</v>
      </c>
      <c r="BA70" s="675"/>
    </row>
    <row r="71" spans="2:53">
      <c r="B71" s="660"/>
      <c r="C71" s="380">
        <v>5</v>
      </c>
      <c r="D71" s="225" t="s">
        <v>761</v>
      </c>
      <c r="E71" s="531">
        <v>17</v>
      </c>
      <c r="F71" s="530">
        <v>1565</v>
      </c>
      <c r="G71" s="532">
        <v>92.058823529411768</v>
      </c>
      <c r="H71" s="692"/>
      <c r="I71" s="381">
        <f t="shared" si="49"/>
        <v>17</v>
      </c>
      <c r="J71" s="381">
        <f t="shared" si="50"/>
        <v>1438.8806527687932</v>
      </c>
      <c r="K71" s="199">
        <f t="shared" si="51"/>
        <v>84.640038398164293</v>
      </c>
      <c r="L71" s="634"/>
      <c r="M71" s="384">
        <f>RANK(K71, K$67:$K$81)</f>
        <v>1</v>
      </c>
      <c r="N71" s="652"/>
      <c r="O71" s="652"/>
      <c r="P71" s="560">
        <v>17</v>
      </c>
      <c r="Q71" s="562">
        <v>1417.034899328859</v>
      </c>
      <c r="R71" s="562">
        <v>83.354994078168176</v>
      </c>
      <c r="S71" s="560">
        <f t="shared" si="52"/>
        <v>2</v>
      </c>
      <c r="T71" s="662"/>
      <c r="U71" s="560">
        <v>17</v>
      </c>
      <c r="V71" s="562">
        <v>1449.2406417112302</v>
      </c>
      <c r="W71" s="562">
        <v>85.249449512425301</v>
      </c>
      <c r="X71" s="560">
        <f t="shared" si="54"/>
        <v>1</v>
      </c>
      <c r="Y71" s="662"/>
      <c r="Z71" s="560">
        <v>17</v>
      </c>
      <c r="AA71" s="562">
        <v>1446.3849056603783</v>
      </c>
      <c r="AB71" s="562">
        <v>85.081465038845778</v>
      </c>
      <c r="AC71" s="560">
        <f t="shared" si="56"/>
        <v>1</v>
      </c>
      <c r="AD71" s="662"/>
      <c r="AE71" s="560">
        <v>17</v>
      </c>
      <c r="AF71" s="562">
        <v>1421.1940298507463</v>
      </c>
      <c r="AG71" s="562">
        <v>83.599648814749784</v>
      </c>
      <c r="AH71" s="560">
        <f t="shared" si="58"/>
        <v>1</v>
      </c>
      <c r="AI71" s="662"/>
      <c r="AJ71" s="560">
        <v>17</v>
      </c>
      <c r="AK71" s="562">
        <v>1446.8674698795185</v>
      </c>
      <c r="AL71" s="562">
        <v>85.109851169383433</v>
      </c>
      <c r="AM71" s="560">
        <f t="shared" si="60"/>
        <v>1</v>
      </c>
      <c r="AN71" s="662"/>
      <c r="AO71" s="560">
        <v>17</v>
      </c>
      <c r="AP71" s="562">
        <v>1431.4426229508194</v>
      </c>
      <c r="AQ71" s="562">
        <v>84.202507232401146</v>
      </c>
      <c r="AR71" s="560">
        <f t="shared" si="62"/>
        <v>2</v>
      </c>
      <c r="AS71" s="662"/>
      <c r="AT71" s="560">
        <v>17</v>
      </c>
      <c r="AU71" s="562">
        <v>1459.9999999999998</v>
      </c>
      <c r="AV71" s="562">
        <v>85.882352941176464</v>
      </c>
      <c r="AW71" s="560">
        <f t="shared" si="64"/>
        <v>1</v>
      </c>
      <c r="AX71" s="662"/>
      <c r="AZ71" s="368" t="e">
        <f t="shared" si="66"/>
        <v>#N/A</v>
      </c>
      <c r="BA71" s="675"/>
    </row>
    <row r="72" spans="2:53">
      <c r="B72" s="660"/>
      <c r="C72" s="380">
        <v>6</v>
      </c>
      <c r="D72" s="225"/>
      <c r="E72" s="531"/>
      <c r="F72" s="530"/>
      <c r="G72" s="532"/>
      <c r="H72" s="692"/>
      <c r="I72" s="381" t="str">
        <f t="shared" si="49"/>
        <v>-</v>
      </c>
      <c r="J72" s="381" t="str">
        <f t="shared" si="50"/>
        <v>-</v>
      </c>
      <c r="K72" s="199" t="str">
        <f t="shared" si="51"/>
        <v>-</v>
      </c>
      <c r="L72" s="634"/>
      <c r="M72" s="384" t="e">
        <f>RANK(K72, K$67:$K$81)</f>
        <v>#VALUE!</v>
      </c>
      <c r="N72" s="652"/>
      <c r="O72" s="652"/>
      <c r="P72" s="560" t="s">
        <v>585</v>
      </c>
      <c r="Q72" s="562" t="s">
        <v>585</v>
      </c>
      <c r="R72" s="562" t="s">
        <v>585</v>
      </c>
      <c r="S72" s="560" t="e">
        <f t="shared" si="52"/>
        <v>#VALUE!</v>
      </c>
      <c r="T72" s="662"/>
      <c r="U72" s="560" t="s">
        <v>585</v>
      </c>
      <c r="V72" s="562" t="s">
        <v>585</v>
      </c>
      <c r="W72" s="562" t="s">
        <v>585</v>
      </c>
      <c r="X72" s="560" t="e">
        <f t="shared" si="54"/>
        <v>#VALUE!</v>
      </c>
      <c r="Y72" s="662"/>
      <c r="Z72" s="560" t="s">
        <v>585</v>
      </c>
      <c r="AA72" s="562" t="s">
        <v>585</v>
      </c>
      <c r="AB72" s="562" t="s">
        <v>585</v>
      </c>
      <c r="AC72" s="560" t="e">
        <f t="shared" si="56"/>
        <v>#VALUE!</v>
      </c>
      <c r="AD72" s="662"/>
      <c r="AE72" s="560" t="s">
        <v>585</v>
      </c>
      <c r="AF72" s="562" t="s">
        <v>585</v>
      </c>
      <c r="AG72" s="562" t="s">
        <v>585</v>
      </c>
      <c r="AH72" s="560" t="e">
        <f t="shared" si="58"/>
        <v>#VALUE!</v>
      </c>
      <c r="AI72" s="662"/>
      <c r="AJ72" s="560" t="s">
        <v>585</v>
      </c>
      <c r="AK72" s="562" t="s">
        <v>585</v>
      </c>
      <c r="AL72" s="562" t="s">
        <v>585</v>
      </c>
      <c r="AM72" s="560" t="e">
        <f t="shared" si="60"/>
        <v>#VALUE!</v>
      </c>
      <c r="AN72" s="662"/>
      <c r="AO72" s="560" t="s">
        <v>585</v>
      </c>
      <c r="AP72" s="562" t="s">
        <v>585</v>
      </c>
      <c r="AQ72" s="562" t="s">
        <v>585</v>
      </c>
      <c r="AR72" s="560" t="e">
        <f t="shared" si="62"/>
        <v>#VALUE!</v>
      </c>
      <c r="AS72" s="662"/>
      <c r="AT72" s="560" t="s">
        <v>585</v>
      </c>
      <c r="AU72" s="562" t="s">
        <v>585</v>
      </c>
      <c r="AV72" s="562" t="s">
        <v>585</v>
      </c>
      <c r="AW72" s="560" t="e">
        <f t="shared" si="64"/>
        <v>#VALUE!</v>
      </c>
      <c r="AX72" s="662"/>
      <c r="AZ72" s="368" t="e">
        <f t="shared" si="66"/>
        <v>#N/A</v>
      </c>
      <c r="BA72" s="675"/>
    </row>
    <row r="73" spans="2:53">
      <c r="B73" s="660"/>
      <c r="C73" s="380">
        <v>7</v>
      </c>
      <c r="D73" s="225"/>
      <c r="E73" s="531"/>
      <c r="F73" s="530"/>
      <c r="G73" s="532"/>
      <c r="H73" s="692"/>
      <c r="I73" s="381" t="str">
        <f t="shared" si="49"/>
        <v>-</v>
      </c>
      <c r="J73" s="381" t="str">
        <f t="shared" si="50"/>
        <v>-</v>
      </c>
      <c r="K73" s="199" t="str">
        <f t="shared" si="51"/>
        <v>-</v>
      </c>
      <c r="L73" s="634"/>
      <c r="M73" s="384" t="e">
        <f>RANK(K73, K$67:$K$81)</f>
        <v>#VALUE!</v>
      </c>
      <c r="N73" s="652"/>
      <c r="O73" s="652"/>
      <c r="P73" s="560" t="s">
        <v>585</v>
      </c>
      <c r="Q73" s="562" t="s">
        <v>585</v>
      </c>
      <c r="R73" s="562" t="s">
        <v>585</v>
      </c>
      <c r="S73" s="560" t="e">
        <f t="shared" si="52"/>
        <v>#VALUE!</v>
      </c>
      <c r="T73" s="662"/>
      <c r="U73" s="560" t="s">
        <v>585</v>
      </c>
      <c r="V73" s="562" t="s">
        <v>585</v>
      </c>
      <c r="W73" s="562" t="s">
        <v>585</v>
      </c>
      <c r="X73" s="560" t="e">
        <f t="shared" si="54"/>
        <v>#VALUE!</v>
      </c>
      <c r="Y73" s="662"/>
      <c r="Z73" s="560" t="s">
        <v>585</v>
      </c>
      <c r="AA73" s="562" t="s">
        <v>585</v>
      </c>
      <c r="AB73" s="562" t="s">
        <v>585</v>
      </c>
      <c r="AC73" s="560" t="e">
        <f t="shared" si="56"/>
        <v>#VALUE!</v>
      </c>
      <c r="AD73" s="662"/>
      <c r="AE73" s="560" t="s">
        <v>585</v>
      </c>
      <c r="AF73" s="562" t="s">
        <v>585</v>
      </c>
      <c r="AG73" s="562" t="s">
        <v>585</v>
      </c>
      <c r="AH73" s="560" t="e">
        <f t="shared" si="58"/>
        <v>#VALUE!</v>
      </c>
      <c r="AI73" s="662"/>
      <c r="AJ73" s="560" t="s">
        <v>585</v>
      </c>
      <c r="AK73" s="562" t="s">
        <v>585</v>
      </c>
      <c r="AL73" s="562" t="s">
        <v>585</v>
      </c>
      <c r="AM73" s="560" t="e">
        <f t="shared" si="60"/>
        <v>#VALUE!</v>
      </c>
      <c r="AN73" s="662"/>
      <c r="AO73" s="560" t="s">
        <v>585</v>
      </c>
      <c r="AP73" s="562" t="s">
        <v>585</v>
      </c>
      <c r="AQ73" s="562" t="s">
        <v>585</v>
      </c>
      <c r="AR73" s="560" t="e">
        <f t="shared" si="62"/>
        <v>#VALUE!</v>
      </c>
      <c r="AS73" s="662"/>
      <c r="AT73" s="560" t="s">
        <v>585</v>
      </c>
      <c r="AU73" s="562" t="s">
        <v>585</v>
      </c>
      <c r="AV73" s="562" t="s">
        <v>585</v>
      </c>
      <c r="AW73" s="560" t="e">
        <f t="shared" si="64"/>
        <v>#VALUE!</v>
      </c>
      <c r="AX73" s="662"/>
      <c r="AZ73" s="368" t="e">
        <f t="shared" si="66"/>
        <v>#N/A</v>
      </c>
      <c r="BA73" s="675"/>
    </row>
    <row r="74" spans="2:53">
      <c r="B74" s="660"/>
      <c r="C74" s="380">
        <v>8</v>
      </c>
      <c r="D74" s="225"/>
      <c r="E74" s="531"/>
      <c r="F74" s="530"/>
      <c r="G74" s="532"/>
      <c r="H74" s="692"/>
      <c r="I74" s="381" t="str">
        <f t="shared" si="49"/>
        <v>-</v>
      </c>
      <c r="J74" s="381" t="str">
        <f t="shared" si="50"/>
        <v>-</v>
      </c>
      <c r="K74" s="199" t="str">
        <f t="shared" si="51"/>
        <v>-</v>
      </c>
      <c r="L74" s="634"/>
      <c r="M74" s="384" t="e">
        <f>RANK(K74, K$67:$K$81)</f>
        <v>#VALUE!</v>
      </c>
      <c r="N74" s="652"/>
      <c r="O74" s="652"/>
      <c r="P74" s="560" t="s">
        <v>585</v>
      </c>
      <c r="Q74" s="562" t="s">
        <v>585</v>
      </c>
      <c r="R74" s="562" t="s">
        <v>585</v>
      </c>
      <c r="S74" s="560" t="e">
        <f t="shared" si="52"/>
        <v>#VALUE!</v>
      </c>
      <c r="T74" s="662"/>
      <c r="U74" s="560" t="s">
        <v>585</v>
      </c>
      <c r="V74" s="562" t="s">
        <v>585</v>
      </c>
      <c r="W74" s="562" t="s">
        <v>585</v>
      </c>
      <c r="X74" s="560" t="e">
        <f t="shared" si="54"/>
        <v>#VALUE!</v>
      </c>
      <c r="Y74" s="662"/>
      <c r="Z74" s="560" t="s">
        <v>585</v>
      </c>
      <c r="AA74" s="562" t="s">
        <v>585</v>
      </c>
      <c r="AB74" s="562" t="s">
        <v>585</v>
      </c>
      <c r="AC74" s="560" t="e">
        <f t="shared" si="56"/>
        <v>#VALUE!</v>
      </c>
      <c r="AD74" s="662"/>
      <c r="AE74" s="560" t="s">
        <v>585</v>
      </c>
      <c r="AF74" s="562" t="s">
        <v>585</v>
      </c>
      <c r="AG74" s="562" t="s">
        <v>585</v>
      </c>
      <c r="AH74" s="560" t="e">
        <f t="shared" si="58"/>
        <v>#VALUE!</v>
      </c>
      <c r="AI74" s="662"/>
      <c r="AJ74" s="560" t="s">
        <v>585</v>
      </c>
      <c r="AK74" s="562" t="s">
        <v>585</v>
      </c>
      <c r="AL74" s="562" t="s">
        <v>585</v>
      </c>
      <c r="AM74" s="560" t="e">
        <f t="shared" si="60"/>
        <v>#VALUE!</v>
      </c>
      <c r="AN74" s="662"/>
      <c r="AO74" s="560" t="s">
        <v>585</v>
      </c>
      <c r="AP74" s="562" t="s">
        <v>585</v>
      </c>
      <c r="AQ74" s="562" t="s">
        <v>585</v>
      </c>
      <c r="AR74" s="560" t="e">
        <f t="shared" si="62"/>
        <v>#VALUE!</v>
      </c>
      <c r="AS74" s="662"/>
      <c r="AT74" s="560" t="s">
        <v>585</v>
      </c>
      <c r="AU74" s="562" t="s">
        <v>585</v>
      </c>
      <c r="AV74" s="562" t="s">
        <v>585</v>
      </c>
      <c r="AW74" s="560" t="e">
        <f t="shared" si="64"/>
        <v>#VALUE!</v>
      </c>
      <c r="AX74" s="662"/>
      <c r="AZ74" s="368" t="e">
        <f t="shared" si="66"/>
        <v>#N/A</v>
      </c>
      <c r="BA74" s="675"/>
    </row>
    <row r="75" spans="2:53">
      <c r="B75" s="660"/>
      <c r="C75" s="380">
        <v>9</v>
      </c>
      <c r="D75" s="225"/>
      <c r="E75" s="531"/>
      <c r="F75" s="530"/>
      <c r="G75" s="532"/>
      <c r="H75" s="692"/>
      <c r="I75" s="381" t="str">
        <f t="shared" si="49"/>
        <v>-</v>
      </c>
      <c r="J75" s="381" t="str">
        <f t="shared" si="50"/>
        <v>-</v>
      </c>
      <c r="K75" s="199" t="str">
        <f t="shared" si="51"/>
        <v>-</v>
      </c>
      <c r="L75" s="634"/>
      <c r="M75" s="384" t="e">
        <f>RANK(K75, K$67:$K$81)</f>
        <v>#VALUE!</v>
      </c>
      <c r="N75" s="652"/>
      <c r="O75" s="652"/>
      <c r="P75" s="560" t="s">
        <v>585</v>
      </c>
      <c r="Q75" s="562" t="s">
        <v>585</v>
      </c>
      <c r="R75" s="562" t="s">
        <v>585</v>
      </c>
      <c r="S75" s="560" t="e">
        <f t="shared" si="52"/>
        <v>#VALUE!</v>
      </c>
      <c r="T75" s="662"/>
      <c r="U75" s="560" t="s">
        <v>585</v>
      </c>
      <c r="V75" s="562" t="s">
        <v>585</v>
      </c>
      <c r="W75" s="562" t="s">
        <v>585</v>
      </c>
      <c r="X75" s="560" t="e">
        <f t="shared" si="54"/>
        <v>#VALUE!</v>
      </c>
      <c r="Y75" s="662"/>
      <c r="Z75" s="560" t="s">
        <v>585</v>
      </c>
      <c r="AA75" s="562" t="s">
        <v>585</v>
      </c>
      <c r="AB75" s="562" t="s">
        <v>585</v>
      </c>
      <c r="AC75" s="560" t="e">
        <f t="shared" si="56"/>
        <v>#VALUE!</v>
      </c>
      <c r="AD75" s="662"/>
      <c r="AE75" s="560" t="s">
        <v>585</v>
      </c>
      <c r="AF75" s="562" t="s">
        <v>585</v>
      </c>
      <c r="AG75" s="562" t="s">
        <v>585</v>
      </c>
      <c r="AH75" s="560" t="e">
        <f t="shared" si="58"/>
        <v>#VALUE!</v>
      </c>
      <c r="AI75" s="662"/>
      <c r="AJ75" s="560" t="s">
        <v>585</v>
      </c>
      <c r="AK75" s="562" t="s">
        <v>585</v>
      </c>
      <c r="AL75" s="562" t="s">
        <v>585</v>
      </c>
      <c r="AM75" s="560" t="e">
        <f t="shared" si="60"/>
        <v>#VALUE!</v>
      </c>
      <c r="AN75" s="662"/>
      <c r="AO75" s="560" t="s">
        <v>585</v>
      </c>
      <c r="AP75" s="562" t="s">
        <v>585</v>
      </c>
      <c r="AQ75" s="562" t="s">
        <v>585</v>
      </c>
      <c r="AR75" s="560" t="e">
        <f t="shared" si="62"/>
        <v>#VALUE!</v>
      </c>
      <c r="AS75" s="662"/>
      <c r="AT75" s="560" t="s">
        <v>585</v>
      </c>
      <c r="AU75" s="562" t="s">
        <v>585</v>
      </c>
      <c r="AV75" s="562" t="s">
        <v>585</v>
      </c>
      <c r="AW75" s="560" t="e">
        <f t="shared" si="64"/>
        <v>#VALUE!</v>
      </c>
      <c r="AX75" s="662"/>
      <c r="AZ75" s="368" t="e">
        <f t="shared" si="66"/>
        <v>#N/A</v>
      </c>
      <c r="BA75" s="675"/>
    </row>
    <row r="76" spans="2:53">
      <c r="B76" s="660"/>
      <c r="C76" s="380">
        <v>10</v>
      </c>
      <c r="D76" s="225"/>
      <c r="E76" s="531"/>
      <c r="F76" s="530"/>
      <c r="G76" s="532"/>
      <c r="H76" s="692"/>
      <c r="I76" s="381" t="str">
        <f t="shared" si="49"/>
        <v>-</v>
      </c>
      <c r="J76" s="381" t="str">
        <f t="shared" si="50"/>
        <v>-</v>
      </c>
      <c r="K76" s="199" t="str">
        <f t="shared" si="51"/>
        <v>-</v>
      </c>
      <c r="L76" s="634"/>
      <c r="M76" s="384" t="e">
        <f>RANK(K76, K$67:$K$81)</f>
        <v>#VALUE!</v>
      </c>
      <c r="N76" s="652"/>
      <c r="O76" s="652"/>
      <c r="P76" s="560" t="s">
        <v>585</v>
      </c>
      <c r="Q76" s="562" t="s">
        <v>585</v>
      </c>
      <c r="R76" s="562" t="s">
        <v>585</v>
      </c>
      <c r="S76" s="560" t="e">
        <f t="shared" si="52"/>
        <v>#VALUE!</v>
      </c>
      <c r="T76" s="662"/>
      <c r="U76" s="560" t="s">
        <v>585</v>
      </c>
      <c r="V76" s="562" t="s">
        <v>585</v>
      </c>
      <c r="W76" s="562" t="s">
        <v>585</v>
      </c>
      <c r="X76" s="560" t="e">
        <f t="shared" si="54"/>
        <v>#VALUE!</v>
      </c>
      <c r="Y76" s="662"/>
      <c r="Z76" s="560" t="s">
        <v>585</v>
      </c>
      <c r="AA76" s="562" t="s">
        <v>585</v>
      </c>
      <c r="AB76" s="562" t="s">
        <v>585</v>
      </c>
      <c r="AC76" s="560" t="e">
        <f t="shared" si="56"/>
        <v>#VALUE!</v>
      </c>
      <c r="AD76" s="662"/>
      <c r="AE76" s="560" t="s">
        <v>585</v>
      </c>
      <c r="AF76" s="562" t="s">
        <v>585</v>
      </c>
      <c r="AG76" s="562" t="s">
        <v>585</v>
      </c>
      <c r="AH76" s="560" t="e">
        <f t="shared" si="58"/>
        <v>#VALUE!</v>
      </c>
      <c r="AI76" s="662"/>
      <c r="AJ76" s="560" t="s">
        <v>585</v>
      </c>
      <c r="AK76" s="562" t="s">
        <v>585</v>
      </c>
      <c r="AL76" s="562" t="s">
        <v>585</v>
      </c>
      <c r="AM76" s="560" t="e">
        <f t="shared" si="60"/>
        <v>#VALUE!</v>
      </c>
      <c r="AN76" s="662"/>
      <c r="AO76" s="560" t="s">
        <v>585</v>
      </c>
      <c r="AP76" s="562" t="s">
        <v>585</v>
      </c>
      <c r="AQ76" s="562" t="s">
        <v>585</v>
      </c>
      <c r="AR76" s="560" t="e">
        <f t="shared" si="62"/>
        <v>#VALUE!</v>
      </c>
      <c r="AS76" s="662"/>
      <c r="AT76" s="560" t="s">
        <v>585</v>
      </c>
      <c r="AU76" s="562" t="s">
        <v>585</v>
      </c>
      <c r="AV76" s="562" t="s">
        <v>585</v>
      </c>
      <c r="AW76" s="560" t="e">
        <f t="shared" si="64"/>
        <v>#VALUE!</v>
      </c>
      <c r="AX76" s="662"/>
      <c r="AZ76" s="368" t="e">
        <f t="shared" si="66"/>
        <v>#N/A</v>
      </c>
      <c r="BA76" s="675"/>
    </row>
    <row r="77" spans="2:53">
      <c r="B77" s="660"/>
      <c r="C77" s="380">
        <v>11</v>
      </c>
      <c r="D77" s="225"/>
      <c r="E77" s="531"/>
      <c r="F77" s="530"/>
      <c r="G77" s="532"/>
      <c r="H77" s="692"/>
      <c r="I77" s="381" t="str">
        <f t="shared" si="49"/>
        <v>-</v>
      </c>
      <c r="J77" s="381" t="str">
        <f t="shared" si="50"/>
        <v>-</v>
      </c>
      <c r="K77" s="199" t="str">
        <f t="shared" si="51"/>
        <v>-</v>
      </c>
      <c r="L77" s="634"/>
      <c r="M77" s="384" t="e">
        <f>RANK(K77, K$67:$K$81)</f>
        <v>#VALUE!</v>
      </c>
      <c r="N77" s="652"/>
      <c r="O77" s="652"/>
      <c r="P77" s="560" t="s">
        <v>585</v>
      </c>
      <c r="Q77" s="562" t="s">
        <v>585</v>
      </c>
      <c r="R77" s="562" t="s">
        <v>585</v>
      </c>
      <c r="S77" s="560" t="e">
        <f t="shared" si="52"/>
        <v>#VALUE!</v>
      </c>
      <c r="T77" s="662"/>
      <c r="U77" s="560" t="s">
        <v>585</v>
      </c>
      <c r="V77" s="562" t="s">
        <v>585</v>
      </c>
      <c r="W77" s="562" t="s">
        <v>585</v>
      </c>
      <c r="X77" s="560" t="e">
        <f t="shared" si="54"/>
        <v>#VALUE!</v>
      </c>
      <c r="Y77" s="662"/>
      <c r="Z77" s="560" t="s">
        <v>585</v>
      </c>
      <c r="AA77" s="562" t="s">
        <v>585</v>
      </c>
      <c r="AB77" s="562" t="s">
        <v>585</v>
      </c>
      <c r="AC77" s="560" t="e">
        <f t="shared" si="56"/>
        <v>#VALUE!</v>
      </c>
      <c r="AD77" s="662"/>
      <c r="AE77" s="560" t="s">
        <v>585</v>
      </c>
      <c r="AF77" s="562" t="s">
        <v>585</v>
      </c>
      <c r="AG77" s="562" t="s">
        <v>585</v>
      </c>
      <c r="AH77" s="560" t="e">
        <f t="shared" si="58"/>
        <v>#VALUE!</v>
      </c>
      <c r="AI77" s="662"/>
      <c r="AJ77" s="560" t="s">
        <v>585</v>
      </c>
      <c r="AK77" s="562" t="s">
        <v>585</v>
      </c>
      <c r="AL77" s="562" t="s">
        <v>585</v>
      </c>
      <c r="AM77" s="560" t="e">
        <f t="shared" si="60"/>
        <v>#VALUE!</v>
      </c>
      <c r="AN77" s="662"/>
      <c r="AO77" s="560" t="s">
        <v>585</v>
      </c>
      <c r="AP77" s="562" t="s">
        <v>585</v>
      </c>
      <c r="AQ77" s="562" t="s">
        <v>585</v>
      </c>
      <c r="AR77" s="560" t="e">
        <f t="shared" si="62"/>
        <v>#VALUE!</v>
      </c>
      <c r="AS77" s="662"/>
      <c r="AT77" s="560" t="s">
        <v>585</v>
      </c>
      <c r="AU77" s="562" t="s">
        <v>585</v>
      </c>
      <c r="AV77" s="562" t="s">
        <v>585</v>
      </c>
      <c r="AW77" s="560" t="e">
        <f t="shared" si="64"/>
        <v>#VALUE!</v>
      </c>
      <c r="AX77" s="662"/>
      <c r="AZ77" s="368" t="e">
        <f t="shared" si="66"/>
        <v>#N/A</v>
      </c>
      <c r="BA77" s="675"/>
    </row>
    <row r="78" spans="2:53">
      <c r="B78" s="660"/>
      <c r="C78" s="380">
        <v>12</v>
      </c>
      <c r="D78" s="225"/>
      <c r="E78" s="531"/>
      <c r="F78" s="530"/>
      <c r="G78" s="532"/>
      <c r="H78" s="692"/>
      <c r="I78" s="381" t="str">
        <f t="shared" si="49"/>
        <v>-</v>
      </c>
      <c r="J78" s="381" t="str">
        <f t="shared" si="50"/>
        <v>-</v>
      </c>
      <c r="K78" s="199" t="str">
        <f t="shared" si="51"/>
        <v>-</v>
      </c>
      <c r="L78" s="634"/>
      <c r="M78" s="384" t="e">
        <f>RANK(K78, K$67:$K$81)</f>
        <v>#VALUE!</v>
      </c>
      <c r="N78" s="652"/>
      <c r="O78" s="652"/>
      <c r="P78" s="560" t="s">
        <v>585</v>
      </c>
      <c r="Q78" s="562" t="s">
        <v>585</v>
      </c>
      <c r="R78" s="562" t="s">
        <v>585</v>
      </c>
      <c r="S78" s="560" t="e">
        <f t="shared" si="52"/>
        <v>#VALUE!</v>
      </c>
      <c r="T78" s="662"/>
      <c r="U78" s="560" t="s">
        <v>585</v>
      </c>
      <c r="V78" s="562" t="s">
        <v>585</v>
      </c>
      <c r="W78" s="562" t="s">
        <v>585</v>
      </c>
      <c r="X78" s="560" t="e">
        <f t="shared" si="54"/>
        <v>#VALUE!</v>
      </c>
      <c r="Y78" s="662"/>
      <c r="Z78" s="560" t="s">
        <v>585</v>
      </c>
      <c r="AA78" s="562" t="s">
        <v>585</v>
      </c>
      <c r="AB78" s="562" t="s">
        <v>585</v>
      </c>
      <c r="AC78" s="560" t="e">
        <f t="shared" si="56"/>
        <v>#VALUE!</v>
      </c>
      <c r="AD78" s="662"/>
      <c r="AE78" s="560" t="s">
        <v>585</v>
      </c>
      <c r="AF78" s="562" t="s">
        <v>585</v>
      </c>
      <c r="AG78" s="562" t="s">
        <v>585</v>
      </c>
      <c r="AH78" s="560" t="e">
        <f t="shared" si="58"/>
        <v>#VALUE!</v>
      </c>
      <c r="AI78" s="662"/>
      <c r="AJ78" s="560" t="s">
        <v>585</v>
      </c>
      <c r="AK78" s="562" t="s">
        <v>585</v>
      </c>
      <c r="AL78" s="562" t="s">
        <v>585</v>
      </c>
      <c r="AM78" s="560" t="e">
        <f t="shared" si="60"/>
        <v>#VALUE!</v>
      </c>
      <c r="AN78" s="662"/>
      <c r="AO78" s="560" t="s">
        <v>585</v>
      </c>
      <c r="AP78" s="562" t="s">
        <v>585</v>
      </c>
      <c r="AQ78" s="562" t="s">
        <v>585</v>
      </c>
      <c r="AR78" s="560" t="e">
        <f t="shared" si="62"/>
        <v>#VALUE!</v>
      </c>
      <c r="AS78" s="662"/>
      <c r="AT78" s="560" t="s">
        <v>585</v>
      </c>
      <c r="AU78" s="562" t="s">
        <v>585</v>
      </c>
      <c r="AV78" s="562" t="s">
        <v>585</v>
      </c>
      <c r="AW78" s="560" t="e">
        <f t="shared" si="64"/>
        <v>#VALUE!</v>
      </c>
      <c r="AX78" s="662"/>
      <c r="AZ78" s="368" t="e">
        <f t="shared" si="66"/>
        <v>#N/A</v>
      </c>
      <c r="BA78" s="675"/>
    </row>
    <row r="79" spans="2:53">
      <c r="B79" s="660"/>
      <c r="C79" s="380">
        <v>13</v>
      </c>
      <c r="D79" s="225"/>
      <c r="E79" s="531"/>
      <c r="F79" s="530"/>
      <c r="G79" s="532"/>
      <c r="H79" s="692"/>
      <c r="I79" s="381" t="str">
        <f t="shared" si="49"/>
        <v>-</v>
      </c>
      <c r="J79" s="381" t="str">
        <f t="shared" si="50"/>
        <v>-</v>
      </c>
      <c r="K79" s="199" t="str">
        <f t="shared" si="51"/>
        <v>-</v>
      </c>
      <c r="L79" s="634"/>
      <c r="M79" s="384" t="e">
        <f>RANK(K79, K$67:$K$81)</f>
        <v>#VALUE!</v>
      </c>
      <c r="N79" s="652"/>
      <c r="O79" s="652"/>
      <c r="P79" s="560" t="s">
        <v>585</v>
      </c>
      <c r="Q79" s="562" t="s">
        <v>585</v>
      </c>
      <c r="R79" s="562" t="s">
        <v>585</v>
      </c>
      <c r="S79" s="560" t="e">
        <f t="shared" si="52"/>
        <v>#VALUE!</v>
      </c>
      <c r="T79" s="662"/>
      <c r="U79" s="560" t="s">
        <v>585</v>
      </c>
      <c r="V79" s="562" t="s">
        <v>585</v>
      </c>
      <c r="W79" s="562" t="s">
        <v>585</v>
      </c>
      <c r="X79" s="560" t="e">
        <f t="shared" si="54"/>
        <v>#VALUE!</v>
      </c>
      <c r="Y79" s="662"/>
      <c r="Z79" s="560" t="s">
        <v>585</v>
      </c>
      <c r="AA79" s="562" t="s">
        <v>585</v>
      </c>
      <c r="AB79" s="562" t="s">
        <v>585</v>
      </c>
      <c r="AC79" s="560" t="e">
        <f t="shared" si="56"/>
        <v>#VALUE!</v>
      </c>
      <c r="AD79" s="662"/>
      <c r="AE79" s="560" t="s">
        <v>585</v>
      </c>
      <c r="AF79" s="562" t="s">
        <v>585</v>
      </c>
      <c r="AG79" s="562" t="s">
        <v>585</v>
      </c>
      <c r="AH79" s="560" t="e">
        <f t="shared" si="58"/>
        <v>#VALUE!</v>
      </c>
      <c r="AI79" s="662"/>
      <c r="AJ79" s="560" t="s">
        <v>585</v>
      </c>
      <c r="AK79" s="562" t="s">
        <v>585</v>
      </c>
      <c r="AL79" s="562" t="s">
        <v>585</v>
      </c>
      <c r="AM79" s="560" t="e">
        <f t="shared" si="60"/>
        <v>#VALUE!</v>
      </c>
      <c r="AN79" s="662"/>
      <c r="AO79" s="560" t="s">
        <v>585</v>
      </c>
      <c r="AP79" s="562" t="s">
        <v>585</v>
      </c>
      <c r="AQ79" s="562" t="s">
        <v>585</v>
      </c>
      <c r="AR79" s="560" t="e">
        <f t="shared" si="62"/>
        <v>#VALUE!</v>
      </c>
      <c r="AS79" s="662"/>
      <c r="AT79" s="560" t="s">
        <v>585</v>
      </c>
      <c r="AU79" s="562" t="s">
        <v>585</v>
      </c>
      <c r="AV79" s="562" t="s">
        <v>585</v>
      </c>
      <c r="AW79" s="560" t="e">
        <f t="shared" si="64"/>
        <v>#VALUE!</v>
      </c>
      <c r="AX79" s="662"/>
      <c r="AZ79" s="368" t="e">
        <f t="shared" si="66"/>
        <v>#N/A</v>
      </c>
      <c r="BA79" s="675"/>
    </row>
    <row r="80" spans="2:53">
      <c r="B80" s="660"/>
      <c r="C80" s="380">
        <v>14</v>
      </c>
      <c r="D80" s="225"/>
      <c r="E80" s="531"/>
      <c r="F80" s="530"/>
      <c r="G80" s="532"/>
      <c r="H80" s="692"/>
      <c r="I80" s="381" t="str">
        <f t="shared" si="49"/>
        <v>-</v>
      </c>
      <c r="J80" s="381" t="str">
        <f t="shared" si="50"/>
        <v>-</v>
      </c>
      <c r="K80" s="199" t="str">
        <f t="shared" si="51"/>
        <v>-</v>
      </c>
      <c r="L80" s="634"/>
      <c r="M80" s="384" t="e">
        <f>RANK(K80, K$67:$K$81)</f>
        <v>#VALUE!</v>
      </c>
      <c r="N80" s="652"/>
      <c r="O80" s="652"/>
      <c r="P80" s="560" t="s">
        <v>585</v>
      </c>
      <c r="Q80" s="562" t="s">
        <v>585</v>
      </c>
      <c r="R80" s="562" t="s">
        <v>585</v>
      </c>
      <c r="S80" s="560" t="e">
        <f t="shared" si="52"/>
        <v>#VALUE!</v>
      </c>
      <c r="T80" s="662"/>
      <c r="U80" s="560" t="s">
        <v>585</v>
      </c>
      <c r="V80" s="562" t="s">
        <v>585</v>
      </c>
      <c r="W80" s="562" t="s">
        <v>585</v>
      </c>
      <c r="X80" s="560" t="e">
        <f t="shared" si="54"/>
        <v>#VALUE!</v>
      </c>
      <c r="Y80" s="662"/>
      <c r="Z80" s="560" t="s">
        <v>585</v>
      </c>
      <c r="AA80" s="562" t="s">
        <v>585</v>
      </c>
      <c r="AB80" s="562" t="s">
        <v>585</v>
      </c>
      <c r="AC80" s="560" t="e">
        <f t="shared" si="56"/>
        <v>#VALUE!</v>
      </c>
      <c r="AD80" s="662"/>
      <c r="AE80" s="560" t="s">
        <v>585</v>
      </c>
      <c r="AF80" s="562" t="s">
        <v>585</v>
      </c>
      <c r="AG80" s="562" t="s">
        <v>585</v>
      </c>
      <c r="AH80" s="560" t="e">
        <f t="shared" si="58"/>
        <v>#VALUE!</v>
      </c>
      <c r="AI80" s="662"/>
      <c r="AJ80" s="560" t="s">
        <v>585</v>
      </c>
      <c r="AK80" s="562" t="s">
        <v>585</v>
      </c>
      <c r="AL80" s="562" t="s">
        <v>585</v>
      </c>
      <c r="AM80" s="560" t="e">
        <f t="shared" si="60"/>
        <v>#VALUE!</v>
      </c>
      <c r="AN80" s="662"/>
      <c r="AO80" s="560" t="s">
        <v>585</v>
      </c>
      <c r="AP80" s="562" t="s">
        <v>585</v>
      </c>
      <c r="AQ80" s="562" t="s">
        <v>585</v>
      </c>
      <c r="AR80" s="560" t="e">
        <f t="shared" si="62"/>
        <v>#VALUE!</v>
      </c>
      <c r="AS80" s="662"/>
      <c r="AT80" s="560" t="s">
        <v>585</v>
      </c>
      <c r="AU80" s="562" t="s">
        <v>585</v>
      </c>
      <c r="AV80" s="562" t="s">
        <v>585</v>
      </c>
      <c r="AW80" s="560" t="e">
        <f t="shared" si="64"/>
        <v>#VALUE!</v>
      </c>
      <c r="AX80" s="662"/>
      <c r="AZ80" s="368" t="e">
        <f t="shared" si="66"/>
        <v>#N/A</v>
      </c>
      <c r="BA80" s="675"/>
    </row>
    <row r="81" spans="2:53">
      <c r="B81" s="660"/>
      <c r="C81" s="380">
        <v>15</v>
      </c>
      <c r="D81" s="225"/>
      <c r="E81" s="531"/>
      <c r="F81" s="530"/>
      <c r="G81" s="532"/>
      <c r="H81" s="696"/>
      <c r="I81" s="380"/>
      <c r="J81" s="380"/>
      <c r="K81" s="380"/>
      <c r="L81" s="635"/>
      <c r="M81" s="384" t="e">
        <f>RANK(K81, K$67:$K$81)</f>
        <v>#N/A</v>
      </c>
      <c r="N81" s="652"/>
      <c r="O81" s="652"/>
      <c r="P81" s="560" t="s">
        <v>585</v>
      </c>
      <c r="Q81" s="562" t="s">
        <v>585</v>
      </c>
      <c r="R81" s="562" t="s">
        <v>585</v>
      </c>
      <c r="S81" s="560" t="e">
        <f t="shared" si="52"/>
        <v>#VALUE!</v>
      </c>
      <c r="T81" s="663"/>
      <c r="U81" s="560" t="s">
        <v>585</v>
      </c>
      <c r="V81" s="562" t="s">
        <v>585</v>
      </c>
      <c r="W81" s="562" t="s">
        <v>585</v>
      </c>
      <c r="X81" s="560" t="e">
        <f t="shared" si="54"/>
        <v>#VALUE!</v>
      </c>
      <c r="Y81" s="663"/>
      <c r="Z81" s="560" t="s">
        <v>585</v>
      </c>
      <c r="AA81" s="562" t="s">
        <v>585</v>
      </c>
      <c r="AB81" s="562" t="s">
        <v>585</v>
      </c>
      <c r="AC81" s="560" t="e">
        <f t="shared" si="56"/>
        <v>#VALUE!</v>
      </c>
      <c r="AD81" s="663"/>
      <c r="AE81" s="560" t="s">
        <v>585</v>
      </c>
      <c r="AF81" s="562" t="s">
        <v>585</v>
      </c>
      <c r="AG81" s="562" t="s">
        <v>585</v>
      </c>
      <c r="AH81" s="560" t="e">
        <f t="shared" si="58"/>
        <v>#VALUE!</v>
      </c>
      <c r="AI81" s="663"/>
      <c r="AJ81" s="560" t="s">
        <v>585</v>
      </c>
      <c r="AK81" s="562" t="s">
        <v>585</v>
      </c>
      <c r="AL81" s="562" t="s">
        <v>585</v>
      </c>
      <c r="AM81" s="560" t="e">
        <f t="shared" si="60"/>
        <v>#VALUE!</v>
      </c>
      <c r="AN81" s="663"/>
      <c r="AO81" s="560" t="s">
        <v>585</v>
      </c>
      <c r="AP81" s="562" t="s">
        <v>585</v>
      </c>
      <c r="AQ81" s="562" t="s">
        <v>585</v>
      </c>
      <c r="AR81" s="560" t="e">
        <f t="shared" si="62"/>
        <v>#VALUE!</v>
      </c>
      <c r="AS81" s="663"/>
      <c r="AT81" s="560" t="s">
        <v>585</v>
      </c>
      <c r="AU81" s="562" t="s">
        <v>585</v>
      </c>
      <c r="AV81" s="562" t="s">
        <v>585</v>
      </c>
      <c r="AW81" s="560" t="e">
        <f t="shared" si="64"/>
        <v>#VALUE!</v>
      </c>
      <c r="AX81" s="663"/>
      <c r="AZ81" s="368" t="e">
        <f t="shared" si="66"/>
        <v>#N/A</v>
      </c>
      <c r="BA81" s="676"/>
    </row>
    <row r="82" spans="2:53" ht="15.75">
      <c r="B82" s="664" t="s">
        <v>162</v>
      </c>
      <c r="C82" s="665"/>
      <c r="D82" s="665"/>
      <c r="E82" s="665"/>
      <c r="F82" s="665"/>
      <c r="G82" s="665"/>
      <c r="H82" s="666"/>
      <c r="I82" s="207"/>
      <c r="J82" s="207"/>
      <c r="K82" s="207"/>
      <c r="L82" s="207"/>
      <c r="M82" s="206"/>
      <c r="N82" s="653" t="s">
        <v>156</v>
      </c>
      <c r="O82" s="653" t="s">
        <v>105</v>
      </c>
      <c r="P82" s="659">
        <f>P62+7</f>
        <v>46259</v>
      </c>
      <c r="Q82" s="660"/>
      <c r="R82" s="660"/>
      <c r="S82" s="660"/>
      <c r="T82" s="660"/>
      <c r="U82" s="656">
        <f>P82+1</f>
        <v>46260</v>
      </c>
      <c r="V82" s="657"/>
      <c r="W82" s="657"/>
      <c r="X82" s="657"/>
      <c r="Y82" s="658"/>
      <c r="Z82" s="656">
        <f>U82+1</f>
        <v>46261</v>
      </c>
      <c r="AA82" s="657"/>
      <c r="AB82" s="657"/>
      <c r="AC82" s="657"/>
      <c r="AD82" s="658"/>
      <c r="AE82" s="656">
        <f>Z82+1</f>
        <v>46262</v>
      </c>
      <c r="AF82" s="657"/>
      <c r="AG82" s="657"/>
      <c r="AH82" s="657"/>
      <c r="AI82" s="658"/>
      <c r="AJ82" s="656">
        <f>AE82+1</f>
        <v>46263</v>
      </c>
      <c r="AK82" s="657"/>
      <c r="AL82" s="657"/>
      <c r="AM82" s="657"/>
      <c r="AN82" s="658"/>
      <c r="AO82" s="656">
        <f>AJ82+1</f>
        <v>46264</v>
      </c>
      <c r="AP82" s="657"/>
      <c r="AQ82" s="657"/>
      <c r="AR82" s="657"/>
      <c r="AS82" s="658"/>
      <c r="AT82" s="656">
        <f>AO82+1</f>
        <v>46265</v>
      </c>
      <c r="AU82" s="657"/>
      <c r="AV82" s="657"/>
      <c r="AW82" s="657"/>
      <c r="AX82" s="658"/>
    </row>
    <row r="83" spans="2:53" ht="15.75">
      <c r="B83" s="667"/>
      <c r="C83" s="667"/>
      <c r="D83" s="667"/>
      <c r="E83" s="667"/>
      <c r="F83" s="667"/>
      <c r="G83" s="667"/>
      <c r="H83" s="667"/>
      <c r="I83" s="204"/>
      <c r="J83" s="204"/>
      <c r="K83" s="204"/>
      <c r="L83" s="204"/>
      <c r="M83" s="205"/>
      <c r="N83" s="655"/>
      <c r="O83" s="655"/>
      <c r="P83" s="659" t="s">
        <v>317</v>
      </c>
      <c r="Q83" s="660"/>
      <c r="R83" s="660"/>
      <c r="S83" s="660"/>
      <c r="T83" s="660"/>
      <c r="U83" s="659" t="s">
        <v>318</v>
      </c>
      <c r="V83" s="660"/>
      <c r="W83" s="660"/>
      <c r="X83" s="660"/>
      <c r="Y83" s="660"/>
      <c r="Z83" s="659" t="s">
        <v>319</v>
      </c>
      <c r="AA83" s="660"/>
      <c r="AB83" s="660"/>
      <c r="AC83" s="660"/>
      <c r="AD83" s="660"/>
      <c r="AE83" s="659" t="s">
        <v>320</v>
      </c>
      <c r="AF83" s="660"/>
      <c r="AG83" s="660"/>
      <c r="AH83" s="660"/>
      <c r="AI83" s="660"/>
      <c r="AJ83" s="659" t="s">
        <v>321</v>
      </c>
      <c r="AK83" s="660"/>
      <c r="AL83" s="660"/>
      <c r="AM83" s="660"/>
      <c r="AN83" s="660"/>
      <c r="AO83" s="659" t="s">
        <v>322</v>
      </c>
      <c r="AP83" s="660"/>
      <c r="AQ83" s="660"/>
      <c r="AR83" s="660"/>
      <c r="AS83" s="660"/>
      <c r="AT83" s="659" t="s">
        <v>323</v>
      </c>
      <c r="AU83" s="660"/>
      <c r="AV83" s="660"/>
      <c r="AW83" s="660"/>
      <c r="AX83" s="660"/>
    </row>
    <row r="84" spans="2:53">
      <c r="B84" s="652" t="s">
        <v>389</v>
      </c>
      <c r="C84" s="652" t="s">
        <v>532</v>
      </c>
      <c r="D84" s="652"/>
      <c r="E84" s="652" t="s">
        <v>533</v>
      </c>
      <c r="F84" s="652"/>
      <c r="G84" s="652"/>
      <c r="H84" s="668" t="s">
        <v>534</v>
      </c>
      <c r="I84" s="652" t="s">
        <v>535</v>
      </c>
      <c r="J84" s="652"/>
      <c r="K84" s="652"/>
      <c r="L84" s="668" t="s">
        <v>366</v>
      </c>
      <c r="M84" s="653" t="s">
        <v>536</v>
      </c>
      <c r="N84" s="652"/>
      <c r="O84" s="652" t="s">
        <v>537</v>
      </c>
      <c r="P84" s="649" t="s">
        <v>368</v>
      </c>
      <c r="Q84" s="650"/>
      <c r="R84" s="650"/>
      <c r="S84" s="651"/>
      <c r="T84" s="652" t="s">
        <v>366</v>
      </c>
      <c r="U84" s="649" t="s">
        <v>368</v>
      </c>
      <c r="V84" s="650"/>
      <c r="W84" s="650"/>
      <c r="X84" s="651"/>
      <c r="Y84" s="652" t="s">
        <v>366</v>
      </c>
      <c r="Z84" s="649" t="s">
        <v>368</v>
      </c>
      <c r="AA84" s="650"/>
      <c r="AB84" s="650"/>
      <c r="AC84" s="651"/>
      <c r="AD84" s="652" t="s">
        <v>366</v>
      </c>
      <c r="AE84" s="649" t="s">
        <v>368</v>
      </c>
      <c r="AF84" s="650"/>
      <c r="AG84" s="650"/>
      <c r="AH84" s="651"/>
      <c r="AI84" s="652" t="s">
        <v>366</v>
      </c>
      <c r="AJ84" s="649" t="s">
        <v>368</v>
      </c>
      <c r="AK84" s="650"/>
      <c r="AL84" s="650"/>
      <c r="AM84" s="651"/>
      <c r="AN84" s="652" t="s">
        <v>366</v>
      </c>
      <c r="AO84" s="649" t="s">
        <v>368</v>
      </c>
      <c r="AP84" s="650"/>
      <c r="AQ84" s="650"/>
      <c r="AR84" s="651"/>
      <c r="AS84" s="652" t="s">
        <v>366</v>
      </c>
      <c r="AT84" s="649" t="s">
        <v>368</v>
      </c>
      <c r="AU84" s="650"/>
      <c r="AV84" s="650"/>
      <c r="AW84" s="651"/>
      <c r="AX84" s="652" t="s">
        <v>366</v>
      </c>
      <c r="BA84" s="652" t="s">
        <v>366</v>
      </c>
    </row>
    <row r="85" spans="2:53">
      <c r="B85" s="652"/>
      <c r="C85" s="652"/>
      <c r="D85" s="652"/>
      <c r="E85" s="652" t="s">
        <v>538</v>
      </c>
      <c r="F85" s="652"/>
      <c r="G85" s="652"/>
      <c r="H85" s="669"/>
      <c r="I85" s="652" t="s">
        <v>538</v>
      </c>
      <c r="J85" s="652"/>
      <c r="K85" s="652"/>
      <c r="L85" s="669"/>
      <c r="M85" s="654"/>
      <c r="N85" s="652"/>
      <c r="O85" s="652"/>
      <c r="P85" s="649" t="s">
        <v>374</v>
      </c>
      <c r="Q85" s="650"/>
      <c r="R85" s="650"/>
      <c r="S85" s="651"/>
      <c r="T85" s="652"/>
      <c r="U85" s="649" t="s">
        <v>374</v>
      </c>
      <c r="V85" s="650"/>
      <c r="W85" s="650"/>
      <c r="X85" s="651"/>
      <c r="Y85" s="652"/>
      <c r="Z85" s="649" t="s">
        <v>374</v>
      </c>
      <c r="AA85" s="650"/>
      <c r="AB85" s="650"/>
      <c r="AC85" s="651"/>
      <c r="AD85" s="652"/>
      <c r="AE85" s="649" t="s">
        <v>374</v>
      </c>
      <c r="AF85" s="650"/>
      <c r="AG85" s="650"/>
      <c r="AH85" s="651"/>
      <c r="AI85" s="652"/>
      <c r="AJ85" s="649" t="s">
        <v>374</v>
      </c>
      <c r="AK85" s="650"/>
      <c r="AL85" s="650"/>
      <c r="AM85" s="651"/>
      <c r="AN85" s="652"/>
      <c r="AO85" s="649" t="s">
        <v>374</v>
      </c>
      <c r="AP85" s="650"/>
      <c r="AQ85" s="650"/>
      <c r="AR85" s="651"/>
      <c r="AS85" s="652"/>
      <c r="AT85" s="649" t="s">
        <v>374</v>
      </c>
      <c r="AU85" s="650"/>
      <c r="AV85" s="650"/>
      <c r="AW85" s="651"/>
      <c r="AX85" s="652"/>
      <c r="BA85" s="652"/>
    </row>
    <row r="86" spans="2:53">
      <c r="B86" s="652"/>
      <c r="C86" s="652"/>
      <c r="D86" s="652"/>
      <c r="E86" s="378" t="s">
        <v>539</v>
      </c>
      <c r="F86" s="378" t="s">
        <v>540</v>
      </c>
      <c r="G86" s="378" t="s">
        <v>541</v>
      </c>
      <c r="H86" s="670"/>
      <c r="I86" s="378" t="s">
        <v>539</v>
      </c>
      <c r="J86" s="378" t="s">
        <v>540</v>
      </c>
      <c r="K86" s="378" t="s">
        <v>541</v>
      </c>
      <c r="L86" s="670"/>
      <c r="M86" s="655"/>
      <c r="N86" s="652"/>
      <c r="O86" s="652"/>
      <c r="P86" s="378" t="s">
        <v>375</v>
      </c>
      <c r="Q86" s="378" t="s">
        <v>376</v>
      </c>
      <c r="R86" s="378" t="s">
        <v>377</v>
      </c>
      <c r="S86" s="378" t="s">
        <v>367</v>
      </c>
      <c r="T86" s="652"/>
      <c r="U86" s="378" t="s">
        <v>375</v>
      </c>
      <c r="V86" s="378" t="s">
        <v>376</v>
      </c>
      <c r="W86" s="378" t="s">
        <v>377</v>
      </c>
      <c r="X86" s="378" t="s">
        <v>367</v>
      </c>
      <c r="Y86" s="652"/>
      <c r="Z86" s="378" t="s">
        <v>375</v>
      </c>
      <c r="AA86" s="378" t="s">
        <v>376</v>
      </c>
      <c r="AB86" s="378" t="s">
        <v>377</v>
      </c>
      <c r="AC86" s="378" t="s">
        <v>367</v>
      </c>
      <c r="AD86" s="652"/>
      <c r="AE86" s="378" t="s">
        <v>375</v>
      </c>
      <c r="AF86" s="378" t="s">
        <v>376</v>
      </c>
      <c r="AG86" s="378" t="s">
        <v>377</v>
      </c>
      <c r="AH86" s="378" t="s">
        <v>367</v>
      </c>
      <c r="AI86" s="652"/>
      <c r="AJ86" s="378" t="s">
        <v>375</v>
      </c>
      <c r="AK86" s="378" t="s">
        <v>376</v>
      </c>
      <c r="AL86" s="378" t="s">
        <v>377</v>
      </c>
      <c r="AM86" s="378" t="s">
        <v>367</v>
      </c>
      <c r="AN86" s="652"/>
      <c r="AO86" s="378" t="s">
        <v>375</v>
      </c>
      <c r="AP86" s="378" t="s">
        <v>376</v>
      </c>
      <c r="AQ86" s="378" t="s">
        <v>377</v>
      </c>
      <c r="AR86" s="378" t="s">
        <v>367</v>
      </c>
      <c r="AS86" s="652"/>
      <c r="AT86" s="378" t="s">
        <v>375</v>
      </c>
      <c r="AU86" s="378" t="s">
        <v>376</v>
      </c>
      <c r="AV86" s="378" t="s">
        <v>377</v>
      </c>
      <c r="AW86" s="378" t="s">
        <v>367</v>
      </c>
      <c r="AX86" s="652"/>
      <c r="AZ86" s="367" t="s">
        <v>367</v>
      </c>
      <c r="BA86" s="652"/>
    </row>
    <row r="87" spans="2:53">
      <c r="B87" s="652" t="s">
        <v>406</v>
      </c>
      <c r="C87" s="380">
        <v>1</v>
      </c>
      <c r="D87" s="225" t="s">
        <v>587</v>
      </c>
      <c r="E87" s="516">
        <v>17</v>
      </c>
      <c r="F87" s="513">
        <v>1565</v>
      </c>
      <c r="G87" s="512">
        <v>92.058823529411768</v>
      </c>
      <c r="H87" s="691">
        <f>AVERAGE(G87:G101)</f>
        <v>89.980936819172129</v>
      </c>
      <c r="I87" s="381">
        <f t="shared" ref="I87:I100" si="68">IFERROR(AVERAGE(P87,U87,Z87,AE87,AJ87,AO87,AT87),"-")</f>
        <v>17</v>
      </c>
      <c r="J87" s="381">
        <f t="shared" ref="J87:J100" si="69">IFERROR(AVERAGE(Q87,V87,AA87,AF87,AK87,AP87,AU87),"-")</f>
        <v>1395.279137213837</v>
      </c>
      <c r="K87" s="199">
        <f t="shared" ref="K87:K100" si="70">IFERROR(AVERAGE(R87,W87,AB87,AG87,AL87,AQ87,AV87),"-")</f>
        <v>82.075243365519825</v>
      </c>
      <c r="L87" s="633">
        <f>IFERROR(AVERAGE(K87:K101),"-")</f>
        <v>80.888180902499485</v>
      </c>
      <c r="M87" s="384">
        <f>RANK(K87, K$87:$K$101)</f>
        <v>3</v>
      </c>
      <c r="N87" s="652"/>
      <c r="O87" s="652"/>
      <c r="P87" s="571">
        <v>17</v>
      </c>
      <c r="Q87" s="573">
        <v>1382.5972602739726</v>
      </c>
      <c r="R87" s="573">
        <v>81.32925060435133</v>
      </c>
      <c r="S87" s="571">
        <f t="shared" ref="S87:S101" si="71">RANK(R87, R$87:R$101)</f>
        <v>3</v>
      </c>
      <c r="T87" s="661">
        <f t="shared" ref="T87" si="72">AVERAGE(R87:R101)</f>
        <v>80.98900363597842</v>
      </c>
      <c r="U87" s="571">
        <v>17</v>
      </c>
      <c r="V87" s="573">
        <v>1413.818181818182</v>
      </c>
      <c r="W87" s="573">
        <v>83.165775401069524</v>
      </c>
      <c r="X87" s="571">
        <f t="shared" ref="X87:X101" si="73">RANK(W87, W$87:W$101)</f>
        <v>3</v>
      </c>
      <c r="Y87" s="685">
        <f t="shared" ref="Y87" si="74">AVERAGE(W87:W101)</f>
        <v>81.153887926552358</v>
      </c>
      <c r="Z87" s="571">
        <v>17</v>
      </c>
      <c r="AA87" s="573">
        <v>1397.260273972603</v>
      </c>
      <c r="AB87" s="573">
        <v>82.191780821917831</v>
      </c>
      <c r="AC87" s="571">
        <f t="shared" ref="AC87:AC101" si="75">RANK(AB87, AB$87:AB$101)</f>
        <v>3</v>
      </c>
      <c r="AD87" s="685">
        <f t="shared" ref="AD87" si="76">AVERAGE(AB87:AB101)</f>
        <v>81.013800524770048</v>
      </c>
      <c r="AE87" s="571">
        <v>17</v>
      </c>
      <c r="AF87" s="573">
        <v>1382.5210084033617</v>
      </c>
      <c r="AG87" s="573">
        <v>81.324765200197746</v>
      </c>
      <c r="AH87" s="571">
        <f t="shared" ref="AH87:AH101" si="77">RANK(AG87, AG$87:AG$101)</f>
        <v>3</v>
      </c>
      <c r="AI87" s="685">
        <f t="shared" ref="AI87" si="78">AVERAGE(AG87:AG101)</f>
        <v>80.411886665277322</v>
      </c>
      <c r="AJ87" s="571">
        <v>17</v>
      </c>
      <c r="AK87" s="573">
        <v>1399.8529411764707</v>
      </c>
      <c r="AL87" s="573">
        <v>82.344290657439458</v>
      </c>
      <c r="AM87" s="571">
        <f t="shared" ref="AM87:AM101" si="79">RANK(AL87, AL$87:AL$101)</f>
        <v>3</v>
      </c>
      <c r="AN87" s="685">
        <f t="shared" ref="AN87" si="80">AVERAGE(AL87:AL101)</f>
        <v>80.763303859423331</v>
      </c>
      <c r="AO87" s="571">
        <v>17</v>
      </c>
      <c r="AP87" s="573">
        <v>1381.2716417910449</v>
      </c>
      <c r="AQ87" s="573">
        <v>81.251273046532049</v>
      </c>
      <c r="AR87" s="571">
        <f t="shared" ref="AR87:AR101" si="81">RANK(AQ87, AQ$87:AQ$101)</f>
        <v>3</v>
      </c>
      <c r="AS87" s="685">
        <f t="shared" ref="AS87" si="82">AVERAGE(AQ87:AQ101)</f>
        <v>80.783364503196637</v>
      </c>
      <c r="AT87" s="571">
        <v>17</v>
      </c>
      <c r="AU87" s="573">
        <v>1409.632653061225</v>
      </c>
      <c r="AV87" s="573">
        <v>82.919567827130891</v>
      </c>
      <c r="AW87" s="571">
        <f t="shared" ref="AW87:AW101" si="83">RANK(AV87, AV$87:AV$101)</f>
        <v>3</v>
      </c>
      <c r="AX87" s="685">
        <f t="shared" ref="AX87" si="84">AVERAGE(AV87:AV101)</f>
        <v>81.10201920229828</v>
      </c>
      <c r="AZ87" s="368" t="e">
        <f t="shared" ref="AZ87:AZ101" si="85">RANK(AY87, AY$87:AY$101)</f>
        <v>#N/A</v>
      </c>
      <c r="BA87" s="685" t="e">
        <f t="shared" ref="BA87" si="86">AVERAGE(AY87:AY101)</f>
        <v>#DIV/0!</v>
      </c>
    </row>
    <row r="88" spans="2:53">
      <c r="B88" s="660"/>
      <c r="C88" s="380">
        <v>2</v>
      </c>
      <c r="D88" s="225" t="s">
        <v>615</v>
      </c>
      <c r="E88" s="516">
        <v>18</v>
      </c>
      <c r="F88" s="513">
        <v>1565</v>
      </c>
      <c r="G88" s="512">
        <v>86.944444444444443</v>
      </c>
      <c r="H88" s="692"/>
      <c r="I88" s="381">
        <f t="shared" si="68"/>
        <v>18</v>
      </c>
      <c r="J88" s="381">
        <f t="shared" si="69"/>
        <v>1434.8450375932375</v>
      </c>
      <c r="K88" s="199">
        <f t="shared" si="70"/>
        <v>79.713613199624319</v>
      </c>
      <c r="L88" s="634"/>
      <c r="M88" s="422">
        <f>RANK(K88, K$87:$K$101)</f>
        <v>4</v>
      </c>
      <c r="N88" s="652"/>
      <c r="O88" s="652"/>
      <c r="P88" s="571">
        <v>18</v>
      </c>
      <c r="Q88" s="573">
        <v>1449.0697674418602</v>
      </c>
      <c r="R88" s="573">
        <v>80.503875968992233</v>
      </c>
      <c r="S88" s="571">
        <f t="shared" si="71"/>
        <v>4</v>
      </c>
      <c r="T88" s="662"/>
      <c r="U88" s="571">
        <v>18</v>
      </c>
      <c r="V88" s="573">
        <v>1452.7499999999995</v>
      </c>
      <c r="W88" s="573">
        <v>80.708333333333314</v>
      </c>
      <c r="X88" s="571">
        <f t="shared" si="73"/>
        <v>4</v>
      </c>
      <c r="Y88" s="685"/>
      <c r="Z88" s="571">
        <v>18</v>
      </c>
      <c r="AA88" s="573">
        <v>1424.6153846153838</v>
      </c>
      <c r="AB88" s="573">
        <v>79.145299145299106</v>
      </c>
      <c r="AC88" s="571">
        <f t="shared" si="75"/>
        <v>4</v>
      </c>
      <c r="AD88" s="685"/>
      <c r="AE88" s="571">
        <v>18</v>
      </c>
      <c r="AF88" s="573">
        <v>1423.333333333333</v>
      </c>
      <c r="AG88" s="573">
        <v>79.074074074074062</v>
      </c>
      <c r="AH88" s="571">
        <f t="shared" si="77"/>
        <v>4</v>
      </c>
      <c r="AI88" s="685"/>
      <c r="AJ88" s="571">
        <v>18</v>
      </c>
      <c r="AK88" s="573">
        <v>1413.3333333333333</v>
      </c>
      <c r="AL88" s="573">
        <v>78.518518518518519</v>
      </c>
      <c r="AM88" s="571">
        <f t="shared" si="79"/>
        <v>4</v>
      </c>
      <c r="AN88" s="685"/>
      <c r="AO88" s="571">
        <v>18</v>
      </c>
      <c r="AP88" s="573">
        <v>1443.2876712328771</v>
      </c>
      <c r="AQ88" s="573">
        <v>80.182648401826498</v>
      </c>
      <c r="AR88" s="571">
        <f t="shared" si="81"/>
        <v>4</v>
      </c>
      <c r="AS88" s="685"/>
      <c r="AT88" s="571">
        <v>18</v>
      </c>
      <c r="AU88" s="573">
        <v>1437.5257731958768</v>
      </c>
      <c r="AV88" s="573">
        <v>79.862542955326489</v>
      </c>
      <c r="AW88" s="571">
        <f t="shared" si="83"/>
        <v>4</v>
      </c>
      <c r="AX88" s="685"/>
      <c r="AZ88" s="368" t="e">
        <f t="shared" si="85"/>
        <v>#N/A</v>
      </c>
      <c r="BA88" s="685"/>
    </row>
    <row r="89" spans="2:53">
      <c r="B89" s="660"/>
      <c r="C89" s="380">
        <v>3</v>
      </c>
      <c r="D89" s="225" t="s">
        <v>623</v>
      </c>
      <c r="E89" s="516">
        <v>17</v>
      </c>
      <c r="F89" s="513">
        <v>1565</v>
      </c>
      <c r="G89" s="512">
        <v>92.058823529411768</v>
      </c>
      <c r="H89" s="692"/>
      <c r="I89" s="381">
        <f t="shared" si="68"/>
        <v>17</v>
      </c>
      <c r="J89" s="381">
        <f t="shared" si="69"/>
        <v>1442.5993600901463</v>
      </c>
      <c r="K89" s="199">
        <f t="shared" si="70"/>
        <v>84.858785887655671</v>
      </c>
      <c r="L89" s="634"/>
      <c r="M89" s="422">
        <f>RANK(K89, K$87:$K$101)</f>
        <v>2</v>
      </c>
      <c r="N89" s="652"/>
      <c r="O89" s="652"/>
      <c r="P89" s="571">
        <v>17</v>
      </c>
      <c r="Q89" s="573">
        <v>1460.9638554216863</v>
      </c>
      <c r="R89" s="573">
        <v>85.939050318922725</v>
      </c>
      <c r="S89" s="571">
        <f t="shared" si="71"/>
        <v>1</v>
      </c>
      <c r="T89" s="662"/>
      <c r="U89" s="571">
        <v>17</v>
      </c>
      <c r="V89" s="573">
        <v>1440.76923076923</v>
      </c>
      <c r="W89" s="573">
        <v>84.751131221719419</v>
      </c>
      <c r="X89" s="571">
        <f t="shared" si="73"/>
        <v>1</v>
      </c>
      <c r="Y89" s="685"/>
      <c r="Z89" s="571">
        <v>17</v>
      </c>
      <c r="AA89" s="573">
        <v>1445.6</v>
      </c>
      <c r="AB89" s="573">
        <v>85.035294117647055</v>
      </c>
      <c r="AC89" s="571">
        <f t="shared" si="75"/>
        <v>2</v>
      </c>
      <c r="AD89" s="685"/>
      <c r="AE89" s="571">
        <v>17</v>
      </c>
      <c r="AF89" s="573">
        <v>1436.8695652173915</v>
      </c>
      <c r="AG89" s="573">
        <v>84.521739130434796</v>
      </c>
      <c r="AH89" s="571">
        <f t="shared" si="77"/>
        <v>2</v>
      </c>
      <c r="AI89" s="685"/>
      <c r="AJ89" s="571">
        <v>17</v>
      </c>
      <c r="AK89" s="573">
        <v>1442.1052631578948</v>
      </c>
      <c r="AL89" s="573">
        <v>84.829721362229108</v>
      </c>
      <c r="AM89" s="571">
        <f t="shared" si="79"/>
        <v>2</v>
      </c>
      <c r="AN89" s="685"/>
      <c r="AO89" s="571">
        <v>17</v>
      </c>
      <c r="AP89" s="573">
        <v>1438.4810126582279</v>
      </c>
      <c r="AQ89" s="573">
        <v>84.616530156366352</v>
      </c>
      <c r="AR89" s="571">
        <f t="shared" si="81"/>
        <v>1</v>
      </c>
      <c r="AS89" s="685"/>
      <c r="AT89" s="571">
        <v>17</v>
      </c>
      <c r="AU89" s="573">
        <v>1433.4065934065934</v>
      </c>
      <c r="AV89" s="573">
        <v>84.318034906270199</v>
      </c>
      <c r="AW89" s="571">
        <f t="shared" si="83"/>
        <v>2</v>
      </c>
      <c r="AX89" s="685"/>
      <c r="AZ89" s="368" t="e">
        <f t="shared" si="85"/>
        <v>#N/A</v>
      </c>
      <c r="BA89" s="685"/>
    </row>
    <row r="90" spans="2:53">
      <c r="B90" s="660"/>
      <c r="C90" s="380">
        <v>4</v>
      </c>
      <c r="D90" s="225" t="s">
        <v>714</v>
      </c>
      <c r="E90" s="516">
        <v>17</v>
      </c>
      <c r="F90" s="513">
        <v>1565</v>
      </c>
      <c r="G90" s="512">
        <v>92.058823529411768</v>
      </c>
      <c r="H90" s="692"/>
      <c r="I90" s="381">
        <f t="shared" si="68"/>
        <v>17</v>
      </c>
      <c r="J90" s="381">
        <f t="shared" si="69"/>
        <v>1322.3140219451448</v>
      </c>
      <c r="K90" s="199">
        <f t="shared" si="70"/>
        <v>77.783177761479109</v>
      </c>
      <c r="L90" s="634"/>
      <c r="M90" s="422">
        <f>RANK(K90, K$87:$K$101)</f>
        <v>5</v>
      </c>
      <c r="N90" s="652"/>
      <c r="O90" s="652"/>
      <c r="P90" s="571">
        <v>17</v>
      </c>
      <c r="Q90" s="573">
        <v>1308.5999999999999</v>
      </c>
      <c r="R90" s="573">
        <v>76.976470588235287</v>
      </c>
      <c r="S90" s="571">
        <f t="shared" si="71"/>
        <v>5</v>
      </c>
      <c r="T90" s="662"/>
      <c r="U90" s="571">
        <v>17</v>
      </c>
      <c r="V90" s="573">
        <v>1337.7882352941181</v>
      </c>
      <c r="W90" s="573">
        <v>78.693425605536362</v>
      </c>
      <c r="X90" s="571">
        <f t="shared" si="73"/>
        <v>5</v>
      </c>
      <c r="Y90" s="685"/>
      <c r="Z90" s="571">
        <v>17</v>
      </c>
      <c r="AA90" s="573">
        <v>1323.7183098591554</v>
      </c>
      <c r="AB90" s="573">
        <v>77.865782932891491</v>
      </c>
      <c r="AC90" s="571">
        <f t="shared" si="75"/>
        <v>5</v>
      </c>
      <c r="AD90" s="685"/>
      <c r="AE90" s="571">
        <v>17</v>
      </c>
      <c r="AF90" s="573">
        <v>1308.387096774193</v>
      </c>
      <c r="AG90" s="573">
        <v>76.96394686907017</v>
      </c>
      <c r="AH90" s="571">
        <f t="shared" si="77"/>
        <v>5</v>
      </c>
      <c r="AI90" s="685"/>
      <c r="AJ90" s="571">
        <v>17</v>
      </c>
      <c r="AK90" s="573">
        <v>1327.1186440677968</v>
      </c>
      <c r="AL90" s="573">
        <v>78.065802592223349</v>
      </c>
      <c r="AM90" s="571">
        <f t="shared" si="79"/>
        <v>5</v>
      </c>
      <c r="AN90" s="685"/>
      <c r="AO90" s="571">
        <v>17</v>
      </c>
      <c r="AP90" s="573">
        <v>1331.1627906976742</v>
      </c>
      <c r="AQ90" s="573">
        <v>78.303693570451415</v>
      </c>
      <c r="AR90" s="571">
        <f t="shared" si="81"/>
        <v>5</v>
      </c>
      <c r="AS90" s="685"/>
      <c r="AT90" s="571">
        <v>17</v>
      </c>
      <c r="AU90" s="573">
        <v>1319.4230769230769</v>
      </c>
      <c r="AV90" s="573">
        <v>77.613122171945705</v>
      </c>
      <c r="AW90" s="571">
        <f t="shared" si="83"/>
        <v>5</v>
      </c>
      <c r="AX90" s="685"/>
      <c r="AZ90" s="368" t="e">
        <f t="shared" si="85"/>
        <v>#N/A</v>
      </c>
      <c r="BA90" s="685"/>
    </row>
    <row r="91" spans="2:53">
      <c r="B91" s="660"/>
      <c r="C91" s="380">
        <v>5</v>
      </c>
      <c r="D91" s="225" t="s">
        <v>761</v>
      </c>
      <c r="E91" s="516">
        <v>17</v>
      </c>
      <c r="F91" s="513">
        <v>1565</v>
      </c>
      <c r="G91" s="512">
        <v>92.058823529411768</v>
      </c>
      <c r="H91" s="692"/>
      <c r="I91" s="381">
        <f t="shared" si="68"/>
        <v>17</v>
      </c>
      <c r="J91" s="381">
        <f t="shared" si="69"/>
        <v>1443.3884131350148</v>
      </c>
      <c r="K91" s="199">
        <f t="shared" si="70"/>
        <v>84.90520077264793</v>
      </c>
      <c r="L91" s="634"/>
      <c r="M91" s="422">
        <f>RANK(K91, K$87:$K$101)</f>
        <v>1</v>
      </c>
      <c r="N91" s="652"/>
      <c r="O91" s="652"/>
      <c r="P91" s="571">
        <v>17</v>
      </c>
      <c r="Q91" s="573">
        <v>1444.8322147651011</v>
      </c>
      <c r="R91" s="573">
        <v>84.990130280300065</v>
      </c>
      <c r="S91" s="571">
        <f t="shared" si="71"/>
        <v>2</v>
      </c>
      <c r="T91" s="662"/>
      <c r="U91" s="571">
        <v>17</v>
      </c>
      <c r="V91" s="573">
        <v>1420.6578947368419</v>
      </c>
      <c r="W91" s="573">
        <v>83.568111455108351</v>
      </c>
      <c r="X91" s="571">
        <f t="shared" si="73"/>
        <v>2</v>
      </c>
      <c r="Y91" s="685"/>
      <c r="Z91" s="571">
        <v>17</v>
      </c>
      <c r="AA91" s="573">
        <v>1456.141592920354</v>
      </c>
      <c r="AB91" s="573">
        <v>85.65538781884436</v>
      </c>
      <c r="AC91" s="571">
        <f t="shared" si="75"/>
        <v>1</v>
      </c>
      <c r="AD91" s="685"/>
      <c r="AE91" s="571">
        <v>17</v>
      </c>
      <c r="AF91" s="573">
        <v>1445.4857142857145</v>
      </c>
      <c r="AG91" s="573">
        <v>85.028571428571439</v>
      </c>
      <c r="AH91" s="571">
        <f t="shared" si="77"/>
        <v>1</v>
      </c>
      <c r="AI91" s="685"/>
      <c r="AJ91" s="571">
        <v>17</v>
      </c>
      <c r="AK91" s="573">
        <v>1446.9230769230767</v>
      </c>
      <c r="AL91" s="573">
        <v>85.11312217194569</v>
      </c>
      <c r="AM91" s="571">
        <f t="shared" si="79"/>
        <v>1</v>
      </c>
      <c r="AN91" s="685"/>
      <c r="AO91" s="571">
        <v>17</v>
      </c>
      <c r="AP91" s="573">
        <v>1432.6153846153848</v>
      </c>
      <c r="AQ91" s="573">
        <v>84.271493212669697</v>
      </c>
      <c r="AR91" s="571">
        <f t="shared" si="81"/>
        <v>2</v>
      </c>
      <c r="AS91" s="685"/>
      <c r="AT91" s="571">
        <v>17</v>
      </c>
      <c r="AU91" s="573">
        <v>1457.0630136986304</v>
      </c>
      <c r="AV91" s="573">
        <v>85.70958904109591</v>
      </c>
      <c r="AW91" s="571">
        <f t="shared" si="83"/>
        <v>1</v>
      </c>
      <c r="AX91" s="685"/>
      <c r="AZ91" s="368" t="e">
        <f t="shared" si="85"/>
        <v>#N/A</v>
      </c>
      <c r="BA91" s="685"/>
    </row>
    <row r="92" spans="2:53">
      <c r="B92" s="660"/>
      <c r="C92" s="380">
        <v>6</v>
      </c>
      <c r="D92" s="225" t="s">
        <v>773</v>
      </c>
      <c r="E92" s="516">
        <v>17</v>
      </c>
      <c r="F92" s="513">
        <v>1440</v>
      </c>
      <c r="G92" s="512">
        <v>84.705882352941174</v>
      </c>
      <c r="H92" s="692"/>
      <c r="I92" s="381">
        <f t="shared" si="68"/>
        <v>17</v>
      </c>
      <c r="J92" s="381">
        <f t="shared" si="69"/>
        <v>1291.8820952771907</v>
      </c>
      <c r="K92" s="199">
        <f t="shared" si="70"/>
        <v>75.993064428070042</v>
      </c>
      <c r="L92" s="634"/>
      <c r="M92" s="422">
        <f>RANK(K92, K$87:$K$101)</f>
        <v>6</v>
      </c>
      <c r="N92" s="652"/>
      <c r="O92" s="652"/>
      <c r="P92" s="571">
        <v>17</v>
      </c>
      <c r="Q92" s="573">
        <v>1295.3191489361707</v>
      </c>
      <c r="R92" s="573">
        <v>76.195244055068869</v>
      </c>
      <c r="S92" s="571">
        <f t="shared" si="71"/>
        <v>6</v>
      </c>
      <c r="T92" s="662"/>
      <c r="U92" s="571">
        <v>17</v>
      </c>
      <c r="V92" s="573">
        <v>1292.6213592233016</v>
      </c>
      <c r="W92" s="573">
        <v>76.036550542547161</v>
      </c>
      <c r="X92" s="571">
        <f t="shared" si="73"/>
        <v>6</v>
      </c>
      <c r="Y92" s="685"/>
      <c r="Z92" s="571">
        <v>17</v>
      </c>
      <c r="AA92" s="573">
        <v>1295.2173913043478</v>
      </c>
      <c r="AB92" s="573">
        <v>76.189258312020456</v>
      </c>
      <c r="AC92" s="571">
        <f t="shared" si="75"/>
        <v>6</v>
      </c>
      <c r="AD92" s="685"/>
      <c r="AE92" s="571">
        <v>17</v>
      </c>
      <c r="AF92" s="573">
        <v>1284.4897959183677</v>
      </c>
      <c r="AG92" s="573">
        <v>75.558223289315748</v>
      </c>
      <c r="AH92" s="571">
        <f t="shared" si="77"/>
        <v>6</v>
      </c>
      <c r="AI92" s="685"/>
      <c r="AJ92" s="571">
        <v>17</v>
      </c>
      <c r="AK92" s="573">
        <v>1287.0422535211255</v>
      </c>
      <c r="AL92" s="573">
        <v>75.708367854183848</v>
      </c>
      <c r="AM92" s="571">
        <f t="shared" si="79"/>
        <v>6</v>
      </c>
      <c r="AN92" s="685"/>
      <c r="AO92" s="571">
        <v>17</v>
      </c>
      <c r="AP92" s="573">
        <v>1293.2673267326736</v>
      </c>
      <c r="AQ92" s="573">
        <v>76.074548631333741</v>
      </c>
      <c r="AR92" s="571">
        <f t="shared" si="81"/>
        <v>6</v>
      </c>
      <c r="AS92" s="685"/>
      <c r="AT92" s="571">
        <v>17</v>
      </c>
      <c r="AU92" s="573">
        <v>1295.2173913043478</v>
      </c>
      <c r="AV92" s="573">
        <v>76.189258312020456</v>
      </c>
      <c r="AW92" s="571">
        <f t="shared" si="83"/>
        <v>6</v>
      </c>
      <c r="AX92" s="685"/>
      <c r="AZ92" s="368" t="e">
        <f t="shared" si="85"/>
        <v>#N/A</v>
      </c>
      <c r="BA92" s="685"/>
    </row>
    <row r="93" spans="2:53">
      <c r="B93" s="660"/>
      <c r="C93" s="380">
        <v>7</v>
      </c>
      <c r="D93" s="225"/>
      <c r="E93" s="516"/>
      <c r="F93" s="513"/>
      <c r="G93" s="512"/>
      <c r="H93" s="692"/>
      <c r="I93" s="381" t="str">
        <f t="shared" si="68"/>
        <v>-</v>
      </c>
      <c r="J93" s="381" t="str">
        <f t="shared" si="69"/>
        <v>-</v>
      </c>
      <c r="K93" s="199" t="str">
        <f t="shared" si="70"/>
        <v>-</v>
      </c>
      <c r="L93" s="634"/>
      <c r="M93" s="422" t="e">
        <f>RANK(K93, K$87:$K$101)</f>
        <v>#VALUE!</v>
      </c>
      <c r="N93" s="652"/>
      <c r="O93" s="652"/>
      <c r="P93" s="571" t="s">
        <v>585</v>
      </c>
      <c r="Q93" s="573" t="s">
        <v>585</v>
      </c>
      <c r="R93" s="573" t="s">
        <v>585</v>
      </c>
      <c r="S93" s="571" t="e">
        <f t="shared" si="71"/>
        <v>#VALUE!</v>
      </c>
      <c r="T93" s="662"/>
      <c r="U93" s="571" t="s">
        <v>585</v>
      </c>
      <c r="V93" s="573" t="s">
        <v>585</v>
      </c>
      <c r="W93" s="573" t="s">
        <v>585</v>
      </c>
      <c r="X93" s="571" t="e">
        <f t="shared" si="73"/>
        <v>#VALUE!</v>
      </c>
      <c r="Y93" s="685"/>
      <c r="Z93" s="571" t="s">
        <v>585</v>
      </c>
      <c r="AA93" s="573" t="s">
        <v>585</v>
      </c>
      <c r="AB93" s="573" t="s">
        <v>585</v>
      </c>
      <c r="AC93" s="571" t="e">
        <f t="shared" si="75"/>
        <v>#VALUE!</v>
      </c>
      <c r="AD93" s="685"/>
      <c r="AE93" s="571" t="s">
        <v>585</v>
      </c>
      <c r="AF93" s="573" t="s">
        <v>585</v>
      </c>
      <c r="AG93" s="573" t="s">
        <v>585</v>
      </c>
      <c r="AH93" s="571" t="e">
        <f t="shared" si="77"/>
        <v>#VALUE!</v>
      </c>
      <c r="AI93" s="685"/>
      <c r="AJ93" s="571" t="s">
        <v>585</v>
      </c>
      <c r="AK93" s="573" t="s">
        <v>585</v>
      </c>
      <c r="AL93" s="573" t="s">
        <v>585</v>
      </c>
      <c r="AM93" s="571" t="e">
        <f t="shared" si="79"/>
        <v>#VALUE!</v>
      </c>
      <c r="AN93" s="685"/>
      <c r="AO93" s="571" t="s">
        <v>585</v>
      </c>
      <c r="AP93" s="573" t="s">
        <v>585</v>
      </c>
      <c r="AQ93" s="573" t="s">
        <v>585</v>
      </c>
      <c r="AR93" s="571" t="e">
        <f t="shared" si="81"/>
        <v>#VALUE!</v>
      </c>
      <c r="AS93" s="685"/>
      <c r="AT93" s="571" t="s">
        <v>585</v>
      </c>
      <c r="AU93" s="573" t="s">
        <v>585</v>
      </c>
      <c r="AV93" s="573" t="s">
        <v>585</v>
      </c>
      <c r="AW93" s="571" t="e">
        <f t="shared" si="83"/>
        <v>#VALUE!</v>
      </c>
      <c r="AX93" s="685"/>
      <c r="AZ93" s="368" t="e">
        <f t="shared" si="85"/>
        <v>#N/A</v>
      </c>
      <c r="BA93" s="685"/>
    </row>
    <row r="94" spans="2:53">
      <c r="B94" s="660"/>
      <c r="C94" s="380">
        <v>8</v>
      </c>
      <c r="D94" s="225"/>
      <c r="E94" s="516"/>
      <c r="F94" s="513"/>
      <c r="G94" s="512"/>
      <c r="H94" s="692"/>
      <c r="I94" s="381" t="str">
        <f t="shared" si="68"/>
        <v>-</v>
      </c>
      <c r="J94" s="381" t="str">
        <f t="shared" si="69"/>
        <v>-</v>
      </c>
      <c r="K94" s="199" t="str">
        <f t="shared" si="70"/>
        <v>-</v>
      </c>
      <c r="L94" s="634"/>
      <c r="M94" s="422" t="e">
        <f>RANK(K94, K$87:$K$101)</f>
        <v>#VALUE!</v>
      </c>
      <c r="N94" s="652"/>
      <c r="O94" s="652"/>
      <c r="P94" s="571" t="s">
        <v>585</v>
      </c>
      <c r="Q94" s="573" t="s">
        <v>585</v>
      </c>
      <c r="R94" s="573" t="s">
        <v>585</v>
      </c>
      <c r="S94" s="571" t="e">
        <f t="shared" si="71"/>
        <v>#VALUE!</v>
      </c>
      <c r="T94" s="662"/>
      <c r="U94" s="571" t="s">
        <v>585</v>
      </c>
      <c r="V94" s="573" t="s">
        <v>585</v>
      </c>
      <c r="W94" s="573" t="s">
        <v>585</v>
      </c>
      <c r="X94" s="571" t="e">
        <f t="shared" si="73"/>
        <v>#VALUE!</v>
      </c>
      <c r="Y94" s="685"/>
      <c r="Z94" s="571" t="s">
        <v>585</v>
      </c>
      <c r="AA94" s="573" t="s">
        <v>585</v>
      </c>
      <c r="AB94" s="573" t="s">
        <v>585</v>
      </c>
      <c r="AC94" s="571" t="e">
        <f t="shared" si="75"/>
        <v>#VALUE!</v>
      </c>
      <c r="AD94" s="685"/>
      <c r="AE94" s="571" t="s">
        <v>585</v>
      </c>
      <c r="AF94" s="573" t="s">
        <v>585</v>
      </c>
      <c r="AG94" s="573" t="s">
        <v>585</v>
      </c>
      <c r="AH94" s="571" t="e">
        <f t="shared" si="77"/>
        <v>#VALUE!</v>
      </c>
      <c r="AI94" s="685"/>
      <c r="AJ94" s="571" t="s">
        <v>585</v>
      </c>
      <c r="AK94" s="573" t="s">
        <v>585</v>
      </c>
      <c r="AL94" s="573" t="s">
        <v>585</v>
      </c>
      <c r="AM94" s="571" t="e">
        <f t="shared" si="79"/>
        <v>#VALUE!</v>
      </c>
      <c r="AN94" s="685"/>
      <c r="AO94" s="571" t="s">
        <v>585</v>
      </c>
      <c r="AP94" s="573" t="s">
        <v>585</v>
      </c>
      <c r="AQ94" s="573" t="s">
        <v>585</v>
      </c>
      <c r="AR94" s="571" t="e">
        <f t="shared" si="81"/>
        <v>#VALUE!</v>
      </c>
      <c r="AS94" s="685"/>
      <c r="AT94" s="571" t="s">
        <v>585</v>
      </c>
      <c r="AU94" s="573" t="s">
        <v>585</v>
      </c>
      <c r="AV94" s="573" t="s">
        <v>585</v>
      </c>
      <c r="AW94" s="571" t="e">
        <f t="shared" si="83"/>
        <v>#VALUE!</v>
      </c>
      <c r="AX94" s="685"/>
      <c r="AZ94" s="368" t="e">
        <f t="shared" si="85"/>
        <v>#N/A</v>
      </c>
      <c r="BA94" s="685"/>
    </row>
    <row r="95" spans="2:53">
      <c r="B95" s="660"/>
      <c r="C95" s="380">
        <v>9</v>
      </c>
      <c r="D95" s="225"/>
      <c r="E95" s="516"/>
      <c r="F95" s="513"/>
      <c r="G95" s="512"/>
      <c r="H95" s="692"/>
      <c r="I95" s="381" t="str">
        <f t="shared" si="68"/>
        <v>-</v>
      </c>
      <c r="J95" s="381" t="str">
        <f t="shared" si="69"/>
        <v>-</v>
      </c>
      <c r="K95" s="199" t="str">
        <f t="shared" si="70"/>
        <v>-</v>
      </c>
      <c r="L95" s="634"/>
      <c r="M95" s="422" t="e">
        <f>RANK(K95, K$87:$K$101)</f>
        <v>#VALUE!</v>
      </c>
      <c r="N95" s="652"/>
      <c r="O95" s="652"/>
      <c r="P95" s="571" t="s">
        <v>585</v>
      </c>
      <c r="Q95" s="573" t="s">
        <v>585</v>
      </c>
      <c r="R95" s="573" t="s">
        <v>585</v>
      </c>
      <c r="S95" s="571" t="e">
        <f t="shared" si="71"/>
        <v>#VALUE!</v>
      </c>
      <c r="T95" s="662"/>
      <c r="U95" s="571" t="s">
        <v>585</v>
      </c>
      <c r="V95" s="573" t="s">
        <v>585</v>
      </c>
      <c r="W95" s="573" t="s">
        <v>585</v>
      </c>
      <c r="X95" s="571" t="e">
        <f t="shared" si="73"/>
        <v>#VALUE!</v>
      </c>
      <c r="Y95" s="685"/>
      <c r="Z95" s="571" t="s">
        <v>585</v>
      </c>
      <c r="AA95" s="573" t="s">
        <v>585</v>
      </c>
      <c r="AB95" s="573" t="s">
        <v>585</v>
      </c>
      <c r="AC95" s="571" t="e">
        <f t="shared" si="75"/>
        <v>#VALUE!</v>
      </c>
      <c r="AD95" s="685"/>
      <c r="AE95" s="571" t="s">
        <v>585</v>
      </c>
      <c r="AF95" s="573" t="s">
        <v>585</v>
      </c>
      <c r="AG95" s="573" t="s">
        <v>585</v>
      </c>
      <c r="AH95" s="571" t="e">
        <f t="shared" si="77"/>
        <v>#VALUE!</v>
      </c>
      <c r="AI95" s="685"/>
      <c r="AJ95" s="571" t="s">
        <v>585</v>
      </c>
      <c r="AK95" s="573" t="s">
        <v>585</v>
      </c>
      <c r="AL95" s="573" t="s">
        <v>585</v>
      </c>
      <c r="AM95" s="571" t="e">
        <f t="shared" si="79"/>
        <v>#VALUE!</v>
      </c>
      <c r="AN95" s="685"/>
      <c r="AO95" s="571" t="s">
        <v>585</v>
      </c>
      <c r="AP95" s="573" t="s">
        <v>585</v>
      </c>
      <c r="AQ95" s="573" t="s">
        <v>585</v>
      </c>
      <c r="AR95" s="571" t="e">
        <f t="shared" si="81"/>
        <v>#VALUE!</v>
      </c>
      <c r="AS95" s="685"/>
      <c r="AT95" s="571" t="s">
        <v>585</v>
      </c>
      <c r="AU95" s="573" t="s">
        <v>585</v>
      </c>
      <c r="AV95" s="573" t="s">
        <v>585</v>
      </c>
      <c r="AW95" s="571" t="e">
        <f t="shared" si="83"/>
        <v>#VALUE!</v>
      </c>
      <c r="AX95" s="685"/>
      <c r="AZ95" s="368" t="e">
        <f t="shared" si="85"/>
        <v>#N/A</v>
      </c>
      <c r="BA95" s="685"/>
    </row>
    <row r="96" spans="2:53">
      <c r="B96" s="660"/>
      <c r="C96" s="380">
        <v>10</v>
      </c>
      <c r="D96" s="225"/>
      <c r="E96" s="516"/>
      <c r="F96" s="513"/>
      <c r="G96" s="512"/>
      <c r="H96" s="692"/>
      <c r="I96" s="381" t="str">
        <f t="shared" si="68"/>
        <v>-</v>
      </c>
      <c r="J96" s="381" t="str">
        <f t="shared" si="69"/>
        <v>-</v>
      </c>
      <c r="K96" s="199" t="str">
        <f t="shared" si="70"/>
        <v>-</v>
      </c>
      <c r="L96" s="634"/>
      <c r="M96" s="422" t="e">
        <f>RANK(K96, K$87:$K$101)</f>
        <v>#VALUE!</v>
      </c>
      <c r="N96" s="652"/>
      <c r="O96" s="652"/>
      <c r="P96" s="571" t="s">
        <v>585</v>
      </c>
      <c r="Q96" s="573" t="s">
        <v>585</v>
      </c>
      <c r="R96" s="573" t="s">
        <v>585</v>
      </c>
      <c r="S96" s="571" t="e">
        <f t="shared" si="71"/>
        <v>#VALUE!</v>
      </c>
      <c r="T96" s="662"/>
      <c r="U96" s="571" t="s">
        <v>585</v>
      </c>
      <c r="V96" s="573" t="s">
        <v>585</v>
      </c>
      <c r="W96" s="573" t="s">
        <v>585</v>
      </c>
      <c r="X96" s="571" t="e">
        <f t="shared" si="73"/>
        <v>#VALUE!</v>
      </c>
      <c r="Y96" s="685"/>
      <c r="Z96" s="571" t="s">
        <v>585</v>
      </c>
      <c r="AA96" s="573" t="s">
        <v>585</v>
      </c>
      <c r="AB96" s="573" t="s">
        <v>585</v>
      </c>
      <c r="AC96" s="571" t="e">
        <f t="shared" si="75"/>
        <v>#VALUE!</v>
      </c>
      <c r="AD96" s="685"/>
      <c r="AE96" s="571" t="s">
        <v>585</v>
      </c>
      <c r="AF96" s="573" t="s">
        <v>585</v>
      </c>
      <c r="AG96" s="573" t="s">
        <v>585</v>
      </c>
      <c r="AH96" s="571" t="e">
        <f t="shared" si="77"/>
        <v>#VALUE!</v>
      </c>
      <c r="AI96" s="685"/>
      <c r="AJ96" s="571" t="s">
        <v>585</v>
      </c>
      <c r="AK96" s="573" t="s">
        <v>585</v>
      </c>
      <c r="AL96" s="573" t="s">
        <v>585</v>
      </c>
      <c r="AM96" s="571" t="e">
        <f t="shared" si="79"/>
        <v>#VALUE!</v>
      </c>
      <c r="AN96" s="685"/>
      <c r="AO96" s="571" t="s">
        <v>585</v>
      </c>
      <c r="AP96" s="573" t="s">
        <v>585</v>
      </c>
      <c r="AQ96" s="573" t="s">
        <v>585</v>
      </c>
      <c r="AR96" s="571" t="e">
        <f t="shared" si="81"/>
        <v>#VALUE!</v>
      </c>
      <c r="AS96" s="685"/>
      <c r="AT96" s="571" t="s">
        <v>585</v>
      </c>
      <c r="AU96" s="573" t="s">
        <v>585</v>
      </c>
      <c r="AV96" s="573" t="s">
        <v>585</v>
      </c>
      <c r="AW96" s="571" t="e">
        <f t="shared" si="83"/>
        <v>#VALUE!</v>
      </c>
      <c r="AX96" s="685"/>
      <c r="AZ96" s="368" t="e">
        <f t="shared" si="85"/>
        <v>#N/A</v>
      </c>
      <c r="BA96" s="685"/>
    </row>
    <row r="97" spans="2:53">
      <c r="B97" s="660"/>
      <c r="C97" s="380">
        <v>11</v>
      </c>
      <c r="D97" s="225"/>
      <c r="E97" s="516"/>
      <c r="F97" s="513"/>
      <c r="G97" s="512"/>
      <c r="H97" s="692"/>
      <c r="I97" s="381" t="str">
        <f t="shared" si="68"/>
        <v>-</v>
      </c>
      <c r="J97" s="381" t="str">
        <f t="shared" si="69"/>
        <v>-</v>
      </c>
      <c r="K97" s="199" t="str">
        <f t="shared" si="70"/>
        <v>-</v>
      </c>
      <c r="L97" s="634"/>
      <c r="M97" s="422" t="e">
        <f>RANK(K97, K$87:$K$101)</f>
        <v>#VALUE!</v>
      </c>
      <c r="N97" s="652"/>
      <c r="O97" s="652"/>
      <c r="P97" s="571" t="s">
        <v>585</v>
      </c>
      <c r="Q97" s="573" t="s">
        <v>585</v>
      </c>
      <c r="R97" s="573" t="s">
        <v>585</v>
      </c>
      <c r="S97" s="571" t="e">
        <f t="shared" si="71"/>
        <v>#VALUE!</v>
      </c>
      <c r="T97" s="662"/>
      <c r="U97" s="571" t="s">
        <v>585</v>
      </c>
      <c r="V97" s="573" t="s">
        <v>585</v>
      </c>
      <c r="W97" s="573" t="s">
        <v>585</v>
      </c>
      <c r="X97" s="571" t="e">
        <f t="shared" si="73"/>
        <v>#VALUE!</v>
      </c>
      <c r="Y97" s="685"/>
      <c r="Z97" s="571" t="s">
        <v>585</v>
      </c>
      <c r="AA97" s="573" t="s">
        <v>585</v>
      </c>
      <c r="AB97" s="573" t="s">
        <v>585</v>
      </c>
      <c r="AC97" s="571" t="e">
        <f t="shared" si="75"/>
        <v>#VALUE!</v>
      </c>
      <c r="AD97" s="685"/>
      <c r="AE97" s="571" t="s">
        <v>585</v>
      </c>
      <c r="AF97" s="573" t="s">
        <v>585</v>
      </c>
      <c r="AG97" s="573" t="s">
        <v>585</v>
      </c>
      <c r="AH97" s="571" t="e">
        <f t="shared" si="77"/>
        <v>#VALUE!</v>
      </c>
      <c r="AI97" s="685"/>
      <c r="AJ97" s="571" t="s">
        <v>585</v>
      </c>
      <c r="AK97" s="573" t="s">
        <v>585</v>
      </c>
      <c r="AL97" s="573" t="s">
        <v>585</v>
      </c>
      <c r="AM97" s="571" t="e">
        <f t="shared" si="79"/>
        <v>#VALUE!</v>
      </c>
      <c r="AN97" s="685"/>
      <c r="AO97" s="571" t="s">
        <v>585</v>
      </c>
      <c r="AP97" s="573" t="s">
        <v>585</v>
      </c>
      <c r="AQ97" s="573" t="s">
        <v>585</v>
      </c>
      <c r="AR97" s="571" t="e">
        <f t="shared" si="81"/>
        <v>#VALUE!</v>
      </c>
      <c r="AS97" s="685"/>
      <c r="AT97" s="571" t="s">
        <v>585</v>
      </c>
      <c r="AU97" s="573" t="s">
        <v>585</v>
      </c>
      <c r="AV97" s="573" t="s">
        <v>585</v>
      </c>
      <c r="AW97" s="571" t="e">
        <f t="shared" si="83"/>
        <v>#VALUE!</v>
      </c>
      <c r="AX97" s="685"/>
      <c r="AZ97" s="368" t="e">
        <f t="shared" si="85"/>
        <v>#N/A</v>
      </c>
      <c r="BA97" s="685"/>
    </row>
    <row r="98" spans="2:53">
      <c r="B98" s="660"/>
      <c r="C98" s="380">
        <v>12</v>
      </c>
      <c r="D98" s="225"/>
      <c r="E98" s="516"/>
      <c r="F98" s="513"/>
      <c r="G98" s="512"/>
      <c r="H98" s="692"/>
      <c r="I98" s="381" t="str">
        <f t="shared" si="68"/>
        <v>-</v>
      </c>
      <c r="J98" s="381" t="str">
        <f t="shared" si="69"/>
        <v>-</v>
      </c>
      <c r="K98" s="199" t="str">
        <f t="shared" si="70"/>
        <v>-</v>
      </c>
      <c r="L98" s="634"/>
      <c r="M98" s="422" t="e">
        <f>RANK(K98, K$87:$K$101)</f>
        <v>#VALUE!</v>
      </c>
      <c r="N98" s="652"/>
      <c r="O98" s="652"/>
      <c r="P98" s="571" t="s">
        <v>585</v>
      </c>
      <c r="Q98" s="573" t="s">
        <v>585</v>
      </c>
      <c r="R98" s="573" t="s">
        <v>585</v>
      </c>
      <c r="S98" s="571" t="e">
        <f t="shared" si="71"/>
        <v>#VALUE!</v>
      </c>
      <c r="T98" s="662"/>
      <c r="U98" s="571" t="s">
        <v>585</v>
      </c>
      <c r="V98" s="573" t="s">
        <v>585</v>
      </c>
      <c r="W98" s="573" t="s">
        <v>585</v>
      </c>
      <c r="X98" s="571" t="e">
        <f t="shared" si="73"/>
        <v>#VALUE!</v>
      </c>
      <c r="Y98" s="685"/>
      <c r="Z98" s="571" t="s">
        <v>585</v>
      </c>
      <c r="AA98" s="573" t="s">
        <v>585</v>
      </c>
      <c r="AB98" s="573" t="s">
        <v>585</v>
      </c>
      <c r="AC98" s="571" t="e">
        <f t="shared" si="75"/>
        <v>#VALUE!</v>
      </c>
      <c r="AD98" s="685"/>
      <c r="AE98" s="571" t="s">
        <v>585</v>
      </c>
      <c r="AF98" s="573" t="s">
        <v>585</v>
      </c>
      <c r="AG98" s="573" t="s">
        <v>585</v>
      </c>
      <c r="AH98" s="571" t="e">
        <f t="shared" si="77"/>
        <v>#VALUE!</v>
      </c>
      <c r="AI98" s="685"/>
      <c r="AJ98" s="571" t="s">
        <v>585</v>
      </c>
      <c r="AK98" s="573" t="s">
        <v>585</v>
      </c>
      <c r="AL98" s="573" t="s">
        <v>585</v>
      </c>
      <c r="AM98" s="571" t="e">
        <f t="shared" si="79"/>
        <v>#VALUE!</v>
      </c>
      <c r="AN98" s="685"/>
      <c r="AO98" s="571" t="s">
        <v>585</v>
      </c>
      <c r="AP98" s="573" t="s">
        <v>585</v>
      </c>
      <c r="AQ98" s="573" t="s">
        <v>585</v>
      </c>
      <c r="AR98" s="571" t="e">
        <f t="shared" si="81"/>
        <v>#VALUE!</v>
      </c>
      <c r="AS98" s="685"/>
      <c r="AT98" s="571" t="s">
        <v>585</v>
      </c>
      <c r="AU98" s="573" t="s">
        <v>585</v>
      </c>
      <c r="AV98" s="573" t="s">
        <v>585</v>
      </c>
      <c r="AW98" s="571" t="e">
        <f t="shared" si="83"/>
        <v>#VALUE!</v>
      </c>
      <c r="AX98" s="685"/>
      <c r="AZ98" s="368" t="e">
        <f t="shared" si="85"/>
        <v>#N/A</v>
      </c>
      <c r="BA98" s="685"/>
    </row>
    <row r="99" spans="2:53">
      <c r="B99" s="660"/>
      <c r="C99" s="380">
        <v>13</v>
      </c>
      <c r="D99" s="225"/>
      <c r="E99" s="516"/>
      <c r="F99" s="513"/>
      <c r="G99" s="512"/>
      <c r="H99" s="692"/>
      <c r="I99" s="381" t="str">
        <f t="shared" si="68"/>
        <v>-</v>
      </c>
      <c r="J99" s="381" t="str">
        <f t="shared" si="69"/>
        <v>-</v>
      </c>
      <c r="K99" s="199" t="str">
        <f t="shared" si="70"/>
        <v>-</v>
      </c>
      <c r="L99" s="634"/>
      <c r="M99" s="422" t="e">
        <f>RANK(K99, K$87:$K$101)</f>
        <v>#VALUE!</v>
      </c>
      <c r="N99" s="652"/>
      <c r="O99" s="652"/>
      <c r="P99" s="571" t="s">
        <v>585</v>
      </c>
      <c r="Q99" s="573" t="s">
        <v>585</v>
      </c>
      <c r="R99" s="573" t="s">
        <v>585</v>
      </c>
      <c r="S99" s="571" t="e">
        <f t="shared" si="71"/>
        <v>#VALUE!</v>
      </c>
      <c r="T99" s="662"/>
      <c r="U99" s="571" t="s">
        <v>585</v>
      </c>
      <c r="V99" s="573" t="s">
        <v>585</v>
      </c>
      <c r="W99" s="573" t="s">
        <v>585</v>
      </c>
      <c r="X99" s="571" t="e">
        <f t="shared" si="73"/>
        <v>#VALUE!</v>
      </c>
      <c r="Y99" s="685"/>
      <c r="Z99" s="571" t="s">
        <v>585</v>
      </c>
      <c r="AA99" s="573" t="s">
        <v>585</v>
      </c>
      <c r="AB99" s="573" t="s">
        <v>585</v>
      </c>
      <c r="AC99" s="571" t="e">
        <f t="shared" si="75"/>
        <v>#VALUE!</v>
      </c>
      <c r="AD99" s="685"/>
      <c r="AE99" s="571" t="s">
        <v>585</v>
      </c>
      <c r="AF99" s="573" t="s">
        <v>585</v>
      </c>
      <c r="AG99" s="573" t="s">
        <v>585</v>
      </c>
      <c r="AH99" s="571" t="e">
        <f t="shared" si="77"/>
        <v>#VALUE!</v>
      </c>
      <c r="AI99" s="685"/>
      <c r="AJ99" s="571" t="s">
        <v>585</v>
      </c>
      <c r="AK99" s="573" t="s">
        <v>585</v>
      </c>
      <c r="AL99" s="573" t="s">
        <v>585</v>
      </c>
      <c r="AM99" s="571" t="e">
        <f t="shared" si="79"/>
        <v>#VALUE!</v>
      </c>
      <c r="AN99" s="685"/>
      <c r="AO99" s="571" t="s">
        <v>585</v>
      </c>
      <c r="AP99" s="573" t="s">
        <v>585</v>
      </c>
      <c r="AQ99" s="573" t="s">
        <v>585</v>
      </c>
      <c r="AR99" s="571" t="e">
        <f t="shared" si="81"/>
        <v>#VALUE!</v>
      </c>
      <c r="AS99" s="685"/>
      <c r="AT99" s="571" t="s">
        <v>585</v>
      </c>
      <c r="AU99" s="573" t="s">
        <v>585</v>
      </c>
      <c r="AV99" s="573" t="s">
        <v>585</v>
      </c>
      <c r="AW99" s="571" t="e">
        <f t="shared" si="83"/>
        <v>#VALUE!</v>
      </c>
      <c r="AX99" s="685"/>
      <c r="AZ99" s="368" t="e">
        <f t="shared" si="85"/>
        <v>#N/A</v>
      </c>
      <c r="BA99" s="685"/>
    </row>
    <row r="100" spans="2:53">
      <c r="B100" s="660"/>
      <c r="C100" s="380">
        <v>14</v>
      </c>
      <c r="D100" s="225"/>
      <c r="E100" s="516"/>
      <c r="F100" s="513"/>
      <c r="G100" s="512"/>
      <c r="H100" s="692"/>
      <c r="I100" s="381" t="str">
        <f t="shared" si="68"/>
        <v>-</v>
      </c>
      <c r="J100" s="381" t="str">
        <f t="shared" si="69"/>
        <v>-</v>
      </c>
      <c r="K100" s="199" t="str">
        <f t="shared" si="70"/>
        <v>-</v>
      </c>
      <c r="L100" s="634"/>
      <c r="M100" s="422" t="e">
        <f>RANK(K100, K$87:$K$101)</f>
        <v>#VALUE!</v>
      </c>
      <c r="N100" s="652"/>
      <c r="O100" s="652"/>
      <c r="P100" s="571" t="s">
        <v>585</v>
      </c>
      <c r="Q100" s="573" t="s">
        <v>585</v>
      </c>
      <c r="R100" s="573" t="s">
        <v>585</v>
      </c>
      <c r="S100" s="571" t="e">
        <f t="shared" si="71"/>
        <v>#VALUE!</v>
      </c>
      <c r="T100" s="662"/>
      <c r="U100" s="571" t="s">
        <v>585</v>
      </c>
      <c r="V100" s="573" t="s">
        <v>585</v>
      </c>
      <c r="W100" s="573" t="s">
        <v>585</v>
      </c>
      <c r="X100" s="571" t="e">
        <f t="shared" si="73"/>
        <v>#VALUE!</v>
      </c>
      <c r="Y100" s="685"/>
      <c r="Z100" s="571" t="s">
        <v>585</v>
      </c>
      <c r="AA100" s="573" t="s">
        <v>585</v>
      </c>
      <c r="AB100" s="573" t="s">
        <v>585</v>
      </c>
      <c r="AC100" s="571" t="e">
        <f t="shared" si="75"/>
        <v>#VALUE!</v>
      </c>
      <c r="AD100" s="685"/>
      <c r="AE100" s="571" t="s">
        <v>585</v>
      </c>
      <c r="AF100" s="573" t="s">
        <v>585</v>
      </c>
      <c r="AG100" s="573" t="s">
        <v>585</v>
      </c>
      <c r="AH100" s="571" t="e">
        <f t="shared" si="77"/>
        <v>#VALUE!</v>
      </c>
      <c r="AI100" s="685"/>
      <c r="AJ100" s="571" t="s">
        <v>585</v>
      </c>
      <c r="AK100" s="573" t="s">
        <v>585</v>
      </c>
      <c r="AL100" s="573" t="s">
        <v>585</v>
      </c>
      <c r="AM100" s="571" t="e">
        <f t="shared" si="79"/>
        <v>#VALUE!</v>
      </c>
      <c r="AN100" s="685"/>
      <c r="AO100" s="571" t="s">
        <v>585</v>
      </c>
      <c r="AP100" s="573" t="s">
        <v>585</v>
      </c>
      <c r="AQ100" s="573" t="s">
        <v>585</v>
      </c>
      <c r="AR100" s="571" t="e">
        <f t="shared" si="81"/>
        <v>#VALUE!</v>
      </c>
      <c r="AS100" s="685"/>
      <c r="AT100" s="571" t="s">
        <v>585</v>
      </c>
      <c r="AU100" s="573" t="s">
        <v>585</v>
      </c>
      <c r="AV100" s="573" t="s">
        <v>585</v>
      </c>
      <c r="AW100" s="571" t="e">
        <f t="shared" si="83"/>
        <v>#VALUE!</v>
      </c>
      <c r="AX100" s="685"/>
      <c r="AZ100" s="368" t="e">
        <f t="shared" si="85"/>
        <v>#N/A</v>
      </c>
      <c r="BA100" s="685"/>
    </row>
    <row r="101" spans="2:53">
      <c r="B101" s="660"/>
      <c r="C101" s="380">
        <v>15</v>
      </c>
      <c r="D101" s="225"/>
      <c r="E101" s="516"/>
      <c r="F101" s="513"/>
      <c r="G101" s="512"/>
      <c r="H101" s="696"/>
      <c r="I101" s="380"/>
      <c r="J101" s="380"/>
      <c r="K101" s="380"/>
      <c r="L101" s="635"/>
      <c r="M101" s="422" t="e">
        <f>RANK(K101, K$87:$K$101)</f>
        <v>#N/A</v>
      </c>
      <c r="N101" s="652"/>
      <c r="O101" s="652"/>
      <c r="P101" s="571" t="s">
        <v>585</v>
      </c>
      <c r="Q101" s="573" t="s">
        <v>585</v>
      </c>
      <c r="R101" s="573" t="s">
        <v>585</v>
      </c>
      <c r="S101" s="571" t="e">
        <f t="shared" si="71"/>
        <v>#VALUE!</v>
      </c>
      <c r="T101" s="663"/>
      <c r="U101" s="571" t="s">
        <v>585</v>
      </c>
      <c r="V101" s="573" t="s">
        <v>585</v>
      </c>
      <c r="W101" s="573" t="s">
        <v>585</v>
      </c>
      <c r="X101" s="571" t="e">
        <f t="shared" si="73"/>
        <v>#VALUE!</v>
      </c>
      <c r="Y101" s="685"/>
      <c r="Z101" s="571" t="s">
        <v>585</v>
      </c>
      <c r="AA101" s="573" t="s">
        <v>585</v>
      </c>
      <c r="AB101" s="573" t="s">
        <v>585</v>
      </c>
      <c r="AC101" s="571" t="e">
        <f t="shared" si="75"/>
        <v>#VALUE!</v>
      </c>
      <c r="AD101" s="685"/>
      <c r="AE101" s="571" t="s">
        <v>585</v>
      </c>
      <c r="AF101" s="573" t="s">
        <v>585</v>
      </c>
      <c r="AG101" s="573" t="s">
        <v>585</v>
      </c>
      <c r="AH101" s="571" t="e">
        <f t="shared" si="77"/>
        <v>#VALUE!</v>
      </c>
      <c r="AI101" s="685"/>
      <c r="AJ101" s="571" t="s">
        <v>585</v>
      </c>
      <c r="AK101" s="573" t="s">
        <v>585</v>
      </c>
      <c r="AL101" s="573" t="s">
        <v>585</v>
      </c>
      <c r="AM101" s="571" t="e">
        <f t="shared" si="79"/>
        <v>#VALUE!</v>
      </c>
      <c r="AN101" s="685"/>
      <c r="AO101" s="571" t="s">
        <v>585</v>
      </c>
      <c r="AP101" s="573" t="s">
        <v>585</v>
      </c>
      <c r="AQ101" s="573" t="s">
        <v>585</v>
      </c>
      <c r="AR101" s="571" t="e">
        <f t="shared" si="81"/>
        <v>#VALUE!</v>
      </c>
      <c r="AS101" s="685"/>
      <c r="AT101" s="571" t="s">
        <v>585</v>
      </c>
      <c r="AU101" s="573" t="s">
        <v>585</v>
      </c>
      <c r="AV101" s="573" t="s">
        <v>585</v>
      </c>
      <c r="AW101" s="571" t="e">
        <f t="shared" si="83"/>
        <v>#VALUE!</v>
      </c>
      <c r="AX101" s="685"/>
      <c r="AZ101" s="368" t="e">
        <f t="shared" si="85"/>
        <v>#N/A</v>
      </c>
      <c r="BA101" s="685"/>
    </row>
    <row r="102" spans="2:53" ht="15.75">
      <c r="B102" s="664" t="s">
        <v>162</v>
      </c>
      <c r="C102" s="665"/>
      <c r="D102" s="665"/>
      <c r="E102" s="665"/>
      <c r="F102" s="665"/>
      <c r="G102" s="665"/>
      <c r="H102" s="666"/>
      <c r="I102" s="207"/>
      <c r="J102" s="207"/>
      <c r="K102" s="207"/>
      <c r="L102" s="207"/>
      <c r="M102" s="206"/>
      <c r="N102" s="653" t="s">
        <v>156</v>
      </c>
      <c r="O102" s="653" t="s">
        <v>105</v>
      </c>
      <c r="P102" s="659">
        <f>P82+7</f>
        <v>46266</v>
      </c>
      <c r="Q102" s="660"/>
      <c r="R102" s="660"/>
      <c r="S102" s="660"/>
      <c r="T102" s="660"/>
      <c r="U102" s="656">
        <f>P102+1</f>
        <v>46267</v>
      </c>
      <c r="V102" s="657"/>
      <c r="W102" s="657"/>
      <c r="X102" s="657"/>
      <c r="Y102" s="658"/>
      <c r="Z102" s="656">
        <f>U102+1</f>
        <v>46268</v>
      </c>
      <c r="AA102" s="657"/>
      <c r="AB102" s="657"/>
      <c r="AC102" s="657"/>
      <c r="AD102" s="658"/>
      <c r="AE102" s="656">
        <f>Z102+1</f>
        <v>46269</v>
      </c>
      <c r="AF102" s="657"/>
      <c r="AG102" s="657"/>
      <c r="AH102" s="657"/>
      <c r="AI102" s="658"/>
      <c r="AJ102" s="656">
        <f>AE102+1</f>
        <v>46270</v>
      </c>
      <c r="AK102" s="657"/>
      <c r="AL102" s="657"/>
      <c r="AM102" s="657"/>
      <c r="AN102" s="658"/>
      <c r="AO102" s="656">
        <f>AJ102+1</f>
        <v>46271</v>
      </c>
      <c r="AP102" s="657"/>
      <c r="AQ102" s="657"/>
      <c r="AR102" s="657"/>
      <c r="AS102" s="658"/>
      <c r="AT102" s="656">
        <f>AO102+1</f>
        <v>46272</v>
      </c>
      <c r="AU102" s="657"/>
      <c r="AV102" s="657"/>
      <c r="AW102" s="657"/>
      <c r="AX102" s="658"/>
    </row>
    <row r="103" spans="2:53" ht="15.75">
      <c r="B103" s="667"/>
      <c r="C103" s="667"/>
      <c r="D103" s="667"/>
      <c r="E103" s="667"/>
      <c r="F103" s="667"/>
      <c r="G103" s="667"/>
      <c r="H103" s="667"/>
      <c r="I103" s="204"/>
      <c r="J103" s="204"/>
      <c r="K103" s="204"/>
      <c r="L103" s="204"/>
      <c r="M103" s="205"/>
      <c r="N103" s="655"/>
      <c r="O103" s="655"/>
      <c r="P103" s="659" t="s">
        <v>158</v>
      </c>
      <c r="Q103" s="660"/>
      <c r="R103" s="660"/>
      <c r="S103" s="660"/>
      <c r="T103" s="660"/>
      <c r="U103" s="659" t="s">
        <v>114</v>
      </c>
      <c r="V103" s="660"/>
      <c r="W103" s="660"/>
      <c r="X103" s="660"/>
      <c r="Y103" s="660"/>
      <c r="Z103" s="659" t="s">
        <v>159</v>
      </c>
      <c r="AA103" s="660"/>
      <c r="AB103" s="660"/>
      <c r="AC103" s="660"/>
      <c r="AD103" s="660"/>
      <c r="AE103" s="659" t="s">
        <v>157</v>
      </c>
      <c r="AF103" s="660"/>
      <c r="AG103" s="660"/>
      <c r="AH103" s="660"/>
      <c r="AI103" s="660"/>
      <c r="AJ103" s="659" t="s">
        <v>160</v>
      </c>
      <c r="AK103" s="660"/>
      <c r="AL103" s="660"/>
      <c r="AM103" s="660"/>
      <c r="AN103" s="660"/>
      <c r="AO103" s="659" t="s">
        <v>115</v>
      </c>
      <c r="AP103" s="660"/>
      <c r="AQ103" s="660"/>
      <c r="AR103" s="660"/>
      <c r="AS103" s="660"/>
      <c r="AT103" s="659" t="s">
        <v>161</v>
      </c>
      <c r="AU103" s="660"/>
      <c r="AV103" s="660"/>
      <c r="AW103" s="660"/>
      <c r="AX103" s="660"/>
    </row>
    <row r="104" spans="2:53">
      <c r="B104" s="652" t="s">
        <v>531</v>
      </c>
      <c r="C104" s="652" t="s">
        <v>532</v>
      </c>
      <c r="D104" s="652"/>
      <c r="E104" s="652" t="s">
        <v>533</v>
      </c>
      <c r="F104" s="652"/>
      <c r="G104" s="652"/>
      <c r="H104" s="668" t="s">
        <v>534</v>
      </c>
      <c r="I104" s="652" t="s">
        <v>535</v>
      </c>
      <c r="J104" s="652"/>
      <c r="K104" s="652"/>
      <c r="L104" s="668" t="s">
        <v>366</v>
      </c>
      <c r="M104" s="653" t="s">
        <v>536</v>
      </c>
      <c r="N104" s="652"/>
      <c r="O104" s="652" t="s">
        <v>537</v>
      </c>
      <c r="P104" s="649" t="s">
        <v>523</v>
      </c>
      <c r="Q104" s="650"/>
      <c r="R104" s="650"/>
      <c r="S104" s="651"/>
      <c r="T104" s="652" t="s">
        <v>519</v>
      </c>
      <c r="U104" s="649" t="s">
        <v>523</v>
      </c>
      <c r="V104" s="650"/>
      <c r="W104" s="650"/>
      <c r="X104" s="651"/>
      <c r="Y104" s="652" t="s">
        <v>519</v>
      </c>
      <c r="Z104" s="649" t="s">
        <v>523</v>
      </c>
      <c r="AA104" s="650"/>
      <c r="AB104" s="650"/>
      <c r="AC104" s="651"/>
      <c r="AD104" s="652" t="s">
        <v>519</v>
      </c>
      <c r="AE104" s="649" t="s">
        <v>523</v>
      </c>
      <c r="AF104" s="650"/>
      <c r="AG104" s="650"/>
      <c r="AH104" s="651"/>
      <c r="AI104" s="652" t="s">
        <v>519</v>
      </c>
      <c r="AJ104" s="649" t="s">
        <v>523</v>
      </c>
      <c r="AK104" s="650"/>
      <c r="AL104" s="650"/>
      <c r="AM104" s="651"/>
      <c r="AN104" s="652" t="s">
        <v>519</v>
      </c>
      <c r="AO104" s="649" t="s">
        <v>523</v>
      </c>
      <c r="AP104" s="650"/>
      <c r="AQ104" s="650"/>
      <c r="AR104" s="651"/>
      <c r="AS104" s="652" t="s">
        <v>519</v>
      </c>
      <c r="AT104" s="649" t="s">
        <v>523</v>
      </c>
      <c r="AU104" s="650"/>
      <c r="AV104" s="650"/>
      <c r="AW104" s="651"/>
      <c r="AX104" s="652" t="s">
        <v>519</v>
      </c>
      <c r="BA104" s="652" t="s">
        <v>366</v>
      </c>
    </row>
    <row r="105" spans="2:53">
      <c r="B105" s="652"/>
      <c r="C105" s="652"/>
      <c r="D105" s="652"/>
      <c r="E105" s="652" t="s">
        <v>538</v>
      </c>
      <c r="F105" s="652"/>
      <c r="G105" s="652"/>
      <c r="H105" s="669"/>
      <c r="I105" s="652" t="s">
        <v>538</v>
      </c>
      <c r="J105" s="652"/>
      <c r="K105" s="652"/>
      <c r="L105" s="669"/>
      <c r="M105" s="654"/>
      <c r="N105" s="652"/>
      <c r="O105" s="652"/>
      <c r="P105" s="649" t="s">
        <v>525</v>
      </c>
      <c r="Q105" s="650"/>
      <c r="R105" s="650"/>
      <c r="S105" s="651"/>
      <c r="T105" s="652"/>
      <c r="U105" s="649" t="s">
        <v>525</v>
      </c>
      <c r="V105" s="650"/>
      <c r="W105" s="650"/>
      <c r="X105" s="651"/>
      <c r="Y105" s="652"/>
      <c r="Z105" s="649" t="s">
        <v>525</v>
      </c>
      <c r="AA105" s="650"/>
      <c r="AB105" s="650"/>
      <c r="AC105" s="651"/>
      <c r="AD105" s="652"/>
      <c r="AE105" s="649" t="s">
        <v>525</v>
      </c>
      <c r="AF105" s="650"/>
      <c r="AG105" s="650"/>
      <c r="AH105" s="651"/>
      <c r="AI105" s="652"/>
      <c r="AJ105" s="649" t="s">
        <v>525</v>
      </c>
      <c r="AK105" s="650"/>
      <c r="AL105" s="650"/>
      <c r="AM105" s="651"/>
      <c r="AN105" s="652"/>
      <c r="AO105" s="649" t="s">
        <v>525</v>
      </c>
      <c r="AP105" s="650"/>
      <c r="AQ105" s="650"/>
      <c r="AR105" s="651"/>
      <c r="AS105" s="652"/>
      <c r="AT105" s="649" t="s">
        <v>525</v>
      </c>
      <c r="AU105" s="650"/>
      <c r="AV105" s="650"/>
      <c r="AW105" s="651"/>
      <c r="AX105" s="652"/>
      <c r="BA105" s="652"/>
    </row>
    <row r="106" spans="2:53">
      <c r="B106" s="652"/>
      <c r="C106" s="652"/>
      <c r="D106" s="652"/>
      <c r="E106" s="345" t="s">
        <v>539</v>
      </c>
      <c r="F106" s="345" t="s">
        <v>540</v>
      </c>
      <c r="G106" s="345" t="s">
        <v>541</v>
      </c>
      <c r="H106" s="670"/>
      <c r="I106" s="345" t="s">
        <v>539</v>
      </c>
      <c r="J106" s="345" t="s">
        <v>540</v>
      </c>
      <c r="K106" s="345" t="s">
        <v>541</v>
      </c>
      <c r="L106" s="670"/>
      <c r="M106" s="655"/>
      <c r="N106" s="652"/>
      <c r="O106" s="652"/>
      <c r="P106" s="345" t="s">
        <v>526</v>
      </c>
      <c r="Q106" s="345" t="s">
        <v>527</v>
      </c>
      <c r="R106" s="345" t="s">
        <v>528</v>
      </c>
      <c r="S106" s="345" t="s">
        <v>521</v>
      </c>
      <c r="T106" s="652"/>
      <c r="U106" s="345" t="s">
        <v>526</v>
      </c>
      <c r="V106" s="345" t="s">
        <v>527</v>
      </c>
      <c r="W106" s="345" t="s">
        <v>528</v>
      </c>
      <c r="X106" s="345" t="s">
        <v>521</v>
      </c>
      <c r="Y106" s="652"/>
      <c r="Z106" s="345" t="s">
        <v>526</v>
      </c>
      <c r="AA106" s="345" t="s">
        <v>527</v>
      </c>
      <c r="AB106" s="345" t="s">
        <v>528</v>
      </c>
      <c r="AC106" s="345" t="s">
        <v>521</v>
      </c>
      <c r="AD106" s="652"/>
      <c r="AE106" s="345" t="s">
        <v>526</v>
      </c>
      <c r="AF106" s="345" t="s">
        <v>527</v>
      </c>
      <c r="AG106" s="345" t="s">
        <v>528</v>
      </c>
      <c r="AH106" s="345" t="s">
        <v>521</v>
      </c>
      <c r="AI106" s="652"/>
      <c r="AJ106" s="345" t="s">
        <v>526</v>
      </c>
      <c r="AK106" s="345" t="s">
        <v>527</v>
      </c>
      <c r="AL106" s="345" t="s">
        <v>528</v>
      </c>
      <c r="AM106" s="345" t="s">
        <v>521</v>
      </c>
      <c r="AN106" s="652"/>
      <c r="AO106" s="345" t="s">
        <v>526</v>
      </c>
      <c r="AP106" s="345" t="s">
        <v>527</v>
      </c>
      <c r="AQ106" s="345" t="s">
        <v>528</v>
      </c>
      <c r="AR106" s="345" t="s">
        <v>521</v>
      </c>
      <c r="AS106" s="652"/>
      <c r="AT106" s="345" t="s">
        <v>526</v>
      </c>
      <c r="AU106" s="345" t="s">
        <v>527</v>
      </c>
      <c r="AV106" s="345" t="s">
        <v>528</v>
      </c>
      <c r="AW106" s="345" t="s">
        <v>521</v>
      </c>
      <c r="AX106" s="652"/>
      <c r="AZ106" s="367" t="s">
        <v>521</v>
      </c>
      <c r="BA106" s="652"/>
    </row>
    <row r="107" spans="2:53">
      <c r="B107" s="652" t="s">
        <v>135</v>
      </c>
      <c r="C107" s="348">
        <v>1</v>
      </c>
      <c r="D107" s="225"/>
      <c r="E107" s="181"/>
      <c r="F107" s="353"/>
      <c r="G107" s="354"/>
      <c r="H107" s="691" t="e">
        <f>AVERAGE(G107:G121)</f>
        <v>#DIV/0!</v>
      </c>
      <c r="I107" s="363" t="str">
        <f t="shared" ref="I107:I120" si="87">IFERROR(AVERAGE(P107,U107,Z107,AE107,AJ107,AO107,AT107),"-")</f>
        <v>-</v>
      </c>
      <c r="J107" s="363" t="str">
        <f t="shared" ref="J107:J120" si="88">IFERROR(AVERAGE(Q107,V107,AA107,AF107,AK107,AP107,AU107),"-")</f>
        <v>-</v>
      </c>
      <c r="K107" s="199" t="str">
        <f t="shared" ref="K107:K120" si="89">IFERROR(AVERAGE(R107,W107,AB107,AG107,AL107,AQ107,AV107),"-")</f>
        <v>-</v>
      </c>
      <c r="L107" s="633" t="str">
        <f>IFERROR(AVERAGE(K107:K121),"-")</f>
        <v>-</v>
      </c>
      <c r="M107" s="349" t="e">
        <f>RANK(K107, K$67:$K$81)</f>
        <v>#VALUE!</v>
      </c>
      <c r="N107" s="652"/>
      <c r="O107" s="652"/>
      <c r="P107" s="507"/>
      <c r="Q107" s="509"/>
      <c r="R107" s="509"/>
      <c r="S107" s="507"/>
      <c r="T107" s="685"/>
      <c r="U107" s="507"/>
      <c r="V107" s="509"/>
      <c r="W107" s="509"/>
      <c r="X107" s="507"/>
      <c r="Y107" s="685"/>
      <c r="Z107" s="507"/>
      <c r="AA107" s="509"/>
      <c r="AB107" s="509"/>
      <c r="AC107" s="507"/>
      <c r="AD107" s="685"/>
      <c r="AE107" s="507"/>
      <c r="AF107" s="509"/>
      <c r="AG107" s="509"/>
      <c r="AH107" s="507"/>
      <c r="AI107" s="685"/>
      <c r="AJ107" s="507"/>
      <c r="AK107" s="509"/>
      <c r="AL107" s="509"/>
      <c r="AM107" s="507"/>
      <c r="AN107" s="685"/>
      <c r="AO107" s="507"/>
      <c r="AP107" s="509"/>
      <c r="AQ107" s="509"/>
      <c r="AR107" s="507"/>
      <c r="AS107" s="685"/>
      <c r="AT107" s="507"/>
      <c r="AU107" s="509"/>
      <c r="AV107" s="509"/>
      <c r="AW107" s="507"/>
      <c r="AX107" s="685"/>
      <c r="AZ107" s="369" t="e">
        <f>RANK(AY107, AY$67:AY$81)</f>
        <v>#N/A</v>
      </c>
      <c r="BA107" s="714" t="e">
        <f>AVERAGE(AY107:AY121)</f>
        <v>#DIV/0!</v>
      </c>
    </row>
    <row r="108" spans="2:53">
      <c r="B108" s="680"/>
      <c r="C108" s="348">
        <v>2</v>
      </c>
      <c r="D108" s="225"/>
      <c r="E108" s="181"/>
      <c r="F108" s="353"/>
      <c r="G108" s="354"/>
      <c r="H108" s="692"/>
      <c r="I108" s="363" t="str">
        <f t="shared" si="87"/>
        <v>-</v>
      </c>
      <c r="J108" s="363" t="str">
        <f t="shared" si="88"/>
        <v>-</v>
      </c>
      <c r="K108" s="199" t="str">
        <f t="shared" si="89"/>
        <v>-</v>
      </c>
      <c r="L108" s="634"/>
      <c r="M108" s="349" t="e">
        <f>RANK(K108, K$67:$K$81)</f>
        <v>#VALUE!</v>
      </c>
      <c r="N108" s="652"/>
      <c r="O108" s="652"/>
      <c r="P108" s="507"/>
      <c r="Q108" s="509"/>
      <c r="R108" s="509"/>
      <c r="S108" s="507"/>
      <c r="T108" s="685"/>
      <c r="U108" s="507"/>
      <c r="V108" s="509"/>
      <c r="W108" s="509"/>
      <c r="X108" s="507"/>
      <c r="Y108" s="685"/>
      <c r="Z108" s="507"/>
      <c r="AA108" s="509"/>
      <c r="AB108" s="509"/>
      <c r="AC108" s="507"/>
      <c r="AD108" s="685"/>
      <c r="AE108" s="507"/>
      <c r="AF108" s="509"/>
      <c r="AG108" s="509"/>
      <c r="AH108" s="507"/>
      <c r="AI108" s="685"/>
      <c r="AJ108" s="507"/>
      <c r="AK108" s="509"/>
      <c r="AL108" s="509"/>
      <c r="AM108" s="507"/>
      <c r="AN108" s="685"/>
      <c r="AO108" s="507"/>
      <c r="AP108" s="509"/>
      <c r="AQ108" s="509"/>
      <c r="AR108" s="507"/>
      <c r="AS108" s="685"/>
      <c r="AT108" s="507"/>
      <c r="AU108" s="509"/>
      <c r="AV108" s="509"/>
      <c r="AW108" s="507"/>
      <c r="AX108" s="685"/>
      <c r="AZ108" s="369" t="e">
        <f t="shared" ref="AZ108:AZ121" si="90">RANK(AY108, AY$67:AY$81)</f>
        <v>#N/A</v>
      </c>
      <c r="BA108" s="714"/>
    </row>
    <row r="109" spans="2:53">
      <c r="B109" s="680"/>
      <c r="C109" s="348">
        <v>3</v>
      </c>
      <c r="D109" s="225"/>
      <c r="E109" s="181"/>
      <c r="F109" s="353"/>
      <c r="G109" s="354"/>
      <c r="H109" s="692"/>
      <c r="I109" s="363" t="str">
        <f t="shared" si="87"/>
        <v>-</v>
      </c>
      <c r="J109" s="363" t="str">
        <f t="shared" si="88"/>
        <v>-</v>
      </c>
      <c r="K109" s="199" t="str">
        <f t="shared" si="89"/>
        <v>-</v>
      </c>
      <c r="L109" s="634"/>
      <c r="M109" s="349" t="e">
        <f>RANK(K109, K$67:$K$81)</f>
        <v>#VALUE!</v>
      </c>
      <c r="N109" s="652"/>
      <c r="O109" s="652"/>
      <c r="P109" s="507"/>
      <c r="Q109" s="509"/>
      <c r="R109" s="509"/>
      <c r="S109" s="507"/>
      <c r="T109" s="685"/>
      <c r="U109" s="507"/>
      <c r="V109" s="509"/>
      <c r="W109" s="509"/>
      <c r="X109" s="507"/>
      <c r="Y109" s="685"/>
      <c r="Z109" s="507"/>
      <c r="AA109" s="509"/>
      <c r="AB109" s="509"/>
      <c r="AC109" s="507"/>
      <c r="AD109" s="685"/>
      <c r="AE109" s="507"/>
      <c r="AF109" s="509"/>
      <c r="AG109" s="509"/>
      <c r="AH109" s="507"/>
      <c r="AI109" s="685"/>
      <c r="AJ109" s="507"/>
      <c r="AK109" s="509"/>
      <c r="AL109" s="509"/>
      <c r="AM109" s="507"/>
      <c r="AN109" s="685"/>
      <c r="AO109" s="507"/>
      <c r="AP109" s="509"/>
      <c r="AQ109" s="509"/>
      <c r="AR109" s="507"/>
      <c r="AS109" s="685"/>
      <c r="AT109" s="507"/>
      <c r="AU109" s="509"/>
      <c r="AV109" s="509"/>
      <c r="AW109" s="507"/>
      <c r="AX109" s="685"/>
      <c r="AZ109" s="369" t="e">
        <f t="shared" si="90"/>
        <v>#N/A</v>
      </c>
      <c r="BA109" s="714"/>
    </row>
    <row r="110" spans="2:53">
      <c r="B110" s="680"/>
      <c r="C110" s="348">
        <v>4</v>
      </c>
      <c r="D110" s="225"/>
      <c r="E110" s="181"/>
      <c r="F110" s="353"/>
      <c r="G110" s="354"/>
      <c r="H110" s="692"/>
      <c r="I110" s="363" t="str">
        <f t="shared" si="87"/>
        <v>-</v>
      </c>
      <c r="J110" s="363" t="str">
        <f t="shared" si="88"/>
        <v>-</v>
      </c>
      <c r="K110" s="199" t="str">
        <f t="shared" si="89"/>
        <v>-</v>
      </c>
      <c r="L110" s="634"/>
      <c r="M110" s="349" t="e">
        <f>RANK(K110, K$67:$K$81)</f>
        <v>#VALUE!</v>
      </c>
      <c r="N110" s="652"/>
      <c r="O110" s="652"/>
      <c r="P110" s="507"/>
      <c r="Q110" s="509"/>
      <c r="R110" s="509"/>
      <c r="S110" s="507"/>
      <c r="T110" s="685"/>
      <c r="U110" s="507"/>
      <c r="V110" s="509"/>
      <c r="W110" s="509"/>
      <c r="X110" s="507"/>
      <c r="Y110" s="685"/>
      <c r="Z110" s="507"/>
      <c r="AA110" s="509"/>
      <c r="AB110" s="509"/>
      <c r="AC110" s="507"/>
      <c r="AD110" s="685"/>
      <c r="AE110" s="507"/>
      <c r="AF110" s="509"/>
      <c r="AG110" s="509"/>
      <c r="AH110" s="507"/>
      <c r="AI110" s="685"/>
      <c r="AJ110" s="507"/>
      <c r="AK110" s="509"/>
      <c r="AL110" s="509"/>
      <c r="AM110" s="507"/>
      <c r="AN110" s="685"/>
      <c r="AO110" s="507"/>
      <c r="AP110" s="509"/>
      <c r="AQ110" s="509"/>
      <c r="AR110" s="507"/>
      <c r="AS110" s="685"/>
      <c r="AT110" s="507"/>
      <c r="AU110" s="509"/>
      <c r="AV110" s="509"/>
      <c r="AW110" s="507"/>
      <c r="AX110" s="685"/>
      <c r="AZ110" s="369" t="e">
        <f t="shared" si="90"/>
        <v>#N/A</v>
      </c>
      <c r="BA110" s="714"/>
    </row>
    <row r="111" spans="2:53">
      <c r="B111" s="680"/>
      <c r="C111" s="348">
        <v>5</v>
      </c>
      <c r="D111" s="225"/>
      <c r="E111" s="181"/>
      <c r="F111" s="353"/>
      <c r="G111" s="354"/>
      <c r="H111" s="692"/>
      <c r="I111" s="363" t="str">
        <f t="shared" si="87"/>
        <v>-</v>
      </c>
      <c r="J111" s="363" t="str">
        <f t="shared" si="88"/>
        <v>-</v>
      </c>
      <c r="K111" s="199" t="str">
        <f t="shared" si="89"/>
        <v>-</v>
      </c>
      <c r="L111" s="634"/>
      <c r="M111" s="349" t="e">
        <f>RANK(K111, K$67:$K$81)</f>
        <v>#VALUE!</v>
      </c>
      <c r="N111" s="652"/>
      <c r="O111" s="652"/>
      <c r="P111" s="507"/>
      <c r="Q111" s="509"/>
      <c r="R111" s="509"/>
      <c r="S111" s="507"/>
      <c r="T111" s="685"/>
      <c r="U111" s="507"/>
      <c r="V111" s="509"/>
      <c r="W111" s="509"/>
      <c r="X111" s="507"/>
      <c r="Y111" s="685"/>
      <c r="Z111" s="507"/>
      <c r="AA111" s="509"/>
      <c r="AB111" s="509"/>
      <c r="AC111" s="507"/>
      <c r="AD111" s="685"/>
      <c r="AE111" s="507"/>
      <c r="AF111" s="509"/>
      <c r="AG111" s="509"/>
      <c r="AH111" s="507"/>
      <c r="AI111" s="685"/>
      <c r="AJ111" s="507"/>
      <c r="AK111" s="509"/>
      <c r="AL111" s="509"/>
      <c r="AM111" s="507"/>
      <c r="AN111" s="685"/>
      <c r="AO111" s="507"/>
      <c r="AP111" s="509"/>
      <c r="AQ111" s="509"/>
      <c r="AR111" s="507"/>
      <c r="AS111" s="685"/>
      <c r="AT111" s="507"/>
      <c r="AU111" s="509"/>
      <c r="AV111" s="509"/>
      <c r="AW111" s="507"/>
      <c r="AX111" s="685"/>
      <c r="AZ111" s="369" t="e">
        <f t="shared" si="90"/>
        <v>#N/A</v>
      </c>
      <c r="BA111" s="714"/>
    </row>
    <row r="112" spans="2:53">
      <c r="B112" s="680"/>
      <c r="C112" s="348">
        <v>6</v>
      </c>
      <c r="D112" s="225"/>
      <c r="E112" s="181"/>
      <c r="F112" s="353"/>
      <c r="G112" s="354"/>
      <c r="H112" s="692"/>
      <c r="I112" s="363" t="str">
        <f t="shared" si="87"/>
        <v>-</v>
      </c>
      <c r="J112" s="363" t="str">
        <f t="shared" si="88"/>
        <v>-</v>
      </c>
      <c r="K112" s="199" t="str">
        <f t="shared" si="89"/>
        <v>-</v>
      </c>
      <c r="L112" s="634"/>
      <c r="M112" s="349" t="e">
        <f>RANK(K112, K$67:$K$81)</f>
        <v>#VALUE!</v>
      </c>
      <c r="N112" s="652"/>
      <c r="O112" s="652"/>
      <c r="P112" s="507"/>
      <c r="Q112" s="509"/>
      <c r="R112" s="509"/>
      <c r="S112" s="507"/>
      <c r="T112" s="685"/>
      <c r="U112" s="507"/>
      <c r="V112" s="509"/>
      <c r="W112" s="509"/>
      <c r="X112" s="507"/>
      <c r="Y112" s="685"/>
      <c r="Z112" s="507"/>
      <c r="AA112" s="509"/>
      <c r="AB112" s="509"/>
      <c r="AC112" s="507"/>
      <c r="AD112" s="685"/>
      <c r="AE112" s="507"/>
      <c r="AF112" s="509"/>
      <c r="AG112" s="509"/>
      <c r="AH112" s="507"/>
      <c r="AI112" s="685"/>
      <c r="AJ112" s="507"/>
      <c r="AK112" s="509"/>
      <c r="AL112" s="509"/>
      <c r="AM112" s="507"/>
      <c r="AN112" s="685"/>
      <c r="AO112" s="507"/>
      <c r="AP112" s="509"/>
      <c r="AQ112" s="509"/>
      <c r="AR112" s="507"/>
      <c r="AS112" s="685"/>
      <c r="AT112" s="507"/>
      <c r="AU112" s="509"/>
      <c r="AV112" s="509"/>
      <c r="AW112" s="507"/>
      <c r="AX112" s="685"/>
      <c r="AZ112" s="369" t="e">
        <f t="shared" si="90"/>
        <v>#N/A</v>
      </c>
      <c r="BA112" s="714"/>
    </row>
    <row r="113" spans="2:53">
      <c r="B113" s="680"/>
      <c r="C113" s="348">
        <v>7</v>
      </c>
      <c r="D113" s="225"/>
      <c r="E113" s="181"/>
      <c r="F113" s="353"/>
      <c r="G113" s="354"/>
      <c r="H113" s="692"/>
      <c r="I113" s="363" t="str">
        <f t="shared" si="87"/>
        <v>-</v>
      </c>
      <c r="J113" s="363" t="str">
        <f t="shared" si="88"/>
        <v>-</v>
      </c>
      <c r="K113" s="199" t="str">
        <f t="shared" si="89"/>
        <v>-</v>
      </c>
      <c r="L113" s="634"/>
      <c r="M113" s="349" t="e">
        <f>RANK(K113, K$67:$K$81)</f>
        <v>#VALUE!</v>
      </c>
      <c r="N113" s="652"/>
      <c r="O113" s="652"/>
      <c r="P113" s="507"/>
      <c r="Q113" s="509"/>
      <c r="R113" s="509"/>
      <c r="S113" s="507"/>
      <c r="T113" s="685"/>
      <c r="U113" s="507"/>
      <c r="V113" s="509"/>
      <c r="W113" s="509"/>
      <c r="X113" s="507"/>
      <c r="Y113" s="685"/>
      <c r="Z113" s="507"/>
      <c r="AA113" s="509"/>
      <c r="AB113" s="509"/>
      <c r="AC113" s="507"/>
      <c r="AD113" s="685"/>
      <c r="AE113" s="507"/>
      <c r="AF113" s="509"/>
      <c r="AG113" s="509"/>
      <c r="AH113" s="507"/>
      <c r="AI113" s="685"/>
      <c r="AJ113" s="507"/>
      <c r="AK113" s="509"/>
      <c r="AL113" s="509"/>
      <c r="AM113" s="507"/>
      <c r="AN113" s="685"/>
      <c r="AO113" s="507"/>
      <c r="AP113" s="509"/>
      <c r="AQ113" s="509"/>
      <c r="AR113" s="507"/>
      <c r="AS113" s="685"/>
      <c r="AT113" s="507"/>
      <c r="AU113" s="509"/>
      <c r="AV113" s="509"/>
      <c r="AW113" s="507"/>
      <c r="AX113" s="685"/>
      <c r="AZ113" s="369" t="e">
        <f t="shared" si="90"/>
        <v>#N/A</v>
      </c>
      <c r="BA113" s="714"/>
    </row>
    <row r="114" spans="2:53">
      <c r="B114" s="680"/>
      <c r="C114" s="348">
        <v>8</v>
      </c>
      <c r="D114" s="225"/>
      <c r="E114" s="181"/>
      <c r="F114" s="353"/>
      <c r="G114" s="354"/>
      <c r="H114" s="692"/>
      <c r="I114" s="363" t="str">
        <f t="shared" si="87"/>
        <v>-</v>
      </c>
      <c r="J114" s="363" t="str">
        <f t="shared" si="88"/>
        <v>-</v>
      </c>
      <c r="K114" s="199" t="str">
        <f t="shared" si="89"/>
        <v>-</v>
      </c>
      <c r="L114" s="634"/>
      <c r="M114" s="349" t="e">
        <f>RANK(K114, K$67:$K$81)</f>
        <v>#VALUE!</v>
      </c>
      <c r="N114" s="652"/>
      <c r="O114" s="652"/>
      <c r="P114" s="507"/>
      <c r="Q114" s="509"/>
      <c r="R114" s="509"/>
      <c r="S114" s="507"/>
      <c r="T114" s="685"/>
      <c r="U114" s="507"/>
      <c r="V114" s="509"/>
      <c r="W114" s="509"/>
      <c r="X114" s="507"/>
      <c r="Y114" s="685"/>
      <c r="Z114" s="507"/>
      <c r="AA114" s="509"/>
      <c r="AB114" s="509"/>
      <c r="AC114" s="507"/>
      <c r="AD114" s="685"/>
      <c r="AE114" s="507"/>
      <c r="AF114" s="509"/>
      <c r="AG114" s="509"/>
      <c r="AH114" s="507"/>
      <c r="AI114" s="685"/>
      <c r="AJ114" s="507"/>
      <c r="AK114" s="509"/>
      <c r="AL114" s="509"/>
      <c r="AM114" s="507"/>
      <c r="AN114" s="685"/>
      <c r="AO114" s="507"/>
      <c r="AP114" s="509"/>
      <c r="AQ114" s="509"/>
      <c r="AR114" s="507"/>
      <c r="AS114" s="685"/>
      <c r="AT114" s="507"/>
      <c r="AU114" s="509"/>
      <c r="AV114" s="509"/>
      <c r="AW114" s="507"/>
      <c r="AX114" s="685"/>
      <c r="AZ114" s="369" t="e">
        <f t="shared" si="90"/>
        <v>#N/A</v>
      </c>
      <c r="BA114" s="714"/>
    </row>
    <row r="115" spans="2:53">
      <c r="B115" s="680"/>
      <c r="C115" s="348">
        <v>9</v>
      </c>
      <c r="D115" s="225"/>
      <c r="E115" s="181"/>
      <c r="F115" s="353"/>
      <c r="G115" s="354"/>
      <c r="H115" s="692"/>
      <c r="I115" s="363" t="str">
        <f t="shared" si="87"/>
        <v>-</v>
      </c>
      <c r="J115" s="363" t="str">
        <f t="shared" si="88"/>
        <v>-</v>
      </c>
      <c r="K115" s="199" t="str">
        <f t="shared" si="89"/>
        <v>-</v>
      </c>
      <c r="L115" s="634"/>
      <c r="M115" s="349" t="e">
        <f>RANK(K115, K$67:$K$81)</f>
        <v>#VALUE!</v>
      </c>
      <c r="N115" s="652"/>
      <c r="O115" s="652"/>
      <c r="P115" s="507"/>
      <c r="Q115" s="509"/>
      <c r="R115" s="509"/>
      <c r="S115" s="507"/>
      <c r="T115" s="685"/>
      <c r="U115" s="507"/>
      <c r="V115" s="509"/>
      <c r="W115" s="509"/>
      <c r="X115" s="507"/>
      <c r="Y115" s="685"/>
      <c r="Z115" s="507"/>
      <c r="AA115" s="509"/>
      <c r="AB115" s="509"/>
      <c r="AC115" s="507"/>
      <c r="AD115" s="685"/>
      <c r="AE115" s="507"/>
      <c r="AF115" s="509"/>
      <c r="AG115" s="509"/>
      <c r="AH115" s="507"/>
      <c r="AI115" s="685"/>
      <c r="AJ115" s="507"/>
      <c r="AK115" s="509"/>
      <c r="AL115" s="509"/>
      <c r="AM115" s="507"/>
      <c r="AN115" s="685"/>
      <c r="AO115" s="507"/>
      <c r="AP115" s="509"/>
      <c r="AQ115" s="509"/>
      <c r="AR115" s="507"/>
      <c r="AS115" s="685"/>
      <c r="AT115" s="507"/>
      <c r="AU115" s="509"/>
      <c r="AV115" s="509"/>
      <c r="AW115" s="507"/>
      <c r="AX115" s="685"/>
      <c r="AZ115" s="369" t="e">
        <f t="shared" si="90"/>
        <v>#N/A</v>
      </c>
      <c r="BA115" s="714"/>
    </row>
    <row r="116" spans="2:53">
      <c r="B116" s="680"/>
      <c r="C116" s="348">
        <v>10</v>
      </c>
      <c r="D116" s="225"/>
      <c r="E116" s="181"/>
      <c r="F116" s="353"/>
      <c r="G116" s="354"/>
      <c r="H116" s="692"/>
      <c r="I116" s="363" t="str">
        <f t="shared" si="87"/>
        <v>-</v>
      </c>
      <c r="J116" s="363" t="str">
        <f t="shared" si="88"/>
        <v>-</v>
      </c>
      <c r="K116" s="199" t="str">
        <f t="shared" si="89"/>
        <v>-</v>
      </c>
      <c r="L116" s="634"/>
      <c r="M116" s="349" t="e">
        <f>RANK(K116, K$67:$K$81)</f>
        <v>#VALUE!</v>
      </c>
      <c r="N116" s="652"/>
      <c r="O116" s="652"/>
      <c r="P116" s="507"/>
      <c r="Q116" s="509"/>
      <c r="R116" s="509"/>
      <c r="S116" s="507"/>
      <c r="T116" s="685"/>
      <c r="U116" s="507"/>
      <c r="V116" s="509"/>
      <c r="W116" s="509"/>
      <c r="X116" s="507"/>
      <c r="Y116" s="685"/>
      <c r="Z116" s="507"/>
      <c r="AA116" s="509"/>
      <c r="AB116" s="509"/>
      <c r="AC116" s="507"/>
      <c r="AD116" s="685"/>
      <c r="AE116" s="507"/>
      <c r="AF116" s="509"/>
      <c r="AG116" s="509"/>
      <c r="AH116" s="507"/>
      <c r="AI116" s="685"/>
      <c r="AJ116" s="507"/>
      <c r="AK116" s="509"/>
      <c r="AL116" s="509"/>
      <c r="AM116" s="507"/>
      <c r="AN116" s="685"/>
      <c r="AO116" s="507"/>
      <c r="AP116" s="509"/>
      <c r="AQ116" s="509"/>
      <c r="AR116" s="507"/>
      <c r="AS116" s="685"/>
      <c r="AT116" s="507"/>
      <c r="AU116" s="509"/>
      <c r="AV116" s="509"/>
      <c r="AW116" s="507"/>
      <c r="AX116" s="685"/>
      <c r="AZ116" s="369" t="e">
        <f t="shared" si="90"/>
        <v>#N/A</v>
      </c>
      <c r="BA116" s="714"/>
    </row>
    <row r="117" spans="2:53">
      <c r="B117" s="680"/>
      <c r="C117" s="348">
        <v>11</v>
      </c>
      <c r="D117" s="225"/>
      <c r="E117" s="181"/>
      <c r="F117" s="353"/>
      <c r="G117" s="354"/>
      <c r="H117" s="692"/>
      <c r="I117" s="363" t="str">
        <f t="shared" si="87"/>
        <v>-</v>
      </c>
      <c r="J117" s="363" t="str">
        <f t="shared" si="88"/>
        <v>-</v>
      </c>
      <c r="K117" s="199" t="str">
        <f t="shared" si="89"/>
        <v>-</v>
      </c>
      <c r="L117" s="634"/>
      <c r="M117" s="349" t="e">
        <f>RANK(K117, K$67:$K$81)</f>
        <v>#VALUE!</v>
      </c>
      <c r="N117" s="652"/>
      <c r="O117" s="652"/>
      <c r="P117" s="507"/>
      <c r="Q117" s="509"/>
      <c r="R117" s="509"/>
      <c r="S117" s="507"/>
      <c r="T117" s="685"/>
      <c r="U117" s="507"/>
      <c r="V117" s="509"/>
      <c r="W117" s="509"/>
      <c r="X117" s="507"/>
      <c r="Y117" s="685"/>
      <c r="Z117" s="507"/>
      <c r="AA117" s="509"/>
      <c r="AB117" s="509"/>
      <c r="AC117" s="507"/>
      <c r="AD117" s="685"/>
      <c r="AE117" s="507"/>
      <c r="AF117" s="509"/>
      <c r="AG117" s="509"/>
      <c r="AH117" s="507"/>
      <c r="AI117" s="685"/>
      <c r="AJ117" s="507"/>
      <c r="AK117" s="509"/>
      <c r="AL117" s="509"/>
      <c r="AM117" s="507"/>
      <c r="AN117" s="685"/>
      <c r="AO117" s="507"/>
      <c r="AP117" s="509"/>
      <c r="AQ117" s="509"/>
      <c r="AR117" s="507"/>
      <c r="AS117" s="685"/>
      <c r="AT117" s="507"/>
      <c r="AU117" s="509"/>
      <c r="AV117" s="509"/>
      <c r="AW117" s="507"/>
      <c r="AX117" s="685"/>
      <c r="AZ117" s="369" t="e">
        <f t="shared" si="90"/>
        <v>#N/A</v>
      </c>
      <c r="BA117" s="714"/>
    </row>
    <row r="118" spans="2:53">
      <c r="B118" s="680"/>
      <c r="C118" s="348">
        <v>12</v>
      </c>
      <c r="D118" s="225"/>
      <c r="E118" s="181"/>
      <c r="F118" s="353"/>
      <c r="G118" s="354"/>
      <c r="H118" s="692"/>
      <c r="I118" s="363" t="str">
        <f t="shared" si="87"/>
        <v>-</v>
      </c>
      <c r="J118" s="363" t="str">
        <f t="shared" si="88"/>
        <v>-</v>
      </c>
      <c r="K118" s="199" t="str">
        <f t="shared" si="89"/>
        <v>-</v>
      </c>
      <c r="L118" s="634"/>
      <c r="M118" s="349" t="e">
        <f>RANK(K118, K$67:$K$81)</f>
        <v>#VALUE!</v>
      </c>
      <c r="N118" s="652"/>
      <c r="O118" s="652"/>
      <c r="P118" s="507"/>
      <c r="Q118" s="509"/>
      <c r="R118" s="509"/>
      <c r="S118" s="507"/>
      <c r="T118" s="685"/>
      <c r="U118" s="507"/>
      <c r="V118" s="509"/>
      <c r="W118" s="509"/>
      <c r="X118" s="507"/>
      <c r="Y118" s="685"/>
      <c r="Z118" s="507"/>
      <c r="AA118" s="509"/>
      <c r="AB118" s="509"/>
      <c r="AC118" s="507"/>
      <c r="AD118" s="685"/>
      <c r="AE118" s="507"/>
      <c r="AF118" s="509"/>
      <c r="AG118" s="509"/>
      <c r="AH118" s="507"/>
      <c r="AI118" s="685"/>
      <c r="AJ118" s="507"/>
      <c r="AK118" s="509"/>
      <c r="AL118" s="509"/>
      <c r="AM118" s="507"/>
      <c r="AN118" s="685"/>
      <c r="AO118" s="507"/>
      <c r="AP118" s="509"/>
      <c r="AQ118" s="509"/>
      <c r="AR118" s="507"/>
      <c r="AS118" s="685"/>
      <c r="AT118" s="507"/>
      <c r="AU118" s="509"/>
      <c r="AV118" s="509"/>
      <c r="AW118" s="507"/>
      <c r="AX118" s="685"/>
      <c r="AZ118" s="369" t="e">
        <f t="shared" si="90"/>
        <v>#N/A</v>
      </c>
      <c r="BA118" s="714"/>
    </row>
    <row r="119" spans="2:53">
      <c r="B119" s="680"/>
      <c r="C119" s="348">
        <v>13</v>
      </c>
      <c r="D119" s="225"/>
      <c r="E119" s="181"/>
      <c r="F119" s="353"/>
      <c r="G119" s="354"/>
      <c r="H119" s="692"/>
      <c r="I119" s="363" t="str">
        <f t="shared" si="87"/>
        <v>-</v>
      </c>
      <c r="J119" s="363" t="str">
        <f t="shared" si="88"/>
        <v>-</v>
      </c>
      <c r="K119" s="199" t="str">
        <f t="shared" si="89"/>
        <v>-</v>
      </c>
      <c r="L119" s="634"/>
      <c r="M119" s="349" t="e">
        <f>RANK(K119, K$67:$K$81)</f>
        <v>#VALUE!</v>
      </c>
      <c r="N119" s="652"/>
      <c r="O119" s="652"/>
      <c r="P119" s="507"/>
      <c r="Q119" s="509"/>
      <c r="R119" s="509"/>
      <c r="S119" s="507"/>
      <c r="T119" s="685"/>
      <c r="U119" s="507"/>
      <c r="V119" s="509"/>
      <c r="W119" s="509"/>
      <c r="X119" s="507"/>
      <c r="Y119" s="685"/>
      <c r="Z119" s="507"/>
      <c r="AA119" s="509"/>
      <c r="AB119" s="509"/>
      <c r="AC119" s="507"/>
      <c r="AD119" s="685"/>
      <c r="AE119" s="507"/>
      <c r="AF119" s="509"/>
      <c r="AG119" s="509"/>
      <c r="AH119" s="507"/>
      <c r="AI119" s="685"/>
      <c r="AJ119" s="507"/>
      <c r="AK119" s="509"/>
      <c r="AL119" s="509"/>
      <c r="AM119" s="507"/>
      <c r="AN119" s="685"/>
      <c r="AO119" s="507"/>
      <c r="AP119" s="509"/>
      <c r="AQ119" s="509"/>
      <c r="AR119" s="507"/>
      <c r="AS119" s="685"/>
      <c r="AT119" s="507"/>
      <c r="AU119" s="509"/>
      <c r="AV119" s="509"/>
      <c r="AW119" s="507"/>
      <c r="AX119" s="685"/>
      <c r="AZ119" s="369" t="e">
        <f t="shared" si="90"/>
        <v>#N/A</v>
      </c>
      <c r="BA119" s="714"/>
    </row>
    <row r="120" spans="2:53">
      <c r="B120" s="680"/>
      <c r="C120" s="348">
        <v>14</v>
      </c>
      <c r="D120" s="225"/>
      <c r="E120" s="181"/>
      <c r="F120" s="353"/>
      <c r="G120" s="354"/>
      <c r="H120" s="692"/>
      <c r="I120" s="363" t="str">
        <f t="shared" si="87"/>
        <v>-</v>
      </c>
      <c r="J120" s="363" t="str">
        <f t="shared" si="88"/>
        <v>-</v>
      </c>
      <c r="K120" s="199" t="str">
        <f t="shared" si="89"/>
        <v>-</v>
      </c>
      <c r="L120" s="634"/>
      <c r="M120" s="349" t="e">
        <f>RANK(K120, K$67:$K$81)</f>
        <v>#VALUE!</v>
      </c>
      <c r="N120" s="652"/>
      <c r="O120" s="652"/>
      <c r="P120" s="507"/>
      <c r="Q120" s="509"/>
      <c r="R120" s="509"/>
      <c r="S120" s="507"/>
      <c r="T120" s="685"/>
      <c r="U120" s="507"/>
      <c r="V120" s="509"/>
      <c r="W120" s="509"/>
      <c r="X120" s="507"/>
      <c r="Y120" s="685"/>
      <c r="Z120" s="507"/>
      <c r="AA120" s="509"/>
      <c r="AB120" s="509"/>
      <c r="AC120" s="507"/>
      <c r="AD120" s="685"/>
      <c r="AE120" s="507"/>
      <c r="AF120" s="509"/>
      <c r="AG120" s="509"/>
      <c r="AH120" s="507"/>
      <c r="AI120" s="685"/>
      <c r="AJ120" s="507"/>
      <c r="AK120" s="509"/>
      <c r="AL120" s="509"/>
      <c r="AM120" s="507"/>
      <c r="AN120" s="685"/>
      <c r="AO120" s="507"/>
      <c r="AP120" s="509"/>
      <c r="AQ120" s="509"/>
      <c r="AR120" s="507"/>
      <c r="AS120" s="685"/>
      <c r="AT120" s="507"/>
      <c r="AU120" s="509"/>
      <c r="AV120" s="509"/>
      <c r="AW120" s="507"/>
      <c r="AX120" s="685"/>
      <c r="AZ120" s="369" t="e">
        <f t="shared" si="90"/>
        <v>#N/A</v>
      </c>
      <c r="BA120" s="714"/>
    </row>
    <row r="121" spans="2:53">
      <c r="B121" s="680"/>
      <c r="C121" s="348">
        <v>15</v>
      </c>
      <c r="D121" s="225"/>
      <c r="E121" s="181"/>
      <c r="F121" s="353"/>
      <c r="G121" s="354"/>
      <c r="H121" s="696"/>
      <c r="I121" s="365"/>
      <c r="J121" s="365"/>
      <c r="K121" s="365"/>
      <c r="L121" s="635"/>
      <c r="M121" s="349" t="e">
        <f>RANK(K121, K$67:$K$81)</f>
        <v>#N/A</v>
      </c>
      <c r="N121" s="652"/>
      <c r="O121" s="652"/>
      <c r="P121" s="507"/>
      <c r="Q121" s="509"/>
      <c r="R121" s="509"/>
      <c r="S121" s="507"/>
      <c r="T121" s="685"/>
      <c r="U121" s="507"/>
      <c r="V121" s="509"/>
      <c r="W121" s="509"/>
      <c r="X121" s="507"/>
      <c r="Y121" s="685"/>
      <c r="Z121" s="507"/>
      <c r="AA121" s="509"/>
      <c r="AB121" s="509"/>
      <c r="AC121" s="507"/>
      <c r="AD121" s="685"/>
      <c r="AE121" s="507"/>
      <c r="AF121" s="509"/>
      <c r="AG121" s="509"/>
      <c r="AH121" s="507"/>
      <c r="AI121" s="685"/>
      <c r="AJ121" s="507"/>
      <c r="AK121" s="509"/>
      <c r="AL121" s="509"/>
      <c r="AM121" s="507"/>
      <c r="AN121" s="685"/>
      <c r="AO121" s="507"/>
      <c r="AP121" s="509"/>
      <c r="AQ121" s="509"/>
      <c r="AR121" s="507"/>
      <c r="AS121" s="685"/>
      <c r="AT121" s="507"/>
      <c r="AU121" s="509"/>
      <c r="AV121" s="509"/>
      <c r="AW121" s="507"/>
      <c r="AX121" s="685"/>
      <c r="AZ121" s="369" t="e">
        <f t="shared" si="90"/>
        <v>#N/A</v>
      </c>
      <c r="BA121" s="714"/>
    </row>
    <row r="123" spans="2:53" ht="15.75">
      <c r="B123" s="686" t="s">
        <v>485</v>
      </c>
      <c r="C123" s="687"/>
      <c r="D123" s="687"/>
      <c r="E123" s="687"/>
      <c r="F123" s="687"/>
      <c r="G123" s="687"/>
      <c r="H123" s="688"/>
      <c r="I123" s="307"/>
      <c r="J123" s="307"/>
      <c r="K123" s="307"/>
      <c r="L123" s="307"/>
      <c r="M123" s="308"/>
    </row>
    <row r="124" spans="2:53" ht="15.75">
      <c r="B124" s="689"/>
      <c r="C124" s="689"/>
      <c r="D124" s="689"/>
      <c r="E124" s="689"/>
      <c r="F124" s="689"/>
      <c r="G124" s="689"/>
      <c r="H124" s="689"/>
      <c r="I124" s="309"/>
      <c r="J124" s="309"/>
      <c r="K124" s="309"/>
      <c r="L124" s="309"/>
      <c r="M124" s="310"/>
    </row>
    <row r="125" spans="2:53">
      <c r="B125" s="652" t="s">
        <v>154</v>
      </c>
      <c r="C125" s="652" t="s">
        <v>379</v>
      </c>
      <c r="D125" s="652"/>
      <c r="E125" s="652" t="s">
        <v>370</v>
      </c>
      <c r="F125" s="652"/>
      <c r="G125" s="652"/>
      <c r="H125" s="668" t="s">
        <v>366</v>
      </c>
      <c r="I125" s="690" t="s">
        <v>371</v>
      </c>
      <c r="J125" s="690"/>
      <c r="K125" s="690"/>
      <c r="L125" s="704" t="s">
        <v>366</v>
      </c>
      <c r="M125" s="707" t="s">
        <v>367</v>
      </c>
    </row>
    <row r="126" spans="2:53">
      <c r="B126" s="652"/>
      <c r="C126" s="652"/>
      <c r="D126" s="652"/>
      <c r="E126" s="652" t="s">
        <v>373</v>
      </c>
      <c r="F126" s="652"/>
      <c r="G126" s="652"/>
      <c r="H126" s="669"/>
      <c r="I126" s="690" t="s">
        <v>373</v>
      </c>
      <c r="J126" s="690"/>
      <c r="K126" s="690"/>
      <c r="L126" s="705"/>
      <c r="M126" s="708"/>
    </row>
    <row r="127" spans="2:53">
      <c r="B127" s="652"/>
      <c r="C127" s="652"/>
      <c r="D127" s="652"/>
      <c r="E127" s="304" t="s">
        <v>375</v>
      </c>
      <c r="F127" s="304" t="s">
        <v>376</v>
      </c>
      <c r="G127" s="304" t="s">
        <v>377</v>
      </c>
      <c r="H127" s="670"/>
      <c r="I127" s="311" t="s">
        <v>375</v>
      </c>
      <c r="J127" s="311" t="s">
        <v>376</v>
      </c>
      <c r="K127" s="311" t="s">
        <v>377</v>
      </c>
      <c r="L127" s="706"/>
      <c r="M127" s="709"/>
    </row>
    <row r="128" spans="2:53">
      <c r="B128" s="652" t="s">
        <v>381</v>
      </c>
      <c r="C128" s="303">
        <v>1</v>
      </c>
      <c r="D128" s="225"/>
      <c r="E128" s="181"/>
      <c r="F128" s="303"/>
      <c r="G128" s="306"/>
      <c r="H128" s="698" t="e">
        <f>AVERAGE(G128:G142)</f>
        <v>#DIV/0!</v>
      </c>
      <c r="I128" s="198" t="e">
        <f t="shared" ref="I128:J137" si="91">AVERAGEIF($D$7:$D$121,$D128,I$7:I$121)</f>
        <v>#DIV/0!</v>
      </c>
      <c r="J128" s="198" t="e">
        <f t="shared" si="91"/>
        <v>#DIV/0!</v>
      </c>
      <c r="K128" s="198" t="e">
        <f t="shared" ref="K128:K137" si="92">AVERAGEIF($D$7:$D$121,$D128,K$7:K$121)</f>
        <v>#DIV/0!</v>
      </c>
      <c r="L128" s="701" t="e">
        <f>AVERAGE(K128:K142)</f>
        <v>#DIV/0!</v>
      </c>
      <c r="M128" s="198" t="e">
        <f>RANK(K128, K$128:$K$142)</f>
        <v>#DIV/0!</v>
      </c>
    </row>
    <row r="129" spans="2:39">
      <c r="B129" s="660"/>
      <c r="C129" s="303">
        <v>2</v>
      </c>
      <c r="D129" s="225"/>
      <c r="E129" s="181"/>
      <c r="F129" s="303"/>
      <c r="G129" s="306"/>
      <c r="H129" s="699"/>
      <c r="I129" s="198" t="e">
        <f t="shared" si="91"/>
        <v>#DIV/0!</v>
      </c>
      <c r="J129" s="198" t="e">
        <f t="shared" si="91"/>
        <v>#DIV/0!</v>
      </c>
      <c r="K129" s="198" t="e">
        <f t="shared" si="92"/>
        <v>#DIV/0!</v>
      </c>
      <c r="L129" s="702"/>
      <c r="M129" s="198" t="e">
        <f>RANK(K129, K$128:$K$142)</f>
        <v>#DIV/0!</v>
      </c>
      <c r="N129" s="107"/>
      <c r="O129" s="107"/>
      <c r="P129" s="107"/>
      <c r="Q129" s="107"/>
      <c r="R129" s="107"/>
      <c r="S129" s="107"/>
      <c r="T129" s="107"/>
      <c r="X129" s="107"/>
      <c r="AC129" s="107"/>
      <c r="AH129" s="107"/>
      <c r="AM129" s="107"/>
    </row>
    <row r="130" spans="2:39">
      <c r="B130" s="660"/>
      <c r="C130" s="303">
        <v>3</v>
      </c>
      <c r="D130" s="225"/>
      <c r="E130" s="181"/>
      <c r="F130" s="303"/>
      <c r="G130" s="306"/>
      <c r="H130" s="699"/>
      <c r="I130" s="198" t="e">
        <f t="shared" si="91"/>
        <v>#DIV/0!</v>
      </c>
      <c r="J130" s="198" t="e">
        <f t="shared" si="91"/>
        <v>#DIV/0!</v>
      </c>
      <c r="K130" s="198" t="e">
        <f t="shared" si="92"/>
        <v>#DIV/0!</v>
      </c>
      <c r="L130" s="702"/>
      <c r="M130" s="198" t="e">
        <f>RANK(K130, K$128:$K$142)</f>
        <v>#DIV/0!</v>
      </c>
      <c r="N130" s="107"/>
      <c r="O130" s="107"/>
      <c r="P130" s="107"/>
      <c r="Q130" s="107"/>
      <c r="R130" s="107"/>
      <c r="S130" s="107"/>
      <c r="T130" s="107"/>
      <c r="X130" s="107"/>
      <c r="AC130" s="107"/>
      <c r="AH130" s="107"/>
      <c r="AM130" s="107"/>
    </row>
    <row r="131" spans="2:39">
      <c r="B131" s="660"/>
      <c r="C131" s="303">
        <v>4</v>
      </c>
      <c r="D131" s="225"/>
      <c r="E131" s="181"/>
      <c r="F131" s="303"/>
      <c r="G131" s="306"/>
      <c r="H131" s="699"/>
      <c r="I131" s="198" t="e">
        <f t="shared" si="91"/>
        <v>#DIV/0!</v>
      </c>
      <c r="J131" s="198" t="e">
        <f t="shared" si="91"/>
        <v>#DIV/0!</v>
      </c>
      <c r="K131" s="198" t="e">
        <f t="shared" si="92"/>
        <v>#DIV/0!</v>
      </c>
      <c r="L131" s="702"/>
      <c r="M131" s="198" t="e">
        <f>RANK(K131, K$128:$K$142)</f>
        <v>#DIV/0!</v>
      </c>
      <c r="N131" s="107"/>
      <c r="O131" s="107"/>
      <c r="P131" s="107"/>
      <c r="Q131" s="107"/>
      <c r="R131" s="107"/>
      <c r="S131" s="107"/>
      <c r="T131" s="107"/>
      <c r="X131" s="107"/>
      <c r="AC131" s="107"/>
      <c r="AH131" s="107"/>
      <c r="AM131" s="107"/>
    </row>
    <row r="132" spans="2:39">
      <c r="B132" s="660"/>
      <c r="C132" s="303">
        <v>5</v>
      </c>
      <c r="D132" s="225"/>
      <c r="E132" s="181"/>
      <c r="F132" s="303"/>
      <c r="G132" s="306"/>
      <c r="H132" s="699"/>
      <c r="I132" s="198" t="e">
        <f t="shared" si="91"/>
        <v>#DIV/0!</v>
      </c>
      <c r="J132" s="198" t="e">
        <f t="shared" si="91"/>
        <v>#DIV/0!</v>
      </c>
      <c r="K132" s="198" t="e">
        <f t="shared" si="92"/>
        <v>#DIV/0!</v>
      </c>
      <c r="L132" s="702"/>
      <c r="M132" s="198" t="e">
        <f>RANK(K132, K$128:$K$142)</f>
        <v>#DIV/0!</v>
      </c>
      <c r="N132" s="107"/>
      <c r="O132" s="107"/>
      <c r="P132" s="107"/>
      <c r="Q132" s="107"/>
      <c r="R132" s="107"/>
      <c r="S132" s="107"/>
      <c r="T132" s="107"/>
      <c r="X132" s="107"/>
      <c r="AC132" s="107"/>
      <c r="AH132" s="107"/>
      <c r="AM132" s="107"/>
    </row>
    <row r="133" spans="2:39">
      <c r="B133" s="660"/>
      <c r="C133" s="303">
        <v>6</v>
      </c>
      <c r="D133" s="312"/>
      <c r="E133" s="181"/>
      <c r="F133" s="303"/>
      <c r="G133" s="306"/>
      <c r="H133" s="699"/>
      <c r="I133" s="198" t="e">
        <f t="shared" si="91"/>
        <v>#DIV/0!</v>
      </c>
      <c r="J133" s="198" t="e">
        <f t="shared" si="91"/>
        <v>#DIV/0!</v>
      </c>
      <c r="K133" s="198" t="e">
        <f t="shared" si="92"/>
        <v>#DIV/0!</v>
      </c>
      <c r="L133" s="702"/>
      <c r="M133" s="198" t="e">
        <f>RANK(K133, K$128:$K$142)</f>
        <v>#DIV/0!</v>
      </c>
      <c r="N133" s="107"/>
      <c r="O133" s="107"/>
      <c r="P133" s="107"/>
      <c r="Q133" s="107"/>
      <c r="R133" s="107"/>
      <c r="S133" s="107"/>
      <c r="T133" s="107"/>
      <c r="X133" s="107"/>
      <c r="AC133" s="107"/>
      <c r="AH133" s="107"/>
      <c r="AM133" s="107"/>
    </row>
    <row r="134" spans="2:39">
      <c r="B134" s="660"/>
      <c r="C134" s="303">
        <v>7</v>
      </c>
      <c r="D134" s="225"/>
      <c r="E134" s="181"/>
      <c r="F134" s="303"/>
      <c r="G134" s="306"/>
      <c r="H134" s="699"/>
      <c r="I134" s="198" t="e">
        <f t="shared" si="91"/>
        <v>#DIV/0!</v>
      </c>
      <c r="J134" s="198" t="e">
        <f t="shared" si="91"/>
        <v>#DIV/0!</v>
      </c>
      <c r="K134" s="198" t="e">
        <f t="shared" si="92"/>
        <v>#DIV/0!</v>
      </c>
      <c r="L134" s="702"/>
      <c r="M134" s="198" t="e">
        <f>RANK(K134, K$128:$K$142)</f>
        <v>#DIV/0!</v>
      </c>
      <c r="N134" s="107"/>
      <c r="O134" s="107"/>
      <c r="P134" s="107"/>
      <c r="Q134" s="107"/>
      <c r="R134" s="107"/>
      <c r="S134" s="107"/>
      <c r="T134" s="107"/>
      <c r="X134" s="107"/>
      <c r="AC134" s="107"/>
      <c r="AH134" s="107"/>
      <c r="AM134" s="107"/>
    </row>
    <row r="135" spans="2:39">
      <c r="B135" s="660"/>
      <c r="C135" s="303">
        <v>8</v>
      </c>
      <c r="D135" s="225"/>
      <c r="E135" s="181"/>
      <c r="F135" s="303"/>
      <c r="G135" s="306"/>
      <c r="H135" s="699"/>
      <c r="I135" s="198" t="e">
        <f t="shared" si="91"/>
        <v>#DIV/0!</v>
      </c>
      <c r="J135" s="198" t="e">
        <f t="shared" si="91"/>
        <v>#DIV/0!</v>
      </c>
      <c r="K135" s="198" t="e">
        <f t="shared" si="92"/>
        <v>#DIV/0!</v>
      </c>
      <c r="L135" s="702"/>
      <c r="M135" s="198" t="e">
        <f>RANK(K135, K$128:$K$142)</f>
        <v>#DIV/0!</v>
      </c>
      <c r="N135" s="107"/>
      <c r="O135" s="107"/>
      <c r="P135" s="107"/>
      <c r="Q135" s="107"/>
      <c r="R135" s="107"/>
      <c r="S135" s="107"/>
      <c r="T135" s="107"/>
      <c r="X135" s="107"/>
      <c r="AC135" s="107"/>
      <c r="AH135" s="107"/>
      <c r="AM135" s="107"/>
    </row>
    <row r="136" spans="2:39">
      <c r="B136" s="660"/>
      <c r="C136" s="303">
        <v>9</v>
      </c>
      <c r="D136" s="225"/>
      <c r="E136" s="303"/>
      <c r="F136" s="303"/>
      <c r="G136" s="303"/>
      <c r="H136" s="699"/>
      <c r="I136" s="198" t="e">
        <f t="shared" si="91"/>
        <v>#DIV/0!</v>
      </c>
      <c r="J136" s="198" t="e">
        <f t="shared" si="91"/>
        <v>#DIV/0!</v>
      </c>
      <c r="K136" s="198" t="e">
        <f t="shared" si="92"/>
        <v>#DIV/0!</v>
      </c>
      <c r="L136" s="702"/>
      <c r="M136" s="198" t="e">
        <f>RANK(K136, K$128:$K$142)</f>
        <v>#DIV/0!</v>
      </c>
      <c r="N136" s="107"/>
      <c r="O136" s="107"/>
      <c r="P136" s="107"/>
      <c r="Q136" s="107"/>
      <c r="R136" s="107"/>
      <c r="S136" s="107"/>
      <c r="T136" s="107"/>
      <c r="X136" s="107"/>
      <c r="AC136" s="107"/>
      <c r="AH136" s="107"/>
      <c r="AM136" s="107"/>
    </row>
    <row r="137" spans="2:39">
      <c r="B137" s="660"/>
      <c r="C137" s="303">
        <v>10</v>
      </c>
      <c r="D137" s="225"/>
      <c r="E137" s="303"/>
      <c r="F137" s="303"/>
      <c r="G137" s="303"/>
      <c r="H137" s="699"/>
      <c r="I137" s="198" t="e">
        <f t="shared" si="91"/>
        <v>#DIV/0!</v>
      </c>
      <c r="J137" s="198" t="e">
        <f t="shared" si="91"/>
        <v>#DIV/0!</v>
      </c>
      <c r="K137" s="198" t="e">
        <f t="shared" si="92"/>
        <v>#DIV/0!</v>
      </c>
      <c r="L137" s="702"/>
      <c r="M137" s="198" t="e">
        <f>RANK(K137, K$128:$K$142)</f>
        <v>#DIV/0!</v>
      </c>
      <c r="N137" s="107"/>
      <c r="O137" s="107"/>
      <c r="P137" s="107"/>
      <c r="Q137" s="107"/>
      <c r="R137" s="107"/>
      <c r="S137" s="107"/>
      <c r="T137" s="107"/>
      <c r="X137" s="107"/>
      <c r="AC137" s="107"/>
      <c r="AH137" s="107"/>
      <c r="AM137" s="107"/>
    </row>
    <row r="138" spans="2:39">
      <c r="B138" s="660"/>
      <c r="C138" s="303">
        <v>11</v>
      </c>
      <c r="D138" s="225"/>
      <c r="E138" s="303"/>
      <c r="F138" s="303"/>
      <c r="G138" s="303"/>
      <c r="H138" s="699"/>
      <c r="I138" s="198"/>
      <c r="J138" s="198"/>
      <c r="K138" s="198"/>
      <c r="L138" s="702"/>
      <c r="M138" s="198" t="e">
        <f>RANK(K138, K$128:$K$142)</f>
        <v>#DIV/0!</v>
      </c>
      <c r="N138" s="107"/>
      <c r="O138" s="107"/>
      <c r="P138" s="107"/>
      <c r="Q138" s="107"/>
      <c r="R138" s="107"/>
      <c r="S138" s="107"/>
      <c r="T138" s="107"/>
      <c r="X138" s="107"/>
      <c r="AC138" s="107"/>
      <c r="AH138" s="107"/>
      <c r="AM138" s="107"/>
    </row>
    <row r="139" spans="2:39">
      <c r="B139" s="660"/>
      <c r="C139" s="303">
        <v>12</v>
      </c>
      <c r="D139" s="225"/>
      <c r="E139" s="303"/>
      <c r="F139" s="303"/>
      <c r="G139" s="303"/>
      <c r="H139" s="699"/>
      <c r="I139" s="198"/>
      <c r="J139" s="198"/>
      <c r="K139" s="198"/>
      <c r="L139" s="702"/>
      <c r="M139" s="198" t="e">
        <f>RANK(K139, K$128:$K$142)</f>
        <v>#DIV/0!</v>
      </c>
      <c r="N139" s="107"/>
      <c r="O139" s="107"/>
      <c r="P139" s="107"/>
      <c r="Q139" s="107"/>
      <c r="R139" s="107"/>
      <c r="S139" s="107"/>
      <c r="T139" s="107"/>
      <c r="X139" s="107"/>
      <c r="AC139" s="107"/>
      <c r="AH139" s="107"/>
      <c r="AM139" s="107"/>
    </row>
    <row r="140" spans="2:39">
      <c r="B140" s="660"/>
      <c r="C140" s="303">
        <v>13</v>
      </c>
      <c r="D140" s="225"/>
      <c r="E140" s="303"/>
      <c r="F140" s="303"/>
      <c r="G140" s="303"/>
      <c r="H140" s="699"/>
      <c r="I140" s="198"/>
      <c r="J140" s="198"/>
      <c r="K140" s="198"/>
      <c r="L140" s="702"/>
      <c r="M140" s="198" t="e">
        <f>RANK(K140, K$128:$K$142)</f>
        <v>#DIV/0!</v>
      </c>
      <c r="N140" s="107"/>
      <c r="O140" s="107"/>
      <c r="P140" s="107"/>
      <c r="Q140" s="107"/>
      <c r="R140" s="107"/>
      <c r="S140" s="107"/>
      <c r="T140" s="107"/>
      <c r="X140" s="107"/>
      <c r="AC140" s="107"/>
      <c r="AH140" s="107"/>
      <c r="AM140" s="107"/>
    </row>
    <row r="141" spans="2:39">
      <c r="B141" s="660"/>
      <c r="C141" s="303">
        <v>14</v>
      </c>
      <c r="D141" s="225"/>
      <c r="E141" s="303"/>
      <c r="F141" s="303"/>
      <c r="G141" s="303"/>
      <c r="H141" s="699"/>
      <c r="I141" s="198"/>
      <c r="J141" s="198"/>
      <c r="K141" s="198"/>
      <c r="L141" s="702"/>
      <c r="M141" s="198" t="e">
        <f>RANK(K141, K$128:$K$142)</f>
        <v>#DIV/0!</v>
      </c>
      <c r="N141" s="107"/>
      <c r="O141" s="107"/>
      <c r="P141" s="107"/>
      <c r="Q141" s="107"/>
      <c r="R141" s="107"/>
      <c r="S141" s="107"/>
      <c r="T141" s="107"/>
      <c r="X141" s="107"/>
      <c r="AC141" s="107"/>
      <c r="AH141" s="107"/>
      <c r="AM141" s="107"/>
    </row>
    <row r="142" spans="2:39">
      <c r="B142" s="660"/>
      <c r="C142" s="303">
        <v>15</v>
      </c>
      <c r="D142" s="225"/>
      <c r="E142" s="303"/>
      <c r="F142" s="303"/>
      <c r="G142" s="303"/>
      <c r="H142" s="700"/>
      <c r="I142" s="198"/>
      <c r="J142" s="198"/>
      <c r="K142" s="198"/>
      <c r="L142" s="703"/>
      <c r="M142" s="198" t="e">
        <f>RANK(K142, K$128:$K$142)</f>
        <v>#DIV/0!</v>
      </c>
      <c r="N142" s="107"/>
      <c r="O142" s="107"/>
      <c r="P142" s="107"/>
      <c r="Q142" s="107"/>
      <c r="R142" s="107"/>
      <c r="S142" s="107"/>
      <c r="T142" s="107"/>
      <c r="X142" s="107"/>
      <c r="AC142" s="107"/>
      <c r="AH142" s="107"/>
      <c r="AM142" s="107"/>
    </row>
  </sheetData>
  <mergeCells count="379"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BA87:BA101"/>
    <mergeCell ref="BA104:BA106"/>
    <mergeCell ref="BA107:BA121"/>
    <mergeCell ref="BA4:BA6"/>
    <mergeCell ref="BA7:BA21"/>
    <mergeCell ref="BA24:BA26"/>
    <mergeCell ref="BA27:BA41"/>
    <mergeCell ref="BA44:BA46"/>
    <mergeCell ref="BA47:BA61"/>
    <mergeCell ref="BA64:BA66"/>
    <mergeCell ref="BA67:BA81"/>
    <mergeCell ref="BA84:BA86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A142"/>
  <sheetViews>
    <sheetView topLeftCell="A13" zoomScale="40" zoomScaleNormal="40" workbookViewId="0">
      <pane xSplit="15" topLeftCell="P1" activePane="topRight" state="frozen"/>
      <selection activeCell="A8" sqref="A8:L28"/>
      <selection pane="topRight" activeCell="D87" sqref="D87:G101"/>
    </sheetView>
  </sheetViews>
  <sheetFormatPr defaultColWidth="8.85546875" defaultRowHeight="12.75"/>
  <cols>
    <col min="1" max="1" width="5.5703125" style="107" customWidth="1"/>
    <col min="2" max="2" width="12.42578125" style="107" customWidth="1"/>
    <col min="3" max="3" width="8.85546875" style="106"/>
    <col min="4" max="4" width="26.42578125" style="106" customWidth="1"/>
    <col min="5" max="7" width="8.42578125" style="106" customWidth="1"/>
    <col min="8" max="8" width="11.140625" style="106" bestFit="1" customWidth="1"/>
    <col min="9" max="12" width="11.140625" style="106" customWidth="1"/>
    <col min="13" max="13" width="13.5703125" style="106" customWidth="1"/>
    <col min="14" max="14" width="9.85546875" style="106" customWidth="1"/>
    <col min="15" max="15" width="7.140625" style="106" customWidth="1"/>
    <col min="16" max="18" width="12.85546875" style="106" customWidth="1"/>
    <col min="19" max="19" width="5.42578125" style="106" customWidth="1"/>
    <col min="20" max="20" width="12.85546875" style="106" customWidth="1"/>
    <col min="21" max="23" width="12.85546875" style="107" customWidth="1"/>
    <col min="24" max="24" width="5.42578125" style="106" customWidth="1"/>
    <col min="25" max="28" width="12.85546875" style="107" customWidth="1"/>
    <col min="29" max="29" width="5.42578125" style="106" customWidth="1"/>
    <col min="30" max="30" width="12.85546875" style="107" customWidth="1"/>
    <col min="31" max="33" width="12.5703125" style="107" customWidth="1"/>
    <col min="34" max="34" width="5.42578125" style="106" customWidth="1"/>
    <col min="35" max="35" width="13" style="107" customWidth="1"/>
    <col min="36" max="38" width="12.5703125" style="107" customWidth="1"/>
    <col min="39" max="39" width="5.42578125" style="106" customWidth="1"/>
    <col min="40" max="40" width="13" style="107" customWidth="1"/>
    <col min="41" max="43" width="13.140625" style="107" customWidth="1"/>
    <col min="44" max="44" width="5.42578125" style="107" customWidth="1"/>
    <col min="45" max="48" width="13.140625" style="107" customWidth="1"/>
    <col min="49" max="49" width="5.42578125" style="107" customWidth="1"/>
    <col min="50" max="50" width="13.140625" style="107" customWidth="1"/>
    <col min="51" max="51" width="8.85546875" style="107"/>
    <col min="52" max="52" width="5.42578125" style="107" customWidth="1"/>
    <col min="53" max="53" width="13.140625" style="107" customWidth="1"/>
    <col min="54" max="16384" width="8.85546875" style="107"/>
  </cols>
  <sheetData>
    <row r="1" spans="1:53" ht="24">
      <c r="A1" s="75"/>
      <c r="B1" s="220" t="s">
        <v>313</v>
      </c>
      <c r="C1" s="219">
        <f>AVERAGE(L7,L27,L47,L67,L87,L107)</f>
        <v>125.48572844565702</v>
      </c>
    </row>
    <row r="2" spans="1:53" ht="15.75">
      <c r="A2" s="81"/>
      <c r="B2" s="664" t="s">
        <v>162</v>
      </c>
      <c r="C2" s="664"/>
      <c r="D2" s="664"/>
      <c r="E2" s="664"/>
      <c r="F2" s="664"/>
      <c r="G2" s="664"/>
      <c r="H2" s="664"/>
      <c r="I2" s="284"/>
      <c r="J2" s="284"/>
      <c r="K2" s="284"/>
      <c r="L2" s="284"/>
      <c r="M2" s="196"/>
      <c r="N2" s="653" t="s">
        <v>156</v>
      </c>
      <c r="O2" s="653" t="s">
        <v>155</v>
      </c>
      <c r="P2" s="659">
        <v>46231</v>
      </c>
      <c r="Q2" s="660"/>
      <c r="R2" s="660"/>
      <c r="S2" s="660"/>
      <c r="T2" s="660"/>
      <c r="U2" s="656">
        <f>P2+1</f>
        <v>46232</v>
      </c>
      <c r="V2" s="657"/>
      <c r="W2" s="657"/>
      <c r="X2" s="657"/>
      <c r="Y2" s="658"/>
      <c r="Z2" s="656">
        <f>U2+1</f>
        <v>46233</v>
      </c>
      <c r="AA2" s="657"/>
      <c r="AB2" s="657"/>
      <c r="AC2" s="657"/>
      <c r="AD2" s="658"/>
      <c r="AE2" s="656">
        <f>Z2+1</f>
        <v>46234</v>
      </c>
      <c r="AF2" s="657"/>
      <c r="AG2" s="657"/>
      <c r="AH2" s="657"/>
      <c r="AI2" s="658"/>
      <c r="AJ2" s="656">
        <f>AE2+1</f>
        <v>46235</v>
      </c>
      <c r="AK2" s="657"/>
      <c r="AL2" s="657"/>
      <c r="AM2" s="657"/>
      <c r="AN2" s="658"/>
      <c r="AO2" s="656">
        <f>AJ2+1</f>
        <v>46236</v>
      </c>
      <c r="AP2" s="657"/>
      <c r="AQ2" s="657"/>
      <c r="AR2" s="657"/>
      <c r="AS2" s="658"/>
      <c r="AT2" s="656">
        <f>AO2+1</f>
        <v>46237</v>
      </c>
      <c r="AU2" s="657"/>
      <c r="AV2" s="657"/>
      <c r="AW2" s="657"/>
      <c r="AX2" s="658"/>
    </row>
    <row r="3" spans="1:53" ht="15.75">
      <c r="A3" s="81"/>
      <c r="B3" s="697"/>
      <c r="C3" s="697"/>
      <c r="D3" s="697"/>
      <c r="E3" s="697"/>
      <c r="F3" s="697"/>
      <c r="G3" s="697"/>
      <c r="H3" s="697"/>
      <c r="I3" s="285"/>
      <c r="J3" s="285"/>
      <c r="K3" s="285"/>
      <c r="L3" s="285"/>
      <c r="M3" s="197"/>
      <c r="N3" s="655"/>
      <c r="O3" s="655"/>
      <c r="P3" s="659" t="s">
        <v>158</v>
      </c>
      <c r="Q3" s="660"/>
      <c r="R3" s="660"/>
      <c r="S3" s="660"/>
      <c r="T3" s="660"/>
      <c r="U3" s="659" t="s">
        <v>114</v>
      </c>
      <c r="V3" s="660"/>
      <c r="W3" s="660"/>
      <c r="X3" s="660"/>
      <c r="Y3" s="660"/>
      <c r="Z3" s="659" t="s">
        <v>159</v>
      </c>
      <c r="AA3" s="660"/>
      <c r="AB3" s="660"/>
      <c r="AC3" s="660"/>
      <c r="AD3" s="660"/>
      <c r="AE3" s="659" t="s">
        <v>157</v>
      </c>
      <c r="AF3" s="660"/>
      <c r="AG3" s="660"/>
      <c r="AH3" s="660"/>
      <c r="AI3" s="660"/>
      <c r="AJ3" s="659" t="s">
        <v>160</v>
      </c>
      <c r="AK3" s="660"/>
      <c r="AL3" s="660"/>
      <c r="AM3" s="660"/>
      <c r="AN3" s="660"/>
      <c r="AO3" s="659" t="s">
        <v>115</v>
      </c>
      <c r="AP3" s="660"/>
      <c r="AQ3" s="660"/>
      <c r="AR3" s="660"/>
      <c r="AS3" s="660"/>
      <c r="AT3" s="659" t="s">
        <v>161</v>
      </c>
      <c r="AU3" s="660"/>
      <c r="AV3" s="660"/>
      <c r="AW3" s="660"/>
      <c r="AX3" s="660"/>
    </row>
    <row r="4" spans="1:53" ht="14.25">
      <c r="A4" s="81"/>
      <c r="B4" s="652" t="s">
        <v>531</v>
      </c>
      <c r="C4" s="652" t="s">
        <v>532</v>
      </c>
      <c r="D4" s="652"/>
      <c r="E4" s="652" t="s">
        <v>533</v>
      </c>
      <c r="F4" s="652"/>
      <c r="G4" s="652"/>
      <c r="H4" s="668" t="s">
        <v>534</v>
      </c>
      <c r="I4" s="652" t="s">
        <v>535</v>
      </c>
      <c r="J4" s="652"/>
      <c r="K4" s="652"/>
      <c r="L4" s="668" t="s">
        <v>366</v>
      </c>
      <c r="M4" s="653" t="s">
        <v>536</v>
      </c>
      <c r="N4" s="652"/>
      <c r="O4" s="652" t="s">
        <v>372</v>
      </c>
      <c r="P4" s="649" t="s">
        <v>368</v>
      </c>
      <c r="Q4" s="650"/>
      <c r="R4" s="650"/>
      <c r="S4" s="651"/>
      <c r="T4" s="652" t="s">
        <v>366</v>
      </c>
      <c r="U4" s="649" t="s">
        <v>368</v>
      </c>
      <c r="V4" s="650"/>
      <c r="W4" s="650"/>
      <c r="X4" s="651"/>
      <c r="Y4" s="652" t="s">
        <v>366</v>
      </c>
      <c r="Z4" s="649" t="s">
        <v>368</v>
      </c>
      <c r="AA4" s="650"/>
      <c r="AB4" s="650"/>
      <c r="AC4" s="651"/>
      <c r="AD4" s="652" t="s">
        <v>366</v>
      </c>
      <c r="AE4" s="649" t="s">
        <v>368</v>
      </c>
      <c r="AF4" s="650"/>
      <c r="AG4" s="650"/>
      <c r="AH4" s="651"/>
      <c r="AI4" s="652" t="s">
        <v>366</v>
      </c>
      <c r="AJ4" s="649" t="s">
        <v>368</v>
      </c>
      <c r="AK4" s="650"/>
      <c r="AL4" s="650"/>
      <c r="AM4" s="651"/>
      <c r="AN4" s="652" t="s">
        <v>366</v>
      </c>
      <c r="AO4" s="649" t="s">
        <v>368</v>
      </c>
      <c r="AP4" s="650"/>
      <c r="AQ4" s="650"/>
      <c r="AR4" s="651"/>
      <c r="AS4" s="652" t="s">
        <v>366</v>
      </c>
      <c r="AT4" s="649" t="s">
        <v>368</v>
      </c>
      <c r="AU4" s="650"/>
      <c r="AV4" s="650"/>
      <c r="AW4" s="651"/>
      <c r="AX4" s="652" t="s">
        <v>366</v>
      </c>
      <c r="BA4" s="652" t="s">
        <v>366</v>
      </c>
    </row>
    <row r="5" spans="1:53" ht="14.25">
      <c r="A5" s="81"/>
      <c r="B5" s="652"/>
      <c r="C5" s="652"/>
      <c r="D5" s="652"/>
      <c r="E5" s="652" t="s">
        <v>538</v>
      </c>
      <c r="F5" s="652"/>
      <c r="G5" s="652"/>
      <c r="H5" s="669"/>
      <c r="I5" s="652" t="s">
        <v>538</v>
      </c>
      <c r="J5" s="652"/>
      <c r="K5" s="652"/>
      <c r="L5" s="669"/>
      <c r="M5" s="654"/>
      <c r="N5" s="652"/>
      <c r="O5" s="652"/>
      <c r="P5" s="649" t="s">
        <v>374</v>
      </c>
      <c r="Q5" s="650"/>
      <c r="R5" s="650"/>
      <c r="S5" s="651"/>
      <c r="T5" s="652"/>
      <c r="U5" s="649" t="s">
        <v>374</v>
      </c>
      <c r="V5" s="650"/>
      <c r="W5" s="650"/>
      <c r="X5" s="651"/>
      <c r="Y5" s="652"/>
      <c r="Z5" s="649" t="s">
        <v>374</v>
      </c>
      <c r="AA5" s="650"/>
      <c r="AB5" s="650"/>
      <c r="AC5" s="651"/>
      <c r="AD5" s="652"/>
      <c r="AE5" s="649" t="s">
        <v>374</v>
      </c>
      <c r="AF5" s="650"/>
      <c r="AG5" s="650"/>
      <c r="AH5" s="651"/>
      <c r="AI5" s="652"/>
      <c r="AJ5" s="649" t="s">
        <v>374</v>
      </c>
      <c r="AK5" s="650"/>
      <c r="AL5" s="650"/>
      <c r="AM5" s="651"/>
      <c r="AN5" s="652"/>
      <c r="AO5" s="649" t="s">
        <v>374</v>
      </c>
      <c r="AP5" s="650"/>
      <c r="AQ5" s="650"/>
      <c r="AR5" s="651"/>
      <c r="AS5" s="652"/>
      <c r="AT5" s="649" t="s">
        <v>374</v>
      </c>
      <c r="AU5" s="650"/>
      <c r="AV5" s="650"/>
      <c r="AW5" s="651"/>
      <c r="AX5" s="652"/>
      <c r="BA5" s="652"/>
    </row>
    <row r="6" spans="1:53" ht="14.25">
      <c r="A6" s="79"/>
      <c r="B6" s="652"/>
      <c r="C6" s="652"/>
      <c r="D6" s="652"/>
      <c r="E6" s="529" t="s">
        <v>539</v>
      </c>
      <c r="F6" s="529" t="s">
        <v>540</v>
      </c>
      <c r="G6" s="529" t="s">
        <v>541</v>
      </c>
      <c r="H6" s="670"/>
      <c r="I6" s="529" t="s">
        <v>539</v>
      </c>
      <c r="J6" s="529" t="s">
        <v>540</v>
      </c>
      <c r="K6" s="529" t="s">
        <v>541</v>
      </c>
      <c r="L6" s="670"/>
      <c r="M6" s="655"/>
      <c r="N6" s="652"/>
      <c r="O6" s="652"/>
      <c r="P6" s="529" t="s">
        <v>375</v>
      </c>
      <c r="Q6" s="529" t="s">
        <v>376</v>
      </c>
      <c r="R6" s="529" t="s">
        <v>377</v>
      </c>
      <c r="S6" s="529" t="s">
        <v>367</v>
      </c>
      <c r="T6" s="652"/>
      <c r="U6" s="529" t="s">
        <v>375</v>
      </c>
      <c r="V6" s="529" t="s">
        <v>376</v>
      </c>
      <c r="W6" s="529" t="s">
        <v>377</v>
      </c>
      <c r="X6" s="529" t="s">
        <v>367</v>
      </c>
      <c r="Y6" s="652"/>
      <c r="Z6" s="529" t="s">
        <v>375</v>
      </c>
      <c r="AA6" s="529" t="s">
        <v>376</v>
      </c>
      <c r="AB6" s="529" t="s">
        <v>377</v>
      </c>
      <c r="AC6" s="529" t="s">
        <v>367</v>
      </c>
      <c r="AD6" s="652"/>
      <c r="AE6" s="529" t="s">
        <v>375</v>
      </c>
      <c r="AF6" s="529" t="s">
        <v>376</v>
      </c>
      <c r="AG6" s="529" t="s">
        <v>377</v>
      </c>
      <c r="AH6" s="529" t="s">
        <v>367</v>
      </c>
      <c r="AI6" s="652"/>
      <c r="AJ6" s="529" t="s">
        <v>375</v>
      </c>
      <c r="AK6" s="529" t="s">
        <v>376</v>
      </c>
      <c r="AL6" s="529" t="s">
        <v>377</v>
      </c>
      <c r="AM6" s="529" t="s">
        <v>367</v>
      </c>
      <c r="AN6" s="652"/>
      <c r="AO6" s="529" t="s">
        <v>375</v>
      </c>
      <c r="AP6" s="529" t="s">
        <v>376</v>
      </c>
      <c r="AQ6" s="529" t="s">
        <v>377</v>
      </c>
      <c r="AR6" s="529" t="s">
        <v>367</v>
      </c>
      <c r="AS6" s="652"/>
      <c r="AT6" s="529" t="s">
        <v>375</v>
      </c>
      <c r="AU6" s="529" t="s">
        <v>376</v>
      </c>
      <c r="AV6" s="529" t="s">
        <v>377</v>
      </c>
      <c r="AW6" s="529" t="s">
        <v>367</v>
      </c>
      <c r="AX6" s="652"/>
      <c r="AZ6" s="367" t="s">
        <v>367</v>
      </c>
      <c r="BA6" s="652"/>
    </row>
    <row r="7" spans="1:53" ht="14.25">
      <c r="A7" s="81"/>
      <c r="B7" s="652" t="s">
        <v>136</v>
      </c>
      <c r="C7" s="533">
        <v>1</v>
      </c>
      <c r="D7" s="225" t="s">
        <v>350</v>
      </c>
      <c r="E7" s="531">
        <v>20</v>
      </c>
      <c r="F7" s="530">
        <v>2400</v>
      </c>
      <c r="G7" s="532">
        <v>120</v>
      </c>
      <c r="H7" s="691">
        <f>AVERAGE(G7:G21)</f>
        <v>136.57420942061034</v>
      </c>
      <c r="I7" s="534">
        <f t="shared" ref="I7:I20" si="0">IFERROR(AVERAGE(P7,U7,Z7,AE7,AJ7,AO7,AT7),"-")</f>
        <v>20</v>
      </c>
      <c r="J7" s="534">
        <f t="shared" ref="J7:J20" si="1">IFERROR(AVERAGE(Q7,V7,AA7,AF7,AK7,AP7,AU7),"-")</f>
        <v>2377.3997518610418</v>
      </c>
      <c r="K7" s="199">
        <f t="shared" ref="K7:K20" si="2">IFERROR(AVERAGE(R7,W7,AB7,AG7,AL7,AQ7,AV7),"-")</f>
        <v>118.86998759305209</v>
      </c>
      <c r="L7" s="633">
        <f>IFERROR(AVERAGE(K7:K21),"-")</f>
        <v>123.52420906522624</v>
      </c>
      <c r="M7" s="510">
        <f>RANK(K7, K$7:$K$21)</f>
        <v>7</v>
      </c>
      <c r="N7" s="652"/>
      <c r="O7" s="652"/>
      <c r="P7" s="533"/>
      <c r="Q7" s="510"/>
      <c r="R7" s="510"/>
      <c r="S7" s="530"/>
      <c r="T7" s="685"/>
      <c r="U7" s="533"/>
      <c r="V7" s="510"/>
      <c r="W7" s="510"/>
      <c r="X7" s="555"/>
      <c r="Y7" s="685"/>
      <c r="Z7" s="533"/>
      <c r="AA7" s="510"/>
      <c r="AB7" s="510"/>
      <c r="AC7" s="555"/>
      <c r="AD7" s="685"/>
      <c r="AE7" s="533"/>
      <c r="AF7" s="510"/>
      <c r="AG7" s="510"/>
      <c r="AH7" s="555"/>
      <c r="AI7" s="685"/>
      <c r="AJ7" s="533">
        <v>20</v>
      </c>
      <c r="AK7" s="510">
        <v>2377.4999999999991</v>
      </c>
      <c r="AL7" s="510">
        <v>118.87499999999996</v>
      </c>
      <c r="AM7" s="555">
        <f>RANK(AL7, AL$7:AL$21)</f>
        <v>7</v>
      </c>
      <c r="AN7" s="685">
        <f t="shared" ref="AN7" si="3">AVERAGE(AL7:AL21)</f>
        <v>123.4413305604387</v>
      </c>
      <c r="AO7" s="533">
        <v>20</v>
      </c>
      <c r="AP7" s="510">
        <v>2387.2153846153838</v>
      </c>
      <c r="AQ7" s="510">
        <v>119.36076923076919</v>
      </c>
      <c r="AR7" s="555">
        <f>RANK(AQ7, AQ$7:AQ$21)</f>
        <v>7</v>
      </c>
      <c r="AS7" s="685">
        <f t="shared" ref="AS7" si="4">AVERAGE(AQ7:AQ21)</f>
        <v>124.47340433502995</v>
      </c>
      <c r="AT7" s="530">
        <v>20</v>
      </c>
      <c r="AU7" s="531">
        <v>2367.483870967742</v>
      </c>
      <c r="AV7" s="531">
        <v>118.3741935483871</v>
      </c>
      <c r="AW7" s="555">
        <f>RANK(AV7, AV$7:AV$21)</f>
        <v>7</v>
      </c>
      <c r="AX7" s="685">
        <f t="shared" ref="AX7" si="5">AVERAGE(AV7:AV21)</f>
        <v>122.65789230021001</v>
      </c>
      <c r="AZ7" s="369" t="e">
        <f t="shared" ref="AZ7:AZ21" si="6">RANK(AY7, AY$7:AY$21)</f>
        <v>#N/A</v>
      </c>
      <c r="BA7" s="710" t="e">
        <f t="shared" ref="BA7" si="7">AVERAGE(AY7:AY21)</f>
        <v>#DIV/0!</v>
      </c>
    </row>
    <row r="8" spans="1:53" ht="15" customHeight="1">
      <c r="A8" s="81"/>
      <c r="B8" s="680"/>
      <c r="C8" s="533">
        <v>2</v>
      </c>
      <c r="D8" s="225" t="s">
        <v>351</v>
      </c>
      <c r="E8" s="531">
        <v>18</v>
      </c>
      <c r="F8" s="530">
        <v>2769</v>
      </c>
      <c r="G8" s="532">
        <v>153.83333333333334</v>
      </c>
      <c r="H8" s="692"/>
      <c r="I8" s="534">
        <f t="shared" si="0"/>
        <v>18</v>
      </c>
      <c r="J8" s="534">
        <f t="shared" si="1"/>
        <v>2531.2277323062112</v>
      </c>
      <c r="K8" s="199">
        <f t="shared" si="2"/>
        <v>140.62376290590063</v>
      </c>
      <c r="L8" s="634"/>
      <c r="M8" s="510">
        <f>RANK(K8, K$7:$K$21)</f>
        <v>1</v>
      </c>
      <c r="N8" s="652"/>
      <c r="O8" s="652"/>
      <c r="P8" s="533"/>
      <c r="Q8" s="510"/>
      <c r="R8" s="510"/>
      <c r="S8" s="555"/>
      <c r="T8" s="685"/>
      <c r="U8" s="533"/>
      <c r="V8" s="510"/>
      <c r="W8" s="510"/>
      <c r="X8" s="555"/>
      <c r="Y8" s="685"/>
      <c r="Z8" s="533"/>
      <c r="AA8" s="510"/>
      <c r="AB8" s="510"/>
      <c r="AC8" s="555"/>
      <c r="AD8" s="685"/>
      <c r="AE8" s="533"/>
      <c r="AF8" s="510"/>
      <c r="AG8" s="510"/>
      <c r="AH8" s="555"/>
      <c r="AI8" s="685"/>
      <c r="AJ8" s="533">
        <v>18</v>
      </c>
      <c r="AK8" s="510">
        <v>2515.1612903225828</v>
      </c>
      <c r="AL8" s="510">
        <v>139.73118279569906</v>
      </c>
      <c r="AM8" s="555">
        <f t="shared" ref="AM8:AM21" si="8">RANK(AL8, AL$7:AL$21)</f>
        <v>1</v>
      </c>
      <c r="AN8" s="685"/>
      <c r="AO8" s="533">
        <v>18</v>
      </c>
      <c r="AP8" s="510">
        <v>2544.1935483870989</v>
      </c>
      <c r="AQ8" s="510">
        <v>141.34408602150549</v>
      </c>
      <c r="AR8" s="555">
        <f t="shared" ref="AR8:AR21" si="9">RANK(AQ8, AQ$7:AQ$21)</f>
        <v>1</v>
      </c>
      <c r="AS8" s="685"/>
      <c r="AT8" s="530">
        <v>18</v>
      </c>
      <c r="AU8" s="531">
        <v>2534.3283582089521</v>
      </c>
      <c r="AV8" s="531">
        <v>140.79601990049733</v>
      </c>
      <c r="AW8" s="555">
        <f t="shared" ref="AW8:AW21" si="10">RANK(AV8, AV$7:AV$21)</f>
        <v>1</v>
      </c>
      <c r="AX8" s="685"/>
      <c r="AZ8" s="369" t="e">
        <f t="shared" si="6"/>
        <v>#N/A</v>
      </c>
      <c r="BA8" s="710"/>
    </row>
    <row r="9" spans="1:53" ht="14.25">
      <c r="A9" s="81"/>
      <c r="B9" s="680"/>
      <c r="C9" s="533">
        <v>3</v>
      </c>
      <c r="D9" s="225" t="s">
        <v>352</v>
      </c>
      <c r="E9" s="531">
        <v>19</v>
      </c>
      <c r="F9" s="530">
        <v>2769</v>
      </c>
      <c r="G9" s="532">
        <v>145.73684210526315</v>
      </c>
      <c r="H9" s="692"/>
      <c r="I9" s="534">
        <f t="shared" si="0"/>
        <v>19</v>
      </c>
      <c r="J9" s="534">
        <f t="shared" si="1"/>
        <v>2550.2029509183976</v>
      </c>
      <c r="K9" s="199">
        <f t="shared" si="2"/>
        <v>134.22120794307355</v>
      </c>
      <c r="L9" s="634"/>
      <c r="M9" s="510">
        <f>RANK(K9, K$7:$K$21)</f>
        <v>3</v>
      </c>
      <c r="N9" s="652"/>
      <c r="O9" s="652"/>
      <c r="P9" s="533"/>
      <c r="Q9" s="510"/>
      <c r="R9" s="510"/>
      <c r="S9" s="555"/>
      <c r="T9" s="685"/>
      <c r="U9" s="533"/>
      <c r="V9" s="510"/>
      <c r="W9" s="510"/>
      <c r="X9" s="555"/>
      <c r="Y9" s="685"/>
      <c r="Z9" s="533"/>
      <c r="AA9" s="510"/>
      <c r="AB9" s="510"/>
      <c r="AC9" s="555"/>
      <c r="AD9" s="685"/>
      <c r="AE9" s="533"/>
      <c r="AF9" s="510"/>
      <c r="AG9" s="510"/>
      <c r="AH9" s="555"/>
      <c r="AI9" s="685"/>
      <c r="AJ9" s="533">
        <v>19</v>
      </c>
      <c r="AK9" s="510">
        <v>2572.6829268292672</v>
      </c>
      <c r="AL9" s="510">
        <v>135.40436456996144</v>
      </c>
      <c r="AM9" s="555">
        <f t="shared" si="8"/>
        <v>3</v>
      </c>
      <c r="AN9" s="685"/>
      <c r="AO9" s="533">
        <v>19</v>
      </c>
      <c r="AP9" s="510">
        <v>2545.9259259259252</v>
      </c>
      <c r="AQ9" s="510">
        <v>133.99610136452239</v>
      </c>
      <c r="AR9" s="555">
        <f t="shared" si="9"/>
        <v>3</v>
      </c>
      <c r="AS9" s="685"/>
      <c r="AT9" s="530">
        <v>19</v>
      </c>
      <c r="AU9" s="531">
        <v>2532</v>
      </c>
      <c r="AV9" s="531">
        <v>133.26315789473685</v>
      </c>
      <c r="AW9" s="555">
        <f t="shared" si="10"/>
        <v>3</v>
      </c>
      <c r="AX9" s="685"/>
      <c r="AZ9" s="369" t="e">
        <f t="shared" si="6"/>
        <v>#N/A</v>
      </c>
      <c r="BA9" s="710"/>
    </row>
    <row r="10" spans="1:53" ht="14.25">
      <c r="A10" s="81"/>
      <c r="B10" s="680"/>
      <c r="C10" s="533">
        <v>4</v>
      </c>
      <c r="D10" s="225" t="s">
        <v>353</v>
      </c>
      <c r="E10" s="531">
        <v>20</v>
      </c>
      <c r="F10" s="530">
        <v>2769</v>
      </c>
      <c r="G10" s="532">
        <v>138.44999999999999</v>
      </c>
      <c r="H10" s="692"/>
      <c r="I10" s="534">
        <f t="shared" si="0"/>
        <v>20</v>
      </c>
      <c r="J10" s="534">
        <f t="shared" si="1"/>
        <v>2497.9931023282043</v>
      </c>
      <c r="K10" s="199">
        <f t="shared" si="2"/>
        <v>124.89965511641022</v>
      </c>
      <c r="L10" s="634"/>
      <c r="M10" s="510">
        <f>RANK(K10, K$7:$K$21)</f>
        <v>6</v>
      </c>
      <c r="N10" s="652"/>
      <c r="O10" s="652"/>
      <c r="P10" s="533"/>
      <c r="Q10" s="510"/>
      <c r="R10" s="510"/>
      <c r="S10" s="555"/>
      <c r="T10" s="685"/>
      <c r="U10" s="533"/>
      <c r="V10" s="510"/>
      <c r="W10" s="510"/>
      <c r="X10" s="555"/>
      <c r="Y10" s="685"/>
      <c r="Z10" s="533"/>
      <c r="AA10" s="510"/>
      <c r="AB10" s="510"/>
      <c r="AC10" s="555"/>
      <c r="AD10" s="685"/>
      <c r="AE10" s="533"/>
      <c r="AF10" s="510"/>
      <c r="AG10" s="510"/>
      <c r="AH10" s="555"/>
      <c r="AI10" s="685"/>
      <c r="AJ10" s="533">
        <v>20</v>
      </c>
      <c r="AK10" s="510">
        <v>2497.5609756097551</v>
      </c>
      <c r="AL10" s="510">
        <v>124.87804878048776</v>
      </c>
      <c r="AM10" s="555">
        <f t="shared" si="8"/>
        <v>6</v>
      </c>
      <c r="AN10" s="685"/>
      <c r="AO10" s="533">
        <v>20</v>
      </c>
      <c r="AP10" s="510">
        <v>2527.0270270270289</v>
      </c>
      <c r="AQ10" s="510">
        <v>126.35135135135144</v>
      </c>
      <c r="AR10" s="555">
        <f t="shared" si="9"/>
        <v>6</v>
      </c>
      <c r="AS10" s="685"/>
      <c r="AT10" s="530">
        <v>20</v>
      </c>
      <c r="AU10" s="531">
        <v>2469.3913043478283</v>
      </c>
      <c r="AV10" s="531">
        <v>123.46956521739142</v>
      </c>
      <c r="AW10" s="555">
        <f t="shared" si="10"/>
        <v>6</v>
      </c>
      <c r="AX10" s="685"/>
      <c r="AZ10" s="369" t="e">
        <f t="shared" si="6"/>
        <v>#N/A</v>
      </c>
      <c r="BA10" s="710"/>
    </row>
    <row r="11" spans="1:53" ht="14.25">
      <c r="A11" s="81"/>
      <c r="B11" s="680"/>
      <c r="C11" s="533">
        <v>5</v>
      </c>
      <c r="D11" s="225" t="s">
        <v>511</v>
      </c>
      <c r="E11" s="531">
        <v>18</v>
      </c>
      <c r="F11" s="530">
        <v>2400</v>
      </c>
      <c r="G11" s="532">
        <v>133.33333333333334</v>
      </c>
      <c r="H11" s="692"/>
      <c r="I11" s="534">
        <f t="shared" si="0"/>
        <v>18.666666666666668</v>
      </c>
      <c r="J11" s="534">
        <f t="shared" si="1"/>
        <v>2131.4345479082344</v>
      </c>
      <c r="K11" s="199">
        <f t="shared" si="2"/>
        <v>114.17979102051136</v>
      </c>
      <c r="L11" s="634"/>
      <c r="M11" s="510">
        <f>RANK(K11, K$7:$K$21)</f>
        <v>8</v>
      </c>
      <c r="N11" s="652"/>
      <c r="O11" s="652"/>
      <c r="P11" s="533"/>
      <c r="Q11" s="510"/>
      <c r="R11" s="510"/>
      <c r="S11" s="555"/>
      <c r="T11" s="685"/>
      <c r="U11" s="533"/>
      <c r="V11" s="510"/>
      <c r="W11" s="510"/>
      <c r="X11" s="555"/>
      <c r="Y11" s="685"/>
      <c r="Z11" s="533"/>
      <c r="AA11" s="510"/>
      <c r="AB11" s="510"/>
      <c r="AC11" s="555"/>
      <c r="AD11" s="685"/>
      <c r="AE11" s="533"/>
      <c r="AF11" s="510"/>
      <c r="AG11" s="510"/>
      <c r="AH11" s="555"/>
      <c r="AI11" s="685"/>
      <c r="AJ11" s="533">
        <v>18</v>
      </c>
      <c r="AK11" s="510">
        <v>2051.0000000000018</v>
      </c>
      <c r="AL11" s="510">
        <v>113.94444444444454</v>
      </c>
      <c r="AM11" s="555">
        <f t="shared" si="8"/>
        <v>8</v>
      </c>
      <c r="AN11" s="685"/>
      <c r="AO11" s="533">
        <v>19</v>
      </c>
      <c r="AP11" s="510">
        <v>2176.8421052631597</v>
      </c>
      <c r="AQ11" s="510">
        <v>114.57063711911367</v>
      </c>
      <c r="AR11" s="555">
        <f t="shared" si="9"/>
        <v>9</v>
      </c>
      <c r="AS11" s="685"/>
      <c r="AT11" s="530">
        <v>19</v>
      </c>
      <c r="AU11" s="531">
        <v>2166.4615384615408</v>
      </c>
      <c r="AV11" s="531">
        <v>114.02429149797584</v>
      </c>
      <c r="AW11" s="555">
        <f t="shared" si="10"/>
        <v>8</v>
      </c>
      <c r="AX11" s="685"/>
      <c r="AZ11" s="369" t="e">
        <f t="shared" si="6"/>
        <v>#N/A</v>
      </c>
      <c r="BA11" s="710"/>
    </row>
    <row r="12" spans="1:53" ht="14.25">
      <c r="A12" s="81"/>
      <c r="B12" s="680"/>
      <c r="C12" s="533">
        <v>6</v>
      </c>
      <c r="D12" s="225" t="s">
        <v>593</v>
      </c>
      <c r="E12" s="531">
        <v>17</v>
      </c>
      <c r="F12" s="530">
        <v>2571</v>
      </c>
      <c r="G12" s="532">
        <v>151.23529411764707</v>
      </c>
      <c r="H12" s="692"/>
      <c r="I12" s="534">
        <f t="shared" si="0"/>
        <v>17</v>
      </c>
      <c r="J12" s="534">
        <f t="shared" si="1"/>
        <v>2364.3902439024382</v>
      </c>
      <c r="K12" s="199">
        <f t="shared" si="2"/>
        <v>139.0817790530846</v>
      </c>
      <c r="L12" s="634"/>
      <c r="M12" s="510">
        <f>RANK(K12, K$7:$K$21)</f>
        <v>2</v>
      </c>
      <c r="N12" s="652"/>
      <c r="O12" s="652"/>
      <c r="P12" s="533"/>
      <c r="Q12" s="510"/>
      <c r="R12" s="510"/>
      <c r="S12" s="555"/>
      <c r="T12" s="685"/>
      <c r="U12" s="533"/>
      <c r="V12" s="510"/>
      <c r="W12" s="510"/>
      <c r="X12" s="555"/>
      <c r="Y12" s="685"/>
      <c r="Z12" s="533"/>
      <c r="AA12" s="510"/>
      <c r="AB12" s="510"/>
      <c r="AC12" s="555"/>
      <c r="AD12" s="685"/>
      <c r="AE12" s="533"/>
      <c r="AF12" s="510"/>
      <c r="AG12" s="510"/>
      <c r="AH12" s="555"/>
      <c r="AI12" s="685"/>
      <c r="AJ12" s="533">
        <v>17</v>
      </c>
      <c r="AK12" s="510">
        <v>2353.170731707316</v>
      </c>
      <c r="AL12" s="510">
        <v>138.42180774748917</v>
      </c>
      <c r="AM12" s="555">
        <f t="shared" si="8"/>
        <v>2</v>
      </c>
      <c r="AN12" s="685"/>
      <c r="AO12" s="533">
        <v>17</v>
      </c>
      <c r="AP12" s="510">
        <v>2375.1219512195112</v>
      </c>
      <c r="AQ12" s="510">
        <v>139.7130559540889</v>
      </c>
      <c r="AR12" s="555">
        <f t="shared" si="9"/>
        <v>2</v>
      </c>
      <c r="AS12" s="685"/>
      <c r="AT12" s="530">
        <v>17</v>
      </c>
      <c r="AU12" s="531">
        <v>2364.878048780487</v>
      </c>
      <c r="AV12" s="531">
        <v>139.11047345767571</v>
      </c>
      <c r="AW12" s="555">
        <f t="shared" si="10"/>
        <v>2</v>
      </c>
      <c r="AX12" s="685"/>
      <c r="AZ12" s="369" t="e">
        <f t="shared" si="6"/>
        <v>#N/A</v>
      </c>
      <c r="BA12" s="710"/>
    </row>
    <row r="13" spans="1:53" ht="14.25">
      <c r="A13" s="81"/>
      <c r="B13" s="680"/>
      <c r="C13" s="533">
        <v>7</v>
      </c>
      <c r="D13" s="225" t="s">
        <v>609</v>
      </c>
      <c r="E13" s="531">
        <v>19</v>
      </c>
      <c r="F13" s="530">
        <v>2400</v>
      </c>
      <c r="G13" s="532">
        <v>126.31578947368421</v>
      </c>
      <c r="H13" s="692"/>
      <c r="I13" s="534">
        <f t="shared" si="0"/>
        <v>18.333333333333332</v>
      </c>
      <c r="J13" s="534">
        <f t="shared" si="1"/>
        <v>2053.6731634182893</v>
      </c>
      <c r="K13" s="199">
        <f t="shared" si="2"/>
        <v>112.08246753816069</v>
      </c>
      <c r="L13" s="634"/>
      <c r="M13" s="510">
        <f>RANK(K13, K$7:$K$21)</f>
        <v>9</v>
      </c>
      <c r="N13" s="652"/>
      <c r="O13" s="652"/>
      <c r="P13" s="533"/>
      <c r="Q13" s="510"/>
      <c r="R13" s="510"/>
      <c r="S13" s="555"/>
      <c r="T13" s="685"/>
      <c r="U13" s="533"/>
      <c r="V13" s="510"/>
      <c r="W13" s="510"/>
      <c r="X13" s="555"/>
      <c r="Y13" s="685"/>
      <c r="Z13" s="533"/>
      <c r="AA13" s="510"/>
      <c r="AB13" s="510"/>
      <c r="AC13" s="555"/>
      <c r="AD13" s="685"/>
      <c r="AE13" s="533"/>
      <c r="AF13" s="510"/>
      <c r="AG13" s="510"/>
      <c r="AH13" s="555"/>
      <c r="AI13" s="685"/>
      <c r="AJ13" s="533">
        <v>18</v>
      </c>
      <c r="AK13" s="510">
        <v>2008.6956521739203</v>
      </c>
      <c r="AL13" s="510">
        <v>111.59420289855113</v>
      </c>
      <c r="AM13" s="555">
        <f t="shared" si="8"/>
        <v>9</v>
      </c>
      <c r="AN13" s="685"/>
      <c r="AO13" s="533">
        <v>18</v>
      </c>
      <c r="AP13" s="510">
        <v>2089.5652173912972</v>
      </c>
      <c r="AQ13" s="510">
        <v>116.08695652173873</v>
      </c>
      <c r="AR13" s="555">
        <f t="shared" si="9"/>
        <v>8</v>
      </c>
      <c r="AS13" s="685"/>
      <c r="AT13" s="530">
        <v>19</v>
      </c>
      <c r="AU13" s="531">
        <v>2062.7586206896508</v>
      </c>
      <c r="AV13" s="531">
        <v>108.56624319419215</v>
      </c>
      <c r="AW13" s="555">
        <f t="shared" si="10"/>
        <v>10</v>
      </c>
      <c r="AX13" s="685"/>
      <c r="AZ13" s="369" t="e">
        <f t="shared" si="6"/>
        <v>#N/A</v>
      </c>
      <c r="BA13" s="710"/>
    </row>
    <row r="14" spans="1:53" ht="14.25">
      <c r="A14" s="81"/>
      <c r="B14" s="680"/>
      <c r="C14" s="533">
        <v>8</v>
      </c>
      <c r="D14" s="225" t="s">
        <v>616</v>
      </c>
      <c r="E14" s="531">
        <v>18</v>
      </c>
      <c r="F14" s="530">
        <v>2571</v>
      </c>
      <c r="G14" s="532">
        <v>142.83333333333334</v>
      </c>
      <c r="H14" s="692"/>
      <c r="I14" s="534">
        <f t="shared" si="0"/>
        <v>18</v>
      </c>
      <c r="J14" s="534">
        <f t="shared" si="1"/>
        <v>2379.2118226600969</v>
      </c>
      <c r="K14" s="199">
        <f t="shared" si="2"/>
        <v>132.1784345922276</v>
      </c>
      <c r="L14" s="634"/>
      <c r="M14" s="510">
        <f>RANK(K14, K$7:$K$21)</f>
        <v>4</v>
      </c>
      <c r="N14" s="652"/>
      <c r="O14" s="652"/>
      <c r="P14" s="533"/>
      <c r="Q14" s="510"/>
      <c r="R14" s="510"/>
      <c r="S14" s="555"/>
      <c r="T14" s="685"/>
      <c r="U14" s="533"/>
      <c r="V14" s="510"/>
      <c r="W14" s="510"/>
      <c r="X14" s="555"/>
      <c r="Y14" s="685"/>
      <c r="Z14" s="533"/>
      <c r="AA14" s="510"/>
      <c r="AB14" s="510"/>
      <c r="AC14" s="555"/>
      <c r="AD14" s="685"/>
      <c r="AE14" s="533"/>
      <c r="AF14" s="510"/>
      <c r="AG14" s="510"/>
      <c r="AH14" s="555"/>
      <c r="AI14" s="685"/>
      <c r="AJ14" s="533">
        <v>18</v>
      </c>
      <c r="AK14" s="510">
        <v>2346.2068965517224</v>
      </c>
      <c r="AL14" s="510">
        <v>130.3448275862068</v>
      </c>
      <c r="AM14" s="555">
        <f t="shared" si="8"/>
        <v>4</v>
      </c>
      <c r="AN14" s="685"/>
      <c r="AO14" s="533">
        <v>18</v>
      </c>
      <c r="AP14" s="510">
        <v>2399.9999999999982</v>
      </c>
      <c r="AQ14" s="510">
        <v>133.33333333333323</v>
      </c>
      <c r="AR14" s="555">
        <f t="shared" si="9"/>
        <v>4</v>
      </c>
      <c r="AS14" s="685"/>
      <c r="AT14" s="530">
        <v>18</v>
      </c>
      <c r="AU14" s="531">
        <v>2391.4285714285697</v>
      </c>
      <c r="AV14" s="531">
        <v>132.85714285714278</v>
      </c>
      <c r="AW14" s="555">
        <f t="shared" si="10"/>
        <v>4</v>
      </c>
      <c r="AX14" s="685"/>
      <c r="AZ14" s="369" t="e">
        <f t="shared" si="6"/>
        <v>#N/A</v>
      </c>
      <c r="BA14" s="710"/>
    </row>
    <row r="15" spans="1:53" ht="14.25">
      <c r="A15" s="81"/>
      <c r="B15" s="680"/>
      <c r="C15" s="533">
        <v>9</v>
      </c>
      <c r="D15" s="225" t="s">
        <v>619</v>
      </c>
      <c r="E15" s="531">
        <v>19</v>
      </c>
      <c r="F15" s="530">
        <v>2400</v>
      </c>
      <c r="G15" s="532">
        <v>126.31578947368421</v>
      </c>
      <c r="H15" s="692"/>
      <c r="I15" s="534">
        <f t="shared" si="0"/>
        <v>19</v>
      </c>
      <c r="J15" s="534">
        <f t="shared" si="1"/>
        <v>2088.7632152793449</v>
      </c>
      <c r="K15" s="199">
        <f t="shared" si="2"/>
        <v>109.93490606733394</v>
      </c>
      <c r="L15" s="634"/>
      <c r="M15" s="510">
        <f>RANK(K15, K$7:$K$21)</f>
        <v>10</v>
      </c>
      <c r="N15" s="652"/>
      <c r="O15" s="652"/>
      <c r="P15" s="533"/>
      <c r="Q15" s="510"/>
      <c r="R15" s="510"/>
      <c r="S15" s="555"/>
      <c r="T15" s="685"/>
      <c r="U15" s="533"/>
      <c r="V15" s="510"/>
      <c r="W15" s="510"/>
      <c r="X15" s="555"/>
      <c r="Y15" s="685"/>
      <c r="Z15" s="533"/>
      <c r="AA15" s="510"/>
      <c r="AB15" s="510"/>
      <c r="AC15" s="555"/>
      <c r="AD15" s="685"/>
      <c r="AE15" s="533"/>
      <c r="AF15" s="510"/>
      <c r="AG15" s="510"/>
      <c r="AH15" s="555"/>
      <c r="AI15" s="685"/>
      <c r="AJ15" s="533">
        <v>19</v>
      </c>
      <c r="AK15" s="510">
        <v>2113.548387096771</v>
      </c>
      <c r="AL15" s="510">
        <v>111.23938879456689</v>
      </c>
      <c r="AM15" s="555">
        <f t="shared" si="8"/>
        <v>10</v>
      </c>
      <c r="AN15" s="685"/>
      <c r="AO15" s="533">
        <v>19</v>
      </c>
      <c r="AP15" s="510">
        <v>2081.8181818181793</v>
      </c>
      <c r="AQ15" s="510">
        <v>109.56937799043048</v>
      </c>
      <c r="AR15" s="555">
        <f t="shared" si="9"/>
        <v>10</v>
      </c>
      <c r="AS15" s="685"/>
      <c r="AT15" s="530">
        <v>19</v>
      </c>
      <c r="AU15" s="531">
        <v>2070.9230769230844</v>
      </c>
      <c r="AV15" s="531">
        <v>108.99595141700445</v>
      </c>
      <c r="AW15" s="555">
        <f t="shared" si="10"/>
        <v>9</v>
      </c>
      <c r="AX15" s="685"/>
      <c r="AZ15" s="369" t="e">
        <f t="shared" si="6"/>
        <v>#N/A</v>
      </c>
      <c r="BA15" s="710"/>
    </row>
    <row r="16" spans="1:53" ht="14.25">
      <c r="A16" s="81"/>
      <c r="B16" s="680"/>
      <c r="C16" s="533">
        <v>10</v>
      </c>
      <c r="D16" s="225" t="s">
        <v>625</v>
      </c>
      <c r="E16" s="531">
        <v>21</v>
      </c>
      <c r="F16" s="530">
        <v>2400</v>
      </c>
      <c r="G16" s="532">
        <v>114.28571428571429</v>
      </c>
      <c r="H16" s="692"/>
      <c r="I16" s="534">
        <f t="shared" si="0"/>
        <v>21</v>
      </c>
      <c r="J16" s="534">
        <f t="shared" si="1"/>
        <v>2212.3507737656587</v>
      </c>
      <c r="K16" s="199">
        <f t="shared" si="2"/>
        <v>105.35003684598375</v>
      </c>
      <c r="L16" s="634"/>
      <c r="M16" s="510">
        <f>RANK(K16, K$7:$K$21)</f>
        <v>11</v>
      </c>
      <c r="N16" s="652"/>
      <c r="O16" s="652"/>
      <c r="P16" s="533"/>
      <c r="Q16" s="510"/>
      <c r="R16" s="510"/>
      <c r="S16" s="555"/>
      <c r="T16" s="685"/>
      <c r="U16" s="533"/>
      <c r="V16" s="510"/>
      <c r="W16" s="510"/>
      <c r="X16" s="555"/>
      <c r="Y16" s="685"/>
      <c r="Z16" s="533"/>
      <c r="AA16" s="510"/>
      <c r="AB16" s="510"/>
      <c r="AC16" s="555"/>
      <c r="AD16" s="685"/>
      <c r="AE16" s="533"/>
      <c r="AF16" s="510"/>
      <c r="AG16" s="510"/>
      <c r="AH16" s="555"/>
      <c r="AI16" s="685"/>
      <c r="AJ16" s="533">
        <v>21</v>
      </c>
      <c r="AK16" s="510">
        <v>2219.9999999999991</v>
      </c>
      <c r="AL16" s="510">
        <v>105.71428571428567</v>
      </c>
      <c r="AM16" s="555">
        <f t="shared" si="8"/>
        <v>11</v>
      </c>
      <c r="AN16" s="685"/>
      <c r="AO16" s="533">
        <v>21</v>
      </c>
      <c r="AP16" s="510">
        <v>2217.391304347826</v>
      </c>
      <c r="AQ16" s="510">
        <v>105.59006211180125</v>
      </c>
      <c r="AR16" s="555">
        <f t="shared" si="9"/>
        <v>11</v>
      </c>
      <c r="AS16" s="685"/>
      <c r="AT16" s="530">
        <v>21</v>
      </c>
      <c r="AU16" s="531">
        <v>2199.6610169491514</v>
      </c>
      <c r="AV16" s="531">
        <v>104.74576271186436</v>
      </c>
      <c r="AW16" s="555">
        <f t="shared" si="10"/>
        <v>11</v>
      </c>
      <c r="AX16" s="685"/>
      <c r="AZ16" s="369" t="e">
        <f t="shared" si="6"/>
        <v>#N/A</v>
      </c>
      <c r="BA16" s="710"/>
    </row>
    <row r="17" spans="2:53">
      <c r="B17" s="680"/>
      <c r="C17" s="533">
        <v>11</v>
      </c>
      <c r="D17" s="225" t="s">
        <v>697</v>
      </c>
      <c r="E17" s="531">
        <v>19</v>
      </c>
      <c r="F17" s="530">
        <v>2571</v>
      </c>
      <c r="G17" s="532">
        <v>135.31578947368422</v>
      </c>
      <c r="H17" s="692"/>
      <c r="I17" s="534" t="str">
        <f t="shared" si="0"/>
        <v>-</v>
      </c>
      <c r="J17" s="534" t="str">
        <f t="shared" si="1"/>
        <v>-</v>
      </c>
      <c r="K17" s="199" t="str">
        <f t="shared" si="2"/>
        <v>-</v>
      </c>
      <c r="L17" s="634"/>
      <c r="M17" s="510" t="e">
        <f>RANK(K17, K$7:$K$21)</f>
        <v>#VALUE!</v>
      </c>
      <c r="N17" s="652"/>
      <c r="O17" s="652"/>
      <c r="P17" s="533"/>
      <c r="Q17" s="510"/>
      <c r="R17" s="510"/>
      <c r="S17" s="555"/>
      <c r="T17" s="685"/>
      <c r="U17" s="533"/>
      <c r="V17" s="510"/>
      <c r="W17" s="510"/>
      <c r="X17" s="555"/>
      <c r="Y17" s="685"/>
      <c r="Z17" s="533"/>
      <c r="AA17" s="510"/>
      <c r="AB17" s="510"/>
      <c r="AC17" s="555"/>
      <c r="AD17" s="685"/>
      <c r="AE17" s="533"/>
      <c r="AF17" s="510"/>
      <c r="AG17" s="510"/>
      <c r="AH17" s="555"/>
      <c r="AI17" s="685"/>
      <c r="AJ17" s="533" t="s">
        <v>585</v>
      </c>
      <c r="AK17" s="510" t="s">
        <v>585</v>
      </c>
      <c r="AL17" s="510" t="s">
        <v>585</v>
      </c>
      <c r="AM17" s="555" t="e">
        <f t="shared" si="8"/>
        <v>#VALUE!</v>
      </c>
      <c r="AN17" s="685"/>
      <c r="AO17" s="533" t="s">
        <v>585</v>
      </c>
      <c r="AP17" s="510" t="s">
        <v>585</v>
      </c>
      <c r="AQ17" s="510" t="s">
        <v>585</v>
      </c>
      <c r="AR17" s="555" t="e">
        <f t="shared" si="9"/>
        <v>#VALUE!</v>
      </c>
      <c r="AS17" s="685"/>
      <c r="AT17" s="530" t="s">
        <v>585</v>
      </c>
      <c r="AU17" s="531" t="s">
        <v>585</v>
      </c>
      <c r="AV17" s="531" t="s">
        <v>585</v>
      </c>
      <c r="AW17" s="555" t="e">
        <f t="shared" si="10"/>
        <v>#VALUE!</v>
      </c>
      <c r="AX17" s="685"/>
      <c r="AZ17" s="369" t="e">
        <f t="shared" si="6"/>
        <v>#N/A</v>
      </c>
      <c r="BA17" s="710"/>
    </row>
    <row r="18" spans="2:53">
      <c r="B18" s="680"/>
      <c r="C18" s="533">
        <v>12</v>
      </c>
      <c r="D18" s="225" t="s">
        <v>715</v>
      </c>
      <c r="E18" s="531">
        <v>17</v>
      </c>
      <c r="F18" s="530">
        <v>2571</v>
      </c>
      <c r="G18" s="532">
        <v>151.23529411764707</v>
      </c>
      <c r="H18" s="692"/>
      <c r="I18" s="534">
        <f t="shared" si="0"/>
        <v>17.333333333333332</v>
      </c>
      <c r="J18" s="534">
        <f t="shared" si="1"/>
        <v>2206.5306122448987</v>
      </c>
      <c r="K18" s="199">
        <f t="shared" si="2"/>
        <v>127.34427104175008</v>
      </c>
      <c r="L18" s="634"/>
      <c r="M18" s="510">
        <f>RANK(K18, K$7:$K$21)</f>
        <v>5</v>
      </c>
      <c r="N18" s="652"/>
      <c r="O18" s="652"/>
      <c r="P18" s="533"/>
      <c r="Q18" s="510"/>
      <c r="R18" s="510"/>
      <c r="S18" s="555"/>
      <c r="T18" s="685"/>
      <c r="U18" s="533"/>
      <c r="V18" s="510"/>
      <c r="W18" s="510"/>
      <c r="X18" s="555"/>
      <c r="Y18" s="685"/>
      <c r="Z18" s="533"/>
      <c r="AA18" s="510"/>
      <c r="AB18" s="510"/>
      <c r="AC18" s="555"/>
      <c r="AD18" s="685"/>
      <c r="AE18" s="533"/>
      <c r="AF18" s="510"/>
      <c r="AG18" s="510"/>
      <c r="AH18" s="555"/>
      <c r="AI18" s="685"/>
      <c r="AJ18" s="533">
        <v>17</v>
      </c>
      <c r="AK18" s="510">
        <v>2171.020408163266</v>
      </c>
      <c r="AL18" s="510">
        <v>127.7070828331333</v>
      </c>
      <c r="AM18" s="555">
        <f t="shared" si="8"/>
        <v>5</v>
      </c>
      <c r="AN18" s="685"/>
      <c r="AO18" s="533">
        <v>17</v>
      </c>
      <c r="AP18" s="510">
        <v>2197.9591836734703</v>
      </c>
      <c r="AQ18" s="510">
        <v>129.29171668667473</v>
      </c>
      <c r="AR18" s="555">
        <f t="shared" si="9"/>
        <v>5</v>
      </c>
      <c r="AS18" s="685"/>
      <c r="AT18" s="530">
        <v>18</v>
      </c>
      <c r="AU18" s="531">
        <v>2250.61224489796</v>
      </c>
      <c r="AV18" s="531">
        <v>125.03401360544223</v>
      </c>
      <c r="AW18" s="555">
        <f t="shared" si="10"/>
        <v>5</v>
      </c>
      <c r="AX18" s="685"/>
      <c r="AZ18" s="369" t="e">
        <f t="shared" si="6"/>
        <v>#N/A</v>
      </c>
      <c r="BA18" s="710"/>
    </row>
    <row r="19" spans="2:53">
      <c r="B19" s="680"/>
      <c r="C19" s="533">
        <v>13</v>
      </c>
      <c r="D19" s="225"/>
      <c r="E19" s="531"/>
      <c r="F19" s="530"/>
      <c r="G19" s="532"/>
      <c r="H19" s="692"/>
      <c r="I19" s="534" t="str">
        <f t="shared" si="0"/>
        <v>-</v>
      </c>
      <c r="J19" s="534" t="str">
        <f t="shared" si="1"/>
        <v>-</v>
      </c>
      <c r="K19" s="199" t="str">
        <f t="shared" si="2"/>
        <v>-</v>
      </c>
      <c r="L19" s="634"/>
      <c r="M19" s="510" t="e">
        <f>RANK(K19, K$7:$K$21)</f>
        <v>#VALUE!</v>
      </c>
      <c r="N19" s="652"/>
      <c r="O19" s="652"/>
      <c r="P19" s="533"/>
      <c r="Q19" s="510"/>
      <c r="R19" s="510"/>
      <c r="S19" s="555"/>
      <c r="T19" s="685"/>
      <c r="U19" s="533"/>
      <c r="V19" s="510"/>
      <c r="W19" s="510"/>
      <c r="X19" s="555"/>
      <c r="Y19" s="685"/>
      <c r="Z19" s="533"/>
      <c r="AA19" s="510"/>
      <c r="AB19" s="510"/>
      <c r="AC19" s="555"/>
      <c r="AD19" s="685"/>
      <c r="AE19" s="533"/>
      <c r="AF19" s="510"/>
      <c r="AG19" s="510"/>
      <c r="AH19" s="555"/>
      <c r="AI19" s="685"/>
      <c r="AJ19" s="533" t="s">
        <v>585</v>
      </c>
      <c r="AK19" s="510" t="s">
        <v>585</v>
      </c>
      <c r="AL19" s="510" t="s">
        <v>585</v>
      </c>
      <c r="AM19" s="555" t="e">
        <f t="shared" si="8"/>
        <v>#VALUE!</v>
      </c>
      <c r="AN19" s="685"/>
      <c r="AO19" s="533" t="s">
        <v>585</v>
      </c>
      <c r="AP19" s="510" t="s">
        <v>585</v>
      </c>
      <c r="AQ19" s="510" t="s">
        <v>585</v>
      </c>
      <c r="AR19" s="555" t="e">
        <f t="shared" si="9"/>
        <v>#VALUE!</v>
      </c>
      <c r="AS19" s="685"/>
      <c r="AT19" s="530" t="s">
        <v>585</v>
      </c>
      <c r="AU19" s="531" t="s">
        <v>585</v>
      </c>
      <c r="AV19" s="531" t="s">
        <v>585</v>
      </c>
      <c r="AW19" s="555" t="e">
        <f t="shared" si="10"/>
        <v>#VALUE!</v>
      </c>
      <c r="AX19" s="685"/>
      <c r="AZ19" s="369" t="e">
        <f t="shared" si="6"/>
        <v>#N/A</v>
      </c>
      <c r="BA19" s="710"/>
    </row>
    <row r="20" spans="2:53">
      <c r="B20" s="680"/>
      <c r="C20" s="533">
        <v>14</v>
      </c>
      <c r="D20" s="225"/>
      <c r="E20" s="531"/>
      <c r="F20" s="530"/>
      <c r="G20" s="532"/>
      <c r="H20" s="692"/>
      <c r="I20" s="534" t="str">
        <f t="shared" si="0"/>
        <v>-</v>
      </c>
      <c r="J20" s="534" t="str">
        <f t="shared" si="1"/>
        <v>-</v>
      </c>
      <c r="K20" s="199" t="str">
        <f t="shared" si="2"/>
        <v>-</v>
      </c>
      <c r="L20" s="634"/>
      <c r="M20" s="510" t="e">
        <f>RANK(K20, K$7:$K$21)</f>
        <v>#VALUE!</v>
      </c>
      <c r="N20" s="652"/>
      <c r="O20" s="652"/>
      <c r="P20" s="533"/>
      <c r="Q20" s="510"/>
      <c r="R20" s="510"/>
      <c r="S20" s="555"/>
      <c r="T20" s="685"/>
      <c r="U20" s="533"/>
      <c r="V20" s="510"/>
      <c r="W20" s="510"/>
      <c r="X20" s="555"/>
      <c r="Y20" s="685"/>
      <c r="Z20" s="533"/>
      <c r="AA20" s="510"/>
      <c r="AB20" s="510"/>
      <c r="AC20" s="555"/>
      <c r="AD20" s="685"/>
      <c r="AE20" s="533"/>
      <c r="AF20" s="510"/>
      <c r="AG20" s="510"/>
      <c r="AH20" s="555"/>
      <c r="AI20" s="685"/>
      <c r="AJ20" s="533" t="s">
        <v>585</v>
      </c>
      <c r="AK20" s="510" t="s">
        <v>585</v>
      </c>
      <c r="AL20" s="510" t="s">
        <v>585</v>
      </c>
      <c r="AM20" s="555" t="e">
        <f t="shared" si="8"/>
        <v>#VALUE!</v>
      </c>
      <c r="AN20" s="685"/>
      <c r="AO20" s="533" t="s">
        <v>585</v>
      </c>
      <c r="AP20" s="510" t="s">
        <v>585</v>
      </c>
      <c r="AQ20" s="510" t="s">
        <v>585</v>
      </c>
      <c r="AR20" s="555" t="e">
        <f t="shared" si="9"/>
        <v>#VALUE!</v>
      </c>
      <c r="AS20" s="685"/>
      <c r="AT20" s="530" t="s">
        <v>585</v>
      </c>
      <c r="AU20" s="531" t="s">
        <v>585</v>
      </c>
      <c r="AV20" s="531" t="s">
        <v>585</v>
      </c>
      <c r="AW20" s="555" t="e">
        <f t="shared" si="10"/>
        <v>#VALUE!</v>
      </c>
      <c r="AX20" s="685"/>
      <c r="AZ20" s="369" t="e">
        <f t="shared" si="6"/>
        <v>#N/A</v>
      </c>
      <c r="BA20" s="710"/>
    </row>
    <row r="21" spans="2:53">
      <c r="B21" s="680"/>
      <c r="C21" s="533">
        <v>15</v>
      </c>
      <c r="D21" s="225"/>
      <c r="E21" s="531"/>
      <c r="F21" s="530"/>
      <c r="G21" s="532"/>
      <c r="H21" s="696"/>
      <c r="I21" s="533"/>
      <c r="J21" s="533"/>
      <c r="K21" s="533"/>
      <c r="L21" s="635"/>
      <c r="M21" s="510" t="e">
        <f>RANK(K21, K$7:$K$21)</f>
        <v>#N/A</v>
      </c>
      <c r="N21" s="652"/>
      <c r="O21" s="652"/>
      <c r="P21" s="533"/>
      <c r="Q21" s="510"/>
      <c r="R21" s="510"/>
      <c r="S21" s="555"/>
      <c r="T21" s="685"/>
      <c r="U21" s="533"/>
      <c r="V21" s="510"/>
      <c r="W21" s="510"/>
      <c r="X21" s="555"/>
      <c r="Y21" s="685"/>
      <c r="Z21" s="533"/>
      <c r="AA21" s="510"/>
      <c r="AB21" s="510"/>
      <c r="AC21" s="555"/>
      <c r="AD21" s="685"/>
      <c r="AE21" s="533"/>
      <c r="AF21" s="510"/>
      <c r="AG21" s="510"/>
      <c r="AH21" s="555"/>
      <c r="AI21" s="685"/>
      <c r="AJ21" s="533" t="s">
        <v>585</v>
      </c>
      <c r="AK21" s="510" t="s">
        <v>585</v>
      </c>
      <c r="AL21" s="510" t="s">
        <v>585</v>
      </c>
      <c r="AM21" s="555" t="e">
        <f t="shared" si="8"/>
        <v>#VALUE!</v>
      </c>
      <c r="AN21" s="685"/>
      <c r="AO21" s="533" t="s">
        <v>585</v>
      </c>
      <c r="AP21" s="510" t="s">
        <v>585</v>
      </c>
      <c r="AQ21" s="510" t="s">
        <v>585</v>
      </c>
      <c r="AR21" s="555" t="e">
        <f t="shared" si="9"/>
        <v>#VALUE!</v>
      </c>
      <c r="AS21" s="685"/>
      <c r="AT21" s="530" t="s">
        <v>585</v>
      </c>
      <c r="AU21" s="531" t="s">
        <v>585</v>
      </c>
      <c r="AV21" s="531" t="s">
        <v>585</v>
      </c>
      <c r="AW21" s="555" t="e">
        <f t="shared" si="10"/>
        <v>#VALUE!</v>
      </c>
      <c r="AX21" s="685"/>
      <c r="AZ21" s="369" t="e">
        <f t="shared" si="6"/>
        <v>#N/A</v>
      </c>
      <c r="BA21" s="710"/>
    </row>
    <row r="22" spans="2:53" ht="15.75">
      <c r="B22" s="677" t="s">
        <v>162</v>
      </c>
      <c r="C22" s="678"/>
      <c r="D22" s="678"/>
      <c r="E22" s="678"/>
      <c r="F22" s="678"/>
      <c r="G22" s="678"/>
      <c r="H22" s="678"/>
      <c r="I22" s="202"/>
      <c r="J22" s="202"/>
      <c r="K22" s="202"/>
      <c r="L22" s="202"/>
      <c r="M22" s="203"/>
      <c r="N22" s="653" t="s">
        <v>156</v>
      </c>
      <c r="O22" s="653" t="s">
        <v>105</v>
      </c>
      <c r="P22" s="659">
        <f>P2+7</f>
        <v>46238</v>
      </c>
      <c r="Q22" s="660"/>
      <c r="R22" s="660"/>
      <c r="S22" s="660"/>
      <c r="T22" s="660"/>
      <c r="U22" s="656">
        <f>P22+1</f>
        <v>46239</v>
      </c>
      <c r="V22" s="657"/>
      <c r="W22" s="657"/>
      <c r="X22" s="657"/>
      <c r="Y22" s="658"/>
      <c r="Z22" s="656">
        <f>U22+1</f>
        <v>46240</v>
      </c>
      <c r="AA22" s="657"/>
      <c r="AB22" s="657"/>
      <c r="AC22" s="657"/>
      <c r="AD22" s="658"/>
      <c r="AE22" s="656">
        <f>Z22+1</f>
        <v>46241</v>
      </c>
      <c r="AF22" s="657"/>
      <c r="AG22" s="657"/>
      <c r="AH22" s="657"/>
      <c r="AI22" s="658"/>
      <c r="AJ22" s="656">
        <f>AE22+1</f>
        <v>46242</v>
      </c>
      <c r="AK22" s="657"/>
      <c r="AL22" s="657"/>
      <c r="AM22" s="657"/>
      <c r="AN22" s="658"/>
      <c r="AO22" s="656">
        <f>AJ22+1</f>
        <v>46243</v>
      </c>
      <c r="AP22" s="657"/>
      <c r="AQ22" s="657"/>
      <c r="AR22" s="657"/>
      <c r="AS22" s="658"/>
      <c r="AT22" s="656">
        <f>AO22+1</f>
        <v>46244</v>
      </c>
      <c r="AU22" s="657"/>
      <c r="AV22" s="657"/>
      <c r="AW22" s="657"/>
      <c r="AX22" s="658"/>
    </row>
    <row r="23" spans="2:53" ht="15.75">
      <c r="B23" s="667"/>
      <c r="C23" s="667"/>
      <c r="D23" s="667"/>
      <c r="E23" s="667"/>
      <c r="F23" s="667"/>
      <c r="G23" s="667"/>
      <c r="H23" s="667"/>
      <c r="I23" s="204"/>
      <c r="J23" s="204"/>
      <c r="K23" s="204"/>
      <c r="L23" s="204"/>
      <c r="M23" s="205"/>
      <c r="N23" s="655"/>
      <c r="O23" s="655"/>
      <c r="P23" s="659" t="s">
        <v>317</v>
      </c>
      <c r="Q23" s="660"/>
      <c r="R23" s="660"/>
      <c r="S23" s="660"/>
      <c r="T23" s="660"/>
      <c r="U23" s="659" t="s">
        <v>318</v>
      </c>
      <c r="V23" s="660"/>
      <c r="W23" s="660"/>
      <c r="X23" s="660"/>
      <c r="Y23" s="660"/>
      <c r="Z23" s="659" t="s">
        <v>319</v>
      </c>
      <c r="AA23" s="660"/>
      <c r="AB23" s="660"/>
      <c r="AC23" s="660"/>
      <c r="AD23" s="660"/>
      <c r="AE23" s="659" t="s">
        <v>320</v>
      </c>
      <c r="AF23" s="660"/>
      <c r="AG23" s="660"/>
      <c r="AH23" s="660"/>
      <c r="AI23" s="660"/>
      <c r="AJ23" s="659" t="s">
        <v>321</v>
      </c>
      <c r="AK23" s="660"/>
      <c r="AL23" s="660"/>
      <c r="AM23" s="660"/>
      <c r="AN23" s="660"/>
      <c r="AO23" s="659" t="s">
        <v>322</v>
      </c>
      <c r="AP23" s="660"/>
      <c r="AQ23" s="660"/>
      <c r="AR23" s="660"/>
      <c r="AS23" s="660"/>
      <c r="AT23" s="659" t="s">
        <v>323</v>
      </c>
      <c r="AU23" s="660"/>
      <c r="AV23" s="660"/>
      <c r="AW23" s="660"/>
      <c r="AX23" s="660"/>
    </row>
    <row r="24" spans="2:53">
      <c r="B24" s="652" t="s">
        <v>154</v>
      </c>
      <c r="C24" s="652" t="s">
        <v>532</v>
      </c>
      <c r="D24" s="652"/>
      <c r="E24" s="652" t="s">
        <v>533</v>
      </c>
      <c r="F24" s="652"/>
      <c r="G24" s="652"/>
      <c r="H24" s="668" t="s">
        <v>534</v>
      </c>
      <c r="I24" s="652" t="s">
        <v>535</v>
      </c>
      <c r="J24" s="652"/>
      <c r="K24" s="652"/>
      <c r="L24" s="668" t="s">
        <v>366</v>
      </c>
      <c r="M24" s="653" t="s">
        <v>536</v>
      </c>
      <c r="N24" s="652"/>
      <c r="O24" s="652" t="s">
        <v>372</v>
      </c>
      <c r="P24" s="649" t="s">
        <v>368</v>
      </c>
      <c r="Q24" s="650"/>
      <c r="R24" s="650"/>
      <c r="S24" s="651"/>
      <c r="T24" s="652" t="s">
        <v>366</v>
      </c>
      <c r="U24" s="649" t="s">
        <v>368</v>
      </c>
      <c r="V24" s="650"/>
      <c r="W24" s="650"/>
      <c r="X24" s="651"/>
      <c r="Y24" s="652" t="s">
        <v>366</v>
      </c>
      <c r="Z24" s="649" t="s">
        <v>368</v>
      </c>
      <c r="AA24" s="650"/>
      <c r="AB24" s="650"/>
      <c r="AC24" s="651"/>
      <c r="AD24" s="652" t="s">
        <v>366</v>
      </c>
      <c r="AE24" s="649" t="s">
        <v>368</v>
      </c>
      <c r="AF24" s="650"/>
      <c r="AG24" s="650"/>
      <c r="AH24" s="651"/>
      <c r="AI24" s="652" t="s">
        <v>366</v>
      </c>
      <c r="AJ24" s="649" t="s">
        <v>368</v>
      </c>
      <c r="AK24" s="650"/>
      <c r="AL24" s="650"/>
      <c r="AM24" s="651"/>
      <c r="AN24" s="652" t="s">
        <v>366</v>
      </c>
      <c r="AO24" s="649" t="s">
        <v>368</v>
      </c>
      <c r="AP24" s="650"/>
      <c r="AQ24" s="650"/>
      <c r="AR24" s="651"/>
      <c r="AS24" s="652" t="s">
        <v>366</v>
      </c>
      <c r="AT24" s="649" t="s">
        <v>368</v>
      </c>
      <c r="AU24" s="650"/>
      <c r="AV24" s="650"/>
      <c r="AW24" s="651"/>
      <c r="AX24" s="652" t="s">
        <v>366</v>
      </c>
      <c r="BA24" s="652" t="s">
        <v>366</v>
      </c>
    </row>
    <row r="25" spans="2:53">
      <c r="B25" s="652"/>
      <c r="C25" s="652"/>
      <c r="D25" s="652"/>
      <c r="E25" s="652" t="s">
        <v>538</v>
      </c>
      <c r="F25" s="652"/>
      <c r="G25" s="652"/>
      <c r="H25" s="669"/>
      <c r="I25" s="652" t="s">
        <v>538</v>
      </c>
      <c r="J25" s="652"/>
      <c r="K25" s="652"/>
      <c r="L25" s="669"/>
      <c r="M25" s="654"/>
      <c r="N25" s="652"/>
      <c r="O25" s="652"/>
      <c r="P25" s="649" t="s">
        <v>374</v>
      </c>
      <c r="Q25" s="650"/>
      <c r="R25" s="650"/>
      <c r="S25" s="651"/>
      <c r="T25" s="652"/>
      <c r="U25" s="649" t="s">
        <v>374</v>
      </c>
      <c r="V25" s="650"/>
      <c r="W25" s="650"/>
      <c r="X25" s="651"/>
      <c r="Y25" s="652"/>
      <c r="Z25" s="649" t="s">
        <v>374</v>
      </c>
      <c r="AA25" s="650"/>
      <c r="AB25" s="650"/>
      <c r="AC25" s="651"/>
      <c r="AD25" s="652"/>
      <c r="AE25" s="649" t="s">
        <v>374</v>
      </c>
      <c r="AF25" s="650"/>
      <c r="AG25" s="650"/>
      <c r="AH25" s="651"/>
      <c r="AI25" s="652"/>
      <c r="AJ25" s="649" t="s">
        <v>374</v>
      </c>
      <c r="AK25" s="650"/>
      <c r="AL25" s="650"/>
      <c r="AM25" s="651"/>
      <c r="AN25" s="652"/>
      <c r="AO25" s="649" t="s">
        <v>374</v>
      </c>
      <c r="AP25" s="650"/>
      <c r="AQ25" s="650"/>
      <c r="AR25" s="651"/>
      <c r="AS25" s="652"/>
      <c r="AT25" s="649" t="s">
        <v>374</v>
      </c>
      <c r="AU25" s="650"/>
      <c r="AV25" s="650"/>
      <c r="AW25" s="651"/>
      <c r="AX25" s="652"/>
      <c r="BA25" s="652"/>
    </row>
    <row r="26" spans="2:53">
      <c r="B26" s="652"/>
      <c r="C26" s="652"/>
      <c r="D26" s="652"/>
      <c r="E26" s="378" t="s">
        <v>539</v>
      </c>
      <c r="F26" s="378" t="s">
        <v>540</v>
      </c>
      <c r="G26" s="378" t="s">
        <v>541</v>
      </c>
      <c r="H26" s="670"/>
      <c r="I26" s="378" t="s">
        <v>539</v>
      </c>
      <c r="J26" s="378" t="s">
        <v>540</v>
      </c>
      <c r="K26" s="378" t="s">
        <v>541</v>
      </c>
      <c r="L26" s="670"/>
      <c r="M26" s="655"/>
      <c r="N26" s="652"/>
      <c r="O26" s="652"/>
      <c r="P26" s="378" t="s">
        <v>375</v>
      </c>
      <c r="Q26" s="378" t="s">
        <v>376</v>
      </c>
      <c r="R26" s="378" t="s">
        <v>377</v>
      </c>
      <c r="S26" s="378" t="s">
        <v>367</v>
      </c>
      <c r="T26" s="652"/>
      <c r="U26" s="378" t="s">
        <v>375</v>
      </c>
      <c r="V26" s="378" t="s">
        <v>376</v>
      </c>
      <c r="W26" s="378" t="s">
        <v>377</v>
      </c>
      <c r="X26" s="378" t="s">
        <v>367</v>
      </c>
      <c r="Y26" s="652"/>
      <c r="Z26" s="378" t="s">
        <v>375</v>
      </c>
      <c r="AA26" s="378" t="s">
        <v>376</v>
      </c>
      <c r="AB26" s="378" t="s">
        <v>377</v>
      </c>
      <c r="AC26" s="378" t="s">
        <v>367</v>
      </c>
      <c r="AD26" s="652"/>
      <c r="AE26" s="378" t="s">
        <v>375</v>
      </c>
      <c r="AF26" s="378" t="s">
        <v>376</v>
      </c>
      <c r="AG26" s="378" t="s">
        <v>377</v>
      </c>
      <c r="AH26" s="378" t="s">
        <v>367</v>
      </c>
      <c r="AI26" s="652"/>
      <c r="AJ26" s="378" t="s">
        <v>375</v>
      </c>
      <c r="AK26" s="378" t="s">
        <v>376</v>
      </c>
      <c r="AL26" s="378" t="s">
        <v>377</v>
      </c>
      <c r="AM26" s="378" t="s">
        <v>367</v>
      </c>
      <c r="AN26" s="652"/>
      <c r="AO26" s="378" t="s">
        <v>375</v>
      </c>
      <c r="AP26" s="378" t="s">
        <v>376</v>
      </c>
      <c r="AQ26" s="378" t="s">
        <v>377</v>
      </c>
      <c r="AR26" s="378" t="s">
        <v>367</v>
      </c>
      <c r="AS26" s="652"/>
      <c r="AT26" s="378" t="s">
        <v>375</v>
      </c>
      <c r="AU26" s="378" t="s">
        <v>376</v>
      </c>
      <c r="AV26" s="378" t="s">
        <v>377</v>
      </c>
      <c r="AW26" s="378" t="s">
        <v>367</v>
      </c>
      <c r="AX26" s="652"/>
      <c r="AZ26" s="367" t="s">
        <v>367</v>
      </c>
      <c r="BA26" s="652"/>
    </row>
    <row r="27" spans="2:53">
      <c r="B27" s="652" t="s">
        <v>440</v>
      </c>
      <c r="C27" s="380">
        <v>1</v>
      </c>
      <c r="D27" s="225" t="s">
        <v>350</v>
      </c>
      <c r="E27" s="531">
        <v>20</v>
      </c>
      <c r="F27" s="530">
        <v>2400</v>
      </c>
      <c r="G27" s="532">
        <v>120</v>
      </c>
      <c r="H27" s="691">
        <f>AVERAGE(G27:G41)</f>
        <v>137.20067140891442</v>
      </c>
      <c r="I27" s="381">
        <f t="shared" ref="I27:I40" si="11">IFERROR(AVERAGE(P27,U27,Z27,AE27,AJ27,AO27,AT27),"-")</f>
        <v>20</v>
      </c>
      <c r="J27" s="381">
        <f t="shared" ref="J27:J40" si="12">IFERROR(AVERAGE(Q27,V27,AA27,AF27,AK27,AP27,AU27),"-")</f>
        <v>2354.773521514162</v>
      </c>
      <c r="K27" s="199">
        <f t="shared" ref="K27:K40" si="13">IFERROR(AVERAGE(R27,W27,AB27,AG27,AL27,AQ27,AV27),"-")</f>
        <v>117.73867607570807</v>
      </c>
      <c r="L27" s="633">
        <f>IFERROR(AVERAGE(K27:K41),"-")</f>
        <v>126.32730361369977</v>
      </c>
      <c r="M27" s="384">
        <f>RANK(K27, K$24:$K$41)</f>
        <v>9</v>
      </c>
      <c r="N27" s="652"/>
      <c r="O27" s="652"/>
      <c r="P27" s="552">
        <v>20</v>
      </c>
      <c r="Q27" s="553">
        <v>2320.0000000000005</v>
      </c>
      <c r="R27" s="553">
        <v>116.00000000000003</v>
      </c>
      <c r="S27" s="552">
        <f t="shared" ref="S27:S41" si="14">RANK(R27, R$27:R$41)</f>
        <v>9</v>
      </c>
      <c r="T27" s="661">
        <f t="shared" ref="T27" si="15">AVERAGE(R27:R41)</f>
        <v>125.13224483270596</v>
      </c>
      <c r="U27" s="552">
        <v>20</v>
      </c>
      <c r="V27" s="553">
        <v>2341.4906832298138</v>
      </c>
      <c r="W27" s="553">
        <v>117.07453416149069</v>
      </c>
      <c r="X27" s="552">
        <f t="shared" ref="X27:X41" si="16">RANK(W27, W$27:W$41)</f>
        <v>10</v>
      </c>
      <c r="Y27" s="661">
        <f t="shared" ref="Y27" si="17">AVERAGE(W27:W41)</f>
        <v>126.15883232979381</v>
      </c>
      <c r="Z27" s="552">
        <v>20</v>
      </c>
      <c r="AA27" s="553">
        <v>2377.2781065088752</v>
      </c>
      <c r="AB27" s="553">
        <v>118.86390532544377</v>
      </c>
      <c r="AC27" s="552">
        <f t="shared" ref="AC27:AC41" si="18">RANK(AB27, AB$27:AB$41)</f>
        <v>9</v>
      </c>
      <c r="AD27" s="661">
        <f t="shared" ref="AD27" si="19">AVERAGE(AB27:AB41)</f>
        <v>130.50296968522233</v>
      </c>
      <c r="AE27" s="552">
        <v>20</v>
      </c>
      <c r="AF27" s="553">
        <v>2387.3291925465837</v>
      </c>
      <c r="AG27" s="553">
        <v>119.36645962732919</v>
      </c>
      <c r="AH27" s="552">
        <f t="shared" ref="AH27:AH41" si="20">RANK(AG27, AG$27:AG$41)</f>
        <v>9</v>
      </c>
      <c r="AI27" s="661">
        <f t="shared" ref="AI27" si="21">AVERAGE(AG27:AG41)</f>
        <v>129.9614479435777</v>
      </c>
      <c r="AJ27" s="552">
        <v>20</v>
      </c>
      <c r="AK27" s="553">
        <v>2360.5813953488368</v>
      </c>
      <c r="AL27" s="553">
        <v>118.02906976744184</v>
      </c>
      <c r="AM27" s="552">
        <f t="shared" ref="AM27:AM41" si="22">RANK(AL27, AL$27:AL$41)</f>
        <v>8</v>
      </c>
      <c r="AN27" s="661">
        <f t="shared" ref="AN27" si="23">AVERAGE(AL27:AL41)</f>
        <v>128.07683738932511</v>
      </c>
      <c r="AO27" s="552">
        <v>20</v>
      </c>
      <c r="AP27" s="553">
        <v>2354.8421052631579</v>
      </c>
      <c r="AQ27" s="553">
        <v>117.7421052631579</v>
      </c>
      <c r="AR27" s="552">
        <f t="shared" ref="AR27:AR41" si="24">RANK(AQ27, AQ$27:AQ$41)</f>
        <v>10</v>
      </c>
      <c r="AS27" s="661">
        <f t="shared" ref="AS27" si="25">AVERAGE(AQ27:AQ41)</f>
        <v>127.47472574537447</v>
      </c>
      <c r="AT27" s="552">
        <v>20</v>
      </c>
      <c r="AU27" s="553">
        <v>2341.8931677018631</v>
      </c>
      <c r="AV27" s="553">
        <v>117.09465838509315</v>
      </c>
      <c r="AW27" s="552">
        <f t="shared" ref="AW27:AW41" si="26">RANK(AV27, AV$27:AV$41)</f>
        <v>8</v>
      </c>
      <c r="AX27" s="661">
        <f t="shared" ref="AX27" si="27">AVERAGE(AV27:AV41)</f>
        <v>127.51587694772761</v>
      </c>
      <c r="AZ27" s="368" t="e">
        <f t="shared" ref="AZ27:AZ41" si="28">RANK(AY27, AY$27:AY$41)</f>
        <v>#N/A</v>
      </c>
      <c r="BA27" s="661" t="e">
        <f t="shared" ref="BA27" si="29">AVERAGE(AY27:AY41)</f>
        <v>#DIV/0!</v>
      </c>
    </row>
    <row r="28" spans="2:53">
      <c r="B28" s="660"/>
      <c r="C28" s="380">
        <v>2</v>
      </c>
      <c r="D28" s="225" t="s">
        <v>351</v>
      </c>
      <c r="E28" s="531">
        <v>18</v>
      </c>
      <c r="F28" s="530">
        <v>2769</v>
      </c>
      <c r="G28" s="532">
        <v>153.83333333333334</v>
      </c>
      <c r="H28" s="692"/>
      <c r="I28" s="381">
        <f t="shared" si="11"/>
        <v>18</v>
      </c>
      <c r="J28" s="381">
        <f t="shared" si="12"/>
        <v>2544.202465586789</v>
      </c>
      <c r="K28" s="199">
        <f t="shared" si="13"/>
        <v>141.3445814214883</v>
      </c>
      <c r="L28" s="634"/>
      <c r="M28" s="387">
        <f>RANK(K28, K$24:$K$41)</f>
        <v>1</v>
      </c>
      <c r="N28" s="652"/>
      <c r="O28" s="652"/>
      <c r="P28" s="552">
        <v>18</v>
      </c>
      <c r="Q28" s="553">
        <v>2497.1428571428596</v>
      </c>
      <c r="R28" s="553">
        <v>138.73015873015888</v>
      </c>
      <c r="S28" s="552">
        <f t="shared" si="14"/>
        <v>2</v>
      </c>
      <c r="T28" s="662"/>
      <c r="U28" s="552">
        <v>18</v>
      </c>
      <c r="V28" s="553">
        <v>2511.0000000000023</v>
      </c>
      <c r="W28" s="553">
        <v>139.50000000000011</v>
      </c>
      <c r="X28" s="552">
        <f t="shared" si="16"/>
        <v>1</v>
      </c>
      <c r="Y28" s="662"/>
      <c r="Z28" s="552">
        <v>18</v>
      </c>
      <c r="AA28" s="553">
        <v>2570.6896551724153</v>
      </c>
      <c r="AB28" s="553">
        <v>142.81609195402308</v>
      </c>
      <c r="AC28" s="552">
        <f t="shared" si="18"/>
        <v>1</v>
      </c>
      <c r="AD28" s="662"/>
      <c r="AE28" s="552">
        <v>18</v>
      </c>
      <c r="AF28" s="553">
        <v>2573.1147540983634</v>
      </c>
      <c r="AG28" s="553">
        <v>142.9508196721313</v>
      </c>
      <c r="AH28" s="552">
        <f t="shared" si="20"/>
        <v>1</v>
      </c>
      <c r="AI28" s="662"/>
      <c r="AJ28" s="552">
        <v>18</v>
      </c>
      <c r="AK28" s="553">
        <v>2538.1818181818207</v>
      </c>
      <c r="AL28" s="553">
        <v>141.01010101010115</v>
      </c>
      <c r="AM28" s="552">
        <f t="shared" si="22"/>
        <v>3</v>
      </c>
      <c r="AN28" s="662"/>
      <c r="AO28" s="552">
        <v>18</v>
      </c>
      <c r="AP28" s="553">
        <v>2553.1343283582123</v>
      </c>
      <c r="AQ28" s="553">
        <v>141.84079601990069</v>
      </c>
      <c r="AR28" s="552">
        <f t="shared" si="24"/>
        <v>1</v>
      </c>
      <c r="AS28" s="662"/>
      <c r="AT28" s="552">
        <v>18</v>
      </c>
      <c r="AU28" s="553">
        <v>2566.1538461538489</v>
      </c>
      <c r="AV28" s="553">
        <v>142.56410256410271</v>
      </c>
      <c r="AW28" s="552">
        <f t="shared" si="26"/>
        <v>1</v>
      </c>
      <c r="AX28" s="662"/>
      <c r="AZ28" s="368" t="e">
        <f t="shared" si="28"/>
        <v>#N/A</v>
      </c>
      <c r="BA28" s="662"/>
    </row>
    <row r="29" spans="2:53">
      <c r="B29" s="660"/>
      <c r="C29" s="380">
        <v>3</v>
      </c>
      <c r="D29" s="225" t="s">
        <v>352</v>
      </c>
      <c r="E29" s="531">
        <v>19</v>
      </c>
      <c r="F29" s="530">
        <v>2769</v>
      </c>
      <c r="G29" s="532">
        <v>145.73684210526315</v>
      </c>
      <c r="H29" s="692"/>
      <c r="I29" s="381">
        <f t="shared" si="11"/>
        <v>18.714285714285715</v>
      </c>
      <c r="J29" s="381">
        <f t="shared" si="12"/>
        <v>2363.8339007282061</v>
      </c>
      <c r="K29" s="199">
        <f t="shared" si="13"/>
        <v>126.37097751916981</v>
      </c>
      <c r="L29" s="634"/>
      <c r="M29" s="387">
        <f>RANK(K29, K$24:$K$41)</f>
        <v>7</v>
      </c>
      <c r="N29" s="652"/>
      <c r="O29" s="652"/>
      <c r="P29" s="552">
        <v>19</v>
      </c>
      <c r="Q29" s="553">
        <v>2377.5824175824177</v>
      </c>
      <c r="R29" s="553">
        <v>125.13591671486409</v>
      </c>
      <c r="S29" s="552">
        <f t="shared" si="14"/>
        <v>7</v>
      </c>
      <c r="T29" s="662"/>
      <c r="U29" s="552">
        <v>19</v>
      </c>
      <c r="V29" s="553">
        <v>2368.2758620689651</v>
      </c>
      <c r="W29" s="553">
        <v>124.64609800362975</v>
      </c>
      <c r="X29" s="552">
        <f t="shared" si="16"/>
        <v>7</v>
      </c>
      <c r="Y29" s="662"/>
      <c r="Z29" s="552">
        <v>18</v>
      </c>
      <c r="AA29" s="553">
        <v>2314.6666666666665</v>
      </c>
      <c r="AB29" s="553">
        <v>128.59259259259258</v>
      </c>
      <c r="AC29" s="552">
        <f t="shared" si="18"/>
        <v>8</v>
      </c>
      <c r="AD29" s="662"/>
      <c r="AE29" s="552">
        <v>18</v>
      </c>
      <c r="AF29" s="553">
        <v>2374.3820224719102</v>
      </c>
      <c r="AG29" s="553">
        <v>131.91011235955057</v>
      </c>
      <c r="AH29" s="552">
        <f t="shared" si="20"/>
        <v>5</v>
      </c>
      <c r="AI29" s="662"/>
      <c r="AJ29" s="552">
        <v>19</v>
      </c>
      <c r="AK29" s="553">
        <v>2392.978723404256</v>
      </c>
      <c r="AL29" s="553">
        <v>125.946248600224</v>
      </c>
      <c r="AM29" s="552">
        <f t="shared" si="22"/>
        <v>7</v>
      </c>
      <c r="AN29" s="662"/>
      <c r="AO29" s="552">
        <v>19</v>
      </c>
      <c r="AP29" s="553">
        <v>2352.5000000000005</v>
      </c>
      <c r="AQ29" s="553">
        <v>123.81578947368423</v>
      </c>
      <c r="AR29" s="552">
        <f t="shared" si="24"/>
        <v>7</v>
      </c>
      <c r="AS29" s="662"/>
      <c r="AT29" s="552">
        <v>19</v>
      </c>
      <c r="AU29" s="553">
        <v>2366.4516129032259</v>
      </c>
      <c r="AV29" s="553">
        <v>124.55008488964347</v>
      </c>
      <c r="AW29" s="552">
        <f t="shared" si="26"/>
        <v>7</v>
      </c>
      <c r="AX29" s="662"/>
      <c r="AZ29" s="368" t="e">
        <f t="shared" si="28"/>
        <v>#N/A</v>
      </c>
      <c r="BA29" s="662"/>
    </row>
    <row r="30" spans="2:53">
      <c r="B30" s="660"/>
      <c r="C30" s="380">
        <v>4</v>
      </c>
      <c r="D30" s="225" t="s">
        <v>353</v>
      </c>
      <c r="E30" s="531">
        <v>20</v>
      </c>
      <c r="F30" s="530">
        <v>2769</v>
      </c>
      <c r="G30" s="532">
        <v>138.44999999999999</v>
      </c>
      <c r="H30" s="692"/>
      <c r="I30" s="381">
        <f t="shared" si="11"/>
        <v>19.285714285714285</v>
      </c>
      <c r="J30" s="381">
        <f t="shared" si="12"/>
        <v>2528.4986006792315</v>
      </c>
      <c r="K30" s="199">
        <f t="shared" si="13"/>
        <v>131.15395026099458</v>
      </c>
      <c r="L30" s="634"/>
      <c r="M30" s="387">
        <f>RANK(K30, K$24:$K$41)</f>
        <v>6</v>
      </c>
      <c r="N30" s="652"/>
      <c r="O30" s="652"/>
      <c r="P30" s="552">
        <v>19</v>
      </c>
      <c r="Q30" s="553">
        <v>2493.9130434782592</v>
      </c>
      <c r="R30" s="553">
        <v>131.25858123569785</v>
      </c>
      <c r="S30" s="552">
        <f t="shared" si="14"/>
        <v>5</v>
      </c>
      <c r="T30" s="662"/>
      <c r="U30" s="552">
        <v>19</v>
      </c>
      <c r="V30" s="553">
        <v>2553.4615384615395</v>
      </c>
      <c r="W30" s="553">
        <v>134.39271255060734</v>
      </c>
      <c r="X30" s="552">
        <f t="shared" si="16"/>
        <v>4</v>
      </c>
      <c r="Y30" s="662"/>
      <c r="Z30" s="552">
        <v>19</v>
      </c>
      <c r="AA30" s="553">
        <v>2553.7105263157873</v>
      </c>
      <c r="AB30" s="553">
        <v>134.40581717451514</v>
      </c>
      <c r="AC30" s="552">
        <f t="shared" si="18"/>
        <v>4</v>
      </c>
      <c r="AD30" s="662"/>
      <c r="AE30" s="552">
        <v>19</v>
      </c>
      <c r="AF30" s="553">
        <v>2486.6086956521831</v>
      </c>
      <c r="AG30" s="553">
        <v>130.87414187643068</v>
      </c>
      <c r="AH30" s="552">
        <f t="shared" si="20"/>
        <v>7</v>
      </c>
      <c r="AI30" s="662"/>
      <c r="AJ30" s="552">
        <v>19</v>
      </c>
      <c r="AK30" s="553">
        <v>2491.4999999999923</v>
      </c>
      <c r="AL30" s="553">
        <v>131.13157894736801</v>
      </c>
      <c r="AM30" s="552">
        <f t="shared" si="22"/>
        <v>6</v>
      </c>
      <c r="AN30" s="662"/>
      <c r="AO30" s="552">
        <v>20</v>
      </c>
      <c r="AP30" s="553">
        <v>2558.4615384615372</v>
      </c>
      <c r="AQ30" s="553">
        <v>127.92307692307686</v>
      </c>
      <c r="AR30" s="552">
        <f t="shared" si="24"/>
        <v>6</v>
      </c>
      <c r="AS30" s="662"/>
      <c r="AT30" s="552">
        <v>20</v>
      </c>
      <c r="AU30" s="553">
        <v>2561.8348623853226</v>
      </c>
      <c r="AV30" s="553">
        <v>128.09174311926614</v>
      </c>
      <c r="AW30" s="552">
        <f t="shared" si="26"/>
        <v>6</v>
      </c>
      <c r="AX30" s="662"/>
      <c r="AZ30" s="368" t="e">
        <f t="shared" si="28"/>
        <v>#N/A</v>
      </c>
      <c r="BA30" s="662"/>
    </row>
    <row r="31" spans="2:53">
      <c r="B31" s="660"/>
      <c r="C31" s="380">
        <v>5</v>
      </c>
      <c r="D31" s="225" t="s">
        <v>511</v>
      </c>
      <c r="E31" s="531">
        <v>18</v>
      </c>
      <c r="F31" s="530">
        <v>2400</v>
      </c>
      <c r="G31" s="532">
        <v>133.33333333333334</v>
      </c>
      <c r="H31" s="692"/>
      <c r="I31" s="381">
        <f t="shared" si="11"/>
        <v>17.571428571428573</v>
      </c>
      <c r="J31" s="381">
        <f t="shared" si="12"/>
        <v>2174.3684156963404</v>
      </c>
      <c r="K31" s="199">
        <f t="shared" si="13"/>
        <v>123.85331186818993</v>
      </c>
      <c r="L31" s="634"/>
      <c r="M31" s="387">
        <f>RANK(K31, K$24:$K$41)</f>
        <v>8</v>
      </c>
      <c r="N31" s="652"/>
      <c r="O31" s="652"/>
      <c r="P31" s="552">
        <v>18</v>
      </c>
      <c r="Q31" s="553">
        <v>2188.4210526315806</v>
      </c>
      <c r="R31" s="553">
        <v>121.57894736842114</v>
      </c>
      <c r="S31" s="552">
        <f t="shared" si="14"/>
        <v>8</v>
      </c>
      <c r="T31" s="662"/>
      <c r="U31" s="552">
        <v>18</v>
      </c>
      <c r="V31" s="553">
        <v>2194.5762711864422</v>
      </c>
      <c r="W31" s="553">
        <v>121.92090395480234</v>
      </c>
      <c r="X31" s="552">
        <f t="shared" si="16"/>
        <v>8</v>
      </c>
      <c r="Y31" s="662"/>
      <c r="Z31" s="552">
        <v>17</v>
      </c>
      <c r="AA31" s="553">
        <v>2243.5714285714303</v>
      </c>
      <c r="AB31" s="553">
        <v>131.97478991596648</v>
      </c>
      <c r="AC31" s="552">
        <f t="shared" si="18"/>
        <v>6</v>
      </c>
      <c r="AD31" s="662"/>
      <c r="AE31" s="552">
        <v>17</v>
      </c>
      <c r="AF31" s="553">
        <v>2078.2758620689669</v>
      </c>
      <c r="AG31" s="553">
        <v>122.25152129817452</v>
      </c>
      <c r="AH31" s="552">
        <f t="shared" si="20"/>
        <v>8</v>
      </c>
      <c r="AI31" s="662"/>
      <c r="AJ31" s="552">
        <v>18</v>
      </c>
      <c r="AK31" s="553">
        <v>2066.1290322580662</v>
      </c>
      <c r="AL31" s="553">
        <v>114.78494623655924</v>
      </c>
      <c r="AM31" s="552">
        <f t="shared" si="22"/>
        <v>10</v>
      </c>
      <c r="AN31" s="662"/>
      <c r="AO31" s="552">
        <v>18</v>
      </c>
      <c r="AP31" s="553">
        <v>2227.5000000000027</v>
      </c>
      <c r="AQ31" s="553">
        <v>123.75000000000016</v>
      </c>
      <c r="AR31" s="552">
        <f t="shared" si="24"/>
        <v>8</v>
      </c>
      <c r="AS31" s="662"/>
      <c r="AT31" s="552">
        <v>17</v>
      </c>
      <c r="AU31" s="553">
        <v>2222.1052631578964</v>
      </c>
      <c r="AV31" s="553">
        <v>130.71207430340567</v>
      </c>
      <c r="AW31" s="552">
        <f t="shared" si="26"/>
        <v>5</v>
      </c>
      <c r="AX31" s="662"/>
      <c r="AZ31" s="368" t="e">
        <f t="shared" si="28"/>
        <v>#N/A</v>
      </c>
      <c r="BA31" s="662"/>
    </row>
    <row r="32" spans="2:53">
      <c r="B32" s="660"/>
      <c r="C32" s="380">
        <v>6</v>
      </c>
      <c r="D32" s="225" t="s">
        <v>593</v>
      </c>
      <c r="E32" s="531">
        <v>17</v>
      </c>
      <c r="F32" s="530">
        <v>2571</v>
      </c>
      <c r="G32" s="532">
        <v>151.23529411764707</v>
      </c>
      <c r="H32" s="692"/>
      <c r="I32" s="381">
        <f t="shared" si="11"/>
        <v>17</v>
      </c>
      <c r="J32" s="381">
        <f t="shared" si="12"/>
        <v>2381.675824175823</v>
      </c>
      <c r="K32" s="199">
        <f t="shared" si="13"/>
        <v>140.09857789269546</v>
      </c>
      <c r="L32" s="634"/>
      <c r="M32" s="387">
        <f>RANK(K32, K$24:$K$41)</f>
        <v>2</v>
      </c>
      <c r="N32" s="652"/>
      <c r="O32" s="652"/>
      <c r="P32" s="552">
        <v>17</v>
      </c>
      <c r="Q32" s="553">
        <v>2349.2307692307677</v>
      </c>
      <c r="R32" s="553">
        <v>138.1900452488687</v>
      </c>
      <c r="S32" s="552">
        <f t="shared" si="14"/>
        <v>3</v>
      </c>
      <c r="T32" s="662"/>
      <c r="U32" s="552">
        <v>17</v>
      </c>
      <c r="V32" s="553">
        <v>2359.4999999999991</v>
      </c>
      <c r="W32" s="553">
        <v>138.79411764705878</v>
      </c>
      <c r="X32" s="552">
        <f t="shared" si="16"/>
        <v>2</v>
      </c>
      <c r="Y32" s="662"/>
      <c r="Z32" s="552">
        <v>17</v>
      </c>
      <c r="AA32" s="553">
        <v>2389.2307692307677</v>
      </c>
      <c r="AB32" s="553">
        <v>140.54298642533928</v>
      </c>
      <c r="AC32" s="552">
        <f t="shared" si="18"/>
        <v>2</v>
      </c>
      <c r="AD32" s="662"/>
      <c r="AE32" s="552">
        <v>17</v>
      </c>
      <c r="AF32" s="553">
        <v>2403.076923076922</v>
      </c>
      <c r="AG32" s="553">
        <v>141.35746606334834</v>
      </c>
      <c r="AH32" s="552">
        <f t="shared" si="20"/>
        <v>3</v>
      </c>
      <c r="AI32" s="662"/>
      <c r="AJ32" s="552">
        <v>17</v>
      </c>
      <c r="AK32" s="553">
        <v>2404.6153846153829</v>
      </c>
      <c r="AL32" s="553">
        <v>141.44796380090489</v>
      </c>
      <c r="AM32" s="552">
        <f t="shared" si="22"/>
        <v>2</v>
      </c>
      <c r="AN32" s="662"/>
      <c r="AO32" s="552">
        <v>17</v>
      </c>
      <c r="AP32" s="553">
        <v>2363.076923076922</v>
      </c>
      <c r="AQ32" s="553">
        <v>139.00452488687776</v>
      </c>
      <c r="AR32" s="552">
        <f t="shared" si="24"/>
        <v>2</v>
      </c>
      <c r="AS32" s="662"/>
      <c r="AT32" s="552">
        <v>17</v>
      </c>
      <c r="AU32" s="553">
        <v>2402.9999999999991</v>
      </c>
      <c r="AV32" s="553">
        <v>141.35294117647052</v>
      </c>
      <c r="AW32" s="552">
        <f t="shared" si="26"/>
        <v>2</v>
      </c>
      <c r="AX32" s="662"/>
      <c r="AZ32" s="368" t="e">
        <f t="shared" si="28"/>
        <v>#N/A</v>
      </c>
      <c r="BA32" s="662"/>
    </row>
    <row r="33" spans="2:53">
      <c r="B33" s="660"/>
      <c r="C33" s="380">
        <v>7</v>
      </c>
      <c r="D33" s="225" t="s">
        <v>609</v>
      </c>
      <c r="E33" s="531">
        <v>19</v>
      </c>
      <c r="F33" s="530">
        <v>2400</v>
      </c>
      <c r="G33" s="532">
        <v>126.31578947368421</v>
      </c>
      <c r="H33" s="692"/>
      <c r="I33" s="381">
        <f t="shared" si="11"/>
        <v>18</v>
      </c>
      <c r="J33" s="381">
        <f t="shared" si="12"/>
        <v>2056.3527605399545</v>
      </c>
      <c r="K33" s="199">
        <f t="shared" si="13"/>
        <v>114.38659839451381</v>
      </c>
      <c r="L33" s="634"/>
      <c r="M33" s="387">
        <f>RANK(K33, K$24:$K$41)</f>
        <v>11</v>
      </c>
      <c r="N33" s="652"/>
      <c r="O33" s="652"/>
      <c r="P33" s="552">
        <v>19</v>
      </c>
      <c r="Q33" s="553">
        <v>2146.3636363636365</v>
      </c>
      <c r="R33" s="553">
        <v>112.96650717703351</v>
      </c>
      <c r="S33" s="552">
        <f t="shared" si="14"/>
        <v>11</v>
      </c>
      <c r="T33" s="662"/>
      <c r="U33" s="552">
        <v>18</v>
      </c>
      <c r="V33" s="553">
        <v>2168.181818181818</v>
      </c>
      <c r="W33" s="553">
        <v>120.45454545454544</v>
      </c>
      <c r="X33" s="552">
        <f t="shared" si="16"/>
        <v>9</v>
      </c>
      <c r="Y33" s="662"/>
      <c r="Z33" s="552">
        <v>17</v>
      </c>
      <c r="AA33" s="553">
        <v>1967.5862068965532</v>
      </c>
      <c r="AB33" s="553">
        <v>115.74036511156196</v>
      </c>
      <c r="AC33" s="552">
        <f t="shared" si="18"/>
        <v>11</v>
      </c>
      <c r="AD33" s="662"/>
      <c r="AE33" s="552">
        <v>17</v>
      </c>
      <c r="AF33" s="553">
        <v>2018.181818181818</v>
      </c>
      <c r="AG33" s="553">
        <v>118.71657754010694</v>
      </c>
      <c r="AH33" s="552">
        <f t="shared" si="20"/>
        <v>10</v>
      </c>
      <c r="AI33" s="662"/>
      <c r="AJ33" s="552">
        <v>17</v>
      </c>
      <c r="AK33" s="553">
        <v>1951.4285714285784</v>
      </c>
      <c r="AL33" s="553">
        <v>114.78991596638696</v>
      </c>
      <c r="AM33" s="552">
        <f t="shared" si="22"/>
        <v>9</v>
      </c>
      <c r="AN33" s="662"/>
      <c r="AO33" s="552">
        <v>19</v>
      </c>
      <c r="AP33" s="553">
        <v>2072.7272727272803</v>
      </c>
      <c r="AQ33" s="553">
        <v>109.09090909090949</v>
      </c>
      <c r="AR33" s="552">
        <f t="shared" si="24"/>
        <v>11</v>
      </c>
      <c r="AS33" s="662"/>
      <c r="AT33" s="552">
        <v>19</v>
      </c>
      <c r="AU33" s="553">
        <v>2069.9999999999959</v>
      </c>
      <c r="AV33" s="553">
        <v>108.94736842105242</v>
      </c>
      <c r="AW33" s="552">
        <f t="shared" si="26"/>
        <v>10</v>
      </c>
      <c r="AX33" s="662"/>
      <c r="AZ33" s="368" t="e">
        <f t="shared" si="28"/>
        <v>#N/A</v>
      </c>
      <c r="BA33" s="662"/>
    </row>
    <row r="34" spans="2:53">
      <c r="B34" s="660"/>
      <c r="C34" s="380">
        <v>8</v>
      </c>
      <c r="D34" s="225" t="s">
        <v>616</v>
      </c>
      <c r="E34" s="531">
        <v>18</v>
      </c>
      <c r="F34" s="530">
        <v>2571</v>
      </c>
      <c r="G34" s="532">
        <v>142.83333333333334</v>
      </c>
      <c r="H34" s="692"/>
      <c r="I34" s="381">
        <f t="shared" si="11"/>
        <v>17.285714285714285</v>
      </c>
      <c r="J34" s="381">
        <f t="shared" si="12"/>
        <v>2387.5633794550386</v>
      </c>
      <c r="K34" s="199">
        <f t="shared" si="13"/>
        <v>138.21373499260062</v>
      </c>
      <c r="L34" s="634"/>
      <c r="M34" s="387">
        <f>RANK(K34, K$24:$K$41)</f>
        <v>3</v>
      </c>
      <c r="N34" s="652"/>
      <c r="O34" s="652"/>
      <c r="P34" s="552">
        <v>17</v>
      </c>
      <c r="Q34" s="553">
        <v>2387.3076923076937</v>
      </c>
      <c r="R34" s="553">
        <v>140.42986425339376</v>
      </c>
      <c r="S34" s="552">
        <f t="shared" si="14"/>
        <v>1</v>
      </c>
      <c r="T34" s="662"/>
      <c r="U34" s="552">
        <v>17</v>
      </c>
      <c r="V34" s="553">
        <v>2358.8235294117653</v>
      </c>
      <c r="W34" s="553">
        <v>138.75432525951561</v>
      </c>
      <c r="X34" s="552">
        <f t="shared" si="16"/>
        <v>3</v>
      </c>
      <c r="Y34" s="662"/>
      <c r="Z34" s="552">
        <v>17</v>
      </c>
      <c r="AA34" s="553">
        <v>2373.6000000000004</v>
      </c>
      <c r="AB34" s="553">
        <v>139.62352941176474</v>
      </c>
      <c r="AC34" s="552">
        <f t="shared" si="18"/>
        <v>3</v>
      </c>
      <c r="AD34" s="662"/>
      <c r="AE34" s="552">
        <v>17</v>
      </c>
      <c r="AF34" s="553">
        <v>2406.1224489795927</v>
      </c>
      <c r="AG34" s="553">
        <v>141.53661464585841</v>
      </c>
      <c r="AH34" s="552">
        <f t="shared" si="20"/>
        <v>2</v>
      </c>
      <c r="AI34" s="662"/>
      <c r="AJ34" s="552">
        <v>17</v>
      </c>
      <c r="AK34" s="553">
        <v>2407.9245283018881</v>
      </c>
      <c r="AL34" s="553">
        <v>141.64261931187576</v>
      </c>
      <c r="AM34" s="552">
        <f t="shared" si="22"/>
        <v>1</v>
      </c>
      <c r="AN34" s="662"/>
      <c r="AO34" s="552">
        <v>18</v>
      </c>
      <c r="AP34" s="553">
        <v>2403.3962264150955</v>
      </c>
      <c r="AQ34" s="553">
        <v>133.52201257861643</v>
      </c>
      <c r="AR34" s="552">
        <f t="shared" si="24"/>
        <v>4</v>
      </c>
      <c r="AS34" s="662"/>
      <c r="AT34" s="552">
        <v>18</v>
      </c>
      <c r="AU34" s="553">
        <v>2375.7692307692323</v>
      </c>
      <c r="AV34" s="553">
        <v>131.98717948717956</v>
      </c>
      <c r="AW34" s="552">
        <f t="shared" si="26"/>
        <v>4</v>
      </c>
      <c r="AX34" s="662"/>
      <c r="AZ34" s="368" t="e">
        <f t="shared" si="28"/>
        <v>#N/A</v>
      </c>
      <c r="BA34" s="662"/>
    </row>
    <row r="35" spans="2:53">
      <c r="B35" s="660"/>
      <c r="C35" s="380">
        <v>9</v>
      </c>
      <c r="D35" s="225" t="s">
        <v>619</v>
      </c>
      <c r="E35" s="531">
        <v>19</v>
      </c>
      <c r="F35" s="530">
        <v>2400</v>
      </c>
      <c r="G35" s="532">
        <v>126.31578947368421</v>
      </c>
      <c r="H35" s="692"/>
      <c r="I35" s="381">
        <f t="shared" si="11"/>
        <v>19</v>
      </c>
      <c r="J35" s="381">
        <f t="shared" si="12"/>
        <v>2201.7878127891845</v>
      </c>
      <c r="K35" s="199">
        <f t="shared" si="13"/>
        <v>115.88356909416758</v>
      </c>
      <c r="L35" s="634"/>
      <c r="M35" s="387">
        <f>RANK(K35, K$24:$K$41)</f>
        <v>10</v>
      </c>
      <c r="N35" s="652"/>
      <c r="O35" s="652"/>
      <c r="P35" s="552">
        <v>19</v>
      </c>
      <c r="Q35" s="553">
        <v>2170.3448275862083</v>
      </c>
      <c r="R35" s="553">
        <v>114.22867513611622</v>
      </c>
      <c r="S35" s="552">
        <f t="shared" si="14"/>
        <v>10</v>
      </c>
      <c r="T35" s="662"/>
      <c r="U35" s="552">
        <v>19</v>
      </c>
      <c r="V35" s="553">
        <v>2164.0000000000018</v>
      </c>
      <c r="W35" s="553">
        <v>113.89473684210536</v>
      </c>
      <c r="X35" s="552">
        <f t="shared" si="16"/>
        <v>11</v>
      </c>
      <c r="Y35" s="662"/>
      <c r="Z35" s="552">
        <v>19</v>
      </c>
      <c r="AA35" s="553">
        <v>2237.4193548387061</v>
      </c>
      <c r="AB35" s="553">
        <v>117.75891341256347</v>
      </c>
      <c r="AC35" s="552">
        <f t="shared" si="18"/>
        <v>10</v>
      </c>
      <c r="AD35" s="662"/>
      <c r="AE35" s="552">
        <v>19</v>
      </c>
      <c r="AF35" s="553">
        <v>2202.8571428571381</v>
      </c>
      <c r="AG35" s="553">
        <v>115.9398496240599</v>
      </c>
      <c r="AH35" s="552">
        <f t="shared" si="20"/>
        <v>11</v>
      </c>
      <c r="AI35" s="662"/>
      <c r="AJ35" s="552">
        <v>19</v>
      </c>
      <c r="AK35" s="553">
        <v>2177.1428571428523</v>
      </c>
      <c r="AL35" s="553">
        <v>114.58646616541328</v>
      </c>
      <c r="AM35" s="552">
        <f t="shared" si="22"/>
        <v>11</v>
      </c>
      <c r="AN35" s="662"/>
      <c r="AO35" s="552">
        <v>19</v>
      </c>
      <c r="AP35" s="553">
        <v>2253.1034482758578</v>
      </c>
      <c r="AQ35" s="553">
        <v>118.58439201451883</v>
      </c>
      <c r="AR35" s="552">
        <f t="shared" si="24"/>
        <v>9</v>
      </c>
      <c r="AS35" s="662"/>
      <c r="AT35" s="552">
        <v>19</v>
      </c>
      <c r="AU35" s="553">
        <v>2207.6470588235265</v>
      </c>
      <c r="AV35" s="553">
        <v>116.19195046439613</v>
      </c>
      <c r="AW35" s="552">
        <f t="shared" si="26"/>
        <v>9</v>
      </c>
      <c r="AX35" s="662"/>
      <c r="AZ35" s="368" t="e">
        <f t="shared" si="28"/>
        <v>#N/A</v>
      </c>
      <c r="BA35" s="662"/>
    </row>
    <row r="36" spans="2:53">
      <c r="B36" s="660"/>
      <c r="C36" s="380">
        <v>10</v>
      </c>
      <c r="D36" s="225" t="s">
        <v>625</v>
      </c>
      <c r="E36" s="531">
        <v>21</v>
      </c>
      <c r="F36" s="530">
        <v>2400</v>
      </c>
      <c r="G36" s="532">
        <v>114.28571428571429</v>
      </c>
      <c r="H36" s="692"/>
      <c r="I36" s="381">
        <f t="shared" si="11"/>
        <v>21</v>
      </c>
      <c r="J36" s="381">
        <f t="shared" si="12"/>
        <v>2155.364341085271</v>
      </c>
      <c r="K36" s="199">
        <f t="shared" si="13"/>
        <v>102.63639719453673</v>
      </c>
      <c r="L36" s="634"/>
      <c r="M36" s="387">
        <f>RANK(K36, K$24:$K$41)</f>
        <v>12</v>
      </c>
      <c r="N36" s="652"/>
      <c r="O36" s="652"/>
      <c r="P36" s="552">
        <v>21</v>
      </c>
      <c r="Q36" s="553">
        <v>2161.395348837209</v>
      </c>
      <c r="R36" s="553">
        <v>102.9235880398671</v>
      </c>
      <c r="S36" s="552">
        <f t="shared" si="14"/>
        <v>12</v>
      </c>
      <c r="T36" s="662"/>
      <c r="U36" s="552">
        <v>21</v>
      </c>
      <c r="V36" s="553">
        <v>2149.3333333333335</v>
      </c>
      <c r="W36" s="553">
        <v>102.34920634920636</v>
      </c>
      <c r="X36" s="552">
        <f t="shared" si="16"/>
        <v>12</v>
      </c>
      <c r="Y36" s="662"/>
      <c r="Z36" s="552" t="s">
        <v>585</v>
      </c>
      <c r="AA36" s="553" t="s">
        <v>585</v>
      </c>
      <c r="AB36" s="553" t="s">
        <v>585</v>
      </c>
      <c r="AC36" s="552" t="e">
        <f t="shared" si="18"/>
        <v>#VALUE!</v>
      </c>
      <c r="AD36" s="662"/>
      <c r="AE36" s="552" t="s">
        <v>585</v>
      </c>
      <c r="AF36" s="553" t="s">
        <v>585</v>
      </c>
      <c r="AG36" s="553" t="s">
        <v>585</v>
      </c>
      <c r="AH36" s="552" t="e">
        <f t="shared" si="20"/>
        <v>#VALUE!</v>
      </c>
      <c r="AI36" s="662"/>
      <c r="AJ36" s="552" t="s">
        <v>585</v>
      </c>
      <c r="AK36" s="553" t="s">
        <v>585</v>
      </c>
      <c r="AL36" s="553" t="s">
        <v>585</v>
      </c>
      <c r="AM36" s="552" t="e">
        <f t="shared" si="22"/>
        <v>#VALUE!</v>
      </c>
      <c r="AN36" s="662"/>
      <c r="AO36" s="552" t="s">
        <v>585</v>
      </c>
      <c r="AP36" s="553" t="s">
        <v>585</v>
      </c>
      <c r="AQ36" s="553" t="s">
        <v>585</v>
      </c>
      <c r="AR36" s="552" t="e">
        <f t="shared" si="24"/>
        <v>#VALUE!</v>
      </c>
      <c r="AS36" s="662"/>
      <c r="AT36" s="552" t="s">
        <v>585</v>
      </c>
      <c r="AU36" s="553" t="s">
        <v>585</v>
      </c>
      <c r="AV36" s="553" t="s">
        <v>585</v>
      </c>
      <c r="AW36" s="552" t="e">
        <f t="shared" si="26"/>
        <v>#VALUE!</v>
      </c>
      <c r="AX36" s="662"/>
      <c r="AZ36" s="368" t="e">
        <f t="shared" si="28"/>
        <v>#N/A</v>
      </c>
      <c r="BA36" s="662"/>
    </row>
    <row r="37" spans="2:53">
      <c r="B37" s="660"/>
      <c r="C37" s="380">
        <v>11</v>
      </c>
      <c r="D37" s="225" t="s">
        <v>715</v>
      </c>
      <c r="E37" s="531">
        <v>17</v>
      </c>
      <c r="F37" s="530">
        <v>2571</v>
      </c>
      <c r="G37" s="532">
        <v>151.23529411764707</v>
      </c>
      <c r="H37" s="692"/>
      <c r="I37" s="381">
        <f t="shared" si="11"/>
        <v>18</v>
      </c>
      <c r="J37" s="381">
        <f t="shared" si="12"/>
        <v>2366.7126075418751</v>
      </c>
      <c r="K37" s="199">
        <f t="shared" si="13"/>
        <v>131.48403375232638</v>
      </c>
      <c r="L37" s="634"/>
      <c r="M37" s="387">
        <f>RANK(K37, K$24:$K$41)</f>
        <v>5</v>
      </c>
      <c r="N37" s="652"/>
      <c r="O37" s="652"/>
      <c r="P37" s="552">
        <v>18</v>
      </c>
      <c r="Q37" s="553">
        <v>2316.0000000000023</v>
      </c>
      <c r="R37" s="553">
        <v>128.6666666666668</v>
      </c>
      <c r="S37" s="552">
        <f t="shared" si="14"/>
        <v>6</v>
      </c>
      <c r="T37" s="662"/>
      <c r="U37" s="552">
        <v>18</v>
      </c>
      <c r="V37" s="553">
        <v>2331.2195121951208</v>
      </c>
      <c r="W37" s="553">
        <v>129.51219512195115</v>
      </c>
      <c r="X37" s="552">
        <f t="shared" si="16"/>
        <v>6</v>
      </c>
      <c r="Y37" s="662"/>
      <c r="Z37" s="552">
        <v>18</v>
      </c>
      <c r="AA37" s="553">
        <v>2373.8461538461524</v>
      </c>
      <c r="AB37" s="553">
        <v>131.8803418803418</v>
      </c>
      <c r="AC37" s="552">
        <f t="shared" si="18"/>
        <v>7</v>
      </c>
      <c r="AD37" s="662"/>
      <c r="AE37" s="552">
        <v>18</v>
      </c>
      <c r="AF37" s="553">
        <v>2370.7692307692296</v>
      </c>
      <c r="AG37" s="553">
        <v>131.70940170940165</v>
      </c>
      <c r="AH37" s="552">
        <f t="shared" si="20"/>
        <v>6</v>
      </c>
      <c r="AI37" s="662"/>
      <c r="AJ37" s="552">
        <v>18</v>
      </c>
      <c r="AK37" s="553">
        <v>2393.8461538461524</v>
      </c>
      <c r="AL37" s="553">
        <v>132.99145299145292</v>
      </c>
      <c r="AM37" s="552">
        <f t="shared" si="22"/>
        <v>4</v>
      </c>
      <c r="AN37" s="662"/>
      <c r="AO37" s="552">
        <v>18</v>
      </c>
      <c r="AP37" s="553">
        <v>2414.5945945945928</v>
      </c>
      <c r="AQ37" s="553">
        <v>134.14414414414404</v>
      </c>
      <c r="AR37" s="552">
        <f t="shared" si="24"/>
        <v>3</v>
      </c>
      <c r="AS37" s="662"/>
      <c r="AT37" s="552" t="s">
        <v>585</v>
      </c>
      <c r="AU37" s="553" t="s">
        <v>585</v>
      </c>
      <c r="AV37" s="553" t="s">
        <v>585</v>
      </c>
      <c r="AW37" s="552" t="e">
        <f t="shared" si="26"/>
        <v>#VALUE!</v>
      </c>
      <c r="AX37" s="662"/>
      <c r="AZ37" s="368" t="e">
        <f t="shared" si="28"/>
        <v>#N/A</v>
      </c>
      <c r="BA37" s="662"/>
    </row>
    <row r="38" spans="2:53">
      <c r="B38" s="660"/>
      <c r="C38" s="380">
        <v>12</v>
      </c>
      <c r="D38" s="225" t="s">
        <v>732</v>
      </c>
      <c r="E38" s="531">
        <v>18</v>
      </c>
      <c r="F38" s="530">
        <v>2571</v>
      </c>
      <c r="G38" s="532">
        <v>142.83333333333334</v>
      </c>
      <c r="H38" s="692"/>
      <c r="I38" s="381">
        <f t="shared" si="11"/>
        <v>18</v>
      </c>
      <c r="J38" s="381">
        <f t="shared" si="12"/>
        <v>2389.7382281641039</v>
      </c>
      <c r="K38" s="199">
        <f t="shared" si="13"/>
        <v>132.76323489800578</v>
      </c>
      <c r="L38" s="634"/>
      <c r="M38" s="387">
        <f>RANK(K38, K$24:$K$41)</f>
        <v>4</v>
      </c>
      <c r="N38" s="652"/>
      <c r="O38" s="652"/>
      <c r="P38" s="552">
        <v>18</v>
      </c>
      <c r="Q38" s="553">
        <v>2366.603773584905</v>
      </c>
      <c r="R38" s="553">
        <v>131.4779874213836</v>
      </c>
      <c r="S38" s="552">
        <f t="shared" si="14"/>
        <v>4</v>
      </c>
      <c r="T38" s="662"/>
      <c r="U38" s="552">
        <v>18</v>
      </c>
      <c r="V38" s="553">
        <v>2387.027027027028</v>
      </c>
      <c r="W38" s="553">
        <v>132.61261261261268</v>
      </c>
      <c r="X38" s="552">
        <f t="shared" si="16"/>
        <v>5</v>
      </c>
      <c r="Y38" s="662"/>
      <c r="Z38" s="552">
        <v>18</v>
      </c>
      <c r="AA38" s="553">
        <v>2400</v>
      </c>
      <c r="AB38" s="553">
        <v>133.33333333333334</v>
      </c>
      <c r="AC38" s="552">
        <f t="shared" si="18"/>
        <v>5</v>
      </c>
      <c r="AD38" s="662"/>
      <c r="AE38" s="552">
        <v>18</v>
      </c>
      <c r="AF38" s="553">
        <v>2393.3333333333344</v>
      </c>
      <c r="AG38" s="553">
        <v>132.96296296296302</v>
      </c>
      <c r="AH38" s="552">
        <f t="shared" si="20"/>
        <v>4</v>
      </c>
      <c r="AI38" s="662"/>
      <c r="AJ38" s="552">
        <v>18</v>
      </c>
      <c r="AK38" s="553">
        <v>2384.7272727272707</v>
      </c>
      <c r="AL38" s="553">
        <v>132.48484848484838</v>
      </c>
      <c r="AM38" s="552">
        <f t="shared" si="22"/>
        <v>5</v>
      </c>
      <c r="AN38" s="662"/>
      <c r="AO38" s="552">
        <v>18</v>
      </c>
      <c r="AP38" s="553">
        <v>2390.4761904761899</v>
      </c>
      <c r="AQ38" s="553">
        <v>132.80423280423278</v>
      </c>
      <c r="AR38" s="552">
        <f t="shared" si="24"/>
        <v>5</v>
      </c>
      <c r="AS38" s="662"/>
      <c r="AT38" s="552">
        <v>18</v>
      </c>
      <c r="AU38" s="553">
        <v>2405.9999999999991</v>
      </c>
      <c r="AV38" s="553">
        <v>133.66666666666663</v>
      </c>
      <c r="AW38" s="552">
        <f t="shared" si="26"/>
        <v>3</v>
      </c>
      <c r="AX38" s="662"/>
      <c r="AZ38" s="368" t="e">
        <f t="shared" si="28"/>
        <v>#N/A</v>
      </c>
      <c r="BA38" s="662"/>
    </row>
    <row r="39" spans="2:53">
      <c r="B39" s="660"/>
      <c r="C39" s="380">
        <v>13</v>
      </c>
      <c r="D39" s="225"/>
      <c r="E39" s="531"/>
      <c r="F39" s="530"/>
      <c r="G39" s="532"/>
      <c r="H39" s="692"/>
      <c r="I39" s="381" t="str">
        <f t="shared" si="11"/>
        <v>-</v>
      </c>
      <c r="J39" s="381" t="str">
        <f t="shared" si="12"/>
        <v>-</v>
      </c>
      <c r="K39" s="199" t="str">
        <f t="shared" si="13"/>
        <v>-</v>
      </c>
      <c r="L39" s="634"/>
      <c r="M39" s="387" t="e">
        <f>RANK(K39, K$24:$K$41)</f>
        <v>#VALUE!</v>
      </c>
      <c r="N39" s="652"/>
      <c r="O39" s="652"/>
      <c r="P39" s="552" t="s">
        <v>585</v>
      </c>
      <c r="Q39" s="553" t="s">
        <v>585</v>
      </c>
      <c r="R39" s="553" t="s">
        <v>585</v>
      </c>
      <c r="S39" s="552" t="e">
        <f t="shared" si="14"/>
        <v>#VALUE!</v>
      </c>
      <c r="T39" s="662"/>
      <c r="U39" s="552" t="s">
        <v>585</v>
      </c>
      <c r="V39" s="553" t="s">
        <v>585</v>
      </c>
      <c r="W39" s="553" t="s">
        <v>585</v>
      </c>
      <c r="X39" s="552" t="e">
        <f t="shared" si="16"/>
        <v>#VALUE!</v>
      </c>
      <c r="Y39" s="662"/>
      <c r="Z39" s="552" t="s">
        <v>585</v>
      </c>
      <c r="AA39" s="553" t="s">
        <v>585</v>
      </c>
      <c r="AB39" s="553" t="s">
        <v>585</v>
      </c>
      <c r="AC39" s="552" t="e">
        <f t="shared" si="18"/>
        <v>#VALUE!</v>
      </c>
      <c r="AD39" s="662"/>
      <c r="AE39" s="552" t="s">
        <v>585</v>
      </c>
      <c r="AF39" s="553" t="s">
        <v>585</v>
      </c>
      <c r="AG39" s="553" t="s">
        <v>585</v>
      </c>
      <c r="AH39" s="552" t="e">
        <f t="shared" si="20"/>
        <v>#VALUE!</v>
      </c>
      <c r="AI39" s="662"/>
      <c r="AJ39" s="552" t="s">
        <v>585</v>
      </c>
      <c r="AK39" s="553" t="s">
        <v>585</v>
      </c>
      <c r="AL39" s="553" t="s">
        <v>585</v>
      </c>
      <c r="AM39" s="552" t="e">
        <f t="shared" si="22"/>
        <v>#VALUE!</v>
      </c>
      <c r="AN39" s="662"/>
      <c r="AO39" s="552" t="s">
        <v>585</v>
      </c>
      <c r="AP39" s="553" t="s">
        <v>585</v>
      </c>
      <c r="AQ39" s="553" t="s">
        <v>585</v>
      </c>
      <c r="AR39" s="552" t="e">
        <f t="shared" si="24"/>
        <v>#VALUE!</v>
      </c>
      <c r="AS39" s="662"/>
      <c r="AT39" s="552" t="s">
        <v>585</v>
      </c>
      <c r="AU39" s="553" t="s">
        <v>585</v>
      </c>
      <c r="AV39" s="553" t="s">
        <v>585</v>
      </c>
      <c r="AW39" s="552" t="e">
        <f t="shared" si="26"/>
        <v>#VALUE!</v>
      </c>
      <c r="AX39" s="662"/>
      <c r="AZ39" s="368" t="e">
        <f t="shared" si="28"/>
        <v>#N/A</v>
      </c>
      <c r="BA39" s="662"/>
    </row>
    <row r="40" spans="2:53">
      <c r="B40" s="660"/>
      <c r="C40" s="380">
        <v>14</v>
      </c>
      <c r="D40" s="225"/>
      <c r="E40" s="531"/>
      <c r="F40" s="530"/>
      <c r="G40" s="532"/>
      <c r="H40" s="692"/>
      <c r="I40" s="381" t="str">
        <f t="shared" si="11"/>
        <v>-</v>
      </c>
      <c r="J40" s="381" t="str">
        <f t="shared" si="12"/>
        <v>-</v>
      </c>
      <c r="K40" s="199" t="str">
        <f t="shared" si="13"/>
        <v>-</v>
      </c>
      <c r="L40" s="634"/>
      <c r="M40" s="387" t="e">
        <f>RANK(K40, K$24:$K$41)</f>
        <v>#VALUE!</v>
      </c>
      <c r="N40" s="652"/>
      <c r="O40" s="652"/>
      <c r="P40" s="552" t="s">
        <v>585</v>
      </c>
      <c r="Q40" s="553" t="s">
        <v>585</v>
      </c>
      <c r="R40" s="553" t="s">
        <v>585</v>
      </c>
      <c r="S40" s="552" t="e">
        <f t="shared" si="14"/>
        <v>#VALUE!</v>
      </c>
      <c r="T40" s="662"/>
      <c r="U40" s="552" t="s">
        <v>585</v>
      </c>
      <c r="V40" s="553" t="s">
        <v>585</v>
      </c>
      <c r="W40" s="553" t="s">
        <v>585</v>
      </c>
      <c r="X40" s="552" t="e">
        <f t="shared" si="16"/>
        <v>#VALUE!</v>
      </c>
      <c r="Y40" s="662"/>
      <c r="Z40" s="552" t="s">
        <v>585</v>
      </c>
      <c r="AA40" s="553" t="s">
        <v>585</v>
      </c>
      <c r="AB40" s="553" t="s">
        <v>585</v>
      </c>
      <c r="AC40" s="552" t="e">
        <f t="shared" si="18"/>
        <v>#VALUE!</v>
      </c>
      <c r="AD40" s="662"/>
      <c r="AE40" s="552" t="s">
        <v>585</v>
      </c>
      <c r="AF40" s="553" t="s">
        <v>585</v>
      </c>
      <c r="AG40" s="553" t="s">
        <v>585</v>
      </c>
      <c r="AH40" s="552" t="e">
        <f t="shared" si="20"/>
        <v>#VALUE!</v>
      </c>
      <c r="AI40" s="662"/>
      <c r="AJ40" s="552" t="s">
        <v>585</v>
      </c>
      <c r="AK40" s="553" t="s">
        <v>585</v>
      </c>
      <c r="AL40" s="553" t="s">
        <v>585</v>
      </c>
      <c r="AM40" s="552" t="e">
        <f t="shared" si="22"/>
        <v>#VALUE!</v>
      </c>
      <c r="AN40" s="662"/>
      <c r="AO40" s="552" t="s">
        <v>585</v>
      </c>
      <c r="AP40" s="553" t="s">
        <v>585</v>
      </c>
      <c r="AQ40" s="553" t="s">
        <v>585</v>
      </c>
      <c r="AR40" s="552" t="e">
        <f t="shared" si="24"/>
        <v>#VALUE!</v>
      </c>
      <c r="AS40" s="662"/>
      <c r="AT40" s="552" t="s">
        <v>585</v>
      </c>
      <c r="AU40" s="553" t="s">
        <v>585</v>
      </c>
      <c r="AV40" s="553" t="s">
        <v>585</v>
      </c>
      <c r="AW40" s="552" t="e">
        <f t="shared" si="26"/>
        <v>#VALUE!</v>
      </c>
      <c r="AX40" s="662"/>
      <c r="AZ40" s="368" t="e">
        <f t="shared" si="28"/>
        <v>#N/A</v>
      </c>
      <c r="BA40" s="662"/>
    </row>
    <row r="41" spans="2:53">
      <c r="B41" s="660"/>
      <c r="C41" s="380">
        <v>15</v>
      </c>
      <c r="D41" s="225"/>
      <c r="E41" s="531"/>
      <c r="F41" s="530"/>
      <c r="G41" s="532"/>
      <c r="H41" s="696"/>
      <c r="I41" s="380"/>
      <c r="J41" s="380"/>
      <c r="K41" s="380"/>
      <c r="L41" s="635"/>
      <c r="M41" s="387" t="e">
        <f>RANK(K41, K$24:$K$41)</f>
        <v>#N/A</v>
      </c>
      <c r="N41" s="652"/>
      <c r="O41" s="652"/>
      <c r="P41" s="552" t="s">
        <v>585</v>
      </c>
      <c r="Q41" s="553" t="s">
        <v>585</v>
      </c>
      <c r="R41" s="553" t="s">
        <v>585</v>
      </c>
      <c r="S41" s="552" t="e">
        <f t="shared" si="14"/>
        <v>#VALUE!</v>
      </c>
      <c r="T41" s="663"/>
      <c r="U41" s="552" t="s">
        <v>585</v>
      </c>
      <c r="V41" s="553" t="s">
        <v>585</v>
      </c>
      <c r="W41" s="553" t="s">
        <v>585</v>
      </c>
      <c r="X41" s="552" t="e">
        <f t="shared" si="16"/>
        <v>#VALUE!</v>
      </c>
      <c r="Y41" s="663"/>
      <c r="Z41" s="552" t="s">
        <v>585</v>
      </c>
      <c r="AA41" s="553" t="s">
        <v>585</v>
      </c>
      <c r="AB41" s="553" t="s">
        <v>585</v>
      </c>
      <c r="AC41" s="552" t="e">
        <f t="shared" si="18"/>
        <v>#VALUE!</v>
      </c>
      <c r="AD41" s="663"/>
      <c r="AE41" s="552" t="s">
        <v>585</v>
      </c>
      <c r="AF41" s="553" t="s">
        <v>585</v>
      </c>
      <c r="AG41" s="553" t="s">
        <v>585</v>
      </c>
      <c r="AH41" s="552" t="e">
        <f t="shared" si="20"/>
        <v>#VALUE!</v>
      </c>
      <c r="AI41" s="663"/>
      <c r="AJ41" s="552" t="s">
        <v>585</v>
      </c>
      <c r="AK41" s="553" t="s">
        <v>585</v>
      </c>
      <c r="AL41" s="553" t="s">
        <v>585</v>
      </c>
      <c r="AM41" s="552" t="e">
        <f t="shared" si="22"/>
        <v>#VALUE!</v>
      </c>
      <c r="AN41" s="663"/>
      <c r="AO41" s="552" t="s">
        <v>585</v>
      </c>
      <c r="AP41" s="553" t="s">
        <v>585</v>
      </c>
      <c r="AQ41" s="553" t="s">
        <v>585</v>
      </c>
      <c r="AR41" s="552" t="e">
        <f t="shared" si="24"/>
        <v>#VALUE!</v>
      </c>
      <c r="AS41" s="663"/>
      <c r="AT41" s="552" t="s">
        <v>585</v>
      </c>
      <c r="AU41" s="553" t="s">
        <v>585</v>
      </c>
      <c r="AV41" s="553" t="s">
        <v>585</v>
      </c>
      <c r="AW41" s="552" t="e">
        <f t="shared" si="26"/>
        <v>#VALUE!</v>
      </c>
      <c r="AX41" s="663"/>
      <c r="AZ41" s="368" t="e">
        <f t="shared" si="28"/>
        <v>#N/A</v>
      </c>
      <c r="BA41" s="663"/>
    </row>
    <row r="42" spans="2:53" ht="15.75">
      <c r="B42" s="677" t="s">
        <v>162</v>
      </c>
      <c r="C42" s="678"/>
      <c r="D42" s="678"/>
      <c r="E42" s="678"/>
      <c r="F42" s="678"/>
      <c r="G42" s="678"/>
      <c r="H42" s="678"/>
      <c r="I42" s="207"/>
      <c r="J42" s="202"/>
      <c r="K42" s="207"/>
      <c r="L42" s="207"/>
      <c r="M42" s="203"/>
      <c r="N42" s="653" t="s">
        <v>156</v>
      </c>
      <c r="O42" s="653" t="s">
        <v>105</v>
      </c>
      <c r="P42" s="659">
        <f>P22+7</f>
        <v>46245</v>
      </c>
      <c r="Q42" s="660"/>
      <c r="R42" s="660"/>
      <c r="S42" s="660"/>
      <c r="T42" s="660"/>
      <c r="U42" s="656">
        <f>P42+1</f>
        <v>46246</v>
      </c>
      <c r="V42" s="657"/>
      <c r="W42" s="657"/>
      <c r="X42" s="657"/>
      <c r="Y42" s="658"/>
      <c r="Z42" s="656">
        <f>U42+1</f>
        <v>46247</v>
      </c>
      <c r="AA42" s="657"/>
      <c r="AB42" s="657"/>
      <c r="AC42" s="657"/>
      <c r="AD42" s="658"/>
      <c r="AE42" s="656">
        <f>Z42+1</f>
        <v>46248</v>
      </c>
      <c r="AF42" s="657"/>
      <c r="AG42" s="657"/>
      <c r="AH42" s="657"/>
      <c r="AI42" s="658"/>
      <c r="AJ42" s="656">
        <f>AE42+1</f>
        <v>46249</v>
      </c>
      <c r="AK42" s="657"/>
      <c r="AL42" s="657"/>
      <c r="AM42" s="657"/>
      <c r="AN42" s="658"/>
      <c r="AO42" s="656">
        <f>AJ42+1</f>
        <v>46250</v>
      </c>
      <c r="AP42" s="657"/>
      <c r="AQ42" s="657"/>
      <c r="AR42" s="657"/>
      <c r="AS42" s="658"/>
      <c r="AT42" s="656">
        <f>AO42+1</f>
        <v>46251</v>
      </c>
      <c r="AU42" s="657"/>
      <c r="AV42" s="657"/>
      <c r="AW42" s="657"/>
      <c r="AX42" s="658"/>
    </row>
    <row r="43" spans="2:53" ht="15.75">
      <c r="B43" s="667"/>
      <c r="C43" s="667"/>
      <c r="D43" s="667"/>
      <c r="E43" s="667"/>
      <c r="F43" s="667"/>
      <c r="G43" s="667"/>
      <c r="H43" s="667"/>
      <c r="I43" s="204"/>
      <c r="J43" s="204"/>
      <c r="K43" s="204"/>
      <c r="L43" s="204"/>
      <c r="M43" s="205"/>
      <c r="N43" s="655"/>
      <c r="O43" s="655"/>
      <c r="P43" s="659" t="s">
        <v>317</v>
      </c>
      <c r="Q43" s="660"/>
      <c r="R43" s="660"/>
      <c r="S43" s="660"/>
      <c r="T43" s="660"/>
      <c r="U43" s="659" t="s">
        <v>318</v>
      </c>
      <c r="V43" s="660"/>
      <c r="W43" s="660"/>
      <c r="X43" s="660"/>
      <c r="Y43" s="660"/>
      <c r="Z43" s="659" t="s">
        <v>319</v>
      </c>
      <c r="AA43" s="660"/>
      <c r="AB43" s="660"/>
      <c r="AC43" s="660"/>
      <c r="AD43" s="660"/>
      <c r="AE43" s="659" t="s">
        <v>320</v>
      </c>
      <c r="AF43" s="660"/>
      <c r="AG43" s="660"/>
      <c r="AH43" s="660"/>
      <c r="AI43" s="660"/>
      <c r="AJ43" s="659" t="s">
        <v>321</v>
      </c>
      <c r="AK43" s="660"/>
      <c r="AL43" s="660"/>
      <c r="AM43" s="660"/>
      <c r="AN43" s="660"/>
      <c r="AO43" s="659" t="s">
        <v>322</v>
      </c>
      <c r="AP43" s="660"/>
      <c r="AQ43" s="660"/>
      <c r="AR43" s="660"/>
      <c r="AS43" s="660"/>
      <c r="AT43" s="659" t="s">
        <v>323</v>
      </c>
      <c r="AU43" s="660"/>
      <c r="AV43" s="660"/>
      <c r="AW43" s="660"/>
      <c r="AX43" s="660"/>
    </row>
    <row r="44" spans="2:53">
      <c r="B44" s="652" t="s">
        <v>453</v>
      </c>
      <c r="C44" s="652" t="s">
        <v>532</v>
      </c>
      <c r="D44" s="652"/>
      <c r="E44" s="652" t="s">
        <v>533</v>
      </c>
      <c r="F44" s="652"/>
      <c r="G44" s="652"/>
      <c r="H44" s="668" t="s">
        <v>534</v>
      </c>
      <c r="I44" s="652" t="s">
        <v>535</v>
      </c>
      <c r="J44" s="652"/>
      <c r="K44" s="652"/>
      <c r="L44" s="668" t="s">
        <v>366</v>
      </c>
      <c r="M44" s="653" t="s">
        <v>536</v>
      </c>
      <c r="N44" s="652"/>
      <c r="O44" s="652" t="s">
        <v>372</v>
      </c>
      <c r="P44" s="649" t="s">
        <v>368</v>
      </c>
      <c r="Q44" s="650"/>
      <c r="R44" s="650"/>
      <c r="S44" s="651"/>
      <c r="T44" s="652" t="s">
        <v>366</v>
      </c>
      <c r="U44" s="649" t="s">
        <v>368</v>
      </c>
      <c r="V44" s="650"/>
      <c r="W44" s="650"/>
      <c r="X44" s="651"/>
      <c r="Y44" s="652" t="s">
        <v>366</v>
      </c>
      <c r="Z44" s="649" t="s">
        <v>368</v>
      </c>
      <c r="AA44" s="650"/>
      <c r="AB44" s="650"/>
      <c r="AC44" s="651"/>
      <c r="AD44" s="652" t="s">
        <v>366</v>
      </c>
      <c r="AE44" s="649" t="s">
        <v>368</v>
      </c>
      <c r="AF44" s="650"/>
      <c r="AG44" s="650"/>
      <c r="AH44" s="651"/>
      <c r="AI44" s="652" t="s">
        <v>366</v>
      </c>
      <c r="AJ44" s="649" t="s">
        <v>368</v>
      </c>
      <c r="AK44" s="650"/>
      <c r="AL44" s="650"/>
      <c r="AM44" s="651"/>
      <c r="AN44" s="652" t="s">
        <v>366</v>
      </c>
      <c r="AO44" s="649" t="s">
        <v>368</v>
      </c>
      <c r="AP44" s="650"/>
      <c r="AQ44" s="650"/>
      <c r="AR44" s="651"/>
      <c r="AS44" s="652" t="s">
        <v>366</v>
      </c>
      <c r="AT44" s="649" t="s">
        <v>368</v>
      </c>
      <c r="AU44" s="650"/>
      <c r="AV44" s="650"/>
      <c r="AW44" s="651"/>
      <c r="AX44" s="652" t="s">
        <v>366</v>
      </c>
      <c r="BA44" s="652" t="s">
        <v>366</v>
      </c>
    </row>
    <row r="45" spans="2:53">
      <c r="B45" s="652"/>
      <c r="C45" s="652"/>
      <c r="D45" s="652"/>
      <c r="E45" s="652" t="s">
        <v>538</v>
      </c>
      <c r="F45" s="652"/>
      <c r="G45" s="652"/>
      <c r="H45" s="669"/>
      <c r="I45" s="652" t="s">
        <v>538</v>
      </c>
      <c r="J45" s="652"/>
      <c r="K45" s="652"/>
      <c r="L45" s="669"/>
      <c r="M45" s="654"/>
      <c r="N45" s="652"/>
      <c r="O45" s="652"/>
      <c r="P45" s="649" t="s">
        <v>374</v>
      </c>
      <c r="Q45" s="650"/>
      <c r="R45" s="650"/>
      <c r="S45" s="651"/>
      <c r="T45" s="652"/>
      <c r="U45" s="649" t="s">
        <v>374</v>
      </c>
      <c r="V45" s="650"/>
      <c r="W45" s="650"/>
      <c r="X45" s="651"/>
      <c r="Y45" s="652"/>
      <c r="Z45" s="649" t="s">
        <v>374</v>
      </c>
      <c r="AA45" s="650"/>
      <c r="AB45" s="650"/>
      <c r="AC45" s="651"/>
      <c r="AD45" s="652"/>
      <c r="AE45" s="649" t="s">
        <v>374</v>
      </c>
      <c r="AF45" s="650"/>
      <c r="AG45" s="650"/>
      <c r="AH45" s="651"/>
      <c r="AI45" s="652"/>
      <c r="AJ45" s="649" t="s">
        <v>374</v>
      </c>
      <c r="AK45" s="650"/>
      <c r="AL45" s="650"/>
      <c r="AM45" s="651"/>
      <c r="AN45" s="652"/>
      <c r="AO45" s="649" t="s">
        <v>374</v>
      </c>
      <c r="AP45" s="650"/>
      <c r="AQ45" s="650"/>
      <c r="AR45" s="651"/>
      <c r="AS45" s="652"/>
      <c r="AT45" s="649" t="s">
        <v>374</v>
      </c>
      <c r="AU45" s="650"/>
      <c r="AV45" s="650"/>
      <c r="AW45" s="651"/>
      <c r="AX45" s="652"/>
      <c r="BA45" s="652"/>
    </row>
    <row r="46" spans="2:53">
      <c r="B46" s="652"/>
      <c r="C46" s="652"/>
      <c r="D46" s="652"/>
      <c r="E46" s="378" t="s">
        <v>539</v>
      </c>
      <c r="F46" s="378" t="s">
        <v>540</v>
      </c>
      <c r="G46" s="378" t="s">
        <v>541</v>
      </c>
      <c r="H46" s="670"/>
      <c r="I46" s="378" t="s">
        <v>539</v>
      </c>
      <c r="J46" s="378" t="s">
        <v>540</v>
      </c>
      <c r="K46" s="378" t="s">
        <v>541</v>
      </c>
      <c r="L46" s="670"/>
      <c r="M46" s="655"/>
      <c r="N46" s="652"/>
      <c r="O46" s="652"/>
      <c r="P46" s="378" t="s">
        <v>375</v>
      </c>
      <c r="Q46" s="378" t="s">
        <v>376</v>
      </c>
      <c r="R46" s="378" t="s">
        <v>377</v>
      </c>
      <c r="S46" s="378" t="s">
        <v>367</v>
      </c>
      <c r="T46" s="652"/>
      <c r="U46" s="378" t="s">
        <v>375</v>
      </c>
      <c r="V46" s="378" t="s">
        <v>376</v>
      </c>
      <c r="W46" s="378" t="s">
        <v>377</v>
      </c>
      <c r="X46" s="378" t="s">
        <v>367</v>
      </c>
      <c r="Y46" s="652"/>
      <c r="Z46" s="378" t="s">
        <v>375</v>
      </c>
      <c r="AA46" s="378" t="s">
        <v>376</v>
      </c>
      <c r="AB46" s="378" t="s">
        <v>377</v>
      </c>
      <c r="AC46" s="378" t="s">
        <v>367</v>
      </c>
      <c r="AD46" s="652"/>
      <c r="AE46" s="378" t="s">
        <v>375</v>
      </c>
      <c r="AF46" s="378" t="s">
        <v>376</v>
      </c>
      <c r="AG46" s="378" t="s">
        <v>377</v>
      </c>
      <c r="AH46" s="378" t="s">
        <v>367</v>
      </c>
      <c r="AI46" s="652"/>
      <c r="AJ46" s="378" t="s">
        <v>375</v>
      </c>
      <c r="AK46" s="378" t="s">
        <v>376</v>
      </c>
      <c r="AL46" s="378" t="s">
        <v>377</v>
      </c>
      <c r="AM46" s="378" t="s">
        <v>367</v>
      </c>
      <c r="AN46" s="652"/>
      <c r="AO46" s="378" t="s">
        <v>375</v>
      </c>
      <c r="AP46" s="378" t="s">
        <v>376</v>
      </c>
      <c r="AQ46" s="378" t="s">
        <v>377</v>
      </c>
      <c r="AR46" s="378" t="s">
        <v>367</v>
      </c>
      <c r="AS46" s="652"/>
      <c r="AT46" s="378" t="s">
        <v>375</v>
      </c>
      <c r="AU46" s="378" t="s">
        <v>376</v>
      </c>
      <c r="AV46" s="378" t="s">
        <v>377</v>
      </c>
      <c r="AW46" s="378" t="s">
        <v>367</v>
      </c>
      <c r="AX46" s="652"/>
      <c r="AZ46" s="367" t="s">
        <v>560</v>
      </c>
      <c r="BA46" s="652"/>
    </row>
    <row r="47" spans="2:53">
      <c r="B47" s="652" t="s">
        <v>468</v>
      </c>
      <c r="C47" s="380">
        <v>1</v>
      </c>
      <c r="D47" s="225" t="s">
        <v>350</v>
      </c>
      <c r="E47" s="531">
        <v>20</v>
      </c>
      <c r="F47" s="530">
        <v>2400</v>
      </c>
      <c r="G47" s="532">
        <v>120</v>
      </c>
      <c r="H47" s="691">
        <f>AVERAGE(G47:G61)</f>
        <v>138.08870485036118</v>
      </c>
      <c r="I47" s="381">
        <f t="shared" ref="I47:I60" si="30">IFERROR(AVERAGE(P47,U47,Z47,AE47,AJ47,AO47,AT47),"-")</f>
        <v>20</v>
      </c>
      <c r="J47" s="381">
        <f t="shared" ref="J47:J60" si="31">IFERROR(AVERAGE(Q47,V47,AA47,AF47,AK47,AP47,AU47),"-")</f>
        <v>2370.072877684252</v>
      </c>
      <c r="K47" s="199">
        <f t="shared" ref="K47:K60" si="32">IFERROR(AVERAGE(R47,W47,AB47,AG47,AL47,AQ47,AV47),"-")</f>
        <v>118.50364388421261</v>
      </c>
      <c r="L47" s="633">
        <f>IFERROR(AVERAGE(K47:K61),"-")</f>
        <v>126.55085664206436</v>
      </c>
      <c r="M47" s="384">
        <f>RANK(K47, K$47:$K$61)</f>
        <v>8</v>
      </c>
      <c r="N47" s="652"/>
      <c r="O47" s="652"/>
      <c r="P47" s="555">
        <v>20</v>
      </c>
      <c r="Q47" s="559">
        <v>2376.8167741935486</v>
      </c>
      <c r="R47" s="559">
        <v>118.84083870967743</v>
      </c>
      <c r="S47" s="555">
        <f t="shared" ref="S47:S61" si="33">RANK(R47, R$47:R$61)</f>
        <v>8</v>
      </c>
      <c r="T47" s="661">
        <f t="shared" ref="T47" si="34">AVERAGE(R47:R61)</f>
        <v>126.32270180689883</v>
      </c>
      <c r="U47" s="555">
        <v>20</v>
      </c>
      <c r="V47" s="559">
        <v>2354.9217391304351</v>
      </c>
      <c r="W47" s="559">
        <v>117.74608695652175</v>
      </c>
      <c r="X47" s="555">
        <f t="shared" ref="X47:X61" si="35">RANK(W47, W$47:W$61)</f>
        <v>8</v>
      </c>
      <c r="Y47" s="661">
        <f t="shared" ref="Y47" si="36">AVERAGE(W47:W61)</f>
        <v>125.89955769269054</v>
      </c>
      <c r="Z47" s="555">
        <v>20</v>
      </c>
      <c r="AA47" s="559">
        <v>2386.987951807228</v>
      </c>
      <c r="AB47" s="559">
        <v>119.34939759036141</v>
      </c>
      <c r="AC47" s="555">
        <f t="shared" ref="AC47:AC61" si="37">RANK(AB47, AB$47:AB$61)</f>
        <v>8</v>
      </c>
      <c r="AD47" s="661">
        <f t="shared" ref="AD47" si="38">AVERAGE(AB47:AB61)</f>
        <v>127.24340198452019</v>
      </c>
      <c r="AE47" s="555">
        <v>20</v>
      </c>
      <c r="AF47" s="559">
        <v>2391.4960629921252</v>
      </c>
      <c r="AG47" s="559">
        <v>119.57480314960625</v>
      </c>
      <c r="AH47" s="555">
        <f t="shared" ref="AH47:AH61" si="39">RANK(AG47, AG$47:AG$61)</f>
        <v>8</v>
      </c>
      <c r="AI47" s="661">
        <f t="shared" ref="AI47" si="40">AVERAGE(AG47:AG61)</f>
        <v>125.87432683247857</v>
      </c>
      <c r="AJ47" s="555">
        <v>20</v>
      </c>
      <c r="AK47" s="559">
        <v>2345.4545454545455</v>
      </c>
      <c r="AL47" s="559">
        <v>117.27272727272728</v>
      </c>
      <c r="AM47" s="555">
        <f t="shared" ref="AM47:AM61" si="41">RANK(AL47, AL$47:AL$61)</f>
        <v>8</v>
      </c>
      <c r="AN47" s="661">
        <f t="shared" ref="AN47" si="42">AVERAGE(AL47:AL61)</f>
        <v>125.49156568901813</v>
      </c>
      <c r="AO47" s="555">
        <v>20</v>
      </c>
      <c r="AP47" s="559">
        <v>2350.0137931034492</v>
      </c>
      <c r="AQ47" s="559">
        <v>117.50068965517247</v>
      </c>
      <c r="AR47" s="555">
        <f t="shared" ref="AR47:AR61" si="43">RANK(AQ47, AQ$47:AQ$61)</f>
        <v>8</v>
      </c>
      <c r="AS47" s="661">
        <f t="shared" ref="AS47" si="44">AVERAGE(AQ47:AQ61)</f>
        <v>127.09456831079396</v>
      </c>
      <c r="AT47" s="555">
        <v>20</v>
      </c>
      <c r="AU47" s="559">
        <v>2384.8192771084327</v>
      </c>
      <c r="AV47" s="559">
        <v>119.24096385542164</v>
      </c>
      <c r="AW47" s="555">
        <f t="shared" ref="AW47:AW61" si="45">RANK(AV47, AV$47:AV$61)</f>
        <v>8</v>
      </c>
      <c r="AX47" s="661">
        <f t="shared" ref="AX47" si="46">AVERAGE(AV47:AV61)</f>
        <v>127.92987417805027</v>
      </c>
      <c r="AZ47" s="368" t="e">
        <f t="shared" ref="AZ47:AZ61" si="47">RANK(AY47, AY$47:AY$61)</f>
        <v>#N/A</v>
      </c>
      <c r="BA47" s="661" t="e">
        <f t="shared" ref="BA47" si="48">AVERAGE(AY47:AY61)</f>
        <v>#DIV/0!</v>
      </c>
    </row>
    <row r="48" spans="2:53">
      <c r="B48" s="660"/>
      <c r="C48" s="380">
        <v>2</v>
      </c>
      <c r="D48" s="225" t="s">
        <v>351</v>
      </c>
      <c r="E48" s="531">
        <v>18</v>
      </c>
      <c r="F48" s="530">
        <v>2769</v>
      </c>
      <c r="G48" s="532">
        <v>153.83333333333334</v>
      </c>
      <c r="H48" s="692"/>
      <c r="I48" s="381">
        <f t="shared" si="30"/>
        <v>18.285714285714285</v>
      </c>
      <c r="J48" s="381">
        <f t="shared" si="31"/>
        <v>2473.5501789297136</v>
      </c>
      <c r="K48" s="199">
        <f t="shared" si="32"/>
        <v>135.38760860137086</v>
      </c>
      <c r="L48" s="634"/>
      <c r="M48" s="418">
        <f>RANK(K48, K$47:$K$61)</f>
        <v>2</v>
      </c>
      <c r="N48" s="652"/>
      <c r="O48" s="652"/>
      <c r="P48" s="555">
        <v>18</v>
      </c>
      <c r="Q48" s="559">
        <v>2553.0612244897966</v>
      </c>
      <c r="R48" s="559">
        <v>141.83673469387759</v>
      </c>
      <c r="S48" s="555">
        <f t="shared" si="33"/>
        <v>1</v>
      </c>
      <c r="T48" s="662"/>
      <c r="U48" s="555">
        <v>18</v>
      </c>
      <c r="V48" s="559">
        <v>2582.2641509433975</v>
      </c>
      <c r="W48" s="559">
        <v>143.45911949685541</v>
      </c>
      <c r="X48" s="555">
        <f t="shared" si="35"/>
        <v>1</v>
      </c>
      <c r="Y48" s="662"/>
      <c r="Z48" s="555">
        <v>18</v>
      </c>
      <c r="AA48" s="559">
        <v>2553.1034482758641</v>
      </c>
      <c r="AB48" s="559">
        <v>141.83908045977023</v>
      </c>
      <c r="AC48" s="555">
        <f t="shared" si="37"/>
        <v>1</v>
      </c>
      <c r="AD48" s="662"/>
      <c r="AE48" s="555">
        <v>18</v>
      </c>
      <c r="AF48" s="559">
        <v>2261.5384615384642</v>
      </c>
      <c r="AG48" s="559">
        <v>125.64102564102579</v>
      </c>
      <c r="AH48" s="555">
        <f t="shared" si="39"/>
        <v>6</v>
      </c>
      <c r="AI48" s="662"/>
      <c r="AJ48" s="555">
        <v>19</v>
      </c>
      <c r="AK48" s="559">
        <v>2312.2388059701466</v>
      </c>
      <c r="AL48" s="559">
        <v>121.69677926158666</v>
      </c>
      <c r="AM48" s="555">
        <f t="shared" si="41"/>
        <v>7</v>
      </c>
      <c r="AN48" s="662"/>
      <c r="AO48" s="555">
        <v>18</v>
      </c>
      <c r="AP48" s="559">
        <v>2500.6451612903247</v>
      </c>
      <c r="AQ48" s="559">
        <v>138.92473118279582</v>
      </c>
      <c r="AR48" s="555">
        <f t="shared" si="43"/>
        <v>1</v>
      </c>
      <c r="AS48" s="662"/>
      <c r="AT48" s="555">
        <v>19</v>
      </c>
      <c r="AU48" s="559">
        <v>2552.0000000000023</v>
      </c>
      <c r="AV48" s="559">
        <v>134.31578947368433</v>
      </c>
      <c r="AW48" s="555">
        <f t="shared" si="45"/>
        <v>4</v>
      </c>
      <c r="AX48" s="662"/>
      <c r="AZ48" s="416" t="e">
        <f t="shared" si="47"/>
        <v>#N/A</v>
      </c>
      <c r="BA48" s="662"/>
    </row>
    <row r="49" spans="2:53">
      <c r="B49" s="660"/>
      <c r="C49" s="380">
        <v>3</v>
      </c>
      <c r="D49" s="225" t="s">
        <v>352</v>
      </c>
      <c r="E49" s="531">
        <v>19</v>
      </c>
      <c r="F49" s="530">
        <v>2769</v>
      </c>
      <c r="G49" s="532">
        <v>145.73684210526315</v>
      </c>
      <c r="H49" s="692"/>
      <c r="I49" s="381">
        <f t="shared" si="30"/>
        <v>19</v>
      </c>
      <c r="J49" s="381">
        <f t="shared" si="31"/>
        <v>2519.4174097620057</v>
      </c>
      <c r="K49" s="199">
        <f t="shared" si="32"/>
        <v>132.60091630326346</v>
      </c>
      <c r="L49" s="634"/>
      <c r="M49" s="418">
        <f>RANK(K49, K$47:$K$61)</f>
        <v>4</v>
      </c>
      <c r="N49" s="652"/>
      <c r="O49" s="652"/>
      <c r="P49" s="555">
        <v>19</v>
      </c>
      <c r="Q49" s="559">
        <v>2566.2295081967241</v>
      </c>
      <c r="R49" s="559">
        <v>135.06471095772233</v>
      </c>
      <c r="S49" s="555">
        <f t="shared" si="33"/>
        <v>3</v>
      </c>
      <c r="T49" s="662"/>
      <c r="U49" s="555">
        <v>19</v>
      </c>
      <c r="V49" s="559">
        <v>2538.591549295772</v>
      </c>
      <c r="W49" s="559">
        <v>133.61008154188275</v>
      </c>
      <c r="X49" s="555">
        <f t="shared" si="35"/>
        <v>3</v>
      </c>
      <c r="Y49" s="662"/>
      <c r="Z49" s="555">
        <v>19</v>
      </c>
      <c r="AA49" s="559">
        <v>2428.8607594936693</v>
      </c>
      <c r="AB49" s="559">
        <v>127.83477681545628</v>
      </c>
      <c r="AC49" s="555">
        <f t="shared" si="37"/>
        <v>6</v>
      </c>
      <c r="AD49" s="662"/>
      <c r="AE49" s="555">
        <v>19</v>
      </c>
      <c r="AF49" s="559">
        <v>2534.2105263157878</v>
      </c>
      <c r="AG49" s="559">
        <v>133.37950138504146</v>
      </c>
      <c r="AH49" s="555">
        <f t="shared" si="39"/>
        <v>4</v>
      </c>
      <c r="AI49" s="662"/>
      <c r="AJ49" s="555">
        <v>19</v>
      </c>
      <c r="AK49" s="559">
        <v>2521.4634146341455</v>
      </c>
      <c r="AL49" s="559">
        <v>132.70860077021817</v>
      </c>
      <c r="AM49" s="555">
        <f t="shared" si="41"/>
        <v>3</v>
      </c>
      <c r="AN49" s="662"/>
      <c r="AO49" s="555">
        <v>19</v>
      </c>
      <c r="AP49" s="559">
        <v>2506.8292682926822</v>
      </c>
      <c r="AQ49" s="559">
        <v>131.9383825417201</v>
      </c>
      <c r="AR49" s="555">
        <f t="shared" si="43"/>
        <v>4</v>
      </c>
      <c r="AS49" s="662"/>
      <c r="AT49" s="555">
        <v>19</v>
      </c>
      <c r="AU49" s="559">
        <v>2539.7368421052611</v>
      </c>
      <c r="AV49" s="559">
        <v>133.67036011080322</v>
      </c>
      <c r="AW49" s="555">
        <f t="shared" si="45"/>
        <v>6</v>
      </c>
      <c r="AX49" s="662"/>
      <c r="AZ49" s="416" t="e">
        <f t="shared" si="47"/>
        <v>#N/A</v>
      </c>
      <c r="BA49" s="662"/>
    </row>
    <row r="50" spans="2:53">
      <c r="B50" s="660"/>
      <c r="C50" s="380">
        <v>4</v>
      </c>
      <c r="D50" s="225" t="s">
        <v>353</v>
      </c>
      <c r="E50" s="531">
        <v>20</v>
      </c>
      <c r="F50" s="530">
        <v>2769</v>
      </c>
      <c r="G50" s="532">
        <v>138.44999999999999</v>
      </c>
      <c r="H50" s="692"/>
      <c r="I50" s="381">
        <f t="shared" si="30"/>
        <v>19.857142857142858</v>
      </c>
      <c r="J50" s="381">
        <f t="shared" si="31"/>
        <v>2562.0777318685546</v>
      </c>
      <c r="K50" s="199">
        <f t="shared" si="32"/>
        <v>129.07333148224549</v>
      </c>
      <c r="L50" s="634"/>
      <c r="M50" s="418">
        <f>RANK(K50, K$47:$K$61)</f>
        <v>6</v>
      </c>
      <c r="N50" s="652"/>
      <c r="O50" s="652"/>
      <c r="P50" s="555">
        <v>20</v>
      </c>
      <c r="Q50" s="559">
        <v>2563.1775700934595</v>
      </c>
      <c r="R50" s="559">
        <v>128.15887850467297</v>
      </c>
      <c r="S50" s="555">
        <f t="shared" si="33"/>
        <v>6</v>
      </c>
      <c r="T50" s="662"/>
      <c r="U50" s="555">
        <v>20</v>
      </c>
      <c r="V50" s="559">
        <v>2553.6448598130855</v>
      </c>
      <c r="W50" s="559">
        <v>127.68224299065427</v>
      </c>
      <c r="X50" s="555">
        <f t="shared" si="35"/>
        <v>6</v>
      </c>
      <c r="Y50" s="662"/>
      <c r="Z50" s="555">
        <v>20</v>
      </c>
      <c r="AA50" s="559">
        <v>2572.2222222222235</v>
      </c>
      <c r="AB50" s="559">
        <v>128.61111111111117</v>
      </c>
      <c r="AC50" s="555">
        <f t="shared" si="37"/>
        <v>5</v>
      </c>
      <c r="AD50" s="662"/>
      <c r="AE50" s="555">
        <v>20</v>
      </c>
      <c r="AF50" s="559">
        <v>2518.8990825688088</v>
      </c>
      <c r="AG50" s="559">
        <v>125.94495412844044</v>
      </c>
      <c r="AH50" s="555">
        <f t="shared" si="39"/>
        <v>5</v>
      </c>
      <c r="AI50" s="662"/>
      <c r="AJ50" s="555">
        <v>20</v>
      </c>
      <c r="AK50" s="559">
        <v>2585.555555555557</v>
      </c>
      <c r="AL50" s="559">
        <v>129.27777777777786</v>
      </c>
      <c r="AM50" s="555">
        <f t="shared" si="41"/>
        <v>5</v>
      </c>
      <c r="AN50" s="662"/>
      <c r="AO50" s="555">
        <v>20</v>
      </c>
      <c r="AP50" s="559">
        <v>2562.3214285714266</v>
      </c>
      <c r="AQ50" s="559">
        <v>128.11607142857133</v>
      </c>
      <c r="AR50" s="555">
        <f t="shared" si="43"/>
        <v>6</v>
      </c>
      <c r="AS50" s="662"/>
      <c r="AT50" s="555">
        <v>19</v>
      </c>
      <c r="AU50" s="559">
        <v>2578.7234042553196</v>
      </c>
      <c r="AV50" s="559">
        <v>135.72228443449049</v>
      </c>
      <c r="AW50" s="555">
        <f t="shared" si="45"/>
        <v>3</v>
      </c>
      <c r="AX50" s="662"/>
      <c r="AZ50" s="416" t="e">
        <f t="shared" si="47"/>
        <v>#N/A</v>
      </c>
      <c r="BA50" s="662"/>
    </row>
    <row r="51" spans="2:53">
      <c r="B51" s="660"/>
      <c r="C51" s="380">
        <v>5</v>
      </c>
      <c r="D51" s="225" t="s">
        <v>511</v>
      </c>
      <c r="E51" s="531">
        <v>18</v>
      </c>
      <c r="F51" s="530">
        <v>2400</v>
      </c>
      <c r="G51" s="532">
        <v>133.33333333333334</v>
      </c>
      <c r="H51" s="692"/>
      <c r="I51" s="381">
        <f t="shared" si="30"/>
        <v>18</v>
      </c>
      <c r="J51" s="381">
        <f t="shared" si="31"/>
        <v>2188.0591936194564</v>
      </c>
      <c r="K51" s="199">
        <f t="shared" si="32"/>
        <v>121.55884408996978</v>
      </c>
      <c r="L51" s="634"/>
      <c r="M51" s="418">
        <f>RANK(K51, K$47:$K$61)</f>
        <v>7</v>
      </c>
      <c r="N51" s="652"/>
      <c r="O51" s="652"/>
      <c r="P51" s="555">
        <v>18</v>
      </c>
      <c r="Q51" s="559">
        <v>2155.1020408163272</v>
      </c>
      <c r="R51" s="559">
        <v>119.72789115646262</v>
      </c>
      <c r="S51" s="555">
        <f t="shared" si="33"/>
        <v>7</v>
      </c>
      <c r="T51" s="662"/>
      <c r="U51" s="555">
        <v>18</v>
      </c>
      <c r="V51" s="559">
        <v>2168.8888888888901</v>
      </c>
      <c r="W51" s="559">
        <v>120.49382716049389</v>
      </c>
      <c r="X51" s="555">
        <f t="shared" si="35"/>
        <v>7</v>
      </c>
      <c r="Y51" s="662"/>
      <c r="Z51" s="555">
        <v>18</v>
      </c>
      <c r="AA51" s="559">
        <v>2201.4545454545469</v>
      </c>
      <c r="AB51" s="559">
        <v>122.30303030303038</v>
      </c>
      <c r="AC51" s="555">
        <f t="shared" si="37"/>
        <v>7</v>
      </c>
      <c r="AD51" s="662"/>
      <c r="AE51" s="555">
        <v>18</v>
      </c>
      <c r="AF51" s="559">
        <v>2197.3584905660391</v>
      </c>
      <c r="AG51" s="559">
        <v>122.07547169811329</v>
      </c>
      <c r="AH51" s="555">
        <f t="shared" si="39"/>
        <v>7</v>
      </c>
      <c r="AI51" s="662"/>
      <c r="AJ51" s="555">
        <v>18</v>
      </c>
      <c r="AK51" s="559">
        <v>2222.1818181818167</v>
      </c>
      <c r="AL51" s="559">
        <v>123.45454545454537</v>
      </c>
      <c r="AM51" s="555">
        <f t="shared" si="41"/>
        <v>6</v>
      </c>
      <c r="AN51" s="662"/>
      <c r="AO51" s="555">
        <v>18</v>
      </c>
      <c r="AP51" s="559">
        <v>2218.9285714285729</v>
      </c>
      <c r="AQ51" s="559">
        <v>123.2738095238096</v>
      </c>
      <c r="AR51" s="555">
        <f t="shared" si="43"/>
        <v>7</v>
      </c>
      <c r="AS51" s="662"/>
      <c r="AT51" s="555">
        <v>18</v>
      </c>
      <c r="AU51" s="559">
        <v>2152.5000000000018</v>
      </c>
      <c r="AV51" s="559">
        <v>119.58333333333343</v>
      </c>
      <c r="AW51" s="555">
        <f t="shared" si="45"/>
        <v>7</v>
      </c>
      <c r="AX51" s="662"/>
      <c r="AZ51" s="416" t="e">
        <f t="shared" si="47"/>
        <v>#N/A</v>
      </c>
      <c r="BA51" s="662"/>
    </row>
    <row r="52" spans="2:53">
      <c r="B52" s="660"/>
      <c r="C52" s="380">
        <v>6</v>
      </c>
      <c r="D52" s="225" t="s">
        <v>593</v>
      </c>
      <c r="E52" s="531">
        <v>17</v>
      </c>
      <c r="F52" s="530">
        <v>2571</v>
      </c>
      <c r="G52" s="532">
        <v>151.23529411764707</v>
      </c>
      <c r="H52" s="692"/>
      <c r="I52" s="381">
        <f t="shared" si="30"/>
        <v>17</v>
      </c>
      <c r="J52" s="381">
        <f t="shared" si="31"/>
        <v>2362.4017736649303</v>
      </c>
      <c r="K52" s="199">
        <f t="shared" si="32"/>
        <v>138.96481021558412</v>
      </c>
      <c r="L52" s="634"/>
      <c r="M52" s="418">
        <f>RANK(K52, K$47:$K$61)</f>
        <v>1</v>
      </c>
      <c r="N52" s="652"/>
      <c r="O52" s="652"/>
      <c r="P52" s="555">
        <v>17</v>
      </c>
      <c r="Q52" s="559">
        <v>2371.6666666666647</v>
      </c>
      <c r="R52" s="559">
        <v>139.5098039215685</v>
      </c>
      <c r="S52" s="555">
        <f t="shared" si="33"/>
        <v>2</v>
      </c>
      <c r="T52" s="662"/>
      <c r="U52" s="555">
        <v>17</v>
      </c>
      <c r="V52" s="559">
        <v>2355.789473684209</v>
      </c>
      <c r="W52" s="559">
        <v>138.57585139318877</v>
      </c>
      <c r="X52" s="555">
        <f t="shared" si="35"/>
        <v>2</v>
      </c>
      <c r="Y52" s="662"/>
      <c r="Z52" s="555">
        <v>17</v>
      </c>
      <c r="AA52" s="559">
        <v>2380.4999999999991</v>
      </c>
      <c r="AB52" s="559">
        <v>140.02941176470583</v>
      </c>
      <c r="AC52" s="555">
        <f t="shared" si="37"/>
        <v>2</v>
      </c>
      <c r="AD52" s="662"/>
      <c r="AE52" s="555">
        <v>17</v>
      </c>
      <c r="AF52" s="559">
        <v>2317.8947368421032</v>
      </c>
      <c r="AG52" s="559">
        <v>136.34674922600607</v>
      </c>
      <c r="AH52" s="555">
        <f t="shared" si="39"/>
        <v>1</v>
      </c>
      <c r="AI52" s="662"/>
      <c r="AJ52" s="555">
        <v>17</v>
      </c>
      <c r="AK52" s="559">
        <v>2389.9999999999982</v>
      </c>
      <c r="AL52" s="559">
        <v>140.58823529411754</v>
      </c>
      <c r="AM52" s="555">
        <f t="shared" si="41"/>
        <v>1</v>
      </c>
      <c r="AN52" s="662"/>
      <c r="AO52" s="555">
        <v>17</v>
      </c>
      <c r="AP52" s="559">
        <v>2358.4615384615372</v>
      </c>
      <c r="AQ52" s="559">
        <v>138.73303167420806</v>
      </c>
      <c r="AR52" s="555">
        <f t="shared" si="43"/>
        <v>2</v>
      </c>
      <c r="AS52" s="662"/>
      <c r="AT52" s="555">
        <v>17</v>
      </c>
      <c r="AU52" s="559">
        <v>2362.4999999999991</v>
      </c>
      <c r="AV52" s="559">
        <v>138.97058823529406</v>
      </c>
      <c r="AW52" s="555">
        <f t="shared" si="45"/>
        <v>2</v>
      </c>
      <c r="AX52" s="662"/>
      <c r="AZ52" s="416" t="e">
        <f t="shared" si="47"/>
        <v>#N/A</v>
      </c>
      <c r="BA52" s="662"/>
    </row>
    <row r="53" spans="2:53">
      <c r="B53" s="660"/>
      <c r="C53" s="380">
        <v>7</v>
      </c>
      <c r="D53" s="225" t="s">
        <v>609</v>
      </c>
      <c r="E53" s="531">
        <v>19</v>
      </c>
      <c r="F53" s="530">
        <v>2400</v>
      </c>
      <c r="G53" s="532">
        <v>126.31578947368421</v>
      </c>
      <c r="H53" s="692"/>
      <c r="I53" s="381">
        <f t="shared" si="30"/>
        <v>18.285714285714285</v>
      </c>
      <c r="J53" s="381">
        <f t="shared" si="31"/>
        <v>2084.230802614265</v>
      </c>
      <c r="K53" s="199">
        <f t="shared" si="32"/>
        <v>114.04375467658699</v>
      </c>
      <c r="L53" s="634"/>
      <c r="M53" s="418">
        <f>RANK(K53, K$47:$K$61)</f>
        <v>9</v>
      </c>
      <c r="N53" s="652"/>
      <c r="O53" s="652"/>
      <c r="P53" s="555">
        <v>19</v>
      </c>
      <c r="Q53" s="559">
        <v>2062.8571428571499</v>
      </c>
      <c r="R53" s="559">
        <v>108.57142857142894</v>
      </c>
      <c r="S53" s="555">
        <f t="shared" si="33"/>
        <v>10</v>
      </c>
      <c r="T53" s="662"/>
      <c r="U53" s="555">
        <v>19</v>
      </c>
      <c r="V53" s="559">
        <v>2119.0909090909163</v>
      </c>
      <c r="W53" s="559">
        <v>111.53110047846928</v>
      </c>
      <c r="X53" s="555">
        <f t="shared" si="35"/>
        <v>9</v>
      </c>
      <c r="Y53" s="662"/>
      <c r="Z53" s="555">
        <v>18</v>
      </c>
      <c r="AA53" s="559">
        <v>2123.0769230769179</v>
      </c>
      <c r="AB53" s="559">
        <v>117.94871794871766</v>
      </c>
      <c r="AC53" s="555">
        <f t="shared" si="37"/>
        <v>9</v>
      </c>
      <c r="AD53" s="662"/>
      <c r="AE53" s="555">
        <v>18</v>
      </c>
      <c r="AF53" s="559">
        <v>2036.842105263165</v>
      </c>
      <c r="AG53" s="559">
        <v>113.15789473684249</v>
      </c>
      <c r="AH53" s="555">
        <f t="shared" si="39"/>
        <v>10</v>
      </c>
      <c r="AI53" s="662"/>
      <c r="AJ53" s="555">
        <v>18</v>
      </c>
      <c r="AK53" s="559">
        <v>2090.526315789481</v>
      </c>
      <c r="AL53" s="559">
        <v>116.14035087719338</v>
      </c>
      <c r="AM53" s="555">
        <f t="shared" si="41"/>
        <v>9</v>
      </c>
      <c r="AN53" s="662"/>
      <c r="AO53" s="555">
        <v>18</v>
      </c>
      <c r="AP53" s="559">
        <v>2115.0000000000077</v>
      </c>
      <c r="AQ53" s="559">
        <v>117.50000000000043</v>
      </c>
      <c r="AR53" s="555">
        <f t="shared" si="43"/>
        <v>9</v>
      </c>
      <c r="AS53" s="662"/>
      <c r="AT53" s="555">
        <v>18</v>
      </c>
      <c r="AU53" s="559">
        <v>2042.2222222222176</v>
      </c>
      <c r="AV53" s="559">
        <v>113.45679012345653</v>
      </c>
      <c r="AW53" s="555">
        <f t="shared" si="45"/>
        <v>9</v>
      </c>
      <c r="AX53" s="662"/>
      <c r="AZ53" s="416" t="e">
        <f t="shared" si="47"/>
        <v>#N/A</v>
      </c>
      <c r="BA53" s="662"/>
    </row>
    <row r="54" spans="2:53">
      <c r="B54" s="660"/>
      <c r="C54" s="380">
        <v>8</v>
      </c>
      <c r="D54" s="225" t="s">
        <v>616</v>
      </c>
      <c r="E54" s="531">
        <v>18</v>
      </c>
      <c r="F54" s="530">
        <v>2571</v>
      </c>
      <c r="G54" s="532">
        <v>142.83333333333334</v>
      </c>
      <c r="H54" s="692"/>
      <c r="I54" s="381">
        <f t="shared" si="30"/>
        <v>17.857142857142858</v>
      </c>
      <c r="J54" s="381">
        <f t="shared" si="31"/>
        <v>2382.7797734180717</v>
      </c>
      <c r="K54" s="199">
        <f t="shared" si="32"/>
        <v>133.48076238877243</v>
      </c>
      <c r="L54" s="634"/>
      <c r="M54" s="418">
        <f>RANK(K54, K$47:$K$61)</f>
        <v>3</v>
      </c>
      <c r="N54" s="652"/>
      <c r="O54" s="652"/>
      <c r="P54" s="555">
        <v>18</v>
      </c>
      <c r="Q54" s="559">
        <v>2381.2500000000009</v>
      </c>
      <c r="R54" s="559">
        <v>132.29166666666671</v>
      </c>
      <c r="S54" s="555">
        <f t="shared" si="33"/>
        <v>4</v>
      </c>
      <c r="T54" s="662"/>
      <c r="U54" s="555">
        <v>18</v>
      </c>
      <c r="V54" s="559">
        <v>2348.9361702127662</v>
      </c>
      <c r="W54" s="559">
        <v>130.49645390070924</v>
      </c>
      <c r="X54" s="555">
        <f t="shared" si="35"/>
        <v>5</v>
      </c>
      <c r="Y54" s="662"/>
      <c r="Z54" s="555">
        <v>18</v>
      </c>
      <c r="AA54" s="559">
        <v>2372.5000000000009</v>
      </c>
      <c r="AB54" s="559">
        <v>131.8055555555556</v>
      </c>
      <c r="AC54" s="555">
        <f t="shared" si="37"/>
        <v>4</v>
      </c>
      <c r="AD54" s="662"/>
      <c r="AE54" s="555">
        <v>18</v>
      </c>
      <c r="AF54" s="559">
        <v>2408.181818181818</v>
      </c>
      <c r="AG54" s="559">
        <v>133.78787878787878</v>
      </c>
      <c r="AH54" s="555">
        <f t="shared" si="39"/>
        <v>3</v>
      </c>
      <c r="AI54" s="662"/>
      <c r="AJ54" s="555">
        <v>18</v>
      </c>
      <c r="AK54" s="559">
        <v>2392.3404255319156</v>
      </c>
      <c r="AL54" s="559">
        <v>132.90780141843976</v>
      </c>
      <c r="AM54" s="555">
        <f t="shared" si="41"/>
        <v>2</v>
      </c>
      <c r="AN54" s="662"/>
      <c r="AO54" s="555">
        <v>18</v>
      </c>
      <c r="AP54" s="559">
        <v>2411.2500000000009</v>
      </c>
      <c r="AQ54" s="559">
        <v>133.95833333333337</v>
      </c>
      <c r="AR54" s="555">
        <f t="shared" si="43"/>
        <v>3</v>
      </c>
      <c r="AS54" s="662"/>
      <c r="AT54" s="555">
        <v>17</v>
      </c>
      <c r="AU54" s="559">
        <v>2365.0000000000009</v>
      </c>
      <c r="AV54" s="559">
        <v>139.11764705882359</v>
      </c>
      <c r="AW54" s="555">
        <f t="shared" si="45"/>
        <v>1</v>
      </c>
      <c r="AX54" s="662"/>
      <c r="AZ54" s="416" t="e">
        <f t="shared" si="47"/>
        <v>#N/A</v>
      </c>
      <c r="BA54" s="662"/>
    </row>
    <row r="55" spans="2:53">
      <c r="B55" s="660"/>
      <c r="C55" s="380">
        <v>9</v>
      </c>
      <c r="D55" s="225" t="s">
        <v>619</v>
      </c>
      <c r="E55" s="531">
        <v>19</v>
      </c>
      <c r="F55" s="530">
        <v>2400</v>
      </c>
      <c r="G55" s="532">
        <v>126.31578947368421</v>
      </c>
      <c r="H55" s="692"/>
      <c r="I55" s="381">
        <f t="shared" si="30"/>
        <v>19.142857142857142</v>
      </c>
      <c r="J55" s="381">
        <f t="shared" si="31"/>
        <v>2107.8319507290057</v>
      </c>
      <c r="K55" s="199">
        <f t="shared" si="32"/>
        <v>110.15581695566195</v>
      </c>
      <c r="L55" s="634"/>
      <c r="M55" s="418">
        <f>RANK(K55, K$47:$K$61)</f>
        <v>10</v>
      </c>
      <c r="N55" s="652"/>
      <c r="O55" s="652"/>
      <c r="P55" s="555">
        <v>19</v>
      </c>
      <c r="Q55" s="559">
        <v>2083.4482758620647</v>
      </c>
      <c r="R55" s="559">
        <v>109.65517241379288</v>
      </c>
      <c r="S55" s="555">
        <f t="shared" si="33"/>
        <v>9</v>
      </c>
      <c r="T55" s="662"/>
      <c r="U55" s="555">
        <v>20</v>
      </c>
      <c r="V55" s="559">
        <v>2081.9999999999964</v>
      </c>
      <c r="W55" s="559">
        <v>104.09999999999982</v>
      </c>
      <c r="X55" s="555">
        <f t="shared" si="35"/>
        <v>10</v>
      </c>
      <c r="Y55" s="662"/>
      <c r="Z55" s="555">
        <v>19</v>
      </c>
      <c r="AA55" s="559">
        <v>2092.9411764705856</v>
      </c>
      <c r="AB55" s="559">
        <v>110.15479876160977</v>
      </c>
      <c r="AC55" s="555">
        <f t="shared" si="37"/>
        <v>10</v>
      </c>
      <c r="AD55" s="662"/>
      <c r="AE55" s="555">
        <v>19</v>
      </c>
      <c r="AF55" s="559">
        <v>2153.0769230769179</v>
      </c>
      <c r="AG55" s="559">
        <v>113.31983805667988</v>
      </c>
      <c r="AH55" s="555">
        <f t="shared" si="39"/>
        <v>9</v>
      </c>
      <c r="AI55" s="662"/>
      <c r="AJ55" s="555">
        <v>19</v>
      </c>
      <c r="AK55" s="559">
        <v>2115.5555555555507</v>
      </c>
      <c r="AL55" s="559">
        <v>111.34502923976582</v>
      </c>
      <c r="AM55" s="555">
        <f t="shared" si="41"/>
        <v>10</v>
      </c>
      <c r="AN55" s="662"/>
      <c r="AO55" s="555">
        <v>19</v>
      </c>
      <c r="AP55" s="559">
        <v>2116.5517241379266</v>
      </c>
      <c r="AQ55" s="559">
        <v>111.39745916515403</v>
      </c>
      <c r="AR55" s="555">
        <f t="shared" si="43"/>
        <v>10</v>
      </c>
      <c r="AS55" s="662"/>
      <c r="AT55" s="555">
        <v>19</v>
      </c>
      <c r="AU55" s="559">
        <v>2111.2499999999968</v>
      </c>
      <c r="AV55" s="559">
        <v>111.1184210526314</v>
      </c>
      <c r="AW55" s="555">
        <f t="shared" si="45"/>
        <v>10</v>
      </c>
      <c r="AX55" s="662"/>
      <c r="AZ55" s="416" t="e">
        <f t="shared" si="47"/>
        <v>#N/A</v>
      </c>
      <c r="BA55" s="662"/>
    </row>
    <row r="56" spans="2:53">
      <c r="B56" s="660"/>
      <c r="C56" s="380">
        <v>10</v>
      </c>
      <c r="D56" s="225" t="s">
        <v>732</v>
      </c>
      <c r="E56" s="531">
        <v>18</v>
      </c>
      <c r="F56" s="530">
        <v>2571</v>
      </c>
      <c r="G56" s="532">
        <v>142.83333333333334</v>
      </c>
      <c r="H56" s="692"/>
      <c r="I56" s="381">
        <f t="shared" si="30"/>
        <v>18</v>
      </c>
      <c r="J56" s="381">
        <f t="shared" si="31"/>
        <v>2371.3034008135669</v>
      </c>
      <c r="K56" s="199">
        <f t="shared" si="32"/>
        <v>131.73907782297596</v>
      </c>
      <c r="L56" s="634"/>
      <c r="M56" s="418">
        <f>RANK(K56, K$47:$K$61)</f>
        <v>5</v>
      </c>
      <c r="N56" s="652"/>
      <c r="O56" s="652"/>
      <c r="P56" s="555">
        <v>18</v>
      </c>
      <c r="Q56" s="559">
        <v>2332.2580645161311</v>
      </c>
      <c r="R56" s="559">
        <v>129.56989247311839</v>
      </c>
      <c r="S56" s="555">
        <f t="shared" si="33"/>
        <v>5</v>
      </c>
      <c r="T56" s="662"/>
      <c r="U56" s="555">
        <v>18</v>
      </c>
      <c r="V56" s="559">
        <v>2363.4146341463406</v>
      </c>
      <c r="W56" s="559">
        <v>131.30081300813004</v>
      </c>
      <c r="X56" s="555">
        <f t="shared" si="35"/>
        <v>4</v>
      </c>
      <c r="Y56" s="662"/>
      <c r="Z56" s="555">
        <v>18</v>
      </c>
      <c r="AA56" s="559">
        <v>2386.0465116279065</v>
      </c>
      <c r="AB56" s="559">
        <v>132.55813953488371</v>
      </c>
      <c r="AC56" s="555">
        <f t="shared" si="37"/>
        <v>3</v>
      </c>
      <c r="AD56" s="662"/>
      <c r="AE56" s="555">
        <v>18</v>
      </c>
      <c r="AF56" s="559">
        <v>2439.2727272727252</v>
      </c>
      <c r="AG56" s="559">
        <v>135.51515151515139</v>
      </c>
      <c r="AH56" s="555">
        <f t="shared" si="39"/>
        <v>2</v>
      </c>
      <c r="AI56" s="662"/>
      <c r="AJ56" s="555">
        <v>18</v>
      </c>
      <c r="AK56" s="559">
        <v>2331.4285714285706</v>
      </c>
      <c r="AL56" s="559">
        <v>129.52380952380949</v>
      </c>
      <c r="AM56" s="555">
        <f t="shared" si="41"/>
        <v>4</v>
      </c>
      <c r="AN56" s="662"/>
      <c r="AO56" s="555">
        <v>18</v>
      </c>
      <c r="AP56" s="559">
        <v>2332.8571428571418</v>
      </c>
      <c r="AQ56" s="559">
        <v>129.60317460317455</v>
      </c>
      <c r="AR56" s="555">
        <f t="shared" si="43"/>
        <v>5</v>
      </c>
      <c r="AS56" s="662"/>
      <c r="AT56" s="555">
        <v>18</v>
      </c>
      <c r="AU56" s="559">
        <v>2413.8461538461529</v>
      </c>
      <c r="AV56" s="559">
        <v>134.10256410256406</v>
      </c>
      <c r="AW56" s="555">
        <f t="shared" si="45"/>
        <v>5</v>
      </c>
      <c r="AX56" s="662"/>
      <c r="AZ56" s="416" t="e">
        <f t="shared" si="47"/>
        <v>#N/A</v>
      </c>
      <c r="BA56" s="662"/>
    </row>
    <row r="57" spans="2:53">
      <c r="B57" s="660"/>
      <c r="C57" s="380">
        <v>11</v>
      </c>
      <c r="D57" s="225"/>
      <c r="E57" s="531"/>
      <c r="F57" s="530"/>
      <c r="G57" s="532"/>
      <c r="H57" s="692"/>
      <c r="I57" s="381" t="str">
        <f t="shared" si="30"/>
        <v>-</v>
      </c>
      <c r="J57" s="381" t="str">
        <f t="shared" si="31"/>
        <v>-</v>
      </c>
      <c r="K57" s="199" t="str">
        <f t="shared" si="32"/>
        <v>-</v>
      </c>
      <c r="L57" s="634"/>
      <c r="M57" s="418" t="e">
        <f>RANK(K57, K$47:$K$61)</f>
        <v>#VALUE!</v>
      </c>
      <c r="N57" s="652"/>
      <c r="O57" s="652"/>
      <c r="P57" s="555" t="s">
        <v>585</v>
      </c>
      <c r="Q57" s="559" t="s">
        <v>585</v>
      </c>
      <c r="R57" s="559" t="s">
        <v>585</v>
      </c>
      <c r="S57" s="555" t="e">
        <f t="shared" si="33"/>
        <v>#VALUE!</v>
      </c>
      <c r="T57" s="662"/>
      <c r="U57" s="555" t="s">
        <v>585</v>
      </c>
      <c r="V57" s="559" t="s">
        <v>585</v>
      </c>
      <c r="W57" s="559" t="s">
        <v>585</v>
      </c>
      <c r="X57" s="555" t="e">
        <f t="shared" si="35"/>
        <v>#VALUE!</v>
      </c>
      <c r="Y57" s="662"/>
      <c r="Z57" s="555" t="s">
        <v>585</v>
      </c>
      <c r="AA57" s="559" t="s">
        <v>585</v>
      </c>
      <c r="AB57" s="559" t="s">
        <v>585</v>
      </c>
      <c r="AC57" s="555" t="e">
        <f t="shared" si="37"/>
        <v>#VALUE!</v>
      </c>
      <c r="AD57" s="662"/>
      <c r="AE57" s="555" t="s">
        <v>585</v>
      </c>
      <c r="AF57" s="559" t="s">
        <v>585</v>
      </c>
      <c r="AG57" s="559" t="s">
        <v>585</v>
      </c>
      <c r="AH57" s="555" t="e">
        <f t="shared" si="39"/>
        <v>#VALUE!</v>
      </c>
      <c r="AI57" s="662"/>
      <c r="AJ57" s="555" t="s">
        <v>585</v>
      </c>
      <c r="AK57" s="559" t="s">
        <v>585</v>
      </c>
      <c r="AL57" s="559" t="s">
        <v>585</v>
      </c>
      <c r="AM57" s="555" t="e">
        <f t="shared" si="41"/>
        <v>#VALUE!</v>
      </c>
      <c r="AN57" s="662"/>
      <c r="AO57" s="555" t="s">
        <v>585</v>
      </c>
      <c r="AP57" s="559" t="s">
        <v>585</v>
      </c>
      <c r="AQ57" s="559" t="s">
        <v>585</v>
      </c>
      <c r="AR57" s="555" t="e">
        <f t="shared" si="43"/>
        <v>#VALUE!</v>
      </c>
      <c r="AS57" s="662"/>
      <c r="AT57" s="555" t="s">
        <v>585</v>
      </c>
      <c r="AU57" s="559" t="s">
        <v>585</v>
      </c>
      <c r="AV57" s="559" t="s">
        <v>585</v>
      </c>
      <c r="AW57" s="555" t="e">
        <f t="shared" si="45"/>
        <v>#VALUE!</v>
      </c>
      <c r="AX57" s="662"/>
      <c r="AZ57" s="416" t="e">
        <f t="shared" si="47"/>
        <v>#N/A</v>
      </c>
      <c r="BA57" s="662"/>
    </row>
    <row r="58" spans="2:53">
      <c r="B58" s="660"/>
      <c r="C58" s="380">
        <v>12</v>
      </c>
      <c r="D58" s="225"/>
      <c r="E58" s="531"/>
      <c r="F58" s="530"/>
      <c r="G58" s="532"/>
      <c r="H58" s="692"/>
      <c r="I58" s="381" t="str">
        <f t="shared" si="30"/>
        <v>-</v>
      </c>
      <c r="J58" s="381" t="str">
        <f t="shared" si="31"/>
        <v>-</v>
      </c>
      <c r="K58" s="199" t="str">
        <f t="shared" si="32"/>
        <v>-</v>
      </c>
      <c r="L58" s="634"/>
      <c r="M58" s="418" t="e">
        <f>RANK(K58, K$47:$K$61)</f>
        <v>#VALUE!</v>
      </c>
      <c r="N58" s="652"/>
      <c r="O58" s="652"/>
      <c r="P58" s="555" t="s">
        <v>585</v>
      </c>
      <c r="Q58" s="559" t="s">
        <v>585</v>
      </c>
      <c r="R58" s="559" t="s">
        <v>585</v>
      </c>
      <c r="S58" s="555" t="e">
        <f t="shared" si="33"/>
        <v>#VALUE!</v>
      </c>
      <c r="T58" s="662"/>
      <c r="U58" s="555" t="s">
        <v>585</v>
      </c>
      <c r="V58" s="559" t="s">
        <v>585</v>
      </c>
      <c r="W58" s="559" t="s">
        <v>585</v>
      </c>
      <c r="X58" s="555" t="e">
        <f t="shared" si="35"/>
        <v>#VALUE!</v>
      </c>
      <c r="Y58" s="662"/>
      <c r="Z58" s="555" t="s">
        <v>585</v>
      </c>
      <c r="AA58" s="559" t="s">
        <v>585</v>
      </c>
      <c r="AB58" s="559" t="s">
        <v>585</v>
      </c>
      <c r="AC58" s="555" t="e">
        <f t="shared" si="37"/>
        <v>#VALUE!</v>
      </c>
      <c r="AD58" s="662"/>
      <c r="AE58" s="555" t="s">
        <v>585</v>
      </c>
      <c r="AF58" s="559" t="s">
        <v>585</v>
      </c>
      <c r="AG58" s="559" t="s">
        <v>585</v>
      </c>
      <c r="AH58" s="555" t="e">
        <f t="shared" si="39"/>
        <v>#VALUE!</v>
      </c>
      <c r="AI58" s="662"/>
      <c r="AJ58" s="555" t="s">
        <v>585</v>
      </c>
      <c r="AK58" s="559" t="s">
        <v>585</v>
      </c>
      <c r="AL58" s="559" t="s">
        <v>585</v>
      </c>
      <c r="AM58" s="555" t="e">
        <f t="shared" si="41"/>
        <v>#VALUE!</v>
      </c>
      <c r="AN58" s="662"/>
      <c r="AO58" s="555" t="s">
        <v>585</v>
      </c>
      <c r="AP58" s="559" t="s">
        <v>585</v>
      </c>
      <c r="AQ58" s="559" t="s">
        <v>585</v>
      </c>
      <c r="AR58" s="555" t="e">
        <f t="shared" si="43"/>
        <v>#VALUE!</v>
      </c>
      <c r="AS58" s="662"/>
      <c r="AT58" s="555" t="s">
        <v>585</v>
      </c>
      <c r="AU58" s="559" t="s">
        <v>585</v>
      </c>
      <c r="AV58" s="559" t="s">
        <v>585</v>
      </c>
      <c r="AW58" s="555" t="e">
        <f t="shared" si="45"/>
        <v>#VALUE!</v>
      </c>
      <c r="AX58" s="662"/>
      <c r="AZ58" s="416" t="e">
        <f t="shared" si="47"/>
        <v>#N/A</v>
      </c>
      <c r="BA58" s="662"/>
    </row>
    <row r="59" spans="2:53">
      <c r="B59" s="660"/>
      <c r="C59" s="380">
        <v>13</v>
      </c>
      <c r="D59" s="225"/>
      <c r="E59" s="531"/>
      <c r="F59" s="530"/>
      <c r="G59" s="532"/>
      <c r="H59" s="692"/>
      <c r="I59" s="381" t="str">
        <f t="shared" si="30"/>
        <v>-</v>
      </c>
      <c r="J59" s="381" t="str">
        <f t="shared" si="31"/>
        <v>-</v>
      </c>
      <c r="K59" s="199" t="str">
        <f t="shared" si="32"/>
        <v>-</v>
      </c>
      <c r="L59" s="634"/>
      <c r="M59" s="418" t="e">
        <f>RANK(K59, K$47:$K$61)</f>
        <v>#VALUE!</v>
      </c>
      <c r="N59" s="652"/>
      <c r="O59" s="652"/>
      <c r="P59" s="555" t="s">
        <v>585</v>
      </c>
      <c r="Q59" s="559" t="s">
        <v>585</v>
      </c>
      <c r="R59" s="559" t="s">
        <v>585</v>
      </c>
      <c r="S59" s="555" t="e">
        <f t="shared" si="33"/>
        <v>#VALUE!</v>
      </c>
      <c r="T59" s="662"/>
      <c r="U59" s="555" t="s">
        <v>585</v>
      </c>
      <c r="V59" s="559" t="s">
        <v>585</v>
      </c>
      <c r="W59" s="559" t="s">
        <v>585</v>
      </c>
      <c r="X59" s="555" t="e">
        <f t="shared" si="35"/>
        <v>#VALUE!</v>
      </c>
      <c r="Y59" s="662"/>
      <c r="Z59" s="555" t="s">
        <v>585</v>
      </c>
      <c r="AA59" s="559" t="s">
        <v>585</v>
      </c>
      <c r="AB59" s="559" t="s">
        <v>585</v>
      </c>
      <c r="AC59" s="555" t="e">
        <f t="shared" si="37"/>
        <v>#VALUE!</v>
      </c>
      <c r="AD59" s="662"/>
      <c r="AE59" s="555" t="s">
        <v>585</v>
      </c>
      <c r="AF59" s="559" t="s">
        <v>585</v>
      </c>
      <c r="AG59" s="559" t="s">
        <v>585</v>
      </c>
      <c r="AH59" s="555" t="e">
        <f t="shared" si="39"/>
        <v>#VALUE!</v>
      </c>
      <c r="AI59" s="662"/>
      <c r="AJ59" s="555" t="s">
        <v>585</v>
      </c>
      <c r="AK59" s="559" t="s">
        <v>585</v>
      </c>
      <c r="AL59" s="559" t="s">
        <v>585</v>
      </c>
      <c r="AM59" s="555" t="e">
        <f t="shared" si="41"/>
        <v>#VALUE!</v>
      </c>
      <c r="AN59" s="662"/>
      <c r="AO59" s="555" t="s">
        <v>585</v>
      </c>
      <c r="AP59" s="559" t="s">
        <v>585</v>
      </c>
      <c r="AQ59" s="559" t="s">
        <v>585</v>
      </c>
      <c r="AR59" s="555" t="e">
        <f t="shared" si="43"/>
        <v>#VALUE!</v>
      </c>
      <c r="AS59" s="662"/>
      <c r="AT59" s="555" t="s">
        <v>585</v>
      </c>
      <c r="AU59" s="559" t="s">
        <v>585</v>
      </c>
      <c r="AV59" s="559" t="s">
        <v>585</v>
      </c>
      <c r="AW59" s="555" t="e">
        <f t="shared" si="45"/>
        <v>#VALUE!</v>
      </c>
      <c r="AX59" s="662"/>
      <c r="AZ59" s="416" t="e">
        <f t="shared" si="47"/>
        <v>#N/A</v>
      </c>
      <c r="BA59" s="662"/>
    </row>
    <row r="60" spans="2:53">
      <c r="B60" s="660"/>
      <c r="C60" s="380">
        <v>14</v>
      </c>
      <c r="D60" s="225"/>
      <c r="E60" s="531"/>
      <c r="F60" s="530"/>
      <c r="G60" s="532"/>
      <c r="H60" s="692"/>
      <c r="I60" s="381" t="str">
        <f t="shared" si="30"/>
        <v>-</v>
      </c>
      <c r="J60" s="381" t="str">
        <f t="shared" si="31"/>
        <v>-</v>
      </c>
      <c r="K60" s="199" t="str">
        <f t="shared" si="32"/>
        <v>-</v>
      </c>
      <c r="L60" s="634"/>
      <c r="M60" s="418" t="e">
        <f>RANK(K60, K$47:$K$61)</f>
        <v>#VALUE!</v>
      </c>
      <c r="N60" s="652"/>
      <c r="O60" s="652"/>
      <c r="P60" s="555" t="s">
        <v>585</v>
      </c>
      <c r="Q60" s="559" t="s">
        <v>585</v>
      </c>
      <c r="R60" s="559" t="s">
        <v>585</v>
      </c>
      <c r="S60" s="555" t="e">
        <f t="shared" si="33"/>
        <v>#VALUE!</v>
      </c>
      <c r="T60" s="662"/>
      <c r="U60" s="555" t="s">
        <v>585</v>
      </c>
      <c r="V60" s="559" t="s">
        <v>585</v>
      </c>
      <c r="W60" s="559" t="s">
        <v>585</v>
      </c>
      <c r="X60" s="555" t="e">
        <f t="shared" si="35"/>
        <v>#VALUE!</v>
      </c>
      <c r="Y60" s="662"/>
      <c r="Z60" s="555" t="s">
        <v>585</v>
      </c>
      <c r="AA60" s="559" t="s">
        <v>585</v>
      </c>
      <c r="AB60" s="559" t="s">
        <v>585</v>
      </c>
      <c r="AC60" s="555" t="e">
        <f t="shared" si="37"/>
        <v>#VALUE!</v>
      </c>
      <c r="AD60" s="662"/>
      <c r="AE60" s="555" t="s">
        <v>585</v>
      </c>
      <c r="AF60" s="559" t="s">
        <v>585</v>
      </c>
      <c r="AG60" s="559" t="s">
        <v>585</v>
      </c>
      <c r="AH60" s="555" t="e">
        <f t="shared" si="39"/>
        <v>#VALUE!</v>
      </c>
      <c r="AI60" s="662"/>
      <c r="AJ60" s="555" t="s">
        <v>585</v>
      </c>
      <c r="AK60" s="559" t="s">
        <v>585</v>
      </c>
      <c r="AL60" s="559" t="s">
        <v>585</v>
      </c>
      <c r="AM60" s="555" t="e">
        <f t="shared" si="41"/>
        <v>#VALUE!</v>
      </c>
      <c r="AN60" s="662"/>
      <c r="AO60" s="555" t="s">
        <v>585</v>
      </c>
      <c r="AP60" s="559" t="s">
        <v>585</v>
      </c>
      <c r="AQ60" s="559" t="s">
        <v>585</v>
      </c>
      <c r="AR60" s="555" t="e">
        <f t="shared" si="43"/>
        <v>#VALUE!</v>
      </c>
      <c r="AS60" s="662"/>
      <c r="AT60" s="555" t="s">
        <v>585</v>
      </c>
      <c r="AU60" s="559" t="s">
        <v>585</v>
      </c>
      <c r="AV60" s="559" t="s">
        <v>585</v>
      </c>
      <c r="AW60" s="555" t="e">
        <f t="shared" si="45"/>
        <v>#VALUE!</v>
      </c>
      <c r="AX60" s="662"/>
      <c r="AZ60" s="416" t="e">
        <f t="shared" si="47"/>
        <v>#N/A</v>
      </c>
      <c r="BA60" s="662"/>
    </row>
    <row r="61" spans="2:53">
      <c r="B61" s="660"/>
      <c r="C61" s="380">
        <v>15</v>
      </c>
      <c r="D61" s="225"/>
      <c r="E61" s="531"/>
      <c r="F61" s="530"/>
      <c r="G61" s="532"/>
      <c r="H61" s="696"/>
      <c r="I61" s="380"/>
      <c r="J61" s="380"/>
      <c r="K61" s="380"/>
      <c r="L61" s="635"/>
      <c r="M61" s="418" t="e">
        <f>RANK(K61, K$47:$K$61)</f>
        <v>#N/A</v>
      </c>
      <c r="N61" s="652"/>
      <c r="O61" s="652"/>
      <c r="P61" s="555" t="s">
        <v>585</v>
      </c>
      <c r="Q61" s="559" t="s">
        <v>585</v>
      </c>
      <c r="R61" s="559" t="s">
        <v>585</v>
      </c>
      <c r="S61" s="555" t="e">
        <f t="shared" si="33"/>
        <v>#VALUE!</v>
      </c>
      <c r="T61" s="663"/>
      <c r="U61" s="555" t="s">
        <v>585</v>
      </c>
      <c r="V61" s="559" t="s">
        <v>585</v>
      </c>
      <c r="W61" s="559" t="s">
        <v>585</v>
      </c>
      <c r="X61" s="555" t="e">
        <f t="shared" si="35"/>
        <v>#VALUE!</v>
      </c>
      <c r="Y61" s="663"/>
      <c r="Z61" s="555" t="s">
        <v>585</v>
      </c>
      <c r="AA61" s="559" t="s">
        <v>585</v>
      </c>
      <c r="AB61" s="559" t="s">
        <v>585</v>
      </c>
      <c r="AC61" s="555" t="e">
        <f t="shared" si="37"/>
        <v>#VALUE!</v>
      </c>
      <c r="AD61" s="663"/>
      <c r="AE61" s="555" t="s">
        <v>585</v>
      </c>
      <c r="AF61" s="559" t="s">
        <v>585</v>
      </c>
      <c r="AG61" s="559" t="s">
        <v>585</v>
      </c>
      <c r="AH61" s="555" t="e">
        <f t="shared" si="39"/>
        <v>#VALUE!</v>
      </c>
      <c r="AI61" s="663"/>
      <c r="AJ61" s="555" t="s">
        <v>585</v>
      </c>
      <c r="AK61" s="559" t="s">
        <v>585</v>
      </c>
      <c r="AL61" s="559" t="s">
        <v>585</v>
      </c>
      <c r="AM61" s="555" t="e">
        <f t="shared" si="41"/>
        <v>#VALUE!</v>
      </c>
      <c r="AN61" s="663"/>
      <c r="AO61" s="555" t="s">
        <v>585</v>
      </c>
      <c r="AP61" s="559" t="s">
        <v>585</v>
      </c>
      <c r="AQ61" s="559" t="s">
        <v>585</v>
      </c>
      <c r="AR61" s="555" t="e">
        <f t="shared" si="43"/>
        <v>#VALUE!</v>
      </c>
      <c r="AS61" s="663"/>
      <c r="AT61" s="555" t="s">
        <v>585</v>
      </c>
      <c r="AU61" s="559" t="s">
        <v>585</v>
      </c>
      <c r="AV61" s="559" t="s">
        <v>585</v>
      </c>
      <c r="AW61" s="555" t="e">
        <f t="shared" si="45"/>
        <v>#VALUE!</v>
      </c>
      <c r="AX61" s="663"/>
      <c r="AZ61" s="416" t="e">
        <f t="shared" si="47"/>
        <v>#N/A</v>
      </c>
      <c r="BA61" s="663"/>
    </row>
    <row r="62" spans="2:53" ht="15.75">
      <c r="B62" s="664" t="s">
        <v>162</v>
      </c>
      <c r="C62" s="665"/>
      <c r="D62" s="665"/>
      <c r="E62" s="665"/>
      <c r="F62" s="665"/>
      <c r="G62" s="665"/>
      <c r="H62" s="666"/>
      <c r="I62" s="207"/>
      <c r="J62" s="207"/>
      <c r="K62" s="207"/>
      <c r="L62" s="207"/>
      <c r="M62" s="206"/>
      <c r="N62" s="653" t="s">
        <v>156</v>
      </c>
      <c r="O62" s="653" t="s">
        <v>105</v>
      </c>
      <c r="P62" s="659">
        <f>P42+7</f>
        <v>46252</v>
      </c>
      <c r="Q62" s="660"/>
      <c r="R62" s="660"/>
      <c r="S62" s="660"/>
      <c r="T62" s="660"/>
      <c r="U62" s="656">
        <f>P62+1</f>
        <v>46253</v>
      </c>
      <c r="V62" s="657"/>
      <c r="W62" s="657"/>
      <c r="X62" s="657"/>
      <c r="Y62" s="658"/>
      <c r="Z62" s="656">
        <f>U62+1</f>
        <v>46254</v>
      </c>
      <c r="AA62" s="657"/>
      <c r="AB62" s="657"/>
      <c r="AC62" s="657"/>
      <c r="AD62" s="658"/>
      <c r="AE62" s="656">
        <f>Z62+1</f>
        <v>46255</v>
      </c>
      <c r="AF62" s="657"/>
      <c r="AG62" s="657"/>
      <c r="AH62" s="657"/>
      <c r="AI62" s="658"/>
      <c r="AJ62" s="656">
        <f>AE62+1</f>
        <v>46256</v>
      </c>
      <c r="AK62" s="657"/>
      <c r="AL62" s="657"/>
      <c r="AM62" s="657"/>
      <c r="AN62" s="658"/>
      <c r="AO62" s="656">
        <f>AJ62+1</f>
        <v>46257</v>
      </c>
      <c r="AP62" s="657"/>
      <c r="AQ62" s="657"/>
      <c r="AR62" s="657"/>
      <c r="AS62" s="658"/>
      <c r="AT62" s="656">
        <f>AO62+1</f>
        <v>46258</v>
      </c>
      <c r="AU62" s="657"/>
      <c r="AV62" s="657"/>
      <c r="AW62" s="657"/>
      <c r="AX62" s="658"/>
    </row>
    <row r="63" spans="2:53" ht="15.75">
      <c r="B63" s="667"/>
      <c r="C63" s="667"/>
      <c r="D63" s="667"/>
      <c r="E63" s="667"/>
      <c r="F63" s="667"/>
      <c r="G63" s="667"/>
      <c r="H63" s="667"/>
      <c r="I63" s="204"/>
      <c r="J63" s="204"/>
      <c r="K63" s="204"/>
      <c r="L63" s="204"/>
      <c r="M63" s="205"/>
      <c r="N63" s="655"/>
      <c r="O63" s="655"/>
      <c r="P63" s="659" t="s">
        <v>317</v>
      </c>
      <c r="Q63" s="660"/>
      <c r="R63" s="660"/>
      <c r="S63" s="660"/>
      <c r="T63" s="660"/>
      <c r="U63" s="659" t="s">
        <v>318</v>
      </c>
      <c r="V63" s="660"/>
      <c r="W63" s="660"/>
      <c r="X63" s="660"/>
      <c r="Y63" s="660"/>
      <c r="Z63" s="659" t="s">
        <v>319</v>
      </c>
      <c r="AA63" s="660"/>
      <c r="AB63" s="660"/>
      <c r="AC63" s="660"/>
      <c r="AD63" s="660"/>
      <c r="AE63" s="659" t="s">
        <v>320</v>
      </c>
      <c r="AF63" s="660"/>
      <c r="AG63" s="660"/>
      <c r="AH63" s="660"/>
      <c r="AI63" s="660"/>
      <c r="AJ63" s="659" t="s">
        <v>321</v>
      </c>
      <c r="AK63" s="660"/>
      <c r="AL63" s="660"/>
      <c r="AM63" s="660"/>
      <c r="AN63" s="660"/>
      <c r="AO63" s="659" t="s">
        <v>322</v>
      </c>
      <c r="AP63" s="660"/>
      <c r="AQ63" s="660"/>
      <c r="AR63" s="660"/>
      <c r="AS63" s="660"/>
      <c r="AT63" s="659" t="s">
        <v>323</v>
      </c>
      <c r="AU63" s="660"/>
      <c r="AV63" s="660"/>
      <c r="AW63" s="660"/>
      <c r="AX63" s="660"/>
    </row>
    <row r="64" spans="2:53">
      <c r="B64" s="652" t="s">
        <v>407</v>
      </c>
      <c r="C64" s="652" t="s">
        <v>532</v>
      </c>
      <c r="D64" s="652"/>
      <c r="E64" s="652" t="s">
        <v>533</v>
      </c>
      <c r="F64" s="652"/>
      <c r="G64" s="652"/>
      <c r="H64" s="668" t="s">
        <v>534</v>
      </c>
      <c r="I64" s="652" t="s">
        <v>535</v>
      </c>
      <c r="J64" s="652"/>
      <c r="K64" s="652"/>
      <c r="L64" s="668" t="s">
        <v>366</v>
      </c>
      <c r="M64" s="653" t="s">
        <v>536</v>
      </c>
      <c r="N64" s="652"/>
      <c r="O64" s="652" t="s">
        <v>372</v>
      </c>
      <c r="P64" s="649" t="s">
        <v>368</v>
      </c>
      <c r="Q64" s="650"/>
      <c r="R64" s="650"/>
      <c r="S64" s="651"/>
      <c r="T64" s="652" t="s">
        <v>366</v>
      </c>
      <c r="U64" s="649" t="s">
        <v>368</v>
      </c>
      <c r="V64" s="650"/>
      <c r="W64" s="650"/>
      <c r="X64" s="651"/>
      <c r="Y64" s="652" t="s">
        <v>366</v>
      </c>
      <c r="Z64" s="649" t="s">
        <v>368</v>
      </c>
      <c r="AA64" s="650"/>
      <c r="AB64" s="650"/>
      <c r="AC64" s="651"/>
      <c r="AD64" s="652" t="s">
        <v>366</v>
      </c>
      <c r="AE64" s="649" t="s">
        <v>368</v>
      </c>
      <c r="AF64" s="650"/>
      <c r="AG64" s="650"/>
      <c r="AH64" s="651"/>
      <c r="AI64" s="652" t="s">
        <v>366</v>
      </c>
      <c r="AJ64" s="649" t="s">
        <v>368</v>
      </c>
      <c r="AK64" s="650"/>
      <c r="AL64" s="650"/>
      <c r="AM64" s="651"/>
      <c r="AN64" s="652" t="s">
        <v>366</v>
      </c>
      <c r="AO64" s="649" t="s">
        <v>368</v>
      </c>
      <c r="AP64" s="650"/>
      <c r="AQ64" s="650"/>
      <c r="AR64" s="651"/>
      <c r="AS64" s="652" t="s">
        <v>366</v>
      </c>
      <c r="AT64" s="649" t="s">
        <v>368</v>
      </c>
      <c r="AU64" s="650"/>
      <c r="AV64" s="650"/>
      <c r="AW64" s="651"/>
      <c r="AX64" s="652" t="s">
        <v>366</v>
      </c>
      <c r="BA64" s="652" t="s">
        <v>366</v>
      </c>
    </row>
    <row r="65" spans="2:53">
      <c r="B65" s="652"/>
      <c r="C65" s="652"/>
      <c r="D65" s="652"/>
      <c r="E65" s="652" t="s">
        <v>538</v>
      </c>
      <c r="F65" s="652"/>
      <c r="G65" s="652"/>
      <c r="H65" s="669"/>
      <c r="I65" s="652" t="s">
        <v>538</v>
      </c>
      <c r="J65" s="652"/>
      <c r="K65" s="652"/>
      <c r="L65" s="669"/>
      <c r="M65" s="654"/>
      <c r="N65" s="652"/>
      <c r="O65" s="652"/>
      <c r="P65" s="649" t="s">
        <v>374</v>
      </c>
      <c r="Q65" s="650"/>
      <c r="R65" s="650"/>
      <c r="S65" s="651"/>
      <c r="T65" s="652"/>
      <c r="U65" s="649" t="s">
        <v>374</v>
      </c>
      <c r="V65" s="650"/>
      <c r="W65" s="650"/>
      <c r="X65" s="651"/>
      <c r="Y65" s="652"/>
      <c r="Z65" s="649" t="s">
        <v>374</v>
      </c>
      <c r="AA65" s="650"/>
      <c r="AB65" s="650"/>
      <c r="AC65" s="651"/>
      <c r="AD65" s="652"/>
      <c r="AE65" s="649" t="s">
        <v>374</v>
      </c>
      <c r="AF65" s="650"/>
      <c r="AG65" s="650"/>
      <c r="AH65" s="651"/>
      <c r="AI65" s="652"/>
      <c r="AJ65" s="649" t="s">
        <v>374</v>
      </c>
      <c r="AK65" s="650"/>
      <c r="AL65" s="650"/>
      <c r="AM65" s="651"/>
      <c r="AN65" s="652"/>
      <c r="AO65" s="649" t="s">
        <v>374</v>
      </c>
      <c r="AP65" s="650"/>
      <c r="AQ65" s="650"/>
      <c r="AR65" s="651"/>
      <c r="AS65" s="652"/>
      <c r="AT65" s="649" t="s">
        <v>374</v>
      </c>
      <c r="AU65" s="650"/>
      <c r="AV65" s="650"/>
      <c r="AW65" s="651"/>
      <c r="AX65" s="652"/>
      <c r="BA65" s="652"/>
    </row>
    <row r="66" spans="2:53">
      <c r="B66" s="652"/>
      <c r="C66" s="652"/>
      <c r="D66" s="652"/>
      <c r="E66" s="378" t="s">
        <v>539</v>
      </c>
      <c r="F66" s="378" t="s">
        <v>540</v>
      </c>
      <c r="G66" s="378" t="s">
        <v>541</v>
      </c>
      <c r="H66" s="670"/>
      <c r="I66" s="378" t="s">
        <v>539</v>
      </c>
      <c r="J66" s="378" t="s">
        <v>540</v>
      </c>
      <c r="K66" s="378" t="s">
        <v>541</v>
      </c>
      <c r="L66" s="670"/>
      <c r="M66" s="655"/>
      <c r="N66" s="652"/>
      <c r="O66" s="652"/>
      <c r="P66" s="378" t="s">
        <v>375</v>
      </c>
      <c r="Q66" s="378" t="s">
        <v>376</v>
      </c>
      <c r="R66" s="378" t="s">
        <v>377</v>
      </c>
      <c r="S66" s="378" t="s">
        <v>367</v>
      </c>
      <c r="T66" s="652"/>
      <c r="U66" s="378" t="s">
        <v>375</v>
      </c>
      <c r="V66" s="378" t="s">
        <v>376</v>
      </c>
      <c r="W66" s="378" t="s">
        <v>377</v>
      </c>
      <c r="X66" s="378" t="s">
        <v>367</v>
      </c>
      <c r="Y66" s="652"/>
      <c r="Z66" s="378" t="s">
        <v>375</v>
      </c>
      <c r="AA66" s="378" t="s">
        <v>376</v>
      </c>
      <c r="AB66" s="378" t="s">
        <v>377</v>
      </c>
      <c r="AC66" s="378" t="s">
        <v>367</v>
      </c>
      <c r="AD66" s="652"/>
      <c r="AE66" s="378" t="s">
        <v>375</v>
      </c>
      <c r="AF66" s="378" t="s">
        <v>376</v>
      </c>
      <c r="AG66" s="378" t="s">
        <v>377</v>
      </c>
      <c r="AH66" s="378" t="s">
        <v>367</v>
      </c>
      <c r="AI66" s="652"/>
      <c r="AJ66" s="378" t="s">
        <v>375</v>
      </c>
      <c r="AK66" s="378" t="s">
        <v>376</v>
      </c>
      <c r="AL66" s="378" t="s">
        <v>377</v>
      </c>
      <c r="AM66" s="378" t="s">
        <v>367</v>
      </c>
      <c r="AN66" s="652"/>
      <c r="AO66" s="378" t="s">
        <v>375</v>
      </c>
      <c r="AP66" s="378" t="s">
        <v>376</v>
      </c>
      <c r="AQ66" s="378" t="s">
        <v>377</v>
      </c>
      <c r="AR66" s="378" t="s">
        <v>367</v>
      </c>
      <c r="AS66" s="652"/>
      <c r="AT66" s="378" t="s">
        <v>375</v>
      </c>
      <c r="AU66" s="378" t="s">
        <v>376</v>
      </c>
      <c r="AV66" s="378" t="s">
        <v>377</v>
      </c>
      <c r="AW66" s="378" t="s">
        <v>367</v>
      </c>
      <c r="AX66" s="652"/>
      <c r="AZ66" s="367" t="s">
        <v>367</v>
      </c>
      <c r="BA66" s="652"/>
    </row>
    <row r="67" spans="2:53">
      <c r="B67" s="652" t="s">
        <v>422</v>
      </c>
      <c r="C67" s="380">
        <v>1</v>
      </c>
      <c r="D67" s="225" t="s">
        <v>350</v>
      </c>
      <c r="E67" s="531">
        <v>20</v>
      </c>
      <c r="F67" s="530">
        <v>2400</v>
      </c>
      <c r="G67" s="532">
        <v>120</v>
      </c>
      <c r="H67" s="691">
        <f>AVERAGE(G67:G81)</f>
        <v>138.08870485036118</v>
      </c>
      <c r="I67" s="381">
        <f t="shared" ref="I67:I80" si="49">IFERROR(AVERAGE(P67,U67,Z67,AE67,AJ67,AO67,AT67),"-")</f>
        <v>20</v>
      </c>
      <c r="J67" s="381">
        <f t="shared" ref="J67:J80" si="50">IFERROR(AVERAGE(Q67,V67,AA67,AF67,AK67,AP67,AU67),"-")</f>
        <v>2258.8460341845757</v>
      </c>
      <c r="K67" s="199">
        <f t="shared" ref="K67:K80" si="51">IFERROR(AVERAGE(R67,W67,AB67,AG67,AL67,AQ67,AV67),"-")</f>
        <v>112.94230170922879</v>
      </c>
      <c r="L67" s="633">
        <f>IFERROR(AVERAGE(K67:K81),"-")</f>
        <v>125.03142903771315</v>
      </c>
      <c r="M67" s="384">
        <f>RANK(K67, K$67:$K$81)</f>
        <v>8</v>
      </c>
      <c r="N67" s="652"/>
      <c r="O67" s="652"/>
      <c r="P67" s="560">
        <v>20</v>
      </c>
      <c r="Q67" s="562">
        <v>2215.227272727273</v>
      </c>
      <c r="R67" s="562">
        <v>110.76136363636365</v>
      </c>
      <c r="S67" s="560">
        <f t="shared" ref="S67:S81" si="52">RANK(R67, R$67:R$81)</f>
        <v>9</v>
      </c>
      <c r="T67" s="661">
        <f t="shared" ref="T67" si="53">AVERAGE(R67:R81)</f>
        <v>126.08148282479715</v>
      </c>
      <c r="U67" s="560">
        <v>20</v>
      </c>
      <c r="V67" s="562">
        <v>2262.8571428571431</v>
      </c>
      <c r="W67" s="562">
        <v>113.14285714285715</v>
      </c>
      <c r="X67" s="560">
        <f t="shared" ref="X67:X81" si="54">RANK(W67, W$67:W$81)</f>
        <v>9</v>
      </c>
      <c r="Y67" s="661">
        <f t="shared" ref="Y67" si="55">AVERAGE(W67:W81)</f>
        <v>126.1735703823642</v>
      </c>
      <c r="Z67" s="560">
        <v>20</v>
      </c>
      <c r="AA67" s="562">
        <v>2232.9341317365265</v>
      </c>
      <c r="AB67" s="562">
        <v>111.64670658682633</v>
      </c>
      <c r="AC67" s="560">
        <f t="shared" ref="AC67:AC81" si="56">RANK(AB67, AB$67:AB$81)</f>
        <v>8</v>
      </c>
      <c r="AD67" s="661">
        <f t="shared" ref="AD67" si="57">AVERAGE(AB67:AB81)</f>
        <v>125.31086282943807</v>
      </c>
      <c r="AE67" s="560">
        <v>20</v>
      </c>
      <c r="AF67" s="562">
        <v>2267.28476821192</v>
      </c>
      <c r="AG67" s="562">
        <v>113.364238410596</v>
      </c>
      <c r="AH67" s="560">
        <f t="shared" ref="AH67:AH81" si="58">RANK(AG67, AG$67:AG$81)</f>
        <v>8</v>
      </c>
      <c r="AI67" s="661">
        <f t="shared" ref="AI67" si="59">AVERAGE(AG67:AG81)</f>
        <v>124.77501080757661</v>
      </c>
      <c r="AJ67" s="560">
        <v>20</v>
      </c>
      <c r="AK67" s="562">
        <v>2255.4878048780492</v>
      </c>
      <c r="AL67" s="562">
        <v>112.77439024390246</v>
      </c>
      <c r="AM67" s="560">
        <f t="shared" ref="AM67:AM81" si="60">RANK(AL67, AL$67:AL$81)</f>
        <v>8</v>
      </c>
      <c r="AN67" s="661">
        <f t="shared" ref="AN67" si="61">AVERAGE(AL67:AL81)</f>
        <v>123.97909062012968</v>
      </c>
      <c r="AO67" s="560">
        <v>20</v>
      </c>
      <c r="AP67" s="562">
        <v>2284.1538461538462</v>
      </c>
      <c r="AQ67" s="562">
        <v>114.20769230769231</v>
      </c>
      <c r="AR67" s="560">
        <f t="shared" ref="AR67:AR81" si="62">RANK(AQ67, AQ$67:AQ$81)</f>
        <v>8</v>
      </c>
      <c r="AS67" s="661">
        <f t="shared" ref="AS67" si="63">AVERAGE(AQ67:AQ81)</f>
        <v>123.8256879465188</v>
      </c>
      <c r="AT67" s="560">
        <v>20</v>
      </c>
      <c r="AU67" s="562">
        <v>2293.977272727273</v>
      </c>
      <c r="AV67" s="562">
        <v>114.69886363636365</v>
      </c>
      <c r="AW67" s="560">
        <f t="shared" ref="AW67:AW81" si="64">RANK(AV67, AV$67:AV$81)</f>
        <v>8</v>
      </c>
      <c r="AX67" s="661">
        <f t="shared" ref="AX67" si="65">AVERAGE(AV67:AV81)</f>
        <v>129.72521216228614</v>
      </c>
      <c r="AZ67" s="368" t="e">
        <f t="shared" ref="AZ67:AZ81" si="66">RANK(AY67, AY$67:AY$81)</f>
        <v>#N/A</v>
      </c>
      <c r="BA67" s="661" t="e">
        <f t="shared" ref="BA67" si="67">AVERAGE(AY67:AY81)</f>
        <v>#DIV/0!</v>
      </c>
    </row>
    <row r="68" spans="2:53">
      <c r="B68" s="660"/>
      <c r="C68" s="380">
        <v>2</v>
      </c>
      <c r="D68" s="225" t="s">
        <v>351</v>
      </c>
      <c r="E68" s="531">
        <v>18</v>
      </c>
      <c r="F68" s="530">
        <v>2769</v>
      </c>
      <c r="G68" s="532">
        <v>153.83333333333334</v>
      </c>
      <c r="H68" s="692"/>
      <c r="I68" s="381">
        <f t="shared" si="49"/>
        <v>18.285714285714285</v>
      </c>
      <c r="J68" s="381">
        <f t="shared" si="50"/>
        <v>2517.2615740240221</v>
      </c>
      <c r="K68" s="199">
        <f t="shared" si="51"/>
        <v>137.75754031659895</v>
      </c>
      <c r="L68" s="634"/>
      <c r="M68" s="384">
        <f>RANK(K68, K$67:$K$81)</f>
        <v>1</v>
      </c>
      <c r="N68" s="652"/>
      <c r="O68" s="652"/>
      <c r="P68" s="560">
        <v>19</v>
      </c>
      <c r="Q68" s="562">
        <v>2523.5820895522356</v>
      </c>
      <c r="R68" s="562">
        <v>132.82010997643346</v>
      </c>
      <c r="S68" s="560">
        <f t="shared" si="52"/>
        <v>4</v>
      </c>
      <c r="T68" s="662"/>
      <c r="U68" s="560">
        <v>19</v>
      </c>
      <c r="V68" s="562">
        <v>2480.6557377049203</v>
      </c>
      <c r="W68" s="562">
        <v>130.56082830025898</v>
      </c>
      <c r="X68" s="560">
        <f t="shared" si="54"/>
        <v>6</v>
      </c>
      <c r="Y68" s="662"/>
      <c r="Z68" s="560">
        <v>18</v>
      </c>
      <c r="AA68" s="562">
        <v>2514.0000000000023</v>
      </c>
      <c r="AB68" s="562">
        <v>139.6666666666668</v>
      </c>
      <c r="AC68" s="560">
        <f t="shared" si="56"/>
        <v>1</v>
      </c>
      <c r="AD68" s="662"/>
      <c r="AE68" s="560">
        <v>18</v>
      </c>
      <c r="AF68" s="562">
        <v>2548.9285714285697</v>
      </c>
      <c r="AG68" s="562">
        <v>141.60714285714278</v>
      </c>
      <c r="AH68" s="560">
        <f t="shared" si="58"/>
        <v>1</v>
      </c>
      <c r="AI68" s="662"/>
      <c r="AJ68" s="560">
        <v>18</v>
      </c>
      <c r="AK68" s="562">
        <v>2477.2881355932223</v>
      </c>
      <c r="AL68" s="562">
        <v>137.62711864406791</v>
      </c>
      <c r="AM68" s="560">
        <f t="shared" si="60"/>
        <v>3</v>
      </c>
      <c r="AN68" s="662"/>
      <c r="AO68" s="560">
        <v>18</v>
      </c>
      <c r="AP68" s="562">
        <v>2536.7213114754122</v>
      </c>
      <c r="AQ68" s="562">
        <v>140.92896174863401</v>
      </c>
      <c r="AR68" s="560">
        <f t="shared" si="62"/>
        <v>1</v>
      </c>
      <c r="AS68" s="662"/>
      <c r="AT68" s="560">
        <v>18</v>
      </c>
      <c r="AU68" s="562">
        <v>2539.6551724137948</v>
      </c>
      <c r="AV68" s="562">
        <v>141.0919540229886</v>
      </c>
      <c r="AW68" s="560">
        <f t="shared" si="64"/>
        <v>1</v>
      </c>
      <c r="AX68" s="662"/>
      <c r="AZ68" s="368" t="e">
        <f t="shared" si="66"/>
        <v>#N/A</v>
      </c>
      <c r="BA68" s="662"/>
    </row>
    <row r="69" spans="2:53">
      <c r="B69" s="660"/>
      <c r="C69" s="380">
        <v>3</v>
      </c>
      <c r="D69" s="225" t="s">
        <v>352</v>
      </c>
      <c r="E69" s="531">
        <v>19</v>
      </c>
      <c r="F69" s="530">
        <v>2769</v>
      </c>
      <c r="G69" s="532">
        <v>145.73684210526315</v>
      </c>
      <c r="H69" s="692"/>
      <c r="I69" s="381">
        <f t="shared" si="49"/>
        <v>18.714285714285715</v>
      </c>
      <c r="J69" s="381">
        <f t="shared" si="50"/>
        <v>2526.8256317126211</v>
      </c>
      <c r="K69" s="199">
        <f t="shared" si="51"/>
        <v>135.11813511218719</v>
      </c>
      <c r="L69" s="634"/>
      <c r="M69" s="384">
        <f>RANK(K69, K$67:$K$81)</f>
        <v>3</v>
      </c>
      <c r="N69" s="652"/>
      <c r="O69" s="652"/>
      <c r="P69" s="560">
        <v>19</v>
      </c>
      <c r="Q69" s="562">
        <v>2501.1627906976742</v>
      </c>
      <c r="R69" s="562">
        <v>131.64014687882496</v>
      </c>
      <c r="S69" s="560">
        <f t="shared" si="52"/>
        <v>5</v>
      </c>
      <c r="T69" s="662"/>
      <c r="U69" s="560">
        <v>19</v>
      </c>
      <c r="V69" s="562">
        <v>2491.8518518518508</v>
      </c>
      <c r="W69" s="562">
        <v>131.15009746588689</v>
      </c>
      <c r="X69" s="560">
        <f t="shared" si="54"/>
        <v>5</v>
      </c>
      <c r="Y69" s="662"/>
      <c r="Z69" s="560">
        <v>19</v>
      </c>
      <c r="AA69" s="562">
        <v>2554.9367088607582</v>
      </c>
      <c r="AB69" s="562">
        <v>134.47035309793463</v>
      </c>
      <c r="AC69" s="560">
        <f t="shared" si="56"/>
        <v>3</v>
      </c>
      <c r="AD69" s="662"/>
      <c r="AE69" s="560">
        <v>18</v>
      </c>
      <c r="AF69" s="562">
        <v>2544.3243243243223</v>
      </c>
      <c r="AG69" s="562">
        <v>141.35135135135124</v>
      </c>
      <c r="AH69" s="560">
        <f t="shared" si="58"/>
        <v>2</v>
      </c>
      <c r="AI69" s="662"/>
      <c r="AJ69" s="560">
        <v>18</v>
      </c>
      <c r="AK69" s="562">
        <v>2548.4615384615372</v>
      </c>
      <c r="AL69" s="562">
        <v>141.58119658119651</v>
      </c>
      <c r="AM69" s="560">
        <f t="shared" si="60"/>
        <v>1</v>
      </c>
      <c r="AN69" s="662"/>
      <c r="AO69" s="560">
        <v>19</v>
      </c>
      <c r="AP69" s="562">
        <v>2519.2499999999991</v>
      </c>
      <c r="AQ69" s="562">
        <v>132.59210526315783</v>
      </c>
      <c r="AR69" s="560">
        <f t="shared" si="62"/>
        <v>3</v>
      </c>
      <c r="AS69" s="662"/>
      <c r="AT69" s="560">
        <v>19</v>
      </c>
      <c r="AU69" s="562">
        <v>2527.7922077922062</v>
      </c>
      <c r="AV69" s="562">
        <v>133.04169514695823</v>
      </c>
      <c r="AW69" s="560">
        <f t="shared" si="64"/>
        <v>4</v>
      </c>
      <c r="AX69" s="662"/>
      <c r="AZ69" s="368" t="e">
        <f t="shared" si="66"/>
        <v>#N/A</v>
      </c>
      <c r="BA69" s="662"/>
    </row>
    <row r="70" spans="2:53">
      <c r="B70" s="660"/>
      <c r="C70" s="380">
        <v>4</v>
      </c>
      <c r="D70" s="225" t="s">
        <v>353</v>
      </c>
      <c r="E70" s="531">
        <v>20</v>
      </c>
      <c r="F70" s="530">
        <v>2769</v>
      </c>
      <c r="G70" s="532">
        <v>138.44999999999999</v>
      </c>
      <c r="H70" s="692"/>
      <c r="I70" s="381">
        <f t="shared" si="49"/>
        <v>19.714285714285715</v>
      </c>
      <c r="J70" s="381">
        <f t="shared" si="50"/>
        <v>2527.9560790588448</v>
      </c>
      <c r="K70" s="199">
        <f t="shared" si="51"/>
        <v>128.31099975059058</v>
      </c>
      <c r="L70" s="634"/>
      <c r="M70" s="384">
        <f>RANK(K70, K$67:$K$81)</f>
        <v>6</v>
      </c>
      <c r="N70" s="652"/>
      <c r="O70" s="652"/>
      <c r="P70" s="560">
        <v>19</v>
      </c>
      <c r="Q70" s="562">
        <v>2540.7079646017678</v>
      </c>
      <c r="R70" s="562">
        <v>133.72147182114568</v>
      </c>
      <c r="S70" s="560">
        <f t="shared" si="52"/>
        <v>3</v>
      </c>
      <c r="T70" s="662"/>
      <c r="U70" s="560">
        <v>19</v>
      </c>
      <c r="V70" s="562">
        <v>2548.3928571428592</v>
      </c>
      <c r="W70" s="562">
        <v>134.12593984962416</v>
      </c>
      <c r="X70" s="560">
        <f t="shared" si="54"/>
        <v>3</v>
      </c>
      <c r="Y70" s="662"/>
      <c r="Z70" s="560">
        <v>20</v>
      </c>
      <c r="AA70" s="562">
        <v>2518.8990825688088</v>
      </c>
      <c r="AB70" s="562">
        <v>125.94495412844044</v>
      </c>
      <c r="AC70" s="560">
        <f t="shared" si="56"/>
        <v>6</v>
      </c>
      <c r="AD70" s="662"/>
      <c r="AE70" s="560">
        <v>20</v>
      </c>
      <c r="AF70" s="562">
        <v>2497.864077669904</v>
      </c>
      <c r="AG70" s="562">
        <v>124.8932038834952</v>
      </c>
      <c r="AH70" s="560">
        <f t="shared" si="58"/>
        <v>6</v>
      </c>
      <c r="AI70" s="662"/>
      <c r="AJ70" s="560">
        <v>20</v>
      </c>
      <c r="AK70" s="562">
        <v>2525.4000000000005</v>
      </c>
      <c r="AL70" s="562">
        <v>126.27000000000002</v>
      </c>
      <c r="AM70" s="560">
        <f t="shared" si="60"/>
        <v>6</v>
      </c>
      <c r="AN70" s="662"/>
      <c r="AO70" s="560">
        <v>20</v>
      </c>
      <c r="AP70" s="562">
        <v>2523.4285714285725</v>
      </c>
      <c r="AQ70" s="562">
        <v>126.17142857142862</v>
      </c>
      <c r="AR70" s="560">
        <f t="shared" si="62"/>
        <v>6</v>
      </c>
      <c r="AS70" s="662"/>
      <c r="AT70" s="560">
        <v>20</v>
      </c>
      <c r="AU70" s="562">
        <v>2541.0000000000005</v>
      </c>
      <c r="AV70" s="562">
        <v>127.05000000000003</v>
      </c>
      <c r="AW70" s="560">
        <f t="shared" si="64"/>
        <v>6</v>
      </c>
      <c r="AX70" s="662"/>
      <c r="AZ70" s="368" t="e">
        <f t="shared" si="66"/>
        <v>#N/A</v>
      </c>
      <c r="BA70" s="662"/>
    </row>
    <row r="71" spans="2:53">
      <c r="B71" s="660"/>
      <c r="C71" s="380">
        <v>5</v>
      </c>
      <c r="D71" s="225" t="s">
        <v>511</v>
      </c>
      <c r="E71" s="531">
        <v>18</v>
      </c>
      <c r="F71" s="530">
        <v>2400</v>
      </c>
      <c r="G71" s="532">
        <v>133.33333333333334</v>
      </c>
      <c r="H71" s="692"/>
      <c r="I71" s="381">
        <f t="shared" si="49"/>
        <v>18</v>
      </c>
      <c r="J71" s="381">
        <f t="shared" si="50"/>
        <v>2164.9138369531943</v>
      </c>
      <c r="K71" s="199">
        <f t="shared" si="51"/>
        <v>120.2729909418441</v>
      </c>
      <c r="L71" s="634"/>
      <c r="M71" s="384">
        <f>RANK(K71, K$67:$K$81)</f>
        <v>7</v>
      </c>
      <c r="N71" s="652"/>
      <c r="O71" s="652"/>
      <c r="P71" s="560">
        <v>18</v>
      </c>
      <c r="Q71" s="562">
        <v>2161.0000000000023</v>
      </c>
      <c r="R71" s="562">
        <v>120.05555555555569</v>
      </c>
      <c r="S71" s="560">
        <f t="shared" si="52"/>
        <v>7</v>
      </c>
      <c r="T71" s="662"/>
      <c r="U71" s="560">
        <v>18</v>
      </c>
      <c r="V71" s="562">
        <v>2139.3103448275879</v>
      </c>
      <c r="W71" s="562">
        <v>118.85057471264378</v>
      </c>
      <c r="X71" s="560">
        <f t="shared" si="54"/>
        <v>7</v>
      </c>
      <c r="Y71" s="662"/>
      <c r="Z71" s="560">
        <v>18</v>
      </c>
      <c r="AA71" s="562">
        <v>2172.2033898305103</v>
      </c>
      <c r="AB71" s="562">
        <v>120.67796610169502</v>
      </c>
      <c r="AC71" s="560">
        <f t="shared" si="56"/>
        <v>7</v>
      </c>
      <c r="AD71" s="662"/>
      <c r="AE71" s="560">
        <v>18</v>
      </c>
      <c r="AF71" s="562">
        <v>2161.1764705882365</v>
      </c>
      <c r="AG71" s="562">
        <v>120.06535947712425</v>
      </c>
      <c r="AH71" s="560">
        <f t="shared" si="58"/>
        <v>7</v>
      </c>
      <c r="AI71" s="662"/>
      <c r="AJ71" s="560">
        <v>18</v>
      </c>
      <c r="AK71" s="562">
        <v>2127.1698113207558</v>
      </c>
      <c r="AL71" s="562">
        <v>118.17610062893088</v>
      </c>
      <c r="AM71" s="560">
        <f t="shared" si="60"/>
        <v>7</v>
      </c>
      <c r="AN71" s="662"/>
      <c r="AO71" s="560">
        <v>18</v>
      </c>
      <c r="AP71" s="562">
        <v>2174.7368421052647</v>
      </c>
      <c r="AQ71" s="562">
        <v>120.81871345029248</v>
      </c>
      <c r="AR71" s="560">
        <f t="shared" si="62"/>
        <v>7</v>
      </c>
      <c r="AS71" s="662"/>
      <c r="AT71" s="560">
        <v>18</v>
      </c>
      <c r="AU71" s="562">
        <v>2218.8000000000006</v>
      </c>
      <c r="AV71" s="562">
        <v>123.26666666666671</v>
      </c>
      <c r="AW71" s="560">
        <f t="shared" si="64"/>
        <v>7</v>
      </c>
      <c r="AX71" s="662"/>
      <c r="AZ71" s="368" t="e">
        <f t="shared" si="66"/>
        <v>#N/A</v>
      </c>
      <c r="BA71" s="662"/>
    </row>
    <row r="72" spans="2:53">
      <c r="B72" s="660"/>
      <c r="C72" s="380">
        <v>6</v>
      </c>
      <c r="D72" s="225" t="s">
        <v>593</v>
      </c>
      <c r="E72" s="531">
        <v>17</v>
      </c>
      <c r="F72" s="530">
        <v>2571</v>
      </c>
      <c r="G72" s="532">
        <v>151.23529411764707</v>
      </c>
      <c r="H72" s="692"/>
      <c r="I72" s="381">
        <f t="shared" si="49"/>
        <v>17</v>
      </c>
      <c r="J72" s="381">
        <f t="shared" si="50"/>
        <v>2340.8375333386944</v>
      </c>
      <c r="K72" s="199">
        <f t="shared" si="51"/>
        <v>137.69632549051144</v>
      </c>
      <c r="L72" s="634"/>
      <c r="M72" s="384">
        <f>RANK(K72, K$67:$K$81)</f>
        <v>2</v>
      </c>
      <c r="N72" s="652"/>
      <c r="O72" s="652"/>
      <c r="P72" s="560">
        <v>17</v>
      </c>
      <c r="Q72" s="562">
        <v>2344.9999999999982</v>
      </c>
      <c r="R72" s="562">
        <v>137.94117647058812</v>
      </c>
      <c r="S72" s="560">
        <f t="shared" si="52"/>
        <v>2</v>
      </c>
      <c r="T72" s="662"/>
      <c r="U72" s="560">
        <v>17</v>
      </c>
      <c r="V72" s="562">
        <v>2338.4999999999991</v>
      </c>
      <c r="W72" s="562">
        <v>137.55882352941171</v>
      </c>
      <c r="X72" s="560">
        <f t="shared" si="54"/>
        <v>2</v>
      </c>
      <c r="Y72" s="662"/>
      <c r="Z72" s="560">
        <v>17</v>
      </c>
      <c r="AA72" s="562">
        <v>2344.7368421052615</v>
      </c>
      <c r="AB72" s="562">
        <v>137.92569659442714</v>
      </c>
      <c r="AC72" s="560">
        <f t="shared" si="56"/>
        <v>2</v>
      </c>
      <c r="AD72" s="662"/>
      <c r="AE72" s="560">
        <v>17</v>
      </c>
      <c r="AF72" s="562">
        <v>2356.3636363636388</v>
      </c>
      <c r="AG72" s="562">
        <v>138.60962566844933</v>
      </c>
      <c r="AH72" s="560">
        <f t="shared" si="58"/>
        <v>3</v>
      </c>
      <c r="AI72" s="662"/>
      <c r="AJ72" s="560">
        <v>17</v>
      </c>
      <c r="AK72" s="562">
        <v>2368.1250000000027</v>
      </c>
      <c r="AL72" s="562">
        <v>139.30147058823545</v>
      </c>
      <c r="AM72" s="560">
        <f t="shared" si="60"/>
        <v>2</v>
      </c>
      <c r="AN72" s="662"/>
      <c r="AO72" s="560">
        <v>17</v>
      </c>
      <c r="AP72" s="562">
        <v>2306.4705882352969</v>
      </c>
      <c r="AQ72" s="562">
        <v>135.67474048442924</v>
      </c>
      <c r="AR72" s="560">
        <f t="shared" si="62"/>
        <v>2</v>
      </c>
      <c r="AS72" s="662"/>
      <c r="AT72" s="560">
        <v>17</v>
      </c>
      <c r="AU72" s="562">
        <v>2326.6666666666652</v>
      </c>
      <c r="AV72" s="562">
        <v>136.86274509803911</v>
      </c>
      <c r="AW72" s="560">
        <f t="shared" si="64"/>
        <v>2</v>
      </c>
      <c r="AX72" s="662"/>
      <c r="AZ72" s="368" t="e">
        <f t="shared" si="66"/>
        <v>#N/A</v>
      </c>
      <c r="BA72" s="662"/>
    </row>
    <row r="73" spans="2:53">
      <c r="B73" s="660"/>
      <c r="C73" s="380">
        <v>7</v>
      </c>
      <c r="D73" s="225" t="s">
        <v>609</v>
      </c>
      <c r="E73" s="531">
        <v>19</v>
      </c>
      <c r="F73" s="530">
        <v>2400</v>
      </c>
      <c r="G73" s="532">
        <v>126.31578947368421</v>
      </c>
      <c r="H73" s="692"/>
      <c r="I73" s="381">
        <f t="shared" si="49"/>
        <v>18.666666666666668</v>
      </c>
      <c r="J73" s="381">
        <f t="shared" si="50"/>
        <v>1918.5555555555627</v>
      </c>
      <c r="K73" s="199">
        <f t="shared" si="51"/>
        <v>102.9702286018079</v>
      </c>
      <c r="L73" s="634"/>
      <c r="M73" s="384">
        <f>RANK(K73, K$67:$K$81)</f>
        <v>10</v>
      </c>
      <c r="N73" s="652"/>
      <c r="O73" s="652"/>
      <c r="P73" s="560">
        <v>18</v>
      </c>
      <c r="Q73" s="562">
        <v>2031.8181818181888</v>
      </c>
      <c r="R73" s="562">
        <v>112.87878787878827</v>
      </c>
      <c r="S73" s="560">
        <f t="shared" si="52"/>
        <v>8</v>
      </c>
      <c r="T73" s="662"/>
      <c r="U73" s="560">
        <v>18</v>
      </c>
      <c r="V73" s="562">
        <v>2059.0909090909163</v>
      </c>
      <c r="W73" s="562">
        <v>114.39393939393979</v>
      </c>
      <c r="X73" s="560">
        <f t="shared" si="54"/>
        <v>8</v>
      </c>
      <c r="Y73" s="662"/>
      <c r="Z73" s="560">
        <v>19</v>
      </c>
      <c r="AA73" s="562">
        <v>2059.0909090909163</v>
      </c>
      <c r="AB73" s="562">
        <v>108.37320574162717</v>
      </c>
      <c r="AC73" s="560">
        <f t="shared" si="56"/>
        <v>10</v>
      </c>
      <c r="AD73" s="662"/>
      <c r="AE73" s="560">
        <v>19</v>
      </c>
      <c r="AF73" s="562">
        <v>1758.0000000000061</v>
      </c>
      <c r="AG73" s="562">
        <v>92.526315789474012</v>
      </c>
      <c r="AH73" s="560">
        <f t="shared" si="58"/>
        <v>10</v>
      </c>
      <c r="AI73" s="662"/>
      <c r="AJ73" s="560">
        <v>19</v>
      </c>
      <c r="AK73" s="562">
        <v>1773.3333333333396</v>
      </c>
      <c r="AL73" s="562">
        <v>93.33333333333367</v>
      </c>
      <c r="AM73" s="560">
        <f t="shared" si="60"/>
        <v>10</v>
      </c>
      <c r="AN73" s="662"/>
      <c r="AO73" s="560">
        <v>19</v>
      </c>
      <c r="AP73" s="562">
        <v>1830.0000000000064</v>
      </c>
      <c r="AQ73" s="562">
        <v>96.315789473684546</v>
      </c>
      <c r="AR73" s="560">
        <f t="shared" si="62"/>
        <v>10</v>
      </c>
      <c r="AS73" s="662"/>
      <c r="AT73" s="560" t="s">
        <v>585</v>
      </c>
      <c r="AU73" s="562" t="s">
        <v>585</v>
      </c>
      <c r="AV73" s="562" t="s">
        <v>585</v>
      </c>
      <c r="AW73" s="560" t="e">
        <f t="shared" si="64"/>
        <v>#VALUE!</v>
      </c>
      <c r="AX73" s="662"/>
      <c r="AZ73" s="368" t="e">
        <f t="shared" si="66"/>
        <v>#N/A</v>
      </c>
      <c r="BA73" s="662"/>
    </row>
    <row r="74" spans="2:53">
      <c r="B74" s="660"/>
      <c r="C74" s="380">
        <v>8</v>
      </c>
      <c r="D74" s="225" t="s">
        <v>616</v>
      </c>
      <c r="E74" s="531">
        <v>18</v>
      </c>
      <c r="F74" s="530">
        <v>2571</v>
      </c>
      <c r="G74" s="532">
        <v>142.83333333333334</v>
      </c>
      <c r="H74" s="692"/>
      <c r="I74" s="381">
        <f t="shared" si="49"/>
        <v>17.714285714285715</v>
      </c>
      <c r="J74" s="381">
        <f t="shared" si="50"/>
        <v>2369.9661497922361</v>
      </c>
      <c r="K74" s="199">
        <f t="shared" si="51"/>
        <v>133.87376051058914</v>
      </c>
      <c r="L74" s="634"/>
      <c r="M74" s="384">
        <f>RANK(K74, K$67:$K$81)</f>
        <v>4</v>
      </c>
      <c r="N74" s="652"/>
      <c r="O74" s="652"/>
      <c r="P74" s="560">
        <v>17</v>
      </c>
      <c r="Q74" s="562">
        <v>2374.6666666666665</v>
      </c>
      <c r="R74" s="562">
        <v>139.68627450980392</v>
      </c>
      <c r="S74" s="560">
        <f t="shared" si="52"/>
        <v>1</v>
      </c>
      <c r="T74" s="662"/>
      <c r="U74" s="560">
        <v>17</v>
      </c>
      <c r="V74" s="562">
        <v>2356.9565217391305</v>
      </c>
      <c r="W74" s="562">
        <v>138.6445012787724</v>
      </c>
      <c r="X74" s="560">
        <f t="shared" si="54"/>
        <v>1</v>
      </c>
      <c r="Y74" s="662"/>
      <c r="Z74" s="560">
        <v>18</v>
      </c>
      <c r="AA74" s="562">
        <v>2346.818181818182</v>
      </c>
      <c r="AB74" s="562">
        <v>130.37878787878788</v>
      </c>
      <c r="AC74" s="560">
        <f t="shared" si="56"/>
        <v>5</v>
      </c>
      <c r="AD74" s="662"/>
      <c r="AE74" s="560">
        <v>18</v>
      </c>
      <c r="AF74" s="562">
        <v>2409.2307692307677</v>
      </c>
      <c r="AG74" s="562">
        <v>133.84615384615375</v>
      </c>
      <c r="AH74" s="560">
        <f t="shared" si="58"/>
        <v>4</v>
      </c>
      <c r="AI74" s="662"/>
      <c r="AJ74" s="560">
        <v>18</v>
      </c>
      <c r="AK74" s="562">
        <v>2404.4999999999991</v>
      </c>
      <c r="AL74" s="562">
        <v>133.58333333333329</v>
      </c>
      <c r="AM74" s="560">
        <f t="shared" si="60"/>
        <v>4</v>
      </c>
      <c r="AN74" s="662"/>
      <c r="AO74" s="560">
        <v>18</v>
      </c>
      <c r="AP74" s="562">
        <v>2383.4999999999991</v>
      </c>
      <c r="AQ74" s="562">
        <v>132.41666666666663</v>
      </c>
      <c r="AR74" s="560">
        <f t="shared" si="62"/>
        <v>4</v>
      </c>
      <c r="AS74" s="662"/>
      <c r="AT74" s="560">
        <v>18</v>
      </c>
      <c r="AU74" s="562">
        <v>2314.090909090909</v>
      </c>
      <c r="AV74" s="562">
        <v>128.56060606060606</v>
      </c>
      <c r="AW74" s="560">
        <f t="shared" si="64"/>
        <v>5</v>
      </c>
      <c r="AX74" s="662"/>
      <c r="AZ74" s="368" t="e">
        <f t="shared" si="66"/>
        <v>#N/A</v>
      </c>
      <c r="BA74" s="662"/>
    </row>
    <row r="75" spans="2:53">
      <c r="B75" s="660"/>
      <c r="C75" s="380">
        <v>9</v>
      </c>
      <c r="D75" s="225" t="s">
        <v>619</v>
      </c>
      <c r="E75" s="531">
        <v>19</v>
      </c>
      <c r="F75" s="530">
        <v>2400</v>
      </c>
      <c r="G75" s="532">
        <v>126.31578947368421</v>
      </c>
      <c r="H75" s="692"/>
      <c r="I75" s="381">
        <f t="shared" si="49"/>
        <v>19</v>
      </c>
      <c r="J75" s="381">
        <f t="shared" si="50"/>
        <v>2089.4499999999948</v>
      </c>
      <c r="K75" s="199">
        <f t="shared" si="51"/>
        <v>109.97105263157867</v>
      </c>
      <c r="L75" s="634"/>
      <c r="M75" s="384">
        <f>RANK(K75, K$67:$K$81)</f>
        <v>9</v>
      </c>
      <c r="N75" s="652"/>
      <c r="O75" s="652"/>
      <c r="P75" s="560">
        <v>19</v>
      </c>
      <c r="Q75" s="562">
        <v>2097.9999999999964</v>
      </c>
      <c r="R75" s="562">
        <v>110.42105263157876</v>
      </c>
      <c r="S75" s="560">
        <f t="shared" si="52"/>
        <v>10</v>
      </c>
      <c r="T75" s="662"/>
      <c r="U75" s="560">
        <v>19</v>
      </c>
      <c r="V75" s="562">
        <v>2121.9999999999964</v>
      </c>
      <c r="W75" s="562">
        <v>111.6842105263156</v>
      </c>
      <c r="X75" s="560">
        <f t="shared" si="54"/>
        <v>10</v>
      </c>
      <c r="Y75" s="662"/>
      <c r="Z75" s="560">
        <v>19</v>
      </c>
      <c r="AA75" s="562">
        <v>2107.9999999999964</v>
      </c>
      <c r="AB75" s="562">
        <v>110.94736842105245</v>
      </c>
      <c r="AC75" s="560">
        <f t="shared" si="56"/>
        <v>9</v>
      </c>
      <c r="AD75" s="662"/>
      <c r="AE75" s="560">
        <v>19</v>
      </c>
      <c r="AF75" s="562">
        <v>2071.1999999999944</v>
      </c>
      <c r="AG75" s="562">
        <v>109.01052631578918</v>
      </c>
      <c r="AH75" s="560">
        <f t="shared" si="58"/>
        <v>9</v>
      </c>
      <c r="AI75" s="662"/>
      <c r="AJ75" s="560">
        <v>19</v>
      </c>
      <c r="AK75" s="562">
        <v>2052.4999999999936</v>
      </c>
      <c r="AL75" s="562">
        <v>108.02631578947334</v>
      </c>
      <c r="AM75" s="560">
        <f t="shared" si="60"/>
        <v>9</v>
      </c>
      <c r="AN75" s="662"/>
      <c r="AO75" s="560">
        <v>19</v>
      </c>
      <c r="AP75" s="562">
        <v>2084.9999999999936</v>
      </c>
      <c r="AQ75" s="562">
        <v>109.73684210526282</v>
      </c>
      <c r="AR75" s="560">
        <f t="shared" si="62"/>
        <v>9</v>
      </c>
      <c r="AS75" s="662"/>
      <c r="AT75" s="560" t="s">
        <v>585</v>
      </c>
      <c r="AU75" s="562" t="s">
        <v>585</v>
      </c>
      <c r="AV75" s="562" t="s">
        <v>585</v>
      </c>
      <c r="AW75" s="560" t="e">
        <f t="shared" si="64"/>
        <v>#VALUE!</v>
      </c>
      <c r="AX75" s="662"/>
      <c r="AZ75" s="368" t="e">
        <f t="shared" si="66"/>
        <v>#N/A</v>
      </c>
      <c r="BA75" s="662"/>
    </row>
    <row r="76" spans="2:53">
      <c r="B76" s="660"/>
      <c r="C76" s="380">
        <v>10</v>
      </c>
      <c r="D76" s="225" t="s">
        <v>732</v>
      </c>
      <c r="E76" s="531">
        <v>18</v>
      </c>
      <c r="F76" s="530">
        <v>2571</v>
      </c>
      <c r="G76" s="532">
        <v>142.83333333333334</v>
      </c>
      <c r="H76" s="692"/>
      <c r="I76" s="381">
        <f t="shared" si="49"/>
        <v>18</v>
      </c>
      <c r="J76" s="381">
        <f t="shared" si="50"/>
        <v>2365.2171956195066</v>
      </c>
      <c r="K76" s="199">
        <f t="shared" si="51"/>
        <v>131.40095531219478</v>
      </c>
      <c r="L76" s="634"/>
      <c r="M76" s="384">
        <f>RANK(K76, K$67:$K$81)</f>
        <v>5</v>
      </c>
      <c r="N76" s="652"/>
      <c r="O76" s="652"/>
      <c r="P76" s="560">
        <v>18</v>
      </c>
      <c r="Q76" s="562">
        <v>2356.0000000000023</v>
      </c>
      <c r="R76" s="562">
        <v>130.88888888888903</v>
      </c>
      <c r="S76" s="560">
        <f t="shared" si="52"/>
        <v>6</v>
      </c>
      <c r="T76" s="662"/>
      <c r="U76" s="560">
        <v>18</v>
      </c>
      <c r="V76" s="562">
        <v>2369.2307692307681</v>
      </c>
      <c r="W76" s="562">
        <v>131.62393162393155</v>
      </c>
      <c r="X76" s="560">
        <f t="shared" si="54"/>
        <v>4</v>
      </c>
      <c r="Y76" s="662"/>
      <c r="Z76" s="560">
        <v>18</v>
      </c>
      <c r="AA76" s="562">
        <v>2395.3846153846139</v>
      </c>
      <c r="AB76" s="562">
        <v>133.07692307692298</v>
      </c>
      <c r="AC76" s="560">
        <f t="shared" si="56"/>
        <v>4</v>
      </c>
      <c r="AD76" s="662"/>
      <c r="AE76" s="560">
        <v>18</v>
      </c>
      <c r="AF76" s="562">
        <v>2384.5714285714262</v>
      </c>
      <c r="AG76" s="562">
        <v>132.47619047619034</v>
      </c>
      <c r="AH76" s="560">
        <f t="shared" si="58"/>
        <v>5</v>
      </c>
      <c r="AI76" s="662"/>
      <c r="AJ76" s="560">
        <v>18</v>
      </c>
      <c r="AK76" s="562">
        <v>2324.1176470588207</v>
      </c>
      <c r="AL76" s="562">
        <v>129.11764705882337</v>
      </c>
      <c r="AM76" s="560">
        <f t="shared" si="60"/>
        <v>5</v>
      </c>
      <c r="AN76" s="662"/>
      <c r="AO76" s="560">
        <v>18</v>
      </c>
      <c r="AP76" s="562">
        <v>2329.0909090909117</v>
      </c>
      <c r="AQ76" s="562">
        <v>129.39393939393955</v>
      </c>
      <c r="AR76" s="560">
        <f t="shared" si="62"/>
        <v>5</v>
      </c>
      <c r="AS76" s="662"/>
      <c r="AT76" s="560">
        <v>18</v>
      </c>
      <c r="AU76" s="562">
        <v>2398.1250000000027</v>
      </c>
      <c r="AV76" s="562">
        <v>133.22916666666683</v>
      </c>
      <c r="AW76" s="560">
        <f t="shared" si="64"/>
        <v>3</v>
      </c>
      <c r="AX76" s="662"/>
      <c r="AZ76" s="368" t="e">
        <f t="shared" si="66"/>
        <v>#N/A</v>
      </c>
      <c r="BA76" s="662"/>
    </row>
    <row r="77" spans="2:53">
      <c r="B77" s="660"/>
      <c r="C77" s="380">
        <v>11</v>
      </c>
      <c r="D77" s="225"/>
      <c r="E77" s="531"/>
      <c r="F77" s="530"/>
      <c r="G77" s="532"/>
      <c r="H77" s="692"/>
      <c r="I77" s="381" t="str">
        <f t="shared" si="49"/>
        <v>-</v>
      </c>
      <c r="J77" s="381" t="str">
        <f t="shared" si="50"/>
        <v>-</v>
      </c>
      <c r="K77" s="199" t="str">
        <f t="shared" si="51"/>
        <v>-</v>
      </c>
      <c r="L77" s="634"/>
      <c r="M77" s="384" t="e">
        <f>RANK(K77, K$67:$K$81)</f>
        <v>#VALUE!</v>
      </c>
      <c r="N77" s="652"/>
      <c r="O77" s="652"/>
      <c r="P77" s="560" t="s">
        <v>585</v>
      </c>
      <c r="Q77" s="562" t="s">
        <v>585</v>
      </c>
      <c r="R77" s="562" t="s">
        <v>585</v>
      </c>
      <c r="S77" s="560" t="e">
        <f t="shared" si="52"/>
        <v>#VALUE!</v>
      </c>
      <c r="T77" s="662"/>
      <c r="U77" s="560" t="s">
        <v>585</v>
      </c>
      <c r="V77" s="562" t="s">
        <v>585</v>
      </c>
      <c r="W77" s="562" t="s">
        <v>585</v>
      </c>
      <c r="X77" s="560" t="e">
        <f t="shared" si="54"/>
        <v>#VALUE!</v>
      </c>
      <c r="Y77" s="662"/>
      <c r="Z77" s="560" t="s">
        <v>585</v>
      </c>
      <c r="AA77" s="562" t="s">
        <v>585</v>
      </c>
      <c r="AB77" s="562" t="s">
        <v>585</v>
      </c>
      <c r="AC77" s="560" t="e">
        <f t="shared" si="56"/>
        <v>#VALUE!</v>
      </c>
      <c r="AD77" s="662"/>
      <c r="AE77" s="560" t="s">
        <v>585</v>
      </c>
      <c r="AF77" s="562" t="s">
        <v>585</v>
      </c>
      <c r="AG77" s="562" t="s">
        <v>585</v>
      </c>
      <c r="AH77" s="560" t="e">
        <f t="shared" si="58"/>
        <v>#VALUE!</v>
      </c>
      <c r="AI77" s="662"/>
      <c r="AJ77" s="560" t="s">
        <v>585</v>
      </c>
      <c r="AK77" s="562" t="s">
        <v>585</v>
      </c>
      <c r="AL77" s="562" t="s">
        <v>585</v>
      </c>
      <c r="AM77" s="560" t="e">
        <f t="shared" si="60"/>
        <v>#VALUE!</v>
      </c>
      <c r="AN77" s="662"/>
      <c r="AO77" s="560" t="s">
        <v>585</v>
      </c>
      <c r="AP77" s="562" t="s">
        <v>585</v>
      </c>
      <c r="AQ77" s="562" t="s">
        <v>585</v>
      </c>
      <c r="AR77" s="560" t="e">
        <f t="shared" si="62"/>
        <v>#VALUE!</v>
      </c>
      <c r="AS77" s="662"/>
      <c r="AT77" s="560" t="s">
        <v>585</v>
      </c>
      <c r="AU77" s="562" t="s">
        <v>585</v>
      </c>
      <c r="AV77" s="562" t="s">
        <v>585</v>
      </c>
      <c r="AW77" s="560" t="e">
        <f t="shared" si="64"/>
        <v>#VALUE!</v>
      </c>
      <c r="AX77" s="662"/>
      <c r="AZ77" s="368" t="e">
        <f t="shared" si="66"/>
        <v>#N/A</v>
      </c>
      <c r="BA77" s="662"/>
    </row>
    <row r="78" spans="2:53">
      <c r="B78" s="660"/>
      <c r="C78" s="380">
        <v>12</v>
      </c>
      <c r="D78" s="225"/>
      <c r="E78" s="531"/>
      <c r="F78" s="530"/>
      <c r="G78" s="532"/>
      <c r="H78" s="692"/>
      <c r="I78" s="381" t="str">
        <f t="shared" si="49"/>
        <v>-</v>
      </c>
      <c r="J78" s="381" t="str">
        <f t="shared" si="50"/>
        <v>-</v>
      </c>
      <c r="K78" s="199" t="str">
        <f t="shared" si="51"/>
        <v>-</v>
      </c>
      <c r="L78" s="634"/>
      <c r="M78" s="384" t="e">
        <f>RANK(K78, K$67:$K$81)</f>
        <v>#VALUE!</v>
      </c>
      <c r="N78" s="652"/>
      <c r="O78" s="652"/>
      <c r="P78" s="560" t="s">
        <v>585</v>
      </c>
      <c r="Q78" s="562" t="s">
        <v>585</v>
      </c>
      <c r="R78" s="562" t="s">
        <v>585</v>
      </c>
      <c r="S78" s="560" t="e">
        <f t="shared" si="52"/>
        <v>#VALUE!</v>
      </c>
      <c r="T78" s="662"/>
      <c r="U78" s="560" t="s">
        <v>585</v>
      </c>
      <c r="V78" s="562" t="s">
        <v>585</v>
      </c>
      <c r="W78" s="562" t="s">
        <v>585</v>
      </c>
      <c r="X78" s="560" t="e">
        <f t="shared" si="54"/>
        <v>#VALUE!</v>
      </c>
      <c r="Y78" s="662"/>
      <c r="Z78" s="560" t="s">
        <v>585</v>
      </c>
      <c r="AA78" s="562" t="s">
        <v>585</v>
      </c>
      <c r="AB78" s="562" t="s">
        <v>585</v>
      </c>
      <c r="AC78" s="560" t="e">
        <f t="shared" si="56"/>
        <v>#VALUE!</v>
      </c>
      <c r="AD78" s="662"/>
      <c r="AE78" s="560" t="s">
        <v>585</v>
      </c>
      <c r="AF78" s="562" t="s">
        <v>585</v>
      </c>
      <c r="AG78" s="562" t="s">
        <v>585</v>
      </c>
      <c r="AH78" s="560" t="e">
        <f t="shared" si="58"/>
        <v>#VALUE!</v>
      </c>
      <c r="AI78" s="662"/>
      <c r="AJ78" s="560" t="s">
        <v>585</v>
      </c>
      <c r="AK78" s="562" t="s">
        <v>585</v>
      </c>
      <c r="AL78" s="562" t="s">
        <v>585</v>
      </c>
      <c r="AM78" s="560" t="e">
        <f t="shared" si="60"/>
        <v>#VALUE!</v>
      </c>
      <c r="AN78" s="662"/>
      <c r="AO78" s="560" t="s">
        <v>585</v>
      </c>
      <c r="AP78" s="562" t="s">
        <v>585</v>
      </c>
      <c r="AQ78" s="562" t="s">
        <v>585</v>
      </c>
      <c r="AR78" s="560" t="e">
        <f t="shared" si="62"/>
        <v>#VALUE!</v>
      </c>
      <c r="AS78" s="662"/>
      <c r="AT78" s="560" t="s">
        <v>585</v>
      </c>
      <c r="AU78" s="562" t="s">
        <v>585</v>
      </c>
      <c r="AV78" s="562" t="s">
        <v>585</v>
      </c>
      <c r="AW78" s="560" t="e">
        <f t="shared" si="64"/>
        <v>#VALUE!</v>
      </c>
      <c r="AX78" s="662"/>
      <c r="AZ78" s="368" t="e">
        <f t="shared" si="66"/>
        <v>#N/A</v>
      </c>
      <c r="BA78" s="662"/>
    </row>
    <row r="79" spans="2:53">
      <c r="B79" s="660"/>
      <c r="C79" s="380">
        <v>13</v>
      </c>
      <c r="D79" s="225"/>
      <c r="E79" s="531"/>
      <c r="F79" s="530"/>
      <c r="G79" s="532"/>
      <c r="H79" s="692"/>
      <c r="I79" s="381" t="str">
        <f t="shared" si="49"/>
        <v>-</v>
      </c>
      <c r="J79" s="381" t="str">
        <f t="shared" si="50"/>
        <v>-</v>
      </c>
      <c r="K79" s="199" t="str">
        <f t="shared" si="51"/>
        <v>-</v>
      </c>
      <c r="L79" s="634"/>
      <c r="M79" s="384" t="e">
        <f>RANK(K79, K$67:$K$81)</f>
        <v>#VALUE!</v>
      </c>
      <c r="N79" s="652"/>
      <c r="O79" s="652"/>
      <c r="P79" s="560" t="s">
        <v>585</v>
      </c>
      <c r="Q79" s="562" t="s">
        <v>585</v>
      </c>
      <c r="R79" s="562" t="s">
        <v>585</v>
      </c>
      <c r="S79" s="560" t="e">
        <f t="shared" si="52"/>
        <v>#VALUE!</v>
      </c>
      <c r="T79" s="662"/>
      <c r="U79" s="560" t="s">
        <v>585</v>
      </c>
      <c r="V79" s="562" t="s">
        <v>585</v>
      </c>
      <c r="W79" s="562" t="s">
        <v>585</v>
      </c>
      <c r="X79" s="560" t="e">
        <f t="shared" si="54"/>
        <v>#VALUE!</v>
      </c>
      <c r="Y79" s="662"/>
      <c r="Z79" s="560" t="s">
        <v>585</v>
      </c>
      <c r="AA79" s="562" t="s">
        <v>585</v>
      </c>
      <c r="AB79" s="562" t="s">
        <v>585</v>
      </c>
      <c r="AC79" s="560" t="e">
        <f t="shared" si="56"/>
        <v>#VALUE!</v>
      </c>
      <c r="AD79" s="662"/>
      <c r="AE79" s="560" t="s">
        <v>585</v>
      </c>
      <c r="AF79" s="562" t="s">
        <v>585</v>
      </c>
      <c r="AG79" s="562" t="s">
        <v>585</v>
      </c>
      <c r="AH79" s="560" t="e">
        <f t="shared" si="58"/>
        <v>#VALUE!</v>
      </c>
      <c r="AI79" s="662"/>
      <c r="AJ79" s="560" t="s">
        <v>585</v>
      </c>
      <c r="AK79" s="562" t="s">
        <v>585</v>
      </c>
      <c r="AL79" s="562" t="s">
        <v>585</v>
      </c>
      <c r="AM79" s="560" t="e">
        <f t="shared" si="60"/>
        <v>#VALUE!</v>
      </c>
      <c r="AN79" s="662"/>
      <c r="AO79" s="560" t="s">
        <v>585</v>
      </c>
      <c r="AP79" s="562" t="s">
        <v>585</v>
      </c>
      <c r="AQ79" s="562" t="s">
        <v>585</v>
      </c>
      <c r="AR79" s="560" t="e">
        <f t="shared" si="62"/>
        <v>#VALUE!</v>
      </c>
      <c r="AS79" s="662"/>
      <c r="AT79" s="560" t="s">
        <v>585</v>
      </c>
      <c r="AU79" s="562" t="s">
        <v>585</v>
      </c>
      <c r="AV79" s="562" t="s">
        <v>585</v>
      </c>
      <c r="AW79" s="560" t="e">
        <f t="shared" si="64"/>
        <v>#VALUE!</v>
      </c>
      <c r="AX79" s="662"/>
      <c r="AZ79" s="368" t="e">
        <f t="shared" si="66"/>
        <v>#N/A</v>
      </c>
      <c r="BA79" s="662"/>
    </row>
    <row r="80" spans="2:53">
      <c r="B80" s="660"/>
      <c r="C80" s="380">
        <v>14</v>
      </c>
      <c r="D80" s="225"/>
      <c r="E80" s="531"/>
      <c r="F80" s="530"/>
      <c r="G80" s="532"/>
      <c r="H80" s="692"/>
      <c r="I80" s="381" t="str">
        <f t="shared" si="49"/>
        <v>-</v>
      </c>
      <c r="J80" s="381" t="str">
        <f t="shared" si="50"/>
        <v>-</v>
      </c>
      <c r="K80" s="199" t="str">
        <f t="shared" si="51"/>
        <v>-</v>
      </c>
      <c r="L80" s="634"/>
      <c r="M80" s="384" t="e">
        <f>RANK(K80, K$67:$K$81)</f>
        <v>#VALUE!</v>
      </c>
      <c r="N80" s="652"/>
      <c r="O80" s="652"/>
      <c r="P80" s="560" t="s">
        <v>585</v>
      </c>
      <c r="Q80" s="562" t="s">
        <v>585</v>
      </c>
      <c r="R80" s="562" t="s">
        <v>585</v>
      </c>
      <c r="S80" s="560" t="e">
        <f t="shared" si="52"/>
        <v>#VALUE!</v>
      </c>
      <c r="T80" s="662"/>
      <c r="U80" s="560" t="s">
        <v>585</v>
      </c>
      <c r="V80" s="562" t="s">
        <v>585</v>
      </c>
      <c r="W80" s="562" t="s">
        <v>585</v>
      </c>
      <c r="X80" s="560" t="e">
        <f t="shared" si="54"/>
        <v>#VALUE!</v>
      </c>
      <c r="Y80" s="662"/>
      <c r="Z80" s="560" t="s">
        <v>585</v>
      </c>
      <c r="AA80" s="562" t="s">
        <v>585</v>
      </c>
      <c r="AB80" s="562" t="s">
        <v>585</v>
      </c>
      <c r="AC80" s="560" t="e">
        <f t="shared" si="56"/>
        <v>#VALUE!</v>
      </c>
      <c r="AD80" s="662"/>
      <c r="AE80" s="560" t="s">
        <v>585</v>
      </c>
      <c r="AF80" s="562" t="s">
        <v>585</v>
      </c>
      <c r="AG80" s="562" t="s">
        <v>585</v>
      </c>
      <c r="AH80" s="560" t="e">
        <f t="shared" si="58"/>
        <v>#VALUE!</v>
      </c>
      <c r="AI80" s="662"/>
      <c r="AJ80" s="560" t="s">
        <v>585</v>
      </c>
      <c r="AK80" s="562" t="s">
        <v>585</v>
      </c>
      <c r="AL80" s="562" t="s">
        <v>585</v>
      </c>
      <c r="AM80" s="560" t="e">
        <f t="shared" si="60"/>
        <v>#VALUE!</v>
      </c>
      <c r="AN80" s="662"/>
      <c r="AO80" s="560" t="s">
        <v>585</v>
      </c>
      <c r="AP80" s="562" t="s">
        <v>585</v>
      </c>
      <c r="AQ80" s="562" t="s">
        <v>585</v>
      </c>
      <c r="AR80" s="560" t="e">
        <f t="shared" si="62"/>
        <v>#VALUE!</v>
      </c>
      <c r="AS80" s="662"/>
      <c r="AT80" s="560" t="s">
        <v>585</v>
      </c>
      <c r="AU80" s="562" t="s">
        <v>585</v>
      </c>
      <c r="AV80" s="562" t="s">
        <v>585</v>
      </c>
      <c r="AW80" s="560" t="e">
        <f t="shared" si="64"/>
        <v>#VALUE!</v>
      </c>
      <c r="AX80" s="662"/>
      <c r="AZ80" s="368" t="e">
        <f t="shared" si="66"/>
        <v>#N/A</v>
      </c>
      <c r="BA80" s="662"/>
    </row>
    <row r="81" spans="2:53">
      <c r="B81" s="660"/>
      <c r="C81" s="380">
        <v>15</v>
      </c>
      <c r="D81" s="225"/>
      <c r="E81" s="531"/>
      <c r="F81" s="530"/>
      <c r="G81" s="532"/>
      <c r="H81" s="696"/>
      <c r="I81" s="419" t="str">
        <f t="shared" ref="I81" si="68">IFERROR(AVERAGE(P81,U81,Z81,AE81,AJ81,AO81,AT81),"-")</f>
        <v>-</v>
      </c>
      <c r="J81" s="419" t="str">
        <f t="shared" ref="J81" si="69">IFERROR(AVERAGE(Q81,V81,AA81,AF81,AK81,AP81,AU81),"-")</f>
        <v>-</v>
      </c>
      <c r="K81" s="199" t="str">
        <f t="shared" ref="K81" si="70">IFERROR(AVERAGE(R81,W81,AB81,AG81,AL81,AQ81,AV81),"-")</f>
        <v>-</v>
      </c>
      <c r="L81" s="635"/>
      <c r="M81" s="384" t="e">
        <f>RANK(K81, K$47:$K$61)</f>
        <v>#VALUE!</v>
      </c>
      <c r="N81" s="652"/>
      <c r="O81" s="652"/>
      <c r="P81" s="560" t="s">
        <v>585</v>
      </c>
      <c r="Q81" s="562" t="s">
        <v>585</v>
      </c>
      <c r="R81" s="562" t="s">
        <v>585</v>
      </c>
      <c r="S81" s="560" t="e">
        <f t="shared" si="52"/>
        <v>#VALUE!</v>
      </c>
      <c r="T81" s="663"/>
      <c r="U81" s="560" t="s">
        <v>585</v>
      </c>
      <c r="V81" s="562" t="s">
        <v>585</v>
      </c>
      <c r="W81" s="562" t="s">
        <v>585</v>
      </c>
      <c r="X81" s="560" t="e">
        <f t="shared" si="54"/>
        <v>#VALUE!</v>
      </c>
      <c r="Y81" s="663"/>
      <c r="Z81" s="560" t="s">
        <v>585</v>
      </c>
      <c r="AA81" s="562" t="s">
        <v>585</v>
      </c>
      <c r="AB81" s="562" t="s">
        <v>585</v>
      </c>
      <c r="AC81" s="560" t="e">
        <f t="shared" si="56"/>
        <v>#VALUE!</v>
      </c>
      <c r="AD81" s="663"/>
      <c r="AE81" s="560" t="s">
        <v>585</v>
      </c>
      <c r="AF81" s="562" t="s">
        <v>585</v>
      </c>
      <c r="AG81" s="562" t="s">
        <v>585</v>
      </c>
      <c r="AH81" s="560" t="e">
        <f t="shared" si="58"/>
        <v>#VALUE!</v>
      </c>
      <c r="AI81" s="663"/>
      <c r="AJ81" s="560" t="s">
        <v>585</v>
      </c>
      <c r="AK81" s="562" t="s">
        <v>585</v>
      </c>
      <c r="AL81" s="562" t="s">
        <v>585</v>
      </c>
      <c r="AM81" s="560" t="e">
        <f t="shared" si="60"/>
        <v>#VALUE!</v>
      </c>
      <c r="AN81" s="663"/>
      <c r="AO81" s="560" t="s">
        <v>585</v>
      </c>
      <c r="AP81" s="562" t="s">
        <v>585</v>
      </c>
      <c r="AQ81" s="562" t="s">
        <v>585</v>
      </c>
      <c r="AR81" s="560" t="e">
        <f t="shared" si="62"/>
        <v>#VALUE!</v>
      </c>
      <c r="AS81" s="663"/>
      <c r="AT81" s="560" t="s">
        <v>585</v>
      </c>
      <c r="AU81" s="562" t="s">
        <v>585</v>
      </c>
      <c r="AV81" s="562" t="s">
        <v>585</v>
      </c>
      <c r="AW81" s="560" t="e">
        <f t="shared" si="64"/>
        <v>#VALUE!</v>
      </c>
      <c r="AX81" s="663"/>
      <c r="AZ81" s="368" t="e">
        <f t="shared" si="66"/>
        <v>#N/A</v>
      </c>
      <c r="BA81" s="663"/>
    </row>
    <row r="82" spans="2:53" ht="15.75">
      <c r="B82" s="664" t="s">
        <v>162</v>
      </c>
      <c r="C82" s="665"/>
      <c r="D82" s="665"/>
      <c r="E82" s="665"/>
      <c r="F82" s="665"/>
      <c r="G82" s="665"/>
      <c r="H82" s="666"/>
      <c r="I82" s="207"/>
      <c r="J82" s="207"/>
      <c r="K82" s="207"/>
      <c r="L82" s="207"/>
      <c r="M82" s="206"/>
      <c r="N82" s="653" t="s">
        <v>156</v>
      </c>
      <c r="O82" s="653" t="s">
        <v>105</v>
      </c>
      <c r="P82" s="659">
        <f>P62+7</f>
        <v>46259</v>
      </c>
      <c r="Q82" s="660"/>
      <c r="R82" s="660"/>
      <c r="S82" s="660"/>
      <c r="T82" s="660"/>
      <c r="U82" s="656">
        <f>P82+1</f>
        <v>46260</v>
      </c>
      <c r="V82" s="657"/>
      <c r="W82" s="657"/>
      <c r="X82" s="657"/>
      <c r="Y82" s="658"/>
      <c r="Z82" s="656">
        <f>U82+1</f>
        <v>46261</v>
      </c>
      <c r="AA82" s="657"/>
      <c r="AB82" s="657"/>
      <c r="AC82" s="657"/>
      <c r="AD82" s="658"/>
      <c r="AE82" s="656">
        <f>Z82+1</f>
        <v>46262</v>
      </c>
      <c r="AF82" s="657"/>
      <c r="AG82" s="657"/>
      <c r="AH82" s="657"/>
      <c r="AI82" s="658"/>
      <c r="AJ82" s="656">
        <f>AE82+1</f>
        <v>46263</v>
      </c>
      <c r="AK82" s="657"/>
      <c r="AL82" s="657"/>
      <c r="AM82" s="657"/>
      <c r="AN82" s="658"/>
      <c r="AO82" s="656">
        <f>AJ82+1</f>
        <v>46264</v>
      </c>
      <c r="AP82" s="657"/>
      <c r="AQ82" s="657"/>
      <c r="AR82" s="657"/>
      <c r="AS82" s="658"/>
      <c r="AT82" s="656">
        <f>AO82+1</f>
        <v>46265</v>
      </c>
      <c r="AU82" s="657"/>
      <c r="AV82" s="657"/>
      <c r="AW82" s="657"/>
      <c r="AX82" s="658"/>
    </row>
    <row r="83" spans="2:53" ht="15.75">
      <c r="B83" s="667"/>
      <c r="C83" s="667"/>
      <c r="D83" s="667"/>
      <c r="E83" s="667"/>
      <c r="F83" s="667"/>
      <c r="G83" s="667"/>
      <c r="H83" s="667"/>
      <c r="I83" s="204"/>
      <c r="J83" s="204"/>
      <c r="K83" s="204"/>
      <c r="L83" s="204"/>
      <c r="M83" s="205"/>
      <c r="N83" s="655"/>
      <c r="O83" s="655"/>
      <c r="P83" s="659" t="s">
        <v>317</v>
      </c>
      <c r="Q83" s="660"/>
      <c r="R83" s="660"/>
      <c r="S83" s="660"/>
      <c r="T83" s="660"/>
      <c r="U83" s="659" t="s">
        <v>318</v>
      </c>
      <c r="V83" s="660"/>
      <c r="W83" s="660"/>
      <c r="X83" s="660"/>
      <c r="Y83" s="660"/>
      <c r="Z83" s="659" t="s">
        <v>319</v>
      </c>
      <c r="AA83" s="660"/>
      <c r="AB83" s="660"/>
      <c r="AC83" s="660"/>
      <c r="AD83" s="660"/>
      <c r="AE83" s="659" t="s">
        <v>320</v>
      </c>
      <c r="AF83" s="660"/>
      <c r="AG83" s="660"/>
      <c r="AH83" s="660"/>
      <c r="AI83" s="660"/>
      <c r="AJ83" s="659" t="s">
        <v>321</v>
      </c>
      <c r="AK83" s="660"/>
      <c r="AL83" s="660"/>
      <c r="AM83" s="660"/>
      <c r="AN83" s="660"/>
      <c r="AO83" s="659" t="s">
        <v>322</v>
      </c>
      <c r="AP83" s="660"/>
      <c r="AQ83" s="660"/>
      <c r="AR83" s="660"/>
      <c r="AS83" s="660"/>
      <c r="AT83" s="659" t="s">
        <v>323</v>
      </c>
      <c r="AU83" s="660"/>
      <c r="AV83" s="660"/>
      <c r="AW83" s="660"/>
      <c r="AX83" s="660"/>
    </row>
    <row r="84" spans="2:53">
      <c r="B84" s="652" t="s">
        <v>407</v>
      </c>
      <c r="C84" s="652" t="s">
        <v>532</v>
      </c>
      <c r="D84" s="652"/>
      <c r="E84" s="652" t="s">
        <v>533</v>
      </c>
      <c r="F84" s="652"/>
      <c r="G84" s="652"/>
      <c r="H84" s="668" t="s">
        <v>534</v>
      </c>
      <c r="I84" s="652" t="s">
        <v>535</v>
      </c>
      <c r="J84" s="652"/>
      <c r="K84" s="652"/>
      <c r="L84" s="668" t="s">
        <v>366</v>
      </c>
      <c r="M84" s="653" t="s">
        <v>536</v>
      </c>
      <c r="N84" s="652"/>
      <c r="O84" s="652" t="s">
        <v>372</v>
      </c>
      <c r="P84" s="649" t="s">
        <v>368</v>
      </c>
      <c r="Q84" s="650"/>
      <c r="R84" s="650"/>
      <c r="S84" s="651"/>
      <c r="T84" s="652" t="s">
        <v>366</v>
      </c>
      <c r="U84" s="649" t="s">
        <v>368</v>
      </c>
      <c r="V84" s="650"/>
      <c r="W84" s="650"/>
      <c r="X84" s="651"/>
      <c r="Y84" s="652" t="s">
        <v>366</v>
      </c>
      <c r="Z84" s="649" t="s">
        <v>368</v>
      </c>
      <c r="AA84" s="650"/>
      <c r="AB84" s="650"/>
      <c r="AC84" s="651"/>
      <c r="AD84" s="652" t="s">
        <v>366</v>
      </c>
      <c r="AE84" s="649" t="s">
        <v>368</v>
      </c>
      <c r="AF84" s="650"/>
      <c r="AG84" s="650"/>
      <c r="AH84" s="651"/>
      <c r="AI84" s="652" t="s">
        <v>366</v>
      </c>
      <c r="AJ84" s="649" t="s">
        <v>368</v>
      </c>
      <c r="AK84" s="650"/>
      <c r="AL84" s="650"/>
      <c r="AM84" s="651"/>
      <c r="AN84" s="652" t="s">
        <v>366</v>
      </c>
      <c r="AO84" s="649" t="s">
        <v>368</v>
      </c>
      <c r="AP84" s="650"/>
      <c r="AQ84" s="650"/>
      <c r="AR84" s="651"/>
      <c r="AS84" s="652" t="s">
        <v>366</v>
      </c>
      <c r="AT84" s="649" t="s">
        <v>368</v>
      </c>
      <c r="AU84" s="650"/>
      <c r="AV84" s="650"/>
      <c r="AW84" s="651"/>
      <c r="AX84" s="652" t="s">
        <v>366</v>
      </c>
      <c r="BA84" s="652" t="s">
        <v>366</v>
      </c>
    </row>
    <row r="85" spans="2:53">
      <c r="B85" s="652"/>
      <c r="C85" s="652"/>
      <c r="D85" s="652"/>
      <c r="E85" s="652" t="s">
        <v>538</v>
      </c>
      <c r="F85" s="652"/>
      <c r="G85" s="652"/>
      <c r="H85" s="669"/>
      <c r="I85" s="652" t="s">
        <v>538</v>
      </c>
      <c r="J85" s="652"/>
      <c r="K85" s="652"/>
      <c r="L85" s="669"/>
      <c r="M85" s="654"/>
      <c r="N85" s="652"/>
      <c r="O85" s="652"/>
      <c r="P85" s="649" t="s">
        <v>374</v>
      </c>
      <c r="Q85" s="650"/>
      <c r="R85" s="650"/>
      <c r="S85" s="651"/>
      <c r="T85" s="652"/>
      <c r="U85" s="649" t="s">
        <v>374</v>
      </c>
      <c r="V85" s="650"/>
      <c r="W85" s="650"/>
      <c r="X85" s="651"/>
      <c r="Y85" s="652"/>
      <c r="Z85" s="649" t="s">
        <v>374</v>
      </c>
      <c r="AA85" s="650"/>
      <c r="AB85" s="650"/>
      <c r="AC85" s="651"/>
      <c r="AD85" s="652"/>
      <c r="AE85" s="649" t="s">
        <v>374</v>
      </c>
      <c r="AF85" s="650"/>
      <c r="AG85" s="650"/>
      <c r="AH85" s="651"/>
      <c r="AI85" s="652"/>
      <c r="AJ85" s="649" t="s">
        <v>374</v>
      </c>
      <c r="AK85" s="650"/>
      <c r="AL85" s="650"/>
      <c r="AM85" s="651"/>
      <c r="AN85" s="652"/>
      <c r="AO85" s="649" t="s">
        <v>374</v>
      </c>
      <c r="AP85" s="650"/>
      <c r="AQ85" s="650"/>
      <c r="AR85" s="651"/>
      <c r="AS85" s="652"/>
      <c r="AT85" s="649" t="s">
        <v>374</v>
      </c>
      <c r="AU85" s="650"/>
      <c r="AV85" s="650"/>
      <c r="AW85" s="651"/>
      <c r="AX85" s="652"/>
      <c r="BA85" s="652"/>
    </row>
    <row r="86" spans="2:53">
      <c r="B86" s="652"/>
      <c r="C86" s="652"/>
      <c r="D86" s="652"/>
      <c r="E86" s="378" t="s">
        <v>539</v>
      </c>
      <c r="F86" s="378" t="s">
        <v>540</v>
      </c>
      <c r="G86" s="378" t="s">
        <v>541</v>
      </c>
      <c r="H86" s="670"/>
      <c r="I86" s="378" t="s">
        <v>539</v>
      </c>
      <c r="J86" s="378" t="s">
        <v>540</v>
      </c>
      <c r="K86" s="378" t="s">
        <v>541</v>
      </c>
      <c r="L86" s="670"/>
      <c r="M86" s="655"/>
      <c r="N86" s="652"/>
      <c r="O86" s="652"/>
      <c r="P86" s="378" t="s">
        <v>375</v>
      </c>
      <c r="Q86" s="378" t="s">
        <v>376</v>
      </c>
      <c r="R86" s="378" t="s">
        <v>377</v>
      </c>
      <c r="S86" s="378" t="s">
        <v>367</v>
      </c>
      <c r="T86" s="652"/>
      <c r="U86" s="378" t="s">
        <v>375</v>
      </c>
      <c r="V86" s="378" t="s">
        <v>376</v>
      </c>
      <c r="W86" s="378" t="s">
        <v>377</v>
      </c>
      <c r="X86" s="378" t="s">
        <v>367</v>
      </c>
      <c r="Y86" s="652"/>
      <c r="Z86" s="378" t="s">
        <v>375</v>
      </c>
      <c r="AA86" s="378" t="s">
        <v>376</v>
      </c>
      <c r="AB86" s="378" t="s">
        <v>377</v>
      </c>
      <c r="AC86" s="378" t="s">
        <v>367</v>
      </c>
      <c r="AD86" s="652"/>
      <c r="AE86" s="378" t="s">
        <v>375</v>
      </c>
      <c r="AF86" s="378" t="s">
        <v>376</v>
      </c>
      <c r="AG86" s="378" t="s">
        <v>377</v>
      </c>
      <c r="AH86" s="378" t="s">
        <v>367</v>
      </c>
      <c r="AI86" s="652"/>
      <c r="AJ86" s="378" t="s">
        <v>375</v>
      </c>
      <c r="AK86" s="378" t="s">
        <v>376</v>
      </c>
      <c r="AL86" s="378" t="s">
        <v>377</v>
      </c>
      <c r="AM86" s="378" t="s">
        <v>367</v>
      </c>
      <c r="AN86" s="652"/>
      <c r="AO86" s="378" t="s">
        <v>375</v>
      </c>
      <c r="AP86" s="378" t="s">
        <v>376</v>
      </c>
      <c r="AQ86" s="378" t="s">
        <v>377</v>
      </c>
      <c r="AR86" s="378" t="s">
        <v>367</v>
      </c>
      <c r="AS86" s="652"/>
      <c r="AT86" s="378" t="s">
        <v>375</v>
      </c>
      <c r="AU86" s="378" t="s">
        <v>376</v>
      </c>
      <c r="AV86" s="378" t="s">
        <v>377</v>
      </c>
      <c r="AW86" s="378" t="s">
        <v>367</v>
      </c>
      <c r="AX86" s="652"/>
      <c r="AZ86" s="367" t="s">
        <v>367</v>
      </c>
      <c r="BA86" s="652"/>
    </row>
    <row r="87" spans="2:53">
      <c r="B87" s="652" t="s">
        <v>422</v>
      </c>
      <c r="C87" s="380">
        <v>1</v>
      </c>
      <c r="D87" s="225" t="s">
        <v>350</v>
      </c>
      <c r="E87" s="516">
        <v>20</v>
      </c>
      <c r="F87" s="513">
        <v>2400</v>
      </c>
      <c r="G87" s="512">
        <v>120</v>
      </c>
      <c r="H87" s="691">
        <f>AVERAGE(G87:G101)</f>
        <v>141.03193369453044</v>
      </c>
      <c r="I87" s="381">
        <f t="shared" ref="I87:I100" si="71">IFERROR(AVERAGE(P87,U87,Z87,AE87,AJ87,AO87,AT87),"-")</f>
        <v>20</v>
      </c>
      <c r="J87" s="381">
        <f t="shared" ref="J87:J100" si="72">IFERROR(AVERAGE(Q87,V87,AA87,AF87,AK87,AP87,AU87),"-")</f>
        <v>2285.8732271292861</v>
      </c>
      <c r="K87" s="199">
        <f t="shared" ref="K87:K100" si="73">IFERROR(AVERAGE(R87,W87,AB87,AG87,AL87,AQ87,AV87),"-")</f>
        <v>114.29366135646431</v>
      </c>
      <c r="L87" s="633">
        <f>IFERROR(AVERAGE(K87:K101),"-")</f>
        <v>125.99484386958157</v>
      </c>
      <c r="M87" s="384">
        <f>RANK(K87, K$87:$K$101)</f>
        <v>8</v>
      </c>
      <c r="N87" s="652"/>
      <c r="O87" s="652"/>
      <c r="P87" s="572">
        <v>20</v>
      </c>
      <c r="Q87" s="510">
        <v>2271.2790697674413</v>
      </c>
      <c r="R87" s="510">
        <v>113.56395348837206</v>
      </c>
      <c r="S87" s="571">
        <f t="shared" ref="S87:S101" si="74">RANK(R87, R$87:R$101)</f>
        <v>8</v>
      </c>
      <c r="T87" s="685">
        <f t="shared" ref="T87" si="75">AVERAGE(R87:R101)</f>
        <v>125.95016480803739</v>
      </c>
      <c r="U87" s="572">
        <v>20</v>
      </c>
      <c r="V87" s="510">
        <v>2287.6510067114104</v>
      </c>
      <c r="W87" s="510">
        <v>114.38255033557053</v>
      </c>
      <c r="X87" s="571">
        <f t="shared" ref="X87:X101" si="76">RANK(W87, W$87:W$101)</f>
        <v>8</v>
      </c>
      <c r="Y87" s="685">
        <f t="shared" ref="Y87" si="77">AVERAGE(W87:W101)</f>
        <v>126.22095521302155</v>
      </c>
      <c r="Z87" s="572">
        <v>20</v>
      </c>
      <c r="AA87" s="510">
        <v>2248.7394957983197</v>
      </c>
      <c r="AB87" s="510">
        <v>112.43697478991598</v>
      </c>
      <c r="AC87" s="571">
        <f t="shared" ref="AC87:AC101" si="78">RANK(AB87, AB$87:AB$101)</f>
        <v>8</v>
      </c>
      <c r="AD87" s="685">
        <f t="shared" ref="AD87" si="79">AVERAGE(AB87:AB101)</f>
        <v>126.00441604615119</v>
      </c>
      <c r="AE87" s="572">
        <v>20</v>
      </c>
      <c r="AF87" s="510">
        <v>2258.76923076923</v>
      </c>
      <c r="AG87" s="510">
        <v>112.9384615384615</v>
      </c>
      <c r="AH87" s="571">
        <f t="shared" ref="AH87:AH101" si="80">RANK(AG87, AG$87:AG$101)</f>
        <v>8</v>
      </c>
      <c r="AI87" s="685">
        <f t="shared" ref="AI87" si="81">AVERAGE(AG87:AG101)</f>
        <v>125.23011414918344</v>
      </c>
      <c r="AJ87" s="572">
        <v>20</v>
      </c>
      <c r="AK87" s="510">
        <v>2309.5890410958909</v>
      </c>
      <c r="AL87" s="510">
        <v>115.47945205479455</v>
      </c>
      <c r="AM87" s="571">
        <f t="shared" ref="AM87:AM101" si="82">RANK(AL87, AL$87:AL$101)</f>
        <v>8</v>
      </c>
      <c r="AN87" s="685">
        <f t="shared" ref="AN87" si="83">AVERAGE(AL87:AL101)</f>
        <v>125.7232602060122</v>
      </c>
      <c r="AO87" s="572">
        <v>20</v>
      </c>
      <c r="AP87" s="510">
        <v>2285.0847457627115</v>
      </c>
      <c r="AQ87" s="510">
        <v>114.25423728813557</v>
      </c>
      <c r="AR87" s="571">
        <f t="shared" ref="AR87:AR101" si="84">RANK(AQ87, AQ$87:AQ$101)</f>
        <v>8</v>
      </c>
      <c r="AS87" s="685">
        <f t="shared" ref="AS87" si="85">AVERAGE(AQ87:AQ101)</f>
        <v>125.62404544042371</v>
      </c>
      <c r="AT87" s="571">
        <v>20</v>
      </c>
      <c r="AU87" s="573">
        <v>2340</v>
      </c>
      <c r="AV87" s="573">
        <v>117</v>
      </c>
      <c r="AW87" s="571">
        <f t="shared" ref="AW87:AW101" si="86">RANK(AV87, AV$87:AV$101)</f>
        <v>8</v>
      </c>
      <c r="AX87" s="685">
        <f t="shared" ref="AX87" si="87">AVERAGE(AV87:AV101)</f>
        <v>127.21095122424155</v>
      </c>
      <c r="AZ87" s="368" t="e">
        <f t="shared" ref="AZ87:AZ101" si="88">RANK(AY87, AY$87:AY$101)</f>
        <v>#N/A</v>
      </c>
      <c r="BA87" s="685" t="e">
        <f t="shared" ref="BA87" si="89">AVERAGE(AY87:AY101)</f>
        <v>#DIV/0!</v>
      </c>
    </row>
    <row r="88" spans="2:53">
      <c r="B88" s="660"/>
      <c r="C88" s="380">
        <v>2</v>
      </c>
      <c r="D88" s="225" t="s">
        <v>351</v>
      </c>
      <c r="E88" s="516">
        <v>18</v>
      </c>
      <c r="F88" s="513">
        <v>2769</v>
      </c>
      <c r="G88" s="512">
        <v>153.83333333333334</v>
      </c>
      <c r="H88" s="692"/>
      <c r="I88" s="381">
        <f t="shared" si="71"/>
        <v>18.142857142857142</v>
      </c>
      <c r="J88" s="381">
        <f t="shared" si="72"/>
        <v>2362.3000337298045</v>
      </c>
      <c r="K88" s="199">
        <f t="shared" si="73"/>
        <v>130.24724498164747</v>
      </c>
      <c r="L88" s="634"/>
      <c r="M88" s="422">
        <f>RANK(K88, K$87:$K$101)</f>
        <v>2</v>
      </c>
      <c r="N88" s="652"/>
      <c r="O88" s="652"/>
      <c r="P88" s="572">
        <v>18</v>
      </c>
      <c r="Q88" s="510">
        <v>2376.1904761904784</v>
      </c>
      <c r="R88" s="510">
        <v>132.01058201058214</v>
      </c>
      <c r="S88" s="571">
        <f t="shared" si="74"/>
        <v>2</v>
      </c>
      <c r="T88" s="685"/>
      <c r="U88" s="572">
        <v>18</v>
      </c>
      <c r="V88" s="510">
        <v>2366.2499999999964</v>
      </c>
      <c r="W88" s="510">
        <v>131.45833333333314</v>
      </c>
      <c r="X88" s="571">
        <f t="shared" si="76"/>
        <v>2</v>
      </c>
      <c r="Y88" s="685"/>
      <c r="Z88" s="572">
        <v>18</v>
      </c>
      <c r="AA88" s="510">
        <v>2377.3584905660391</v>
      </c>
      <c r="AB88" s="510">
        <v>132.07547169811329</v>
      </c>
      <c r="AC88" s="571">
        <f t="shared" si="78"/>
        <v>2</v>
      </c>
      <c r="AD88" s="685"/>
      <c r="AE88" s="572">
        <v>18</v>
      </c>
      <c r="AF88" s="510">
        <v>2354.1818181818162</v>
      </c>
      <c r="AG88" s="510">
        <v>130.78787878787867</v>
      </c>
      <c r="AH88" s="571">
        <f t="shared" si="80"/>
        <v>2</v>
      </c>
      <c r="AI88" s="685"/>
      <c r="AJ88" s="572">
        <v>18</v>
      </c>
      <c r="AK88" s="510">
        <v>2332.881355932202</v>
      </c>
      <c r="AL88" s="510">
        <v>129.60451977401124</v>
      </c>
      <c r="AM88" s="571">
        <f t="shared" si="82"/>
        <v>3</v>
      </c>
      <c r="AN88" s="685"/>
      <c r="AO88" s="572">
        <v>18</v>
      </c>
      <c r="AP88" s="510">
        <v>2355.2380952380977</v>
      </c>
      <c r="AQ88" s="510">
        <v>130.84656084656098</v>
      </c>
      <c r="AR88" s="571">
        <f t="shared" si="84"/>
        <v>2</v>
      </c>
      <c r="AS88" s="685"/>
      <c r="AT88" s="571">
        <v>19</v>
      </c>
      <c r="AU88" s="573">
        <v>2374.0000000000023</v>
      </c>
      <c r="AV88" s="573">
        <v>124.94736842105276</v>
      </c>
      <c r="AW88" s="571">
        <f t="shared" si="86"/>
        <v>5</v>
      </c>
      <c r="AX88" s="685"/>
      <c r="AZ88" s="368" t="e">
        <f t="shared" si="88"/>
        <v>#N/A</v>
      </c>
      <c r="BA88" s="685"/>
    </row>
    <row r="89" spans="2:53">
      <c r="B89" s="660"/>
      <c r="C89" s="380">
        <v>3</v>
      </c>
      <c r="D89" s="225" t="s">
        <v>352</v>
      </c>
      <c r="E89" s="516">
        <v>19</v>
      </c>
      <c r="F89" s="513">
        <v>2769</v>
      </c>
      <c r="G89" s="512">
        <v>145.73684210526315</v>
      </c>
      <c r="H89" s="692"/>
      <c r="I89" s="381">
        <f t="shared" si="71"/>
        <v>19</v>
      </c>
      <c r="J89" s="381">
        <f t="shared" si="72"/>
        <v>2448.2124942679138</v>
      </c>
      <c r="K89" s="199">
        <f t="shared" si="73"/>
        <v>128.85328917199547</v>
      </c>
      <c r="L89" s="634"/>
      <c r="M89" s="422">
        <f>RANK(K89, K$87:$K$101)</f>
        <v>3</v>
      </c>
      <c r="N89" s="652"/>
      <c r="O89" s="652"/>
      <c r="P89" s="572">
        <v>19</v>
      </c>
      <c r="Q89" s="510">
        <v>2474.4303797468338</v>
      </c>
      <c r="R89" s="510">
        <v>130.2331778814123</v>
      </c>
      <c r="S89" s="571">
        <f t="shared" si="74"/>
        <v>3</v>
      </c>
      <c r="T89" s="685"/>
      <c r="U89" s="572">
        <v>19</v>
      </c>
      <c r="V89" s="510">
        <v>2464.2857142857165</v>
      </c>
      <c r="W89" s="510">
        <v>129.69924812030087</v>
      </c>
      <c r="X89" s="571">
        <f t="shared" si="76"/>
        <v>3</v>
      </c>
      <c r="Y89" s="685"/>
      <c r="Z89" s="572">
        <v>19</v>
      </c>
      <c r="AA89" s="510">
        <v>2463.6923076923104</v>
      </c>
      <c r="AB89" s="510">
        <v>129.66801619433213</v>
      </c>
      <c r="AC89" s="571">
        <f t="shared" si="78"/>
        <v>3</v>
      </c>
      <c r="AD89" s="685"/>
      <c r="AE89" s="572">
        <v>19</v>
      </c>
      <c r="AF89" s="510">
        <v>2460.8955223880566</v>
      </c>
      <c r="AG89" s="510">
        <v>129.52081696779246</v>
      </c>
      <c r="AH89" s="571">
        <f t="shared" si="80"/>
        <v>3</v>
      </c>
      <c r="AI89" s="685"/>
      <c r="AJ89" s="572">
        <v>19</v>
      </c>
      <c r="AK89" s="510">
        <v>2488.3333333333317</v>
      </c>
      <c r="AL89" s="510">
        <v>130.96491228070167</v>
      </c>
      <c r="AM89" s="571">
        <f t="shared" si="82"/>
        <v>2</v>
      </c>
      <c r="AN89" s="685"/>
      <c r="AO89" s="572">
        <v>19</v>
      </c>
      <c r="AP89" s="510">
        <v>2457.6923076923063</v>
      </c>
      <c r="AQ89" s="510">
        <v>129.35222672064771</v>
      </c>
      <c r="AR89" s="571">
        <f t="shared" si="84"/>
        <v>3</v>
      </c>
      <c r="AS89" s="685"/>
      <c r="AT89" s="571">
        <v>19</v>
      </c>
      <c r="AU89" s="573">
        <v>2328.1578947368407</v>
      </c>
      <c r="AV89" s="573">
        <v>122.53462603878108</v>
      </c>
      <c r="AW89" s="571">
        <f t="shared" si="86"/>
        <v>6</v>
      </c>
      <c r="AX89" s="685"/>
      <c r="AZ89" s="368" t="e">
        <f t="shared" si="88"/>
        <v>#N/A</v>
      </c>
      <c r="BA89" s="685"/>
    </row>
    <row r="90" spans="2:53">
      <c r="B90" s="660"/>
      <c r="C90" s="380">
        <v>4</v>
      </c>
      <c r="D90" s="225" t="s">
        <v>353</v>
      </c>
      <c r="E90" s="516">
        <v>20</v>
      </c>
      <c r="F90" s="513">
        <v>2769</v>
      </c>
      <c r="G90" s="512">
        <v>138.44999999999999</v>
      </c>
      <c r="H90" s="692"/>
      <c r="I90" s="381">
        <f t="shared" si="71"/>
        <v>19.857142857142858</v>
      </c>
      <c r="J90" s="381">
        <f t="shared" si="72"/>
        <v>2477.7645213299047</v>
      </c>
      <c r="K90" s="199">
        <f t="shared" si="73"/>
        <v>124.82815831469816</v>
      </c>
      <c r="L90" s="634"/>
      <c r="M90" s="422">
        <f>RANK(K90, K$87:$K$101)</f>
        <v>6</v>
      </c>
      <c r="N90" s="652"/>
      <c r="O90" s="652"/>
      <c r="P90" s="572">
        <v>20</v>
      </c>
      <c r="Q90" s="510">
        <v>2497.0588235294131</v>
      </c>
      <c r="R90" s="510">
        <v>124.85294117647065</v>
      </c>
      <c r="S90" s="571">
        <f t="shared" si="74"/>
        <v>6</v>
      </c>
      <c r="T90" s="685"/>
      <c r="U90" s="572">
        <v>20</v>
      </c>
      <c r="V90" s="510">
        <v>2487.3417721518977</v>
      </c>
      <c r="W90" s="510">
        <v>124.36708860759488</v>
      </c>
      <c r="X90" s="571">
        <f t="shared" si="76"/>
        <v>6</v>
      </c>
      <c r="Y90" s="685"/>
      <c r="Z90" s="572">
        <v>20</v>
      </c>
      <c r="AA90" s="510">
        <v>2452.666666666667</v>
      </c>
      <c r="AB90" s="510">
        <v>122.63333333333335</v>
      </c>
      <c r="AC90" s="571">
        <f t="shared" si="78"/>
        <v>6</v>
      </c>
      <c r="AD90" s="685"/>
      <c r="AE90" s="572">
        <v>20</v>
      </c>
      <c r="AF90" s="510">
        <v>2488.3146067415732</v>
      </c>
      <c r="AG90" s="510">
        <v>124.41573033707866</v>
      </c>
      <c r="AH90" s="571">
        <f t="shared" si="80"/>
        <v>5</v>
      </c>
      <c r="AI90" s="685"/>
      <c r="AJ90" s="572">
        <v>20</v>
      </c>
      <c r="AK90" s="510">
        <v>2466.2500000000009</v>
      </c>
      <c r="AL90" s="510">
        <v>123.31250000000004</v>
      </c>
      <c r="AM90" s="571">
        <f t="shared" si="82"/>
        <v>6</v>
      </c>
      <c r="AN90" s="685"/>
      <c r="AO90" s="572">
        <v>20</v>
      </c>
      <c r="AP90" s="510">
        <v>2452.5000000000014</v>
      </c>
      <c r="AQ90" s="510">
        <v>122.62500000000007</v>
      </c>
      <c r="AR90" s="571">
        <f t="shared" si="84"/>
        <v>6</v>
      </c>
      <c r="AS90" s="685"/>
      <c r="AT90" s="571">
        <v>19</v>
      </c>
      <c r="AU90" s="573">
        <v>2500.2197802197802</v>
      </c>
      <c r="AV90" s="573">
        <v>131.59051474840948</v>
      </c>
      <c r="AW90" s="571">
        <f t="shared" si="86"/>
        <v>3</v>
      </c>
      <c r="AX90" s="685"/>
      <c r="AZ90" s="368" t="e">
        <f t="shared" si="88"/>
        <v>#N/A</v>
      </c>
      <c r="BA90" s="685"/>
    </row>
    <row r="91" spans="2:53">
      <c r="B91" s="660"/>
      <c r="C91" s="380">
        <v>5</v>
      </c>
      <c r="D91" s="225" t="s">
        <v>511</v>
      </c>
      <c r="E91" s="516">
        <v>18</v>
      </c>
      <c r="F91" s="513">
        <v>2400</v>
      </c>
      <c r="G91" s="512">
        <v>133.33333333333334</v>
      </c>
      <c r="H91" s="692"/>
      <c r="I91" s="381">
        <f t="shared" si="71"/>
        <v>18</v>
      </c>
      <c r="J91" s="381">
        <f t="shared" si="72"/>
        <v>2173.0891301988081</v>
      </c>
      <c r="K91" s="199">
        <f t="shared" si="73"/>
        <v>120.72717389993375</v>
      </c>
      <c r="L91" s="634"/>
      <c r="M91" s="422">
        <f>RANK(K91, K$87:$K$101)</f>
        <v>7</v>
      </c>
      <c r="N91" s="652"/>
      <c r="O91" s="652"/>
      <c r="P91" s="572">
        <v>18</v>
      </c>
      <c r="Q91" s="510">
        <v>2171.5789473684226</v>
      </c>
      <c r="R91" s="510">
        <v>120.64327485380126</v>
      </c>
      <c r="S91" s="571">
        <f t="shared" si="74"/>
        <v>7</v>
      </c>
      <c r="T91" s="685"/>
      <c r="U91" s="572">
        <v>18</v>
      </c>
      <c r="V91" s="510">
        <v>2166.521739130435</v>
      </c>
      <c r="W91" s="510">
        <v>120.36231884057972</v>
      </c>
      <c r="X91" s="571">
        <f t="shared" si="76"/>
        <v>7</v>
      </c>
      <c r="Y91" s="685"/>
      <c r="Z91" s="572">
        <v>18</v>
      </c>
      <c r="AA91" s="510">
        <v>2182.0408163265311</v>
      </c>
      <c r="AB91" s="510">
        <v>121.22448979591839</v>
      </c>
      <c r="AC91" s="571">
        <f t="shared" si="78"/>
        <v>7</v>
      </c>
      <c r="AD91" s="685"/>
      <c r="AE91" s="572">
        <v>18</v>
      </c>
      <c r="AF91" s="510">
        <v>2172.7659574468089</v>
      </c>
      <c r="AG91" s="510">
        <v>120.70921985815605</v>
      </c>
      <c r="AH91" s="571">
        <f t="shared" si="80"/>
        <v>7</v>
      </c>
      <c r="AI91" s="685"/>
      <c r="AJ91" s="572">
        <v>18</v>
      </c>
      <c r="AK91" s="510">
        <v>2194.4680851063831</v>
      </c>
      <c r="AL91" s="510">
        <v>121.91489361702128</v>
      </c>
      <c r="AM91" s="571">
        <f t="shared" si="82"/>
        <v>7</v>
      </c>
      <c r="AN91" s="685"/>
      <c r="AO91" s="572">
        <v>18</v>
      </c>
      <c r="AP91" s="510">
        <v>2167.7777777777787</v>
      </c>
      <c r="AQ91" s="510">
        <v>120.43209876543216</v>
      </c>
      <c r="AR91" s="571">
        <f t="shared" si="84"/>
        <v>7</v>
      </c>
      <c r="AS91" s="685"/>
      <c r="AT91" s="571">
        <v>18</v>
      </c>
      <c r="AU91" s="573">
        <v>2156.4705882352951</v>
      </c>
      <c r="AV91" s="573">
        <v>119.8039215686275</v>
      </c>
      <c r="AW91" s="571">
        <f t="shared" si="86"/>
        <v>7</v>
      </c>
      <c r="AX91" s="685"/>
      <c r="AZ91" s="368" t="e">
        <f t="shared" si="88"/>
        <v>#N/A</v>
      </c>
      <c r="BA91" s="685"/>
    </row>
    <row r="92" spans="2:53">
      <c r="B92" s="660"/>
      <c r="C92" s="380">
        <v>6</v>
      </c>
      <c r="D92" s="225" t="s">
        <v>593</v>
      </c>
      <c r="E92" s="516">
        <v>17</v>
      </c>
      <c r="F92" s="513">
        <v>2571</v>
      </c>
      <c r="G92" s="512">
        <v>151.23529411764707</v>
      </c>
      <c r="H92" s="692"/>
      <c r="I92" s="381">
        <f t="shared" si="71"/>
        <v>17</v>
      </c>
      <c r="J92" s="381">
        <f t="shared" si="72"/>
        <v>2276.7050075162047</v>
      </c>
      <c r="K92" s="199">
        <f t="shared" si="73"/>
        <v>133.92382397154145</v>
      </c>
      <c r="L92" s="634"/>
      <c r="M92" s="422">
        <f>RANK(K92, K$87:$K$101)</f>
        <v>1</v>
      </c>
      <c r="N92" s="652"/>
      <c r="O92" s="652"/>
      <c r="P92" s="572">
        <v>17</v>
      </c>
      <c r="Q92" s="510">
        <v>2269.4117647058797</v>
      </c>
      <c r="R92" s="510">
        <v>133.49480968858117</v>
      </c>
      <c r="S92" s="571">
        <f t="shared" si="74"/>
        <v>1</v>
      </c>
      <c r="T92" s="685"/>
      <c r="U92" s="572">
        <v>17</v>
      </c>
      <c r="V92" s="510">
        <v>2299.3548387096794</v>
      </c>
      <c r="W92" s="510">
        <v>135.25616698292231</v>
      </c>
      <c r="X92" s="571">
        <f t="shared" si="76"/>
        <v>1</v>
      </c>
      <c r="Y92" s="685"/>
      <c r="Z92" s="572">
        <v>17</v>
      </c>
      <c r="AA92" s="510">
        <v>2302.941176470591</v>
      </c>
      <c r="AB92" s="510">
        <v>135.46712802768184</v>
      </c>
      <c r="AC92" s="571">
        <f t="shared" si="78"/>
        <v>1</v>
      </c>
      <c r="AD92" s="685"/>
      <c r="AE92" s="572">
        <v>17</v>
      </c>
      <c r="AF92" s="510">
        <v>2223.6363636363658</v>
      </c>
      <c r="AG92" s="510">
        <v>130.80213903743328</v>
      </c>
      <c r="AH92" s="571">
        <f t="shared" si="80"/>
        <v>1</v>
      </c>
      <c r="AI92" s="685"/>
      <c r="AJ92" s="572">
        <v>17</v>
      </c>
      <c r="AK92" s="510">
        <v>2272.5000000000027</v>
      </c>
      <c r="AL92" s="510">
        <v>133.67647058823545</v>
      </c>
      <c r="AM92" s="571">
        <f t="shared" si="82"/>
        <v>1</v>
      </c>
      <c r="AN92" s="685"/>
      <c r="AO92" s="572">
        <v>17</v>
      </c>
      <c r="AP92" s="510">
        <v>2278.1818181818207</v>
      </c>
      <c r="AQ92" s="510">
        <v>134.01069518716594</v>
      </c>
      <c r="AR92" s="571">
        <f t="shared" si="84"/>
        <v>1</v>
      </c>
      <c r="AS92" s="685"/>
      <c r="AT92" s="571">
        <v>17</v>
      </c>
      <c r="AU92" s="573">
        <v>2290.9090909090933</v>
      </c>
      <c r="AV92" s="573">
        <v>134.75935828877019</v>
      </c>
      <c r="AW92" s="571">
        <f t="shared" si="86"/>
        <v>2</v>
      </c>
      <c r="AX92" s="685"/>
      <c r="AZ92" s="368" t="e">
        <f t="shared" si="88"/>
        <v>#N/A</v>
      </c>
      <c r="BA92" s="685"/>
    </row>
    <row r="93" spans="2:53">
      <c r="B93" s="660"/>
      <c r="C93" s="380">
        <v>7</v>
      </c>
      <c r="D93" s="225" t="s">
        <v>616</v>
      </c>
      <c r="E93" s="516">
        <v>18</v>
      </c>
      <c r="F93" s="513">
        <v>2571</v>
      </c>
      <c r="G93" s="512">
        <v>142.83333333333334</v>
      </c>
      <c r="H93" s="692"/>
      <c r="I93" s="381">
        <f t="shared" si="71"/>
        <v>17.857142857142858</v>
      </c>
      <c r="J93" s="381">
        <f t="shared" si="72"/>
        <v>2299.6568135697044</v>
      </c>
      <c r="K93" s="199">
        <f t="shared" si="73"/>
        <v>128.85114883977349</v>
      </c>
      <c r="L93" s="634"/>
      <c r="M93" s="422">
        <f>RANK(K93, K$87:$K$101)</f>
        <v>4</v>
      </c>
      <c r="N93" s="652"/>
      <c r="O93" s="652"/>
      <c r="P93" s="572">
        <v>18</v>
      </c>
      <c r="Q93" s="510">
        <v>2268.5714285714275</v>
      </c>
      <c r="R93" s="510">
        <v>126.03174603174597</v>
      </c>
      <c r="S93" s="571">
        <f t="shared" si="74"/>
        <v>5</v>
      </c>
      <c r="T93" s="685"/>
      <c r="U93" s="572">
        <v>18</v>
      </c>
      <c r="V93" s="510">
        <v>2276.9999999999991</v>
      </c>
      <c r="W93" s="510">
        <v>126.49999999999994</v>
      </c>
      <c r="X93" s="571">
        <f t="shared" si="76"/>
        <v>5</v>
      </c>
      <c r="Y93" s="685"/>
      <c r="Z93" s="572">
        <v>18</v>
      </c>
      <c r="AA93" s="510">
        <v>2321.5384615384605</v>
      </c>
      <c r="AB93" s="510">
        <v>128.97435897435892</v>
      </c>
      <c r="AC93" s="571">
        <f t="shared" si="78"/>
        <v>4</v>
      </c>
      <c r="AD93" s="685"/>
      <c r="AE93" s="572">
        <v>18</v>
      </c>
      <c r="AF93" s="510">
        <v>2309.9999999999982</v>
      </c>
      <c r="AG93" s="510">
        <v>128.33333333333323</v>
      </c>
      <c r="AH93" s="571">
        <f t="shared" si="80"/>
        <v>4</v>
      </c>
      <c r="AI93" s="685"/>
      <c r="AJ93" s="572">
        <v>18</v>
      </c>
      <c r="AK93" s="510">
        <v>2279.9999999999991</v>
      </c>
      <c r="AL93" s="510">
        <v>126.66666666666661</v>
      </c>
      <c r="AM93" s="571">
        <f t="shared" si="82"/>
        <v>4</v>
      </c>
      <c r="AN93" s="685"/>
      <c r="AO93" s="572">
        <v>18</v>
      </c>
      <c r="AP93" s="510">
        <v>2300.4878048780479</v>
      </c>
      <c r="AQ93" s="510">
        <v>127.80487804878044</v>
      </c>
      <c r="AR93" s="571">
        <f t="shared" si="84"/>
        <v>4</v>
      </c>
      <c r="AS93" s="685"/>
      <c r="AT93" s="571">
        <v>17</v>
      </c>
      <c r="AU93" s="573">
        <v>2339.9999999999986</v>
      </c>
      <c r="AV93" s="573">
        <v>137.64705882352933</v>
      </c>
      <c r="AW93" s="571">
        <f t="shared" si="86"/>
        <v>1</v>
      </c>
      <c r="AX93" s="685"/>
      <c r="AZ93" s="368" t="e">
        <f t="shared" si="88"/>
        <v>#N/A</v>
      </c>
      <c r="BA93" s="685"/>
    </row>
    <row r="94" spans="2:53">
      <c r="B94" s="660"/>
      <c r="C94" s="380">
        <v>8</v>
      </c>
      <c r="D94" s="225" t="s">
        <v>732</v>
      </c>
      <c r="E94" s="516">
        <v>18</v>
      </c>
      <c r="F94" s="513">
        <v>2571</v>
      </c>
      <c r="G94" s="512">
        <v>142.83333333333334</v>
      </c>
      <c r="H94" s="692"/>
      <c r="I94" s="381">
        <f t="shared" si="71"/>
        <v>18</v>
      </c>
      <c r="J94" s="381">
        <f t="shared" si="72"/>
        <v>2272.2165075707721</v>
      </c>
      <c r="K94" s="199">
        <f t="shared" si="73"/>
        <v>126.23425042059849</v>
      </c>
      <c r="L94" s="634"/>
      <c r="M94" s="422">
        <f>RANK(K94, K$87:$K$101)</f>
        <v>5</v>
      </c>
      <c r="N94" s="652"/>
      <c r="O94" s="652"/>
      <c r="P94" s="572">
        <v>18</v>
      </c>
      <c r="Q94" s="510">
        <v>2281.8750000000027</v>
      </c>
      <c r="R94" s="510">
        <v>126.77083333333348</v>
      </c>
      <c r="S94" s="571">
        <f t="shared" si="74"/>
        <v>4</v>
      </c>
      <c r="T94" s="685"/>
      <c r="U94" s="572">
        <v>18</v>
      </c>
      <c r="V94" s="510">
        <v>2299.3548387096794</v>
      </c>
      <c r="W94" s="510">
        <v>127.74193548387107</v>
      </c>
      <c r="X94" s="571">
        <f t="shared" si="76"/>
        <v>4</v>
      </c>
      <c r="Y94" s="685"/>
      <c r="Z94" s="572">
        <v>18</v>
      </c>
      <c r="AA94" s="510">
        <v>2260.0000000000023</v>
      </c>
      <c r="AB94" s="510">
        <v>125.55555555555569</v>
      </c>
      <c r="AC94" s="571">
        <f t="shared" si="78"/>
        <v>5</v>
      </c>
      <c r="AD94" s="685"/>
      <c r="AE94" s="572">
        <v>18</v>
      </c>
      <c r="AF94" s="510">
        <v>2238.0000000000018</v>
      </c>
      <c r="AG94" s="510">
        <v>124.33333333333343</v>
      </c>
      <c r="AH94" s="571">
        <f t="shared" si="80"/>
        <v>6</v>
      </c>
      <c r="AI94" s="685"/>
      <c r="AJ94" s="572">
        <v>18</v>
      </c>
      <c r="AK94" s="510">
        <v>2235.0000000000018</v>
      </c>
      <c r="AL94" s="510">
        <v>124.16666666666677</v>
      </c>
      <c r="AM94" s="571">
        <f t="shared" si="82"/>
        <v>5</v>
      </c>
      <c r="AN94" s="685"/>
      <c r="AO94" s="572">
        <v>18</v>
      </c>
      <c r="AP94" s="510">
        <v>2262.0000000000023</v>
      </c>
      <c r="AQ94" s="510">
        <v>125.6666666666668</v>
      </c>
      <c r="AR94" s="571">
        <f t="shared" si="84"/>
        <v>5</v>
      </c>
      <c r="AS94" s="685"/>
      <c r="AT94" s="571">
        <v>18</v>
      </c>
      <c r="AU94" s="573">
        <v>2329.285714285716</v>
      </c>
      <c r="AV94" s="573">
        <v>129.40476190476201</v>
      </c>
      <c r="AW94" s="571">
        <f t="shared" si="86"/>
        <v>4</v>
      </c>
      <c r="AX94" s="685"/>
      <c r="AZ94" s="368" t="e">
        <f t="shared" si="88"/>
        <v>#N/A</v>
      </c>
      <c r="BA94" s="685"/>
    </row>
    <row r="95" spans="2:53">
      <c r="B95" s="660"/>
      <c r="C95" s="380">
        <v>9</v>
      </c>
      <c r="D95" s="225"/>
      <c r="E95" s="516"/>
      <c r="F95" s="513"/>
      <c r="G95" s="512"/>
      <c r="H95" s="692"/>
      <c r="I95" s="381" t="str">
        <f t="shared" si="71"/>
        <v>-</v>
      </c>
      <c r="J95" s="381" t="str">
        <f t="shared" si="72"/>
        <v>-</v>
      </c>
      <c r="K95" s="199" t="str">
        <f t="shared" si="73"/>
        <v>-</v>
      </c>
      <c r="L95" s="634"/>
      <c r="M95" s="422" t="e">
        <f>RANK(K95, K$87:$K$101)</f>
        <v>#VALUE!</v>
      </c>
      <c r="N95" s="652"/>
      <c r="O95" s="652"/>
      <c r="P95" s="572" t="s">
        <v>585</v>
      </c>
      <c r="Q95" s="510" t="s">
        <v>585</v>
      </c>
      <c r="R95" s="510" t="s">
        <v>585</v>
      </c>
      <c r="S95" s="571" t="e">
        <f t="shared" si="74"/>
        <v>#VALUE!</v>
      </c>
      <c r="T95" s="685"/>
      <c r="U95" s="572" t="s">
        <v>585</v>
      </c>
      <c r="V95" s="510" t="s">
        <v>585</v>
      </c>
      <c r="W95" s="510" t="s">
        <v>585</v>
      </c>
      <c r="X95" s="571" t="e">
        <f t="shared" si="76"/>
        <v>#VALUE!</v>
      </c>
      <c r="Y95" s="685"/>
      <c r="Z95" s="572" t="s">
        <v>585</v>
      </c>
      <c r="AA95" s="510" t="s">
        <v>585</v>
      </c>
      <c r="AB95" s="510" t="s">
        <v>585</v>
      </c>
      <c r="AC95" s="571" t="e">
        <f t="shared" si="78"/>
        <v>#VALUE!</v>
      </c>
      <c r="AD95" s="685"/>
      <c r="AE95" s="572" t="s">
        <v>585</v>
      </c>
      <c r="AF95" s="510" t="s">
        <v>585</v>
      </c>
      <c r="AG95" s="510" t="s">
        <v>585</v>
      </c>
      <c r="AH95" s="571" t="e">
        <f t="shared" si="80"/>
        <v>#VALUE!</v>
      </c>
      <c r="AI95" s="685"/>
      <c r="AJ95" s="572" t="s">
        <v>585</v>
      </c>
      <c r="AK95" s="510" t="s">
        <v>585</v>
      </c>
      <c r="AL95" s="510" t="s">
        <v>585</v>
      </c>
      <c r="AM95" s="571" t="e">
        <f t="shared" si="82"/>
        <v>#VALUE!</v>
      </c>
      <c r="AN95" s="685"/>
      <c r="AO95" s="572" t="s">
        <v>585</v>
      </c>
      <c r="AP95" s="510" t="s">
        <v>585</v>
      </c>
      <c r="AQ95" s="510" t="s">
        <v>585</v>
      </c>
      <c r="AR95" s="571" t="e">
        <f t="shared" si="84"/>
        <v>#VALUE!</v>
      </c>
      <c r="AS95" s="685"/>
      <c r="AT95" s="571" t="s">
        <v>585</v>
      </c>
      <c r="AU95" s="573" t="s">
        <v>585</v>
      </c>
      <c r="AV95" s="573" t="s">
        <v>585</v>
      </c>
      <c r="AW95" s="571" t="e">
        <f t="shared" si="86"/>
        <v>#VALUE!</v>
      </c>
      <c r="AX95" s="685"/>
      <c r="AZ95" s="368" t="e">
        <f t="shared" si="88"/>
        <v>#N/A</v>
      </c>
      <c r="BA95" s="685"/>
    </row>
    <row r="96" spans="2:53">
      <c r="B96" s="660"/>
      <c r="C96" s="380">
        <v>10</v>
      </c>
      <c r="D96" s="225"/>
      <c r="E96" s="516"/>
      <c r="F96" s="513"/>
      <c r="G96" s="512"/>
      <c r="H96" s="692"/>
      <c r="I96" s="381" t="str">
        <f t="shared" si="71"/>
        <v>-</v>
      </c>
      <c r="J96" s="381" t="str">
        <f t="shared" si="72"/>
        <v>-</v>
      </c>
      <c r="K96" s="199" t="str">
        <f t="shared" si="73"/>
        <v>-</v>
      </c>
      <c r="L96" s="634"/>
      <c r="M96" s="422" t="e">
        <f>RANK(K96, K$87:$K$101)</f>
        <v>#VALUE!</v>
      </c>
      <c r="N96" s="652"/>
      <c r="O96" s="652"/>
      <c r="P96" s="572" t="s">
        <v>585</v>
      </c>
      <c r="Q96" s="510" t="s">
        <v>585</v>
      </c>
      <c r="R96" s="510" t="s">
        <v>585</v>
      </c>
      <c r="S96" s="571" t="e">
        <f t="shared" si="74"/>
        <v>#VALUE!</v>
      </c>
      <c r="T96" s="685"/>
      <c r="U96" s="572" t="s">
        <v>585</v>
      </c>
      <c r="V96" s="510" t="s">
        <v>585</v>
      </c>
      <c r="W96" s="510" t="s">
        <v>585</v>
      </c>
      <c r="X96" s="571" t="e">
        <f t="shared" si="76"/>
        <v>#VALUE!</v>
      </c>
      <c r="Y96" s="685"/>
      <c r="Z96" s="572" t="s">
        <v>585</v>
      </c>
      <c r="AA96" s="510" t="s">
        <v>585</v>
      </c>
      <c r="AB96" s="510" t="s">
        <v>585</v>
      </c>
      <c r="AC96" s="571" t="e">
        <f t="shared" si="78"/>
        <v>#VALUE!</v>
      </c>
      <c r="AD96" s="685"/>
      <c r="AE96" s="572" t="s">
        <v>585</v>
      </c>
      <c r="AF96" s="510" t="s">
        <v>585</v>
      </c>
      <c r="AG96" s="510" t="s">
        <v>585</v>
      </c>
      <c r="AH96" s="571" t="e">
        <f t="shared" si="80"/>
        <v>#VALUE!</v>
      </c>
      <c r="AI96" s="685"/>
      <c r="AJ96" s="572" t="s">
        <v>585</v>
      </c>
      <c r="AK96" s="510" t="s">
        <v>585</v>
      </c>
      <c r="AL96" s="510" t="s">
        <v>585</v>
      </c>
      <c r="AM96" s="571" t="e">
        <f t="shared" si="82"/>
        <v>#VALUE!</v>
      </c>
      <c r="AN96" s="685"/>
      <c r="AO96" s="572" t="s">
        <v>585</v>
      </c>
      <c r="AP96" s="510" t="s">
        <v>585</v>
      </c>
      <c r="AQ96" s="510" t="s">
        <v>585</v>
      </c>
      <c r="AR96" s="571" t="e">
        <f t="shared" si="84"/>
        <v>#VALUE!</v>
      </c>
      <c r="AS96" s="685"/>
      <c r="AT96" s="571" t="s">
        <v>585</v>
      </c>
      <c r="AU96" s="573" t="s">
        <v>585</v>
      </c>
      <c r="AV96" s="573" t="s">
        <v>585</v>
      </c>
      <c r="AW96" s="571" t="e">
        <f t="shared" si="86"/>
        <v>#VALUE!</v>
      </c>
      <c r="AX96" s="685"/>
      <c r="AZ96" s="368" t="e">
        <f t="shared" si="88"/>
        <v>#N/A</v>
      </c>
      <c r="BA96" s="685"/>
    </row>
    <row r="97" spans="2:53">
      <c r="B97" s="660"/>
      <c r="C97" s="380">
        <v>11</v>
      </c>
      <c r="D97" s="225"/>
      <c r="E97" s="516"/>
      <c r="F97" s="513"/>
      <c r="G97" s="512"/>
      <c r="H97" s="692"/>
      <c r="I97" s="381" t="str">
        <f t="shared" si="71"/>
        <v>-</v>
      </c>
      <c r="J97" s="381" t="str">
        <f t="shared" si="72"/>
        <v>-</v>
      </c>
      <c r="K97" s="199" t="str">
        <f t="shared" si="73"/>
        <v>-</v>
      </c>
      <c r="L97" s="634"/>
      <c r="M97" s="422" t="e">
        <f>RANK(K97, K$87:$K$101)</f>
        <v>#VALUE!</v>
      </c>
      <c r="N97" s="652"/>
      <c r="O97" s="652"/>
      <c r="P97" s="572" t="s">
        <v>585</v>
      </c>
      <c r="Q97" s="510" t="s">
        <v>585</v>
      </c>
      <c r="R97" s="510" t="s">
        <v>585</v>
      </c>
      <c r="S97" s="571" t="e">
        <f t="shared" si="74"/>
        <v>#VALUE!</v>
      </c>
      <c r="T97" s="685"/>
      <c r="U97" s="572" t="s">
        <v>585</v>
      </c>
      <c r="V97" s="510" t="s">
        <v>585</v>
      </c>
      <c r="W97" s="510" t="s">
        <v>585</v>
      </c>
      <c r="X97" s="571" t="e">
        <f t="shared" si="76"/>
        <v>#VALUE!</v>
      </c>
      <c r="Y97" s="685"/>
      <c r="Z97" s="572" t="s">
        <v>585</v>
      </c>
      <c r="AA97" s="510" t="s">
        <v>585</v>
      </c>
      <c r="AB97" s="510" t="s">
        <v>585</v>
      </c>
      <c r="AC97" s="571" t="e">
        <f t="shared" si="78"/>
        <v>#VALUE!</v>
      </c>
      <c r="AD97" s="685"/>
      <c r="AE97" s="572" t="s">
        <v>585</v>
      </c>
      <c r="AF97" s="510" t="s">
        <v>585</v>
      </c>
      <c r="AG97" s="510" t="s">
        <v>585</v>
      </c>
      <c r="AH97" s="571" t="e">
        <f t="shared" si="80"/>
        <v>#VALUE!</v>
      </c>
      <c r="AI97" s="685"/>
      <c r="AJ97" s="572" t="s">
        <v>585</v>
      </c>
      <c r="AK97" s="510" t="s">
        <v>585</v>
      </c>
      <c r="AL97" s="510" t="s">
        <v>585</v>
      </c>
      <c r="AM97" s="571" t="e">
        <f t="shared" si="82"/>
        <v>#VALUE!</v>
      </c>
      <c r="AN97" s="685"/>
      <c r="AO97" s="572" t="s">
        <v>585</v>
      </c>
      <c r="AP97" s="510" t="s">
        <v>585</v>
      </c>
      <c r="AQ97" s="510" t="s">
        <v>585</v>
      </c>
      <c r="AR97" s="571" t="e">
        <f t="shared" si="84"/>
        <v>#VALUE!</v>
      </c>
      <c r="AS97" s="685"/>
      <c r="AT97" s="571" t="s">
        <v>585</v>
      </c>
      <c r="AU97" s="573" t="s">
        <v>585</v>
      </c>
      <c r="AV97" s="573" t="s">
        <v>585</v>
      </c>
      <c r="AW97" s="571" t="e">
        <f t="shared" si="86"/>
        <v>#VALUE!</v>
      </c>
      <c r="AX97" s="685"/>
      <c r="AZ97" s="368" t="e">
        <f t="shared" si="88"/>
        <v>#N/A</v>
      </c>
      <c r="BA97" s="685"/>
    </row>
    <row r="98" spans="2:53">
      <c r="B98" s="660"/>
      <c r="C98" s="380">
        <v>12</v>
      </c>
      <c r="D98" s="225"/>
      <c r="E98" s="516"/>
      <c r="F98" s="513"/>
      <c r="G98" s="512"/>
      <c r="H98" s="692"/>
      <c r="I98" s="381" t="str">
        <f t="shared" si="71"/>
        <v>-</v>
      </c>
      <c r="J98" s="381" t="str">
        <f t="shared" si="72"/>
        <v>-</v>
      </c>
      <c r="K98" s="199" t="str">
        <f t="shared" si="73"/>
        <v>-</v>
      </c>
      <c r="L98" s="634"/>
      <c r="M98" s="422" t="e">
        <f>RANK(K98, K$87:$K$101)</f>
        <v>#VALUE!</v>
      </c>
      <c r="N98" s="652"/>
      <c r="O98" s="652"/>
      <c r="P98" s="572" t="s">
        <v>585</v>
      </c>
      <c r="Q98" s="510" t="s">
        <v>585</v>
      </c>
      <c r="R98" s="510" t="s">
        <v>585</v>
      </c>
      <c r="S98" s="571" t="e">
        <f t="shared" si="74"/>
        <v>#VALUE!</v>
      </c>
      <c r="T98" s="685"/>
      <c r="U98" s="572" t="s">
        <v>585</v>
      </c>
      <c r="V98" s="510" t="s">
        <v>585</v>
      </c>
      <c r="W98" s="510" t="s">
        <v>585</v>
      </c>
      <c r="X98" s="571" t="e">
        <f t="shared" si="76"/>
        <v>#VALUE!</v>
      </c>
      <c r="Y98" s="685"/>
      <c r="Z98" s="572" t="s">
        <v>585</v>
      </c>
      <c r="AA98" s="510" t="s">
        <v>585</v>
      </c>
      <c r="AB98" s="510" t="s">
        <v>585</v>
      </c>
      <c r="AC98" s="571" t="e">
        <f t="shared" si="78"/>
        <v>#VALUE!</v>
      </c>
      <c r="AD98" s="685"/>
      <c r="AE98" s="572" t="s">
        <v>585</v>
      </c>
      <c r="AF98" s="510" t="s">
        <v>585</v>
      </c>
      <c r="AG98" s="510" t="s">
        <v>585</v>
      </c>
      <c r="AH98" s="571" t="e">
        <f t="shared" si="80"/>
        <v>#VALUE!</v>
      </c>
      <c r="AI98" s="685"/>
      <c r="AJ98" s="572" t="s">
        <v>585</v>
      </c>
      <c r="AK98" s="510" t="s">
        <v>585</v>
      </c>
      <c r="AL98" s="510" t="s">
        <v>585</v>
      </c>
      <c r="AM98" s="571" t="e">
        <f t="shared" si="82"/>
        <v>#VALUE!</v>
      </c>
      <c r="AN98" s="685"/>
      <c r="AO98" s="572" t="s">
        <v>585</v>
      </c>
      <c r="AP98" s="510" t="s">
        <v>585</v>
      </c>
      <c r="AQ98" s="510" t="s">
        <v>585</v>
      </c>
      <c r="AR98" s="571" t="e">
        <f t="shared" si="84"/>
        <v>#VALUE!</v>
      </c>
      <c r="AS98" s="685"/>
      <c r="AT98" s="571" t="s">
        <v>585</v>
      </c>
      <c r="AU98" s="573" t="s">
        <v>585</v>
      </c>
      <c r="AV98" s="573" t="s">
        <v>585</v>
      </c>
      <c r="AW98" s="571" t="e">
        <f t="shared" si="86"/>
        <v>#VALUE!</v>
      </c>
      <c r="AX98" s="685"/>
      <c r="AZ98" s="368" t="e">
        <f t="shared" si="88"/>
        <v>#N/A</v>
      </c>
      <c r="BA98" s="685"/>
    </row>
    <row r="99" spans="2:53">
      <c r="B99" s="660"/>
      <c r="C99" s="380">
        <v>13</v>
      </c>
      <c r="D99" s="225"/>
      <c r="E99" s="516"/>
      <c r="F99" s="513"/>
      <c r="G99" s="512"/>
      <c r="H99" s="692"/>
      <c r="I99" s="381" t="str">
        <f t="shared" si="71"/>
        <v>-</v>
      </c>
      <c r="J99" s="381" t="str">
        <f t="shared" si="72"/>
        <v>-</v>
      </c>
      <c r="K99" s="199" t="str">
        <f t="shared" si="73"/>
        <v>-</v>
      </c>
      <c r="L99" s="634"/>
      <c r="M99" s="422" t="e">
        <f>RANK(K99, K$87:$K$101)</f>
        <v>#VALUE!</v>
      </c>
      <c r="N99" s="652"/>
      <c r="O99" s="652"/>
      <c r="P99" s="572" t="s">
        <v>585</v>
      </c>
      <c r="Q99" s="510" t="s">
        <v>585</v>
      </c>
      <c r="R99" s="510" t="s">
        <v>585</v>
      </c>
      <c r="S99" s="571" t="e">
        <f t="shared" si="74"/>
        <v>#VALUE!</v>
      </c>
      <c r="T99" s="685"/>
      <c r="U99" s="572" t="s">
        <v>585</v>
      </c>
      <c r="V99" s="510" t="s">
        <v>585</v>
      </c>
      <c r="W99" s="510" t="s">
        <v>585</v>
      </c>
      <c r="X99" s="571" t="e">
        <f t="shared" si="76"/>
        <v>#VALUE!</v>
      </c>
      <c r="Y99" s="685"/>
      <c r="Z99" s="572" t="s">
        <v>585</v>
      </c>
      <c r="AA99" s="510" t="s">
        <v>585</v>
      </c>
      <c r="AB99" s="510" t="s">
        <v>585</v>
      </c>
      <c r="AC99" s="571" t="e">
        <f t="shared" si="78"/>
        <v>#VALUE!</v>
      </c>
      <c r="AD99" s="685"/>
      <c r="AE99" s="572" t="s">
        <v>585</v>
      </c>
      <c r="AF99" s="510" t="s">
        <v>585</v>
      </c>
      <c r="AG99" s="510" t="s">
        <v>585</v>
      </c>
      <c r="AH99" s="571" t="e">
        <f t="shared" si="80"/>
        <v>#VALUE!</v>
      </c>
      <c r="AI99" s="685"/>
      <c r="AJ99" s="572" t="s">
        <v>585</v>
      </c>
      <c r="AK99" s="510" t="s">
        <v>585</v>
      </c>
      <c r="AL99" s="510" t="s">
        <v>585</v>
      </c>
      <c r="AM99" s="571" t="e">
        <f t="shared" si="82"/>
        <v>#VALUE!</v>
      </c>
      <c r="AN99" s="685"/>
      <c r="AO99" s="572" t="s">
        <v>585</v>
      </c>
      <c r="AP99" s="510" t="s">
        <v>585</v>
      </c>
      <c r="AQ99" s="510" t="s">
        <v>585</v>
      </c>
      <c r="AR99" s="571" t="e">
        <f t="shared" si="84"/>
        <v>#VALUE!</v>
      </c>
      <c r="AS99" s="685"/>
      <c r="AT99" s="571" t="s">
        <v>585</v>
      </c>
      <c r="AU99" s="573" t="s">
        <v>585</v>
      </c>
      <c r="AV99" s="573" t="s">
        <v>585</v>
      </c>
      <c r="AW99" s="571" t="e">
        <f t="shared" si="86"/>
        <v>#VALUE!</v>
      </c>
      <c r="AX99" s="685"/>
      <c r="AZ99" s="368" t="e">
        <f t="shared" si="88"/>
        <v>#N/A</v>
      </c>
      <c r="BA99" s="685"/>
    </row>
    <row r="100" spans="2:53">
      <c r="B100" s="660"/>
      <c r="C100" s="380">
        <v>14</v>
      </c>
      <c r="D100" s="225"/>
      <c r="E100" s="516"/>
      <c r="F100" s="513"/>
      <c r="G100" s="512"/>
      <c r="H100" s="692"/>
      <c r="I100" s="381" t="str">
        <f t="shared" si="71"/>
        <v>-</v>
      </c>
      <c r="J100" s="381" t="str">
        <f t="shared" si="72"/>
        <v>-</v>
      </c>
      <c r="K100" s="199" t="str">
        <f t="shared" si="73"/>
        <v>-</v>
      </c>
      <c r="L100" s="634"/>
      <c r="M100" s="422" t="e">
        <f>RANK(K100, K$87:$K$101)</f>
        <v>#VALUE!</v>
      </c>
      <c r="N100" s="652"/>
      <c r="O100" s="652"/>
      <c r="P100" s="572" t="s">
        <v>585</v>
      </c>
      <c r="Q100" s="510" t="s">
        <v>585</v>
      </c>
      <c r="R100" s="510" t="s">
        <v>585</v>
      </c>
      <c r="S100" s="571" t="e">
        <f t="shared" si="74"/>
        <v>#VALUE!</v>
      </c>
      <c r="T100" s="685"/>
      <c r="U100" s="572" t="s">
        <v>585</v>
      </c>
      <c r="V100" s="510" t="s">
        <v>585</v>
      </c>
      <c r="W100" s="510" t="s">
        <v>585</v>
      </c>
      <c r="X100" s="571" t="e">
        <f t="shared" si="76"/>
        <v>#VALUE!</v>
      </c>
      <c r="Y100" s="685"/>
      <c r="Z100" s="572" t="s">
        <v>585</v>
      </c>
      <c r="AA100" s="510" t="s">
        <v>585</v>
      </c>
      <c r="AB100" s="510" t="s">
        <v>585</v>
      </c>
      <c r="AC100" s="571" t="e">
        <f t="shared" si="78"/>
        <v>#VALUE!</v>
      </c>
      <c r="AD100" s="685"/>
      <c r="AE100" s="572" t="s">
        <v>585</v>
      </c>
      <c r="AF100" s="510" t="s">
        <v>585</v>
      </c>
      <c r="AG100" s="510" t="s">
        <v>585</v>
      </c>
      <c r="AH100" s="571" t="e">
        <f t="shared" si="80"/>
        <v>#VALUE!</v>
      </c>
      <c r="AI100" s="685"/>
      <c r="AJ100" s="572" t="s">
        <v>585</v>
      </c>
      <c r="AK100" s="510" t="s">
        <v>585</v>
      </c>
      <c r="AL100" s="510" t="s">
        <v>585</v>
      </c>
      <c r="AM100" s="571" t="e">
        <f t="shared" si="82"/>
        <v>#VALUE!</v>
      </c>
      <c r="AN100" s="685"/>
      <c r="AO100" s="572" t="s">
        <v>585</v>
      </c>
      <c r="AP100" s="510" t="s">
        <v>585</v>
      </c>
      <c r="AQ100" s="510" t="s">
        <v>585</v>
      </c>
      <c r="AR100" s="571" t="e">
        <f t="shared" si="84"/>
        <v>#VALUE!</v>
      </c>
      <c r="AS100" s="685"/>
      <c r="AT100" s="571" t="s">
        <v>585</v>
      </c>
      <c r="AU100" s="573" t="s">
        <v>585</v>
      </c>
      <c r="AV100" s="573" t="s">
        <v>585</v>
      </c>
      <c r="AW100" s="571" t="e">
        <f t="shared" si="86"/>
        <v>#VALUE!</v>
      </c>
      <c r="AX100" s="685"/>
      <c r="AZ100" s="368" t="e">
        <f t="shared" si="88"/>
        <v>#N/A</v>
      </c>
      <c r="BA100" s="685"/>
    </row>
    <row r="101" spans="2:53">
      <c r="B101" s="660"/>
      <c r="C101" s="380">
        <v>15</v>
      </c>
      <c r="D101" s="225"/>
      <c r="E101" s="516"/>
      <c r="F101" s="513"/>
      <c r="G101" s="512"/>
      <c r="H101" s="696"/>
      <c r="I101" s="380"/>
      <c r="J101" s="380"/>
      <c r="K101" s="380"/>
      <c r="L101" s="635"/>
      <c r="M101" s="422" t="e">
        <f>RANK(K101, K$87:$K$101)</f>
        <v>#N/A</v>
      </c>
      <c r="N101" s="652"/>
      <c r="O101" s="652"/>
      <c r="P101" s="572" t="s">
        <v>585</v>
      </c>
      <c r="Q101" s="510" t="s">
        <v>585</v>
      </c>
      <c r="R101" s="510" t="s">
        <v>585</v>
      </c>
      <c r="S101" s="571" t="e">
        <f t="shared" si="74"/>
        <v>#VALUE!</v>
      </c>
      <c r="T101" s="685"/>
      <c r="U101" s="572" t="s">
        <v>585</v>
      </c>
      <c r="V101" s="510" t="s">
        <v>585</v>
      </c>
      <c r="W101" s="510" t="s">
        <v>585</v>
      </c>
      <c r="X101" s="571" t="e">
        <f t="shared" si="76"/>
        <v>#VALUE!</v>
      </c>
      <c r="Y101" s="685"/>
      <c r="Z101" s="572" t="s">
        <v>585</v>
      </c>
      <c r="AA101" s="510" t="s">
        <v>585</v>
      </c>
      <c r="AB101" s="510" t="s">
        <v>585</v>
      </c>
      <c r="AC101" s="571" t="e">
        <f t="shared" si="78"/>
        <v>#VALUE!</v>
      </c>
      <c r="AD101" s="685"/>
      <c r="AE101" s="572" t="s">
        <v>585</v>
      </c>
      <c r="AF101" s="510" t="s">
        <v>585</v>
      </c>
      <c r="AG101" s="510" t="s">
        <v>585</v>
      </c>
      <c r="AH101" s="571" t="e">
        <f t="shared" si="80"/>
        <v>#VALUE!</v>
      </c>
      <c r="AI101" s="685"/>
      <c r="AJ101" s="572" t="s">
        <v>585</v>
      </c>
      <c r="AK101" s="510" t="s">
        <v>585</v>
      </c>
      <c r="AL101" s="510" t="s">
        <v>585</v>
      </c>
      <c r="AM101" s="571" t="e">
        <f t="shared" si="82"/>
        <v>#VALUE!</v>
      </c>
      <c r="AN101" s="685"/>
      <c r="AO101" s="572" t="s">
        <v>585</v>
      </c>
      <c r="AP101" s="510" t="s">
        <v>585</v>
      </c>
      <c r="AQ101" s="510" t="s">
        <v>585</v>
      </c>
      <c r="AR101" s="571" t="e">
        <f t="shared" si="84"/>
        <v>#VALUE!</v>
      </c>
      <c r="AS101" s="685"/>
      <c r="AT101" s="571" t="s">
        <v>585</v>
      </c>
      <c r="AU101" s="573" t="s">
        <v>585</v>
      </c>
      <c r="AV101" s="573" t="s">
        <v>585</v>
      </c>
      <c r="AW101" s="571" t="e">
        <f t="shared" si="86"/>
        <v>#VALUE!</v>
      </c>
      <c r="AX101" s="685"/>
      <c r="AZ101" s="368" t="e">
        <f t="shared" si="88"/>
        <v>#N/A</v>
      </c>
      <c r="BA101" s="685"/>
    </row>
    <row r="102" spans="2:53" ht="15.75">
      <c r="B102" s="664" t="s">
        <v>162</v>
      </c>
      <c r="C102" s="665"/>
      <c r="D102" s="665"/>
      <c r="E102" s="665"/>
      <c r="F102" s="665"/>
      <c r="G102" s="665"/>
      <c r="H102" s="666"/>
      <c r="I102" s="207"/>
      <c r="J102" s="207"/>
      <c r="K102" s="207"/>
      <c r="L102" s="207"/>
      <c r="M102" s="206"/>
      <c r="N102" s="653" t="s">
        <v>156</v>
      </c>
      <c r="O102" s="653" t="s">
        <v>105</v>
      </c>
      <c r="P102" s="659">
        <f>P82+7</f>
        <v>46266</v>
      </c>
      <c r="Q102" s="660"/>
      <c r="R102" s="660"/>
      <c r="S102" s="660"/>
      <c r="T102" s="660"/>
      <c r="U102" s="656">
        <f>P102+1</f>
        <v>46267</v>
      </c>
      <c r="V102" s="657"/>
      <c r="W102" s="657"/>
      <c r="X102" s="657"/>
      <c r="Y102" s="658"/>
      <c r="Z102" s="656">
        <f>U102+1</f>
        <v>46268</v>
      </c>
      <c r="AA102" s="657"/>
      <c r="AB102" s="657"/>
      <c r="AC102" s="657"/>
      <c r="AD102" s="658"/>
      <c r="AE102" s="656">
        <f>Z102+1</f>
        <v>46269</v>
      </c>
      <c r="AF102" s="657"/>
      <c r="AG102" s="657"/>
      <c r="AH102" s="657"/>
      <c r="AI102" s="658"/>
      <c r="AJ102" s="656">
        <f>AE102+1</f>
        <v>46270</v>
      </c>
      <c r="AK102" s="657"/>
      <c r="AL102" s="657"/>
      <c r="AM102" s="657"/>
      <c r="AN102" s="658"/>
      <c r="AO102" s="656">
        <f>AJ102+1</f>
        <v>46271</v>
      </c>
      <c r="AP102" s="657"/>
      <c r="AQ102" s="657"/>
      <c r="AR102" s="657"/>
      <c r="AS102" s="658"/>
      <c r="AT102" s="656">
        <f>AO102+1</f>
        <v>46272</v>
      </c>
      <c r="AU102" s="657"/>
      <c r="AV102" s="657"/>
      <c r="AW102" s="657"/>
      <c r="AX102" s="658"/>
    </row>
    <row r="103" spans="2:53" ht="15.75">
      <c r="B103" s="667"/>
      <c r="C103" s="667"/>
      <c r="D103" s="667"/>
      <c r="E103" s="667"/>
      <c r="F103" s="667"/>
      <c r="G103" s="667"/>
      <c r="H103" s="667"/>
      <c r="I103" s="204"/>
      <c r="J103" s="204"/>
      <c r="K103" s="204"/>
      <c r="L103" s="204"/>
      <c r="M103" s="205"/>
      <c r="N103" s="655"/>
      <c r="O103" s="655"/>
      <c r="P103" s="659" t="s">
        <v>158</v>
      </c>
      <c r="Q103" s="660"/>
      <c r="R103" s="660"/>
      <c r="S103" s="660"/>
      <c r="T103" s="660"/>
      <c r="U103" s="659" t="s">
        <v>114</v>
      </c>
      <c r="V103" s="660"/>
      <c r="W103" s="660"/>
      <c r="X103" s="660"/>
      <c r="Y103" s="660"/>
      <c r="Z103" s="659" t="s">
        <v>159</v>
      </c>
      <c r="AA103" s="660"/>
      <c r="AB103" s="660"/>
      <c r="AC103" s="660"/>
      <c r="AD103" s="660"/>
      <c r="AE103" s="659" t="s">
        <v>157</v>
      </c>
      <c r="AF103" s="660"/>
      <c r="AG103" s="660"/>
      <c r="AH103" s="660"/>
      <c r="AI103" s="660"/>
      <c r="AJ103" s="659" t="s">
        <v>160</v>
      </c>
      <c r="AK103" s="660"/>
      <c r="AL103" s="660"/>
      <c r="AM103" s="660"/>
      <c r="AN103" s="660"/>
      <c r="AO103" s="659" t="s">
        <v>115</v>
      </c>
      <c r="AP103" s="660"/>
      <c r="AQ103" s="660"/>
      <c r="AR103" s="660"/>
      <c r="AS103" s="660"/>
      <c r="AT103" s="659" t="s">
        <v>161</v>
      </c>
      <c r="AU103" s="660"/>
      <c r="AV103" s="660"/>
      <c r="AW103" s="660"/>
      <c r="AX103" s="660"/>
    </row>
    <row r="104" spans="2:53">
      <c r="B104" s="652" t="s">
        <v>531</v>
      </c>
      <c r="C104" s="652" t="s">
        <v>532</v>
      </c>
      <c r="D104" s="652"/>
      <c r="E104" s="652" t="s">
        <v>533</v>
      </c>
      <c r="F104" s="652"/>
      <c r="G104" s="652"/>
      <c r="H104" s="668" t="s">
        <v>534</v>
      </c>
      <c r="I104" s="652" t="s">
        <v>535</v>
      </c>
      <c r="J104" s="652"/>
      <c r="K104" s="652"/>
      <c r="L104" s="668" t="s">
        <v>366</v>
      </c>
      <c r="M104" s="653" t="s">
        <v>536</v>
      </c>
      <c r="N104" s="652"/>
      <c r="O104" s="652" t="s">
        <v>522</v>
      </c>
      <c r="P104" s="649" t="s">
        <v>523</v>
      </c>
      <c r="Q104" s="650"/>
      <c r="R104" s="650"/>
      <c r="S104" s="651"/>
      <c r="T104" s="652" t="s">
        <v>519</v>
      </c>
      <c r="U104" s="649" t="s">
        <v>523</v>
      </c>
      <c r="V104" s="650"/>
      <c r="W104" s="650"/>
      <c r="X104" s="651"/>
      <c r="Y104" s="652" t="s">
        <v>519</v>
      </c>
      <c r="Z104" s="649" t="s">
        <v>523</v>
      </c>
      <c r="AA104" s="650"/>
      <c r="AB104" s="650"/>
      <c r="AC104" s="651"/>
      <c r="AD104" s="652" t="s">
        <v>519</v>
      </c>
      <c r="AE104" s="649" t="s">
        <v>523</v>
      </c>
      <c r="AF104" s="650"/>
      <c r="AG104" s="650"/>
      <c r="AH104" s="651"/>
      <c r="AI104" s="652" t="s">
        <v>519</v>
      </c>
      <c r="AJ104" s="649" t="s">
        <v>523</v>
      </c>
      <c r="AK104" s="650"/>
      <c r="AL104" s="650"/>
      <c r="AM104" s="651"/>
      <c r="AN104" s="652" t="s">
        <v>519</v>
      </c>
      <c r="AO104" s="649" t="s">
        <v>523</v>
      </c>
      <c r="AP104" s="650"/>
      <c r="AQ104" s="650"/>
      <c r="AR104" s="651"/>
      <c r="AS104" s="652" t="s">
        <v>519</v>
      </c>
      <c r="AT104" s="649" t="s">
        <v>523</v>
      </c>
      <c r="AU104" s="650"/>
      <c r="AV104" s="650"/>
      <c r="AW104" s="651"/>
      <c r="AX104" s="652" t="s">
        <v>519</v>
      </c>
      <c r="BA104" s="652" t="s">
        <v>366</v>
      </c>
    </row>
    <row r="105" spans="2:53">
      <c r="B105" s="652"/>
      <c r="C105" s="652"/>
      <c r="D105" s="652"/>
      <c r="E105" s="652" t="s">
        <v>538</v>
      </c>
      <c r="F105" s="652"/>
      <c r="G105" s="652"/>
      <c r="H105" s="669"/>
      <c r="I105" s="652" t="s">
        <v>538</v>
      </c>
      <c r="J105" s="652"/>
      <c r="K105" s="652"/>
      <c r="L105" s="669"/>
      <c r="M105" s="654"/>
      <c r="N105" s="652"/>
      <c r="O105" s="652"/>
      <c r="P105" s="649" t="s">
        <v>525</v>
      </c>
      <c r="Q105" s="650"/>
      <c r="R105" s="650"/>
      <c r="S105" s="651"/>
      <c r="T105" s="652"/>
      <c r="U105" s="649" t="s">
        <v>525</v>
      </c>
      <c r="V105" s="650"/>
      <c r="W105" s="650"/>
      <c r="X105" s="651"/>
      <c r="Y105" s="652"/>
      <c r="Z105" s="649" t="s">
        <v>525</v>
      </c>
      <c r="AA105" s="650"/>
      <c r="AB105" s="650"/>
      <c r="AC105" s="651"/>
      <c r="AD105" s="652"/>
      <c r="AE105" s="649" t="s">
        <v>525</v>
      </c>
      <c r="AF105" s="650"/>
      <c r="AG105" s="650"/>
      <c r="AH105" s="651"/>
      <c r="AI105" s="652"/>
      <c r="AJ105" s="649" t="s">
        <v>525</v>
      </c>
      <c r="AK105" s="650"/>
      <c r="AL105" s="650"/>
      <c r="AM105" s="651"/>
      <c r="AN105" s="652"/>
      <c r="AO105" s="649" t="s">
        <v>525</v>
      </c>
      <c r="AP105" s="650"/>
      <c r="AQ105" s="650"/>
      <c r="AR105" s="651"/>
      <c r="AS105" s="652"/>
      <c r="AT105" s="649" t="s">
        <v>525</v>
      </c>
      <c r="AU105" s="650"/>
      <c r="AV105" s="650"/>
      <c r="AW105" s="651"/>
      <c r="AX105" s="652"/>
      <c r="BA105" s="652"/>
    </row>
    <row r="106" spans="2:53">
      <c r="B106" s="652"/>
      <c r="C106" s="652"/>
      <c r="D106" s="652"/>
      <c r="E106" s="345" t="s">
        <v>539</v>
      </c>
      <c r="F106" s="345" t="s">
        <v>540</v>
      </c>
      <c r="G106" s="345" t="s">
        <v>541</v>
      </c>
      <c r="H106" s="670"/>
      <c r="I106" s="345" t="s">
        <v>539</v>
      </c>
      <c r="J106" s="345" t="s">
        <v>540</v>
      </c>
      <c r="K106" s="345" t="s">
        <v>541</v>
      </c>
      <c r="L106" s="670"/>
      <c r="M106" s="655"/>
      <c r="N106" s="652"/>
      <c r="O106" s="652"/>
      <c r="P106" s="345" t="s">
        <v>526</v>
      </c>
      <c r="Q106" s="345" t="s">
        <v>527</v>
      </c>
      <c r="R106" s="345" t="s">
        <v>528</v>
      </c>
      <c r="S106" s="345" t="s">
        <v>521</v>
      </c>
      <c r="T106" s="652"/>
      <c r="U106" s="345" t="s">
        <v>526</v>
      </c>
      <c r="V106" s="345" t="s">
        <v>527</v>
      </c>
      <c r="W106" s="345" t="s">
        <v>528</v>
      </c>
      <c r="X106" s="345" t="s">
        <v>521</v>
      </c>
      <c r="Y106" s="652"/>
      <c r="Z106" s="345" t="s">
        <v>526</v>
      </c>
      <c r="AA106" s="345" t="s">
        <v>527</v>
      </c>
      <c r="AB106" s="345" t="s">
        <v>528</v>
      </c>
      <c r="AC106" s="345" t="s">
        <v>521</v>
      </c>
      <c r="AD106" s="652"/>
      <c r="AE106" s="345" t="s">
        <v>526</v>
      </c>
      <c r="AF106" s="345" t="s">
        <v>527</v>
      </c>
      <c r="AG106" s="345" t="s">
        <v>528</v>
      </c>
      <c r="AH106" s="345" t="s">
        <v>521</v>
      </c>
      <c r="AI106" s="652"/>
      <c r="AJ106" s="345" t="s">
        <v>526</v>
      </c>
      <c r="AK106" s="345" t="s">
        <v>527</v>
      </c>
      <c r="AL106" s="345" t="s">
        <v>528</v>
      </c>
      <c r="AM106" s="345" t="s">
        <v>521</v>
      </c>
      <c r="AN106" s="652"/>
      <c r="AO106" s="345" t="s">
        <v>526</v>
      </c>
      <c r="AP106" s="345" t="s">
        <v>527</v>
      </c>
      <c r="AQ106" s="345" t="s">
        <v>528</v>
      </c>
      <c r="AR106" s="345" t="s">
        <v>521</v>
      </c>
      <c r="AS106" s="652"/>
      <c r="AT106" s="345" t="s">
        <v>526</v>
      </c>
      <c r="AU106" s="345" t="s">
        <v>527</v>
      </c>
      <c r="AV106" s="345" t="s">
        <v>528</v>
      </c>
      <c r="AW106" s="345" t="s">
        <v>521</v>
      </c>
      <c r="AX106" s="652"/>
      <c r="AZ106" s="367" t="s">
        <v>521</v>
      </c>
      <c r="BA106" s="652"/>
    </row>
    <row r="107" spans="2:53">
      <c r="B107" s="652" t="s">
        <v>136</v>
      </c>
      <c r="C107" s="348">
        <v>1</v>
      </c>
      <c r="D107" s="225"/>
      <c r="E107" s="181"/>
      <c r="F107" s="353"/>
      <c r="G107" s="354"/>
      <c r="H107" s="691" t="e">
        <f>AVERAGE(G107:G121)</f>
        <v>#DIV/0!</v>
      </c>
      <c r="I107" s="363" t="str">
        <f t="shared" ref="I107:I120" si="90">IFERROR(AVERAGE(P107,U107,Z107,AE107,AJ107,AO107,AT107),"-")</f>
        <v>-</v>
      </c>
      <c r="J107" s="363" t="str">
        <f t="shared" ref="J107:J120" si="91">IFERROR(AVERAGE(Q107,V107,AA107,AF107,AK107,AP107,AU107),"-")</f>
        <v>-</v>
      </c>
      <c r="K107" s="199" t="str">
        <f t="shared" ref="K107:K120" si="92">IFERROR(AVERAGE(R107,W107,AB107,AG107,AL107,AQ107,AV107),"-")</f>
        <v>-</v>
      </c>
      <c r="L107" s="633" t="str">
        <f>IFERROR(AVERAGE(K107:K121),"-")</f>
        <v>-</v>
      </c>
      <c r="M107" s="349" t="e">
        <f>RANK(K107, K$67:$K$81)</f>
        <v>#VALUE!</v>
      </c>
      <c r="N107" s="652"/>
      <c r="O107" s="652"/>
      <c r="P107" s="507"/>
      <c r="Q107" s="509"/>
      <c r="R107" s="509"/>
      <c r="S107" s="507"/>
      <c r="T107" s="685"/>
      <c r="U107" s="507"/>
      <c r="V107" s="509"/>
      <c r="W107" s="509"/>
      <c r="X107" s="507"/>
      <c r="Y107" s="685"/>
      <c r="Z107" s="507"/>
      <c r="AA107" s="509"/>
      <c r="AB107" s="509"/>
      <c r="AC107" s="507"/>
      <c r="AD107" s="685"/>
      <c r="AE107" s="507"/>
      <c r="AF107" s="509"/>
      <c r="AG107" s="509"/>
      <c r="AH107" s="507"/>
      <c r="AI107" s="685"/>
      <c r="AJ107" s="507"/>
      <c r="AK107" s="509"/>
      <c r="AL107" s="509"/>
      <c r="AM107" s="507"/>
      <c r="AN107" s="685"/>
      <c r="AO107" s="507"/>
      <c r="AP107" s="509"/>
      <c r="AQ107" s="509"/>
      <c r="AR107" s="507"/>
      <c r="AS107" s="685"/>
      <c r="AT107" s="507"/>
      <c r="AU107" s="509"/>
      <c r="AV107" s="509"/>
      <c r="AW107" s="507"/>
      <c r="AX107" s="685"/>
      <c r="AZ107" s="369" t="e">
        <f>RANK(AY107, AY$67:AY$81)</f>
        <v>#N/A</v>
      </c>
      <c r="BA107" s="710" t="e">
        <f>AVERAGE(AY107:AY121)</f>
        <v>#DIV/0!</v>
      </c>
    </row>
    <row r="108" spans="2:53">
      <c r="B108" s="680"/>
      <c r="C108" s="348">
        <v>2</v>
      </c>
      <c r="D108" s="225"/>
      <c r="E108" s="181"/>
      <c r="F108" s="353"/>
      <c r="G108" s="354"/>
      <c r="H108" s="692"/>
      <c r="I108" s="363" t="str">
        <f t="shared" si="90"/>
        <v>-</v>
      </c>
      <c r="J108" s="363" t="str">
        <f t="shared" si="91"/>
        <v>-</v>
      </c>
      <c r="K108" s="199" t="str">
        <f t="shared" si="92"/>
        <v>-</v>
      </c>
      <c r="L108" s="634"/>
      <c r="M108" s="349" t="e">
        <f>RANK(K108, K$67:$K$81)</f>
        <v>#VALUE!</v>
      </c>
      <c r="N108" s="652"/>
      <c r="O108" s="652"/>
      <c r="P108" s="507"/>
      <c r="Q108" s="509"/>
      <c r="R108" s="509"/>
      <c r="S108" s="507"/>
      <c r="T108" s="685"/>
      <c r="U108" s="507"/>
      <c r="V108" s="509"/>
      <c r="W108" s="509"/>
      <c r="X108" s="507"/>
      <c r="Y108" s="685"/>
      <c r="Z108" s="507"/>
      <c r="AA108" s="509"/>
      <c r="AB108" s="509"/>
      <c r="AC108" s="507"/>
      <c r="AD108" s="685"/>
      <c r="AE108" s="507"/>
      <c r="AF108" s="509"/>
      <c r="AG108" s="509"/>
      <c r="AH108" s="507"/>
      <c r="AI108" s="685"/>
      <c r="AJ108" s="507"/>
      <c r="AK108" s="509"/>
      <c r="AL108" s="509"/>
      <c r="AM108" s="507"/>
      <c r="AN108" s="685"/>
      <c r="AO108" s="507"/>
      <c r="AP108" s="509"/>
      <c r="AQ108" s="509"/>
      <c r="AR108" s="507"/>
      <c r="AS108" s="685"/>
      <c r="AT108" s="507"/>
      <c r="AU108" s="509"/>
      <c r="AV108" s="509"/>
      <c r="AW108" s="507"/>
      <c r="AX108" s="685"/>
      <c r="AZ108" s="369" t="e">
        <f t="shared" ref="AZ108:AZ121" si="93">RANK(AY108, AY$67:AY$81)</f>
        <v>#N/A</v>
      </c>
      <c r="BA108" s="710"/>
    </row>
    <row r="109" spans="2:53">
      <c r="B109" s="680"/>
      <c r="C109" s="348">
        <v>3</v>
      </c>
      <c r="D109" s="225"/>
      <c r="E109" s="181"/>
      <c r="F109" s="353"/>
      <c r="G109" s="354"/>
      <c r="H109" s="692"/>
      <c r="I109" s="363" t="str">
        <f t="shared" si="90"/>
        <v>-</v>
      </c>
      <c r="J109" s="363" t="str">
        <f t="shared" si="91"/>
        <v>-</v>
      </c>
      <c r="K109" s="199" t="str">
        <f t="shared" si="92"/>
        <v>-</v>
      </c>
      <c r="L109" s="634"/>
      <c r="M109" s="349" t="e">
        <f>RANK(K109, K$67:$K$81)</f>
        <v>#VALUE!</v>
      </c>
      <c r="N109" s="652"/>
      <c r="O109" s="652"/>
      <c r="P109" s="507"/>
      <c r="Q109" s="509"/>
      <c r="R109" s="509"/>
      <c r="S109" s="507"/>
      <c r="T109" s="685"/>
      <c r="U109" s="507"/>
      <c r="V109" s="509"/>
      <c r="W109" s="509"/>
      <c r="X109" s="507"/>
      <c r="Y109" s="685"/>
      <c r="Z109" s="507"/>
      <c r="AA109" s="509"/>
      <c r="AB109" s="509"/>
      <c r="AC109" s="507"/>
      <c r="AD109" s="685"/>
      <c r="AE109" s="507"/>
      <c r="AF109" s="509"/>
      <c r="AG109" s="509"/>
      <c r="AH109" s="507"/>
      <c r="AI109" s="685"/>
      <c r="AJ109" s="507"/>
      <c r="AK109" s="509"/>
      <c r="AL109" s="509"/>
      <c r="AM109" s="507"/>
      <c r="AN109" s="685"/>
      <c r="AO109" s="507"/>
      <c r="AP109" s="509"/>
      <c r="AQ109" s="509"/>
      <c r="AR109" s="507"/>
      <c r="AS109" s="685"/>
      <c r="AT109" s="507"/>
      <c r="AU109" s="509"/>
      <c r="AV109" s="509"/>
      <c r="AW109" s="507"/>
      <c r="AX109" s="685"/>
      <c r="AZ109" s="369" t="e">
        <f t="shared" si="93"/>
        <v>#N/A</v>
      </c>
      <c r="BA109" s="710"/>
    </row>
    <row r="110" spans="2:53">
      <c r="B110" s="680"/>
      <c r="C110" s="348">
        <v>4</v>
      </c>
      <c r="D110" s="225"/>
      <c r="E110" s="181"/>
      <c r="F110" s="353"/>
      <c r="G110" s="354"/>
      <c r="H110" s="692"/>
      <c r="I110" s="363" t="str">
        <f t="shared" si="90"/>
        <v>-</v>
      </c>
      <c r="J110" s="363" t="str">
        <f t="shared" si="91"/>
        <v>-</v>
      </c>
      <c r="K110" s="199" t="str">
        <f t="shared" si="92"/>
        <v>-</v>
      </c>
      <c r="L110" s="634"/>
      <c r="M110" s="349" t="e">
        <f>RANK(K110, K$67:$K$81)</f>
        <v>#VALUE!</v>
      </c>
      <c r="N110" s="652"/>
      <c r="O110" s="652"/>
      <c r="P110" s="507"/>
      <c r="Q110" s="509"/>
      <c r="R110" s="509"/>
      <c r="S110" s="507"/>
      <c r="T110" s="685"/>
      <c r="U110" s="507"/>
      <c r="V110" s="509"/>
      <c r="W110" s="509"/>
      <c r="X110" s="507"/>
      <c r="Y110" s="685"/>
      <c r="Z110" s="507"/>
      <c r="AA110" s="509"/>
      <c r="AB110" s="509"/>
      <c r="AC110" s="507"/>
      <c r="AD110" s="685"/>
      <c r="AE110" s="507"/>
      <c r="AF110" s="509"/>
      <c r="AG110" s="509"/>
      <c r="AH110" s="507"/>
      <c r="AI110" s="685"/>
      <c r="AJ110" s="507"/>
      <c r="AK110" s="509"/>
      <c r="AL110" s="509"/>
      <c r="AM110" s="507"/>
      <c r="AN110" s="685"/>
      <c r="AO110" s="507"/>
      <c r="AP110" s="509"/>
      <c r="AQ110" s="509"/>
      <c r="AR110" s="507"/>
      <c r="AS110" s="685"/>
      <c r="AT110" s="507"/>
      <c r="AU110" s="509"/>
      <c r="AV110" s="509"/>
      <c r="AW110" s="507"/>
      <c r="AX110" s="685"/>
      <c r="AZ110" s="369" t="e">
        <f t="shared" si="93"/>
        <v>#N/A</v>
      </c>
      <c r="BA110" s="710"/>
    </row>
    <row r="111" spans="2:53">
      <c r="B111" s="680"/>
      <c r="C111" s="348">
        <v>5</v>
      </c>
      <c r="D111" s="225"/>
      <c r="E111" s="181"/>
      <c r="F111" s="353"/>
      <c r="G111" s="354"/>
      <c r="H111" s="692"/>
      <c r="I111" s="363" t="str">
        <f t="shared" si="90"/>
        <v>-</v>
      </c>
      <c r="J111" s="363" t="str">
        <f t="shared" si="91"/>
        <v>-</v>
      </c>
      <c r="K111" s="199" t="str">
        <f t="shared" si="92"/>
        <v>-</v>
      </c>
      <c r="L111" s="634"/>
      <c r="M111" s="349" t="e">
        <f>RANK(K111, K$67:$K$81)</f>
        <v>#VALUE!</v>
      </c>
      <c r="N111" s="652"/>
      <c r="O111" s="652"/>
      <c r="P111" s="507"/>
      <c r="Q111" s="509"/>
      <c r="R111" s="509"/>
      <c r="S111" s="507"/>
      <c r="T111" s="685"/>
      <c r="U111" s="507"/>
      <c r="V111" s="509"/>
      <c r="W111" s="509"/>
      <c r="X111" s="507"/>
      <c r="Y111" s="685"/>
      <c r="Z111" s="507"/>
      <c r="AA111" s="509"/>
      <c r="AB111" s="509"/>
      <c r="AC111" s="507"/>
      <c r="AD111" s="685"/>
      <c r="AE111" s="507"/>
      <c r="AF111" s="509"/>
      <c r="AG111" s="509"/>
      <c r="AH111" s="507"/>
      <c r="AI111" s="685"/>
      <c r="AJ111" s="507"/>
      <c r="AK111" s="509"/>
      <c r="AL111" s="509"/>
      <c r="AM111" s="507"/>
      <c r="AN111" s="685"/>
      <c r="AO111" s="507"/>
      <c r="AP111" s="509"/>
      <c r="AQ111" s="509"/>
      <c r="AR111" s="507"/>
      <c r="AS111" s="685"/>
      <c r="AT111" s="507"/>
      <c r="AU111" s="509"/>
      <c r="AV111" s="509"/>
      <c r="AW111" s="507"/>
      <c r="AX111" s="685"/>
      <c r="AZ111" s="369" t="e">
        <f t="shared" si="93"/>
        <v>#N/A</v>
      </c>
      <c r="BA111" s="710"/>
    </row>
    <row r="112" spans="2:53">
      <c r="B112" s="680"/>
      <c r="C112" s="348">
        <v>6</v>
      </c>
      <c r="D112" s="225"/>
      <c r="E112" s="181"/>
      <c r="F112" s="353"/>
      <c r="G112" s="354"/>
      <c r="H112" s="692"/>
      <c r="I112" s="363" t="str">
        <f t="shared" si="90"/>
        <v>-</v>
      </c>
      <c r="J112" s="363" t="str">
        <f t="shared" si="91"/>
        <v>-</v>
      </c>
      <c r="K112" s="199" t="str">
        <f t="shared" si="92"/>
        <v>-</v>
      </c>
      <c r="L112" s="634"/>
      <c r="M112" s="349" t="e">
        <f>RANK(K112, K$67:$K$81)</f>
        <v>#VALUE!</v>
      </c>
      <c r="N112" s="652"/>
      <c r="O112" s="652"/>
      <c r="P112" s="507"/>
      <c r="Q112" s="509"/>
      <c r="R112" s="509"/>
      <c r="S112" s="507"/>
      <c r="T112" s="685"/>
      <c r="U112" s="507"/>
      <c r="V112" s="509"/>
      <c r="W112" s="509"/>
      <c r="X112" s="507"/>
      <c r="Y112" s="685"/>
      <c r="Z112" s="507"/>
      <c r="AA112" s="509"/>
      <c r="AB112" s="509"/>
      <c r="AC112" s="507"/>
      <c r="AD112" s="685"/>
      <c r="AE112" s="507"/>
      <c r="AF112" s="509"/>
      <c r="AG112" s="509"/>
      <c r="AH112" s="507"/>
      <c r="AI112" s="685"/>
      <c r="AJ112" s="507"/>
      <c r="AK112" s="509"/>
      <c r="AL112" s="509"/>
      <c r="AM112" s="507"/>
      <c r="AN112" s="685"/>
      <c r="AO112" s="507"/>
      <c r="AP112" s="509"/>
      <c r="AQ112" s="509"/>
      <c r="AR112" s="507"/>
      <c r="AS112" s="685"/>
      <c r="AT112" s="507"/>
      <c r="AU112" s="509"/>
      <c r="AV112" s="509"/>
      <c r="AW112" s="507"/>
      <c r="AX112" s="685"/>
      <c r="AZ112" s="369" t="e">
        <f t="shared" si="93"/>
        <v>#N/A</v>
      </c>
      <c r="BA112" s="710"/>
    </row>
    <row r="113" spans="2:53">
      <c r="B113" s="680"/>
      <c r="C113" s="348">
        <v>7</v>
      </c>
      <c r="D113" s="225"/>
      <c r="E113" s="181"/>
      <c r="F113" s="353"/>
      <c r="G113" s="354"/>
      <c r="H113" s="692"/>
      <c r="I113" s="363" t="str">
        <f t="shared" si="90"/>
        <v>-</v>
      </c>
      <c r="J113" s="363" t="str">
        <f t="shared" si="91"/>
        <v>-</v>
      </c>
      <c r="K113" s="199" t="str">
        <f t="shared" si="92"/>
        <v>-</v>
      </c>
      <c r="L113" s="634"/>
      <c r="M113" s="349" t="e">
        <f>RANK(K113, K$67:$K$81)</f>
        <v>#VALUE!</v>
      </c>
      <c r="N113" s="652"/>
      <c r="O113" s="652"/>
      <c r="P113" s="507"/>
      <c r="Q113" s="509"/>
      <c r="R113" s="509"/>
      <c r="S113" s="507"/>
      <c r="T113" s="685"/>
      <c r="U113" s="507"/>
      <c r="V113" s="509"/>
      <c r="W113" s="509"/>
      <c r="X113" s="507"/>
      <c r="Y113" s="685"/>
      <c r="Z113" s="507"/>
      <c r="AA113" s="509"/>
      <c r="AB113" s="509"/>
      <c r="AC113" s="507"/>
      <c r="AD113" s="685"/>
      <c r="AE113" s="507"/>
      <c r="AF113" s="509"/>
      <c r="AG113" s="509"/>
      <c r="AH113" s="507"/>
      <c r="AI113" s="685"/>
      <c r="AJ113" s="507"/>
      <c r="AK113" s="509"/>
      <c r="AL113" s="509"/>
      <c r="AM113" s="507"/>
      <c r="AN113" s="685"/>
      <c r="AO113" s="507"/>
      <c r="AP113" s="509"/>
      <c r="AQ113" s="509"/>
      <c r="AR113" s="507"/>
      <c r="AS113" s="685"/>
      <c r="AT113" s="507"/>
      <c r="AU113" s="509"/>
      <c r="AV113" s="509"/>
      <c r="AW113" s="507"/>
      <c r="AX113" s="685"/>
      <c r="AZ113" s="369" t="e">
        <f t="shared" si="93"/>
        <v>#N/A</v>
      </c>
      <c r="BA113" s="710"/>
    </row>
    <row r="114" spans="2:53">
      <c r="B114" s="680"/>
      <c r="C114" s="348">
        <v>8</v>
      </c>
      <c r="D114" s="225"/>
      <c r="E114" s="181"/>
      <c r="F114" s="353"/>
      <c r="G114" s="354"/>
      <c r="H114" s="692"/>
      <c r="I114" s="363" t="str">
        <f t="shared" si="90"/>
        <v>-</v>
      </c>
      <c r="J114" s="363" t="str">
        <f t="shared" si="91"/>
        <v>-</v>
      </c>
      <c r="K114" s="199" t="str">
        <f t="shared" si="92"/>
        <v>-</v>
      </c>
      <c r="L114" s="634"/>
      <c r="M114" s="349" t="e">
        <f>RANK(K114, K$67:$K$81)</f>
        <v>#VALUE!</v>
      </c>
      <c r="N114" s="652"/>
      <c r="O114" s="652"/>
      <c r="P114" s="507"/>
      <c r="Q114" s="509"/>
      <c r="R114" s="509"/>
      <c r="S114" s="507"/>
      <c r="T114" s="685"/>
      <c r="U114" s="507"/>
      <c r="V114" s="509"/>
      <c r="W114" s="509"/>
      <c r="X114" s="507"/>
      <c r="Y114" s="685"/>
      <c r="Z114" s="507"/>
      <c r="AA114" s="509"/>
      <c r="AB114" s="509"/>
      <c r="AC114" s="507"/>
      <c r="AD114" s="685"/>
      <c r="AE114" s="507"/>
      <c r="AF114" s="509"/>
      <c r="AG114" s="509"/>
      <c r="AH114" s="507"/>
      <c r="AI114" s="685"/>
      <c r="AJ114" s="507"/>
      <c r="AK114" s="509"/>
      <c r="AL114" s="509"/>
      <c r="AM114" s="507"/>
      <c r="AN114" s="685"/>
      <c r="AO114" s="507"/>
      <c r="AP114" s="509"/>
      <c r="AQ114" s="509"/>
      <c r="AR114" s="507"/>
      <c r="AS114" s="685"/>
      <c r="AT114" s="507"/>
      <c r="AU114" s="509"/>
      <c r="AV114" s="509"/>
      <c r="AW114" s="507"/>
      <c r="AX114" s="685"/>
      <c r="AZ114" s="369" t="e">
        <f t="shared" si="93"/>
        <v>#N/A</v>
      </c>
      <c r="BA114" s="710"/>
    </row>
    <row r="115" spans="2:53">
      <c r="B115" s="680"/>
      <c r="C115" s="348">
        <v>9</v>
      </c>
      <c r="D115" s="225"/>
      <c r="E115" s="181"/>
      <c r="F115" s="353"/>
      <c r="G115" s="354"/>
      <c r="H115" s="692"/>
      <c r="I115" s="363" t="str">
        <f t="shared" si="90"/>
        <v>-</v>
      </c>
      <c r="J115" s="363" t="str">
        <f t="shared" si="91"/>
        <v>-</v>
      </c>
      <c r="K115" s="199" t="str">
        <f t="shared" si="92"/>
        <v>-</v>
      </c>
      <c r="L115" s="634"/>
      <c r="M115" s="349" t="e">
        <f>RANK(K115, K$67:$K$81)</f>
        <v>#VALUE!</v>
      </c>
      <c r="N115" s="652"/>
      <c r="O115" s="652"/>
      <c r="P115" s="507"/>
      <c r="Q115" s="509"/>
      <c r="R115" s="509"/>
      <c r="S115" s="507"/>
      <c r="T115" s="685"/>
      <c r="U115" s="507"/>
      <c r="V115" s="509"/>
      <c r="W115" s="509"/>
      <c r="X115" s="507"/>
      <c r="Y115" s="685"/>
      <c r="Z115" s="507"/>
      <c r="AA115" s="509"/>
      <c r="AB115" s="509"/>
      <c r="AC115" s="507"/>
      <c r="AD115" s="685"/>
      <c r="AE115" s="507"/>
      <c r="AF115" s="509"/>
      <c r="AG115" s="509"/>
      <c r="AH115" s="507"/>
      <c r="AI115" s="685"/>
      <c r="AJ115" s="507"/>
      <c r="AK115" s="509"/>
      <c r="AL115" s="509"/>
      <c r="AM115" s="507"/>
      <c r="AN115" s="685"/>
      <c r="AO115" s="507"/>
      <c r="AP115" s="509"/>
      <c r="AQ115" s="509"/>
      <c r="AR115" s="507"/>
      <c r="AS115" s="685"/>
      <c r="AT115" s="507"/>
      <c r="AU115" s="509"/>
      <c r="AV115" s="509"/>
      <c r="AW115" s="507"/>
      <c r="AX115" s="685"/>
      <c r="AZ115" s="369" t="e">
        <f t="shared" si="93"/>
        <v>#N/A</v>
      </c>
      <c r="BA115" s="710"/>
    </row>
    <row r="116" spans="2:53">
      <c r="B116" s="680"/>
      <c r="C116" s="348">
        <v>10</v>
      </c>
      <c r="D116" s="225"/>
      <c r="E116" s="181"/>
      <c r="F116" s="353"/>
      <c r="G116" s="354"/>
      <c r="H116" s="692"/>
      <c r="I116" s="363" t="str">
        <f t="shared" si="90"/>
        <v>-</v>
      </c>
      <c r="J116" s="363" t="str">
        <f t="shared" si="91"/>
        <v>-</v>
      </c>
      <c r="K116" s="199" t="str">
        <f t="shared" si="92"/>
        <v>-</v>
      </c>
      <c r="L116" s="634"/>
      <c r="M116" s="349" t="e">
        <f>RANK(K116, K$67:$K$81)</f>
        <v>#VALUE!</v>
      </c>
      <c r="N116" s="652"/>
      <c r="O116" s="652"/>
      <c r="P116" s="507"/>
      <c r="Q116" s="509"/>
      <c r="R116" s="509"/>
      <c r="S116" s="507"/>
      <c r="T116" s="685"/>
      <c r="U116" s="507"/>
      <c r="V116" s="509"/>
      <c r="W116" s="509"/>
      <c r="X116" s="507"/>
      <c r="Y116" s="685"/>
      <c r="Z116" s="507"/>
      <c r="AA116" s="509"/>
      <c r="AB116" s="509"/>
      <c r="AC116" s="507"/>
      <c r="AD116" s="685"/>
      <c r="AE116" s="507"/>
      <c r="AF116" s="509"/>
      <c r="AG116" s="509"/>
      <c r="AH116" s="507"/>
      <c r="AI116" s="685"/>
      <c r="AJ116" s="507"/>
      <c r="AK116" s="509"/>
      <c r="AL116" s="509"/>
      <c r="AM116" s="507"/>
      <c r="AN116" s="685"/>
      <c r="AO116" s="507"/>
      <c r="AP116" s="509"/>
      <c r="AQ116" s="509"/>
      <c r="AR116" s="507"/>
      <c r="AS116" s="685"/>
      <c r="AT116" s="507"/>
      <c r="AU116" s="509"/>
      <c r="AV116" s="509"/>
      <c r="AW116" s="507"/>
      <c r="AX116" s="685"/>
      <c r="AZ116" s="369" t="e">
        <f t="shared" si="93"/>
        <v>#N/A</v>
      </c>
      <c r="BA116" s="710"/>
    </row>
    <row r="117" spans="2:53">
      <c r="B117" s="680"/>
      <c r="C117" s="348">
        <v>11</v>
      </c>
      <c r="D117" s="225"/>
      <c r="E117" s="181"/>
      <c r="F117" s="353"/>
      <c r="G117" s="354"/>
      <c r="H117" s="692"/>
      <c r="I117" s="363" t="str">
        <f t="shared" si="90"/>
        <v>-</v>
      </c>
      <c r="J117" s="363" t="str">
        <f t="shared" si="91"/>
        <v>-</v>
      </c>
      <c r="K117" s="199" t="str">
        <f t="shared" si="92"/>
        <v>-</v>
      </c>
      <c r="L117" s="634"/>
      <c r="M117" s="349" t="e">
        <f>RANK(K117, K$67:$K$81)</f>
        <v>#VALUE!</v>
      </c>
      <c r="N117" s="652"/>
      <c r="O117" s="652"/>
      <c r="P117" s="507"/>
      <c r="Q117" s="509"/>
      <c r="R117" s="509"/>
      <c r="S117" s="507"/>
      <c r="T117" s="685"/>
      <c r="U117" s="507"/>
      <c r="V117" s="509"/>
      <c r="W117" s="509"/>
      <c r="X117" s="507"/>
      <c r="Y117" s="685"/>
      <c r="Z117" s="507"/>
      <c r="AA117" s="509"/>
      <c r="AB117" s="509"/>
      <c r="AC117" s="507"/>
      <c r="AD117" s="685"/>
      <c r="AE117" s="507"/>
      <c r="AF117" s="509"/>
      <c r="AG117" s="509"/>
      <c r="AH117" s="507"/>
      <c r="AI117" s="685"/>
      <c r="AJ117" s="507"/>
      <c r="AK117" s="509"/>
      <c r="AL117" s="509"/>
      <c r="AM117" s="507"/>
      <c r="AN117" s="685"/>
      <c r="AO117" s="507"/>
      <c r="AP117" s="509"/>
      <c r="AQ117" s="509"/>
      <c r="AR117" s="507"/>
      <c r="AS117" s="685"/>
      <c r="AT117" s="507"/>
      <c r="AU117" s="509"/>
      <c r="AV117" s="509"/>
      <c r="AW117" s="507"/>
      <c r="AX117" s="685"/>
      <c r="AZ117" s="369" t="e">
        <f t="shared" si="93"/>
        <v>#N/A</v>
      </c>
      <c r="BA117" s="710"/>
    </row>
    <row r="118" spans="2:53">
      <c r="B118" s="680"/>
      <c r="C118" s="348">
        <v>12</v>
      </c>
      <c r="D118" s="225"/>
      <c r="E118" s="181"/>
      <c r="F118" s="353"/>
      <c r="G118" s="354"/>
      <c r="H118" s="692"/>
      <c r="I118" s="363" t="str">
        <f t="shared" si="90"/>
        <v>-</v>
      </c>
      <c r="J118" s="363" t="str">
        <f t="shared" si="91"/>
        <v>-</v>
      </c>
      <c r="K118" s="199" t="str">
        <f t="shared" si="92"/>
        <v>-</v>
      </c>
      <c r="L118" s="634"/>
      <c r="M118" s="349" t="e">
        <f>RANK(K118, K$67:$K$81)</f>
        <v>#VALUE!</v>
      </c>
      <c r="N118" s="652"/>
      <c r="O118" s="652"/>
      <c r="P118" s="507"/>
      <c r="Q118" s="509"/>
      <c r="R118" s="509"/>
      <c r="S118" s="507"/>
      <c r="T118" s="685"/>
      <c r="U118" s="507"/>
      <c r="V118" s="509"/>
      <c r="W118" s="509"/>
      <c r="X118" s="507"/>
      <c r="Y118" s="685"/>
      <c r="Z118" s="507"/>
      <c r="AA118" s="509"/>
      <c r="AB118" s="509"/>
      <c r="AC118" s="507"/>
      <c r="AD118" s="685"/>
      <c r="AE118" s="507"/>
      <c r="AF118" s="509"/>
      <c r="AG118" s="509"/>
      <c r="AH118" s="507"/>
      <c r="AI118" s="685"/>
      <c r="AJ118" s="507"/>
      <c r="AK118" s="509"/>
      <c r="AL118" s="509"/>
      <c r="AM118" s="507"/>
      <c r="AN118" s="685"/>
      <c r="AO118" s="507"/>
      <c r="AP118" s="509"/>
      <c r="AQ118" s="509"/>
      <c r="AR118" s="507"/>
      <c r="AS118" s="685"/>
      <c r="AT118" s="507"/>
      <c r="AU118" s="509"/>
      <c r="AV118" s="509"/>
      <c r="AW118" s="507"/>
      <c r="AX118" s="685"/>
      <c r="AZ118" s="369" t="e">
        <f t="shared" si="93"/>
        <v>#N/A</v>
      </c>
      <c r="BA118" s="710"/>
    </row>
    <row r="119" spans="2:53">
      <c r="B119" s="680"/>
      <c r="C119" s="348">
        <v>13</v>
      </c>
      <c r="D119" s="225"/>
      <c r="E119" s="181"/>
      <c r="F119" s="353"/>
      <c r="G119" s="354"/>
      <c r="H119" s="692"/>
      <c r="I119" s="363" t="str">
        <f t="shared" si="90"/>
        <v>-</v>
      </c>
      <c r="J119" s="363" t="str">
        <f t="shared" si="91"/>
        <v>-</v>
      </c>
      <c r="K119" s="199" t="str">
        <f t="shared" si="92"/>
        <v>-</v>
      </c>
      <c r="L119" s="634"/>
      <c r="M119" s="349" t="e">
        <f>RANK(K119, K$67:$K$81)</f>
        <v>#VALUE!</v>
      </c>
      <c r="N119" s="652"/>
      <c r="O119" s="652"/>
      <c r="P119" s="507"/>
      <c r="Q119" s="509"/>
      <c r="R119" s="509"/>
      <c r="S119" s="507"/>
      <c r="T119" s="685"/>
      <c r="U119" s="507"/>
      <c r="V119" s="509"/>
      <c r="W119" s="509"/>
      <c r="X119" s="507"/>
      <c r="Y119" s="685"/>
      <c r="Z119" s="507"/>
      <c r="AA119" s="509"/>
      <c r="AB119" s="509"/>
      <c r="AC119" s="507"/>
      <c r="AD119" s="685"/>
      <c r="AE119" s="507"/>
      <c r="AF119" s="509"/>
      <c r="AG119" s="509"/>
      <c r="AH119" s="507"/>
      <c r="AI119" s="685"/>
      <c r="AJ119" s="507"/>
      <c r="AK119" s="509"/>
      <c r="AL119" s="509"/>
      <c r="AM119" s="507"/>
      <c r="AN119" s="685"/>
      <c r="AO119" s="507"/>
      <c r="AP119" s="509"/>
      <c r="AQ119" s="509"/>
      <c r="AR119" s="507"/>
      <c r="AS119" s="685"/>
      <c r="AT119" s="507"/>
      <c r="AU119" s="509"/>
      <c r="AV119" s="509"/>
      <c r="AW119" s="507"/>
      <c r="AX119" s="685"/>
      <c r="AZ119" s="369" t="e">
        <f t="shared" si="93"/>
        <v>#N/A</v>
      </c>
      <c r="BA119" s="710"/>
    </row>
    <row r="120" spans="2:53">
      <c r="B120" s="680"/>
      <c r="C120" s="348">
        <v>14</v>
      </c>
      <c r="D120" s="225"/>
      <c r="E120" s="181"/>
      <c r="F120" s="353"/>
      <c r="G120" s="354"/>
      <c r="H120" s="692"/>
      <c r="I120" s="363" t="str">
        <f t="shared" si="90"/>
        <v>-</v>
      </c>
      <c r="J120" s="363" t="str">
        <f t="shared" si="91"/>
        <v>-</v>
      </c>
      <c r="K120" s="199" t="str">
        <f t="shared" si="92"/>
        <v>-</v>
      </c>
      <c r="L120" s="634"/>
      <c r="M120" s="349" t="e">
        <f>RANK(K120, K$67:$K$81)</f>
        <v>#VALUE!</v>
      </c>
      <c r="N120" s="652"/>
      <c r="O120" s="652"/>
      <c r="P120" s="507"/>
      <c r="Q120" s="509"/>
      <c r="R120" s="509"/>
      <c r="S120" s="507"/>
      <c r="T120" s="685"/>
      <c r="U120" s="507"/>
      <c r="V120" s="509"/>
      <c r="W120" s="509"/>
      <c r="X120" s="507"/>
      <c r="Y120" s="685"/>
      <c r="Z120" s="507"/>
      <c r="AA120" s="509"/>
      <c r="AB120" s="509"/>
      <c r="AC120" s="507"/>
      <c r="AD120" s="685"/>
      <c r="AE120" s="507"/>
      <c r="AF120" s="509"/>
      <c r="AG120" s="509"/>
      <c r="AH120" s="507"/>
      <c r="AI120" s="685"/>
      <c r="AJ120" s="507"/>
      <c r="AK120" s="509"/>
      <c r="AL120" s="509"/>
      <c r="AM120" s="507"/>
      <c r="AN120" s="685"/>
      <c r="AO120" s="507"/>
      <c r="AP120" s="509"/>
      <c r="AQ120" s="509"/>
      <c r="AR120" s="507"/>
      <c r="AS120" s="685"/>
      <c r="AT120" s="507"/>
      <c r="AU120" s="509"/>
      <c r="AV120" s="509"/>
      <c r="AW120" s="507"/>
      <c r="AX120" s="685"/>
      <c r="AZ120" s="369" t="e">
        <f t="shared" si="93"/>
        <v>#N/A</v>
      </c>
      <c r="BA120" s="710"/>
    </row>
    <row r="121" spans="2:53">
      <c r="B121" s="680"/>
      <c r="C121" s="348">
        <v>15</v>
      </c>
      <c r="D121" s="225"/>
      <c r="E121" s="181"/>
      <c r="F121" s="353"/>
      <c r="G121" s="354"/>
      <c r="H121" s="696"/>
      <c r="I121" s="365"/>
      <c r="J121" s="365"/>
      <c r="K121" s="365"/>
      <c r="L121" s="635"/>
      <c r="M121" s="349" t="e">
        <f>RANK(K121, K$47:$K$61)</f>
        <v>#N/A</v>
      </c>
      <c r="N121" s="652"/>
      <c r="O121" s="652"/>
      <c r="P121" s="507"/>
      <c r="Q121" s="509"/>
      <c r="R121" s="509"/>
      <c r="S121" s="507"/>
      <c r="T121" s="685"/>
      <c r="U121" s="507"/>
      <c r="V121" s="509"/>
      <c r="W121" s="509"/>
      <c r="X121" s="507"/>
      <c r="Y121" s="685"/>
      <c r="Z121" s="507"/>
      <c r="AA121" s="509"/>
      <c r="AB121" s="509"/>
      <c r="AC121" s="507"/>
      <c r="AD121" s="685"/>
      <c r="AE121" s="507"/>
      <c r="AF121" s="509"/>
      <c r="AG121" s="509"/>
      <c r="AH121" s="507"/>
      <c r="AI121" s="685"/>
      <c r="AJ121" s="507"/>
      <c r="AK121" s="509"/>
      <c r="AL121" s="509"/>
      <c r="AM121" s="507"/>
      <c r="AN121" s="685"/>
      <c r="AO121" s="507"/>
      <c r="AP121" s="509"/>
      <c r="AQ121" s="509"/>
      <c r="AR121" s="507"/>
      <c r="AS121" s="685"/>
      <c r="AT121" s="507"/>
      <c r="AU121" s="509"/>
      <c r="AV121" s="509"/>
      <c r="AW121" s="507"/>
      <c r="AX121" s="685"/>
      <c r="AZ121" s="369" t="e">
        <f t="shared" si="93"/>
        <v>#N/A</v>
      </c>
      <c r="BA121" s="710"/>
    </row>
    <row r="123" spans="2:53" ht="15.75">
      <c r="B123" s="686" t="s">
        <v>472</v>
      </c>
      <c r="C123" s="687"/>
      <c r="D123" s="687"/>
      <c r="E123" s="687"/>
      <c r="F123" s="687"/>
      <c r="G123" s="687"/>
      <c r="H123" s="688"/>
      <c r="I123" s="307"/>
      <c r="J123" s="307"/>
      <c r="K123" s="307"/>
      <c r="L123" s="307"/>
      <c r="M123" s="308"/>
    </row>
    <row r="124" spans="2:53" ht="15.75">
      <c r="B124" s="689"/>
      <c r="C124" s="689"/>
      <c r="D124" s="689"/>
      <c r="E124" s="689"/>
      <c r="F124" s="689"/>
      <c r="G124" s="689"/>
      <c r="H124" s="689"/>
      <c r="I124" s="309"/>
      <c r="J124" s="309"/>
      <c r="K124" s="309"/>
      <c r="L124" s="309"/>
      <c r="M124" s="310"/>
    </row>
    <row r="125" spans="2:53">
      <c r="B125" s="652" t="s">
        <v>473</v>
      </c>
      <c r="C125" s="652" t="s">
        <v>474</v>
      </c>
      <c r="D125" s="652"/>
      <c r="E125" s="652" t="s">
        <v>475</v>
      </c>
      <c r="F125" s="652"/>
      <c r="G125" s="652"/>
      <c r="H125" s="668" t="s">
        <v>476</v>
      </c>
      <c r="I125" s="690" t="s">
        <v>477</v>
      </c>
      <c r="J125" s="690"/>
      <c r="K125" s="690"/>
      <c r="L125" s="704" t="s">
        <v>476</v>
      </c>
      <c r="M125" s="707" t="s">
        <v>478</v>
      </c>
    </row>
    <row r="126" spans="2:53">
      <c r="B126" s="652"/>
      <c r="C126" s="652"/>
      <c r="D126" s="652"/>
      <c r="E126" s="652" t="s">
        <v>479</v>
      </c>
      <c r="F126" s="652"/>
      <c r="G126" s="652"/>
      <c r="H126" s="669"/>
      <c r="I126" s="690" t="s">
        <v>479</v>
      </c>
      <c r="J126" s="690"/>
      <c r="K126" s="690"/>
      <c r="L126" s="705"/>
      <c r="M126" s="708"/>
    </row>
    <row r="127" spans="2:53">
      <c r="B127" s="652"/>
      <c r="C127" s="652"/>
      <c r="D127" s="652"/>
      <c r="E127" s="304" t="s">
        <v>480</v>
      </c>
      <c r="F127" s="304" t="s">
        <v>481</v>
      </c>
      <c r="G127" s="304" t="s">
        <v>482</v>
      </c>
      <c r="H127" s="670"/>
      <c r="I127" s="311" t="s">
        <v>480</v>
      </c>
      <c r="J127" s="311" t="s">
        <v>481</v>
      </c>
      <c r="K127" s="311" t="s">
        <v>482</v>
      </c>
      <c r="L127" s="706"/>
      <c r="M127" s="709"/>
    </row>
    <row r="128" spans="2:53">
      <c r="B128" s="652" t="s">
        <v>489</v>
      </c>
      <c r="C128" s="303">
        <v>1</v>
      </c>
      <c r="D128" s="225"/>
      <c r="E128" s="181"/>
      <c r="F128" s="303"/>
      <c r="G128" s="306"/>
      <c r="H128" s="698" t="e">
        <f>AVERAGE(G128:G142)</f>
        <v>#DIV/0!</v>
      </c>
      <c r="I128" s="198" t="e">
        <f t="shared" ref="I128:J132" si="94">AVERAGEIF($D$7:$D$121,$D128,I$7:I$121)</f>
        <v>#DIV/0!</v>
      </c>
      <c r="J128" s="198" t="e">
        <f t="shared" si="94"/>
        <v>#DIV/0!</v>
      </c>
      <c r="K128" s="198" t="e">
        <f>AVERAGEIF($D$7:$D$121,$D128,K$7:K$121)</f>
        <v>#DIV/0!</v>
      </c>
      <c r="L128" s="701" t="e">
        <f>AVERAGE(K128:K142)</f>
        <v>#DIV/0!</v>
      </c>
      <c r="M128" s="198" t="e">
        <f>RANK(K128, K$128:$K$142)</f>
        <v>#DIV/0!</v>
      </c>
    </row>
    <row r="129" spans="2:39">
      <c r="B129" s="660"/>
      <c r="C129" s="303">
        <v>2</v>
      </c>
      <c r="D129" s="225"/>
      <c r="E129" s="181"/>
      <c r="F129" s="303"/>
      <c r="G129" s="306"/>
      <c r="H129" s="699"/>
      <c r="I129" s="198" t="e">
        <f t="shared" si="94"/>
        <v>#DIV/0!</v>
      </c>
      <c r="J129" s="198" t="e">
        <f t="shared" si="94"/>
        <v>#DIV/0!</v>
      </c>
      <c r="K129" s="198" t="e">
        <f>AVERAGEIF($D$7:$D$121,$D129,K$7:K$121)</f>
        <v>#DIV/0!</v>
      </c>
      <c r="L129" s="702"/>
      <c r="M129" s="198" t="e">
        <f>RANK(K129, K$128:$K$142)</f>
        <v>#DIV/0!</v>
      </c>
      <c r="N129" s="107"/>
      <c r="O129" s="107"/>
      <c r="P129" s="107"/>
      <c r="Q129" s="107"/>
      <c r="R129" s="107"/>
      <c r="S129" s="107"/>
      <c r="T129" s="107"/>
      <c r="X129" s="107"/>
      <c r="AC129" s="107"/>
      <c r="AH129" s="107"/>
      <c r="AM129" s="107"/>
    </row>
    <row r="130" spans="2:39">
      <c r="B130" s="660"/>
      <c r="C130" s="303">
        <v>3</v>
      </c>
      <c r="D130" s="225"/>
      <c r="E130" s="181"/>
      <c r="F130" s="303"/>
      <c r="G130" s="306"/>
      <c r="H130" s="699"/>
      <c r="I130" s="198" t="e">
        <f t="shared" si="94"/>
        <v>#DIV/0!</v>
      </c>
      <c r="J130" s="198" t="e">
        <f t="shared" si="94"/>
        <v>#DIV/0!</v>
      </c>
      <c r="K130" s="198" t="e">
        <f>AVERAGEIF($D$7:$D$121,$D130,K$7:K$121)</f>
        <v>#DIV/0!</v>
      </c>
      <c r="L130" s="702"/>
      <c r="M130" s="198" t="e">
        <f>RANK(K130, K$128:$K$142)</f>
        <v>#DIV/0!</v>
      </c>
      <c r="N130" s="107"/>
      <c r="O130" s="107"/>
      <c r="P130" s="107"/>
      <c r="Q130" s="107"/>
      <c r="R130" s="107"/>
      <c r="S130" s="107"/>
      <c r="T130" s="107"/>
      <c r="X130" s="107"/>
      <c r="AC130" s="107"/>
      <c r="AH130" s="107"/>
      <c r="AM130" s="107"/>
    </row>
    <row r="131" spans="2:39">
      <c r="B131" s="660"/>
      <c r="C131" s="303">
        <v>4</v>
      </c>
      <c r="D131" s="225"/>
      <c r="E131" s="181"/>
      <c r="F131" s="303"/>
      <c r="G131" s="306"/>
      <c r="H131" s="699"/>
      <c r="I131" s="198" t="e">
        <f t="shared" si="94"/>
        <v>#DIV/0!</v>
      </c>
      <c r="J131" s="198" t="e">
        <f t="shared" si="94"/>
        <v>#DIV/0!</v>
      </c>
      <c r="K131" s="198" t="e">
        <f>AVERAGEIF($D$7:$D$121,$D131,K$7:K$121)</f>
        <v>#DIV/0!</v>
      </c>
      <c r="L131" s="702"/>
      <c r="M131" s="198" t="e">
        <f>RANK(K131, K$128:$K$142)</f>
        <v>#DIV/0!</v>
      </c>
      <c r="N131" s="107"/>
      <c r="O131" s="107"/>
      <c r="P131" s="107"/>
      <c r="Q131" s="107"/>
      <c r="R131" s="107"/>
      <c r="S131" s="107"/>
      <c r="T131" s="107"/>
      <c r="X131" s="107"/>
      <c r="AC131" s="107"/>
      <c r="AH131" s="107"/>
      <c r="AM131" s="107"/>
    </row>
    <row r="132" spans="2:39">
      <c r="B132" s="660"/>
      <c r="C132" s="303">
        <v>5</v>
      </c>
      <c r="D132" s="225"/>
      <c r="E132" s="181"/>
      <c r="F132" s="303"/>
      <c r="G132" s="306"/>
      <c r="H132" s="699"/>
      <c r="I132" s="198" t="e">
        <f t="shared" si="94"/>
        <v>#DIV/0!</v>
      </c>
      <c r="J132" s="198" t="e">
        <f t="shared" si="94"/>
        <v>#DIV/0!</v>
      </c>
      <c r="K132" s="198" t="e">
        <f>AVERAGEIF($D$7:$D$121,$D132,K$7:K$121)</f>
        <v>#DIV/0!</v>
      </c>
      <c r="L132" s="702"/>
      <c r="M132" s="198" t="e">
        <f>RANK(K132, K$128:$K$142)</f>
        <v>#DIV/0!</v>
      </c>
      <c r="N132" s="107"/>
      <c r="O132" s="107"/>
      <c r="P132" s="107"/>
      <c r="Q132" s="107"/>
      <c r="R132" s="107"/>
      <c r="S132" s="107"/>
      <c r="T132" s="107"/>
      <c r="X132" s="107"/>
      <c r="AC132" s="107"/>
      <c r="AH132" s="107"/>
      <c r="AM132" s="107"/>
    </row>
    <row r="133" spans="2:39">
      <c r="B133" s="660"/>
      <c r="C133" s="303">
        <v>6</v>
      </c>
      <c r="D133" s="312"/>
      <c r="E133" s="181"/>
      <c r="F133" s="303"/>
      <c r="G133" s="306"/>
      <c r="H133" s="699"/>
      <c r="I133" s="198"/>
      <c r="J133" s="198"/>
      <c r="K133" s="198"/>
      <c r="L133" s="702"/>
      <c r="M133" s="198" t="e">
        <f>RANK(K133, K$128:$K$142)</f>
        <v>#DIV/0!</v>
      </c>
      <c r="N133" s="107"/>
      <c r="O133" s="107"/>
      <c r="P133" s="107"/>
      <c r="Q133" s="107"/>
      <c r="R133" s="107"/>
      <c r="S133" s="107"/>
      <c r="T133" s="107"/>
      <c r="X133" s="107"/>
      <c r="AC133" s="107"/>
      <c r="AH133" s="107"/>
      <c r="AM133" s="107"/>
    </row>
    <row r="134" spans="2:39">
      <c r="B134" s="660"/>
      <c r="C134" s="303">
        <v>7</v>
      </c>
      <c r="D134" s="225"/>
      <c r="E134" s="181"/>
      <c r="F134" s="303"/>
      <c r="G134" s="306"/>
      <c r="H134" s="699"/>
      <c r="I134" s="198"/>
      <c r="J134" s="198"/>
      <c r="K134" s="198"/>
      <c r="L134" s="702"/>
      <c r="M134" s="198" t="e">
        <f>RANK(K134, K$128:$K$142)</f>
        <v>#DIV/0!</v>
      </c>
      <c r="N134" s="107"/>
      <c r="O134" s="107"/>
      <c r="P134" s="107"/>
      <c r="Q134" s="107"/>
      <c r="R134" s="107"/>
      <c r="S134" s="107"/>
      <c r="T134" s="107"/>
      <c r="X134" s="107"/>
      <c r="AC134" s="107"/>
      <c r="AH134" s="107"/>
      <c r="AM134" s="107"/>
    </row>
    <row r="135" spans="2:39">
      <c r="B135" s="660"/>
      <c r="C135" s="303">
        <v>8</v>
      </c>
      <c r="D135" s="225"/>
      <c r="E135" s="181"/>
      <c r="F135" s="303"/>
      <c r="G135" s="306"/>
      <c r="H135" s="699"/>
      <c r="I135" s="198"/>
      <c r="J135" s="198"/>
      <c r="K135" s="198"/>
      <c r="L135" s="702"/>
      <c r="M135" s="198" t="e">
        <f>RANK(K135, K$128:$K$142)</f>
        <v>#DIV/0!</v>
      </c>
      <c r="N135" s="107"/>
      <c r="O135" s="107"/>
      <c r="P135" s="107"/>
      <c r="Q135" s="107"/>
      <c r="R135" s="107"/>
      <c r="S135" s="107"/>
      <c r="T135" s="107"/>
      <c r="X135" s="107"/>
      <c r="AC135" s="107"/>
      <c r="AH135" s="107"/>
      <c r="AM135" s="107"/>
    </row>
    <row r="136" spans="2:39">
      <c r="B136" s="660"/>
      <c r="C136" s="303">
        <v>9</v>
      </c>
      <c r="D136" s="225"/>
      <c r="E136" s="303"/>
      <c r="F136" s="303"/>
      <c r="G136" s="303"/>
      <c r="H136" s="699"/>
      <c r="I136" s="198"/>
      <c r="J136" s="198"/>
      <c r="K136" s="198"/>
      <c r="L136" s="702"/>
      <c r="M136" s="198" t="e">
        <f>RANK(K136, K$128:$K$142)</f>
        <v>#DIV/0!</v>
      </c>
      <c r="N136" s="107"/>
      <c r="O136" s="107"/>
      <c r="P136" s="107"/>
      <c r="Q136" s="107"/>
      <c r="R136" s="107"/>
      <c r="S136" s="107"/>
      <c r="T136" s="107"/>
      <c r="X136" s="107"/>
      <c r="AC136" s="107"/>
      <c r="AH136" s="107"/>
      <c r="AM136" s="107"/>
    </row>
    <row r="137" spans="2:39">
      <c r="B137" s="660"/>
      <c r="C137" s="303">
        <v>10</v>
      </c>
      <c r="D137" s="225"/>
      <c r="E137" s="303"/>
      <c r="F137" s="303"/>
      <c r="G137" s="303"/>
      <c r="H137" s="699"/>
      <c r="I137" s="198"/>
      <c r="J137" s="198"/>
      <c r="K137" s="198"/>
      <c r="L137" s="702"/>
      <c r="M137" s="198" t="e">
        <f>RANK(K137, K$128:$K$142)</f>
        <v>#DIV/0!</v>
      </c>
      <c r="N137" s="107"/>
      <c r="O137" s="107"/>
      <c r="P137" s="107"/>
      <c r="Q137" s="107"/>
      <c r="R137" s="107"/>
      <c r="S137" s="107"/>
      <c r="T137" s="107"/>
      <c r="X137" s="107"/>
      <c r="AC137" s="107"/>
      <c r="AH137" s="107"/>
      <c r="AM137" s="107"/>
    </row>
    <row r="138" spans="2:39">
      <c r="B138" s="660"/>
      <c r="C138" s="303">
        <v>11</v>
      </c>
      <c r="D138" s="225"/>
      <c r="E138" s="303"/>
      <c r="F138" s="303"/>
      <c r="G138" s="303"/>
      <c r="H138" s="699"/>
      <c r="I138" s="198"/>
      <c r="J138" s="198"/>
      <c r="K138" s="198"/>
      <c r="L138" s="702"/>
      <c r="M138" s="198" t="e">
        <f>RANK(K138, K$128:$K$142)</f>
        <v>#DIV/0!</v>
      </c>
      <c r="N138" s="107"/>
      <c r="O138" s="107"/>
      <c r="P138" s="107"/>
      <c r="Q138" s="107"/>
      <c r="R138" s="107"/>
      <c r="S138" s="107"/>
      <c r="T138" s="107"/>
      <c r="X138" s="107"/>
      <c r="AC138" s="107"/>
      <c r="AH138" s="107"/>
      <c r="AM138" s="107"/>
    </row>
    <row r="139" spans="2:39">
      <c r="B139" s="660"/>
      <c r="C139" s="303">
        <v>12</v>
      </c>
      <c r="D139" s="225"/>
      <c r="E139" s="303"/>
      <c r="F139" s="303"/>
      <c r="G139" s="303"/>
      <c r="H139" s="699"/>
      <c r="I139" s="198"/>
      <c r="J139" s="198"/>
      <c r="K139" s="198"/>
      <c r="L139" s="702"/>
      <c r="M139" s="198" t="e">
        <f>RANK(K139, K$128:$K$142)</f>
        <v>#DIV/0!</v>
      </c>
      <c r="N139" s="107"/>
      <c r="O139" s="107"/>
      <c r="P139" s="107"/>
      <c r="Q139" s="107"/>
      <c r="R139" s="107"/>
      <c r="S139" s="107"/>
      <c r="T139" s="107"/>
      <c r="X139" s="107"/>
      <c r="AC139" s="107"/>
      <c r="AH139" s="107"/>
      <c r="AM139" s="107"/>
    </row>
    <row r="140" spans="2:39">
      <c r="B140" s="660"/>
      <c r="C140" s="303">
        <v>13</v>
      </c>
      <c r="D140" s="225"/>
      <c r="E140" s="303"/>
      <c r="F140" s="303"/>
      <c r="G140" s="303"/>
      <c r="H140" s="699"/>
      <c r="I140" s="198"/>
      <c r="J140" s="198"/>
      <c r="K140" s="198"/>
      <c r="L140" s="702"/>
      <c r="M140" s="198" t="e">
        <f>RANK(K140, K$128:$K$142)</f>
        <v>#DIV/0!</v>
      </c>
      <c r="N140" s="107"/>
      <c r="O140" s="107"/>
      <c r="P140" s="107"/>
      <c r="Q140" s="107"/>
      <c r="R140" s="107"/>
      <c r="S140" s="107"/>
      <c r="T140" s="107"/>
      <c r="X140" s="107"/>
      <c r="AC140" s="107"/>
      <c r="AH140" s="107"/>
      <c r="AM140" s="107"/>
    </row>
    <row r="141" spans="2:39">
      <c r="B141" s="660"/>
      <c r="C141" s="303">
        <v>14</v>
      </c>
      <c r="D141" s="225"/>
      <c r="E141" s="303"/>
      <c r="F141" s="303"/>
      <c r="G141" s="303"/>
      <c r="H141" s="699"/>
      <c r="I141" s="198"/>
      <c r="J141" s="198"/>
      <c r="K141" s="198"/>
      <c r="L141" s="702"/>
      <c r="M141" s="198" t="e">
        <f>RANK(K141, K$128:$K$142)</f>
        <v>#DIV/0!</v>
      </c>
      <c r="N141" s="107"/>
      <c r="O141" s="107"/>
      <c r="P141" s="107"/>
      <c r="Q141" s="107"/>
      <c r="R141" s="107"/>
      <c r="S141" s="107"/>
      <c r="T141" s="107"/>
      <c r="X141" s="107"/>
      <c r="AC141" s="107"/>
      <c r="AH141" s="107"/>
      <c r="AM141" s="107"/>
    </row>
    <row r="142" spans="2:39">
      <c r="B142" s="660"/>
      <c r="C142" s="303">
        <v>15</v>
      </c>
      <c r="D142" s="225"/>
      <c r="E142" s="303"/>
      <c r="F142" s="303"/>
      <c r="G142" s="303"/>
      <c r="H142" s="700"/>
      <c r="I142" s="198"/>
      <c r="J142" s="198"/>
      <c r="K142" s="198"/>
      <c r="L142" s="703"/>
      <c r="M142" s="198" t="e">
        <f>RANK(K142, K$128:$K$142)</f>
        <v>#DIV/0!</v>
      </c>
      <c r="N142" s="107"/>
      <c r="O142" s="107"/>
      <c r="P142" s="107"/>
      <c r="Q142" s="107"/>
      <c r="R142" s="107"/>
      <c r="S142" s="107"/>
      <c r="T142" s="107"/>
      <c r="X142" s="107"/>
      <c r="AC142" s="107"/>
      <c r="AH142" s="107"/>
      <c r="AM142" s="107"/>
    </row>
  </sheetData>
  <mergeCells count="379">
    <mergeCell ref="B128:B142"/>
    <mergeCell ref="H128:H142"/>
    <mergeCell ref="L128:L142"/>
    <mergeCell ref="AX107:AX121"/>
    <mergeCell ref="E125:G125"/>
    <mergeCell ref="I125:K125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B123:H124"/>
    <mergeCell ref="B125:B127"/>
    <mergeCell ref="C125:D127"/>
    <mergeCell ref="H125:H127"/>
    <mergeCell ref="L125:L127"/>
    <mergeCell ref="M125:M127"/>
    <mergeCell ref="E126:G126"/>
    <mergeCell ref="I126:K126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BA87:BA101"/>
    <mergeCell ref="BA104:BA106"/>
    <mergeCell ref="BA107:BA121"/>
    <mergeCell ref="BA4:BA6"/>
    <mergeCell ref="BA7:BA21"/>
    <mergeCell ref="BA24:BA26"/>
    <mergeCell ref="BA27:BA41"/>
    <mergeCell ref="BA44:BA46"/>
    <mergeCell ref="BA47:BA61"/>
    <mergeCell ref="BA64:BA66"/>
    <mergeCell ref="BA67:BA81"/>
    <mergeCell ref="BA84:BA86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A142"/>
  <sheetViews>
    <sheetView topLeftCell="A55" zoomScale="40" zoomScaleNormal="40" workbookViewId="0">
      <pane xSplit="15" topLeftCell="P1" activePane="topRight" state="frozen"/>
      <selection activeCell="A8" sqref="A8:L28"/>
      <selection pane="topRight" activeCell="D87" sqref="D87:G101"/>
    </sheetView>
  </sheetViews>
  <sheetFormatPr defaultColWidth="8.85546875" defaultRowHeight="12.75"/>
  <cols>
    <col min="1" max="1" width="5.5703125" style="107" customWidth="1"/>
    <col min="2" max="2" width="12.42578125" style="107" customWidth="1"/>
    <col min="3" max="3" width="8.85546875" style="106"/>
    <col min="4" max="4" width="26.42578125" style="106" customWidth="1"/>
    <col min="5" max="7" width="8.42578125" style="106" customWidth="1"/>
    <col min="8" max="8" width="11.140625" style="106" bestFit="1" customWidth="1"/>
    <col min="9" max="12" width="11.140625" style="106" customWidth="1"/>
    <col min="13" max="13" width="13.5703125" style="106" customWidth="1"/>
    <col min="14" max="14" width="9.85546875" style="106" customWidth="1"/>
    <col min="15" max="15" width="7.140625" style="106" customWidth="1"/>
    <col min="16" max="18" width="12.85546875" style="106" customWidth="1"/>
    <col min="19" max="19" width="5.42578125" style="106" customWidth="1"/>
    <col min="20" max="20" width="12.85546875" style="106" customWidth="1"/>
    <col min="21" max="23" width="12.85546875" style="107" customWidth="1"/>
    <col min="24" max="24" width="5.42578125" style="106" customWidth="1"/>
    <col min="25" max="28" width="12.85546875" style="107" customWidth="1"/>
    <col min="29" max="29" width="5.42578125" style="106" customWidth="1"/>
    <col min="30" max="30" width="12.85546875" style="107" customWidth="1"/>
    <col min="31" max="33" width="12.5703125" style="107" customWidth="1"/>
    <col min="34" max="34" width="5.42578125" style="106" customWidth="1"/>
    <col min="35" max="35" width="13" style="107" customWidth="1"/>
    <col min="36" max="38" width="12.5703125" style="107" customWidth="1"/>
    <col min="39" max="39" width="5.42578125" style="106" customWidth="1"/>
    <col min="40" max="40" width="13" style="107" customWidth="1"/>
    <col min="41" max="43" width="13.140625" style="107" customWidth="1"/>
    <col min="44" max="44" width="5.42578125" style="107" customWidth="1"/>
    <col min="45" max="48" width="13.140625" style="107" customWidth="1"/>
    <col min="49" max="49" width="5.42578125" style="107" customWidth="1"/>
    <col min="50" max="50" width="13.140625" style="107" customWidth="1"/>
    <col min="51" max="51" width="8.85546875" style="107"/>
    <col min="52" max="52" width="5.42578125" style="107" customWidth="1"/>
    <col min="53" max="53" width="13.140625" style="107" customWidth="1"/>
    <col min="54" max="16384" width="8.85546875" style="107"/>
  </cols>
  <sheetData>
    <row r="1" spans="1:53" ht="24">
      <c r="A1" s="75"/>
      <c r="B1" s="220" t="s">
        <v>313</v>
      </c>
      <c r="C1" s="219">
        <f>AVERAGE(L7,L27,L47,L67,L87,L107)</f>
        <v>160.65888813838649</v>
      </c>
    </row>
    <row r="2" spans="1:53" ht="15.75">
      <c r="A2" s="81"/>
      <c r="B2" s="664" t="s">
        <v>162</v>
      </c>
      <c r="C2" s="664"/>
      <c r="D2" s="664"/>
      <c r="E2" s="664"/>
      <c r="F2" s="664"/>
      <c r="G2" s="664"/>
      <c r="H2" s="664"/>
      <c r="I2" s="284"/>
      <c r="J2" s="284"/>
      <c r="K2" s="284"/>
      <c r="L2" s="284"/>
      <c r="M2" s="196"/>
      <c r="N2" s="653" t="s">
        <v>156</v>
      </c>
      <c r="O2" s="653" t="s">
        <v>155</v>
      </c>
      <c r="P2" s="659">
        <v>46231</v>
      </c>
      <c r="Q2" s="660"/>
      <c r="R2" s="660"/>
      <c r="S2" s="660"/>
      <c r="T2" s="660"/>
      <c r="U2" s="656">
        <f>P2+1</f>
        <v>46232</v>
      </c>
      <c r="V2" s="657"/>
      <c r="W2" s="657"/>
      <c r="X2" s="657"/>
      <c r="Y2" s="658"/>
      <c r="Z2" s="656">
        <f>U2+1</f>
        <v>46233</v>
      </c>
      <c r="AA2" s="657"/>
      <c r="AB2" s="657"/>
      <c r="AC2" s="657"/>
      <c r="AD2" s="658"/>
      <c r="AE2" s="656">
        <f>Z2+1</f>
        <v>46234</v>
      </c>
      <c r="AF2" s="657"/>
      <c r="AG2" s="657"/>
      <c r="AH2" s="657"/>
      <c r="AI2" s="658"/>
      <c r="AJ2" s="656">
        <f>AE2+1</f>
        <v>46235</v>
      </c>
      <c r="AK2" s="657"/>
      <c r="AL2" s="657"/>
      <c r="AM2" s="657"/>
      <c r="AN2" s="658"/>
      <c r="AO2" s="656">
        <f>AJ2+1</f>
        <v>46236</v>
      </c>
      <c r="AP2" s="657"/>
      <c r="AQ2" s="657"/>
      <c r="AR2" s="657"/>
      <c r="AS2" s="658"/>
      <c r="AT2" s="656">
        <f>AO2+1</f>
        <v>46237</v>
      </c>
      <c r="AU2" s="657"/>
      <c r="AV2" s="657"/>
      <c r="AW2" s="657"/>
      <c r="AX2" s="658"/>
    </row>
    <row r="3" spans="1:53" ht="15.75">
      <c r="A3" s="81"/>
      <c r="B3" s="697"/>
      <c r="C3" s="697"/>
      <c r="D3" s="697"/>
      <c r="E3" s="697"/>
      <c r="F3" s="697"/>
      <c r="G3" s="697"/>
      <c r="H3" s="697"/>
      <c r="I3" s="285"/>
      <c r="J3" s="285"/>
      <c r="K3" s="285"/>
      <c r="L3" s="285"/>
      <c r="M3" s="197"/>
      <c r="N3" s="655"/>
      <c r="O3" s="655"/>
      <c r="P3" s="659" t="s">
        <v>158</v>
      </c>
      <c r="Q3" s="660"/>
      <c r="R3" s="660"/>
      <c r="S3" s="660"/>
      <c r="T3" s="660"/>
      <c r="U3" s="659" t="s">
        <v>114</v>
      </c>
      <c r="V3" s="660"/>
      <c r="W3" s="660"/>
      <c r="X3" s="660"/>
      <c r="Y3" s="660"/>
      <c r="Z3" s="659" t="s">
        <v>159</v>
      </c>
      <c r="AA3" s="660"/>
      <c r="AB3" s="660"/>
      <c r="AC3" s="660"/>
      <c r="AD3" s="660"/>
      <c r="AE3" s="659" t="s">
        <v>157</v>
      </c>
      <c r="AF3" s="660"/>
      <c r="AG3" s="660"/>
      <c r="AH3" s="660"/>
      <c r="AI3" s="660"/>
      <c r="AJ3" s="659" t="s">
        <v>160</v>
      </c>
      <c r="AK3" s="660"/>
      <c r="AL3" s="660"/>
      <c r="AM3" s="660"/>
      <c r="AN3" s="660"/>
      <c r="AO3" s="659" t="s">
        <v>115</v>
      </c>
      <c r="AP3" s="660"/>
      <c r="AQ3" s="660"/>
      <c r="AR3" s="660"/>
      <c r="AS3" s="660"/>
      <c r="AT3" s="659" t="s">
        <v>161</v>
      </c>
      <c r="AU3" s="660"/>
      <c r="AV3" s="660"/>
      <c r="AW3" s="660"/>
      <c r="AX3" s="660"/>
    </row>
    <row r="4" spans="1:53" ht="14.25">
      <c r="A4" s="81"/>
      <c r="B4" s="652" t="s">
        <v>531</v>
      </c>
      <c r="C4" s="652" t="s">
        <v>532</v>
      </c>
      <c r="D4" s="652"/>
      <c r="E4" s="652" t="s">
        <v>533</v>
      </c>
      <c r="F4" s="652"/>
      <c r="G4" s="652"/>
      <c r="H4" s="668" t="s">
        <v>534</v>
      </c>
      <c r="I4" s="652" t="s">
        <v>535</v>
      </c>
      <c r="J4" s="652"/>
      <c r="K4" s="652"/>
      <c r="L4" s="668" t="s">
        <v>366</v>
      </c>
      <c r="M4" s="653" t="s">
        <v>536</v>
      </c>
      <c r="N4" s="652"/>
      <c r="O4" s="652" t="s">
        <v>372</v>
      </c>
      <c r="P4" s="649" t="s">
        <v>368</v>
      </c>
      <c r="Q4" s="650"/>
      <c r="R4" s="650"/>
      <c r="S4" s="651"/>
      <c r="T4" s="652" t="s">
        <v>366</v>
      </c>
      <c r="U4" s="649" t="s">
        <v>368</v>
      </c>
      <c r="V4" s="650"/>
      <c r="W4" s="650"/>
      <c r="X4" s="651"/>
      <c r="Y4" s="652" t="s">
        <v>366</v>
      </c>
      <c r="Z4" s="649" t="s">
        <v>368</v>
      </c>
      <c r="AA4" s="650"/>
      <c r="AB4" s="650"/>
      <c r="AC4" s="651"/>
      <c r="AD4" s="652" t="s">
        <v>366</v>
      </c>
      <c r="AE4" s="649" t="s">
        <v>368</v>
      </c>
      <c r="AF4" s="650"/>
      <c r="AG4" s="650"/>
      <c r="AH4" s="651"/>
      <c r="AI4" s="652" t="s">
        <v>366</v>
      </c>
      <c r="AJ4" s="649" t="s">
        <v>368</v>
      </c>
      <c r="AK4" s="650"/>
      <c r="AL4" s="650"/>
      <c r="AM4" s="651"/>
      <c r="AN4" s="652" t="s">
        <v>366</v>
      </c>
      <c r="AO4" s="649" t="s">
        <v>368</v>
      </c>
      <c r="AP4" s="650"/>
      <c r="AQ4" s="650"/>
      <c r="AR4" s="651"/>
      <c r="AS4" s="652" t="s">
        <v>366</v>
      </c>
      <c r="AT4" s="649" t="s">
        <v>368</v>
      </c>
      <c r="AU4" s="650"/>
      <c r="AV4" s="650"/>
      <c r="AW4" s="651"/>
      <c r="AX4" s="652" t="s">
        <v>366</v>
      </c>
      <c r="BA4" s="652" t="s">
        <v>366</v>
      </c>
    </row>
    <row r="5" spans="1:53" ht="14.25">
      <c r="A5" s="81"/>
      <c r="B5" s="652"/>
      <c r="C5" s="652"/>
      <c r="D5" s="652"/>
      <c r="E5" s="652" t="s">
        <v>538</v>
      </c>
      <c r="F5" s="652"/>
      <c r="G5" s="652"/>
      <c r="H5" s="669"/>
      <c r="I5" s="652" t="s">
        <v>538</v>
      </c>
      <c r="J5" s="652"/>
      <c r="K5" s="652"/>
      <c r="L5" s="669"/>
      <c r="M5" s="654"/>
      <c r="N5" s="652"/>
      <c r="O5" s="652"/>
      <c r="P5" s="649" t="s">
        <v>374</v>
      </c>
      <c r="Q5" s="650"/>
      <c r="R5" s="650"/>
      <c r="S5" s="651"/>
      <c r="T5" s="652"/>
      <c r="U5" s="649" t="s">
        <v>374</v>
      </c>
      <c r="V5" s="650"/>
      <c r="W5" s="650"/>
      <c r="X5" s="651"/>
      <c r="Y5" s="652"/>
      <c r="Z5" s="649" t="s">
        <v>374</v>
      </c>
      <c r="AA5" s="650"/>
      <c r="AB5" s="650"/>
      <c r="AC5" s="651"/>
      <c r="AD5" s="652"/>
      <c r="AE5" s="649" t="s">
        <v>374</v>
      </c>
      <c r="AF5" s="650"/>
      <c r="AG5" s="650"/>
      <c r="AH5" s="651"/>
      <c r="AI5" s="652"/>
      <c r="AJ5" s="649" t="s">
        <v>374</v>
      </c>
      <c r="AK5" s="650"/>
      <c r="AL5" s="650"/>
      <c r="AM5" s="651"/>
      <c r="AN5" s="652"/>
      <c r="AO5" s="649" t="s">
        <v>374</v>
      </c>
      <c r="AP5" s="650"/>
      <c r="AQ5" s="650"/>
      <c r="AR5" s="651"/>
      <c r="AS5" s="652"/>
      <c r="AT5" s="649" t="s">
        <v>374</v>
      </c>
      <c r="AU5" s="650"/>
      <c r="AV5" s="650"/>
      <c r="AW5" s="651"/>
      <c r="AX5" s="652"/>
      <c r="BA5" s="652"/>
    </row>
    <row r="6" spans="1:53" ht="14.25">
      <c r="A6" s="79"/>
      <c r="B6" s="652"/>
      <c r="C6" s="652"/>
      <c r="D6" s="652"/>
      <c r="E6" s="529" t="s">
        <v>539</v>
      </c>
      <c r="F6" s="529" t="s">
        <v>540</v>
      </c>
      <c r="G6" s="529" t="s">
        <v>541</v>
      </c>
      <c r="H6" s="670"/>
      <c r="I6" s="529" t="s">
        <v>539</v>
      </c>
      <c r="J6" s="529" t="s">
        <v>540</v>
      </c>
      <c r="K6" s="529" t="s">
        <v>541</v>
      </c>
      <c r="L6" s="670"/>
      <c r="M6" s="655"/>
      <c r="N6" s="652"/>
      <c r="O6" s="652"/>
      <c r="P6" s="529" t="s">
        <v>375</v>
      </c>
      <c r="Q6" s="529" t="s">
        <v>376</v>
      </c>
      <c r="R6" s="529" t="s">
        <v>377</v>
      </c>
      <c r="S6" s="529" t="s">
        <v>367</v>
      </c>
      <c r="T6" s="652"/>
      <c r="U6" s="529" t="s">
        <v>375</v>
      </c>
      <c r="V6" s="529" t="s">
        <v>376</v>
      </c>
      <c r="W6" s="529" t="s">
        <v>377</v>
      </c>
      <c r="X6" s="529" t="s">
        <v>367</v>
      </c>
      <c r="Y6" s="652"/>
      <c r="Z6" s="529" t="s">
        <v>375</v>
      </c>
      <c r="AA6" s="529" t="s">
        <v>376</v>
      </c>
      <c r="AB6" s="529" t="s">
        <v>377</v>
      </c>
      <c r="AC6" s="529" t="s">
        <v>367</v>
      </c>
      <c r="AD6" s="652"/>
      <c r="AE6" s="529" t="s">
        <v>375</v>
      </c>
      <c r="AF6" s="529" t="s">
        <v>376</v>
      </c>
      <c r="AG6" s="529" t="s">
        <v>377</v>
      </c>
      <c r="AH6" s="529" t="s">
        <v>367</v>
      </c>
      <c r="AI6" s="652"/>
      <c r="AJ6" s="529" t="s">
        <v>375</v>
      </c>
      <c r="AK6" s="529" t="s">
        <v>376</v>
      </c>
      <c r="AL6" s="529" t="s">
        <v>377</v>
      </c>
      <c r="AM6" s="529" t="s">
        <v>367</v>
      </c>
      <c r="AN6" s="652"/>
      <c r="AO6" s="529" t="s">
        <v>375</v>
      </c>
      <c r="AP6" s="529" t="s">
        <v>376</v>
      </c>
      <c r="AQ6" s="529" t="s">
        <v>377</v>
      </c>
      <c r="AR6" s="529" t="s">
        <v>367</v>
      </c>
      <c r="AS6" s="652"/>
      <c r="AT6" s="529" t="s">
        <v>375</v>
      </c>
      <c r="AU6" s="529" t="s">
        <v>376</v>
      </c>
      <c r="AV6" s="529" t="s">
        <v>377</v>
      </c>
      <c r="AW6" s="529" t="s">
        <v>367</v>
      </c>
      <c r="AX6" s="652"/>
      <c r="AZ6" s="367" t="s">
        <v>367</v>
      </c>
      <c r="BA6" s="652"/>
    </row>
    <row r="7" spans="1:53" ht="14.25">
      <c r="A7" s="81"/>
      <c r="B7" s="652" t="s">
        <v>136</v>
      </c>
      <c r="C7" s="533">
        <v>1</v>
      </c>
      <c r="D7" s="225" t="s">
        <v>354</v>
      </c>
      <c r="E7" s="531">
        <v>7</v>
      </c>
      <c r="F7" s="530">
        <v>1500</v>
      </c>
      <c r="G7" s="532">
        <v>214.28571428571428</v>
      </c>
      <c r="H7" s="691">
        <f>AVERAGE(G7:G21)</f>
        <v>174.62263655462186</v>
      </c>
      <c r="I7" s="534">
        <f t="shared" ref="I7:I20" si="0">IFERROR(AVERAGE(P7,U7,Z7,AE7,AJ7,AO7,AT7),"-")</f>
        <v>7</v>
      </c>
      <c r="J7" s="534">
        <f t="shared" ref="J7:J20" si="1">IFERROR(AVERAGE(Q7,V7,AA7,AF7,AK7,AP7,AU7),"-")</f>
        <v>1433.4650434660934</v>
      </c>
      <c r="K7" s="199">
        <f t="shared" ref="K7:K20" si="2">IFERROR(AVERAGE(R7,W7,AB7,AG7,AL7,AQ7,AV7),"-")</f>
        <v>204.7807204951562</v>
      </c>
      <c r="L7" s="633">
        <f>IFERROR(AVERAGE(K7:K21),"-")</f>
        <v>154.25168647727864</v>
      </c>
      <c r="M7" s="510">
        <f>RANK(K7, K$7:$K$21)</f>
        <v>3</v>
      </c>
      <c r="N7" s="652"/>
      <c r="O7" s="652"/>
      <c r="P7" s="533"/>
      <c r="Q7" s="510"/>
      <c r="R7" s="510"/>
      <c r="S7" s="530"/>
      <c r="T7" s="685"/>
      <c r="U7" s="533"/>
      <c r="V7" s="510"/>
      <c r="W7" s="510"/>
      <c r="X7" s="555"/>
      <c r="Y7" s="685"/>
      <c r="Z7" s="533"/>
      <c r="AA7" s="510"/>
      <c r="AB7" s="510"/>
      <c r="AC7" s="555"/>
      <c r="AD7" s="685"/>
      <c r="AE7" s="533"/>
      <c r="AF7" s="510"/>
      <c r="AG7" s="510"/>
      <c r="AH7" s="555"/>
      <c r="AI7" s="685"/>
      <c r="AJ7" s="533">
        <v>7</v>
      </c>
      <c r="AK7" s="510">
        <v>1438.4210526315796</v>
      </c>
      <c r="AL7" s="510">
        <v>205.48872180451139</v>
      </c>
      <c r="AM7" s="555">
        <f>RANK(AL7, AL$7:AL$21)</f>
        <v>2</v>
      </c>
      <c r="AN7" s="685">
        <f t="shared" ref="AN7" si="3">AVERAGE(AL7:AL21)</f>
        <v>153.36948686684622</v>
      </c>
      <c r="AO7" s="533">
        <v>7</v>
      </c>
      <c r="AP7" s="510">
        <v>1427.0588235294124</v>
      </c>
      <c r="AQ7" s="510">
        <v>203.86554621848748</v>
      </c>
      <c r="AR7" s="555">
        <f>RANK(AQ7, AQ$7:AQ$21)</f>
        <v>3</v>
      </c>
      <c r="AS7" s="685">
        <f t="shared" ref="AS7" si="4">AVERAGE(AQ7:AQ21)</f>
        <v>153.34732885322475</v>
      </c>
      <c r="AT7" s="530">
        <v>7</v>
      </c>
      <c r="AU7" s="531">
        <v>1434.9152542372883</v>
      </c>
      <c r="AV7" s="531">
        <v>204.98789346246977</v>
      </c>
      <c r="AW7" s="555">
        <f>RANK(AV7, AV$7:AV$21)</f>
        <v>4</v>
      </c>
      <c r="AX7" s="685">
        <f t="shared" ref="AX7" si="5">AVERAGE(AV7:AV21)</f>
        <v>156.03824371176495</v>
      </c>
      <c r="AZ7" s="369" t="e">
        <f t="shared" ref="AZ7:AZ21" si="6">RANK(AY7, AY$7:AY$21)</f>
        <v>#N/A</v>
      </c>
      <c r="BA7" s="710" t="e">
        <f t="shared" ref="BA7" si="7">AVERAGE(AY7:AY21)</f>
        <v>#DIV/0!</v>
      </c>
    </row>
    <row r="8" spans="1:53" ht="15" customHeight="1">
      <c r="A8" s="81"/>
      <c r="B8" s="680"/>
      <c r="C8" s="533">
        <v>2</v>
      </c>
      <c r="D8" s="225" t="s">
        <v>355</v>
      </c>
      <c r="E8" s="531">
        <v>7</v>
      </c>
      <c r="F8" s="530">
        <v>1500</v>
      </c>
      <c r="G8" s="532">
        <v>214.28571428571428</v>
      </c>
      <c r="H8" s="692"/>
      <c r="I8" s="534">
        <f t="shared" si="0"/>
        <v>7</v>
      </c>
      <c r="J8" s="534">
        <f t="shared" si="1"/>
        <v>1453.4146332668654</v>
      </c>
      <c r="K8" s="199">
        <f t="shared" si="2"/>
        <v>207.63066189526648</v>
      </c>
      <c r="L8" s="634"/>
      <c r="M8" s="510">
        <f>RANK(K8, K$7:$K$21)</f>
        <v>1</v>
      </c>
      <c r="N8" s="652"/>
      <c r="O8" s="652"/>
      <c r="P8" s="533"/>
      <c r="Q8" s="510"/>
      <c r="R8" s="510"/>
      <c r="S8" s="555"/>
      <c r="T8" s="685"/>
      <c r="U8" s="533"/>
      <c r="V8" s="510"/>
      <c r="W8" s="510"/>
      <c r="X8" s="555"/>
      <c r="Y8" s="685"/>
      <c r="Z8" s="533"/>
      <c r="AA8" s="510"/>
      <c r="AB8" s="510"/>
      <c r="AC8" s="555"/>
      <c r="AD8" s="685"/>
      <c r="AE8" s="533"/>
      <c r="AF8" s="510"/>
      <c r="AG8" s="510"/>
      <c r="AH8" s="555"/>
      <c r="AI8" s="685"/>
      <c r="AJ8" s="533">
        <v>7</v>
      </c>
      <c r="AK8" s="510">
        <v>1429.6551724137933</v>
      </c>
      <c r="AL8" s="510">
        <v>204.23645320197048</v>
      </c>
      <c r="AM8" s="555">
        <f t="shared" ref="AM8:AM21" si="8">RANK(AL8, AL$7:AL$21)</f>
        <v>3</v>
      </c>
      <c r="AN8" s="685"/>
      <c r="AO8" s="533">
        <v>7</v>
      </c>
      <c r="AP8" s="510">
        <v>1468.3969465648854</v>
      </c>
      <c r="AQ8" s="510">
        <v>209.7709923664122</v>
      </c>
      <c r="AR8" s="555">
        <f t="shared" ref="AR8:AR21" si="9">RANK(AQ8, AQ$7:AQ$21)</f>
        <v>1</v>
      </c>
      <c r="AS8" s="685"/>
      <c r="AT8" s="530">
        <v>7</v>
      </c>
      <c r="AU8" s="531">
        <v>1462.1917808219175</v>
      </c>
      <c r="AV8" s="531">
        <v>208.88454011741678</v>
      </c>
      <c r="AW8" s="555">
        <f t="shared" ref="AW8:AW21" si="10">RANK(AV8, AV$7:AV$21)</f>
        <v>1</v>
      </c>
      <c r="AX8" s="685"/>
      <c r="AZ8" s="369" t="e">
        <f t="shared" si="6"/>
        <v>#N/A</v>
      </c>
      <c r="BA8" s="710"/>
    </row>
    <row r="9" spans="1:53" ht="14.25">
      <c r="A9" s="81"/>
      <c r="B9" s="680"/>
      <c r="C9" s="533">
        <v>3</v>
      </c>
      <c r="D9" s="225" t="s">
        <v>356</v>
      </c>
      <c r="E9" s="531">
        <v>17</v>
      </c>
      <c r="F9" s="530">
        <v>1500</v>
      </c>
      <c r="G9" s="532">
        <v>88.235294117647058</v>
      </c>
      <c r="H9" s="692"/>
      <c r="I9" s="534">
        <f t="shared" si="0"/>
        <v>17</v>
      </c>
      <c r="J9" s="534">
        <f t="shared" si="1"/>
        <v>1389.9943786255506</v>
      </c>
      <c r="K9" s="199">
        <f t="shared" si="2"/>
        <v>81.76437521326767</v>
      </c>
      <c r="L9" s="634"/>
      <c r="M9" s="510">
        <f>RANK(K9, K$7:$K$21)</f>
        <v>9</v>
      </c>
      <c r="N9" s="652"/>
      <c r="O9" s="652"/>
      <c r="P9" s="533"/>
      <c r="Q9" s="510"/>
      <c r="R9" s="510"/>
      <c r="S9" s="555"/>
      <c r="T9" s="685"/>
      <c r="U9" s="533"/>
      <c r="V9" s="510"/>
      <c r="W9" s="510"/>
      <c r="X9" s="555"/>
      <c r="Y9" s="685"/>
      <c r="Z9" s="533"/>
      <c r="AA9" s="510"/>
      <c r="AB9" s="510"/>
      <c r="AC9" s="555"/>
      <c r="AD9" s="685"/>
      <c r="AE9" s="533"/>
      <c r="AF9" s="510"/>
      <c r="AG9" s="510"/>
      <c r="AH9" s="555"/>
      <c r="AI9" s="685"/>
      <c r="AJ9" s="533">
        <v>17</v>
      </c>
      <c r="AK9" s="510">
        <v>1383.8644067796613</v>
      </c>
      <c r="AL9" s="510">
        <v>81.403788634097722</v>
      </c>
      <c r="AM9" s="555">
        <f t="shared" si="8"/>
        <v>9</v>
      </c>
      <c r="AN9" s="685"/>
      <c r="AO9" s="533">
        <v>17</v>
      </c>
      <c r="AP9" s="510">
        <v>1376.695652173913</v>
      </c>
      <c r="AQ9" s="510">
        <v>80.98209718670077</v>
      </c>
      <c r="AR9" s="555">
        <f t="shared" si="9"/>
        <v>9</v>
      </c>
      <c r="AS9" s="685"/>
      <c r="AT9" s="530">
        <v>17</v>
      </c>
      <c r="AU9" s="531">
        <v>1409.4230769230771</v>
      </c>
      <c r="AV9" s="531">
        <v>82.907239819004531</v>
      </c>
      <c r="AW9" s="555">
        <f t="shared" si="10"/>
        <v>9</v>
      </c>
      <c r="AX9" s="685"/>
      <c r="AZ9" s="369" t="e">
        <f t="shared" si="6"/>
        <v>#N/A</v>
      </c>
      <c r="BA9" s="710"/>
    </row>
    <row r="10" spans="1:53" ht="14.25">
      <c r="A10" s="81"/>
      <c r="B10" s="680"/>
      <c r="C10" s="533">
        <v>4</v>
      </c>
      <c r="D10" s="225" t="s">
        <v>388</v>
      </c>
      <c r="E10" s="531">
        <v>7</v>
      </c>
      <c r="F10" s="530">
        <v>1500</v>
      </c>
      <c r="G10" s="532">
        <v>214.28571428571428</v>
      </c>
      <c r="H10" s="692"/>
      <c r="I10" s="534">
        <f t="shared" si="0"/>
        <v>7</v>
      </c>
      <c r="J10" s="534">
        <f t="shared" si="1"/>
        <v>1445.5377215264537</v>
      </c>
      <c r="K10" s="199">
        <f t="shared" si="2"/>
        <v>206.50538878949342</v>
      </c>
      <c r="L10" s="634"/>
      <c r="M10" s="510">
        <f>RANK(K10, K$7:$K$21)</f>
        <v>2</v>
      </c>
      <c r="N10" s="652"/>
      <c r="O10" s="652"/>
      <c r="P10" s="533"/>
      <c r="Q10" s="510"/>
      <c r="R10" s="510"/>
      <c r="S10" s="555"/>
      <c r="T10" s="685"/>
      <c r="U10" s="533"/>
      <c r="V10" s="510"/>
      <c r="W10" s="510"/>
      <c r="X10" s="555"/>
      <c r="Y10" s="685"/>
      <c r="Z10" s="533"/>
      <c r="AA10" s="510"/>
      <c r="AB10" s="510"/>
      <c r="AC10" s="555"/>
      <c r="AD10" s="685"/>
      <c r="AE10" s="533"/>
      <c r="AF10" s="510"/>
      <c r="AG10" s="510"/>
      <c r="AH10" s="555"/>
      <c r="AI10" s="685"/>
      <c r="AJ10" s="533">
        <v>7</v>
      </c>
      <c r="AK10" s="510">
        <v>1445.3658536585367</v>
      </c>
      <c r="AL10" s="510">
        <v>206.48083623693381</v>
      </c>
      <c r="AM10" s="555">
        <f t="shared" si="8"/>
        <v>1</v>
      </c>
      <c r="AN10" s="685"/>
      <c r="AO10" s="533">
        <v>7</v>
      </c>
      <c r="AP10" s="510">
        <v>1454.3046357615892</v>
      </c>
      <c r="AQ10" s="510">
        <v>207.75780510879846</v>
      </c>
      <c r="AR10" s="555">
        <f t="shared" si="9"/>
        <v>2</v>
      </c>
      <c r="AS10" s="685"/>
      <c r="AT10" s="530">
        <v>7</v>
      </c>
      <c r="AU10" s="531">
        <v>1436.9426751592359</v>
      </c>
      <c r="AV10" s="531">
        <v>205.27752502274799</v>
      </c>
      <c r="AW10" s="555">
        <f t="shared" si="10"/>
        <v>2</v>
      </c>
      <c r="AX10" s="685"/>
      <c r="AZ10" s="369" t="e">
        <f t="shared" si="6"/>
        <v>#N/A</v>
      </c>
      <c r="BA10" s="710"/>
    </row>
    <row r="11" spans="1:53" ht="14.25">
      <c r="A11" s="81"/>
      <c r="B11" s="680"/>
      <c r="C11" s="533">
        <v>5</v>
      </c>
      <c r="D11" s="225" t="s">
        <v>577</v>
      </c>
      <c r="E11" s="531">
        <v>12</v>
      </c>
      <c r="F11" s="530">
        <v>2000</v>
      </c>
      <c r="G11" s="532">
        <v>166.66666666666666</v>
      </c>
      <c r="H11" s="692"/>
      <c r="I11" s="534">
        <f t="shared" si="0"/>
        <v>12</v>
      </c>
      <c r="J11" s="534">
        <f t="shared" si="1"/>
        <v>1553.1510350115004</v>
      </c>
      <c r="K11" s="199">
        <f t="shared" si="2"/>
        <v>129.42925291762504</v>
      </c>
      <c r="L11" s="634"/>
      <c r="M11" s="510">
        <f>RANK(K11, K$7:$K$21)</f>
        <v>6</v>
      </c>
      <c r="N11" s="652"/>
      <c r="O11" s="652"/>
      <c r="P11" s="533"/>
      <c r="Q11" s="510"/>
      <c r="R11" s="510"/>
      <c r="S11" s="555"/>
      <c r="T11" s="685"/>
      <c r="U11" s="533"/>
      <c r="V11" s="510"/>
      <c r="W11" s="510"/>
      <c r="X11" s="555"/>
      <c r="Y11" s="685"/>
      <c r="Z11" s="533"/>
      <c r="AA11" s="510"/>
      <c r="AB11" s="510"/>
      <c r="AC11" s="555"/>
      <c r="AD11" s="685"/>
      <c r="AE11" s="533"/>
      <c r="AF11" s="510"/>
      <c r="AG11" s="510"/>
      <c r="AH11" s="555"/>
      <c r="AI11" s="685"/>
      <c r="AJ11" s="533">
        <v>12</v>
      </c>
      <c r="AK11" s="510">
        <v>1546.0465116279083</v>
      </c>
      <c r="AL11" s="510">
        <v>128.8372093023257</v>
      </c>
      <c r="AM11" s="555">
        <f t="shared" si="8"/>
        <v>6</v>
      </c>
      <c r="AN11" s="685"/>
      <c r="AO11" s="533">
        <v>12</v>
      </c>
      <c r="AP11" s="510">
        <v>1545.7142857142853</v>
      </c>
      <c r="AQ11" s="510">
        <v>128.80952380952377</v>
      </c>
      <c r="AR11" s="555">
        <f t="shared" si="9"/>
        <v>6</v>
      </c>
      <c r="AS11" s="685"/>
      <c r="AT11" s="530">
        <v>12</v>
      </c>
      <c r="AU11" s="531">
        <v>1567.6923076923078</v>
      </c>
      <c r="AV11" s="531">
        <v>130.64102564102566</v>
      </c>
      <c r="AW11" s="555">
        <f t="shared" si="10"/>
        <v>6</v>
      </c>
      <c r="AX11" s="685"/>
      <c r="AZ11" s="369" t="e">
        <f t="shared" si="6"/>
        <v>#N/A</v>
      </c>
      <c r="BA11" s="710"/>
    </row>
    <row r="12" spans="1:53" ht="14.25">
      <c r="A12" s="81"/>
      <c r="B12" s="680"/>
      <c r="C12" s="533">
        <v>6</v>
      </c>
      <c r="D12" s="225" t="s">
        <v>562</v>
      </c>
      <c r="E12" s="531">
        <v>7</v>
      </c>
      <c r="F12" s="530">
        <v>1500</v>
      </c>
      <c r="G12" s="532">
        <v>214.28571428571428</v>
      </c>
      <c r="H12" s="692"/>
      <c r="I12" s="534">
        <f t="shared" si="0"/>
        <v>7</v>
      </c>
      <c r="J12" s="534">
        <f t="shared" si="1"/>
        <v>1429.0074531556772</v>
      </c>
      <c r="K12" s="199">
        <f t="shared" si="2"/>
        <v>204.14392187938248</v>
      </c>
      <c r="L12" s="634"/>
      <c r="M12" s="510">
        <f>RANK(K12, K$7:$K$21)</f>
        <v>4</v>
      </c>
      <c r="N12" s="652"/>
      <c r="O12" s="652"/>
      <c r="P12" s="533"/>
      <c r="Q12" s="510"/>
      <c r="R12" s="510"/>
      <c r="S12" s="555"/>
      <c r="T12" s="685"/>
      <c r="U12" s="533"/>
      <c r="V12" s="510"/>
      <c r="W12" s="510"/>
      <c r="X12" s="555"/>
      <c r="Y12" s="685"/>
      <c r="Z12" s="533"/>
      <c r="AA12" s="510"/>
      <c r="AB12" s="510"/>
      <c r="AC12" s="555"/>
      <c r="AD12" s="685"/>
      <c r="AE12" s="533"/>
      <c r="AF12" s="510"/>
      <c r="AG12" s="510"/>
      <c r="AH12" s="555"/>
      <c r="AI12" s="685"/>
      <c r="AJ12" s="533">
        <v>7</v>
      </c>
      <c r="AK12" s="510">
        <v>1427.5862068965507</v>
      </c>
      <c r="AL12" s="510">
        <v>203.94088669950725</v>
      </c>
      <c r="AM12" s="555">
        <f t="shared" si="8"/>
        <v>4</v>
      </c>
      <c r="AN12" s="685"/>
      <c r="AO12" s="533">
        <v>7</v>
      </c>
      <c r="AP12" s="510">
        <v>1423.8805970149253</v>
      </c>
      <c r="AQ12" s="510">
        <v>203.41151385927506</v>
      </c>
      <c r="AR12" s="555">
        <f t="shared" si="9"/>
        <v>4</v>
      </c>
      <c r="AS12" s="685"/>
      <c r="AT12" s="530">
        <v>7</v>
      </c>
      <c r="AU12" s="531">
        <v>1435.5555555555559</v>
      </c>
      <c r="AV12" s="531">
        <v>205.07936507936512</v>
      </c>
      <c r="AW12" s="555">
        <f t="shared" si="10"/>
        <v>3</v>
      </c>
      <c r="AX12" s="685"/>
      <c r="AZ12" s="369" t="e">
        <f t="shared" si="6"/>
        <v>#N/A</v>
      </c>
      <c r="BA12" s="710"/>
    </row>
    <row r="13" spans="1:53" ht="14.25">
      <c r="A13" s="81"/>
      <c r="B13" s="680"/>
      <c r="C13" s="533">
        <v>7</v>
      </c>
      <c r="D13" s="225" t="s">
        <v>605</v>
      </c>
      <c r="E13" s="531">
        <v>12</v>
      </c>
      <c r="F13" s="530">
        <v>2000</v>
      </c>
      <c r="G13" s="532">
        <v>166.66666666666666</v>
      </c>
      <c r="H13" s="692"/>
      <c r="I13" s="534">
        <f t="shared" si="0"/>
        <v>12</v>
      </c>
      <c r="J13" s="534">
        <f t="shared" si="1"/>
        <v>1477.6827991729131</v>
      </c>
      <c r="K13" s="199">
        <f t="shared" si="2"/>
        <v>123.1402332644094</v>
      </c>
      <c r="L13" s="634"/>
      <c r="M13" s="510">
        <f>RANK(K13, K$7:$K$21)</f>
        <v>7</v>
      </c>
      <c r="N13" s="652"/>
      <c r="O13" s="652"/>
      <c r="P13" s="533"/>
      <c r="Q13" s="510"/>
      <c r="R13" s="510"/>
      <c r="S13" s="555"/>
      <c r="T13" s="685"/>
      <c r="U13" s="533"/>
      <c r="V13" s="510"/>
      <c r="W13" s="510"/>
      <c r="X13" s="555"/>
      <c r="Y13" s="685"/>
      <c r="Z13" s="533"/>
      <c r="AA13" s="510"/>
      <c r="AB13" s="510"/>
      <c r="AC13" s="555"/>
      <c r="AD13" s="685"/>
      <c r="AE13" s="533"/>
      <c r="AF13" s="510"/>
      <c r="AG13" s="510"/>
      <c r="AH13" s="555"/>
      <c r="AI13" s="685"/>
      <c r="AJ13" s="533">
        <v>12</v>
      </c>
      <c r="AK13" s="510">
        <v>1478.25</v>
      </c>
      <c r="AL13" s="510">
        <v>123.1875</v>
      </c>
      <c r="AM13" s="555">
        <f t="shared" si="8"/>
        <v>7</v>
      </c>
      <c r="AN13" s="685"/>
      <c r="AO13" s="533">
        <v>12</v>
      </c>
      <c r="AP13" s="510">
        <v>1472.2641509433959</v>
      </c>
      <c r="AQ13" s="510">
        <v>122.68867924528298</v>
      </c>
      <c r="AR13" s="555">
        <f t="shared" si="9"/>
        <v>7</v>
      </c>
      <c r="AS13" s="685"/>
      <c r="AT13" s="530">
        <v>12</v>
      </c>
      <c r="AU13" s="531">
        <v>1482.5342465753426</v>
      </c>
      <c r="AV13" s="531">
        <v>123.54452054794523</v>
      </c>
      <c r="AW13" s="555">
        <f t="shared" si="10"/>
        <v>8</v>
      </c>
      <c r="AX13" s="685"/>
      <c r="AZ13" s="369" t="e">
        <f t="shared" si="6"/>
        <v>#N/A</v>
      </c>
      <c r="BA13" s="710"/>
    </row>
    <row r="14" spans="1:53" ht="14.25">
      <c r="A14" s="81"/>
      <c r="B14" s="680"/>
      <c r="C14" s="533">
        <v>8</v>
      </c>
      <c r="D14" s="225" t="s">
        <v>606</v>
      </c>
      <c r="E14" s="531">
        <v>12</v>
      </c>
      <c r="F14" s="530">
        <v>2000</v>
      </c>
      <c r="G14" s="532">
        <v>166.66666666666666</v>
      </c>
      <c r="H14" s="692"/>
      <c r="I14" s="534">
        <f t="shared" si="0"/>
        <v>12</v>
      </c>
      <c r="J14" s="534">
        <f t="shared" si="1"/>
        <v>1381.1573498964801</v>
      </c>
      <c r="K14" s="199">
        <f t="shared" si="2"/>
        <v>115.09644582470669</v>
      </c>
      <c r="L14" s="634"/>
      <c r="M14" s="510">
        <f>RANK(K14, K$7:$K$21)</f>
        <v>8</v>
      </c>
      <c r="N14" s="652"/>
      <c r="O14" s="652"/>
      <c r="P14" s="533"/>
      <c r="Q14" s="510"/>
      <c r="R14" s="510"/>
      <c r="S14" s="555"/>
      <c r="T14" s="685"/>
      <c r="U14" s="533"/>
      <c r="V14" s="510"/>
      <c r="W14" s="510"/>
      <c r="X14" s="555"/>
      <c r="Y14" s="685"/>
      <c r="Z14" s="533"/>
      <c r="AA14" s="510"/>
      <c r="AB14" s="510"/>
      <c r="AC14" s="555"/>
      <c r="AD14" s="685"/>
      <c r="AE14" s="533"/>
      <c r="AF14" s="510"/>
      <c r="AG14" s="510"/>
      <c r="AH14" s="555"/>
      <c r="AI14" s="685"/>
      <c r="AJ14" s="533">
        <v>12</v>
      </c>
      <c r="AK14" s="510">
        <v>1304.0000000000014</v>
      </c>
      <c r="AL14" s="510">
        <v>108.66666666666679</v>
      </c>
      <c r="AM14" s="555">
        <f t="shared" si="8"/>
        <v>8</v>
      </c>
      <c r="AN14" s="685"/>
      <c r="AO14" s="533">
        <v>12</v>
      </c>
      <c r="AP14" s="510">
        <v>1333.0434782608695</v>
      </c>
      <c r="AQ14" s="510">
        <v>111.08695652173913</v>
      </c>
      <c r="AR14" s="555">
        <f t="shared" si="9"/>
        <v>8</v>
      </c>
      <c r="AS14" s="685"/>
      <c r="AT14" s="530">
        <v>12</v>
      </c>
      <c r="AU14" s="531">
        <v>1506.4285714285702</v>
      </c>
      <c r="AV14" s="531">
        <v>125.53571428571418</v>
      </c>
      <c r="AW14" s="555">
        <f t="shared" si="10"/>
        <v>7</v>
      </c>
      <c r="AX14" s="685"/>
      <c r="AZ14" s="369" t="e">
        <f t="shared" si="6"/>
        <v>#N/A</v>
      </c>
      <c r="BA14" s="710"/>
    </row>
    <row r="15" spans="1:53" ht="14.25">
      <c r="A15" s="81"/>
      <c r="B15" s="680"/>
      <c r="C15" s="533">
        <v>9</v>
      </c>
      <c r="D15" s="225" t="s">
        <v>617</v>
      </c>
      <c r="E15" s="531">
        <v>16</v>
      </c>
      <c r="F15" s="530">
        <v>1385</v>
      </c>
      <c r="G15" s="532">
        <v>86.5625</v>
      </c>
      <c r="H15" s="692"/>
      <c r="I15" s="534">
        <f t="shared" si="0"/>
        <v>16</v>
      </c>
      <c r="J15" s="534">
        <f t="shared" si="1"/>
        <v>1093.3584383096575</v>
      </c>
      <c r="K15" s="199">
        <f t="shared" si="2"/>
        <v>68.334902394353591</v>
      </c>
      <c r="L15" s="634"/>
      <c r="M15" s="510">
        <f>RANK(K15, K$7:$K$21)</f>
        <v>10</v>
      </c>
      <c r="N15" s="652"/>
      <c r="O15" s="652"/>
      <c r="P15" s="533"/>
      <c r="Q15" s="510"/>
      <c r="R15" s="510"/>
      <c r="S15" s="555"/>
      <c r="T15" s="685"/>
      <c r="U15" s="533"/>
      <c r="V15" s="510"/>
      <c r="W15" s="510"/>
      <c r="X15" s="555"/>
      <c r="Y15" s="685"/>
      <c r="Z15" s="533"/>
      <c r="AA15" s="510"/>
      <c r="AB15" s="510"/>
      <c r="AC15" s="555"/>
      <c r="AD15" s="685"/>
      <c r="AE15" s="533"/>
      <c r="AF15" s="510"/>
      <c r="AG15" s="510"/>
      <c r="AH15" s="555"/>
      <c r="AI15" s="685"/>
      <c r="AJ15" s="533">
        <v>16</v>
      </c>
      <c r="AK15" s="510">
        <v>1090.9999999999995</v>
      </c>
      <c r="AL15" s="510">
        <v>68.187499999999972</v>
      </c>
      <c r="AM15" s="555">
        <f t="shared" si="8"/>
        <v>10</v>
      </c>
      <c r="AN15" s="685"/>
      <c r="AO15" s="533">
        <v>16</v>
      </c>
      <c r="AP15" s="510">
        <v>1087.3170731707312</v>
      </c>
      <c r="AQ15" s="510">
        <v>67.957317073170699</v>
      </c>
      <c r="AR15" s="555">
        <f t="shared" si="9"/>
        <v>10</v>
      </c>
      <c r="AS15" s="685"/>
      <c r="AT15" s="530">
        <v>16</v>
      </c>
      <c r="AU15" s="531">
        <v>1101.7582417582416</v>
      </c>
      <c r="AV15" s="531">
        <v>68.859890109890102</v>
      </c>
      <c r="AW15" s="555">
        <f t="shared" si="10"/>
        <v>10</v>
      </c>
      <c r="AX15" s="685"/>
      <c r="AZ15" s="369" t="e">
        <f t="shared" si="6"/>
        <v>#N/A</v>
      </c>
      <c r="BA15" s="710"/>
    </row>
    <row r="16" spans="1:53" ht="14.25">
      <c r="A16" s="81"/>
      <c r="B16" s="680"/>
      <c r="C16" s="533">
        <v>10</v>
      </c>
      <c r="D16" s="225" t="s">
        <v>621</v>
      </c>
      <c r="E16" s="531">
        <v>7</v>
      </c>
      <c r="F16" s="530">
        <v>1500</v>
      </c>
      <c r="G16" s="532">
        <v>214.28571428571428</v>
      </c>
      <c r="H16" s="692"/>
      <c r="I16" s="534">
        <f t="shared" si="0"/>
        <v>7</v>
      </c>
      <c r="J16" s="534">
        <f t="shared" si="1"/>
        <v>1411.8367346938776</v>
      </c>
      <c r="K16" s="199">
        <f t="shared" si="2"/>
        <v>201.69096209912539</v>
      </c>
      <c r="L16" s="634"/>
      <c r="M16" s="510">
        <f>RANK(K16, K$7:$K$21)</f>
        <v>5</v>
      </c>
      <c r="N16" s="652"/>
      <c r="O16" s="652"/>
      <c r="P16" s="533"/>
      <c r="Q16" s="510"/>
      <c r="R16" s="510"/>
      <c r="S16" s="555"/>
      <c r="T16" s="685"/>
      <c r="U16" s="533"/>
      <c r="V16" s="510"/>
      <c r="W16" s="510"/>
      <c r="X16" s="555"/>
      <c r="Y16" s="685"/>
      <c r="Z16" s="533"/>
      <c r="AA16" s="510"/>
      <c r="AB16" s="510"/>
      <c r="AC16" s="555"/>
      <c r="AD16" s="685"/>
      <c r="AE16" s="533"/>
      <c r="AF16" s="510"/>
      <c r="AG16" s="510"/>
      <c r="AH16" s="555"/>
      <c r="AI16" s="685"/>
      <c r="AJ16" s="533">
        <v>7</v>
      </c>
      <c r="AK16" s="510">
        <v>1422.857142857144</v>
      </c>
      <c r="AL16" s="510">
        <v>203.26530612244915</v>
      </c>
      <c r="AM16" s="555">
        <f t="shared" si="8"/>
        <v>5</v>
      </c>
      <c r="AN16" s="685"/>
      <c r="AO16" s="533">
        <v>7</v>
      </c>
      <c r="AP16" s="510">
        <v>1379.9999999999989</v>
      </c>
      <c r="AQ16" s="510">
        <v>197.14285714285697</v>
      </c>
      <c r="AR16" s="555">
        <f t="shared" si="9"/>
        <v>5</v>
      </c>
      <c r="AS16" s="685"/>
      <c r="AT16" s="530">
        <v>7</v>
      </c>
      <c r="AU16" s="531">
        <v>1432.6530612244901</v>
      </c>
      <c r="AV16" s="531">
        <v>204.66472303207001</v>
      </c>
      <c r="AW16" s="555">
        <f t="shared" si="10"/>
        <v>5</v>
      </c>
      <c r="AX16" s="685"/>
      <c r="AZ16" s="369" t="e">
        <f t="shared" si="6"/>
        <v>#N/A</v>
      </c>
      <c r="BA16" s="710"/>
    </row>
    <row r="17" spans="2:53">
      <c r="B17" s="680"/>
      <c r="C17" s="533">
        <v>11</v>
      </c>
      <c r="D17" s="225"/>
      <c r="E17" s="531"/>
      <c r="F17" s="530"/>
      <c r="G17" s="532"/>
      <c r="H17" s="692"/>
      <c r="I17" s="534" t="str">
        <f t="shared" si="0"/>
        <v>-</v>
      </c>
      <c r="J17" s="534" t="str">
        <f t="shared" si="1"/>
        <v>-</v>
      </c>
      <c r="K17" s="199" t="str">
        <f t="shared" si="2"/>
        <v>-</v>
      </c>
      <c r="L17" s="634"/>
      <c r="M17" s="510" t="e">
        <f>RANK(K17, K$7:$K$21)</f>
        <v>#VALUE!</v>
      </c>
      <c r="N17" s="652"/>
      <c r="O17" s="652"/>
      <c r="P17" s="533"/>
      <c r="Q17" s="510"/>
      <c r="R17" s="510"/>
      <c r="S17" s="555"/>
      <c r="T17" s="685"/>
      <c r="U17" s="533"/>
      <c r="V17" s="510"/>
      <c r="W17" s="510"/>
      <c r="X17" s="555"/>
      <c r="Y17" s="685"/>
      <c r="Z17" s="533"/>
      <c r="AA17" s="510"/>
      <c r="AB17" s="510"/>
      <c r="AC17" s="555"/>
      <c r="AD17" s="685"/>
      <c r="AE17" s="533"/>
      <c r="AF17" s="510"/>
      <c r="AG17" s="510"/>
      <c r="AH17" s="555"/>
      <c r="AI17" s="685"/>
      <c r="AJ17" s="533" t="s">
        <v>585</v>
      </c>
      <c r="AK17" s="510" t="s">
        <v>585</v>
      </c>
      <c r="AL17" s="510" t="s">
        <v>585</v>
      </c>
      <c r="AM17" s="555" t="e">
        <f t="shared" si="8"/>
        <v>#VALUE!</v>
      </c>
      <c r="AN17" s="685"/>
      <c r="AO17" s="533" t="s">
        <v>585</v>
      </c>
      <c r="AP17" s="510" t="s">
        <v>585</v>
      </c>
      <c r="AQ17" s="510" t="s">
        <v>585</v>
      </c>
      <c r="AR17" s="555" t="e">
        <f t="shared" si="9"/>
        <v>#VALUE!</v>
      </c>
      <c r="AS17" s="685"/>
      <c r="AT17" s="530" t="s">
        <v>585</v>
      </c>
      <c r="AU17" s="531" t="s">
        <v>585</v>
      </c>
      <c r="AV17" s="531" t="s">
        <v>585</v>
      </c>
      <c r="AW17" s="555" t="e">
        <f t="shared" si="10"/>
        <v>#VALUE!</v>
      </c>
      <c r="AX17" s="685"/>
      <c r="AZ17" s="369" t="e">
        <f t="shared" si="6"/>
        <v>#N/A</v>
      </c>
      <c r="BA17" s="710"/>
    </row>
    <row r="18" spans="2:53">
      <c r="B18" s="680"/>
      <c r="C18" s="533">
        <v>12</v>
      </c>
      <c r="D18" s="225"/>
      <c r="E18" s="531"/>
      <c r="F18" s="530"/>
      <c r="G18" s="532"/>
      <c r="H18" s="692"/>
      <c r="I18" s="534" t="str">
        <f t="shared" si="0"/>
        <v>-</v>
      </c>
      <c r="J18" s="534" t="str">
        <f t="shared" si="1"/>
        <v>-</v>
      </c>
      <c r="K18" s="199" t="str">
        <f t="shared" si="2"/>
        <v>-</v>
      </c>
      <c r="L18" s="634"/>
      <c r="M18" s="510" t="e">
        <f>RANK(K18, K$7:$K$21)</f>
        <v>#VALUE!</v>
      </c>
      <c r="N18" s="652"/>
      <c r="O18" s="652"/>
      <c r="P18" s="533"/>
      <c r="Q18" s="510"/>
      <c r="R18" s="510"/>
      <c r="S18" s="555"/>
      <c r="T18" s="685"/>
      <c r="U18" s="533"/>
      <c r="V18" s="510"/>
      <c r="W18" s="510"/>
      <c r="X18" s="555"/>
      <c r="Y18" s="685"/>
      <c r="Z18" s="533"/>
      <c r="AA18" s="510"/>
      <c r="AB18" s="510"/>
      <c r="AC18" s="555"/>
      <c r="AD18" s="685"/>
      <c r="AE18" s="533"/>
      <c r="AF18" s="510"/>
      <c r="AG18" s="510"/>
      <c r="AH18" s="555"/>
      <c r="AI18" s="685"/>
      <c r="AJ18" s="533" t="s">
        <v>585</v>
      </c>
      <c r="AK18" s="510" t="s">
        <v>585</v>
      </c>
      <c r="AL18" s="510" t="s">
        <v>585</v>
      </c>
      <c r="AM18" s="555" t="e">
        <f t="shared" si="8"/>
        <v>#VALUE!</v>
      </c>
      <c r="AN18" s="685"/>
      <c r="AO18" s="533" t="s">
        <v>585</v>
      </c>
      <c r="AP18" s="510" t="s">
        <v>585</v>
      </c>
      <c r="AQ18" s="510" t="s">
        <v>585</v>
      </c>
      <c r="AR18" s="555" t="e">
        <f t="shared" si="9"/>
        <v>#VALUE!</v>
      </c>
      <c r="AS18" s="685"/>
      <c r="AT18" s="530" t="s">
        <v>585</v>
      </c>
      <c r="AU18" s="531" t="s">
        <v>585</v>
      </c>
      <c r="AV18" s="531" t="s">
        <v>585</v>
      </c>
      <c r="AW18" s="555" t="e">
        <f t="shared" si="10"/>
        <v>#VALUE!</v>
      </c>
      <c r="AX18" s="685"/>
      <c r="AZ18" s="369" t="e">
        <f t="shared" si="6"/>
        <v>#N/A</v>
      </c>
      <c r="BA18" s="710"/>
    </row>
    <row r="19" spans="2:53">
      <c r="B19" s="680"/>
      <c r="C19" s="533">
        <v>13</v>
      </c>
      <c r="D19" s="225"/>
      <c r="E19" s="531"/>
      <c r="F19" s="530"/>
      <c r="G19" s="532"/>
      <c r="H19" s="692"/>
      <c r="I19" s="534" t="str">
        <f t="shared" si="0"/>
        <v>-</v>
      </c>
      <c r="J19" s="534" t="str">
        <f t="shared" si="1"/>
        <v>-</v>
      </c>
      <c r="K19" s="199" t="str">
        <f t="shared" si="2"/>
        <v>-</v>
      </c>
      <c r="L19" s="634"/>
      <c r="M19" s="510" t="e">
        <f>RANK(K19, K$7:$K$21)</f>
        <v>#VALUE!</v>
      </c>
      <c r="N19" s="652"/>
      <c r="O19" s="652"/>
      <c r="P19" s="533"/>
      <c r="Q19" s="510"/>
      <c r="R19" s="510"/>
      <c r="S19" s="555"/>
      <c r="T19" s="685"/>
      <c r="U19" s="533"/>
      <c r="V19" s="510"/>
      <c r="W19" s="510"/>
      <c r="X19" s="555"/>
      <c r="Y19" s="685"/>
      <c r="Z19" s="533"/>
      <c r="AA19" s="510"/>
      <c r="AB19" s="510"/>
      <c r="AC19" s="555"/>
      <c r="AD19" s="685"/>
      <c r="AE19" s="533"/>
      <c r="AF19" s="510"/>
      <c r="AG19" s="510"/>
      <c r="AH19" s="555"/>
      <c r="AI19" s="685"/>
      <c r="AJ19" s="533" t="s">
        <v>585</v>
      </c>
      <c r="AK19" s="510" t="s">
        <v>585</v>
      </c>
      <c r="AL19" s="510" t="s">
        <v>585</v>
      </c>
      <c r="AM19" s="555" t="e">
        <f t="shared" si="8"/>
        <v>#VALUE!</v>
      </c>
      <c r="AN19" s="685"/>
      <c r="AO19" s="533" t="s">
        <v>585</v>
      </c>
      <c r="AP19" s="510" t="s">
        <v>585</v>
      </c>
      <c r="AQ19" s="510" t="s">
        <v>585</v>
      </c>
      <c r="AR19" s="555" t="e">
        <f t="shared" si="9"/>
        <v>#VALUE!</v>
      </c>
      <c r="AS19" s="685"/>
      <c r="AT19" s="530" t="s">
        <v>585</v>
      </c>
      <c r="AU19" s="531" t="s">
        <v>585</v>
      </c>
      <c r="AV19" s="531" t="s">
        <v>585</v>
      </c>
      <c r="AW19" s="555" t="e">
        <f t="shared" si="10"/>
        <v>#VALUE!</v>
      </c>
      <c r="AX19" s="685"/>
      <c r="AZ19" s="369" t="e">
        <f t="shared" si="6"/>
        <v>#N/A</v>
      </c>
      <c r="BA19" s="710"/>
    </row>
    <row r="20" spans="2:53">
      <c r="B20" s="680"/>
      <c r="C20" s="533">
        <v>14</v>
      </c>
      <c r="D20" s="225"/>
      <c r="E20" s="531"/>
      <c r="F20" s="530"/>
      <c r="G20" s="532"/>
      <c r="H20" s="692"/>
      <c r="I20" s="534" t="str">
        <f t="shared" si="0"/>
        <v>-</v>
      </c>
      <c r="J20" s="534" t="str">
        <f t="shared" si="1"/>
        <v>-</v>
      </c>
      <c r="K20" s="199" t="str">
        <f t="shared" si="2"/>
        <v>-</v>
      </c>
      <c r="L20" s="634"/>
      <c r="M20" s="510" t="e">
        <f>RANK(K20, K$7:$K$21)</f>
        <v>#VALUE!</v>
      </c>
      <c r="N20" s="652"/>
      <c r="O20" s="652"/>
      <c r="P20" s="533"/>
      <c r="Q20" s="510"/>
      <c r="R20" s="510"/>
      <c r="S20" s="555"/>
      <c r="T20" s="685"/>
      <c r="U20" s="533"/>
      <c r="V20" s="510"/>
      <c r="W20" s="510"/>
      <c r="X20" s="555"/>
      <c r="Y20" s="685"/>
      <c r="Z20" s="533"/>
      <c r="AA20" s="510"/>
      <c r="AB20" s="510"/>
      <c r="AC20" s="555"/>
      <c r="AD20" s="685"/>
      <c r="AE20" s="533"/>
      <c r="AF20" s="510"/>
      <c r="AG20" s="510"/>
      <c r="AH20" s="555"/>
      <c r="AI20" s="685"/>
      <c r="AJ20" s="533" t="s">
        <v>585</v>
      </c>
      <c r="AK20" s="510" t="s">
        <v>585</v>
      </c>
      <c r="AL20" s="510" t="s">
        <v>585</v>
      </c>
      <c r="AM20" s="555" t="e">
        <f t="shared" si="8"/>
        <v>#VALUE!</v>
      </c>
      <c r="AN20" s="685"/>
      <c r="AO20" s="533" t="s">
        <v>585</v>
      </c>
      <c r="AP20" s="510" t="s">
        <v>585</v>
      </c>
      <c r="AQ20" s="510" t="s">
        <v>585</v>
      </c>
      <c r="AR20" s="555" t="e">
        <f t="shared" si="9"/>
        <v>#VALUE!</v>
      </c>
      <c r="AS20" s="685"/>
      <c r="AT20" s="530" t="s">
        <v>585</v>
      </c>
      <c r="AU20" s="531" t="s">
        <v>585</v>
      </c>
      <c r="AV20" s="531" t="s">
        <v>585</v>
      </c>
      <c r="AW20" s="555" t="e">
        <f t="shared" si="10"/>
        <v>#VALUE!</v>
      </c>
      <c r="AX20" s="685"/>
      <c r="AZ20" s="369" t="e">
        <f t="shared" si="6"/>
        <v>#N/A</v>
      </c>
      <c r="BA20" s="710"/>
    </row>
    <row r="21" spans="2:53">
      <c r="B21" s="680"/>
      <c r="C21" s="533">
        <v>15</v>
      </c>
      <c r="D21" s="225"/>
      <c r="E21" s="531"/>
      <c r="F21" s="530"/>
      <c r="G21" s="532"/>
      <c r="H21" s="696"/>
      <c r="I21" s="533"/>
      <c r="J21" s="533"/>
      <c r="K21" s="533"/>
      <c r="L21" s="635"/>
      <c r="M21" s="510" t="e">
        <f>RANK(K21, K$7:$K$21)</f>
        <v>#N/A</v>
      </c>
      <c r="N21" s="652"/>
      <c r="O21" s="652"/>
      <c r="P21" s="533"/>
      <c r="Q21" s="510"/>
      <c r="R21" s="510"/>
      <c r="S21" s="555"/>
      <c r="T21" s="685"/>
      <c r="U21" s="533"/>
      <c r="V21" s="510"/>
      <c r="W21" s="510"/>
      <c r="X21" s="555"/>
      <c r="Y21" s="685"/>
      <c r="Z21" s="533"/>
      <c r="AA21" s="510"/>
      <c r="AB21" s="510"/>
      <c r="AC21" s="555"/>
      <c r="AD21" s="685"/>
      <c r="AE21" s="533"/>
      <c r="AF21" s="510"/>
      <c r="AG21" s="510"/>
      <c r="AH21" s="555"/>
      <c r="AI21" s="685"/>
      <c r="AJ21" s="533" t="s">
        <v>585</v>
      </c>
      <c r="AK21" s="510" t="s">
        <v>585</v>
      </c>
      <c r="AL21" s="510" t="s">
        <v>585</v>
      </c>
      <c r="AM21" s="555" t="e">
        <f t="shared" si="8"/>
        <v>#VALUE!</v>
      </c>
      <c r="AN21" s="685"/>
      <c r="AO21" s="533" t="s">
        <v>585</v>
      </c>
      <c r="AP21" s="510" t="s">
        <v>585</v>
      </c>
      <c r="AQ21" s="510" t="s">
        <v>585</v>
      </c>
      <c r="AR21" s="555" t="e">
        <f t="shared" si="9"/>
        <v>#VALUE!</v>
      </c>
      <c r="AS21" s="685"/>
      <c r="AT21" s="530" t="s">
        <v>585</v>
      </c>
      <c r="AU21" s="531" t="s">
        <v>585</v>
      </c>
      <c r="AV21" s="531" t="s">
        <v>585</v>
      </c>
      <c r="AW21" s="555" t="e">
        <f t="shared" si="10"/>
        <v>#VALUE!</v>
      </c>
      <c r="AX21" s="685"/>
      <c r="AZ21" s="369" t="e">
        <f t="shared" si="6"/>
        <v>#N/A</v>
      </c>
      <c r="BA21" s="710"/>
    </row>
    <row r="22" spans="2:53" ht="15.75">
      <c r="B22" s="677" t="s">
        <v>162</v>
      </c>
      <c r="C22" s="678"/>
      <c r="D22" s="678"/>
      <c r="E22" s="678"/>
      <c r="F22" s="678"/>
      <c r="G22" s="678"/>
      <c r="H22" s="678"/>
      <c r="I22" s="202"/>
      <c r="J22" s="202"/>
      <c r="K22" s="202"/>
      <c r="L22" s="202"/>
      <c r="M22" s="203"/>
      <c r="N22" s="653" t="s">
        <v>156</v>
      </c>
      <c r="O22" s="653" t="s">
        <v>105</v>
      </c>
      <c r="P22" s="659">
        <f>P2+7</f>
        <v>46238</v>
      </c>
      <c r="Q22" s="660"/>
      <c r="R22" s="660"/>
      <c r="S22" s="660"/>
      <c r="T22" s="660"/>
      <c r="U22" s="656">
        <f>P22+1</f>
        <v>46239</v>
      </c>
      <c r="V22" s="657"/>
      <c r="W22" s="657"/>
      <c r="X22" s="657"/>
      <c r="Y22" s="658"/>
      <c r="Z22" s="656">
        <f>U22+1</f>
        <v>46240</v>
      </c>
      <c r="AA22" s="657"/>
      <c r="AB22" s="657"/>
      <c r="AC22" s="657"/>
      <c r="AD22" s="658"/>
      <c r="AE22" s="656">
        <f>Z22+1</f>
        <v>46241</v>
      </c>
      <c r="AF22" s="657"/>
      <c r="AG22" s="657"/>
      <c r="AH22" s="657"/>
      <c r="AI22" s="658"/>
      <c r="AJ22" s="656">
        <f>AE22+1</f>
        <v>46242</v>
      </c>
      <c r="AK22" s="657"/>
      <c r="AL22" s="657"/>
      <c r="AM22" s="657"/>
      <c r="AN22" s="658"/>
      <c r="AO22" s="656">
        <f>AJ22+1</f>
        <v>46243</v>
      </c>
      <c r="AP22" s="657"/>
      <c r="AQ22" s="657"/>
      <c r="AR22" s="657"/>
      <c r="AS22" s="658"/>
      <c r="AT22" s="656">
        <f>AO22+1</f>
        <v>46244</v>
      </c>
      <c r="AU22" s="657"/>
      <c r="AV22" s="657"/>
      <c r="AW22" s="657"/>
      <c r="AX22" s="658"/>
    </row>
    <row r="23" spans="2:53" ht="15.75">
      <c r="B23" s="667"/>
      <c r="C23" s="667"/>
      <c r="D23" s="667"/>
      <c r="E23" s="667"/>
      <c r="F23" s="667"/>
      <c r="G23" s="667"/>
      <c r="H23" s="667"/>
      <c r="I23" s="204"/>
      <c r="J23" s="204"/>
      <c r="K23" s="204"/>
      <c r="L23" s="204"/>
      <c r="M23" s="205"/>
      <c r="N23" s="655"/>
      <c r="O23" s="655"/>
      <c r="P23" s="659" t="s">
        <v>317</v>
      </c>
      <c r="Q23" s="660"/>
      <c r="R23" s="660"/>
      <c r="S23" s="660"/>
      <c r="T23" s="660"/>
      <c r="U23" s="659" t="s">
        <v>318</v>
      </c>
      <c r="V23" s="660"/>
      <c r="W23" s="660"/>
      <c r="X23" s="660"/>
      <c r="Y23" s="660"/>
      <c r="Z23" s="659" t="s">
        <v>319</v>
      </c>
      <c r="AA23" s="660"/>
      <c r="AB23" s="660"/>
      <c r="AC23" s="660"/>
      <c r="AD23" s="660"/>
      <c r="AE23" s="659" t="s">
        <v>320</v>
      </c>
      <c r="AF23" s="660"/>
      <c r="AG23" s="660"/>
      <c r="AH23" s="660"/>
      <c r="AI23" s="660"/>
      <c r="AJ23" s="659" t="s">
        <v>321</v>
      </c>
      <c r="AK23" s="660"/>
      <c r="AL23" s="660"/>
      <c r="AM23" s="660"/>
      <c r="AN23" s="660"/>
      <c r="AO23" s="659" t="s">
        <v>322</v>
      </c>
      <c r="AP23" s="660"/>
      <c r="AQ23" s="660"/>
      <c r="AR23" s="660"/>
      <c r="AS23" s="660"/>
      <c r="AT23" s="659" t="s">
        <v>323</v>
      </c>
      <c r="AU23" s="660"/>
      <c r="AV23" s="660"/>
      <c r="AW23" s="660"/>
      <c r="AX23" s="660"/>
    </row>
    <row r="24" spans="2:53">
      <c r="B24" s="652" t="s">
        <v>441</v>
      </c>
      <c r="C24" s="652" t="s">
        <v>532</v>
      </c>
      <c r="D24" s="652"/>
      <c r="E24" s="652" t="s">
        <v>533</v>
      </c>
      <c r="F24" s="652"/>
      <c r="G24" s="652"/>
      <c r="H24" s="668" t="s">
        <v>534</v>
      </c>
      <c r="I24" s="652" t="s">
        <v>535</v>
      </c>
      <c r="J24" s="652"/>
      <c r="K24" s="652"/>
      <c r="L24" s="668" t="s">
        <v>366</v>
      </c>
      <c r="M24" s="653" t="s">
        <v>536</v>
      </c>
      <c r="N24" s="652"/>
      <c r="O24" s="652" t="s">
        <v>372</v>
      </c>
      <c r="P24" s="649" t="s">
        <v>368</v>
      </c>
      <c r="Q24" s="650"/>
      <c r="R24" s="650"/>
      <c r="S24" s="651"/>
      <c r="T24" s="652" t="s">
        <v>366</v>
      </c>
      <c r="U24" s="649" t="s">
        <v>368</v>
      </c>
      <c r="V24" s="650"/>
      <c r="W24" s="650"/>
      <c r="X24" s="651"/>
      <c r="Y24" s="652" t="s">
        <v>366</v>
      </c>
      <c r="Z24" s="649" t="s">
        <v>368</v>
      </c>
      <c r="AA24" s="650"/>
      <c r="AB24" s="650"/>
      <c r="AC24" s="651"/>
      <c r="AD24" s="652" t="s">
        <v>366</v>
      </c>
      <c r="AE24" s="649" t="s">
        <v>368</v>
      </c>
      <c r="AF24" s="650"/>
      <c r="AG24" s="650"/>
      <c r="AH24" s="651"/>
      <c r="AI24" s="652" t="s">
        <v>366</v>
      </c>
      <c r="AJ24" s="649" t="s">
        <v>368</v>
      </c>
      <c r="AK24" s="650"/>
      <c r="AL24" s="650"/>
      <c r="AM24" s="651"/>
      <c r="AN24" s="652" t="s">
        <v>366</v>
      </c>
      <c r="AO24" s="649" t="s">
        <v>368</v>
      </c>
      <c r="AP24" s="650"/>
      <c r="AQ24" s="650"/>
      <c r="AR24" s="651"/>
      <c r="AS24" s="652" t="s">
        <v>366</v>
      </c>
      <c r="AT24" s="649" t="s">
        <v>368</v>
      </c>
      <c r="AU24" s="650"/>
      <c r="AV24" s="650"/>
      <c r="AW24" s="651"/>
      <c r="AX24" s="652" t="s">
        <v>366</v>
      </c>
      <c r="BA24" s="652" t="s">
        <v>366</v>
      </c>
    </row>
    <row r="25" spans="2:53">
      <c r="B25" s="652"/>
      <c r="C25" s="652"/>
      <c r="D25" s="652"/>
      <c r="E25" s="652" t="s">
        <v>538</v>
      </c>
      <c r="F25" s="652"/>
      <c r="G25" s="652"/>
      <c r="H25" s="669"/>
      <c r="I25" s="652" t="s">
        <v>538</v>
      </c>
      <c r="J25" s="652"/>
      <c r="K25" s="652"/>
      <c r="L25" s="669"/>
      <c r="M25" s="654"/>
      <c r="N25" s="652"/>
      <c r="O25" s="652"/>
      <c r="P25" s="649" t="s">
        <v>374</v>
      </c>
      <c r="Q25" s="650"/>
      <c r="R25" s="650"/>
      <c r="S25" s="651"/>
      <c r="T25" s="652"/>
      <c r="U25" s="649" t="s">
        <v>374</v>
      </c>
      <c r="V25" s="650"/>
      <c r="W25" s="650"/>
      <c r="X25" s="651"/>
      <c r="Y25" s="652"/>
      <c r="Z25" s="649" t="s">
        <v>374</v>
      </c>
      <c r="AA25" s="650"/>
      <c r="AB25" s="650"/>
      <c r="AC25" s="651"/>
      <c r="AD25" s="652"/>
      <c r="AE25" s="649" t="s">
        <v>374</v>
      </c>
      <c r="AF25" s="650"/>
      <c r="AG25" s="650"/>
      <c r="AH25" s="651"/>
      <c r="AI25" s="652"/>
      <c r="AJ25" s="649" t="s">
        <v>374</v>
      </c>
      <c r="AK25" s="650"/>
      <c r="AL25" s="650"/>
      <c r="AM25" s="651"/>
      <c r="AN25" s="652"/>
      <c r="AO25" s="649" t="s">
        <v>374</v>
      </c>
      <c r="AP25" s="650"/>
      <c r="AQ25" s="650"/>
      <c r="AR25" s="651"/>
      <c r="AS25" s="652"/>
      <c r="AT25" s="649" t="s">
        <v>374</v>
      </c>
      <c r="AU25" s="650"/>
      <c r="AV25" s="650"/>
      <c r="AW25" s="651"/>
      <c r="AX25" s="652"/>
      <c r="BA25" s="652"/>
    </row>
    <row r="26" spans="2:53">
      <c r="B26" s="652"/>
      <c r="C26" s="652"/>
      <c r="D26" s="652"/>
      <c r="E26" s="378" t="s">
        <v>539</v>
      </c>
      <c r="F26" s="378" t="s">
        <v>540</v>
      </c>
      <c r="G26" s="378" t="s">
        <v>541</v>
      </c>
      <c r="H26" s="670"/>
      <c r="I26" s="378" t="s">
        <v>539</v>
      </c>
      <c r="J26" s="378" t="s">
        <v>540</v>
      </c>
      <c r="K26" s="378" t="s">
        <v>541</v>
      </c>
      <c r="L26" s="670"/>
      <c r="M26" s="655"/>
      <c r="N26" s="652"/>
      <c r="O26" s="652"/>
      <c r="P26" s="378" t="s">
        <v>375</v>
      </c>
      <c r="Q26" s="378" t="s">
        <v>376</v>
      </c>
      <c r="R26" s="378" t="s">
        <v>377</v>
      </c>
      <c r="S26" s="378" t="s">
        <v>367</v>
      </c>
      <c r="T26" s="652"/>
      <c r="U26" s="378" t="s">
        <v>375</v>
      </c>
      <c r="V26" s="378" t="s">
        <v>376</v>
      </c>
      <c r="W26" s="378" t="s">
        <v>377</v>
      </c>
      <c r="X26" s="378" t="s">
        <v>367</v>
      </c>
      <c r="Y26" s="652"/>
      <c r="Z26" s="378" t="s">
        <v>375</v>
      </c>
      <c r="AA26" s="378" t="s">
        <v>376</v>
      </c>
      <c r="AB26" s="378" t="s">
        <v>377</v>
      </c>
      <c r="AC26" s="378" t="s">
        <v>367</v>
      </c>
      <c r="AD26" s="652"/>
      <c r="AE26" s="378" t="s">
        <v>375</v>
      </c>
      <c r="AF26" s="378" t="s">
        <v>376</v>
      </c>
      <c r="AG26" s="378" t="s">
        <v>377</v>
      </c>
      <c r="AH26" s="378" t="s">
        <v>367</v>
      </c>
      <c r="AI26" s="652"/>
      <c r="AJ26" s="378" t="s">
        <v>375</v>
      </c>
      <c r="AK26" s="378" t="s">
        <v>376</v>
      </c>
      <c r="AL26" s="378" t="s">
        <v>377</v>
      </c>
      <c r="AM26" s="378" t="s">
        <v>367</v>
      </c>
      <c r="AN26" s="652"/>
      <c r="AO26" s="378" t="s">
        <v>375</v>
      </c>
      <c r="AP26" s="378" t="s">
        <v>376</v>
      </c>
      <c r="AQ26" s="378" t="s">
        <v>377</v>
      </c>
      <c r="AR26" s="378" t="s">
        <v>367</v>
      </c>
      <c r="AS26" s="652"/>
      <c r="AT26" s="378" t="s">
        <v>375</v>
      </c>
      <c r="AU26" s="378" t="s">
        <v>376</v>
      </c>
      <c r="AV26" s="378" t="s">
        <v>377</v>
      </c>
      <c r="AW26" s="378" t="s">
        <v>367</v>
      </c>
      <c r="AX26" s="652"/>
      <c r="AZ26" s="367" t="s">
        <v>367</v>
      </c>
      <c r="BA26" s="652"/>
    </row>
    <row r="27" spans="2:53">
      <c r="B27" s="652" t="s">
        <v>442</v>
      </c>
      <c r="C27" s="380">
        <v>1</v>
      </c>
      <c r="D27" s="225" t="s">
        <v>354</v>
      </c>
      <c r="E27" s="531">
        <v>7</v>
      </c>
      <c r="F27" s="530">
        <v>1500</v>
      </c>
      <c r="G27" s="532">
        <v>214.28571428571428</v>
      </c>
      <c r="H27" s="691">
        <f>AVERAGE(G27:G41)</f>
        <v>174.62263655462186</v>
      </c>
      <c r="I27" s="381">
        <f t="shared" ref="I27:I40" si="11">IFERROR(AVERAGE(P27,U27,Z27,AE27,AJ27,AO27,AT27),"-")</f>
        <v>7</v>
      </c>
      <c r="J27" s="381">
        <f t="shared" ref="J27:J40" si="12">IFERROR(AVERAGE(Q27,V27,AA27,AF27,AK27,AP27,AU27),"-")</f>
        <v>1471.839523588842</v>
      </c>
      <c r="K27" s="199">
        <f t="shared" ref="K27:K40" si="13">IFERROR(AVERAGE(R27,W27,AB27,AG27,AL27,AQ27,AV27),"-")</f>
        <v>210.26278908412027</v>
      </c>
      <c r="L27" s="633">
        <f>IFERROR(AVERAGE(K27:K41),"-")</f>
        <v>158.45633222043563</v>
      </c>
      <c r="M27" s="384">
        <f>RANK(K27, K$24:$K$41)</f>
        <v>4</v>
      </c>
      <c r="N27" s="652"/>
      <c r="O27" s="652"/>
      <c r="P27" s="552">
        <v>7</v>
      </c>
      <c r="Q27" s="553">
        <v>1443.7500000000005</v>
      </c>
      <c r="R27" s="553">
        <v>206.25000000000006</v>
      </c>
      <c r="S27" s="552">
        <f t="shared" ref="S27:S41" si="14">RANK(R27, R$27:R$41)</f>
        <v>4</v>
      </c>
      <c r="T27" s="661">
        <f t="shared" ref="T27" si="15">AVERAGE(R27:R41)</f>
        <v>154.72379979839644</v>
      </c>
      <c r="U27" s="552">
        <v>7</v>
      </c>
      <c r="V27" s="553">
        <v>1485.9574468085109</v>
      </c>
      <c r="W27" s="553">
        <v>212.2796352583587</v>
      </c>
      <c r="X27" s="552">
        <f t="shared" ref="X27:X41" si="16">RANK(W27, W$27:W$41)</f>
        <v>2</v>
      </c>
      <c r="Y27" s="661">
        <f t="shared" ref="Y27" si="17">AVERAGE(W27:W41)</f>
        <v>156.11533246805911</v>
      </c>
      <c r="Z27" s="552">
        <v>7</v>
      </c>
      <c r="AA27" s="553">
        <v>1473.9130434782608</v>
      </c>
      <c r="AB27" s="553">
        <v>210.5590062111801</v>
      </c>
      <c r="AC27" s="552">
        <f t="shared" ref="AC27:AC41" si="18">RANK(AB27, AB$27:AB$41)</f>
        <v>5</v>
      </c>
      <c r="AD27" s="661">
        <f t="shared" ref="AD27" si="19">AVERAGE(AB27:AB41)</f>
        <v>160.28194985065147</v>
      </c>
      <c r="AE27" s="552">
        <v>7</v>
      </c>
      <c r="AF27" s="553">
        <v>1473.1578947368425</v>
      </c>
      <c r="AG27" s="553">
        <v>210.45112781954893</v>
      </c>
      <c r="AH27" s="552">
        <f t="shared" ref="AH27:AH41" si="20">RANK(AG27, AG$27:AG$41)</f>
        <v>4</v>
      </c>
      <c r="AI27" s="661">
        <f t="shared" ref="AI27" si="21">AVERAGE(AG27:AG41)</f>
        <v>159.3355923972924</v>
      </c>
      <c r="AJ27" s="552">
        <v>7</v>
      </c>
      <c r="AK27" s="553">
        <v>1469.1891891891896</v>
      </c>
      <c r="AL27" s="553">
        <v>209.88416988416995</v>
      </c>
      <c r="AM27" s="552">
        <f t="shared" ref="AM27:AM41" si="22">RANK(AL27, AL$27:AL$41)</f>
        <v>5</v>
      </c>
      <c r="AN27" s="661">
        <f t="shared" ref="AN27" si="23">AVERAGE(AL27:AL41)</f>
        <v>159.52632688715988</v>
      </c>
      <c r="AO27" s="552">
        <v>7</v>
      </c>
      <c r="AP27" s="553">
        <v>1470.0000000000005</v>
      </c>
      <c r="AQ27" s="553">
        <v>210.00000000000006</v>
      </c>
      <c r="AR27" s="552">
        <f t="shared" ref="AR27:AR41" si="24">RANK(AQ27, AQ$27:AQ$41)</f>
        <v>5</v>
      </c>
      <c r="AS27" s="661">
        <f t="shared" ref="AS27" si="25">AVERAGE(AQ27:AQ41)</f>
        <v>158.93976559029608</v>
      </c>
      <c r="AT27" s="552">
        <v>7</v>
      </c>
      <c r="AU27" s="553">
        <v>1486.9090909090908</v>
      </c>
      <c r="AV27" s="553">
        <v>212.41558441558439</v>
      </c>
      <c r="AW27" s="552">
        <f t="shared" ref="AW27:AW41" si="26">RANK(AV27, AV$27:AV$41)</f>
        <v>5</v>
      </c>
      <c r="AX27" s="661">
        <f t="shared" ref="AX27" si="27">AVERAGE(AV27:AV41)</f>
        <v>160.2715585511942</v>
      </c>
      <c r="AZ27" s="368" t="e">
        <f t="shared" ref="AZ27:AZ41" si="28">RANK(AY27, AY$27:AY$41)</f>
        <v>#N/A</v>
      </c>
      <c r="BA27" s="661" t="e">
        <f t="shared" ref="BA27" si="29">AVERAGE(AY27:AY41)</f>
        <v>#DIV/0!</v>
      </c>
    </row>
    <row r="28" spans="2:53">
      <c r="B28" s="660"/>
      <c r="C28" s="380">
        <v>2</v>
      </c>
      <c r="D28" s="225" t="s">
        <v>355</v>
      </c>
      <c r="E28" s="531">
        <v>7</v>
      </c>
      <c r="F28" s="530">
        <v>1500</v>
      </c>
      <c r="G28" s="532">
        <v>214.28571428571428</v>
      </c>
      <c r="H28" s="692"/>
      <c r="I28" s="381">
        <f t="shared" si="11"/>
        <v>7</v>
      </c>
      <c r="J28" s="381">
        <f t="shared" si="12"/>
        <v>1490.671168225861</v>
      </c>
      <c r="K28" s="199">
        <f t="shared" si="13"/>
        <v>212.95302403226586</v>
      </c>
      <c r="L28" s="634"/>
      <c r="M28" s="387">
        <f>RANK(K28, K$24:$K$41)</f>
        <v>1</v>
      </c>
      <c r="N28" s="652"/>
      <c r="O28" s="652"/>
      <c r="P28" s="552">
        <v>7</v>
      </c>
      <c r="Q28" s="553">
        <v>1473.0882352941176</v>
      </c>
      <c r="R28" s="553">
        <v>210.44117647058823</v>
      </c>
      <c r="S28" s="552">
        <f t="shared" si="14"/>
        <v>1</v>
      </c>
      <c r="T28" s="662"/>
      <c r="U28" s="552">
        <v>7</v>
      </c>
      <c r="V28" s="553">
        <v>1485</v>
      </c>
      <c r="W28" s="553">
        <v>212.14285714285714</v>
      </c>
      <c r="X28" s="552">
        <f t="shared" si="16"/>
        <v>3</v>
      </c>
      <c r="Y28" s="662"/>
      <c r="Z28" s="552">
        <v>7</v>
      </c>
      <c r="AA28" s="553">
        <v>1499.5238095238092</v>
      </c>
      <c r="AB28" s="553">
        <v>214.21768707482988</v>
      </c>
      <c r="AC28" s="552">
        <f t="shared" si="18"/>
        <v>1</v>
      </c>
      <c r="AD28" s="662"/>
      <c r="AE28" s="552">
        <v>7</v>
      </c>
      <c r="AF28" s="553">
        <v>1499.4495412844035</v>
      </c>
      <c r="AG28" s="553">
        <v>214.20707732634335</v>
      </c>
      <c r="AH28" s="552">
        <f t="shared" si="20"/>
        <v>1</v>
      </c>
      <c r="AI28" s="662"/>
      <c r="AJ28" s="552">
        <v>7</v>
      </c>
      <c r="AK28" s="553">
        <v>1491.6666666666665</v>
      </c>
      <c r="AL28" s="553">
        <v>213.09523809523807</v>
      </c>
      <c r="AM28" s="552">
        <f t="shared" si="22"/>
        <v>2</v>
      </c>
      <c r="AN28" s="662"/>
      <c r="AO28" s="552">
        <v>7</v>
      </c>
      <c r="AP28" s="553">
        <v>1493.6842105263158</v>
      </c>
      <c r="AQ28" s="553">
        <v>213.38345864661656</v>
      </c>
      <c r="AR28" s="552">
        <f t="shared" si="24"/>
        <v>1</v>
      </c>
      <c r="AS28" s="662"/>
      <c r="AT28" s="552">
        <v>7</v>
      </c>
      <c r="AU28" s="553">
        <v>1492.2857142857147</v>
      </c>
      <c r="AV28" s="553">
        <v>213.1836734693878</v>
      </c>
      <c r="AW28" s="552">
        <f t="shared" si="26"/>
        <v>4</v>
      </c>
      <c r="AX28" s="662"/>
      <c r="AZ28" s="368" t="e">
        <f t="shared" si="28"/>
        <v>#N/A</v>
      </c>
      <c r="BA28" s="662"/>
    </row>
    <row r="29" spans="2:53">
      <c r="B29" s="660"/>
      <c r="C29" s="380">
        <v>3</v>
      </c>
      <c r="D29" s="225" t="s">
        <v>356</v>
      </c>
      <c r="E29" s="531">
        <v>17</v>
      </c>
      <c r="F29" s="530">
        <v>1500</v>
      </c>
      <c r="G29" s="532">
        <v>88.235294117647058</v>
      </c>
      <c r="H29" s="692"/>
      <c r="I29" s="381">
        <f t="shared" si="11"/>
        <v>16.285714285714285</v>
      </c>
      <c r="J29" s="381">
        <f t="shared" si="12"/>
        <v>1303.5538209953243</v>
      </c>
      <c r="K29" s="199">
        <f t="shared" si="13"/>
        <v>80.089705022900191</v>
      </c>
      <c r="L29" s="634"/>
      <c r="M29" s="387">
        <f>RANK(K29, K$24:$K$41)</f>
        <v>9</v>
      </c>
      <c r="N29" s="652"/>
      <c r="O29" s="652"/>
      <c r="P29" s="552">
        <v>16</v>
      </c>
      <c r="Q29" s="553">
        <v>1312.0879120879122</v>
      </c>
      <c r="R29" s="553">
        <v>82.005494505494511</v>
      </c>
      <c r="S29" s="552">
        <f t="shared" si="14"/>
        <v>9</v>
      </c>
      <c r="T29" s="662"/>
      <c r="U29" s="552">
        <v>16</v>
      </c>
      <c r="V29" s="553">
        <v>1321.5000000000007</v>
      </c>
      <c r="W29" s="553">
        <v>82.593750000000043</v>
      </c>
      <c r="X29" s="552">
        <f t="shared" si="16"/>
        <v>9</v>
      </c>
      <c r="Y29" s="662"/>
      <c r="Z29" s="552">
        <v>16</v>
      </c>
      <c r="AA29" s="553">
        <v>1291.395348837209</v>
      </c>
      <c r="AB29" s="553">
        <v>80.712209302325562</v>
      </c>
      <c r="AC29" s="552">
        <f t="shared" si="18"/>
        <v>9</v>
      </c>
      <c r="AD29" s="662"/>
      <c r="AE29" s="552">
        <v>16</v>
      </c>
      <c r="AF29" s="553">
        <v>1288.6567164179105</v>
      </c>
      <c r="AG29" s="553">
        <v>80.541044776119406</v>
      </c>
      <c r="AH29" s="552">
        <f t="shared" si="20"/>
        <v>9</v>
      </c>
      <c r="AI29" s="662"/>
      <c r="AJ29" s="552">
        <v>16</v>
      </c>
      <c r="AK29" s="553">
        <v>1279.1304347826087</v>
      </c>
      <c r="AL29" s="553">
        <v>79.945652173913047</v>
      </c>
      <c r="AM29" s="552">
        <f t="shared" si="22"/>
        <v>9</v>
      </c>
      <c r="AN29" s="662"/>
      <c r="AO29" s="552">
        <v>17</v>
      </c>
      <c r="AP29" s="553">
        <v>1311.5294117647056</v>
      </c>
      <c r="AQ29" s="553">
        <v>77.14878892733563</v>
      </c>
      <c r="AR29" s="552">
        <f t="shared" si="24"/>
        <v>9</v>
      </c>
      <c r="AS29" s="662"/>
      <c r="AT29" s="552">
        <v>17</v>
      </c>
      <c r="AU29" s="553">
        <v>1320.5769230769229</v>
      </c>
      <c r="AV29" s="553">
        <v>77.680995475113107</v>
      </c>
      <c r="AW29" s="552">
        <f t="shared" si="26"/>
        <v>9</v>
      </c>
      <c r="AX29" s="662"/>
      <c r="AZ29" s="368" t="e">
        <f t="shared" si="28"/>
        <v>#N/A</v>
      </c>
      <c r="BA29" s="662"/>
    </row>
    <row r="30" spans="2:53">
      <c r="B30" s="660"/>
      <c r="C30" s="380">
        <v>4</v>
      </c>
      <c r="D30" s="225" t="s">
        <v>388</v>
      </c>
      <c r="E30" s="531">
        <v>7</v>
      </c>
      <c r="F30" s="530">
        <v>1500</v>
      </c>
      <c r="G30" s="532">
        <v>214.28571428571428</v>
      </c>
      <c r="H30" s="692"/>
      <c r="I30" s="381">
        <f t="shared" si="11"/>
        <v>7</v>
      </c>
      <c r="J30" s="381">
        <f t="shared" si="12"/>
        <v>1490.2828655389628</v>
      </c>
      <c r="K30" s="199">
        <f t="shared" si="13"/>
        <v>212.89755221985183</v>
      </c>
      <c r="L30" s="634"/>
      <c r="M30" s="387">
        <f>RANK(K30, K$24:$K$41)</f>
        <v>2</v>
      </c>
      <c r="N30" s="652"/>
      <c r="O30" s="652"/>
      <c r="P30" s="552">
        <v>7</v>
      </c>
      <c r="Q30" s="553">
        <v>1460.9790209790212</v>
      </c>
      <c r="R30" s="553">
        <v>208.71128871128874</v>
      </c>
      <c r="S30" s="552">
        <f t="shared" si="14"/>
        <v>2</v>
      </c>
      <c r="T30" s="662"/>
      <c r="U30" s="552">
        <v>7</v>
      </c>
      <c r="V30" s="553">
        <v>1498.6764705882351</v>
      </c>
      <c r="W30" s="553">
        <v>214.09663865546216</v>
      </c>
      <c r="X30" s="552">
        <f t="shared" si="16"/>
        <v>1</v>
      </c>
      <c r="Y30" s="662"/>
      <c r="Z30" s="552">
        <v>7</v>
      </c>
      <c r="AA30" s="553">
        <v>1494.0458015267175</v>
      </c>
      <c r="AB30" s="553">
        <v>213.43511450381678</v>
      </c>
      <c r="AC30" s="552">
        <f t="shared" si="18"/>
        <v>3</v>
      </c>
      <c r="AD30" s="662"/>
      <c r="AE30" s="552">
        <v>7</v>
      </c>
      <c r="AF30" s="553">
        <v>1497.2222222222226</v>
      </c>
      <c r="AG30" s="553">
        <v>213.88888888888894</v>
      </c>
      <c r="AH30" s="552">
        <f t="shared" si="20"/>
        <v>2</v>
      </c>
      <c r="AI30" s="662"/>
      <c r="AJ30" s="552">
        <v>7</v>
      </c>
      <c r="AK30" s="553">
        <v>1491.4285714285716</v>
      </c>
      <c r="AL30" s="553">
        <v>213.06122448979593</v>
      </c>
      <c r="AM30" s="552">
        <f t="shared" si="22"/>
        <v>3</v>
      </c>
      <c r="AN30" s="662"/>
      <c r="AO30" s="552">
        <v>7</v>
      </c>
      <c r="AP30" s="553">
        <v>1492.0279720279725</v>
      </c>
      <c r="AQ30" s="553">
        <v>213.1468531468532</v>
      </c>
      <c r="AR30" s="552">
        <f t="shared" si="24"/>
        <v>2</v>
      </c>
      <c r="AS30" s="662"/>
      <c r="AT30" s="552">
        <v>7</v>
      </c>
      <c r="AU30" s="553">
        <v>1497.6000000000001</v>
      </c>
      <c r="AV30" s="553">
        <v>213.94285714285715</v>
      </c>
      <c r="AW30" s="552">
        <f t="shared" si="26"/>
        <v>2</v>
      </c>
      <c r="AX30" s="662"/>
      <c r="AZ30" s="368" t="e">
        <f t="shared" si="28"/>
        <v>#N/A</v>
      </c>
      <c r="BA30" s="662"/>
    </row>
    <row r="31" spans="2:53">
      <c r="B31" s="660"/>
      <c r="C31" s="380">
        <v>5</v>
      </c>
      <c r="D31" s="225" t="s">
        <v>577</v>
      </c>
      <c r="E31" s="531">
        <v>12</v>
      </c>
      <c r="F31" s="530">
        <v>2000</v>
      </c>
      <c r="G31" s="532">
        <v>166.66666666666666</v>
      </c>
      <c r="H31" s="692"/>
      <c r="I31" s="381">
        <f t="shared" si="11"/>
        <v>12</v>
      </c>
      <c r="J31" s="381">
        <f t="shared" si="12"/>
        <v>1501.8657639798319</v>
      </c>
      <c r="K31" s="199">
        <f t="shared" si="13"/>
        <v>125.15548033165267</v>
      </c>
      <c r="L31" s="634"/>
      <c r="M31" s="387">
        <f>RANK(K31, K$24:$K$41)</f>
        <v>7</v>
      </c>
      <c r="N31" s="652"/>
      <c r="O31" s="652"/>
      <c r="P31" s="552">
        <v>12</v>
      </c>
      <c r="Q31" s="553">
        <v>1545.2727272727279</v>
      </c>
      <c r="R31" s="553">
        <v>128.77272727272734</v>
      </c>
      <c r="S31" s="552">
        <f t="shared" si="14"/>
        <v>6</v>
      </c>
      <c r="T31" s="662"/>
      <c r="U31" s="552">
        <v>12</v>
      </c>
      <c r="V31" s="553">
        <v>1524.8048780487816</v>
      </c>
      <c r="W31" s="553">
        <v>127.0670731707318</v>
      </c>
      <c r="X31" s="552">
        <f t="shared" si="16"/>
        <v>6</v>
      </c>
      <c r="Y31" s="662"/>
      <c r="Z31" s="552">
        <v>12</v>
      </c>
      <c r="AA31" s="553">
        <v>1519.0000000000007</v>
      </c>
      <c r="AB31" s="553">
        <v>126.58333333333339</v>
      </c>
      <c r="AC31" s="552">
        <f t="shared" si="18"/>
        <v>8</v>
      </c>
      <c r="AD31" s="662"/>
      <c r="AE31" s="552">
        <v>12</v>
      </c>
      <c r="AF31" s="553">
        <v>1473.2812499999995</v>
      </c>
      <c r="AG31" s="553">
        <v>122.77343749999996</v>
      </c>
      <c r="AH31" s="552">
        <f t="shared" si="20"/>
        <v>8</v>
      </c>
      <c r="AI31" s="662"/>
      <c r="AJ31" s="552">
        <v>12</v>
      </c>
      <c r="AK31" s="553">
        <v>1486.9253731343283</v>
      </c>
      <c r="AL31" s="553">
        <v>123.91044776119402</v>
      </c>
      <c r="AM31" s="552">
        <f t="shared" si="22"/>
        <v>8</v>
      </c>
      <c r="AN31" s="662"/>
      <c r="AO31" s="552">
        <v>12</v>
      </c>
      <c r="AP31" s="553">
        <v>1479.0000000000009</v>
      </c>
      <c r="AQ31" s="553">
        <v>123.25000000000007</v>
      </c>
      <c r="AR31" s="552">
        <f t="shared" si="24"/>
        <v>8</v>
      </c>
      <c r="AS31" s="662"/>
      <c r="AT31" s="552">
        <v>12</v>
      </c>
      <c r="AU31" s="553">
        <v>1484.7761194029842</v>
      </c>
      <c r="AV31" s="553">
        <v>123.73134328358202</v>
      </c>
      <c r="AW31" s="552">
        <f t="shared" si="26"/>
        <v>8</v>
      </c>
      <c r="AX31" s="662"/>
      <c r="AZ31" s="368" t="e">
        <f t="shared" si="28"/>
        <v>#N/A</v>
      </c>
      <c r="BA31" s="662"/>
    </row>
    <row r="32" spans="2:53">
      <c r="B32" s="660"/>
      <c r="C32" s="380">
        <v>6</v>
      </c>
      <c r="D32" s="225" t="s">
        <v>562</v>
      </c>
      <c r="E32" s="531">
        <v>7</v>
      </c>
      <c r="F32" s="530">
        <v>1500</v>
      </c>
      <c r="G32" s="532">
        <v>214.28571428571428</v>
      </c>
      <c r="H32" s="692"/>
      <c r="I32" s="381">
        <f t="shared" si="11"/>
        <v>7</v>
      </c>
      <c r="J32" s="381">
        <f t="shared" si="12"/>
        <v>1478.6253360313735</v>
      </c>
      <c r="K32" s="199">
        <f t="shared" si="13"/>
        <v>211.23219086162482</v>
      </c>
      <c r="L32" s="634"/>
      <c r="M32" s="387">
        <f>RANK(K32, K$24:$K$41)</f>
        <v>3</v>
      </c>
      <c r="N32" s="652"/>
      <c r="O32" s="652"/>
      <c r="P32" s="552">
        <v>7</v>
      </c>
      <c r="Q32" s="553">
        <v>1448.4507042253515</v>
      </c>
      <c r="R32" s="553">
        <v>206.92152917505021</v>
      </c>
      <c r="S32" s="552">
        <f t="shared" si="14"/>
        <v>3</v>
      </c>
      <c r="T32" s="662"/>
      <c r="U32" s="552">
        <v>7</v>
      </c>
      <c r="V32" s="553">
        <v>1470.4109589041093</v>
      </c>
      <c r="W32" s="553">
        <v>210.05870841487277</v>
      </c>
      <c r="X32" s="552">
        <f t="shared" si="16"/>
        <v>4</v>
      </c>
      <c r="Y32" s="662"/>
      <c r="Z32" s="552">
        <v>7</v>
      </c>
      <c r="AA32" s="553">
        <v>1495.1351351351359</v>
      </c>
      <c r="AB32" s="553">
        <v>213.59073359073369</v>
      </c>
      <c r="AC32" s="552">
        <f t="shared" si="18"/>
        <v>2</v>
      </c>
      <c r="AD32" s="662"/>
      <c r="AE32" s="552">
        <v>7</v>
      </c>
      <c r="AF32" s="553">
        <v>1480.6779661016951</v>
      </c>
      <c r="AG32" s="553">
        <v>211.52542372881359</v>
      </c>
      <c r="AH32" s="552">
        <f t="shared" si="20"/>
        <v>3</v>
      </c>
      <c r="AI32" s="662"/>
      <c r="AJ32" s="552">
        <v>7</v>
      </c>
      <c r="AK32" s="553">
        <v>1478.8235294117653</v>
      </c>
      <c r="AL32" s="553">
        <v>211.26050420168076</v>
      </c>
      <c r="AM32" s="552">
        <f t="shared" si="22"/>
        <v>4</v>
      </c>
      <c r="AN32" s="662"/>
      <c r="AO32" s="552">
        <v>7</v>
      </c>
      <c r="AP32" s="553">
        <v>1478.4374999999995</v>
      </c>
      <c r="AQ32" s="553">
        <v>211.20535714285708</v>
      </c>
      <c r="AR32" s="552">
        <f t="shared" si="24"/>
        <v>4</v>
      </c>
      <c r="AS32" s="662"/>
      <c r="AT32" s="552">
        <v>7</v>
      </c>
      <c r="AU32" s="553">
        <v>1498.441558441559</v>
      </c>
      <c r="AV32" s="553">
        <v>214.06307977736557</v>
      </c>
      <c r="AW32" s="552">
        <f t="shared" si="26"/>
        <v>1</v>
      </c>
      <c r="AX32" s="662"/>
      <c r="AZ32" s="368" t="e">
        <f t="shared" si="28"/>
        <v>#N/A</v>
      </c>
      <c r="BA32" s="662"/>
    </row>
    <row r="33" spans="2:53">
      <c r="B33" s="660"/>
      <c r="C33" s="380">
        <v>7</v>
      </c>
      <c r="D33" s="225" t="s">
        <v>605</v>
      </c>
      <c r="E33" s="531">
        <v>12</v>
      </c>
      <c r="F33" s="530">
        <v>2000</v>
      </c>
      <c r="G33" s="532">
        <v>166.66666666666666</v>
      </c>
      <c r="H33" s="692"/>
      <c r="I33" s="381">
        <f t="shared" si="11"/>
        <v>12</v>
      </c>
      <c r="J33" s="381">
        <f t="shared" si="12"/>
        <v>1549.9038645313765</v>
      </c>
      <c r="K33" s="199">
        <f t="shared" si="13"/>
        <v>129.15865537761471</v>
      </c>
      <c r="L33" s="634"/>
      <c r="M33" s="387">
        <f>RANK(K33, K$24:$K$41)</f>
        <v>6</v>
      </c>
      <c r="N33" s="652"/>
      <c r="O33" s="652"/>
      <c r="P33" s="552">
        <v>12</v>
      </c>
      <c r="Q33" s="553">
        <v>1456.3880597014925</v>
      </c>
      <c r="R33" s="553">
        <v>121.36567164179104</v>
      </c>
      <c r="S33" s="552">
        <f t="shared" si="14"/>
        <v>7</v>
      </c>
      <c r="T33" s="662"/>
      <c r="U33" s="552">
        <v>12</v>
      </c>
      <c r="V33" s="553">
        <v>1447.0147058823529</v>
      </c>
      <c r="W33" s="553">
        <v>120.58455882352941</v>
      </c>
      <c r="X33" s="552">
        <f t="shared" si="16"/>
        <v>7</v>
      </c>
      <c r="Y33" s="662"/>
      <c r="Z33" s="552">
        <v>12</v>
      </c>
      <c r="AA33" s="553">
        <v>1598.3389830508477</v>
      </c>
      <c r="AB33" s="553">
        <v>133.19491525423732</v>
      </c>
      <c r="AC33" s="552">
        <f t="shared" si="18"/>
        <v>6</v>
      </c>
      <c r="AD33" s="662"/>
      <c r="AE33" s="552">
        <v>12</v>
      </c>
      <c r="AF33" s="553">
        <v>1583.0454545454547</v>
      </c>
      <c r="AG33" s="553">
        <v>131.92045454545456</v>
      </c>
      <c r="AH33" s="552">
        <f t="shared" si="20"/>
        <v>6</v>
      </c>
      <c r="AI33" s="662"/>
      <c r="AJ33" s="552">
        <v>12</v>
      </c>
      <c r="AK33" s="553">
        <v>1582.4042553191491</v>
      </c>
      <c r="AL33" s="553">
        <v>131.86702127659575</v>
      </c>
      <c r="AM33" s="552">
        <f t="shared" si="22"/>
        <v>6</v>
      </c>
      <c r="AN33" s="662"/>
      <c r="AO33" s="552">
        <v>12</v>
      </c>
      <c r="AP33" s="553">
        <v>1583.1355932203392</v>
      </c>
      <c r="AQ33" s="553">
        <v>131.92796610169492</v>
      </c>
      <c r="AR33" s="552">
        <f t="shared" si="24"/>
        <v>6</v>
      </c>
      <c r="AS33" s="662"/>
      <c r="AT33" s="552">
        <v>12</v>
      </c>
      <c r="AU33" s="553">
        <v>1598.9999999999995</v>
      </c>
      <c r="AV33" s="553">
        <v>133.24999999999997</v>
      </c>
      <c r="AW33" s="552">
        <f t="shared" si="26"/>
        <v>6</v>
      </c>
      <c r="AX33" s="662"/>
      <c r="AZ33" s="368" t="e">
        <f t="shared" si="28"/>
        <v>#N/A</v>
      </c>
      <c r="BA33" s="662"/>
    </row>
    <row r="34" spans="2:53">
      <c r="B34" s="660"/>
      <c r="C34" s="380">
        <v>8</v>
      </c>
      <c r="D34" s="225" t="s">
        <v>606</v>
      </c>
      <c r="E34" s="531">
        <v>12</v>
      </c>
      <c r="F34" s="530">
        <v>2000</v>
      </c>
      <c r="G34" s="532">
        <v>166.66666666666666</v>
      </c>
      <c r="H34" s="692"/>
      <c r="I34" s="381">
        <f t="shared" si="11"/>
        <v>12</v>
      </c>
      <c r="J34" s="381">
        <f t="shared" si="12"/>
        <v>1481.5514770943348</v>
      </c>
      <c r="K34" s="199">
        <f t="shared" si="13"/>
        <v>123.46262309119456</v>
      </c>
      <c r="L34" s="634"/>
      <c r="M34" s="387">
        <f>RANK(K34, K$24:$K$41)</f>
        <v>8</v>
      </c>
      <c r="N34" s="652"/>
      <c r="O34" s="652"/>
      <c r="P34" s="552">
        <v>12</v>
      </c>
      <c r="Q34" s="553">
        <v>1319.9999999999995</v>
      </c>
      <c r="R34" s="553">
        <v>109.99999999999996</v>
      </c>
      <c r="S34" s="552">
        <f t="shared" si="14"/>
        <v>8</v>
      </c>
      <c r="T34" s="662"/>
      <c r="U34" s="552">
        <v>12</v>
      </c>
      <c r="V34" s="553">
        <v>1291.2000000000005</v>
      </c>
      <c r="W34" s="553">
        <v>107.60000000000004</v>
      </c>
      <c r="X34" s="552">
        <f t="shared" si="16"/>
        <v>8</v>
      </c>
      <c r="Y34" s="662"/>
      <c r="Z34" s="552">
        <v>12</v>
      </c>
      <c r="AA34" s="553">
        <v>1535.4545454545455</v>
      </c>
      <c r="AB34" s="553">
        <v>127.95454545454545</v>
      </c>
      <c r="AC34" s="552">
        <f t="shared" si="18"/>
        <v>7</v>
      </c>
      <c r="AD34" s="662"/>
      <c r="AE34" s="552">
        <v>12</v>
      </c>
      <c r="AF34" s="553">
        <v>1577.1428571428582</v>
      </c>
      <c r="AG34" s="553">
        <v>131.42857142857153</v>
      </c>
      <c r="AH34" s="552">
        <f t="shared" si="20"/>
        <v>7</v>
      </c>
      <c r="AI34" s="662"/>
      <c r="AJ34" s="552">
        <v>12</v>
      </c>
      <c r="AK34" s="553">
        <v>1546.1538461538471</v>
      </c>
      <c r="AL34" s="553">
        <v>128.84615384615392</v>
      </c>
      <c r="AM34" s="552">
        <f t="shared" si="22"/>
        <v>7</v>
      </c>
      <c r="AN34" s="662"/>
      <c r="AO34" s="552">
        <v>12</v>
      </c>
      <c r="AP34" s="553">
        <v>1530.0000000000018</v>
      </c>
      <c r="AQ34" s="553">
        <v>127.50000000000016</v>
      </c>
      <c r="AR34" s="552">
        <f t="shared" si="24"/>
        <v>7</v>
      </c>
      <c r="AS34" s="662"/>
      <c r="AT34" s="552">
        <v>12</v>
      </c>
      <c r="AU34" s="553">
        <v>1570.909090909091</v>
      </c>
      <c r="AV34" s="553">
        <v>130.90909090909091</v>
      </c>
      <c r="AW34" s="552">
        <f t="shared" si="26"/>
        <v>7</v>
      </c>
      <c r="AX34" s="662"/>
      <c r="AZ34" s="368" t="e">
        <f t="shared" si="28"/>
        <v>#N/A</v>
      </c>
      <c r="BA34" s="662"/>
    </row>
    <row r="35" spans="2:53">
      <c r="B35" s="660"/>
      <c r="C35" s="380">
        <v>9</v>
      </c>
      <c r="D35" s="225" t="s">
        <v>617</v>
      </c>
      <c r="E35" s="531">
        <v>16</v>
      </c>
      <c r="F35" s="530">
        <v>1385</v>
      </c>
      <c r="G35" s="532">
        <v>86.5625</v>
      </c>
      <c r="H35" s="692"/>
      <c r="I35" s="381">
        <f t="shared" si="11"/>
        <v>16</v>
      </c>
      <c r="J35" s="381">
        <f t="shared" si="12"/>
        <v>1121.1571160694828</v>
      </c>
      <c r="K35" s="199">
        <f t="shared" si="13"/>
        <v>70.072319754342672</v>
      </c>
      <c r="L35" s="634"/>
      <c r="M35" s="387">
        <f>RANK(K35, K$24:$K$41)</f>
        <v>10</v>
      </c>
      <c r="N35" s="652"/>
      <c r="O35" s="652"/>
      <c r="P35" s="552">
        <v>16</v>
      </c>
      <c r="Q35" s="553">
        <v>1134.2465753424658</v>
      </c>
      <c r="R35" s="553">
        <v>70.890410958904113</v>
      </c>
      <c r="S35" s="552">
        <f t="shared" si="14"/>
        <v>10</v>
      </c>
      <c r="T35" s="662"/>
      <c r="U35" s="552">
        <v>16</v>
      </c>
      <c r="V35" s="553">
        <v>1144.3924528301893</v>
      </c>
      <c r="W35" s="553">
        <v>71.524528301886832</v>
      </c>
      <c r="X35" s="552">
        <f t="shared" si="16"/>
        <v>10</v>
      </c>
      <c r="Y35" s="662"/>
      <c r="Z35" s="552">
        <v>16</v>
      </c>
      <c r="AA35" s="553">
        <v>1130.294117647059</v>
      </c>
      <c r="AB35" s="553">
        <v>70.643382352941188</v>
      </c>
      <c r="AC35" s="552">
        <f t="shared" si="18"/>
        <v>10</v>
      </c>
      <c r="AD35" s="662"/>
      <c r="AE35" s="552">
        <v>16</v>
      </c>
      <c r="AF35" s="553">
        <v>1109.9999999999991</v>
      </c>
      <c r="AG35" s="553">
        <v>69.374999999999943</v>
      </c>
      <c r="AH35" s="552">
        <f t="shared" si="20"/>
        <v>10</v>
      </c>
      <c r="AI35" s="662"/>
      <c r="AJ35" s="552">
        <v>16</v>
      </c>
      <c r="AK35" s="553">
        <v>1105.7142857142849</v>
      </c>
      <c r="AL35" s="553">
        <v>69.107142857142804</v>
      </c>
      <c r="AM35" s="552">
        <f t="shared" si="22"/>
        <v>10</v>
      </c>
      <c r="AN35" s="662"/>
      <c r="AO35" s="552">
        <v>16</v>
      </c>
      <c r="AP35" s="553">
        <v>1109.166666666667</v>
      </c>
      <c r="AQ35" s="553">
        <v>69.322916666666686</v>
      </c>
      <c r="AR35" s="552">
        <f t="shared" si="24"/>
        <v>10</v>
      </c>
      <c r="AS35" s="662"/>
      <c r="AT35" s="552">
        <v>16</v>
      </c>
      <c r="AU35" s="553">
        <v>1114.285714285714</v>
      </c>
      <c r="AV35" s="553">
        <v>69.642857142857125</v>
      </c>
      <c r="AW35" s="552">
        <f t="shared" si="26"/>
        <v>10</v>
      </c>
      <c r="AX35" s="662"/>
      <c r="AZ35" s="368" t="e">
        <f t="shared" si="28"/>
        <v>#N/A</v>
      </c>
      <c r="BA35" s="662"/>
    </row>
    <row r="36" spans="2:53">
      <c r="B36" s="660"/>
      <c r="C36" s="380">
        <v>10</v>
      </c>
      <c r="D36" s="225" t="s">
        <v>621</v>
      </c>
      <c r="E36" s="531">
        <v>7</v>
      </c>
      <c r="F36" s="530">
        <v>1500</v>
      </c>
      <c r="G36" s="532">
        <v>214.28571428571428</v>
      </c>
      <c r="H36" s="692"/>
      <c r="I36" s="381">
        <f t="shared" si="11"/>
        <v>7</v>
      </c>
      <c r="J36" s="381">
        <f t="shared" si="12"/>
        <v>1464.9528770015218</v>
      </c>
      <c r="K36" s="199">
        <f t="shared" si="13"/>
        <v>209.27898242878879</v>
      </c>
      <c r="L36" s="634"/>
      <c r="M36" s="387">
        <f>RANK(K36, K$24:$K$41)</f>
        <v>5</v>
      </c>
      <c r="N36" s="652"/>
      <c r="O36" s="652"/>
      <c r="P36" s="552">
        <v>7</v>
      </c>
      <c r="Q36" s="553">
        <v>1413.1578947368412</v>
      </c>
      <c r="R36" s="553">
        <v>201.87969924812018</v>
      </c>
      <c r="S36" s="552">
        <f t="shared" si="14"/>
        <v>5</v>
      </c>
      <c r="T36" s="662"/>
      <c r="U36" s="552">
        <v>7</v>
      </c>
      <c r="V36" s="553">
        <v>1422.4390243902435</v>
      </c>
      <c r="W36" s="553">
        <v>203.20557491289193</v>
      </c>
      <c r="X36" s="552">
        <f t="shared" si="16"/>
        <v>5</v>
      </c>
      <c r="Y36" s="662"/>
      <c r="Z36" s="552">
        <v>7</v>
      </c>
      <c r="AA36" s="553">
        <v>1483.4999999999995</v>
      </c>
      <c r="AB36" s="553">
        <v>211.92857142857136</v>
      </c>
      <c r="AC36" s="552">
        <f t="shared" si="18"/>
        <v>4</v>
      </c>
      <c r="AD36" s="662"/>
      <c r="AE36" s="552">
        <v>7</v>
      </c>
      <c r="AF36" s="553">
        <v>1450.7142857142869</v>
      </c>
      <c r="AG36" s="553">
        <v>207.24489795918385</v>
      </c>
      <c r="AH36" s="552">
        <f t="shared" si="20"/>
        <v>5</v>
      </c>
      <c r="AI36" s="662"/>
      <c r="AJ36" s="552">
        <v>7</v>
      </c>
      <c r="AK36" s="553">
        <v>1500.0000000000005</v>
      </c>
      <c r="AL36" s="553">
        <v>214.28571428571436</v>
      </c>
      <c r="AM36" s="552">
        <f t="shared" si="22"/>
        <v>1</v>
      </c>
      <c r="AN36" s="662"/>
      <c r="AO36" s="552">
        <v>7</v>
      </c>
      <c r="AP36" s="553">
        <v>1487.5862068965528</v>
      </c>
      <c r="AQ36" s="553">
        <v>212.51231527093611</v>
      </c>
      <c r="AR36" s="552">
        <f t="shared" si="24"/>
        <v>3</v>
      </c>
      <c r="AS36" s="662"/>
      <c r="AT36" s="552">
        <v>7</v>
      </c>
      <c r="AU36" s="553">
        <v>1497.2727272727273</v>
      </c>
      <c r="AV36" s="553">
        <v>213.89610389610388</v>
      </c>
      <c r="AW36" s="552">
        <f t="shared" si="26"/>
        <v>3</v>
      </c>
      <c r="AX36" s="662"/>
      <c r="AZ36" s="368" t="e">
        <f t="shared" si="28"/>
        <v>#N/A</v>
      </c>
      <c r="BA36" s="662"/>
    </row>
    <row r="37" spans="2:53">
      <c r="B37" s="660"/>
      <c r="C37" s="380">
        <v>11</v>
      </c>
      <c r="D37" s="225"/>
      <c r="E37" s="531"/>
      <c r="F37" s="530"/>
      <c r="G37" s="532"/>
      <c r="H37" s="692"/>
      <c r="I37" s="381" t="str">
        <f t="shared" si="11"/>
        <v>-</v>
      </c>
      <c r="J37" s="381" t="str">
        <f t="shared" si="12"/>
        <v>-</v>
      </c>
      <c r="K37" s="199" t="str">
        <f t="shared" si="13"/>
        <v>-</v>
      </c>
      <c r="L37" s="634"/>
      <c r="M37" s="387" t="e">
        <f>RANK(K37, K$24:$K$41)</f>
        <v>#VALUE!</v>
      </c>
      <c r="N37" s="652"/>
      <c r="O37" s="652"/>
      <c r="P37" s="552" t="s">
        <v>585</v>
      </c>
      <c r="Q37" s="553" t="s">
        <v>585</v>
      </c>
      <c r="R37" s="553" t="s">
        <v>585</v>
      </c>
      <c r="S37" s="552" t="e">
        <f t="shared" si="14"/>
        <v>#VALUE!</v>
      </c>
      <c r="T37" s="662"/>
      <c r="U37" s="552" t="s">
        <v>585</v>
      </c>
      <c r="V37" s="553" t="s">
        <v>585</v>
      </c>
      <c r="W37" s="553" t="s">
        <v>585</v>
      </c>
      <c r="X37" s="552" t="e">
        <f t="shared" si="16"/>
        <v>#VALUE!</v>
      </c>
      <c r="Y37" s="662"/>
      <c r="Z37" s="552" t="s">
        <v>585</v>
      </c>
      <c r="AA37" s="553" t="s">
        <v>585</v>
      </c>
      <c r="AB37" s="553" t="s">
        <v>585</v>
      </c>
      <c r="AC37" s="552" t="e">
        <f t="shared" si="18"/>
        <v>#VALUE!</v>
      </c>
      <c r="AD37" s="662"/>
      <c r="AE37" s="552" t="s">
        <v>585</v>
      </c>
      <c r="AF37" s="553" t="s">
        <v>585</v>
      </c>
      <c r="AG37" s="553" t="s">
        <v>585</v>
      </c>
      <c r="AH37" s="552" t="e">
        <f t="shared" si="20"/>
        <v>#VALUE!</v>
      </c>
      <c r="AI37" s="662"/>
      <c r="AJ37" s="552" t="s">
        <v>585</v>
      </c>
      <c r="AK37" s="553" t="s">
        <v>585</v>
      </c>
      <c r="AL37" s="553" t="s">
        <v>585</v>
      </c>
      <c r="AM37" s="552" t="e">
        <f t="shared" si="22"/>
        <v>#VALUE!</v>
      </c>
      <c r="AN37" s="662"/>
      <c r="AO37" s="552" t="s">
        <v>585</v>
      </c>
      <c r="AP37" s="553" t="s">
        <v>585</v>
      </c>
      <c r="AQ37" s="553" t="s">
        <v>585</v>
      </c>
      <c r="AR37" s="552" t="e">
        <f t="shared" si="24"/>
        <v>#VALUE!</v>
      </c>
      <c r="AS37" s="662"/>
      <c r="AT37" s="552" t="s">
        <v>585</v>
      </c>
      <c r="AU37" s="553" t="s">
        <v>585</v>
      </c>
      <c r="AV37" s="553" t="s">
        <v>585</v>
      </c>
      <c r="AW37" s="552" t="e">
        <f t="shared" si="26"/>
        <v>#VALUE!</v>
      </c>
      <c r="AX37" s="662"/>
      <c r="AZ37" s="368" t="e">
        <f t="shared" si="28"/>
        <v>#N/A</v>
      </c>
      <c r="BA37" s="662"/>
    </row>
    <row r="38" spans="2:53">
      <c r="B38" s="660"/>
      <c r="C38" s="380">
        <v>12</v>
      </c>
      <c r="D38" s="225"/>
      <c r="E38" s="531"/>
      <c r="F38" s="530"/>
      <c r="G38" s="532"/>
      <c r="H38" s="692"/>
      <c r="I38" s="381" t="str">
        <f t="shared" si="11"/>
        <v>-</v>
      </c>
      <c r="J38" s="381" t="str">
        <f t="shared" si="12"/>
        <v>-</v>
      </c>
      <c r="K38" s="199" t="str">
        <f t="shared" si="13"/>
        <v>-</v>
      </c>
      <c r="L38" s="634"/>
      <c r="M38" s="387" t="e">
        <f>RANK(K38, K$24:$K$41)</f>
        <v>#VALUE!</v>
      </c>
      <c r="N38" s="652"/>
      <c r="O38" s="652"/>
      <c r="P38" s="552" t="s">
        <v>585</v>
      </c>
      <c r="Q38" s="553" t="s">
        <v>585</v>
      </c>
      <c r="R38" s="553" t="s">
        <v>585</v>
      </c>
      <c r="S38" s="552" t="e">
        <f t="shared" si="14"/>
        <v>#VALUE!</v>
      </c>
      <c r="T38" s="662"/>
      <c r="U38" s="552" t="s">
        <v>585</v>
      </c>
      <c r="V38" s="553" t="s">
        <v>585</v>
      </c>
      <c r="W38" s="553" t="s">
        <v>585</v>
      </c>
      <c r="X38" s="552" t="e">
        <f t="shared" si="16"/>
        <v>#VALUE!</v>
      </c>
      <c r="Y38" s="662"/>
      <c r="Z38" s="552" t="s">
        <v>585</v>
      </c>
      <c r="AA38" s="553" t="s">
        <v>585</v>
      </c>
      <c r="AB38" s="553" t="s">
        <v>585</v>
      </c>
      <c r="AC38" s="552" t="e">
        <f t="shared" si="18"/>
        <v>#VALUE!</v>
      </c>
      <c r="AD38" s="662"/>
      <c r="AE38" s="552" t="s">
        <v>585</v>
      </c>
      <c r="AF38" s="553" t="s">
        <v>585</v>
      </c>
      <c r="AG38" s="553" t="s">
        <v>585</v>
      </c>
      <c r="AH38" s="552" t="e">
        <f t="shared" si="20"/>
        <v>#VALUE!</v>
      </c>
      <c r="AI38" s="662"/>
      <c r="AJ38" s="552" t="s">
        <v>585</v>
      </c>
      <c r="AK38" s="553" t="s">
        <v>585</v>
      </c>
      <c r="AL38" s="553" t="s">
        <v>585</v>
      </c>
      <c r="AM38" s="552" t="e">
        <f t="shared" si="22"/>
        <v>#VALUE!</v>
      </c>
      <c r="AN38" s="662"/>
      <c r="AO38" s="552" t="s">
        <v>585</v>
      </c>
      <c r="AP38" s="553" t="s">
        <v>585</v>
      </c>
      <c r="AQ38" s="553" t="s">
        <v>585</v>
      </c>
      <c r="AR38" s="552" t="e">
        <f t="shared" si="24"/>
        <v>#VALUE!</v>
      </c>
      <c r="AS38" s="662"/>
      <c r="AT38" s="552" t="s">
        <v>585</v>
      </c>
      <c r="AU38" s="553" t="s">
        <v>585</v>
      </c>
      <c r="AV38" s="553" t="s">
        <v>585</v>
      </c>
      <c r="AW38" s="552" t="e">
        <f t="shared" si="26"/>
        <v>#VALUE!</v>
      </c>
      <c r="AX38" s="662"/>
      <c r="AZ38" s="368" t="e">
        <f t="shared" si="28"/>
        <v>#N/A</v>
      </c>
      <c r="BA38" s="662"/>
    </row>
    <row r="39" spans="2:53">
      <c r="B39" s="660"/>
      <c r="C39" s="380">
        <v>13</v>
      </c>
      <c r="D39" s="225"/>
      <c r="E39" s="531"/>
      <c r="F39" s="530"/>
      <c r="G39" s="532"/>
      <c r="H39" s="692"/>
      <c r="I39" s="381" t="str">
        <f t="shared" si="11"/>
        <v>-</v>
      </c>
      <c r="J39" s="381" t="str">
        <f t="shared" si="12"/>
        <v>-</v>
      </c>
      <c r="K39" s="199" t="str">
        <f t="shared" si="13"/>
        <v>-</v>
      </c>
      <c r="L39" s="634"/>
      <c r="M39" s="387" t="e">
        <f>RANK(K39, K$24:$K$41)</f>
        <v>#VALUE!</v>
      </c>
      <c r="N39" s="652"/>
      <c r="O39" s="652"/>
      <c r="P39" s="552" t="s">
        <v>585</v>
      </c>
      <c r="Q39" s="553" t="s">
        <v>585</v>
      </c>
      <c r="R39" s="553" t="s">
        <v>585</v>
      </c>
      <c r="S39" s="552" t="e">
        <f t="shared" si="14"/>
        <v>#VALUE!</v>
      </c>
      <c r="T39" s="662"/>
      <c r="U39" s="552" t="s">
        <v>585</v>
      </c>
      <c r="V39" s="553" t="s">
        <v>585</v>
      </c>
      <c r="W39" s="553" t="s">
        <v>585</v>
      </c>
      <c r="X39" s="552" t="e">
        <f t="shared" si="16"/>
        <v>#VALUE!</v>
      </c>
      <c r="Y39" s="662"/>
      <c r="Z39" s="552" t="s">
        <v>585</v>
      </c>
      <c r="AA39" s="553" t="s">
        <v>585</v>
      </c>
      <c r="AB39" s="553" t="s">
        <v>585</v>
      </c>
      <c r="AC39" s="552" t="e">
        <f t="shared" si="18"/>
        <v>#VALUE!</v>
      </c>
      <c r="AD39" s="662"/>
      <c r="AE39" s="552" t="s">
        <v>585</v>
      </c>
      <c r="AF39" s="553" t="s">
        <v>585</v>
      </c>
      <c r="AG39" s="553" t="s">
        <v>585</v>
      </c>
      <c r="AH39" s="552" t="e">
        <f t="shared" si="20"/>
        <v>#VALUE!</v>
      </c>
      <c r="AI39" s="662"/>
      <c r="AJ39" s="552" t="s">
        <v>585</v>
      </c>
      <c r="AK39" s="553" t="s">
        <v>585</v>
      </c>
      <c r="AL39" s="553" t="s">
        <v>585</v>
      </c>
      <c r="AM39" s="552" t="e">
        <f t="shared" si="22"/>
        <v>#VALUE!</v>
      </c>
      <c r="AN39" s="662"/>
      <c r="AO39" s="552" t="s">
        <v>585</v>
      </c>
      <c r="AP39" s="553" t="s">
        <v>585</v>
      </c>
      <c r="AQ39" s="553" t="s">
        <v>585</v>
      </c>
      <c r="AR39" s="552" t="e">
        <f t="shared" si="24"/>
        <v>#VALUE!</v>
      </c>
      <c r="AS39" s="662"/>
      <c r="AT39" s="552" t="s">
        <v>585</v>
      </c>
      <c r="AU39" s="553" t="s">
        <v>585</v>
      </c>
      <c r="AV39" s="553" t="s">
        <v>585</v>
      </c>
      <c r="AW39" s="552" t="e">
        <f t="shared" si="26"/>
        <v>#VALUE!</v>
      </c>
      <c r="AX39" s="662"/>
      <c r="AZ39" s="368" t="e">
        <f t="shared" si="28"/>
        <v>#N/A</v>
      </c>
      <c r="BA39" s="662"/>
    </row>
    <row r="40" spans="2:53">
      <c r="B40" s="660"/>
      <c r="C40" s="380">
        <v>14</v>
      </c>
      <c r="D40" s="225"/>
      <c r="E40" s="531"/>
      <c r="F40" s="530"/>
      <c r="G40" s="532"/>
      <c r="H40" s="692"/>
      <c r="I40" s="381" t="str">
        <f t="shared" si="11"/>
        <v>-</v>
      </c>
      <c r="J40" s="381" t="str">
        <f t="shared" si="12"/>
        <v>-</v>
      </c>
      <c r="K40" s="199" t="str">
        <f t="shared" si="13"/>
        <v>-</v>
      </c>
      <c r="L40" s="634"/>
      <c r="M40" s="387" t="e">
        <f>RANK(K40, K$24:$K$41)</f>
        <v>#VALUE!</v>
      </c>
      <c r="N40" s="652"/>
      <c r="O40" s="652"/>
      <c r="P40" s="552" t="s">
        <v>585</v>
      </c>
      <c r="Q40" s="553" t="s">
        <v>585</v>
      </c>
      <c r="R40" s="553" t="s">
        <v>585</v>
      </c>
      <c r="S40" s="552" t="e">
        <f t="shared" si="14"/>
        <v>#VALUE!</v>
      </c>
      <c r="T40" s="662"/>
      <c r="U40" s="552" t="s">
        <v>585</v>
      </c>
      <c r="V40" s="553" t="s">
        <v>585</v>
      </c>
      <c r="W40" s="553" t="s">
        <v>585</v>
      </c>
      <c r="X40" s="552" t="e">
        <f t="shared" si="16"/>
        <v>#VALUE!</v>
      </c>
      <c r="Y40" s="662"/>
      <c r="Z40" s="552" t="s">
        <v>585</v>
      </c>
      <c r="AA40" s="553" t="s">
        <v>585</v>
      </c>
      <c r="AB40" s="553" t="s">
        <v>585</v>
      </c>
      <c r="AC40" s="552" t="e">
        <f t="shared" si="18"/>
        <v>#VALUE!</v>
      </c>
      <c r="AD40" s="662"/>
      <c r="AE40" s="552" t="s">
        <v>585</v>
      </c>
      <c r="AF40" s="553" t="s">
        <v>585</v>
      </c>
      <c r="AG40" s="553" t="s">
        <v>585</v>
      </c>
      <c r="AH40" s="552" t="e">
        <f t="shared" si="20"/>
        <v>#VALUE!</v>
      </c>
      <c r="AI40" s="662"/>
      <c r="AJ40" s="552" t="s">
        <v>585</v>
      </c>
      <c r="AK40" s="553" t="s">
        <v>585</v>
      </c>
      <c r="AL40" s="553" t="s">
        <v>585</v>
      </c>
      <c r="AM40" s="552" t="e">
        <f t="shared" si="22"/>
        <v>#VALUE!</v>
      </c>
      <c r="AN40" s="662"/>
      <c r="AO40" s="552" t="s">
        <v>585</v>
      </c>
      <c r="AP40" s="553" t="s">
        <v>585</v>
      </c>
      <c r="AQ40" s="553" t="s">
        <v>585</v>
      </c>
      <c r="AR40" s="552" t="e">
        <f t="shared" si="24"/>
        <v>#VALUE!</v>
      </c>
      <c r="AS40" s="662"/>
      <c r="AT40" s="552" t="s">
        <v>585</v>
      </c>
      <c r="AU40" s="553" t="s">
        <v>585</v>
      </c>
      <c r="AV40" s="553" t="s">
        <v>585</v>
      </c>
      <c r="AW40" s="552" t="e">
        <f t="shared" si="26"/>
        <v>#VALUE!</v>
      </c>
      <c r="AX40" s="662"/>
      <c r="AZ40" s="368" t="e">
        <f t="shared" si="28"/>
        <v>#N/A</v>
      </c>
      <c r="BA40" s="662"/>
    </row>
    <row r="41" spans="2:53">
      <c r="B41" s="660"/>
      <c r="C41" s="380">
        <v>15</v>
      </c>
      <c r="D41" s="225"/>
      <c r="E41" s="531"/>
      <c r="F41" s="530"/>
      <c r="G41" s="532"/>
      <c r="H41" s="696"/>
      <c r="I41" s="380"/>
      <c r="J41" s="380"/>
      <c r="K41" s="380"/>
      <c r="L41" s="635"/>
      <c r="M41" s="387" t="e">
        <f>RANK(K41, K$24:$K$41)</f>
        <v>#N/A</v>
      </c>
      <c r="N41" s="652"/>
      <c r="O41" s="652"/>
      <c r="P41" s="552" t="s">
        <v>585</v>
      </c>
      <c r="Q41" s="553" t="s">
        <v>585</v>
      </c>
      <c r="R41" s="553" t="s">
        <v>585</v>
      </c>
      <c r="S41" s="552" t="e">
        <f t="shared" si="14"/>
        <v>#VALUE!</v>
      </c>
      <c r="T41" s="663"/>
      <c r="U41" s="552" t="s">
        <v>585</v>
      </c>
      <c r="V41" s="553" t="s">
        <v>585</v>
      </c>
      <c r="W41" s="553" t="s">
        <v>585</v>
      </c>
      <c r="X41" s="552" t="e">
        <f t="shared" si="16"/>
        <v>#VALUE!</v>
      </c>
      <c r="Y41" s="663"/>
      <c r="Z41" s="552" t="s">
        <v>585</v>
      </c>
      <c r="AA41" s="553" t="s">
        <v>585</v>
      </c>
      <c r="AB41" s="553" t="s">
        <v>585</v>
      </c>
      <c r="AC41" s="552" t="e">
        <f t="shared" si="18"/>
        <v>#VALUE!</v>
      </c>
      <c r="AD41" s="663"/>
      <c r="AE41" s="552" t="s">
        <v>585</v>
      </c>
      <c r="AF41" s="553" t="s">
        <v>585</v>
      </c>
      <c r="AG41" s="553" t="s">
        <v>585</v>
      </c>
      <c r="AH41" s="552" t="e">
        <f t="shared" si="20"/>
        <v>#VALUE!</v>
      </c>
      <c r="AI41" s="663"/>
      <c r="AJ41" s="552" t="s">
        <v>585</v>
      </c>
      <c r="AK41" s="553" t="s">
        <v>585</v>
      </c>
      <c r="AL41" s="553" t="s">
        <v>585</v>
      </c>
      <c r="AM41" s="552" t="e">
        <f t="shared" si="22"/>
        <v>#VALUE!</v>
      </c>
      <c r="AN41" s="663"/>
      <c r="AO41" s="552" t="s">
        <v>585</v>
      </c>
      <c r="AP41" s="553" t="s">
        <v>585</v>
      </c>
      <c r="AQ41" s="553" t="s">
        <v>585</v>
      </c>
      <c r="AR41" s="552" t="e">
        <f t="shared" si="24"/>
        <v>#VALUE!</v>
      </c>
      <c r="AS41" s="663"/>
      <c r="AT41" s="552" t="s">
        <v>585</v>
      </c>
      <c r="AU41" s="553" t="s">
        <v>585</v>
      </c>
      <c r="AV41" s="553" t="s">
        <v>585</v>
      </c>
      <c r="AW41" s="552" t="e">
        <f t="shared" si="26"/>
        <v>#VALUE!</v>
      </c>
      <c r="AX41" s="663"/>
      <c r="AZ41" s="368" t="e">
        <f t="shared" si="28"/>
        <v>#N/A</v>
      </c>
      <c r="BA41" s="663"/>
    </row>
    <row r="42" spans="2:53" ht="15.75">
      <c r="B42" s="677" t="s">
        <v>162</v>
      </c>
      <c r="C42" s="678"/>
      <c r="D42" s="678"/>
      <c r="E42" s="678"/>
      <c r="F42" s="678"/>
      <c r="G42" s="678"/>
      <c r="H42" s="678"/>
      <c r="I42" s="207"/>
      <c r="J42" s="202"/>
      <c r="K42" s="207"/>
      <c r="L42" s="207"/>
      <c r="M42" s="203"/>
      <c r="N42" s="653" t="s">
        <v>156</v>
      </c>
      <c r="O42" s="653" t="s">
        <v>105</v>
      </c>
      <c r="P42" s="659">
        <f>P22+7</f>
        <v>46245</v>
      </c>
      <c r="Q42" s="660"/>
      <c r="R42" s="660"/>
      <c r="S42" s="660"/>
      <c r="T42" s="660"/>
      <c r="U42" s="656">
        <f>P42+1</f>
        <v>46246</v>
      </c>
      <c r="V42" s="657"/>
      <c r="W42" s="657"/>
      <c r="X42" s="657"/>
      <c r="Y42" s="658"/>
      <c r="Z42" s="656">
        <f>U42+1</f>
        <v>46247</v>
      </c>
      <c r="AA42" s="657"/>
      <c r="AB42" s="657"/>
      <c r="AC42" s="657"/>
      <c r="AD42" s="658"/>
      <c r="AE42" s="656">
        <f>Z42+1</f>
        <v>46248</v>
      </c>
      <c r="AF42" s="657"/>
      <c r="AG42" s="657"/>
      <c r="AH42" s="657"/>
      <c r="AI42" s="658"/>
      <c r="AJ42" s="656">
        <f>AE42+1</f>
        <v>46249</v>
      </c>
      <c r="AK42" s="657"/>
      <c r="AL42" s="657"/>
      <c r="AM42" s="657"/>
      <c r="AN42" s="658"/>
      <c r="AO42" s="656">
        <f>AJ42+1</f>
        <v>46250</v>
      </c>
      <c r="AP42" s="657"/>
      <c r="AQ42" s="657"/>
      <c r="AR42" s="657"/>
      <c r="AS42" s="658"/>
      <c r="AT42" s="656">
        <f>AO42+1</f>
        <v>46251</v>
      </c>
      <c r="AU42" s="657"/>
      <c r="AV42" s="657"/>
      <c r="AW42" s="657"/>
      <c r="AX42" s="658"/>
    </row>
    <row r="43" spans="2:53" ht="15.75">
      <c r="B43" s="667"/>
      <c r="C43" s="667"/>
      <c r="D43" s="667"/>
      <c r="E43" s="667"/>
      <c r="F43" s="667"/>
      <c r="G43" s="667"/>
      <c r="H43" s="667"/>
      <c r="I43" s="204"/>
      <c r="J43" s="204"/>
      <c r="K43" s="204"/>
      <c r="L43" s="204"/>
      <c r="M43" s="205"/>
      <c r="N43" s="655"/>
      <c r="O43" s="655"/>
      <c r="P43" s="659" t="s">
        <v>317</v>
      </c>
      <c r="Q43" s="660"/>
      <c r="R43" s="660"/>
      <c r="S43" s="660"/>
      <c r="T43" s="660"/>
      <c r="U43" s="659" t="s">
        <v>318</v>
      </c>
      <c r="V43" s="660"/>
      <c r="W43" s="660"/>
      <c r="X43" s="660"/>
      <c r="Y43" s="660"/>
      <c r="Z43" s="659" t="s">
        <v>319</v>
      </c>
      <c r="AA43" s="660"/>
      <c r="AB43" s="660"/>
      <c r="AC43" s="660"/>
      <c r="AD43" s="660"/>
      <c r="AE43" s="659" t="s">
        <v>320</v>
      </c>
      <c r="AF43" s="660"/>
      <c r="AG43" s="660"/>
      <c r="AH43" s="660"/>
      <c r="AI43" s="660"/>
      <c r="AJ43" s="659" t="s">
        <v>321</v>
      </c>
      <c r="AK43" s="660"/>
      <c r="AL43" s="660"/>
      <c r="AM43" s="660"/>
      <c r="AN43" s="660"/>
      <c r="AO43" s="659" t="s">
        <v>322</v>
      </c>
      <c r="AP43" s="660"/>
      <c r="AQ43" s="660"/>
      <c r="AR43" s="660"/>
      <c r="AS43" s="660"/>
      <c r="AT43" s="659" t="s">
        <v>323</v>
      </c>
      <c r="AU43" s="660"/>
      <c r="AV43" s="660"/>
      <c r="AW43" s="660"/>
      <c r="AX43" s="660"/>
    </row>
    <row r="44" spans="2:53">
      <c r="B44" s="652" t="s">
        <v>453</v>
      </c>
      <c r="C44" s="652" t="s">
        <v>532</v>
      </c>
      <c r="D44" s="652"/>
      <c r="E44" s="652" t="s">
        <v>533</v>
      </c>
      <c r="F44" s="652"/>
      <c r="G44" s="652"/>
      <c r="H44" s="668" t="s">
        <v>534</v>
      </c>
      <c r="I44" s="652" t="s">
        <v>535</v>
      </c>
      <c r="J44" s="652"/>
      <c r="K44" s="652"/>
      <c r="L44" s="668" t="s">
        <v>366</v>
      </c>
      <c r="M44" s="653" t="s">
        <v>536</v>
      </c>
      <c r="N44" s="652"/>
      <c r="O44" s="652" t="s">
        <v>372</v>
      </c>
      <c r="P44" s="649" t="s">
        <v>368</v>
      </c>
      <c r="Q44" s="650"/>
      <c r="R44" s="650"/>
      <c r="S44" s="651"/>
      <c r="T44" s="652" t="s">
        <v>366</v>
      </c>
      <c r="U44" s="649" t="s">
        <v>368</v>
      </c>
      <c r="V44" s="650"/>
      <c r="W44" s="650"/>
      <c r="X44" s="651"/>
      <c r="Y44" s="652" t="s">
        <v>366</v>
      </c>
      <c r="Z44" s="649" t="s">
        <v>368</v>
      </c>
      <c r="AA44" s="650"/>
      <c r="AB44" s="650"/>
      <c r="AC44" s="651"/>
      <c r="AD44" s="652" t="s">
        <v>366</v>
      </c>
      <c r="AE44" s="649" t="s">
        <v>368</v>
      </c>
      <c r="AF44" s="650"/>
      <c r="AG44" s="650"/>
      <c r="AH44" s="651"/>
      <c r="AI44" s="652" t="s">
        <v>366</v>
      </c>
      <c r="AJ44" s="649" t="s">
        <v>368</v>
      </c>
      <c r="AK44" s="650"/>
      <c r="AL44" s="650"/>
      <c r="AM44" s="651"/>
      <c r="AN44" s="652" t="s">
        <v>366</v>
      </c>
      <c r="AO44" s="649" t="s">
        <v>368</v>
      </c>
      <c r="AP44" s="650"/>
      <c r="AQ44" s="650"/>
      <c r="AR44" s="651"/>
      <c r="AS44" s="652" t="s">
        <v>366</v>
      </c>
      <c r="AT44" s="649" t="s">
        <v>368</v>
      </c>
      <c r="AU44" s="650"/>
      <c r="AV44" s="650"/>
      <c r="AW44" s="651"/>
      <c r="AX44" s="652" t="s">
        <v>366</v>
      </c>
      <c r="BA44" s="652" t="s">
        <v>366</v>
      </c>
    </row>
    <row r="45" spans="2:53">
      <c r="B45" s="652"/>
      <c r="C45" s="652"/>
      <c r="D45" s="652"/>
      <c r="E45" s="652" t="s">
        <v>538</v>
      </c>
      <c r="F45" s="652"/>
      <c r="G45" s="652"/>
      <c r="H45" s="669"/>
      <c r="I45" s="652" t="s">
        <v>538</v>
      </c>
      <c r="J45" s="652"/>
      <c r="K45" s="652"/>
      <c r="L45" s="669"/>
      <c r="M45" s="654"/>
      <c r="N45" s="652"/>
      <c r="O45" s="652"/>
      <c r="P45" s="649" t="s">
        <v>374</v>
      </c>
      <c r="Q45" s="650"/>
      <c r="R45" s="650"/>
      <c r="S45" s="651"/>
      <c r="T45" s="652"/>
      <c r="U45" s="649" t="s">
        <v>374</v>
      </c>
      <c r="V45" s="650"/>
      <c r="W45" s="650"/>
      <c r="X45" s="651"/>
      <c r="Y45" s="652"/>
      <c r="Z45" s="649" t="s">
        <v>374</v>
      </c>
      <c r="AA45" s="650"/>
      <c r="AB45" s="650"/>
      <c r="AC45" s="651"/>
      <c r="AD45" s="652"/>
      <c r="AE45" s="649" t="s">
        <v>374</v>
      </c>
      <c r="AF45" s="650"/>
      <c r="AG45" s="650"/>
      <c r="AH45" s="651"/>
      <c r="AI45" s="652"/>
      <c r="AJ45" s="649" t="s">
        <v>374</v>
      </c>
      <c r="AK45" s="650"/>
      <c r="AL45" s="650"/>
      <c r="AM45" s="651"/>
      <c r="AN45" s="652"/>
      <c r="AO45" s="649" t="s">
        <v>374</v>
      </c>
      <c r="AP45" s="650"/>
      <c r="AQ45" s="650"/>
      <c r="AR45" s="651"/>
      <c r="AS45" s="652"/>
      <c r="AT45" s="649" t="s">
        <v>374</v>
      </c>
      <c r="AU45" s="650"/>
      <c r="AV45" s="650"/>
      <c r="AW45" s="651"/>
      <c r="AX45" s="652"/>
      <c r="BA45" s="652"/>
    </row>
    <row r="46" spans="2:53">
      <c r="B46" s="652"/>
      <c r="C46" s="652"/>
      <c r="D46" s="652"/>
      <c r="E46" s="378" t="s">
        <v>539</v>
      </c>
      <c r="F46" s="378" t="s">
        <v>540</v>
      </c>
      <c r="G46" s="378" t="s">
        <v>541</v>
      </c>
      <c r="H46" s="670"/>
      <c r="I46" s="378" t="s">
        <v>539</v>
      </c>
      <c r="J46" s="378" t="s">
        <v>540</v>
      </c>
      <c r="K46" s="378" t="s">
        <v>541</v>
      </c>
      <c r="L46" s="670"/>
      <c r="M46" s="655"/>
      <c r="N46" s="652"/>
      <c r="O46" s="652"/>
      <c r="P46" s="378" t="s">
        <v>375</v>
      </c>
      <c r="Q46" s="378" t="s">
        <v>376</v>
      </c>
      <c r="R46" s="378" t="s">
        <v>377</v>
      </c>
      <c r="S46" s="378" t="s">
        <v>367</v>
      </c>
      <c r="T46" s="652"/>
      <c r="U46" s="378" t="s">
        <v>375</v>
      </c>
      <c r="V46" s="378" t="s">
        <v>376</v>
      </c>
      <c r="W46" s="378" t="s">
        <v>377</v>
      </c>
      <c r="X46" s="378" t="s">
        <v>367</v>
      </c>
      <c r="Y46" s="652"/>
      <c r="Z46" s="378" t="s">
        <v>375</v>
      </c>
      <c r="AA46" s="378" t="s">
        <v>376</v>
      </c>
      <c r="AB46" s="378" t="s">
        <v>377</v>
      </c>
      <c r="AC46" s="378" t="s">
        <v>367</v>
      </c>
      <c r="AD46" s="652"/>
      <c r="AE46" s="378" t="s">
        <v>375</v>
      </c>
      <c r="AF46" s="378" t="s">
        <v>376</v>
      </c>
      <c r="AG46" s="378" t="s">
        <v>377</v>
      </c>
      <c r="AH46" s="378" t="s">
        <v>367</v>
      </c>
      <c r="AI46" s="652"/>
      <c r="AJ46" s="378" t="s">
        <v>375</v>
      </c>
      <c r="AK46" s="378" t="s">
        <v>376</v>
      </c>
      <c r="AL46" s="378" t="s">
        <v>377</v>
      </c>
      <c r="AM46" s="378" t="s">
        <v>367</v>
      </c>
      <c r="AN46" s="652"/>
      <c r="AO46" s="378" t="s">
        <v>375</v>
      </c>
      <c r="AP46" s="378" t="s">
        <v>376</v>
      </c>
      <c r="AQ46" s="378" t="s">
        <v>377</v>
      </c>
      <c r="AR46" s="378" t="s">
        <v>367</v>
      </c>
      <c r="AS46" s="652"/>
      <c r="AT46" s="378" t="s">
        <v>375</v>
      </c>
      <c r="AU46" s="378" t="s">
        <v>376</v>
      </c>
      <c r="AV46" s="378" t="s">
        <v>377</v>
      </c>
      <c r="AW46" s="378" t="s">
        <v>367</v>
      </c>
      <c r="AX46" s="652"/>
      <c r="AZ46" s="367" t="s">
        <v>560</v>
      </c>
      <c r="BA46" s="652"/>
    </row>
    <row r="47" spans="2:53">
      <c r="B47" s="652" t="s">
        <v>469</v>
      </c>
      <c r="C47" s="380">
        <v>1</v>
      </c>
      <c r="D47" s="225" t="s">
        <v>354</v>
      </c>
      <c r="E47" s="531">
        <v>7</v>
      </c>
      <c r="F47" s="530">
        <v>1500</v>
      </c>
      <c r="G47" s="532">
        <v>214.28571428571428</v>
      </c>
      <c r="H47" s="691">
        <f>AVERAGE(G47:G61)</f>
        <v>184.40709617180207</v>
      </c>
      <c r="I47" s="381">
        <f t="shared" ref="I47:I60" si="30">IFERROR(AVERAGE(P47,U47,Z47,AE47,AJ47,AO47,AT47),"-")</f>
        <v>7</v>
      </c>
      <c r="J47" s="381">
        <f t="shared" ref="J47:J60" si="31">IFERROR(AVERAGE(Q47,V47,AA47,AF47,AK47,AP47,AU47),"-")</f>
        <v>1422.4280539768156</v>
      </c>
      <c r="K47" s="199">
        <f t="shared" ref="K47:K60" si="32">IFERROR(AVERAGE(R47,W47,AB47,AG47,AL47,AQ47,AV47),"-")</f>
        <v>203.20400771097368</v>
      </c>
      <c r="L47" s="633">
        <f>IFERROR(AVERAGE(K47:K61),"-")</f>
        <v>162.34446135718014</v>
      </c>
      <c r="M47" s="384">
        <f>RANK(K47, K$47:$K$61)</f>
        <v>4</v>
      </c>
      <c r="N47" s="652"/>
      <c r="O47" s="652"/>
      <c r="P47" s="555">
        <v>7</v>
      </c>
      <c r="Q47" s="559">
        <v>1414.6153846153854</v>
      </c>
      <c r="R47" s="559">
        <v>202.0879120879122</v>
      </c>
      <c r="S47" s="555">
        <f t="shared" ref="S47:S61" si="33">RANK(R47, R$47:R$61)</f>
        <v>5</v>
      </c>
      <c r="T47" s="661">
        <f t="shared" ref="T47" si="34">AVERAGE(R47:R61)</f>
        <v>163.07067583288912</v>
      </c>
      <c r="U47" s="555">
        <v>7</v>
      </c>
      <c r="V47" s="559">
        <v>1438.7500000000005</v>
      </c>
      <c r="W47" s="559">
        <v>205.53571428571436</v>
      </c>
      <c r="X47" s="555">
        <f t="shared" ref="X47:X61" si="35">RANK(W47, W$47:W$61)</f>
        <v>2</v>
      </c>
      <c r="Y47" s="661">
        <f t="shared" ref="Y47" si="36">AVERAGE(W47:W61)</f>
        <v>163.2330982975933</v>
      </c>
      <c r="Z47" s="555">
        <v>7</v>
      </c>
      <c r="AA47" s="559">
        <v>1390.5882352941182</v>
      </c>
      <c r="AB47" s="559">
        <v>198.65546218487404</v>
      </c>
      <c r="AC47" s="555">
        <f t="shared" ref="AC47:AC61" si="37">RANK(AB47, AB$47:AB$61)</f>
        <v>5</v>
      </c>
      <c r="AD47" s="661">
        <f t="shared" ref="AD47" si="38">AVERAGE(AB47:AB61)</f>
        <v>162.25234062464085</v>
      </c>
      <c r="AE47" s="555">
        <v>7</v>
      </c>
      <c r="AF47" s="559">
        <v>1433.9999999999995</v>
      </c>
      <c r="AG47" s="559">
        <v>204.8571428571428</v>
      </c>
      <c r="AH47" s="555">
        <f t="shared" ref="AH47:AH61" si="39">RANK(AG47, AG$47:AG$61)</f>
        <v>2</v>
      </c>
      <c r="AI47" s="661">
        <f t="shared" ref="AI47" si="40">AVERAGE(AG47:AG61)</f>
        <v>163.17903236481655</v>
      </c>
      <c r="AJ47" s="555">
        <v>7</v>
      </c>
      <c r="AK47" s="559">
        <v>1418.9189189189194</v>
      </c>
      <c r="AL47" s="559">
        <v>202.70270270270277</v>
      </c>
      <c r="AM47" s="555">
        <f t="shared" ref="AM47:AM61" si="41">RANK(AL47, AL$47:AL$61)</f>
        <v>3</v>
      </c>
      <c r="AN47" s="661">
        <f t="shared" ref="AN47" si="42">AVERAGE(AL47:AL61)</f>
        <v>159.05014046425921</v>
      </c>
      <c r="AO47" s="555">
        <v>7</v>
      </c>
      <c r="AP47" s="559">
        <v>1421.1764705882358</v>
      </c>
      <c r="AQ47" s="559">
        <v>203.02521008403369</v>
      </c>
      <c r="AR47" s="555">
        <f t="shared" ref="AR47:AR61" si="43">RANK(AQ47, AQ$47:AQ$61)</f>
        <v>4</v>
      </c>
      <c r="AS47" s="661">
        <f t="shared" ref="AS47" si="44">AVERAGE(AQ47:AQ61)</f>
        <v>162.48547088745127</v>
      </c>
      <c r="AT47" s="555">
        <v>7</v>
      </c>
      <c r="AU47" s="559">
        <v>1438.9473684210525</v>
      </c>
      <c r="AV47" s="559">
        <v>205.56390977443607</v>
      </c>
      <c r="AW47" s="555">
        <f t="shared" ref="AW47:AW61" si="45">RANK(AV47, AV$47:AV$61)</f>
        <v>2</v>
      </c>
      <c r="AX47" s="661">
        <f t="shared" ref="AX47" si="46">AVERAGE(AV47:AV61)</f>
        <v>163.1404710286107</v>
      </c>
      <c r="AZ47" s="368" t="e">
        <f t="shared" ref="AZ47:AZ61" si="47">RANK(AY47, AY$47:AY$61)</f>
        <v>#N/A</v>
      </c>
      <c r="BA47" s="661" t="e">
        <f t="shared" ref="BA47" si="48">AVERAGE(AY47:AY61)</f>
        <v>#DIV/0!</v>
      </c>
    </row>
    <row r="48" spans="2:53">
      <c r="B48" s="660"/>
      <c r="C48" s="380">
        <v>2</v>
      </c>
      <c r="D48" s="225" t="s">
        <v>355</v>
      </c>
      <c r="E48" s="531">
        <v>7</v>
      </c>
      <c r="F48" s="530">
        <v>1500</v>
      </c>
      <c r="G48" s="532">
        <v>214.28571428571428</v>
      </c>
      <c r="H48" s="692"/>
      <c r="I48" s="381">
        <f t="shared" si="30"/>
        <v>7</v>
      </c>
      <c r="J48" s="381">
        <f t="shared" si="31"/>
        <v>1445.0270829697929</v>
      </c>
      <c r="K48" s="199">
        <f t="shared" si="32"/>
        <v>206.43244042425613</v>
      </c>
      <c r="L48" s="634"/>
      <c r="M48" s="418">
        <f>RANK(K48, K$47:$K$61)</f>
        <v>1</v>
      </c>
      <c r="N48" s="652"/>
      <c r="O48" s="652"/>
      <c r="P48" s="555">
        <v>7</v>
      </c>
      <c r="Q48" s="559">
        <v>1458.7234042553196</v>
      </c>
      <c r="R48" s="559">
        <v>208.38905775075995</v>
      </c>
      <c r="S48" s="555">
        <f t="shared" si="33"/>
        <v>1</v>
      </c>
      <c r="T48" s="662"/>
      <c r="U48" s="555">
        <v>7</v>
      </c>
      <c r="V48" s="559">
        <v>1440.4285714285718</v>
      </c>
      <c r="W48" s="559">
        <v>205.77551020408168</v>
      </c>
      <c r="X48" s="555">
        <f t="shared" si="35"/>
        <v>1</v>
      </c>
      <c r="Y48" s="662"/>
      <c r="Z48" s="555">
        <v>7</v>
      </c>
      <c r="AA48" s="559">
        <v>1433.4306569343066</v>
      </c>
      <c r="AB48" s="559">
        <v>204.77580813347237</v>
      </c>
      <c r="AC48" s="555">
        <f t="shared" si="37"/>
        <v>2</v>
      </c>
      <c r="AD48" s="662"/>
      <c r="AE48" s="555">
        <v>7</v>
      </c>
      <c r="AF48" s="559">
        <v>1457.3684210526312</v>
      </c>
      <c r="AG48" s="559">
        <v>208.19548872180445</v>
      </c>
      <c r="AH48" s="555">
        <f t="shared" si="39"/>
        <v>1</v>
      </c>
      <c r="AI48" s="662"/>
      <c r="AJ48" s="555">
        <v>7</v>
      </c>
      <c r="AK48" s="559">
        <v>1460.54054054054</v>
      </c>
      <c r="AL48" s="559">
        <v>208.64864864864856</v>
      </c>
      <c r="AM48" s="555">
        <f t="shared" si="41"/>
        <v>1</v>
      </c>
      <c r="AN48" s="662"/>
      <c r="AO48" s="555">
        <v>7</v>
      </c>
      <c r="AP48" s="559">
        <v>1440</v>
      </c>
      <c r="AQ48" s="559">
        <v>205.71428571428572</v>
      </c>
      <c r="AR48" s="555">
        <f t="shared" si="43"/>
        <v>2</v>
      </c>
      <c r="AS48" s="662"/>
      <c r="AT48" s="555">
        <v>7</v>
      </c>
      <c r="AU48" s="559">
        <v>1424.6979865771809</v>
      </c>
      <c r="AV48" s="559">
        <v>203.52828379674014</v>
      </c>
      <c r="AW48" s="555">
        <f t="shared" si="45"/>
        <v>3</v>
      </c>
      <c r="AX48" s="662"/>
      <c r="AZ48" s="368" t="e">
        <f t="shared" si="47"/>
        <v>#N/A</v>
      </c>
      <c r="BA48" s="662"/>
    </row>
    <row r="49" spans="2:53">
      <c r="B49" s="660"/>
      <c r="C49" s="380">
        <v>3</v>
      </c>
      <c r="D49" s="225" t="s">
        <v>356</v>
      </c>
      <c r="E49" s="531">
        <v>17</v>
      </c>
      <c r="F49" s="530">
        <v>1500</v>
      </c>
      <c r="G49" s="532">
        <v>88.235294117647058</v>
      </c>
      <c r="H49" s="692"/>
      <c r="I49" s="381">
        <f t="shared" si="30"/>
        <v>16.857142857142858</v>
      </c>
      <c r="J49" s="381">
        <f t="shared" si="31"/>
        <v>1352.6758400508697</v>
      </c>
      <c r="K49" s="199">
        <f t="shared" si="32"/>
        <v>80.280141669050067</v>
      </c>
      <c r="L49" s="634"/>
      <c r="M49" s="418">
        <f>RANK(K49, K$47:$K$61)</f>
        <v>9</v>
      </c>
      <c r="N49" s="652"/>
      <c r="O49" s="652"/>
      <c r="P49" s="555">
        <v>17</v>
      </c>
      <c r="Q49" s="559">
        <v>1347.6473684210532</v>
      </c>
      <c r="R49" s="559">
        <v>79.273374613003128</v>
      </c>
      <c r="S49" s="555">
        <f t="shared" si="33"/>
        <v>9</v>
      </c>
      <c r="T49" s="662"/>
      <c r="U49" s="555">
        <v>17</v>
      </c>
      <c r="V49" s="559">
        <v>1365.2865671641789</v>
      </c>
      <c r="W49" s="559">
        <v>80.310974539069349</v>
      </c>
      <c r="X49" s="555">
        <f t="shared" si="35"/>
        <v>9</v>
      </c>
      <c r="Y49" s="662"/>
      <c r="Z49" s="555">
        <v>17</v>
      </c>
      <c r="AA49" s="559">
        <v>1324.9391304347826</v>
      </c>
      <c r="AB49" s="559">
        <v>77.937595907928383</v>
      </c>
      <c r="AC49" s="555">
        <f t="shared" si="37"/>
        <v>9</v>
      </c>
      <c r="AD49" s="662"/>
      <c r="AE49" s="555">
        <v>17</v>
      </c>
      <c r="AF49" s="559">
        <v>1339.7678571428562</v>
      </c>
      <c r="AG49" s="559">
        <v>78.809873949579782</v>
      </c>
      <c r="AH49" s="555">
        <f t="shared" si="39"/>
        <v>9</v>
      </c>
      <c r="AI49" s="662"/>
      <c r="AJ49" s="555">
        <v>17</v>
      </c>
      <c r="AK49" s="559">
        <v>1356.932142857142</v>
      </c>
      <c r="AL49" s="559">
        <v>79.819537815125997</v>
      </c>
      <c r="AM49" s="555">
        <f t="shared" si="41"/>
        <v>9</v>
      </c>
      <c r="AN49" s="662"/>
      <c r="AO49" s="555">
        <v>17</v>
      </c>
      <c r="AP49" s="559">
        <v>1380.4621621621627</v>
      </c>
      <c r="AQ49" s="559">
        <v>81.203656597774284</v>
      </c>
      <c r="AR49" s="555">
        <f t="shared" si="43"/>
        <v>9</v>
      </c>
      <c r="AS49" s="662"/>
      <c r="AT49" s="555">
        <v>16</v>
      </c>
      <c r="AU49" s="559">
        <v>1353.695652173913</v>
      </c>
      <c r="AV49" s="559">
        <v>84.605978260869563</v>
      </c>
      <c r="AW49" s="555">
        <f t="shared" si="45"/>
        <v>9</v>
      </c>
      <c r="AX49" s="662"/>
      <c r="AZ49" s="368" t="e">
        <f t="shared" si="47"/>
        <v>#N/A</v>
      </c>
      <c r="BA49" s="662"/>
    </row>
    <row r="50" spans="2:53">
      <c r="B50" s="660"/>
      <c r="C50" s="380">
        <v>4</v>
      </c>
      <c r="D50" s="225" t="s">
        <v>388</v>
      </c>
      <c r="E50" s="531">
        <v>7</v>
      </c>
      <c r="F50" s="530">
        <v>1500</v>
      </c>
      <c r="G50" s="532">
        <v>214.28571428571428</v>
      </c>
      <c r="H50" s="692"/>
      <c r="I50" s="381">
        <f t="shared" si="30"/>
        <v>7</v>
      </c>
      <c r="J50" s="381">
        <f t="shared" si="31"/>
        <v>1426.415600316675</v>
      </c>
      <c r="K50" s="199">
        <f t="shared" si="32"/>
        <v>203.77365718809642</v>
      </c>
      <c r="L50" s="634"/>
      <c r="M50" s="418">
        <f>RANK(K50, K$47:$K$61)</f>
        <v>3</v>
      </c>
      <c r="N50" s="652"/>
      <c r="O50" s="652"/>
      <c r="P50" s="555">
        <v>7</v>
      </c>
      <c r="Q50" s="559">
        <v>1437.4999999999998</v>
      </c>
      <c r="R50" s="559">
        <v>205.35714285714283</v>
      </c>
      <c r="S50" s="555">
        <f t="shared" si="33"/>
        <v>2</v>
      </c>
      <c r="T50" s="662"/>
      <c r="U50" s="555">
        <v>7</v>
      </c>
      <c r="V50" s="559">
        <v>1419.1489361702124</v>
      </c>
      <c r="W50" s="559">
        <v>202.73556231003036</v>
      </c>
      <c r="X50" s="555">
        <f t="shared" si="35"/>
        <v>4</v>
      </c>
      <c r="Y50" s="662"/>
      <c r="Z50" s="555">
        <v>7</v>
      </c>
      <c r="AA50" s="559">
        <v>1413.6170212765956</v>
      </c>
      <c r="AB50" s="559">
        <v>201.94528875379936</v>
      </c>
      <c r="AC50" s="555">
        <f t="shared" si="37"/>
        <v>3</v>
      </c>
      <c r="AD50" s="662"/>
      <c r="AE50" s="555">
        <v>7</v>
      </c>
      <c r="AF50" s="559">
        <v>1432.8205128205125</v>
      </c>
      <c r="AG50" s="559">
        <v>204.68864468864464</v>
      </c>
      <c r="AH50" s="555">
        <f t="shared" si="39"/>
        <v>3</v>
      </c>
      <c r="AI50" s="662"/>
      <c r="AJ50" s="555">
        <v>7</v>
      </c>
      <c r="AK50" s="559">
        <v>1414.6341463414637</v>
      </c>
      <c r="AL50" s="559">
        <v>202.09059233449483</v>
      </c>
      <c r="AM50" s="555">
        <f t="shared" si="41"/>
        <v>4</v>
      </c>
      <c r="AN50" s="662"/>
      <c r="AO50" s="555">
        <v>7</v>
      </c>
      <c r="AP50" s="559">
        <v>1421.4193548387095</v>
      </c>
      <c r="AQ50" s="559">
        <v>203.05990783410135</v>
      </c>
      <c r="AR50" s="555">
        <f t="shared" si="43"/>
        <v>3</v>
      </c>
      <c r="AS50" s="662"/>
      <c r="AT50" s="555">
        <v>7</v>
      </c>
      <c r="AU50" s="559">
        <v>1445.7692307692309</v>
      </c>
      <c r="AV50" s="559">
        <v>206.53846153846158</v>
      </c>
      <c r="AW50" s="555">
        <f t="shared" si="45"/>
        <v>1</v>
      </c>
      <c r="AX50" s="662"/>
      <c r="AZ50" s="368" t="e">
        <f t="shared" si="47"/>
        <v>#N/A</v>
      </c>
      <c r="BA50" s="662"/>
    </row>
    <row r="51" spans="2:53">
      <c r="B51" s="660"/>
      <c r="C51" s="380">
        <v>5</v>
      </c>
      <c r="D51" s="225" t="s">
        <v>577</v>
      </c>
      <c r="E51" s="531">
        <v>12</v>
      </c>
      <c r="F51" s="530">
        <v>2000</v>
      </c>
      <c r="G51" s="532">
        <v>166.66666666666666</v>
      </c>
      <c r="H51" s="692"/>
      <c r="I51" s="381">
        <f t="shared" si="30"/>
        <v>12</v>
      </c>
      <c r="J51" s="381">
        <f t="shared" si="31"/>
        <v>1547.8798527561762</v>
      </c>
      <c r="K51" s="199">
        <f t="shared" si="32"/>
        <v>128.98998772968136</v>
      </c>
      <c r="L51" s="634"/>
      <c r="M51" s="418">
        <f>RANK(K51, K$47:$K$61)</f>
        <v>6</v>
      </c>
      <c r="N51" s="652"/>
      <c r="O51" s="652"/>
      <c r="P51" s="555">
        <v>12</v>
      </c>
      <c r="Q51" s="559">
        <v>1544.3478260869567</v>
      </c>
      <c r="R51" s="559">
        <v>128.69565217391306</v>
      </c>
      <c r="S51" s="555">
        <f t="shared" si="33"/>
        <v>6</v>
      </c>
      <c r="T51" s="662"/>
      <c r="U51" s="555">
        <v>12</v>
      </c>
      <c r="V51" s="559">
        <v>1529.7297297297298</v>
      </c>
      <c r="W51" s="559">
        <v>127.47747747747748</v>
      </c>
      <c r="X51" s="555">
        <f t="shared" si="35"/>
        <v>7</v>
      </c>
      <c r="Y51" s="662"/>
      <c r="Z51" s="555">
        <v>12</v>
      </c>
      <c r="AA51" s="559">
        <v>1574.181818181818</v>
      </c>
      <c r="AB51" s="559">
        <v>131.18181818181816</v>
      </c>
      <c r="AC51" s="555">
        <f t="shared" si="37"/>
        <v>6</v>
      </c>
      <c r="AD51" s="662"/>
      <c r="AE51" s="555">
        <v>12</v>
      </c>
      <c r="AF51" s="559">
        <v>1539.5604395604396</v>
      </c>
      <c r="AG51" s="559">
        <v>128.2967032967033</v>
      </c>
      <c r="AH51" s="555">
        <f t="shared" si="39"/>
        <v>6</v>
      </c>
      <c r="AI51" s="662"/>
      <c r="AJ51" s="555">
        <v>12</v>
      </c>
      <c r="AK51" s="559">
        <v>1533.9130434782608</v>
      </c>
      <c r="AL51" s="559">
        <v>127.82608695652173</v>
      </c>
      <c r="AM51" s="555">
        <f t="shared" si="41"/>
        <v>6</v>
      </c>
      <c r="AN51" s="662"/>
      <c r="AO51" s="555">
        <v>12</v>
      </c>
      <c r="AP51" s="559">
        <v>1553.0973451327434</v>
      </c>
      <c r="AQ51" s="559">
        <v>129.42477876106196</v>
      </c>
      <c r="AR51" s="555">
        <f t="shared" si="43"/>
        <v>6</v>
      </c>
      <c r="AS51" s="662"/>
      <c r="AT51" s="555">
        <v>12</v>
      </c>
      <c r="AU51" s="559">
        <v>1560.3287671232872</v>
      </c>
      <c r="AV51" s="559">
        <v>130.02739726027394</v>
      </c>
      <c r="AW51" s="555">
        <f t="shared" si="45"/>
        <v>6</v>
      </c>
      <c r="AX51" s="662"/>
      <c r="AZ51" s="368" t="e">
        <f t="shared" si="47"/>
        <v>#N/A</v>
      </c>
      <c r="BA51" s="662"/>
    </row>
    <row r="52" spans="2:53">
      <c r="B52" s="660"/>
      <c r="C52" s="380">
        <v>6</v>
      </c>
      <c r="D52" s="225" t="s">
        <v>562</v>
      </c>
      <c r="E52" s="531">
        <v>7</v>
      </c>
      <c r="F52" s="530">
        <v>1500</v>
      </c>
      <c r="G52" s="532">
        <v>214.28571428571428</v>
      </c>
      <c r="H52" s="692"/>
      <c r="I52" s="381">
        <f t="shared" si="30"/>
        <v>7</v>
      </c>
      <c r="J52" s="381">
        <f t="shared" si="31"/>
        <v>1432.3625994144786</v>
      </c>
      <c r="K52" s="199">
        <f t="shared" si="32"/>
        <v>204.62322848778268</v>
      </c>
      <c r="L52" s="634"/>
      <c r="M52" s="418">
        <f>RANK(K52, K$47:$K$61)</f>
        <v>2</v>
      </c>
      <c r="N52" s="652"/>
      <c r="O52" s="652"/>
      <c r="P52" s="555">
        <v>7</v>
      </c>
      <c r="Q52" s="559">
        <v>1417.4999999999993</v>
      </c>
      <c r="R52" s="559">
        <v>202.49999999999991</v>
      </c>
      <c r="S52" s="555">
        <f t="shared" si="33"/>
        <v>4</v>
      </c>
      <c r="T52" s="662"/>
      <c r="U52" s="555">
        <v>7</v>
      </c>
      <c r="V52" s="559">
        <v>1435.5555555555559</v>
      </c>
      <c r="W52" s="559">
        <v>205.07936507936512</v>
      </c>
      <c r="X52" s="555">
        <f t="shared" si="35"/>
        <v>3</v>
      </c>
      <c r="Y52" s="662"/>
      <c r="Z52" s="555">
        <v>7</v>
      </c>
      <c r="AA52" s="559">
        <v>1452.5925925925928</v>
      </c>
      <c r="AB52" s="559">
        <v>207.51322751322755</v>
      </c>
      <c r="AC52" s="555">
        <f t="shared" si="37"/>
        <v>1</v>
      </c>
      <c r="AD52" s="662"/>
      <c r="AE52" s="555">
        <v>7</v>
      </c>
      <c r="AF52" s="559">
        <v>1424.0000000000002</v>
      </c>
      <c r="AG52" s="559">
        <v>203.42857142857147</v>
      </c>
      <c r="AH52" s="555">
        <f t="shared" si="39"/>
        <v>4</v>
      </c>
      <c r="AI52" s="662"/>
      <c r="AJ52" s="555">
        <v>7</v>
      </c>
      <c r="AK52" s="559">
        <v>1434.4444444444443</v>
      </c>
      <c r="AL52" s="559">
        <v>204.92063492063491</v>
      </c>
      <c r="AM52" s="555">
        <f t="shared" si="41"/>
        <v>2</v>
      </c>
      <c r="AN52" s="662"/>
      <c r="AO52" s="555">
        <v>7</v>
      </c>
      <c r="AP52" s="559">
        <v>1442.6865671641799</v>
      </c>
      <c r="AQ52" s="559">
        <v>206.09808102345428</v>
      </c>
      <c r="AR52" s="555">
        <f t="shared" si="43"/>
        <v>1</v>
      </c>
      <c r="AS52" s="662"/>
      <c r="AT52" s="555">
        <v>7</v>
      </c>
      <c r="AU52" s="559">
        <v>1419.7590361445784</v>
      </c>
      <c r="AV52" s="559">
        <v>202.8227194492255</v>
      </c>
      <c r="AW52" s="555">
        <f t="shared" si="45"/>
        <v>4</v>
      </c>
      <c r="AX52" s="662"/>
      <c r="AZ52" s="368" t="e">
        <f t="shared" si="47"/>
        <v>#N/A</v>
      </c>
      <c r="BA52" s="662"/>
    </row>
    <row r="53" spans="2:53">
      <c r="B53" s="660"/>
      <c r="C53" s="380">
        <v>7</v>
      </c>
      <c r="D53" s="225" t="s">
        <v>605</v>
      </c>
      <c r="E53" s="531">
        <v>12</v>
      </c>
      <c r="F53" s="530">
        <v>2000</v>
      </c>
      <c r="G53" s="532">
        <v>166.66666666666666</v>
      </c>
      <c r="H53" s="692"/>
      <c r="I53" s="381">
        <f t="shared" si="30"/>
        <v>12</v>
      </c>
      <c r="J53" s="381">
        <f t="shared" si="31"/>
        <v>1509.1777543097264</v>
      </c>
      <c r="K53" s="199">
        <f t="shared" si="32"/>
        <v>125.76481285914386</v>
      </c>
      <c r="L53" s="634"/>
      <c r="M53" s="418">
        <f>RANK(K53, K$47:$K$61)</f>
        <v>7</v>
      </c>
      <c r="N53" s="652"/>
      <c r="O53" s="652"/>
      <c r="P53" s="555">
        <v>12</v>
      </c>
      <c r="Q53" s="559">
        <v>1508.8524590163929</v>
      </c>
      <c r="R53" s="559">
        <v>125.73770491803275</v>
      </c>
      <c r="S53" s="555">
        <f t="shared" si="33"/>
        <v>7</v>
      </c>
      <c r="T53" s="662"/>
      <c r="U53" s="555">
        <v>12</v>
      </c>
      <c r="V53" s="559">
        <v>1571.6129032258041</v>
      </c>
      <c r="W53" s="559">
        <v>130.96774193548367</v>
      </c>
      <c r="X53" s="555">
        <f t="shared" si="35"/>
        <v>6</v>
      </c>
      <c r="Y53" s="662"/>
      <c r="Z53" s="555">
        <v>12</v>
      </c>
      <c r="AA53" s="559">
        <v>1498.0434782608695</v>
      </c>
      <c r="AB53" s="559">
        <v>124.83695652173913</v>
      </c>
      <c r="AC53" s="555">
        <f t="shared" si="37"/>
        <v>7</v>
      </c>
      <c r="AD53" s="662"/>
      <c r="AE53" s="555">
        <v>12</v>
      </c>
      <c r="AF53" s="559">
        <v>1510.1408450704228</v>
      </c>
      <c r="AG53" s="559">
        <v>125.84507042253523</v>
      </c>
      <c r="AH53" s="555">
        <f t="shared" si="39"/>
        <v>7</v>
      </c>
      <c r="AI53" s="662"/>
      <c r="AJ53" s="555">
        <v>12</v>
      </c>
      <c r="AK53" s="559">
        <v>1484.5945945945953</v>
      </c>
      <c r="AL53" s="559">
        <v>123.71621621621627</v>
      </c>
      <c r="AM53" s="555">
        <f t="shared" si="41"/>
        <v>7</v>
      </c>
      <c r="AN53" s="662"/>
      <c r="AO53" s="555">
        <v>12</v>
      </c>
      <c r="AP53" s="559">
        <v>1479.0000000000005</v>
      </c>
      <c r="AQ53" s="559">
        <v>123.25000000000004</v>
      </c>
      <c r="AR53" s="555">
        <f t="shared" si="43"/>
        <v>7</v>
      </c>
      <c r="AS53" s="662"/>
      <c r="AT53" s="555">
        <v>12</v>
      </c>
      <c r="AU53" s="559">
        <v>1511.9999999999995</v>
      </c>
      <c r="AV53" s="559">
        <v>125.99999999999996</v>
      </c>
      <c r="AW53" s="555">
        <f t="shared" si="45"/>
        <v>7</v>
      </c>
      <c r="AX53" s="662"/>
      <c r="AZ53" s="368" t="e">
        <f t="shared" si="47"/>
        <v>#N/A</v>
      </c>
      <c r="BA53" s="662"/>
    </row>
    <row r="54" spans="2:53">
      <c r="B54" s="660"/>
      <c r="C54" s="380">
        <v>8</v>
      </c>
      <c r="D54" s="225" t="s">
        <v>606</v>
      </c>
      <c r="E54" s="531">
        <v>12</v>
      </c>
      <c r="F54" s="530">
        <v>2000</v>
      </c>
      <c r="G54" s="532">
        <v>166.66666666666666</v>
      </c>
      <c r="H54" s="692"/>
      <c r="I54" s="381">
        <f t="shared" si="30"/>
        <v>12</v>
      </c>
      <c r="J54" s="381">
        <f t="shared" si="31"/>
        <v>1323.5871271585559</v>
      </c>
      <c r="K54" s="199">
        <f t="shared" si="32"/>
        <v>110.29892726321297</v>
      </c>
      <c r="L54" s="634"/>
      <c r="M54" s="418">
        <f>RANK(K54, K$47:$K$61)</f>
        <v>8</v>
      </c>
      <c r="N54" s="652"/>
      <c r="O54" s="652"/>
      <c r="P54" s="555">
        <v>12</v>
      </c>
      <c r="Q54" s="559">
        <v>1349.9999999999989</v>
      </c>
      <c r="R54" s="559">
        <v>112.4999999999999</v>
      </c>
      <c r="S54" s="555">
        <f t="shared" si="33"/>
        <v>8</v>
      </c>
      <c r="T54" s="662"/>
      <c r="U54" s="555">
        <v>12</v>
      </c>
      <c r="V54" s="559">
        <v>1322.8571428571424</v>
      </c>
      <c r="W54" s="559">
        <v>110.2380952380952</v>
      </c>
      <c r="X54" s="555">
        <f t="shared" si="35"/>
        <v>8</v>
      </c>
      <c r="Y54" s="662"/>
      <c r="Z54" s="555">
        <v>12</v>
      </c>
      <c r="AA54" s="559">
        <v>1339.9999999999995</v>
      </c>
      <c r="AB54" s="559">
        <v>111.66666666666663</v>
      </c>
      <c r="AC54" s="555">
        <f t="shared" si="37"/>
        <v>8</v>
      </c>
      <c r="AD54" s="662"/>
      <c r="AE54" s="555">
        <v>12</v>
      </c>
      <c r="AF54" s="559">
        <v>1345.7142857142867</v>
      </c>
      <c r="AG54" s="559">
        <v>112.14285714285722</v>
      </c>
      <c r="AH54" s="555">
        <f t="shared" si="39"/>
        <v>8</v>
      </c>
      <c r="AI54" s="662"/>
      <c r="AJ54" s="555">
        <v>12</v>
      </c>
      <c r="AK54" s="559">
        <v>1301.5384615384623</v>
      </c>
      <c r="AL54" s="559">
        <v>108.46153846153852</v>
      </c>
      <c r="AM54" s="555">
        <f t="shared" si="41"/>
        <v>8</v>
      </c>
      <c r="AN54" s="662"/>
      <c r="AO54" s="555">
        <v>12</v>
      </c>
      <c r="AP54" s="559">
        <v>1304.9999999999995</v>
      </c>
      <c r="AQ54" s="559">
        <v>108.74999999999996</v>
      </c>
      <c r="AR54" s="555">
        <f t="shared" si="43"/>
        <v>8</v>
      </c>
      <c r="AS54" s="662"/>
      <c r="AT54" s="555">
        <v>12</v>
      </c>
      <c r="AU54" s="559">
        <v>1300.0000000000007</v>
      </c>
      <c r="AV54" s="559">
        <v>108.33333333333339</v>
      </c>
      <c r="AW54" s="555">
        <f t="shared" si="45"/>
        <v>8</v>
      </c>
      <c r="AX54" s="662"/>
      <c r="AZ54" s="368" t="e">
        <f t="shared" si="47"/>
        <v>#N/A</v>
      </c>
      <c r="BA54" s="662"/>
    </row>
    <row r="55" spans="2:53">
      <c r="B55" s="660"/>
      <c r="C55" s="380">
        <v>9</v>
      </c>
      <c r="D55" s="225" t="s">
        <v>621</v>
      </c>
      <c r="E55" s="531">
        <v>7</v>
      </c>
      <c r="F55" s="530">
        <v>1500</v>
      </c>
      <c r="G55" s="532">
        <v>214.28571428571428</v>
      </c>
      <c r="H55" s="692"/>
      <c r="I55" s="381">
        <f t="shared" si="30"/>
        <v>7</v>
      </c>
      <c r="J55" s="381">
        <f t="shared" si="31"/>
        <v>1384.130642176968</v>
      </c>
      <c r="K55" s="199">
        <f t="shared" si="32"/>
        <v>197.73294888242398</v>
      </c>
      <c r="L55" s="634"/>
      <c r="M55" s="418">
        <f>RANK(K55, K$47:$K$61)</f>
        <v>5</v>
      </c>
      <c r="N55" s="652"/>
      <c r="O55" s="652"/>
      <c r="P55" s="555">
        <v>7</v>
      </c>
      <c r="Q55" s="559">
        <v>1421.666666666667</v>
      </c>
      <c r="R55" s="559">
        <v>203.09523809523813</v>
      </c>
      <c r="S55" s="555">
        <f t="shared" si="33"/>
        <v>3</v>
      </c>
      <c r="T55" s="662"/>
      <c r="U55" s="555">
        <v>7</v>
      </c>
      <c r="V55" s="559">
        <v>1406.8421052631584</v>
      </c>
      <c r="W55" s="559">
        <v>200.97744360902263</v>
      </c>
      <c r="X55" s="555">
        <f t="shared" si="35"/>
        <v>5</v>
      </c>
      <c r="Y55" s="662"/>
      <c r="Z55" s="555">
        <v>7</v>
      </c>
      <c r="AA55" s="559">
        <v>1412.3076923076931</v>
      </c>
      <c r="AB55" s="559">
        <v>201.75824175824187</v>
      </c>
      <c r="AC55" s="555">
        <f t="shared" si="37"/>
        <v>4</v>
      </c>
      <c r="AD55" s="662"/>
      <c r="AE55" s="555">
        <v>7</v>
      </c>
      <c r="AF55" s="559">
        <v>1416.4285714285704</v>
      </c>
      <c r="AG55" s="559">
        <v>202.34693877551007</v>
      </c>
      <c r="AH55" s="555">
        <f t="shared" si="39"/>
        <v>5</v>
      </c>
      <c r="AI55" s="662"/>
      <c r="AJ55" s="555">
        <v>7</v>
      </c>
      <c r="AK55" s="559">
        <v>1212.8571428571438</v>
      </c>
      <c r="AL55" s="559">
        <v>173.26530612244912</v>
      </c>
      <c r="AM55" s="555">
        <f t="shared" si="41"/>
        <v>5</v>
      </c>
      <c r="AN55" s="662"/>
      <c r="AO55" s="555">
        <v>7</v>
      </c>
      <c r="AP55" s="559">
        <v>1412.903225806451</v>
      </c>
      <c r="AQ55" s="559">
        <v>201.84331797235015</v>
      </c>
      <c r="AR55" s="555">
        <f t="shared" si="43"/>
        <v>5</v>
      </c>
      <c r="AS55" s="662"/>
      <c r="AT55" s="555">
        <v>7</v>
      </c>
      <c r="AU55" s="559">
        <v>1405.909090909091</v>
      </c>
      <c r="AV55" s="559">
        <v>200.84415584415586</v>
      </c>
      <c r="AW55" s="555">
        <f t="shared" si="45"/>
        <v>5</v>
      </c>
      <c r="AX55" s="662"/>
      <c r="AZ55" s="416" t="e">
        <f t="shared" si="47"/>
        <v>#N/A</v>
      </c>
      <c r="BA55" s="662"/>
    </row>
    <row r="56" spans="2:53">
      <c r="B56" s="660"/>
      <c r="C56" s="380">
        <v>10</v>
      </c>
      <c r="D56" s="225"/>
      <c r="E56" s="531"/>
      <c r="F56" s="530"/>
      <c r="G56" s="532"/>
      <c r="H56" s="692"/>
      <c r="I56" s="381" t="str">
        <f t="shared" si="30"/>
        <v>-</v>
      </c>
      <c r="J56" s="381" t="str">
        <f t="shared" si="31"/>
        <v>-</v>
      </c>
      <c r="K56" s="199" t="str">
        <f t="shared" si="32"/>
        <v>-</v>
      </c>
      <c r="L56" s="634"/>
      <c r="M56" s="418" t="e">
        <f>RANK(K56, K$47:$K$61)</f>
        <v>#VALUE!</v>
      </c>
      <c r="N56" s="652"/>
      <c r="O56" s="652"/>
      <c r="P56" s="555" t="s">
        <v>585</v>
      </c>
      <c r="Q56" s="559" t="s">
        <v>585</v>
      </c>
      <c r="R56" s="559" t="s">
        <v>585</v>
      </c>
      <c r="S56" s="555" t="e">
        <f t="shared" si="33"/>
        <v>#VALUE!</v>
      </c>
      <c r="T56" s="662"/>
      <c r="U56" s="555" t="s">
        <v>585</v>
      </c>
      <c r="V56" s="559" t="s">
        <v>585</v>
      </c>
      <c r="W56" s="559" t="s">
        <v>585</v>
      </c>
      <c r="X56" s="555" t="e">
        <f t="shared" si="35"/>
        <v>#VALUE!</v>
      </c>
      <c r="Y56" s="662"/>
      <c r="Z56" s="555" t="s">
        <v>585</v>
      </c>
      <c r="AA56" s="559" t="s">
        <v>585</v>
      </c>
      <c r="AB56" s="559" t="s">
        <v>585</v>
      </c>
      <c r="AC56" s="555" t="e">
        <f t="shared" si="37"/>
        <v>#VALUE!</v>
      </c>
      <c r="AD56" s="662"/>
      <c r="AE56" s="555" t="s">
        <v>585</v>
      </c>
      <c r="AF56" s="559" t="s">
        <v>585</v>
      </c>
      <c r="AG56" s="559" t="s">
        <v>585</v>
      </c>
      <c r="AH56" s="555" t="e">
        <f t="shared" si="39"/>
        <v>#VALUE!</v>
      </c>
      <c r="AI56" s="662"/>
      <c r="AJ56" s="555" t="s">
        <v>585</v>
      </c>
      <c r="AK56" s="559" t="s">
        <v>585</v>
      </c>
      <c r="AL56" s="559" t="s">
        <v>585</v>
      </c>
      <c r="AM56" s="555" t="e">
        <f t="shared" si="41"/>
        <v>#VALUE!</v>
      </c>
      <c r="AN56" s="662"/>
      <c r="AO56" s="555" t="s">
        <v>585</v>
      </c>
      <c r="AP56" s="559" t="s">
        <v>585</v>
      </c>
      <c r="AQ56" s="559" t="s">
        <v>585</v>
      </c>
      <c r="AR56" s="555" t="e">
        <f t="shared" si="43"/>
        <v>#VALUE!</v>
      </c>
      <c r="AS56" s="662"/>
      <c r="AT56" s="555" t="s">
        <v>585</v>
      </c>
      <c r="AU56" s="559" t="s">
        <v>585</v>
      </c>
      <c r="AV56" s="559" t="s">
        <v>585</v>
      </c>
      <c r="AW56" s="555" t="e">
        <f t="shared" si="45"/>
        <v>#VALUE!</v>
      </c>
      <c r="AX56" s="662"/>
      <c r="AZ56" s="416" t="e">
        <f t="shared" si="47"/>
        <v>#N/A</v>
      </c>
      <c r="BA56" s="662"/>
    </row>
    <row r="57" spans="2:53">
      <c r="B57" s="660"/>
      <c r="C57" s="380">
        <v>11</v>
      </c>
      <c r="D57" s="225"/>
      <c r="E57" s="531"/>
      <c r="F57" s="530"/>
      <c r="G57" s="532"/>
      <c r="H57" s="692"/>
      <c r="I57" s="381" t="str">
        <f t="shared" si="30"/>
        <v>-</v>
      </c>
      <c r="J57" s="381" t="str">
        <f t="shared" si="31"/>
        <v>-</v>
      </c>
      <c r="K57" s="199" t="str">
        <f t="shared" si="32"/>
        <v>-</v>
      </c>
      <c r="L57" s="634"/>
      <c r="M57" s="418" t="e">
        <f>RANK(K57, K$47:$K$61)</f>
        <v>#VALUE!</v>
      </c>
      <c r="N57" s="652"/>
      <c r="O57" s="652"/>
      <c r="P57" s="555" t="s">
        <v>585</v>
      </c>
      <c r="Q57" s="559" t="s">
        <v>585</v>
      </c>
      <c r="R57" s="559" t="s">
        <v>585</v>
      </c>
      <c r="S57" s="555" t="e">
        <f t="shared" si="33"/>
        <v>#VALUE!</v>
      </c>
      <c r="T57" s="662"/>
      <c r="U57" s="555" t="s">
        <v>585</v>
      </c>
      <c r="V57" s="559" t="s">
        <v>585</v>
      </c>
      <c r="W57" s="559" t="s">
        <v>585</v>
      </c>
      <c r="X57" s="555" t="e">
        <f t="shared" si="35"/>
        <v>#VALUE!</v>
      </c>
      <c r="Y57" s="662"/>
      <c r="Z57" s="555" t="s">
        <v>585</v>
      </c>
      <c r="AA57" s="559" t="s">
        <v>585</v>
      </c>
      <c r="AB57" s="559" t="s">
        <v>585</v>
      </c>
      <c r="AC57" s="555" t="e">
        <f t="shared" si="37"/>
        <v>#VALUE!</v>
      </c>
      <c r="AD57" s="662"/>
      <c r="AE57" s="555" t="s">
        <v>585</v>
      </c>
      <c r="AF57" s="559" t="s">
        <v>585</v>
      </c>
      <c r="AG57" s="559" t="s">
        <v>585</v>
      </c>
      <c r="AH57" s="555" t="e">
        <f t="shared" si="39"/>
        <v>#VALUE!</v>
      </c>
      <c r="AI57" s="662"/>
      <c r="AJ57" s="555" t="s">
        <v>585</v>
      </c>
      <c r="AK57" s="559" t="s">
        <v>585</v>
      </c>
      <c r="AL57" s="559" t="s">
        <v>585</v>
      </c>
      <c r="AM57" s="555" t="e">
        <f t="shared" si="41"/>
        <v>#VALUE!</v>
      </c>
      <c r="AN57" s="662"/>
      <c r="AO57" s="555" t="s">
        <v>585</v>
      </c>
      <c r="AP57" s="559" t="s">
        <v>585</v>
      </c>
      <c r="AQ57" s="559" t="s">
        <v>585</v>
      </c>
      <c r="AR57" s="555" t="e">
        <f t="shared" si="43"/>
        <v>#VALUE!</v>
      </c>
      <c r="AS57" s="662"/>
      <c r="AT57" s="555" t="s">
        <v>585</v>
      </c>
      <c r="AU57" s="559" t="s">
        <v>585</v>
      </c>
      <c r="AV57" s="559" t="s">
        <v>585</v>
      </c>
      <c r="AW57" s="555" t="e">
        <f t="shared" si="45"/>
        <v>#VALUE!</v>
      </c>
      <c r="AX57" s="662"/>
      <c r="AZ57" s="416" t="e">
        <f t="shared" si="47"/>
        <v>#N/A</v>
      </c>
      <c r="BA57" s="662"/>
    </row>
    <row r="58" spans="2:53">
      <c r="B58" s="660"/>
      <c r="C58" s="380">
        <v>12</v>
      </c>
      <c r="D58" s="225"/>
      <c r="E58" s="531"/>
      <c r="F58" s="530"/>
      <c r="G58" s="532"/>
      <c r="H58" s="692"/>
      <c r="I58" s="381" t="str">
        <f t="shared" si="30"/>
        <v>-</v>
      </c>
      <c r="J58" s="381" t="str">
        <f t="shared" si="31"/>
        <v>-</v>
      </c>
      <c r="K58" s="199" t="str">
        <f t="shared" si="32"/>
        <v>-</v>
      </c>
      <c r="L58" s="634"/>
      <c r="M58" s="418" t="e">
        <f>RANK(K58, K$47:$K$61)</f>
        <v>#VALUE!</v>
      </c>
      <c r="N58" s="652"/>
      <c r="O58" s="652"/>
      <c r="P58" s="555" t="s">
        <v>585</v>
      </c>
      <c r="Q58" s="559" t="s">
        <v>585</v>
      </c>
      <c r="R58" s="559" t="s">
        <v>585</v>
      </c>
      <c r="S58" s="555" t="e">
        <f t="shared" si="33"/>
        <v>#VALUE!</v>
      </c>
      <c r="T58" s="662"/>
      <c r="U58" s="555" t="s">
        <v>585</v>
      </c>
      <c r="V58" s="559" t="s">
        <v>585</v>
      </c>
      <c r="W58" s="559" t="s">
        <v>585</v>
      </c>
      <c r="X58" s="555" t="e">
        <f t="shared" si="35"/>
        <v>#VALUE!</v>
      </c>
      <c r="Y58" s="662"/>
      <c r="Z58" s="555" t="s">
        <v>585</v>
      </c>
      <c r="AA58" s="559" t="s">
        <v>585</v>
      </c>
      <c r="AB58" s="559" t="s">
        <v>585</v>
      </c>
      <c r="AC58" s="555" t="e">
        <f t="shared" si="37"/>
        <v>#VALUE!</v>
      </c>
      <c r="AD58" s="662"/>
      <c r="AE58" s="555" t="s">
        <v>585</v>
      </c>
      <c r="AF58" s="559" t="s">
        <v>585</v>
      </c>
      <c r="AG58" s="559" t="s">
        <v>585</v>
      </c>
      <c r="AH58" s="555" t="e">
        <f t="shared" si="39"/>
        <v>#VALUE!</v>
      </c>
      <c r="AI58" s="662"/>
      <c r="AJ58" s="555" t="s">
        <v>585</v>
      </c>
      <c r="AK58" s="559" t="s">
        <v>585</v>
      </c>
      <c r="AL58" s="559" t="s">
        <v>585</v>
      </c>
      <c r="AM58" s="555" t="e">
        <f t="shared" si="41"/>
        <v>#VALUE!</v>
      </c>
      <c r="AN58" s="662"/>
      <c r="AO58" s="555" t="s">
        <v>585</v>
      </c>
      <c r="AP58" s="559" t="s">
        <v>585</v>
      </c>
      <c r="AQ58" s="559" t="s">
        <v>585</v>
      </c>
      <c r="AR58" s="555" t="e">
        <f t="shared" si="43"/>
        <v>#VALUE!</v>
      </c>
      <c r="AS58" s="662"/>
      <c r="AT58" s="555" t="s">
        <v>585</v>
      </c>
      <c r="AU58" s="559" t="s">
        <v>585</v>
      </c>
      <c r="AV58" s="559" t="s">
        <v>585</v>
      </c>
      <c r="AW58" s="555" t="e">
        <f t="shared" si="45"/>
        <v>#VALUE!</v>
      </c>
      <c r="AX58" s="662"/>
      <c r="AZ58" s="416" t="e">
        <f t="shared" si="47"/>
        <v>#N/A</v>
      </c>
      <c r="BA58" s="662"/>
    </row>
    <row r="59" spans="2:53">
      <c r="B59" s="660"/>
      <c r="C59" s="380">
        <v>13</v>
      </c>
      <c r="D59" s="225"/>
      <c r="E59" s="531"/>
      <c r="F59" s="530"/>
      <c r="G59" s="532"/>
      <c r="H59" s="692"/>
      <c r="I59" s="381" t="str">
        <f t="shared" si="30"/>
        <v>-</v>
      </c>
      <c r="J59" s="381" t="str">
        <f t="shared" si="31"/>
        <v>-</v>
      </c>
      <c r="K59" s="199" t="str">
        <f t="shared" si="32"/>
        <v>-</v>
      </c>
      <c r="L59" s="634"/>
      <c r="M59" s="418" t="e">
        <f>RANK(K59, K$47:$K$61)</f>
        <v>#VALUE!</v>
      </c>
      <c r="N59" s="652"/>
      <c r="O59" s="652"/>
      <c r="P59" s="555" t="s">
        <v>585</v>
      </c>
      <c r="Q59" s="559" t="s">
        <v>585</v>
      </c>
      <c r="R59" s="559" t="s">
        <v>585</v>
      </c>
      <c r="S59" s="555" t="e">
        <f t="shared" si="33"/>
        <v>#VALUE!</v>
      </c>
      <c r="T59" s="662"/>
      <c r="U59" s="555" t="s">
        <v>585</v>
      </c>
      <c r="V59" s="559" t="s">
        <v>585</v>
      </c>
      <c r="W59" s="559" t="s">
        <v>585</v>
      </c>
      <c r="X59" s="555" t="e">
        <f t="shared" si="35"/>
        <v>#VALUE!</v>
      </c>
      <c r="Y59" s="662"/>
      <c r="Z59" s="555" t="s">
        <v>585</v>
      </c>
      <c r="AA59" s="559" t="s">
        <v>585</v>
      </c>
      <c r="AB59" s="559" t="s">
        <v>585</v>
      </c>
      <c r="AC59" s="555" t="e">
        <f t="shared" si="37"/>
        <v>#VALUE!</v>
      </c>
      <c r="AD59" s="662"/>
      <c r="AE59" s="555" t="s">
        <v>585</v>
      </c>
      <c r="AF59" s="559" t="s">
        <v>585</v>
      </c>
      <c r="AG59" s="559" t="s">
        <v>585</v>
      </c>
      <c r="AH59" s="555" t="e">
        <f t="shared" si="39"/>
        <v>#VALUE!</v>
      </c>
      <c r="AI59" s="662"/>
      <c r="AJ59" s="555" t="s">
        <v>585</v>
      </c>
      <c r="AK59" s="559" t="s">
        <v>585</v>
      </c>
      <c r="AL59" s="559" t="s">
        <v>585</v>
      </c>
      <c r="AM59" s="555" t="e">
        <f t="shared" si="41"/>
        <v>#VALUE!</v>
      </c>
      <c r="AN59" s="662"/>
      <c r="AO59" s="555" t="s">
        <v>585</v>
      </c>
      <c r="AP59" s="559" t="s">
        <v>585</v>
      </c>
      <c r="AQ59" s="559" t="s">
        <v>585</v>
      </c>
      <c r="AR59" s="555" t="e">
        <f t="shared" si="43"/>
        <v>#VALUE!</v>
      </c>
      <c r="AS59" s="662"/>
      <c r="AT59" s="555" t="s">
        <v>585</v>
      </c>
      <c r="AU59" s="559" t="s">
        <v>585</v>
      </c>
      <c r="AV59" s="559" t="s">
        <v>585</v>
      </c>
      <c r="AW59" s="555" t="e">
        <f t="shared" si="45"/>
        <v>#VALUE!</v>
      </c>
      <c r="AX59" s="662"/>
      <c r="AZ59" s="416" t="e">
        <f t="shared" si="47"/>
        <v>#N/A</v>
      </c>
      <c r="BA59" s="662"/>
    </row>
    <row r="60" spans="2:53">
      <c r="B60" s="660"/>
      <c r="C60" s="380">
        <v>14</v>
      </c>
      <c r="D60" s="225"/>
      <c r="E60" s="531"/>
      <c r="F60" s="530"/>
      <c r="G60" s="532"/>
      <c r="H60" s="692"/>
      <c r="I60" s="381" t="str">
        <f t="shared" si="30"/>
        <v>-</v>
      </c>
      <c r="J60" s="381" t="str">
        <f t="shared" si="31"/>
        <v>-</v>
      </c>
      <c r="K60" s="199" t="str">
        <f t="shared" si="32"/>
        <v>-</v>
      </c>
      <c r="L60" s="634"/>
      <c r="M60" s="418" t="e">
        <f>RANK(K60, K$47:$K$61)</f>
        <v>#VALUE!</v>
      </c>
      <c r="N60" s="652"/>
      <c r="O60" s="652"/>
      <c r="P60" s="555" t="s">
        <v>585</v>
      </c>
      <c r="Q60" s="559" t="s">
        <v>585</v>
      </c>
      <c r="R60" s="559" t="s">
        <v>585</v>
      </c>
      <c r="S60" s="555" t="e">
        <f t="shared" si="33"/>
        <v>#VALUE!</v>
      </c>
      <c r="T60" s="662"/>
      <c r="U60" s="555" t="s">
        <v>585</v>
      </c>
      <c r="V60" s="559" t="s">
        <v>585</v>
      </c>
      <c r="W60" s="559" t="s">
        <v>585</v>
      </c>
      <c r="X60" s="555" t="e">
        <f t="shared" si="35"/>
        <v>#VALUE!</v>
      </c>
      <c r="Y60" s="662"/>
      <c r="Z60" s="555" t="s">
        <v>585</v>
      </c>
      <c r="AA60" s="559" t="s">
        <v>585</v>
      </c>
      <c r="AB60" s="559" t="s">
        <v>585</v>
      </c>
      <c r="AC60" s="555" t="e">
        <f t="shared" si="37"/>
        <v>#VALUE!</v>
      </c>
      <c r="AD60" s="662"/>
      <c r="AE60" s="555" t="s">
        <v>585</v>
      </c>
      <c r="AF60" s="559" t="s">
        <v>585</v>
      </c>
      <c r="AG60" s="559" t="s">
        <v>585</v>
      </c>
      <c r="AH60" s="555" t="e">
        <f t="shared" si="39"/>
        <v>#VALUE!</v>
      </c>
      <c r="AI60" s="662"/>
      <c r="AJ60" s="555" t="s">
        <v>585</v>
      </c>
      <c r="AK60" s="559" t="s">
        <v>585</v>
      </c>
      <c r="AL60" s="559" t="s">
        <v>585</v>
      </c>
      <c r="AM60" s="555" t="e">
        <f t="shared" si="41"/>
        <v>#VALUE!</v>
      </c>
      <c r="AN60" s="662"/>
      <c r="AO60" s="555" t="s">
        <v>585</v>
      </c>
      <c r="AP60" s="559" t="s">
        <v>585</v>
      </c>
      <c r="AQ60" s="559" t="s">
        <v>585</v>
      </c>
      <c r="AR60" s="555" t="e">
        <f t="shared" si="43"/>
        <v>#VALUE!</v>
      </c>
      <c r="AS60" s="662"/>
      <c r="AT60" s="555" t="s">
        <v>585</v>
      </c>
      <c r="AU60" s="559" t="s">
        <v>585</v>
      </c>
      <c r="AV60" s="559" t="s">
        <v>585</v>
      </c>
      <c r="AW60" s="555" t="e">
        <f t="shared" si="45"/>
        <v>#VALUE!</v>
      </c>
      <c r="AX60" s="662"/>
      <c r="AZ60" s="416" t="e">
        <f t="shared" si="47"/>
        <v>#N/A</v>
      </c>
      <c r="BA60" s="662"/>
    </row>
    <row r="61" spans="2:53">
      <c r="B61" s="660"/>
      <c r="C61" s="380">
        <v>15</v>
      </c>
      <c r="D61" s="225"/>
      <c r="E61" s="531"/>
      <c r="F61" s="530"/>
      <c r="G61" s="532"/>
      <c r="H61" s="696"/>
      <c r="I61" s="380"/>
      <c r="J61" s="380"/>
      <c r="K61" s="380"/>
      <c r="L61" s="635"/>
      <c r="M61" s="418" t="e">
        <f>RANK(K61, K$47:$K$61)</f>
        <v>#N/A</v>
      </c>
      <c r="N61" s="652"/>
      <c r="O61" s="652"/>
      <c r="P61" s="555" t="s">
        <v>585</v>
      </c>
      <c r="Q61" s="559" t="s">
        <v>585</v>
      </c>
      <c r="R61" s="559" t="s">
        <v>585</v>
      </c>
      <c r="S61" s="555" t="e">
        <f t="shared" si="33"/>
        <v>#VALUE!</v>
      </c>
      <c r="T61" s="663"/>
      <c r="U61" s="555" t="s">
        <v>585</v>
      </c>
      <c r="V61" s="559" t="s">
        <v>585</v>
      </c>
      <c r="W61" s="559" t="s">
        <v>585</v>
      </c>
      <c r="X61" s="555" t="e">
        <f t="shared" si="35"/>
        <v>#VALUE!</v>
      </c>
      <c r="Y61" s="663"/>
      <c r="Z61" s="555" t="s">
        <v>585</v>
      </c>
      <c r="AA61" s="559" t="s">
        <v>585</v>
      </c>
      <c r="AB61" s="559" t="s">
        <v>585</v>
      </c>
      <c r="AC61" s="555" t="e">
        <f t="shared" si="37"/>
        <v>#VALUE!</v>
      </c>
      <c r="AD61" s="663"/>
      <c r="AE61" s="555" t="s">
        <v>585</v>
      </c>
      <c r="AF61" s="559" t="s">
        <v>585</v>
      </c>
      <c r="AG61" s="559" t="s">
        <v>585</v>
      </c>
      <c r="AH61" s="555" t="e">
        <f t="shared" si="39"/>
        <v>#VALUE!</v>
      </c>
      <c r="AI61" s="663"/>
      <c r="AJ61" s="555" t="s">
        <v>585</v>
      </c>
      <c r="AK61" s="559" t="s">
        <v>585</v>
      </c>
      <c r="AL61" s="559" t="s">
        <v>585</v>
      </c>
      <c r="AM61" s="555" t="e">
        <f t="shared" si="41"/>
        <v>#VALUE!</v>
      </c>
      <c r="AN61" s="663"/>
      <c r="AO61" s="555" t="s">
        <v>585</v>
      </c>
      <c r="AP61" s="559" t="s">
        <v>585</v>
      </c>
      <c r="AQ61" s="559" t="s">
        <v>585</v>
      </c>
      <c r="AR61" s="555" t="e">
        <f t="shared" si="43"/>
        <v>#VALUE!</v>
      </c>
      <c r="AS61" s="663"/>
      <c r="AT61" s="555" t="s">
        <v>585</v>
      </c>
      <c r="AU61" s="559" t="s">
        <v>585</v>
      </c>
      <c r="AV61" s="559" t="s">
        <v>585</v>
      </c>
      <c r="AW61" s="555" t="e">
        <f t="shared" si="45"/>
        <v>#VALUE!</v>
      </c>
      <c r="AX61" s="663"/>
      <c r="AZ61" s="416" t="e">
        <f t="shared" si="47"/>
        <v>#N/A</v>
      </c>
      <c r="BA61" s="663"/>
    </row>
    <row r="62" spans="2:53" ht="15.75">
      <c r="B62" s="664" t="s">
        <v>162</v>
      </c>
      <c r="C62" s="665"/>
      <c r="D62" s="665"/>
      <c r="E62" s="665"/>
      <c r="F62" s="665"/>
      <c r="G62" s="665"/>
      <c r="H62" s="666"/>
      <c r="I62" s="207"/>
      <c r="J62" s="207"/>
      <c r="K62" s="207"/>
      <c r="L62" s="207"/>
      <c r="M62" s="206"/>
      <c r="N62" s="653" t="s">
        <v>156</v>
      </c>
      <c r="O62" s="653" t="s">
        <v>105</v>
      </c>
      <c r="P62" s="659">
        <f>P42+7</f>
        <v>46252</v>
      </c>
      <c r="Q62" s="660"/>
      <c r="R62" s="660"/>
      <c r="S62" s="660"/>
      <c r="T62" s="660"/>
      <c r="U62" s="656">
        <f>P62+1</f>
        <v>46253</v>
      </c>
      <c r="V62" s="657"/>
      <c r="W62" s="657"/>
      <c r="X62" s="657"/>
      <c r="Y62" s="658"/>
      <c r="Z62" s="656">
        <f>U62+1</f>
        <v>46254</v>
      </c>
      <c r="AA62" s="657"/>
      <c r="AB62" s="657"/>
      <c r="AC62" s="657"/>
      <c r="AD62" s="658"/>
      <c r="AE62" s="656">
        <f>Z62+1</f>
        <v>46255</v>
      </c>
      <c r="AF62" s="657"/>
      <c r="AG62" s="657"/>
      <c r="AH62" s="657"/>
      <c r="AI62" s="658"/>
      <c r="AJ62" s="656">
        <f>AE62+1</f>
        <v>46256</v>
      </c>
      <c r="AK62" s="657"/>
      <c r="AL62" s="657"/>
      <c r="AM62" s="657"/>
      <c r="AN62" s="658"/>
      <c r="AO62" s="656">
        <f>AJ62+1</f>
        <v>46257</v>
      </c>
      <c r="AP62" s="657"/>
      <c r="AQ62" s="657"/>
      <c r="AR62" s="657"/>
      <c r="AS62" s="658"/>
      <c r="AT62" s="656">
        <f>AO62+1</f>
        <v>46258</v>
      </c>
      <c r="AU62" s="657"/>
      <c r="AV62" s="657"/>
      <c r="AW62" s="657"/>
      <c r="AX62" s="658"/>
    </row>
    <row r="63" spans="2:53" ht="15.75">
      <c r="B63" s="667"/>
      <c r="C63" s="667"/>
      <c r="D63" s="667"/>
      <c r="E63" s="667"/>
      <c r="F63" s="667"/>
      <c r="G63" s="667"/>
      <c r="H63" s="667"/>
      <c r="I63" s="204"/>
      <c r="J63" s="204"/>
      <c r="K63" s="204"/>
      <c r="L63" s="204"/>
      <c r="M63" s="205"/>
      <c r="N63" s="655"/>
      <c r="O63" s="655"/>
      <c r="P63" s="659" t="s">
        <v>317</v>
      </c>
      <c r="Q63" s="660"/>
      <c r="R63" s="660"/>
      <c r="S63" s="660"/>
      <c r="T63" s="660"/>
      <c r="U63" s="659" t="s">
        <v>318</v>
      </c>
      <c r="V63" s="660"/>
      <c r="W63" s="660"/>
      <c r="X63" s="660"/>
      <c r="Y63" s="660"/>
      <c r="Z63" s="659" t="s">
        <v>319</v>
      </c>
      <c r="AA63" s="660"/>
      <c r="AB63" s="660"/>
      <c r="AC63" s="660"/>
      <c r="AD63" s="660"/>
      <c r="AE63" s="659" t="s">
        <v>320</v>
      </c>
      <c r="AF63" s="660"/>
      <c r="AG63" s="660"/>
      <c r="AH63" s="660"/>
      <c r="AI63" s="660"/>
      <c r="AJ63" s="659" t="s">
        <v>321</v>
      </c>
      <c r="AK63" s="660"/>
      <c r="AL63" s="660"/>
      <c r="AM63" s="660"/>
      <c r="AN63" s="660"/>
      <c r="AO63" s="659" t="s">
        <v>322</v>
      </c>
      <c r="AP63" s="660"/>
      <c r="AQ63" s="660"/>
      <c r="AR63" s="660"/>
      <c r="AS63" s="660"/>
      <c r="AT63" s="659" t="s">
        <v>323</v>
      </c>
      <c r="AU63" s="660"/>
      <c r="AV63" s="660"/>
      <c r="AW63" s="660"/>
      <c r="AX63" s="660"/>
    </row>
    <row r="64" spans="2:53">
      <c r="B64" s="652" t="s">
        <v>407</v>
      </c>
      <c r="C64" s="652" t="s">
        <v>532</v>
      </c>
      <c r="D64" s="652"/>
      <c r="E64" s="652" t="s">
        <v>533</v>
      </c>
      <c r="F64" s="652"/>
      <c r="G64" s="652"/>
      <c r="H64" s="668" t="s">
        <v>534</v>
      </c>
      <c r="I64" s="652" t="s">
        <v>535</v>
      </c>
      <c r="J64" s="652"/>
      <c r="K64" s="652"/>
      <c r="L64" s="668" t="s">
        <v>366</v>
      </c>
      <c r="M64" s="653" t="s">
        <v>536</v>
      </c>
      <c r="N64" s="652"/>
      <c r="O64" s="652" t="s">
        <v>372</v>
      </c>
      <c r="P64" s="649" t="s">
        <v>368</v>
      </c>
      <c r="Q64" s="650"/>
      <c r="R64" s="650"/>
      <c r="S64" s="651"/>
      <c r="T64" s="652" t="s">
        <v>366</v>
      </c>
      <c r="U64" s="649" t="s">
        <v>368</v>
      </c>
      <c r="V64" s="650"/>
      <c r="W64" s="650"/>
      <c r="X64" s="651"/>
      <c r="Y64" s="652" t="s">
        <v>366</v>
      </c>
      <c r="Z64" s="649" t="s">
        <v>368</v>
      </c>
      <c r="AA64" s="650"/>
      <c r="AB64" s="650"/>
      <c r="AC64" s="651"/>
      <c r="AD64" s="652" t="s">
        <v>366</v>
      </c>
      <c r="AE64" s="649" t="s">
        <v>368</v>
      </c>
      <c r="AF64" s="650"/>
      <c r="AG64" s="650"/>
      <c r="AH64" s="651"/>
      <c r="AI64" s="652" t="s">
        <v>366</v>
      </c>
      <c r="AJ64" s="649" t="s">
        <v>368</v>
      </c>
      <c r="AK64" s="650"/>
      <c r="AL64" s="650"/>
      <c r="AM64" s="651"/>
      <c r="AN64" s="652" t="s">
        <v>366</v>
      </c>
      <c r="AO64" s="649" t="s">
        <v>368</v>
      </c>
      <c r="AP64" s="650"/>
      <c r="AQ64" s="650"/>
      <c r="AR64" s="651"/>
      <c r="AS64" s="652" t="s">
        <v>366</v>
      </c>
      <c r="AT64" s="649" t="s">
        <v>368</v>
      </c>
      <c r="AU64" s="650"/>
      <c r="AV64" s="650"/>
      <c r="AW64" s="651"/>
      <c r="AX64" s="652" t="s">
        <v>366</v>
      </c>
      <c r="BA64" s="652" t="s">
        <v>366</v>
      </c>
    </row>
    <row r="65" spans="2:53">
      <c r="B65" s="652"/>
      <c r="C65" s="652"/>
      <c r="D65" s="652"/>
      <c r="E65" s="652" t="s">
        <v>538</v>
      </c>
      <c r="F65" s="652"/>
      <c r="G65" s="652"/>
      <c r="H65" s="669"/>
      <c r="I65" s="652" t="s">
        <v>538</v>
      </c>
      <c r="J65" s="652"/>
      <c r="K65" s="652"/>
      <c r="L65" s="669"/>
      <c r="M65" s="654"/>
      <c r="N65" s="652"/>
      <c r="O65" s="652"/>
      <c r="P65" s="649" t="s">
        <v>374</v>
      </c>
      <c r="Q65" s="650"/>
      <c r="R65" s="650"/>
      <c r="S65" s="651"/>
      <c r="T65" s="652"/>
      <c r="U65" s="649" t="s">
        <v>374</v>
      </c>
      <c r="V65" s="650"/>
      <c r="W65" s="650"/>
      <c r="X65" s="651"/>
      <c r="Y65" s="652"/>
      <c r="Z65" s="649" t="s">
        <v>374</v>
      </c>
      <c r="AA65" s="650"/>
      <c r="AB65" s="650"/>
      <c r="AC65" s="651"/>
      <c r="AD65" s="652"/>
      <c r="AE65" s="649" t="s">
        <v>374</v>
      </c>
      <c r="AF65" s="650"/>
      <c r="AG65" s="650"/>
      <c r="AH65" s="651"/>
      <c r="AI65" s="652"/>
      <c r="AJ65" s="649" t="s">
        <v>374</v>
      </c>
      <c r="AK65" s="650"/>
      <c r="AL65" s="650"/>
      <c r="AM65" s="651"/>
      <c r="AN65" s="652"/>
      <c r="AO65" s="649" t="s">
        <v>374</v>
      </c>
      <c r="AP65" s="650"/>
      <c r="AQ65" s="650"/>
      <c r="AR65" s="651"/>
      <c r="AS65" s="652"/>
      <c r="AT65" s="649" t="s">
        <v>374</v>
      </c>
      <c r="AU65" s="650"/>
      <c r="AV65" s="650"/>
      <c r="AW65" s="651"/>
      <c r="AX65" s="652"/>
      <c r="BA65" s="652"/>
    </row>
    <row r="66" spans="2:53">
      <c r="B66" s="652"/>
      <c r="C66" s="652"/>
      <c r="D66" s="652"/>
      <c r="E66" s="378" t="s">
        <v>539</v>
      </c>
      <c r="F66" s="378" t="s">
        <v>540</v>
      </c>
      <c r="G66" s="378" t="s">
        <v>541</v>
      </c>
      <c r="H66" s="670"/>
      <c r="I66" s="378" t="s">
        <v>539</v>
      </c>
      <c r="J66" s="378" t="s">
        <v>540</v>
      </c>
      <c r="K66" s="378" t="s">
        <v>541</v>
      </c>
      <c r="L66" s="670"/>
      <c r="M66" s="655"/>
      <c r="N66" s="652"/>
      <c r="O66" s="652"/>
      <c r="P66" s="378" t="s">
        <v>375</v>
      </c>
      <c r="Q66" s="378" t="s">
        <v>376</v>
      </c>
      <c r="R66" s="378" t="s">
        <v>377</v>
      </c>
      <c r="S66" s="378" t="s">
        <v>367</v>
      </c>
      <c r="T66" s="652"/>
      <c r="U66" s="378" t="s">
        <v>375</v>
      </c>
      <c r="V66" s="378" t="s">
        <v>376</v>
      </c>
      <c r="W66" s="378" t="s">
        <v>377</v>
      </c>
      <c r="X66" s="378" t="s">
        <v>367</v>
      </c>
      <c r="Y66" s="652"/>
      <c r="Z66" s="378" t="s">
        <v>375</v>
      </c>
      <c r="AA66" s="378" t="s">
        <v>376</v>
      </c>
      <c r="AB66" s="378" t="s">
        <v>377</v>
      </c>
      <c r="AC66" s="378" t="s">
        <v>367</v>
      </c>
      <c r="AD66" s="652"/>
      <c r="AE66" s="378" t="s">
        <v>375</v>
      </c>
      <c r="AF66" s="378" t="s">
        <v>376</v>
      </c>
      <c r="AG66" s="378" t="s">
        <v>377</v>
      </c>
      <c r="AH66" s="378" t="s">
        <v>367</v>
      </c>
      <c r="AI66" s="652"/>
      <c r="AJ66" s="378" t="s">
        <v>375</v>
      </c>
      <c r="AK66" s="378" t="s">
        <v>376</v>
      </c>
      <c r="AL66" s="378" t="s">
        <v>377</v>
      </c>
      <c r="AM66" s="378" t="s">
        <v>367</v>
      </c>
      <c r="AN66" s="652"/>
      <c r="AO66" s="378" t="s">
        <v>375</v>
      </c>
      <c r="AP66" s="378" t="s">
        <v>376</v>
      </c>
      <c r="AQ66" s="378" t="s">
        <v>377</v>
      </c>
      <c r="AR66" s="378" t="s">
        <v>367</v>
      </c>
      <c r="AS66" s="652"/>
      <c r="AT66" s="378" t="s">
        <v>375</v>
      </c>
      <c r="AU66" s="378" t="s">
        <v>376</v>
      </c>
      <c r="AV66" s="378" t="s">
        <v>377</v>
      </c>
      <c r="AW66" s="378" t="s">
        <v>367</v>
      </c>
      <c r="AX66" s="652"/>
      <c r="AZ66" s="367" t="s">
        <v>367</v>
      </c>
      <c r="BA66" s="652"/>
    </row>
    <row r="67" spans="2:53">
      <c r="B67" s="652" t="s">
        <v>421</v>
      </c>
      <c r="C67" s="380">
        <v>1</v>
      </c>
      <c r="D67" s="225" t="s">
        <v>354</v>
      </c>
      <c r="E67" s="531">
        <v>7</v>
      </c>
      <c r="F67" s="530">
        <v>1500</v>
      </c>
      <c r="G67" s="532">
        <v>214.28571428571428</v>
      </c>
      <c r="H67" s="691">
        <f>AVERAGE(G67:G81)</f>
        <v>184.40709617180207</v>
      </c>
      <c r="I67" s="381">
        <f t="shared" ref="I67:I80" si="49">IFERROR(AVERAGE(P67,U67,Z67,AE67,AJ67,AO67,AT67),"-")</f>
        <v>7</v>
      </c>
      <c r="J67" s="381">
        <f t="shared" ref="J67:J80" si="50">IFERROR(AVERAGE(Q67,V67,AA67,AF67,AK67,AP67,AU67),"-")</f>
        <v>1450.9042443512403</v>
      </c>
      <c r="K67" s="199">
        <f t="shared" ref="K67:K80" si="51">IFERROR(AVERAGE(R67,W67,AB67,AG67,AL67,AQ67,AV67),"-")</f>
        <v>207.27203490732003</v>
      </c>
      <c r="L67" s="633">
        <f>IFERROR(AVERAGE(K67:K81),"-")</f>
        <v>163.25433194217842</v>
      </c>
      <c r="M67" s="384">
        <f>RANK(K67, K$67:$K$81)</f>
        <v>4</v>
      </c>
      <c r="N67" s="652"/>
      <c r="O67" s="652"/>
      <c r="P67" s="560">
        <v>7</v>
      </c>
      <c r="Q67" s="562">
        <v>1431.6000000000004</v>
      </c>
      <c r="R67" s="562">
        <v>204.51428571428576</v>
      </c>
      <c r="S67" s="560">
        <f t="shared" ref="S67:S81" si="52">RANK(R67, R$67:R$81)</f>
        <v>5</v>
      </c>
      <c r="T67" s="661">
        <f t="shared" ref="T67" si="53">AVERAGE(R67:R81)</f>
        <v>164.74489896644843</v>
      </c>
      <c r="U67" s="560">
        <v>7</v>
      </c>
      <c r="V67" s="562">
        <v>1453.2000000000003</v>
      </c>
      <c r="W67" s="562">
        <v>207.60000000000005</v>
      </c>
      <c r="X67" s="560">
        <f t="shared" ref="X67:X81" si="54">RANK(W67, W$67:W$81)</f>
        <v>5</v>
      </c>
      <c r="Y67" s="661">
        <f t="shared" ref="Y67" si="55">AVERAGE(W67:W81)</f>
        <v>165.75418331238527</v>
      </c>
      <c r="Z67" s="560">
        <v>7</v>
      </c>
      <c r="AA67" s="562">
        <v>1452.7659574468087</v>
      </c>
      <c r="AB67" s="562">
        <v>207.53799392097267</v>
      </c>
      <c r="AC67" s="560">
        <f t="shared" ref="AC67:AC81" si="56">RANK(AB67, AB$67:AB$81)</f>
        <v>2</v>
      </c>
      <c r="AD67" s="661">
        <f t="shared" ref="AD67" si="57">AVERAGE(AB67:AB81)</f>
        <v>163.88888369229255</v>
      </c>
      <c r="AE67" s="560">
        <v>7</v>
      </c>
      <c r="AF67" s="562">
        <v>1454.2105263157885</v>
      </c>
      <c r="AG67" s="562">
        <v>207.74436090225549</v>
      </c>
      <c r="AH67" s="560">
        <f t="shared" ref="AH67:AH81" si="58">RANK(AG67, AG$67:AG$81)</f>
        <v>4</v>
      </c>
      <c r="AI67" s="661">
        <f t="shared" ref="AI67" si="59">AVERAGE(AG67:AG81)</f>
        <v>161.30342007506673</v>
      </c>
      <c r="AJ67" s="560">
        <v>7</v>
      </c>
      <c r="AK67" s="562">
        <v>1475.6756756756745</v>
      </c>
      <c r="AL67" s="562">
        <v>210.81081081081064</v>
      </c>
      <c r="AM67" s="560">
        <f t="shared" ref="AM67:AM81" si="60">RANK(AL67, AL$67:AL$81)</f>
        <v>2</v>
      </c>
      <c r="AN67" s="661">
        <f t="shared" ref="AN67" si="61">AVERAGE(AL67:AL81)</f>
        <v>161.40445200923182</v>
      </c>
      <c r="AO67" s="560">
        <v>7</v>
      </c>
      <c r="AP67" s="562">
        <v>1442.4489795918373</v>
      </c>
      <c r="AQ67" s="562">
        <v>206.06413994169105</v>
      </c>
      <c r="AR67" s="560">
        <f t="shared" ref="AR67:AR81" si="62">RANK(AQ67, AQ$67:AQ$81)</f>
        <v>4</v>
      </c>
      <c r="AS67" s="661">
        <f t="shared" ref="AS67" si="63">AVERAGE(AQ67:AQ81)</f>
        <v>161.34853522615319</v>
      </c>
      <c r="AT67" s="560">
        <v>7</v>
      </c>
      <c r="AU67" s="562">
        <v>1446.4285714285725</v>
      </c>
      <c r="AV67" s="562">
        <v>206.63265306122463</v>
      </c>
      <c r="AW67" s="560">
        <f t="shared" ref="AW67:AW81" si="64">RANK(AV67, AV$67:AV$81)</f>
        <v>3</v>
      </c>
      <c r="AX67" s="661">
        <f t="shared" ref="AX67" si="65">AVERAGE(AV67:AV81)</f>
        <v>164.33595031367105</v>
      </c>
      <c r="AZ67" s="368" t="e">
        <f t="shared" ref="AZ67:AZ81" si="66">RANK(AY67, AY$67:AY$81)</f>
        <v>#N/A</v>
      </c>
      <c r="BA67" s="661" t="e">
        <f t="shared" ref="BA67" si="67">AVERAGE(AY67:AY81)</f>
        <v>#DIV/0!</v>
      </c>
    </row>
    <row r="68" spans="2:53">
      <c r="B68" s="660"/>
      <c r="C68" s="380">
        <v>2</v>
      </c>
      <c r="D68" s="225" t="s">
        <v>355</v>
      </c>
      <c r="E68" s="531">
        <v>7</v>
      </c>
      <c r="F68" s="530">
        <v>1500</v>
      </c>
      <c r="G68" s="532">
        <v>214.28571428571428</v>
      </c>
      <c r="H68" s="692"/>
      <c r="I68" s="381">
        <f t="shared" si="49"/>
        <v>7</v>
      </c>
      <c r="J68" s="381">
        <f t="shared" si="50"/>
        <v>1479.6045136068747</v>
      </c>
      <c r="K68" s="199">
        <f t="shared" si="51"/>
        <v>211.37207337241065</v>
      </c>
      <c r="L68" s="634"/>
      <c r="M68" s="384">
        <f>RANK(K68, K$67:$K$81)</f>
        <v>1</v>
      </c>
      <c r="N68" s="652"/>
      <c r="O68" s="652"/>
      <c r="P68" s="560">
        <v>7</v>
      </c>
      <c r="Q68" s="562">
        <v>1474.7368421052631</v>
      </c>
      <c r="R68" s="562">
        <v>210.6766917293233</v>
      </c>
      <c r="S68" s="560">
        <f t="shared" si="52"/>
        <v>2</v>
      </c>
      <c r="T68" s="662"/>
      <c r="U68" s="560">
        <v>7</v>
      </c>
      <c r="V68" s="562">
        <v>1483.9655172413795</v>
      </c>
      <c r="W68" s="562">
        <v>211.99507389162565</v>
      </c>
      <c r="X68" s="560">
        <f t="shared" si="54"/>
        <v>1</v>
      </c>
      <c r="Y68" s="662"/>
      <c r="Z68" s="560">
        <v>7</v>
      </c>
      <c r="AA68" s="562">
        <v>1479.8319327731094</v>
      </c>
      <c r="AB68" s="562">
        <v>211.40456182472991</v>
      </c>
      <c r="AC68" s="560">
        <f t="shared" si="56"/>
        <v>1</v>
      </c>
      <c r="AD68" s="662"/>
      <c r="AE68" s="560">
        <v>7</v>
      </c>
      <c r="AF68" s="562">
        <v>1481.9417475728155</v>
      </c>
      <c r="AG68" s="562">
        <v>211.70596393897364</v>
      </c>
      <c r="AH68" s="560">
        <f t="shared" si="58"/>
        <v>1</v>
      </c>
      <c r="AI68" s="662"/>
      <c r="AJ68" s="560">
        <v>7</v>
      </c>
      <c r="AK68" s="562">
        <v>1477.7777777777776</v>
      </c>
      <c r="AL68" s="562">
        <v>211.11111111111109</v>
      </c>
      <c r="AM68" s="560">
        <f t="shared" si="60"/>
        <v>1</v>
      </c>
      <c r="AN68" s="662"/>
      <c r="AO68" s="560">
        <v>7</v>
      </c>
      <c r="AP68" s="562">
        <v>1481.7777777777778</v>
      </c>
      <c r="AQ68" s="562">
        <v>211.6825396825397</v>
      </c>
      <c r="AR68" s="560">
        <f t="shared" si="62"/>
        <v>1</v>
      </c>
      <c r="AS68" s="662"/>
      <c r="AT68" s="560">
        <v>7</v>
      </c>
      <c r="AU68" s="562">
        <v>1477.1999999999996</v>
      </c>
      <c r="AV68" s="562">
        <v>211.02857142857138</v>
      </c>
      <c r="AW68" s="560">
        <f t="shared" si="64"/>
        <v>1</v>
      </c>
      <c r="AX68" s="662"/>
      <c r="AZ68" s="368" t="e">
        <f t="shared" si="66"/>
        <v>#N/A</v>
      </c>
      <c r="BA68" s="662"/>
    </row>
    <row r="69" spans="2:53">
      <c r="B69" s="660"/>
      <c r="C69" s="380">
        <v>3</v>
      </c>
      <c r="D69" s="225" t="s">
        <v>356</v>
      </c>
      <c r="E69" s="531">
        <v>17</v>
      </c>
      <c r="F69" s="530">
        <v>1500</v>
      </c>
      <c r="G69" s="532">
        <v>88.235294117647058</v>
      </c>
      <c r="H69" s="692"/>
      <c r="I69" s="381">
        <f t="shared" si="49"/>
        <v>16.428571428571427</v>
      </c>
      <c r="J69" s="381">
        <f t="shared" si="50"/>
        <v>1368.7761862103634</v>
      </c>
      <c r="K69" s="199">
        <f t="shared" si="51"/>
        <v>83.391299705202556</v>
      </c>
      <c r="L69" s="634"/>
      <c r="M69" s="384">
        <f>RANK(K69, K$67:$K$81)</f>
        <v>9</v>
      </c>
      <c r="N69" s="652"/>
      <c r="O69" s="652"/>
      <c r="P69" s="560">
        <v>16</v>
      </c>
      <c r="Q69" s="562">
        <v>1356.4285714285711</v>
      </c>
      <c r="R69" s="562">
        <v>84.776785714285694</v>
      </c>
      <c r="S69" s="560">
        <f t="shared" si="52"/>
        <v>9</v>
      </c>
      <c r="T69" s="662"/>
      <c r="U69" s="560">
        <v>16</v>
      </c>
      <c r="V69" s="562">
        <v>1361.4084507042257</v>
      </c>
      <c r="W69" s="562">
        <v>85.088028169014109</v>
      </c>
      <c r="X69" s="560">
        <f t="shared" si="54"/>
        <v>9</v>
      </c>
      <c r="Y69" s="662"/>
      <c r="Z69" s="560">
        <v>17</v>
      </c>
      <c r="AA69" s="562">
        <v>1368.6486486486492</v>
      </c>
      <c r="AB69" s="562">
        <v>80.508744038155839</v>
      </c>
      <c r="AC69" s="560">
        <f t="shared" si="56"/>
        <v>9</v>
      </c>
      <c r="AD69" s="662"/>
      <c r="AE69" s="560">
        <v>17</v>
      </c>
      <c r="AF69" s="562">
        <v>1366.55172413793</v>
      </c>
      <c r="AG69" s="562">
        <v>80.385395537525298</v>
      </c>
      <c r="AH69" s="560">
        <f t="shared" si="58"/>
        <v>9</v>
      </c>
      <c r="AI69" s="662"/>
      <c r="AJ69" s="560">
        <v>17</v>
      </c>
      <c r="AK69" s="562">
        <v>1372.131147540983</v>
      </c>
      <c r="AL69" s="562">
        <v>80.713596914175469</v>
      </c>
      <c r="AM69" s="560">
        <f t="shared" si="60"/>
        <v>9</v>
      </c>
      <c r="AN69" s="662"/>
      <c r="AO69" s="560">
        <v>16</v>
      </c>
      <c r="AP69" s="562">
        <v>1368.409090909091</v>
      </c>
      <c r="AQ69" s="562">
        <v>85.525568181818187</v>
      </c>
      <c r="AR69" s="560">
        <f t="shared" si="62"/>
        <v>9</v>
      </c>
      <c r="AS69" s="662"/>
      <c r="AT69" s="560">
        <v>16</v>
      </c>
      <c r="AU69" s="562">
        <v>1387.8556701030932</v>
      </c>
      <c r="AV69" s="562">
        <v>86.740979381443324</v>
      </c>
      <c r="AW69" s="560">
        <f t="shared" si="64"/>
        <v>9</v>
      </c>
      <c r="AX69" s="662"/>
      <c r="AZ69" s="368" t="e">
        <f t="shared" si="66"/>
        <v>#N/A</v>
      </c>
      <c r="BA69" s="662"/>
    </row>
    <row r="70" spans="2:53">
      <c r="B70" s="660"/>
      <c r="C70" s="380">
        <v>4</v>
      </c>
      <c r="D70" s="225" t="s">
        <v>388</v>
      </c>
      <c r="E70" s="531">
        <v>7</v>
      </c>
      <c r="F70" s="530">
        <v>1500</v>
      </c>
      <c r="G70" s="532">
        <v>214.28571428571428</v>
      </c>
      <c r="H70" s="692"/>
      <c r="I70" s="381">
        <f t="shared" si="49"/>
        <v>7</v>
      </c>
      <c r="J70" s="381">
        <f t="shared" si="50"/>
        <v>1460.4263273609408</v>
      </c>
      <c r="K70" s="199">
        <f t="shared" si="51"/>
        <v>208.63233248013441</v>
      </c>
      <c r="L70" s="634"/>
      <c r="M70" s="384">
        <f>RANK(K70, K$67:$K$81)</f>
        <v>2</v>
      </c>
      <c r="N70" s="652"/>
      <c r="O70" s="652"/>
      <c r="P70" s="560">
        <v>7</v>
      </c>
      <c r="Q70" s="562">
        <v>1476.8275862068961</v>
      </c>
      <c r="R70" s="562">
        <v>210.975369458128</v>
      </c>
      <c r="S70" s="560">
        <f t="shared" si="52"/>
        <v>1</v>
      </c>
      <c r="T70" s="662"/>
      <c r="U70" s="560">
        <v>7</v>
      </c>
      <c r="V70" s="562">
        <v>1475.4744525547444</v>
      </c>
      <c r="W70" s="562">
        <v>210.78206465067777</v>
      </c>
      <c r="X70" s="560">
        <f t="shared" si="54"/>
        <v>2</v>
      </c>
      <c r="Y70" s="662"/>
      <c r="Z70" s="560">
        <v>7</v>
      </c>
      <c r="AA70" s="562">
        <v>1432.608695652174</v>
      </c>
      <c r="AB70" s="562">
        <v>204.65838509316771</v>
      </c>
      <c r="AC70" s="560">
        <f t="shared" si="56"/>
        <v>5</v>
      </c>
      <c r="AD70" s="662"/>
      <c r="AE70" s="560">
        <v>7</v>
      </c>
      <c r="AF70" s="562">
        <v>1458.5454545454543</v>
      </c>
      <c r="AG70" s="562">
        <v>208.36363636363632</v>
      </c>
      <c r="AH70" s="560">
        <f t="shared" si="58"/>
        <v>3</v>
      </c>
      <c r="AI70" s="662"/>
      <c r="AJ70" s="560">
        <v>7</v>
      </c>
      <c r="AK70" s="562">
        <v>1470.7826086956522</v>
      </c>
      <c r="AL70" s="562">
        <v>210.11180124223603</v>
      </c>
      <c r="AM70" s="560">
        <f t="shared" si="60"/>
        <v>3</v>
      </c>
      <c r="AN70" s="662"/>
      <c r="AO70" s="560">
        <v>7</v>
      </c>
      <c r="AP70" s="562">
        <v>1448.219178082192</v>
      </c>
      <c r="AQ70" s="562">
        <v>206.88845401174171</v>
      </c>
      <c r="AR70" s="560">
        <f t="shared" si="62"/>
        <v>2</v>
      </c>
      <c r="AS70" s="662"/>
      <c r="AT70" s="560">
        <v>7</v>
      </c>
      <c r="AU70" s="562">
        <v>1460.5263157894733</v>
      </c>
      <c r="AV70" s="562">
        <v>208.64661654135332</v>
      </c>
      <c r="AW70" s="560">
        <f t="shared" si="64"/>
        <v>2</v>
      </c>
      <c r="AX70" s="662"/>
      <c r="AZ70" s="368" t="e">
        <f t="shared" si="66"/>
        <v>#N/A</v>
      </c>
      <c r="BA70" s="662"/>
    </row>
    <row r="71" spans="2:53">
      <c r="B71" s="660"/>
      <c r="C71" s="380">
        <v>5</v>
      </c>
      <c r="D71" s="225" t="s">
        <v>577</v>
      </c>
      <c r="E71" s="531">
        <v>12</v>
      </c>
      <c r="F71" s="530">
        <v>2000</v>
      </c>
      <c r="G71" s="532">
        <v>166.66666666666666</v>
      </c>
      <c r="H71" s="692"/>
      <c r="I71" s="381">
        <f t="shared" si="49"/>
        <v>12</v>
      </c>
      <c r="J71" s="381">
        <f t="shared" si="50"/>
        <v>1494.5246056371386</v>
      </c>
      <c r="K71" s="199">
        <f t="shared" si="51"/>
        <v>124.54371713642821</v>
      </c>
      <c r="L71" s="634"/>
      <c r="M71" s="384">
        <f>RANK(K71, K$67:$K$81)</f>
        <v>7</v>
      </c>
      <c r="N71" s="652"/>
      <c r="O71" s="652"/>
      <c r="P71" s="560">
        <v>12</v>
      </c>
      <c r="Q71" s="562">
        <v>1512.5060240963865</v>
      </c>
      <c r="R71" s="562">
        <v>126.04216867469887</v>
      </c>
      <c r="S71" s="560">
        <f t="shared" si="52"/>
        <v>7</v>
      </c>
      <c r="T71" s="662"/>
      <c r="U71" s="560">
        <v>12</v>
      </c>
      <c r="V71" s="562">
        <v>1516.8461538461545</v>
      </c>
      <c r="W71" s="562">
        <v>126.4038461538462</v>
      </c>
      <c r="X71" s="560">
        <f t="shared" si="54"/>
        <v>6</v>
      </c>
      <c r="Y71" s="662"/>
      <c r="Z71" s="560">
        <v>12</v>
      </c>
      <c r="AA71" s="562">
        <v>1509.8181818181815</v>
      </c>
      <c r="AB71" s="562">
        <v>125.8181818181818</v>
      </c>
      <c r="AC71" s="560">
        <f t="shared" si="56"/>
        <v>6</v>
      </c>
      <c r="AD71" s="662"/>
      <c r="AE71" s="560">
        <v>12</v>
      </c>
      <c r="AF71" s="562">
        <v>1485</v>
      </c>
      <c r="AG71" s="562">
        <v>123.75</v>
      </c>
      <c r="AH71" s="560">
        <f t="shared" si="58"/>
        <v>7</v>
      </c>
      <c r="AI71" s="662"/>
      <c r="AJ71" s="560">
        <v>12</v>
      </c>
      <c r="AK71" s="562">
        <v>1488.0000000000002</v>
      </c>
      <c r="AL71" s="562">
        <v>124.00000000000001</v>
      </c>
      <c r="AM71" s="560">
        <f t="shared" si="60"/>
        <v>7</v>
      </c>
      <c r="AN71" s="662"/>
      <c r="AO71" s="560">
        <v>12</v>
      </c>
      <c r="AP71" s="562">
        <v>1487.6447368421052</v>
      </c>
      <c r="AQ71" s="562">
        <v>123.9703947368421</v>
      </c>
      <c r="AR71" s="560">
        <f t="shared" si="62"/>
        <v>7</v>
      </c>
      <c r="AS71" s="662"/>
      <c r="AT71" s="560">
        <v>12</v>
      </c>
      <c r="AU71" s="562">
        <v>1461.8571428571422</v>
      </c>
      <c r="AV71" s="562">
        <v>121.82142857142851</v>
      </c>
      <c r="AW71" s="560">
        <f t="shared" si="64"/>
        <v>7</v>
      </c>
      <c r="AX71" s="662"/>
      <c r="AZ71" s="368" t="e">
        <f t="shared" si="66"/>
        <v>#N/A</v>
      </c>
      <c r="BA71" s="662"/>
    </row>
    <row r="72" spans="2:53">
      <c r="B72" s="660"/>
      <c r="C72" s="380">
        <v>6</v>
      </c>
      <c r="D72" s="225" t="s">
        <v>562</v>
      </c>
      <c r="E72" s="531">
        <v>7</v>
      </c>
      <c r="F72" s="530">
        <v>1500</v>
      </c>
      <c r="G72" s="532">
        <v>214.28571428571428</v>
      </c>
      <c r="H72" s="692"/>
      <c r="I72" s="381">
        <f t="shared" si="49"/>
        <v>7</v>
      </c>
      <c r="J72" s="381">
        <f t="shared" si="50"/>
        <v>1451.6333878107057</v>
      </c>
      <c r="K72" s="199">
        <f t="shared" si="51"/>
        <v>207.37619825867225</v>
      </c>
      <c r="L72" s="634"/>
      <c r="M72" s="384">
        <f>RANK(K72, K$67:$K$81)</f>
        <v>3</v>
      </c>
      <c r="N72" s="652"/>
      <c r="O72" s="652"/>
      <c r="P72" s="560">
        <v>7</v>
      </c>
      <c r="Q72" s="562">
        <v>1442.7692307692314</v>
      </c>
      <c r="R72" s="562">
        <v>206.10989010989019</v>
      </c>
      <c r="S72" s="560">
        <f t="shared" si="52"/>
        <v>4</v>
      </c>
      <c r="T72" s="662"/>
      <c r="U72" s="560">
        <v>7</v>
      </c>
      <c r="V72" s="562">
        <v>1460.294117647059</v>
      </c>
      <c r="W72" s="562">
        <v>208.61344537815128</v>
      </c>
      <c r="X72" s="560">
        <f t="shared" si="54"/>
        <v>3</v>
      </c>
      <c r="Y72" s="662"/>
      <c r="Z72" s="560">
        <v>7</v>
      </c>
      <c r="AA72" s="562">
        <v>1444.3478260869565</v>
      </c>
      <c r="AB72" s="562">
        <v>206.33540372670808</v>
      </c>
      <c r="AC72" s="560">
        <f t="shared" si="56"/>
        <v>4</v>
      </c>
      <c r="AD72" s="662"/>
      <c r="AE72" s="560">
        <v>7</v>
      </c>
      <c r="AF72" s="562">
        <v>1480.0000000000005</v>
      </c>
      <c r="AG72" s="562">
        <v>211.4285714285715</v>
      </c>
      <c r="AH72" s="560">
        <f t="shared" si="58"/>
        <v>2</v>
      </c>
      <c r="AI72" s="662"/>
      <c r="AJ72" s="560">
        <v>7</v>
      </c>
      <c r="AK72" s="562">
        <v>1450.7999999999993</v>
      </c>
      <c r="AL72" s="562">
        <v>207.25714285714275</v>
      </c>
      <c r="AM72" s="560">
        <f t="shared" si="60"/>
        <v>4</v>
      </c>
      <c r="AN72" s="662"/>
      <c r="AO72" s="560">
        <v>7</v>
      </c>
      <c r="AP72" s="562">
        <v>1447.1186440677968</v>
      </c>
      <c r="AQ72" s="562">
        <v>206.73123486682812</v>
      </c>
      <c r="AR72" s="560">
        <f t="shared" si="62"/>
        <v>3</v>
      </c>
      <c r="AS72" s="662"/>
      <c r="AT72" s="560">
        <v>7</v>
      </c>
      <c r="AU72" s="562">
        <v>1436.1038961038962</v>
      </c>
      <c r="AV72" s="562">
        <v>205.15769944341375</v>
      </c>
      <c r="AW72" s="560">
        <f t="shared" si="64"/>
        <v>4</v>
      </c>
      <c r="AX72" s="662"/>
      <c r="AZ72" s="368" t="e">
        <f t="shared" si="66"/>
        <v>#N/A</v>
      </c>
      <c r="BA72" s="662"/>
    </row>
    <row r="73" spans="2:53">
      <c r="B73" s="660"/>
      <c r="C73" s="380">
        <v>7</v>
      </c>
      <c r="D73" s="225" t="s">
        <v>605</v>
      </c>
      <c r="E73" s="531">
        <v>12</v>
      </c>
      <c r="F73" s="530">
        <v>2000</v>
      </c>
      <c r="G73" s="532">
        <v>166.66666666666666</v>
      </c>
      <c r="H73" s="692"/>
      <c r="I73" s="381">
        <f t="shared" si="49"/>
        <v>12</v>
      </c>
      <c r="J73" s="381">
        <f t="shared" si="50"/>
        <v>1504.432905580856</v>
      </c>
      <c r="K73" s="199">
        <f t="shared" si="51"/>
        <v>125.36940879840465</v>
      </c>
      <c r="L73" s="634"/>
      <c r="M73" s="384">
        <f>RANK(K73, K$67:$K$81)</f>
        <v>6</v>
      </c>
      <c r="N73" s="652"/>
      <c r="O73" s="652"/>
      <c r="P73" s="560">
        <v>12</v>
      </c>
      <c r="Q73" s="562">
        <v>1517.1639344262289</v>
      </c>
      <c r="R73" s="562">
        <v>126.43032786885242</v>
      </c>
      <c r="S73" s="560">
        <f t="shared" si="52"/>
        <v>6</v>
      </c>
      <c r="T73" s="662"/>
      <c r="U73" s="560">
        <v>12</v>
      </c>
      <c r="V73" s="562">
        <v>1503.8135593220341</v>
      </c>
      <c r="W73" s="562">
        <v>125.31779661016951</v>
      </c>
      <c r="X73" s="560">
        <f t="shared" si="54"/>
        <v>7</v>
      </c>
      <c r="Y73" s="662"/>
      <c r="Z73" s="560">
        <v>12</v>
      </c>
      <c r="AA73" s="562">
        <v>1483.9830508474579</v>
      </c>
      <c r="AB73" s="562">
        <v>123.66525423728815</v>
      </c>
      <c r="AC73" s="560">
        <f t="shared" si="56"/>
        <v>7</v>
      </c>
      <c r="AD73" s="662"/>
      <c r="AE73" s="560">
        <v>12</v>
      </c>
      <c r="AF73" s="562">
        <v>1518.7499999999995</v>
      </c>
      <c r="AG73" s="562">
        <v>126.56249999999996</v>
      </c>
      <c r="AH73" s="560">
        <f t="shared" si="58"/>
        <v>6</v>
      </c>
      <c r="AI73" s="662"/>
      <c r="AJ73" s="560">
        <v>12</v>
      </c>
      <c r="AK73" s="562">
        <v>1503.5820895522388</v>
      </c>
      <c r="AL73" s="562">
        <v>125.29850746268657</v>
      </c>
      <c r="AM73" s="560">
        <f t="shared" si="60"/>
        <v>6</v>
      </c>
      <c r="AN73" s="662"/>
      <c r="AO73" s="560">
        <v>12</v>
      </c>
      <c r="AP73" s="562">
        <v>1503.7377049180323</v>
      </c>
      <c r="AQ73" s="562">
        <v>125.31147540983602</v>
      </c>
      <c r="AR73" s="560">
        <f t="shared" si="62"/>
        <v>6</v>
      </c>
      <c r="AS73" s="662"/>
      <c r="AT73" s="560">
        <v>12</v>
      </c>
      <c r="AU73" s="562">
        <v>1499.9999999999995</v>
      </c>
      <c r="AV73" s="562">
        <v>124.99999999999996</v>
      </c>
      <c r="AW73" s="560">
        <f t="shared" si="64"/>
        <v>6</v>
      </c>
      <c r="AX73" s="662"/>
      <c r="AZ73" s="368" t="e">
        <f t="shared" si="66"/>
        <v>#N/A</v>
      </c>
      <c r="BA73" s="662"/>
    </row>
    <row r="74" spans="2:53">
      <c r="B74" s="660"/>
      <c r="C74" s="380">
        <v>8</v>
      </c>
      <c r="D74" s="225" t="s">
        <v>606</v>
      </c>
      <c r="E74" s="531">
        <v>12</v>
      </c>
      <c r="F74" s="530">
        <v>2000</v>
      </c>
      <c r="G74" s="532">
        <v>166.66666666666666</v>
      </c>
      <c r="H74" s="692"/>
      <c r="I74" s="381">
        <f t="shared" si="49"/>
        <v>12</v>
      </c>
      <c r="J74" s="381">
        <f t="shared" si="50"/>
        <v>1284.0253246753248</v>
      </c>
      <c r="K74" s="199">
        <f t="shared" si="51"/>
        <v>107.00211038961039</v>
      </c>
      <c r="L74" s="634"/>
      <c r="M74" s="384">
        <f>RANK(K74, K$67:$K$81)</f>
        <v>8</v>
      </c>
      <c r="N74" s="652"/>
      <c r="O74" s="652"/>
      <c r="P74" s="560">
        <v>12</v>
      </c>
      <c r="Q74" s="562">
        <v>1250.9999999999995</v>
      </c>
      <c r="R74" s="562">
        <v>104.24999999999996</v>
      </c>
      <c r="S74" s="560">
        <f t="shared" si="52"/>
        <v>8</v>
      </c>
      <c r="T74" s="662"/>
      <c r="U74" s="560">
        <v>12</v>
      </c>
      <c r="V74" s="562">
        <v>1289.9999999999995</v>
      </c>
      <c r="W74" s="562">
        <v>107.49999999999996</v>
      </c>
      <c r="X74" s="560">
        <f t="shared" si="54"/>
        <v>8</v>
      </c>
      <c r="Y74" s="662"/>
      <c r="Z74" s="560">
        <v>12</v>
      </c>
      <c r="AA74" s="562">
        <v>1292.9999999999995</v>
      </c>
      <c r="AB74" s="562">
        <v>107.74999999999996</v>
      </c>
      <c r="AC74" s="560">
        <f t="shared" si="56"/>
        <v>8</v>
      </c>
      <c r="AD74" s="662"/>
      <c r="AE74" s="560">
        <v>12</v>
      </c>
      <c r="AF74" s="562">
        <v>1254.5454545454545</v>
      </c>
      <c r="AG74" s="562">
        <v>104.54545454545455</v>
      </c>
      <c r="AH74" s="560">
        <f t="shared" si="58"/>
        <v>8</v>
      </c>
      <c r="AI74" s="662"/>
      <c r="AJ74" s="560">
        <v>12</v>
      </c>
      <c r="AK74" s="562">
        <v>1298.1818181818182</v>
      </c>
      <c r="AL74" s="562">
        <v>108.18181818181819</v>
      </c>
      <c r="AM74" s="560">
        <f t="shared" si="60"/>
        <v>8</v>
      </c>
      <c r="AN74" s="662"/>
      <c r="AO74" s="560">
        <v>12</v>
      </c>
      <c r="AP74" s="562">
        <v>1286.2500000000016</v>
      </c>
      <c r="AQ74" s="562">
        <v>107.18750000000013</v>
      </c>
      <c r="AR74" s="560">
        <f t="shared" si="62"/>
        <v>8</v>
      </c>
      <c r="AS74" s="662"/>
      <c r="AT74" s="560">
        <v>12</v>
      </c>
      <c r="AU74" s="562">
        <v>1315.2000000000003</v>
      </c>
      <c r="AV74" s="562">
        <v>109.60000000000002</v>
      </c>
      <c r="AW74" s="560">
        <f t="shared" si="64"/>
        <v>8</v>
      </c>
      <c r="AX74" s="662"/>
      <c r="AZ74" s="368" t="e">
        <f t="shared" si="66"/>
        <v>#N/A</v>
      </c>
      <c r="BA74" s="662"/>
    </row>
    <row r="75" spans="2:53">
      <c r="B75" s="660"/>
      <c r="C75" s="380">
        <v>9</v>
      </c>
      <c r="D75" s="225" t="s">
        <v>621</v>
      </c>
      <c r="E75" s="531">
        <v>7</v>
      </c>
      <c r="F75" s="530">
        <v>1500</v>
      </c>
      <c r="G75" s="532">
        <v>214.28571428571428</v>
      </c>
      <c r="H75" s="692"/>
      <c r="I75" s="381">
        <f t="shared" si="49"/>
        <v>7</v>
      </c>
      <c r="J75" s="381">
        <f t="shared" si="50"/>
        <v>1360.3086870199586</v>
      </c>
      <c r="K75" s="199">
        <f t="shared" si="51"/>
        <v>194.32981243142268</v>
      </c>
      <c r="L75" s="634"/>
      <c r="M75" s="384">
        <f>RANK(K75, K$67:$K$81)</f>
        <v>5</v>
      </c>
      <c r="N75" s="652"/>
      <c r="O75" s="652"/>
      <c r="P75" s="560">
        <v>7</v>
      </c>
      <c r="Q75" s="562">
        <v>1462.5000000000018</v>
      </c>
      <c r="R75" s="562">
        <v>208.9285714285717</v>
      </c>
      <c r="S75" s="560">
        <f t="shared" si="52"/>
        <v>3</v>
      </c>
      <c r="T75" s="662"/>
      <c r="U75" s="560">
        <v>7</v>
      </c>
      <c r="V75" s="562">
        <v>1459.4117647058804</v>
      </c>
      <c r="W75" s="562">
        <v>208.4873949579829</v>
      </c>
      <c r="X75" s="560">
        <f t="shared" si="54"/>
        <v>4</v>
      </c>
      <c r="Y75" s="662"/>
      <c r="Z75" s="560">
        <v>7</v>
      </c>
      <c r="AA75" s="562">
        <v>1451.2500000000018</v>
      </c>
      <c r="AB75" s="562">
        <v>207.32142857142884</v>
      </c>
      <c r="AC75" s="560">
        <f t="shared" si="56"/>
        <v>3</v>
      </c>
      <c r="AD75" s="662"/>
      <c r="AE75" s="560">
        <v>7</v>
      </c>
      <c r="AF75" s="562">
        <v>1240.7142857142849</v>
      </c>
      <c r="AG75" s="562">
        <v>177.24489795918356</v>
      </c>
      <c r="AH75" s="560">
        <f t="shared" si="58"/>
        <v>5</v>
      </c>
      <c r="AI75" s="662"/>
      <c r="AJ75" s="560">
        <v>7</v>
      </c>
      <c r="AK75" s="562">
        <v>1226.0869565217392</v>
      </c>
      <c r="AL75" s="562">
        <v>175.15527950310562</v>
      </c>
      <c r="AM75" s="560">
        <f t="shared" si="60"/>
        <v>5</v>
      </c>
      <c r="AN75" s="662"/>
      <c r="AO75" s="560">
        <v>7</v>
      </c>
      <c r="AP75" s="562">
        <v>1251.4285714285722</v>
      </c>
      <c r="AQ75" s="562">
        <v>178.77551020408174</v>
      </c>
      <c r="AR75" s="560">
        <f t="shared" si="62"/>
        <v>5</v>
      </c>
      <c r="AS75" s="662"/>
      <c r="AT75" s="560">
        <v>7</v>
      </c>
      <c r="AU75" s="562">
        <v>1430.76923076923</v>
      </c>
      <c r="AV75" s="562">
        <v>204.39560439560429</v>
      </c>
      <c r="AW75" s="560">
        <f t="shared" si="64"/>
        <v>5</v>
      </c>
      <c r="AX75" s="662"/>
      <c r="AZ75" s="368" t="e">
        <f t="shared" si="66"/>
        <v>#N/A</v>
      </c>
      <c r="BA75" s="662"/>
    </row>
    <row r="76" spans="2:53">
      <c r="B76" s="660"/>
      <c r="C76" s="380">
        <v>10</v>
      </c>
      <c r="D76" s="225"/>
      <c r="E76" s="531"/>
      <c r="F76" s="530"/>
      <c r="G76" s="532"/>
      <c r="H76" s="692"/>
      <c r="I76" s="381" t="str">
        <f t="shared" si="49"/>
        <v>-</v>
      </c>
      <c r="J76" s="381" t="str">
        <f t="shared" si="50"/>
        <v>-</v>
      </c>
      <c r="K76" s="199" t="str">
        <f t="shared" si="51"/>
        <v>-</v>
      </c>
      <c r="L76" s="634"/>
      <c r="M76" s="384" t="e">
        <f>RANK(K76, K$67:$K$81)</f>
        <v>#VALUE!</v>
      </c>
      <c r="N76" s="652"/>
      <c r="O76" s="652"/>
      <c r="P76" s="560" t="s">
        <v>585</v>
      </c>
      <c r="Q76" s="562" t="s">
        <v>585</v>
      </c>
      <c r="R76" s="562" t="s">
        <v>585</v>
      </c>
      <c r="S76" s="560" t="e">
        <f t="shared" si="52"/>
        <v>#VALUE!</v>
      </c>
      <c r="T76" s="662"/>
      <c r="U76" s="560" t="s">
        <v>585</v>
      </c>
      <c r="V76" s="562" t="s">
        <v>585</v>
      </c>
      <c r="W76" s="562" t="s">
        <v>585</v>
      </c>
      <c r="X76" s="560" t="e">
        <f t="shared" si="54"/>
        <v>#VALUE!</v>
      </c>
      <c r="Y76" s="662"/>
      <c r="Z76" s="560" t="s">
        <v>585</v>
      </c>
      <c r="AA76" s="562" t="s">
        <v>585</v>
      </c>
      <c r="AB76" s="562" t="s">
        <v>585</v>
      </c>
      <c r="AC76" s="560" t="e">
        <f t="shared" si="56"/>
        <v>#VALUE!</v>
      </c>
      <c r="AD76" s="662"/>
      <c r="AE76" s="560" t="s">
        <v>585</v>
      </c>
      <c r="AF76" s="562" t="s">
        <v>585</v>
      </c>
      <c r="AG76" s="562" t="s">
        <v>585</v>
      </c>
      <c r="AH76" s="560" t="e">
        <f t="shared" si="58"/>
        <v>#VALUE!</v>
      </c>
      <c r="AI76" s="662"/>
      <c r="AJ76" s="560" t="s">
        <v>585</v>
      </c>
      <c r="AK76" s="562" t="s">
        <v>585</v>
      </c>
      <c r="AL76" s="562" t="s">
        <v>585</v>
      </c>
      <c r="AM76" s="560" t="e">
        <f t="shared" si="60"/>
        <v>#VALUE!</v>
      </c>
      <c r="AN76" s="662"/>
      <c r="AO76" s="560" t="s">
        <v>585</v>
      </c>
      <c r="AP76" s="562" t="s">
        <v>585</v>
      </c>
      <c r="AQ76" s="562" t="s">
        <v>585</v>
      </c>
      <c r="AR76" s="560" t="e">
        <f t="shared" si="62"/>
        <v>#VALUE!</v>
      </c>
      <c r="AS76" s="662"/>
      <c r="AT76" s="560" t="s">
        <v>585</v>
      </c>
      <c r="AU76" s="562" t="s">
        <v>585</v>
      </c>
      <c r="AV76" s="562" t="s">
        <v>585</v>
      </c>
      <c r="AW76" s="560" t="e">
        <f t="shared" si="64"/>
        <v>#VALUE!</v>
      </c>
      <c r="AX76" s="662"/>
      <c r="AZ76" s="368" t="e">
        <f t="shared" si="66"/>
        <v>#N/A</v>
      </c>
      <c r="BA76" s="662"/>
    </row>
    <row r="77" spans="2:53">
      <c r="B77" s="660"/>
      <c r="C77" s="380">
        <v>11</v>
      </c>
      <c r="D77" s="225"/>
      <c r="E77" s="531"/>
      <c r="F77" s="530"/>
      <c r="G77" s="532"/>
      <c r="H77" s="692"/>
      <c r="I77" s="381" t="str">
        <f t="shared" si="49"/>
        <v>-</v>
      </c>
      <c r="J77" s="381" t="str">
        <f t="shared" si="50"/>
        <v>-</v>
      </c>
      <c r="K77" s="199" t="str">
        <f t="shared" si="51"/>
        <v>-</v>
      </c>
      <c r="L77" s="634"/>
      <c r="M77" s="384" t="e">
        <f>RANK(K77, K$67:$K$81)</f>
        <v>#VALUE!</v>
      </c>
      <c r="N77" s="652"/>
      <c r="O77" s="652"/>
      <c r="P77" s="560" t="s">
        <v>585</v>
      </c>
      <c r="Q77" s="562" t="s">
        <v>585</v>
      </c>
      <c r="R77" s="562" t="s">
        <v>585</v>
      </c>
      <c r="S77" s="560" t="e">
        <f t="shared" si="52"/>
        <v>#VALUE!</v>
      </c>
      <c r="T77" s="662"/>
      <c r="U77" s="560" t="s">
        <v>585</v>
      </c>
      <c r="V77" s="562" t="s">
        <v>585</v>
      </c>
      <c r="W77" s="562" t="s">
        <v>585</v>
      </c>
      <c r="X77" s="560" t="e">
        <f t="shared" si="54"/>
        <v>#VALUE!</v>
      </c>
      <c r="Y77" s="662"/>
      <c r="Z77" s="560" t="s">
        <v>585</v>
      </c>
      <c r="AA77" s="562" t="s">
        <v>585</v>
      </c>
      <c r="AB77" s="562" t="s">
        <v>585</v>
      </c>
      <c r="AC77" s="560" t="e">
        <f t="shared" si="56"/>
        <v>#VALUE!</v>
      </c>
      <c r="AD77" s="662"/>
      <c r="AE77" s="560" t="s">
        <v>585</v>
      </c>
      <c r="AF77" s="562" t="s">
        <v>585</v>
      </c>
      <c r="AG77" s="562" t="s">
        <v>585</v>
      </c>
      <c r="AH77" s="560" t="e">
        <f t="shared" si="58"/>
        <v>#VALUE!</v>
      </c>
      <c r="AI77" s="662"/>
      <c r="AJ77" s="560" t="s">
        <v>585</v>
      </c>
      <c r="AK77" s="562" t="s">
        <v>585</v>
      </c>
      <c r="AL77" s="562" t="s">
        <v>585</v>
      </c>
      <c r="AM77" s="560" t="e">
        <f t="shared" si="60"/>
        <v>#VALUE!</v>
      </c>
      <c r="AN77" s="662"/>
      <c r="AO77" s="560" t="s">
        <v>585</v>
      </c>
      <c r="AP77" s="562" t="s">
        <v>585</v>
      </c>
      <c r="AQ77" s="562" t="s">
        <v>585</v>
      </c>
      <c r="AR77" s="560" t="e">
        <f t="shared" si="62"/>
        <v>#VALUE!</v>
      </c>
      <c r="AS77" s="662"/>
      <c r="AT77" s="560" t="s">
        <v>585</v>
      </c>
      <c r="AU77" s="562" t="s">
        <v>585</v>
      </c>
      <c r="AV77" s="562" t="s">
        <v>585</v>
      </c>
      <c r="AW77" s="560" t="e">
        <f t="shared" si="64"/>
        <v>#VALUE!</v>
      </c>
      <c r="AX77" s="662"/>
      <c r="AZ77" s="368" t="e">
        <f t="shared" si="66"/>
        <v>#N/A</v>
      </c>
      <c r="BA77" s="662"/>
    </row>
    <row r="78" spans="2:53">
      <c r="B78" s="660"/>
      <c r="C78" s="380">
        <v>12</v>
      </c>
      <c r="D78" s="225"/>
      <c r="E78" s="531"/>
      <c r="F78" s="530"/>
      <c r="G78" s="532"/>
      <c r="H78" s="692"/>
      <c r="I78" s="381" t="str">
        <f t="shared" si="49"/>
        <v>-</v>
      </c>
      <c r="J78" s="381" t="str">
        <f t="shared" si="50"/>
        <v>-</v>
      </c>
      <c r="K78" s="199" t="str">
        <f t="shared" si="51"/>
        <v>-</v>
      </c>
      <c r="L78" s="634"/>
      <c r="M78" s="384" t="e">
        <f>RANK(K78, K$67:$K$81)</f>
        <v>#VALUE!</v>
      </c>
      <c r="N78" s="652"/>
      <c r="O78" s="652"/>
      <c r="P78" s="560" t="s">
        <v>585</v>
      </c>
      <c r="Q78" s="562" t="s">
        <v>585</v>
      </c>
      <c r="R78" s="562" t="s">
        <v>585</v>
      </c>
      <c r="S78" s="560" t="e">
        <f t="shared" si="52"/>
        <v>#VALUE!</v>
      </c>
      <c r="T78" s="662"/>
      <c r="U78" s="560" t="s">
        <v>585</v>
      </c>
      <c r="V78" s="562" t="s">
        <v>585</v>
      </c>
      <c r="W78" s="562" t="s">
        <v>585</v>
      </c>
      <c r="X78" s="560" t="e">
        <f t="shared" si="54"/>
        <v>#VALUE!</v>
      </c>
      <c r="Y78" s="662"/>
      <c r="Z78" s="560" t="s">
        <v>585</v>
      </c>
      <c r="AA78" s="562" t="s">
        <v>585</v>
      </c>
      <c r="AB78" s="562" t="s">
        <v>585</v>
      </c>
      <c r="AC78" s="560" t="e">
        <f t="shared" si="56"/>
        <v>#VALUE!</v>
      </c>
      <c r="AD78" s="662"/>
      <c r="AE78" s="560" t="s">
        <v>585</v>
      </c>
      <c r="AF78" s="562" t="s">
        <v>585</v>
      </c>
      <c r="AG78" s="562" t="s">
        <v>585</v>
      </c>
      <c r="AH78" s="560" t="e">
        <f t="shared" si="58"/>
        <v>#VALUE!</v>
      </c>
      <c r="AI78" s="662"/>
      <c r="AJ78" s="560" t="s">
        <v>585</v>
      </c>
      <c r="AK78" s="562" t="s">
        <v>585</v>
      </c>
      <c r="AL78" s="562" t="s">
        <v>585</v>
      </c>
      <c r="AM78" s="560" t="e">
        <f t="shared" si="60"/>
        <v>#VALUE!</v>
      </c>
      <c r="AN78" s="662"/>
      <c r="AO78" s="560" t="s">
        <v>585</v>
      </c>
      <c r="AP78" s="562" t="s">
        <v>585</v>
      </c>
      <c r="AQ78" s="562" t="s">
        <v>585</v>
      </c>
      <c r="AR78" s="560" t="e">
        <f t="shared" si="62"/>
        <v>#VALUE!</v>
      </c>
      <c r="AS78" s="662"/>
      <c r="AT78" s="560" t="s">
        <v>585</v>
      </c>
      <c r="AU78" s="562" t="s">
        <v>585</v>
      </c>
      <c r="AV78" s="562" t="s">
        <v>585</v>
      </c>
      <c r="AW78" s="560" t="e">
        <f t="shared" si="64"/>
        <v>#VALUE!</v>
      </c>
      <c r="AX78" s="662"/>
      <c r="AZ78" s="368" t="e">
        <f t="shared" si="66"/>
        <v>#N/A</v>
      </c>
      <c r="BA78" s="662"/>
    </row>
    <row r="79" spans="2:53">
      <c r="B79" s="660"/>
      <c r="C79" s="380">
        <v>13</v>
      </c>
      <c r="D79" s="225"/>
      <c r="E79" s="531"/>
      <c r="F79" s="530"/>
      <c r="G79" s="532"/>
      <c r="H79" s="692"/>
      <c r="I79" s="381" t="str">
        <f t="shared" si="49"/>
        <v>-</v>
      </c>
      <c r="J79" s="381" t="str">
        <f t="shared" si="50"/>
        <v>-</v>
      </c>
      <c r="K79" s="199" t="str">
        <f t="shared" si="51"/>
        <v>-</v>
      </c>
      <c r="L79" s="634"/>
      <c r="M79" s="384" t="e">
        <f>RANK(K79, K$67:$K$81)</f>
        <v>#VALUE!</v>
      </c>
      <c r="N79" s="652"/>
      <c r="O79" s="652"/>
      <c r="P79" s="560" t="s">
        <v>585</v>
      </c>
      <c r="Q79" s="562" t="s">
        <v>585</v>
      </c>
      <c r="R79" s="562" t="s">
        <v>585</v>
      </c>
      <c r="S79" s="560" t="e">
        <f t="shared" si="52"/>
        <v>#VALUE!</v>
      </c>
      <c r="T79" s="662"/>
      <c r="U79" s="560" t="s">
        <v>585</v>
      </c>
      <c r="V79" s="562" t="s">
        <v>585</v>
      </c>
      <c r="W79" s="562" t="s">
        <v>585</v>
      </c>
      <c r="X79" s="560" t="e">
        <f t="shared" si="54"/>
        <v>#VALUE!</v>
      </c>
      <c r="Y79" s="662"/>
      <c r="Z79" s="560" t="s">
        <v>585</v>
      </c>
      <c r="AA79" s="562" t="s">
        <v>585</v>
      </c>
      <c r="AB79" s="562" t="s">
        <v>585</v>
      </c>
      <c r="AC79" s="560" t="e">
        <f t="shared" si="56"/>
        <v>#VALUE!</v>
      </c>
      <c r="AD79" s="662"/>
      <c r="AE79" s="560" t="s">
        <v>585</v>
      </c>
      <c r="AF79" s="562" t="s">
        <v>585</v>
      </c>
      <c r="AG79" s="562" t="s">
        <v>585</v>
      </c>
      <c r="AH79" s="560" t="e">
        <f t="shared" si="58"/>
        <v>#VALUE!</v>
      </c>
      <c r="AI79" s="662"/>
      <c r="AJ79" s="560" t="s">
        <v>585</v>
      </c>
      <c r="AK79" s="562" t="s">
        <v>585</v>
      </c>
      <c r="AL79" s="562" t="s">
        <v>585</v>
      </c>
      <c r="AM79" s="560" t="e">
        <f t="shared" si="60"/>
        <v>#VALUE!</v>
      </c>
      <c r="AN79" s="662"/>
      <c r="AO79" s="560" t="s">
        <v>585</v>
      </c>
      <c r="AP79" s="562" t="s">
        <v>585</v>
      </c>
      <c r="AQ79" s="562" t="s">
        <v>585</v>
      </c>
      <c r="AR79" s="560" t="e">
        <f t="shared" si="62"/>
        <v>#VALUE!</v>
      </c>
      <c r="AS79" s="662"/>
      <c r="AT79" s="560" t="s">
        <v>585</v>
      </c>
      <c r="AU79" s="562" t="s">
        <v>585</v>
      </c>
      <c r="AV79" s="562" t="s">
        <v>585</v>
      </c>
      <c r="AW79" s="560" t="e">
        <f t="shared" si="64"/>
        <v>#VALUE!</v>
      </c>
      <c r="AX79" s="662"/>
      <c r="AZ79" s="368" t="e">
        <f t="shared" si="66"/>
        <v>#N/A</v>
      </c>
      <c r="BA79" s="662"/>
    </row>
    <row r="80" spans="2:53">
      <c r="B80" s="660"/>
      <c r="C80" s="380">
        <v>14</v>
      </c>
      <c r="D80" s="225"/>
      <c r="E80" s="531"/>
      <c r="F80" s="530"/>
      <c r="G80" s="532"/>
      <c r="H80" s="692"/>
      <c r="I80" s="381" t="str">
        <f t="shared" si="49"/>
        <v>-</v>
      </c>
      <c r="J80" s="381" t="str">
        <f t="shared" si="50"/>
        <v>-</v>
      </c>
      <c r="K80" s="199" t="str">
        <f t="shared" si="51"/>
        <v>-</v>
      </c>
      <c r="L80" s="634"/>
      <c r="M80" s="384" t="e">
        <f>RANK(K80, K$67:$K$81)</f>
        <v>#VALUE!</v>
      </c>
      <c r="N80" s="652"/>
      <c r="O80" s="652"/>
      <c r="P80" s="560" t="s">
        <v>585</v>
      </c>
      <c r="Q80" s="562" t="s">
        <v>585</v>
      </c>
      <c r="R80" s="562" t="s">
        <v>585</v>
      </c>
      <c r="S80" s="560" t="e">
        <f t="shared" si="52"/>
        <v>#VALUE!</v>
      </c>
      <c r="T80" s="662"/>
      <c r="U80" s="560" t="s">
        <v>585</v>
      </c>
      <c r="V80" s="562" t="s">
        <v>585</v>
      </c>
      <c r="W80" s="562" t="s">
        <v>585</v>
      </c>
      <c r="X80" s="560" t="e">
        <f t="shared" si="54"/>
        <v>#VALUE!</v>
      </c>
      <c r="Y80" s="662"/>
      <c r="Z80" s="560" t="s">
        <v>585</v>
      </c>
      <c r="AA80" s="562" t="s">
        <v>585</v>
      </c>
      <c r="AB80" s="562" t="s">
        <v>585</v>
      </c>
      <c r="AC80" s="560" t="e">
        <f t="shared" si="56"/>
        <v>#VALUE!</v>
      </c>
      <c r="AD80" s="662"/>
      <c r="AE80" s="560" t="s">
        <v>585</v>
      </c>
      <c r="AF80" s="562" t="s">
        <v>585</v>
      </c>
      <c r="AG80" s="562" t="s">
        <v>585</v>
      </c>
      <c r="AH80" s="560" t="e">
        <f t="shared" si="58"/>
        <v>#VALUE!</v>
      </c>
      <c r="AI80" s="662"/>
      <c r="AJ80" s="560" t="s">
        <v>585</v>
      </c>
      <c r="AK80" s="562" t="s">
        <v>585</v>
      </c>
      <c r="AL80" s="562" t="s">
        <v>585</v>
      </c>
      <c r="AM80" s="560" t="e">
        <f t="shared" si="60"/>
        <v>#VALUE!</v>
      </c>
      <c r="AN80" s="662"/>
      <c r="AO80" s="560" t="s">
        <v>585</v>
      </c>
      <c r="AP80" s="562" t="s">
        <v>585</v>
      </c>
      <c r="AQ80" s="562" t="s">
        <v>585</v>
      </c>
      <c r="AR80" s="560" t="e">
        <f t="shared" si="62"/>
        <v>#VALUE!</v>
      </c>
      <c r="AS80" s="662"/>
      <c r="AT80" s="560" t="s">
        <v>585</v>
      </c>
      <c r="AU80" s="562" t="s">
        <v>585</v>
      </c>
      <c r="AV80" s="562" t="s">
        <v>585</v>
      </c>
      <c r="AW80" s="560" t="e">
        <f t="shared" si="64"/>
        <v>#VALUE!</v>
      </c>
      <c r="AX80" s="662"/>
      <c r="AZ80" s="368" t="e">
        <f t="shared" si="66"/>
        <v>#N/A</v>
      </c>
      <c r="BA80" s="662"/>
    </row>
    <row r="81" spans="2:53">
      <c r="B81" s="660"/>
      <c r="C81" s="380">
        <v>15</v>
      </c>
      <c r="D81" s="225"/>
      <c r="E81" s="531"/>
      <c r="F81" s="530"/>
      <c r="G81" s="532"/>
      <c r="H81" s="696"/>
      <c r="I81" s="380"/>
      <c r="J81" s="380"/>
      <c r="K81" s="380"/>
      <c r="L81" s="635"/>
      <c r="M81" s="384" t="e">
        <f>RANK(K81, K$47:$K$61)</f>
        <v>#N/A</v>
      </c>
      <c r="N81" s="652"/>
      <c r="O81" s="652"/>
      <c r="P81" s="560" t="s">
        <v>585</v>
      </c>
      <c r="Q81" s="562" t="s">
        <v>585</v>
      </c>
      <c r="R81" s="562" t="s">
        <v>585</v>
      </c>
      <c r="S81" s="560" t="e">
        <f t="shared" si="52"/>
        <v>#VALUE!</v>
      </c>
      <c r="T81" s="663"/>
      <c r="U81" s="560" t="s">
        <v>585</v>
      </c>
      <c r="V81" s="562" t="s">
        <v>585</v>
      </c>
      <c r="W81" s="562" t="s">
        <v>585</v>
      </c>
      <c r="X81" s="560" t="e">
        <f t="shared" si="54"/>
        <v>#VALUE!</v>
      </c>
      <c r="Y81" s="663"/>
      <c r="Z81" s="560" t="s">
        <v>585</v>
      </c>
      <c r="AA81" s="562" t="s">
        <v>585</v>
      </c>
      <c r="AB81" s="562" t="s">
        <v>585</v>
      </c>
      <c r="AC81" s="560" t="e">
        <f t="shared" si="56"/>
        <v>#VALUE!</v>
      </c>
      <c r="AD81" s="663"/>
      <c r="AE81" s="560" t="s">
        <v>585</v>
      </c>
      <c r="AF81" s="562" t="s">
        <v>585</v>
      </c>
      <c r="AG81" s="562" t="s">
        <v>585</v>
      </c>
      <c r="AH81" s="560" t="e">
        <f t="shared" si="58"/>
        <v>#VALUE!</v>
      </c>
      <c r="AI81" s="663"/>
      <c r="AJ81" s="560" t="s">
        <v>585</v>
      </c>
      <c r="AK81" s="562" t="s">
        <v>585</v>
      </c>
      <c r="AL81" s="562" t="s">
        <v>585</v>
      </c>
      <c r="AM81" s="560" t="e">
        <f t="shared" si="60"/>
        <v>#VALUE!</v>
      </c>
      <c r="AN81" s="663"/>
      <c r="AO81" s="560" t="s">
        <v>585</v>
      </c>
      <c r="AP81" s="562" t="s">
        <v>585</v>
      </c>
      <c r="AQ81" s="562" t="s">
        <v>585</v>
      </c>
      <c r="AR81" s="560" t="e">
        <f t="shared" si="62"/>
        <v>#VALUE!</v>
      </c>
      <c r="AS81" s="663"/>
      <c r="AT81" s="560" t="s">
        <v>585</v>
      </c>
      <c r="AU81" s="562" t="s">
        <v>585</v>
      </c>
      <c r="AV81" s="562" t="s">
        <v>585</v>
      </c>
      <c r="AW81" s="560" t="e">
        <f t="shared" si="64"/>
        <v>#VALUE!</v>
      </c>
      <c r="AX81" s="663"/>
      <c r="AZ81" s="368" t="e">
        <f t="shared" si="66"/>
        <v>#N/A</v>
      </c>
      <c r="BA81" s="663"/>
    </row>
    <row r="82" spans="2:53" ht="15.75">
      <c r="B82" s="664" t="s">
        <v>162</v>
      </c>
      <c r="C82" s="665"/>
      <c r="D82" s="665"/>
      <c r="E82" s="665"/>
      <c r="F82" s="665"/>
      <c r="G82" s="665"/>
      <c r="H82" s="666"/>
      <c r="I82" s="207"/>
      <c r="J82" s="207"/>
      <c r="K82" s="207"/>
      <c r="L82" s="207"/>
      <c r="M82" s="206"/>
      <c r="N82" s="653" t="s">
        <v>156</v>
      </c>
      <c r="O82" s="653" t="s">
        <v>105</v>
      </c>
      <c r="P82" s="659">
        <f>P62+7</f>
        <v>46259</v>
      </c>
      <c r="Q82" s="660"/>
      <c r="R82" s="660"/>
      <c r="S82" s="660"/>
      <c r="T82" s="660"/>
      <c r="U82" s="656">
        <f>P82+1</f>
        <v>46260</v>
      </c>
      <c r="V82" s="657"/>
      <c r="W82" s="657"/>
      <c r="X82" s="657"/>
      <c r="Y82" s="658"/>
      <c r="Z82" s="656">
        <f>U82+1</f>
        <v>46261</v>
      </c>
      <c r="AA82" s="657"/>
      <c r="AB82" s="657"/>
      <c r="AC82" s="657"/>
      <c r="AD82" s="658"/>
      <c r="AE82" s="656">
        <f>Z82+1</f>
        <v>46262</v>
      </c>
      <c r="AF82" s="657"/>
      <c r="AG82" s="657"/>
      <c r="AH82" s="657"/>
      <c r="AI82" s="658"/>
      <c r="AJ82" s="656">
        <f>AE82+1</f>
        <v>46263</v>
      </c>
      <c r="AK82" s="657"/>
      <c r="AL82" s="657"/>
      <c r="AM82" s="657"/>
      <c r="AN82" s="658"/>
      <c r="AO82" s="656">
        <f>AJ82+1</f>
        <v>46264</v>
      </c>
      <c r="AP82" s="657"/>
      <c r="AQ82" s="657"/>
      <c r="AR82" s="657"/>
      <c r="AS82" s="658"/>
      <c r="AT82" s="656">
        <f>AO82+1</f>
        <v>46265</v>
      </c>
      <c r="AU82" s="657"/>
      <c r="AV82" s="657"/>
      <c r="AW82" s="657"/>
      <c r="AX82" s="658"/>
    </row>
    <row r="83" spans="2:53" ht="15.75">
      <c r="B83" s="667"/>
      <c r="C83" s="667"/>
      <c r="D83" s="667"/>
      <c r="E83" s="667"/>
      <c r="F83" s="667"/>
      <c r="G83" s="667"/>
      <c r="H83" s="667"/>
      <c r="I83" s="204"/>
      <c r="J83" s="204"/>
      <c r="K83" s="204"/>
      <c r="L83" s="204"/>
      <c r="M83" s="205"/>
      <c r="N83" s="655"/>
      <c r="O83" s="655"/>
      <c r="P83" s="659" t="s">
        <v>317</v>
      </c>
      <c r="Q83" s="660"/>
      <c r="R83" s="660"/>
      <c r="S83" s="660"/>
      <c r="T83" s="660"/>
      <c r="U83" s="659" t="s">
        <v>318</v>
      </c>
      <c r="V83" s="660"/>
      <c r="W83" s="660"/>
      <c r="X83" s="660"/>
      <c r="Y83" s="660"/>
      <c r="Z83" s="659" t="s">
        <v>319</v>
      </c>
      <c r="AA83" s="660"/>
      <c r="AB83" s="660"/>
      <c r="AC83" s="660"/>
      <c r="AD83" s="660"/>
      <c r="AE83" s="659" t="s">
        <v>320</v>
      </c>
      <c r="AF83" s="660"/>
      <c r="AG83" s="660"/>
      <c r="AH83" s="660"/>
      <c r="AI83" s="660"/>
      <c r="AJ83" s="659" t="s">
        <v>321</v>
      </c>
      <c r="AK83" s="660"/>
      <c r="AL83" s="660"/>
      <c r="AM83" s="660"/>
      <c r="AN83" s="660"/>
      <c r="AO83" s="659" t="s">
        <v>322</v>
      </c>
      <c r="AP83" s="660"/>
      <c r="AQ83" s="660"/>
      <c r="AR83" s="660"/>
      <c r="AS83" s="660"/>
      <c r="AT83" s="659" t="s">
        <v>323</v>
      </c>
      <c r="AU83" s="660"/>
      <c r="AV83" s="660"/>
      <c r="AW83" s="660"/>
      <c r="AX83" s="660"/>
    </row>
    <row r="84" spans="2:53">
      <c r="B84" s="652" t="s">
        <v>407</v>
      </c>
      <c r="C84" s="652" t="s">
        <v>532</v>
      </c>
      <c r="D84" s="652"/>
      <c r="E84" s="652" t="s">
        <v>533</v>
      </c>
      <c r="F84" s="652"/>
      <c r="G84" s="652"/>
      <c r="H84" s="668" t="s">
        <v>534</v>
      </c>
      <c r="I84" s="652" t="s">
        <v>535</v>
      </c>
      <c r="J84" s="652"/>
      <c r="K84" s="652"/>
      <c r="L84" s="668" t="s">
        <v>366</v>
      </c>
      <c r="M84" s="653" t="s">
        <v>536</v>
      </c>
      <c r="N84" s="652"/>
      <c r="O84" s="652" t="s">
        <v>372</v>
      </c>
      <c r="P84" s="649" t="s">
        <v>368</v>
      </c>
      <c r="Q84" s="650"/>
      <c r="R84" s="650"/>
      <c r="S84" s="651"/>
      <c r="T84" s="652" t="s">
        <v>366</v>
      </c>
      <c r="U84" s="649" t="s">
        <v>368</v>
      </c>
      <c r="V84" s="650"/>
      <c r="W84" s="650"/>
      <c r="X84" s="651"/>
      <c r="Y84" s="652" t="s">
        <v>366</v>
      </c>
      <c r="Z84" s="649" t="s">
        <v>368</v>
      </c>
      <c r="AA84" s="650"/>
      <c r="AB84" s="650"/>
      <c r="AC84" s="651"/>
      <c r="AD84" s="652" t="s">
        <v>366</v>
      </c>
      <c r="AE84" s="649" t="s">
        <v>368</v>
      </c>
      <c r="AF84" s="650"/>
      <c r="AG84" s="650"/>
      <c r="AH84" s="651"/>
      <c r="AI84" s="652" t="s">
        <v>366</v>
      </c>
      <c r="AJ84" s="649" t="s">
        <v>368</v>
      </c>
      <c r="AK84" s="650"/>
      <c r="AL84" s="650"/>
      <c r="AM84" s="651"/>
      <c r="AN84" s="652" t="s">
        <v>366</v>
      </c>
      <c r="AO84" s="649" t="s">
        <v>368</v>
      </c>
      <c r="AP84" s="650"/>
      <c r="AQ84" s="650"/>
      <c r="AR84" s="651"/>
      <c r="AS84" s="652" t="s">
        <v>366</v>
      </c>
      <c r="AT84" s="649" t="s">
        <v>368</v>
      </c>
      <c r="AU84" s="650"/>
      <c r="AV84" s="650"/>
      <c r="AW84" s="651"/>
      <c r="AX84" s="652" t="s">
        <v>366</v>
      </c>
      <c r="BA84" s="652" t="s">
        <v>366</v>
      </c>
    </row>
    <row r="85" spans="2:53">
      <c r="B85" s="652"/>
      <c r="C85" s="652"/>
      <c r="D85" s="652"/>
      <c r="E85" s="652" t="s">
        <v>538</v>
      </c>
      <c r="F85" s="652"/>
      <c r="G85" s="652"/>
      <c r="H85" s="669"/>
      <c r="I85" s="652" t="s">
        <v>538</v>
      </c>
      <c r="J85" s="652"/>
      <c r="K85" s="652"/>
      <c r="L85" s="669"/>
      <c r="M85" s="654"/>
      <c r="N85" s="652"/>
      <c r="O85" s="652"/>
      <c r="P85" s="649" t="s">
        <v>374</v>
      </c>
      <c r="Q85" s="650"/>
      <c r="R85" s="650"/>
      <c r="S85" s="651"/>
      <c r="T85" s="652"/>
      <c r="U85" s="649" t="s">
        <v>374</v>
      </c>
      <c r="V85" s="650"/>
      <c r="W85" s="650"/>
      <c r="X85" s="651"/>
      <c r="Y85" s="652"/>
      <c r="Z85" s="649" t="s">
        <v>374</v>
      </c>
      <c r="AA85" s="650"/>
      <c r="AB85" s="650"/>
      <c r="AC85" s="651"/>
      <c r="AD85" s="652"/>
      <c r="AE85" s="649" t="s">
        <v>374</v>
      </c>
      <c r="AF85" s="650"/>
      <c r="AG85" s="650"/>
      <c r="AH85" s="651"/>
      <c r="AI85" s="652"/>
      <c r="AJ85" s="649" t="s">
        <v>374</v>
      </c>
      <c r="AK85" s="650"/>
      <c r="AL85" s="650"/>
      <c r="AM85" s="651"/>
      <c r="AN85" s="652"/>
      <c r="AO85" s="649" t="s">
        <v>374</v>
      </c>
      <c r="AP85" s="650"/>
      <c r="AQ85" s="650"/>
      <c r="AR85" s="651"/>
      <c r="AS85" s="652"/>
      <c r="AT85" s="649" t="s">
        <v>374</v>
      </c>
      <c r="AU85" s="650"/>
      <c r="AV85" s="650"/>
      <c r="AW85" s="651"/>
      <c r="AX85" s="652"/>
      <c r="BA85" s="652"/>
    </row>
    <row r="86" spans="2:53">
      <c r="B86" s="652"/>
      <c r="C86" s="652"/>
      <c r="D86" s="652"/>
      <c r="E86" s="378" t="s">
        <v>539</v>
      </c>
      <c r="F86" s="378" t="s">
        <v>540</v>
      </c>
      <c r="G86" s="378" t="s">
        <v>541</v>
      </c>
      <c r="H86" s="670"/>
      <c r="I86" s="378" t="s">
        <v>539</v>
      </c>
      <c r="J86" s="378" t="s">
        <v>540</v>
      </c>
      <c r="K86" s="378" t="s">
        <v>541</v>
      </c>
      <c r="L86" s="670"/>
      <c r="M86" s="655"/>
      <c r="N86" s="652"/>
      <c r="O86" s="652"/>
      <c r="P86" s="378" t="s">
        <v>375</v>
      </c>
      <c r="Q86" s="378" t="s">
        <v>376</v>
      </c>
      <c r="R86" s="378" t="s">
        <v>377</v>
      </c>
      <c r="S86" s="378" t="s">
        <v>367</v>
      </c>
      <c r="T86" s="652"/>
      <c r="U86" s="378" t="s">
        <v>375</v>
      </c>
      <c r="V86" s="378" t="s">
        <v>376</v>
      </c>
      <c r="W86" s="378" t="s">
        <v>377</v>
      </c>
      <c r="X86" s="378" t="s">
        <v>367</v>
      </c>
      <c r="Y86" s="652"/>
      <c r="Z86" s="378" t="s">
        <v>375</v>
      </c>
      <c r="AA86" s="378" t="s">
        <v>376</v>
      </c>
      <c r="AB86" s="378" t="s">
        <v>377</v>
      </c>
      <c r="AC86" s="378" t="s">
        <v>367</v>
      </c>
      <c r="AD86" s="652"/>
      <c r="AE86" s="378" t="s">
        <v>375</v>
      </c>
      <c r="AF86" s="378" t="s">
        <v>376</v>
      </c>
      <c r="AG86" s="378" t="s">
        <v>377</v>
      </c>
      <c r="AH86" s="378" t="s">
        <v>367</v>
      </c>
      <c r="AI86" s="652"/>
      <c r="AJ86" s="378" t="s">
        <v>375</v>
      </c>
      <c r="AK86" s="378" t="s">
        <v>376</v>
      </c>
      <c r="AL86" s="378" t="s">
        <v>377</v>
      </c>
      <c r="AM86" s="378" t="s">
        <v>367</v>
      </c>
      <c r="AN86" s="652"/>
      <c r="AO86" s="378" t="s">
        <v>375</v>
      </c>
      <c r="AP86" s="378" t="s">
        <v>376</v>
      </c>
      <c r="AQ86" s="378" t="s">
        <v>377</v>
      </c>
      <c r="AR86" s="378" t="s">
        <v>367</v>
      </c>
      <c r="AS86" s="652"/>
      <c r="AT86" s="378" t="s">
        <v>375</v>
      </c>
      <c r="AU86" s="378" t="s">
        <v>376</v>
      </c>
      <c r="AV86" s="378" t="s">
        <v>377</v>
      </c>
      <c r="AW86" s="378" t="s">
        <v>367</v>
      </c>
      <c r="AX86" s="652"/>
      <c r="AZ86" s="367" t="s">
        <v>367</v>
      </c>
      <c r="BA86" s="652"/>
    </row>
    <row r="87" spans="2:53">
      <c r="B87" s="652" t="s">
        <v>421</v>
      </c>
      <c r="C87" s="380">
        <v>1</v>
      </c>
      <c r="D87" s="225" t="s">
        <v>354</v>
      </c>
      <c r="E87" s="516">
        <v>7</v>
      </c>
      <c r="F87" s="513">
        <v>1500</v>
      </c>
      <c r="G87" s="512">
        <v>214.28571428571428</v>
      </c>
      <c r="H87" s="691">
        <f>AVERAGE(G87:G101)</f>
        <v>184.40709617180207</v>
      </c>
      <c r="I87" s="381">
        <f t="shared" ref="I87:I100" si="68">IFERROR(AVERAGE(P87,U87,Z87,AE87,AJ87,AO87,AT87),"-")</f>
        <v>7</v>
      </c>
      <c r="J87" s="381">
        <f t="shared" ref="J87:J100" si="69">IFERROR(AVERAGE(Q87,V87,AA87,AF87,AK87,AP87,AU87),"-")</f>
        <v>1447.4532066389208</v>
      </c>
      <c r="K87" s="199">
        <f t="shared" ref="K87:K100" si="70">IFERROR(AVERAGE(R87,W87,AB87,AG87,AL87,AQ87,AV87),"-")</f>
        <v>206.77902951984584</v>
      </c>
      <c r="L87" s="633">
        <f>IFERROR(AVERAGE(K87:K101),"-")</f>
        <v>164.98762869485964</v>
      </c>
      <c r="M87" s="384">
        <f>RANK(K87, K$87:$K$101)</f>
        <v>4</v>
      </c>
      <c r="N87" s="652"/>
      <c r="O87" s="652"/>
      <c r="P87" s="572">
        <v>7</v>
      </c>
      <c r="Q87" s="510">
        <v>1467.6000000000004</v>
      </c>
      <c r="R87" s="510">
        <v>209.6571428571429</v>
      </c>
      <c r="S87" s="571">
        <f t="shared" ref="S87:S101" si="71">RANK(R87, R$87:R$101)</f>
        <v>3</v>
      </c>
      <c r="T87" s="685">
        <f t="shared" ref="T87" si="72">AVERAGE(R87:R101)</f>
        <v>165.55402763520135</v>
      </c>
      <c r="U87" s="572">
        <v>7</v>
      </c>
      <c r="V87" s="510">
        <v>1461.6000000000004</v>
      </c>
      <c r="W87" s="510">
        <v>208.80000000000004</v>
      </c>
      <c r="X87" s="571">
        <f t="shared" ref="X87:X101" si="73">RANK(W87, W$87:W$101)</f>
        <v>3</v>
      </c>
      <c r="Y87" s="685">
        <f t="shared" ref="Y87" si="74">AVERAGE(W87:W101)</f>
        <v>163.177818828482</v>
      </c>
      <c r="Z87" s="572">
        <v>7</v>
      </c>
      <c r="AA87" s="510">
        <v>1442.7272727272727</v>
      </c>
      <c r="AB87" s="510">
        <v>206.10389610389612</v>
      </c>
      <c r="AC87" s="571">
        <f t="shared" ref="AC87:AC101" si="75">RANK(AB87, AB$87:AB$101)</f>
        <v>4</v>
      </c>
      <c r="AD87" s="685">
        <f t="shared" ref="AD87" si="76">AVERAGE(AB87:AB101)</f>
        <v>165.53285654266278</v>
      </c>
      <c r="AE87" s="572">
        <v>7</v>
      </c>
      <c r="AF87" s="510">
        <v>1459.4594594594582</v>
      </c>
      <c r="AG87" s="510">
        <v>208.49420849420832</v>
      </c>
      <c r="AH87" s="571">
        <f t="shared" ref="AH87:AH101" si="77">RANK(AG87, AG$87:AG$101)</f>
        <v>3</v>
      </c>
      <c r="AI87" s="685">
        <f t="shared" ref="AI87" si="78">AVERAGE(AG87:AG101)</f>
        <v>163.76321278979236</v>
      </c>
      <c r="AJ87" s="572">
        <v>7</v>
      </c>
      <c r="AK87" s="510">
        <v>1446.8571428571431</v>
      </c>
      <c r="AL87" s="510">
        <v>206.69387755102045</v>
      </c>
      <c r="AM87" s="571">
        <f t="shared" ref="AM87:AM101" si="79">RANK(AL87, AL$87:AL$101)</f>
        <v>4</v>
      </c>
      <c r="AN87" s="685">
        <f t="shared" ref="AN87" si="80">AVERAGE(AL87:AL101)</f>
        <v>164.07237808963959</v>
      </c>
      <c r="AO87" s="572">
        <v>7</v>
      </c>
      <c r="AP87" s="510">
        <v>1422.5000000000005</v>
      </c>
      <c r="AQ87" s="510">
        <v>203.21428571428578</v>
      </c>
      <c r="AR87" s="571">
        <f t="shared" ref="AR87:AR101" si="81">RANK(AQ87, AQ$87:AQ$101)</f>
        <v>4</v>
      </c>
      <c r="AS87" s="685">
        <f t="shared" ref="AS87" si="82">AVERAGE(AQ87:AQ101)</f>
        <v>163.35574168049249</v>
      </c>
      <c r="AT87" s="571">
        <v>7</v>
      </c>
      <c r="AU87" s="573">
        <v>1431.4285714285704</v>
      </c>
      <c r="AV87" s="573">
        <v>204.48979591836721</v>
      </c>
      <c r="AW87" s="571">
        <f t="shared" ref="AW87:AW101" si="83">RANK(AV87, AV$87:AV$101)</f>
        <v>5</v>
      </c>
      <c r="AX87" s="685">
        <f t="shared" ref="AX87" si="84">AVERAGE(AV87:AV101)</f>
        <v>169.45736529774678</v>
      </c>
      <c r="AZ87" s="368" t="e">
        <f t="shared" ref="AZ87:AZ101" si="85">RANK(AY87, AY$87:AY$101)</f>
        <v>#N/A</v>
      </c>
      <c r="BA87" s="685" t="e">
        <f t="shared" ref="BA87" si="86">AVERAGE(AY87:AY101)</f>
        <v>#DIV/0!</v>
      </c>
    </row>
    <row r="88" spans="2:53">
      <c r="B88" s="660"/>
      <c r="C88" s="380">
        <v>2</v>
      </c>
      <c r="D88" s="225" t="s">
        <v>355</v>
      </c>
      <c r="E88" s="516">
        <v>7</v>
      </c>
      <c r="F88" s="513">
        <v>1500</v>
      </c>
      <c r="G88" s="512">
        <v>214.28571428571428</v>
      </c>
      <c r="H88" s="692"/>
      <c r="I88" s="381">
        <f t="shared" si="68"/>
        <v>7</v>
      </c>
      <c r="J88" s="381">
        <f t="shared" si="69"/>
        <v>1477.2432537551788</v>
      </c>
      <c r="K88" s="199">
        <f t="shared" si="70"/>
        <v>211.03475053645408</v>
      </c>
      <c r="L88" s="634"/>
      <c r="M88" s="467">
        <f>RANK(K88, K$87:$K$101)</f>
        <v>1</v>
      </c>
      <c r="N88" s="652"/>
      <c r="O88" s="652"/>
      <c r="P88" s="572">
        <v>7</v>
      </c>
      <c r="Q88" s="510">
        <v>1479.1666666666663</v>
      </c>
      <c r="R88" s="510">
        <v>211.30952380952377</v>
      </c>
      <c r="S88" s="571">
        <f t="shared" si="71"/>
        <v>1</v>
      </c>
      <c r="T88" s="685"/>
      <c r="U88" s="572">
        <v>7</v>
      </c>
      <c r="V88" s="510">
        <v>1474.2222222222222</v>
      </c>
      <c r="W88" s="510">
        <v>210.60317460317461</v>
      </c>
      <c r="X88" s="571">
        <f t="shared" si="73"/>
        <v>1</v>
      </c>
      <c r="Y88" s="685"/>
      <c r="Z88" s="572">
        <v>7</v>
      </c>
      <c r="AA88" s="510">
        <v>1482.3255813953485</v>
      </c>
      <c r="AB88" s="510">
        <v>211.76079734219266</v>
      </c>
      <c r="AC88" s="571">
        <f t="shared" si="75"/>
        <v>1</v>
      </c>
      <c r="AD88" s="685"/>
      <c r="AE88" s="572">
        <v>7</v>
      </c>
      <c r="AF88" s="510">
        <v>1472.6213592233009</v>
      </c>
      <c r="AG88" s="510">
        <v>210.37447988904299</v>
      </c>
      <c r="AH88" s="571">
        <f t="shared" si="77"/>
        <v>1</v>
      </c>
      <c r="AI88" s="685"/>
      <c r="AJ88" s="572">
        <v>7</v>
      </c>
      <c r="AK88" s="510">
        <v>1481.7647058823529</v>
      </c>
      <c r="AL88" s="510">
        <v>211.68067226890756</v>
      </c>
      <c r="AM88" s="571">
        <f t="shared" si="79"/>
        <v>1</v>
      </c>
      <c r="AN88" s="685"/>
      <c r="AO88" s="572">
        <v>7</v>
      </c>
      <c r="AP88" s="510">
        <v>1476.1904761904766</v>
      </c>
      <c r="AQ88" s="510">
        <v>210.88435374149665</v>
      </c>
      <c r="AR88" s="571">
        <f t="shared" si="81"/>
        <v>1</v>
      </c>
      <c r="AS88" s="685"/>
      <c r="AT88" s="571">
        <v>7</v>
      </c>
      <c r="AU88" s="573">
        <v>1474.4117647058824</v>
      </c>
      <c r="AV88" s="573">
        <v>210.63025210084035</v>
      </c>
      <c r="AW88" s="571">
        <f t="shared" si="83"/>
        <v>2</v>
      </c>
      <c r="AX88" s="685"/>
      <c r="AZ88" s="368" t="e">
        <f t="shared" si="85"/>
        <v>#N/A</v>
      </c>
      <c r="BA88" s="685"/>
    </row>
    <row r="89" spans="2:53">
      <c r="B89" s="660"/>
      <c r="C89" s="380">
        <v>3</v>
      </c>
      <c r="D89" s="225" t="s">
        <v>356</v>
      </c>
      <c r="E89" s="516">
        <v>17</v>
      </c>
      <c r="F89" s="513">
        <v>1500</v>
      </c>
      <c r="G89" s="512">
        <v>88.235294117647058</v>
      </c>
      <c r="H89" s="692"/>
      <c r="I89" s="381">
        <f t="shared" si="68"/>
        <v>16.714285714285715</v>
      </c>
      <c r="J89" s="381">
        <f t="shared" si="69"/>
        <v>1355.8435570399176</v>
      </c>
      <c r="K89" s="199">
        <f t="shared" si="70"/>
        <v>81.160947504332043</v>
      </c>
      <c r="L89" s="634"/>
      <c r="M89" s="467">
        <f>RANK(K89, K$87:$K$101)</f>
        <v>9</v>
      </c>
      <c r="N89" s="652"/>
      <c r="O89" s="652"/>
      <c r="P89" s="572">
        <v>16</v>
      </c>
      <c r="Q89" s="510">
        <v>1325.1891891891898</v>
      </c>
      <c r="R89" s="510">
        <v>82.824324324324365</v>
      </c>
      <c r="S89" s="571">
        <f t="shared" si="71"/>
        <v>9</v>
      </c>
      <c r="T89" s="685"/>
      <c r="U89" s="572">
        <v>17</v>
      </c>
      <c r="V89" s="510">
        <v>1332.5070422535216</v>
      </c>
      <c r="W89" s="510">
        <v>78.382767191383621</v>
      </c>
      <c r="X89" s="571">
        <f t="shared" si="73"/>
        <v>9</v>
      </c>
      <c r="Y89" s="685"/>
      <c r="Z89" s="572">
        <v>17</v>
      </c>
      <c r="AA89" s="510">
        <v>1359.0361445783128</v>
      </c>
      <c r="AB89" s="510">
        <v>79.943302622253697</v>
      </c>
      <c r="AC89" s="571">
        <f t="shared" si="75"/>
        <v>9</v>
      </c>
      <c r="AD89" s="685"/>
      <c r="AE89" s="572">
        <v>17</v>
      </c>
      <c r="AF89" s="510">
        <v>1363.384615384615</v>
      </c>
      <c r="AG89" s="510">
        <v>80.199095022624419</v>
      </c>
      <c r="AH89" s="571">
        <f t="shared" si="77"/>
        <v>9</v>
      </c>
      <c r="AI89" s="685"/>
      <c r="AJ89" s="572">
        <v>17</v>
      </c>
      <c r="AK89" s="510">
        <v>1401.6393442622946</v>
      </c>
      <c r="AL89" s="510">
        <v>82.449373191899682</v>
      </c>
      <c r="AM89" s="571">
        <f t="shared" si="79"/>
        <v>9</v>
      </c>
      <c r="AN89" s="685"/>
      <c r="AO89" s="572">
        <v>17</v>
      </c>
      <c r="AP89" s="510">
        <v>1358.3720930232557</v>
      </c>
      <c r="AQ89" s="510">
        <v>79.904240766073869</v>
      </c>
      <c r="AR89" s="571">
        <f t="shared" si="81"/>
        <v>9</v>
      </c>
      <c r="AS89" s="685"/>
      <c r="AT89" s="571">
        <v>16</v>
      </c>
      <c r="AU89" s="573">
        <v>1350.7764705882337</v>
      </c>
      <c r="AV89" s="573">
        <v>84.423529411764605</v>
      </c>
      <c r="AW89" s="571">
        <f t="shared" si="83"/>
        <v>9</v>
      </c>
      <c r="AX89" s="685"/>
      <c r="AZ89" s="368" t="e">
        <f t="shared" si="85"/>
        <v>#N/A</v>
      </c>
      <c r="BA89" s="685"/>
    </row>
    <row r="90" spans="2:53">
      <c r="B90" s="660"/>
      <c r="C90" s="380">
        <v>4</v>
      </c>
      <c r="D90" s="225" t="s">
        <v>388</v>
      </c>
      <c r="E90" s="516">
        <v>7</v>
      </c>
      <c r="F90" s="513">
        <v>1500</v>
      </c>
      <c r="G90" s="512">
        <v>214.28571428571428</v>
      </c>
      <c r="H90" s="692"/>
      <c r="I90" s="381">
        <f t="shared" si="68"/>
        <v>7</v>
      </c>
      <c r="J90" s="381">
        <f t="shared" si="69"/>
        <v>1461.1963946398992</v>
      </c>
      <c r="K90" s="199">
        <f t="shared" si="70"/>
        <v>208.74234209141414</v>
      </c>
      <c r="L90" s="634"/>
      <c r="M90" s="467">
        <f>RANK(K90, K$87:$K$101)</f>
        <v>2</v>
      </c>
      <c r="N90" s="652"/>
      <c r="O90" s="652"/>
      <c r="P90" s="572">
        <v>7</v>
      </c>
      <c r="Q90" s="510">
        <v>1453.4693877551026</v>
      </c>
      <c r="R90" s="510">
        <v>207.63848396501467</v>
      </c>
      <c r="S90" s="571">
        <f t="shared" si="71"/>
        <v>5</v>
      </c>
      <c r="T90" s="685"/>
      <c r="U90" s="572">
        <v>7</v>
      </c>
      <c r="V90" s="510">
        <v>1461.7449664429537</v>
      </c>
      <c r="W90" s="510">
        <v>208.82070949185052</v>
      </c>
      <c r="X90" s="571">
        <f t="shared" si="73"/>
        <v>2</v>
      </c>
      <c r="Y90" s="685"/>
      <c r="Z90" s="572">
        <v>7</v>
      </c>
      <c r="AA90" s="510">
        <v>1447.5555555555557</v>
      </c>
      <c r="AB90" s="510">
        <v>206.79365079365081</v>
      </c>
      <c r="AC90" s="571">
        <f t="shared" si="75"/>
        <v>3</v>
      </c>
      <c r="AD90" s="685"/>
      <c r="AE90" s="572">
        <v>7</v>
      </c>
      <c r="AF90" s="510">
        <v>1461.272727272727</v>
      </c>
      <c r="AG90" s="510">
        <v>208.75324675324671</v>
      </c>
      <c r="AH90" s="571">
        <f t="shared" si="77"/>
        <v>2</v>
      </c>
      <c r="AI90" s="685"/>
      <c r="AJ90" s="572">
        <v>7</v>
      </c>
      <c r="AK90" s="510">
        <v>1456.9811320754714</v>
      </c>
      <c r="AL90" s="510">
        <v>208.14016172506734</v>
      </c>
      <c r="AM90" s="571">
        <f t="shared" si="79"/>
        <v>3</v>
      </c>
      <c r="AN90" s="685"/>
      <c r="AO90" s="572">
        <v>7</v>
      </c>
      <c r="AP90" s="510">
        <v>1470</v>
      </c>
      <c r="AQ90" s="510">
        <v>210</v>
      </c>
      <c r="AR90" s="571">
        <f t="shared" si="81"/>
        <v>2</v>
      </c>
      <c r="AS90" s="685"/>
      <c r="AT90" s="571">
        <v>7</v>
      </c>
      <c r="AU90" s="573">
        <v>1477.3509933774833</v>
      </c>
      <c r="AV90" s="573">
        <v>211.05014191106903</v>
      </c>
      <c r="AW90" s="571">
        <f t="shared" si="83"/>
        <v>1</v>
      </c>
      <c r="AX90" s="685"/>
      <c r="AZ90" s="368" t="e">
        <f t="shared" si="85"/>
        <v>#N/A</v>
      </c>
      <c r="BA90" s="685"/>
    </row>
    <row r="91" spans="2:53">
      <c r="B91" s="660"/>
      <c r="C91" s="380">
        <v>5</v>
      </c>
      <c r="D91" s="225" t="s">
        <v>577</v>
      </c>
      <c r="E91" s="516">
        <v>12</v>
      </c>
      <c r="F91" s="513">
        <v>2000</v>
      </c>
      <c r="G91" s="512">
        <v>166.66666666666666</v>
      </c>
      <c r="H91" s="692"/>
      <c r="I91" s="381">
        <f t="shared" si="68"/>
        <v>12.571428571428571</v>
      </c>
      <c r="J91" s="381">
        <f t="shared" si="69"/>
        <v>1615.9093931270206</v>
      </c>
      <c r="K91" s="199">
        <f t="shared" si="70"/>
        <v>127.95960870475581</v>
      </c>
      <c r="L91" s="634"/>
      <c r="M91" s="467">
        <f>RANK(K91, K$87:$K$101)</f>
        <v>6</v>
      </c>
      <c r="N91" s="652"/>
      <c r="O91" s="652"/>
      <c r="P91" s="572">
        <v>12</v>
      </c>
      <c r="Q91" s="510">
        <v>1496.4444444444448</v>
      </c>
      <c r="R91" s="510">
        <v>124.70370370370374</v>
      </c>
      <c r="S91" s="571">
        <f t="shared" si="71"/>
        <v>7</v>
      </c>
      <c r="T91" s="685"/>
      <c r="U91" s="572">
        <v>12</v>
      </c>
      <c r="V91" s="510">
        <v>1506.6835443037976</v>
      </c>
      <c r="W91" s="510">
        <v>125.55696202531647</v>
      </c>
      <c r="X91" s="571">
        <f t="shared" si="73"/>
        <v>6</v>
      </c>
      <c r="Y91" s="685"/>
      <c r="Z91" s="572">
        <v>12</v>
      </c>
      <c r="AA91" s="510">
        <v>1530.0000000000002</v>
      </c>
      <c r="AB91" s="510">
        <v>127.50000000000001</v>
      </c>
      <c r="AC91" s="571">
        <f t="shared" si="75"/>
        <v>6</v>
      </c>
      <c r="AD91" s="685"/>
      <c r="AE91" s="572">
        <v>12</v>
      </c>
      <c r="AF91" s="510">
        <v>1514.1573033707873</v>
      </c>
      <c r="AG91" s="510">
        <v>126.17977528089894</v>
      </c>
      <c r="AH91" s="571">
        <f t="shared" si="77"/>
        <v>7</v>
      </c>
      <c r="AI91" s="685"/>
      <c r="AJ91" s="572">
        <v>12</v>
      </c>
      <c r="AK91" s="510">
        <v>1501.3793103448274</v>
      </c>
      <c r="AL91" s="510">
        <v>125.11494252873563</v>
      </c>
      <c r="AM91" s="571">
        <f t="shared" si="79"/>
        <v>8</v>
      </c>
      <c r="AN91" s="685"/>
      <c r="AO91" s="572">
        <v>12</v>
      </c>
      <c r="AP91" s="510">
        <v>1511.6666666666665</v>
      </c>
      <c r="AQ91" s="510">
        <v>125.97222222222221</v>
      </c>
      <c r="AR91" s="571">
        <f t="shared" si="81"/>
        <v>8</v>
      </c>
      <c r="AS91" s="685"/>
      <c r="AT91" s="571">
        <v>16</v>
      </c>
      <c r="AU91" s="573">
        <v>2251.0344827586205</v>
      </c>
      <c r="AV91" s="573">
        <v>140.68965517241378</v>
      </c>
      <c r="AW91" s="571">
        <f t="shared" si="83"/>
        <v>6</v>
      </c>
      <c r="AX91" s="685"/>
      <c r="AZ91" s="368" t="e">
        <f t="shared" si="85"/>
        <v>#N/A</v>
      </c>
      <c r="BA91" s="685"/>
    </row>
    <row r="92" spans="2:53">
      <c r="B92" s="660"/>
      <c r="C92" s="380">
        <v>6</v>
      </c>
      <c r="D92" s="225" t="s">
        <v>562</v>
      </c>
      <c r="E92" s="516">
        <v>7</v>
      </c>
      <c r="F92" s="513">
        <v>1500</v>
      </c>
      <c r="G92" s="512">
        <v>214.28571428571428</v>
      </c>
      <c r="H92" s="692"/>
      <c r="I92" s="381">
        <f t="shared" si="68"/>
        <v>7</v>
      </c>
      <c r="J92" s="381">
        <f t="shared" si="69"/>
        <v>1456.6906194361802</v>
      </c>
      <c r="K92" s="199">
        <f t="shared" si="70"/>
        <v>208.09865991945438</v>
      </c>
      <c r="L92" s="634"/>
      <c r="M92" s="467">
        <f>RANK(K92, K$87:$K$101)</f>
        <v>3</v>
      </c>
      <c r="N92" s="652"/>
      <c r="O92" s="652"/>
      <c r="P92" s="572">
        <v>7</v>
      </c>
      <c r="Q92" s="510">
        <v>1456.2857142857144</v>
      </c>
      <c r="R92" s="510">
        <v>208.04081632653063</v>
      </c>
      <c r="S92" s="571">
        <f t="shared" si="71"/>
        <v>4</v>
      </c>
      <c r="T92" s="685"/>
      <c r="U92" s="572">
        <v>7</v>
      </c>
      <c r="V92" s="510">
        <v>1434.7826086956522</v>
      </c>
      <c r="W92" s="510">
        <v>204.96894409937889</v>
      </c>
      <c r="X92" s="571">
        <f t="shared" si="73"/>
        <v>4</v>
      </c>
      <c r="Y92" s="685"/>
      <c r="Z92" s="572">
        <v>7</v>
      </c>
      <c r="AA92" s="510">
        <v>1462.9411764705883</v>
      </c>
      <c r="AB92" s="510">
        <v>208.99159663865547</v>
      </c>
      <c r="AC92" s="571">
        <f t="shared" si="75"/>
        <v>2</v>
      </c>
      <c r="AD92" s="685"/>
      <c r="AE92" s="572">
        <v>7</v>
      </c>
      <c r="AF92" s="510">
        <v>1454.4000000000003</v>
      </c>
      <c r="AG92" s="510">
        <v>207.77142857142863</v>
      </c>
      <c r="AH92" s="571">
        <f t="shared" si="77"/>
        <v>4</v>
      </c>
      <c r="AI92" s="685"/>
      <c r="AJ92" s="572">
        <v>7</v>
      </c>
      <c r="AK92" s="510">
        <v>1461.3333333333333</v>
      </c>
      <c r="AL92" s="510">
        <v>208.76190476190476</v>
      </c>
      <c r="AM92" s="571">
        <f t="shared" si="79"/>
        <v>2</v>
      </c>
      <c r="AN92" s="685"/>
      <c r="AO92" s="572">
        <v>7</v>
      </c>
      <c r="AP92" s="510">
        <v>1454.4444444444441</v>
      </c>
      <c r="AQ92" s="510">
        <v>207.77777777777774</v>
      </c>
      <c r="AR92" s="571">
        <f t="shared" si="81"/>
        <v>3</v>
      </c>
      <c r="AS92" s="685"/>
      <c r="AT92" s="571">
        <v>7</v>
      </c>
      <c r="AU92" s="573">
        <v>1472.6470588235304</v>
      </c>
      <c r="AV92" s="573">
        <v>210.37815126050435</v>
      </c>
      <c r="AW92" s="571">
        <f t="shared" si="83"/>
        <v>3</v>
      </c>
      <c r="AX92" s="685"/>
      <c r="AZ92" s="368" t="e">
        <f t="shared" si="85"/>
        <v>#N/A</v>
      </c>
      <c r="BA92" s="685"/>
    </row>
    <row r="93" spans="2:53">
      <c r="B93" s="660"/>
      <c r="C93" s="380">
        <v>7</v>
      </c>
      <c r="D93" s="225" t="s">
        <v>605</v>
      </c>
      <c r="E93" s="516">
        <v>12</v>
      </c>
      <c r="F93" s="513">
        <v>2000</v>
      </c>
      <c r="G93" s="512">
        <v>166.66666666666666</v>
      </c>
      <c r="H93" s="692"/>
      <c r="I93" s="381">
        <f t="shared" si="68"/>
        <v>12</v>
      </c>
      <c r="J93" s="381">
        <f t="shared" si="69"/>
        <v>1504.8967812940334</v>
      </c>
      <c r="K93" s="199">
        <f t="shared" si="70"/>
        <v>125.40806510783611</v>
      </c>
      <c r="L93" s="634"/>
      <c r="M93" s="467">
        <f>RANK(K93, K$87:$K$101)</f>
        <v>7</v>
      </c>
      <c r="N93" s="652"/>
      <c r="O93" s="652"/>
      <c r="P93" s="572">
        <v>12</v>
      </c>
      <c r="Q93" s="510">
        <v>1523.5573770491799</v>
      </c>
      <c r="R93" s="510">
        <v>126.96311475409833</v>
      </c>
      <c r="S93" s="571">
        <f t="shared" si="71"/>
        <v>6</v>
      </c>
      <c r="T93" s="685"/>
      <c r="U93" s="572">
        <v>12</v>
      </c>
      <c r="V93" s="510">
        <v>1475.9062499999995</v>
      </c>
      <c r="W93" s="510">
        <v>122.99218749999996</v>
      </c>
      <c r="X93" s="571">
        <f t="shared" si="73"/>
        <v>7</v>
      </c>
      <c r="Y93" s="685"/>
      <c r="Z93" s="572">
        <v>12</v>
      </c>
      <c r="AA93" s="510">
        <v>1503.1914893617022</v>
      </c>
      <c r="AB93" s="510">
        <v>125.26595744680851</v>
      </c>
      <c r="AC93" s="571">
        <f t="shared" si="75"/>
        <v>7</v>
      </c>
      <c r="AD93" s="685"/>
      <c r="AE93" s="572">
        <v>12</v>
      </c>
      <c r="AF93" s="510">
        <v>1483.6363636363635</v>
      </c>
      <c r="AG93" s="510">
        <v>123.63636363636363</v>
      </c>
      <c r="AH93" s="571">
        <f t="shared" si="77"/>
        <v>8</v>
      </c>
      <c r="AI93" s="685"/>
      <c r="AJ93" s="572">
        <v>12</v>
      </c>
      <c r="AK93" s="510">
        <v>1524.3749999999995</v>
      </c>
      <c r="AL93" s="510">
        <v>127.03124999999996</v>
      </c>
      <c r="AM93" s="571">
        <f t="shared" si="79"/>
        <v>6</v>
      </c>
      <c r="AN93" s="685"/>
      <c r="AO93" s="572">
        <v>12</v>
      </c>
      <c r="AP93" s="510">
        <v>1529.0109890109889</v>
      </c>
      <c r="AQ93" s="510">
        <v>127.41758241758241</v>
      </c>
      <c r="AR93" s="571">
        <f t="shared" si="81"/>
        <v>7</v>
      </c>
      <c r="AS93" s="685"/>
      <c r="AT93" s="571">
        <v>12</v>
      </c>
      <c r="AU93" s="573">
        <v>1494.6</v>
      </c>
      <c r="AV93" s="573">
        <v>124.55</v>
      </c>
      <c r="AW93" s="571">
        <f t="shared" si="83"/>
        <v>8</v>
      </c>
      <c r="AX93" s="685"/>
      <c r="AZ93" s="368" t="e">
        <f t="shared" si="85"/>
        <v>#N/A</v>
      </c>
      <c r="BA93" s="685"/>
    </row>
    <row r="94" spans="2:53">
      <c r="B94" s="660"/>
      <c r="C94" s="380">
        <v>8</v>
      </c>
      <c r="D94" s="225" t="s">
        <v>606</v>
      </c>
      <c r="E94" s="516">
        <v>12</v>
      </c>
      <c r="F94" s="513">
        <v>2000</v>
      </c>
      <c r="G94" s="512">
        <v>166.66666666666666</v>
      </c>
      <c r="H94" s="692"/>
      <c r="I94" s="381">
        <f t="shared" si="68"/>
        <v>10.857142857142858</v>
      </c>
      <c r="J94" s="381">
        <f t="shared" si="69"/>
        <v>1313.3185905941318</v>
      </c>
      <c r="K94" s="199">
        <f t="shared" si="70"/>
        <v>121.80596098088351</v>
      </c>
      <c r="L94" s="634"/>
      <c r="M94" s="467">
        <f>RANK(K94, K$87:$K$101)</f>
        <v>8</v>
      </c>
      <c r="N94" s="652"/>
      <c r="O94" s="652"/>
      <c r="P94" s="572">
        <v>12</v>
      </c>
      <c r="Q94" s="510">
        <v>1297.8947368421043</v>
      </c>
      <c r="R94" s="510">
        <v>108.15789473684202</v>
      </c>
      <c r="S94" s="571">
        <f t="shared" si="71"/>
        <v>8</v>
      </c>
      <c r="T94" s="685"/>
      <c r="U94" s="572">
        <v>12</v>
      </c>
      <c r="V94" s="510">
        <v>1266.3157894736833</v>
      </c>
      <c r="W94" s="510">
        <v>105.5263157894736</v>
      </c>
      <c r="X94" s="571">
        <f t="shared" si="73"/>
        <v>8</v>
      </c>
      <c r="Y94" s="685"/>
      <c r="Z94" s="572">
        <v>12</v>
      </c>
      <c r="AA94" s="510">
        <v>1436.6666666666656</v>
      </c>
      <c r="AB94" s="510">
        <v>119.72222222222213</v>
      </c>
      <c r="AC94" s="571">
        <f t="shared" si="75"/>
        <v>8</v>
      </c>
      <c r="AD94" s="685"/>
      <c r="AE94" s="572">
        <v>10</v>
      </c>
      <c r="AF94" s="510">
        <v>1310.0000000000005</v>
      </c>
      <c r="AG94" s="510">
        <v>131.00000000000006</v>
      </c>
      <c r="AH94" s="571">
        <f t="shared" si="77"/>
        <v>6</v>
      </c>
      <c r="AI94" s="685"/>
      <c r="AJ94" s="572">
        <v>10</v>
      </c>
      <c r="AK94" s="510">
        <v>1260</v>
      </c>
      <c r="AL94" s="510">
        <v>126</v>
      </c>
      <c r="AM94" s="571">
        <f t="shared" si="79"/>
        <v>7</v>
      </c>
      <c r="AN94" s="685"/>
      <c r="AO94" s="572">
        <v>10</v>
      </c>
      <c r="AP94" s="510">
        <v>1302.3529411764689</v>
      </c>
      <c r="AQ94" s="510">
        <v>130.2352941176469</v>
      </c>
      <c r="AR94" s="571">
        <f t="shared" si="81"/>
        <v>6</v>
      </c>
      <c r="AS94" s="685"/>
      <c r="AT94" s="571">
        <v>10</v>
      </c>
      <c r="AU94" s="573">
        <v>1319.9999999999995</v>
      </c>
      <c r="AV94" s="573">
        <v>131.99999999999994</v>
      </c>
      <c r="AW94" s="571">
        <f t="shared" si="83"/>
        <v>7</v>
      </c>
      <c r="AX94" s="685"/>
      <c r="AZ94" s="368" t="e">
        <f t="shared" si="85"/>
        <v>#N/A</v>
      </c>
      <c r="BA94" s="685"/>
    </row>
    <row r="95" spans="2:53">
      <c r="B95" s="660"/>
      <c r="C95" s="380">
        <v>9</v>
      </c>
      <c r="D95" s="225" t="s">
        <v>621</v>
      </c>
      <c r="E95" s="516">
        <v>7</v>
      </c>
      <c r="F95" s="513">
        <v>1500</v>
      </c>
      <c r="G95" s="512">
        <v>214.28571428571428</v>
      </c>
      <c r="H95" s="692"/>
      <c r="I95" s="381">
        <f t="shared" si="68"/>
        <v>7</v>
      </c>
      <c r="J95" s="381">
        <f t="shared" si="69"/>
        <v>1357.2950572213242</v>
      </c>
      <c r="K95" s="199">
        <f t="shared" si="70"/>
        <v>193.89929388876061</v>
      </c>
      <c r="L95" s="634"/>
      <c r="M95" s="467">
        <f>RANK(K95, K$87:$K$101)</f>
        <v>5</v>
      </c>
      <c r="N95" s="652"/>
      <c r="O95" s="652"/>
      <c r="P95" s="572">
        <v>7</v>
      </c>
      <c r="Q95" s="510">
        <v>1474.8387096774206</v>
      </c>
      <c r="R95" s="510">
        <v>210.69124423963152</v>
      </c>
      <c r="S95" s="571">
        <f t="shared" si="71"/>
        <v>2</v>
      </c>
      <c r="T95" s="685"/>
      <c r="U95" s="572">
        <v>7</v>
      </c>
      <c r="V95" s="510">
        <v>1420.645161290322</v>
      </c>
      <c r="W95" s="510">
        <v>202.94930875576028</v>
      </c>
      <c r="X95" s="571">
        <f t="shared" si="73"/>
        <v>5</v>
      </c>
      <c r="Y95" s="685"/>
      <c r="Z95" s="572">
        <v>7</v>
      </c>
      <c r="AA95" s="510">
        <v>1425.9999999999993</v>
      </c>
      <c r="AB95" s="510">
        <v>203.71428571428561</v>
      </c>
      <c r="AC95" s="571">
        <f t="shared" si="75"/>
        <v>5</v>
      </c>
      <c r="AD95" s="685"/>
      <c r="AE95" s="572">
        <v>7</v>
      </c>
      <c r="AF95" s="510">
        <v>1242.2222222222229</v>
      </c>
      <c r="AG95" s="510">
        <v>177.46031746031755</v>
      </c>
      <c r="AH95" s="571">
        <f t="shared" si="77"/>
        <v>5</v>
      </c>
      <c r="AI95" s="685"/>
      <c r="AJ95" s="572">
        <v>7</v>
      </c>
      <c r="AK95" s="510">
        <v>1265.4545454545455</v>
      </c>
      <c r="AL95" s="510">
        <v>180.77922077922079</v>
      </c>
      <c r="AM95" s="571">
        <f t="shared" si="79"/>
        <v>5</v>
      </c>
      <c r="AN95" s="685"/>
      <c r="AO95" s="572">
        <v>7</v>
      </c>
      <c r="AP95" s="510">
        <v>1223.5714285714278</v>
      </c>
      <c r="AQ95" s="510">
        <v>174.79591836734681</v>
      </c>
      <c r="AR95" s="571">
        <f t="shared" si="81"/>
        <v>5</v>
      </c>
      <c r="AS95" s="685"/>
      <c r="AT95" s="571">
        <v>7</v>
      </c>
      <c r="AU95" s="573">
        <v>1448.3333333333323</v>
      </c>
      <c r="AV95" s="573">
        <v>206.90476190476176</v>
      </c>
      <c r="AW95" s="571">
        <f t="shared" si="83"/>
        <v>4</v>
      </c>
      <c r="AX95" s="685"/>
      <c r="AZ95" s="368" t="e">
        <f t="shared" si="85"/>
        <v>#N/A</v>
      </c>
      <c r="BA95" s="685"/>
    </row>
    <row r="96" spans="2:53">
      <c r="B96" s="660"/>
      <c r="C96" s="380">
        <v>10</v>
      </c>
      <c r="D96" s="225"/>
      <c r="E96" s="516"/>
      <c r="F96" s="513"/>
      <c r="G96" s="512"/>
      <c r="H96" s="692"/>
      <c r="I96" s="381" t="str">
        <f t="shared" si="68"/>
        <v>-</v>
      </c>
      <c r="J96" s="381" t="str">
        <f t="shared" si="69"/>
        <v>-</v>
      </c>
      <c r="K96" s="199" t="str">
        <f t="shared" si="70"/>
        <v>-</v>
      </c>
      <c r="L96" s="634"/>
      <c r="M96" s="467" t="e">
        <f>RANK(K96, K$87:$K$101)</f>
        <v>#VALUE!</v>
      </c>
      <c r="N96" s="652"/>
      <c r="O96" s="652"/>
      <c r="P96" s="572" t="s">
        <v>585</v>
      </c>
      <c r="Q96" s="510" t="s">
        <v>585</v>
      </c>
      <c r="R96" s="510" t="s">
        <v>585</v>
      </c>
      <c r="S96" s="571" t="e">
        <f t="shared" si="71"/>
        <v>#VALUE!</v>
      </c>
      <c r="T96" s="685"/>
      <c r="U96" s="572" t="s">
        <v>585</v>
      </c>
      <c r="V96" s="510" t="s">
        <v>585</v>
      </c>
      <c r="W96" s="510" t="s">
        <v>585</v>
      </c>
      <c r="X96" s="571" t="e">
        <f t="shared" si="73"/>
        <v>#VALUE!</v>
      </c>
      <c r="Y96" s="685"/>
      <c r="Z96" s="572" t="s">
        <v>585</v>
      </c>
      <c r="AA96" s="510" t="s">
        <v>585</v>
      </c>
      <c r="AB96" s="510" t="s">
        <v>585</v>
      </c>
      <c r="AC96" s="571" t="e">
        <f t="shared" si="75"/>
        <v>#VALUE!</v>
      </c>
      <c r="AD96" s="685"/>
      <c r="AE96" s="572" t="s">
        <v>585</v>
      </c>
      <c r="AF96" s="510" t="s">
        <v>585</v>
      </c>
      <c r="AG96" s="510" t="s">
        <v>585</v>
      </c>
      <c r="AH96" s="571" t="e">
        <f t="shared" si="77"/>
        <v>#VALUE!</v>
      </c>
      <c r="AI96" s="685"/>
      <c r="AJ96" s="572" t="s">
        <v>585</v>
      </c>
      <c r="AK96" s="510" t="s">
        <v>585</v>
      </c>
      <c r="AL96" s="510" t="s">
        <v>585</v>
      </c>
      <c r="AM96" s="571" t="e">
        <f t="shared" si="79"/>
        <v>#VALUE!</v>
      </c>
      <c r="AN96" s="685"/>
      <c r="AO96" s="572" t="s">
        <v>585</v>
      </c>
      <c r="AP96" s="510" t="s">
        <v>585</v>
      </c>
      <c r="AQ96" s="510" t="s">
        <v>585</v>
      </c>
      <c r="AR96" s="571" t="e">
        <f t="shared" si="81"/>
        <v>#VALUE!</v>
      </c>
      <c r="AS96" s="685"/>
      <c r="AT96" s="571" t="s">
        <v>585</v>
      </c>
      <c r="AU96" s="573" t="s">
        <v>585</v>
      </c>
      <c r="AV96" s="573" t="s">
        <v>585</v>
      </c>
      <c r="AW96" s="571" t="e">
        <f t="shared" si="83"/>
        <v>#VALUE!</v>
      </c>
      <c r="AX96" s="685"/>
      <c r="AZ96" s="368" t="e">
        <f t="shared" si="85"/>
        <v>#N/A</v>
      </c>
      <c r="BA96" s="685"/>
    </row>
    <row r="97" spans="2:53">
      <c r="B97" s="660"/>
      <c r="C97" s="380">
        <v>11</v>
      </c>
      <c r="D97" s="225"/>
      <c r="E97" s="516"/>
      <c r="F97" s="513"/>
      <c r="G97" s="512"/>
      <c r="H97" s="692"/>
      <c r="I97" s="381" t="str">
        <f t="shared" si="68"/>
        <v>-</v>
      </c>
      <c r="J97" s="381" t="str">
        <f t="shared" si="69"/>
        <v>-</v>
      </c>
      <c r="K97" s="199" t="str">
        <f t="shared" si="70"/>
        <v>-</v>
      </c>
      <c r="L97" s="634"/>
      <c r="M97" s="467" t="e">
        <f>RANK(K97, K$87:$K$101)</f>
        <v>#VALUE!</v>
      </c>
      <c r="N97" s="652"/>
      <c r="O97" s="652"/>
      <c r="P97" s="572" t="s">
        <v>585</v>
      </c>
      <c r="Q97" s="510" t="s">
        <v>585</v>
      </c>
      <c r="R97" s="510" t="s">
        <v>585</v>
      </c>
      <c r="S97" s="571" t="e">
        <f t="shared" si="71"/>
        <v>#VALUE!</v>
      </c>
      <c r="T97" s="685"/>
      <c r="U97" s="572" t="s">
        <v>585</v>
      </c>
      <c r="V97" s="510" t="s">
        <v>585</v>
      </c>
      <c r="W97" s="510" t="s">
        <v>585</v>
      </c>
      <c r="X97" s="571" t="e">
        <f t="shared" si="73"/>
        <v>#VALUE!</v>
      </c>
      <c r="Y97" s="685"/>
      <c r="Z97" s="572" t="s">
        <v>585</v>
      </c>
      <c r="AA97" s="510" t="s">
        <v>585</v>
      </c>
      <c r="AB97" s="510" t="s">
        <v>585</v>
      </c>
      <c r="AC97" s="571" t="e">
        <f t="shared" si="75"/>
        <v>#VALUE!</v>
      </c>
      <c r="AD97" s="685"/>
      <c r="AE97" s="572" t="s">
        <v>585</v>
      </c>
      <c r="AF97" s="510" t="s">
        <v>585</v>
      </c>
      <c r="AG97" s="510" t="s">
        <v>585</v>
      </c>
      <c r="AH97" s="571" t="e">
        <f t="shared" si="77"/>
        <v>#VALUE!</v>
      </c>
      <c r="AI97" s="685"/>
      <c r="AJ97" s="572" t="s">
        <v>585</v>
      </c>
      <c r="AK97" s="510" t="s">
        <v>585</v>
      </c>
      <c r="AL97" s="510" t="s">
        <v>585</v>
      </c>
      <c r="AM97" s="571" t="e">
        <f t="shared" si="79"/>
        <v>#VALUE!</v>
      </c>
      <c r="AN97" s="685"/>
      <c r="AO97" s="572" t="s">
        <v>585</v>
      </c>
      <c r="AP97" s="510" t="s">
        <v>585</v>
      </c>
      <c r="AQ97" s="510" t="s">
        <v>585</v>
      </c>
      <c r="AR97" s="571" t="e">
        <f t="shared" si="81"/>
        <v>#VALUE!</v>
      </c>
      <c r="AS97" s="685"/>
      <c r="AT97" s="571" t="s">
        <v>585</v>
      </c>
      <c r="AU97" s="573" t="s">
        <v>585</v>
      </c>
      <c r="AV97" s="573" t="s">
        <v>585</v>
      </c>
      <c r="AW97" s="571" t="e">
        <f t="shared" si="83"/>
        <v>#VALUE!</v>
      </c>
      <c r="AX97" s="685"/>
      <c r="AZ97" s="368" t="e">
        <f t="shared" si="85"/>
        <v>#N/A</v>
      </c>
      <c r="BA97" s="685"/>
    </row>
    <row r="98" spans="2:53">
      <c r="B98" s="660"/>
      <c r="C98" s="380">
        <v>12</v>
      </c>
      <c r="D98" s="225"/>
      <c r="E98" s="516"/>
      <c r="F98" s="513"/>
      <c r="G98" s="512"/>
      <c r="H98" s="692"/>
      <c r="I98" s="381" t="str">
        <f t="shared" si="68"/>
        <v>-</v>
      </c>
      <c r="J98" s="381" t="str">
        <f t="shared" si="69"/>
        <v>-</v>
      </c>
      <c r="K98" s="199" t="str">
        <f t="shared" si="70"/>
        <v>-</v>
      </c>
      <c r="L98" s="634"/>
      <c r="M98" s="467" t="e">
        <f>RANK(K98, K$87:$K$101)</f>
        <v>#VALUE!</v>
      </c>
      <c r="N98" s="652"/>
      <c r="O98" s="652"/>
      <c r="P98" s="572" t="s">
        <v>585</v>
      </c>
      <c r="Q98" s="510" t="s">
        <v>585</v>
      </c>
      <c r="R98" s="510" t="s">
        <v>585</v>
      </c>
      <c r="S98" s="571" t="e">
        <f t="shared" si="71"/>
        <v>#VALUE!</v>
      </c>
      <c r="T98" s="685"/>
      <c r="U98" s="572" t="s">
        <v>585</v>
      </c>
      <c r="V98" s="510" t="s">
        <v>585</v>
      </c>
      <c r="W98" s="510" t="s">
        <v>585</v>
      </c>
      <c r="X98" s="571" t="e">
        <f t="shared" si="73"/>
        <v>#VALUE!</v>
      </c>
      <c r="Y98" s="685"/>
      <c r="Z98" s="572" t="s">
        <v>585</v>
      </c>
      <c r="AA98" s="510" t="s">
        <v>585</v>
      </c>
      <c r="AB98" s="510" t="s">
        <v>585</v>
      </c>
      <c r="AC98" s="571" t="e">
        <f t="shared" si="75"/>
        <v>#VALUE!</v>
      </c>
      <c r="AD98" s="685"/>
      <c r="AE98" s="572" t="s">
        <v>585</v>
      </c>
      <c r="AF98" s="510" t="s">
        <v>585</v>
      </c>
      <c r="AG98" s="510" t="s">
        <v>585</v>
      </c>
      <c r="AH98" s="571" t="e">
        <f t="shared" si="77"/>
        <v>#VALUE!</v>
      </c>
      <c r="AI98" s="685"/>
      <c r="AJ98" s="572" t="s">
        <v>585</v>
      </c>
      <c r="AK98" s="510" t="s">
        <v>585</v>
      </c>
      <c r="AL98" s="510" t="s">
        <v>585</v>
      </c>
      <c r="AM98" s="571" t="e">
        <f t="shared" si="79"/>
        <v>#VALUE!</v>
      </c>
      <c r="AN98" s="685"/>
      <c r="AO98" s="572" t="s">
        <v>585</v>
      </c>
      <c r="AP98" s="510" t="s">
        <v>585</v>
      </c>
      <c r="AQ98" s="510" t="s">
        <v>585</v>
      </c>
      <c r="AR98" s="571" t="e">
        <f t="shared" si="81"/>
        <v>#VALUE!</v>
      </c>
      <c r="AS98" s="685"/>
      <c r="AT98" s="571" t="s">
        <v>585</v>
      </c>
      <c r="AU98" s="573" t="s">
        <v>585</v>
      </c>
      <c r="AV98" s="573" t="s">
        <v>585</v>
      </c>
      <c r="AW98" s="571" t="e">
        <f t="shared" si="83"/>
        <v>#VALUE!</v>
      </c>
      <c r="AX98" s="685"/>
      <c r="AZ98" s="368" t="e">
        <f t="shared" si="85"/>
        <v>#N/A</v>
      </c>
      <c r="BA98" s="685"/>
    </row>
    <row r="99" spans="2:53">
      <c r="B99" s="660"/>
      <c r="C99" s="380">
        <v>13</v>
      </c>
      <c r="D99" s="225"/>
      <c r="E99" s="516"/>
      <c r="F99" s="513"/>
      <c r="G99" s="512"/>
      <c r="H99" s="692"/>
      <c r="I99" s="381" t="str">
        <f t="shared" si="68"/>
        <v>-</v>
      </c>
      <c r="J99" s="381" t="str">
        <f t="shared" si="69"/>
        <v>-</v>
      </c>
      <c r="K99" s="199" t="str">
        <f t="shared" si="70"/>
        <v>-</v>
      </c>
      <c r="L99" s="634"/>
      <c r="M99" s="467" t="e">
        <f>RANK(K99, K$87:$K$101)</f>
        <v>#VALUE!</v>
      </c>
      <c r="N99" s="652"/>
      <c r="O99" s="652"/>
      <c r="P99" s="572" t="s">
        <v>585</v>
      </c>
      <c r="Q99" s="510" t="s">
        <v>585</v>
      </c>
      <c r="R99" s="510" t="s">
        <v>585</v>
      </c>
      <c r="S99" s="571" t="e">
        <f t="shared" si="71"/>
        <v>#VALUE!</v>
      </c>
      <c r="T99" s="685"/>
      <c r="U99" s="572" t="s">
        <v>585</v>
      </c>
      <c r="V99" s="510" t="s">
        <v>585</v>
      </c>
      <c r="W99" s="510" t="s">
        <v>585</v>
      </c>
      <c r="X99" s="571" t="e">
        <f t="shared" si="73"/>
        <v>#VALUE!</v>
      </c>
      <c r="Y99" s="685"/>
      <c r="Z99" s="572" t="s">
        <v>585</v>
      </c>
      <c r="AA99" s="510" t="s">
        <v>585</v>
      </c>
      <c r="AB99" s="510" t="s">
        <v>585</v>
      </c>
      <c r="AC99" s="571" t="e">
        <f t="shared" si="75"/>
        <v>#VALUE!</v>
      </c>
      <c r="AD99" s="685"/>
      <c r="AE99" s="572" t="s">
        <v>585</v>
      </c>
      <c r="AF99" s="510" t="s">
        <v>585</v>
      </c>
      <c r="AG99" s="510" t="s">
        <v>585</v>
      </c>
      <c r="AH99" s="571" t="e">
        <f t="shared" si="77"/>
        <v>#VALUE!</v>
      </c>
      <c r="AI99" s="685"/>
      <c r="AJ99" s="572" t="s">
        <v>585</v>
      </c>
      <c r="AK99" s="510" t="s">
        <v>585</v>
      </c>
      <c r="AL99" s="510" t="s">
        <v>585</v>
      </c>
      <c r="AM99" s="571" t="e">
        <f t="shared" si="79"/>
        <v>#VALUE!</v>
      </c>
      <c r="AN99" s="685"/>
      <c r="AO99" s="572" t="s">
        <v>585</v>
      </c>
      <c r="AP99" s="510" t="s">
        <v>585</v>
      </c>
      <c r="AQ99" s="510" t="s">
        <v>585</v>
      </c>
      <c r="AR99" s="571" t="e">
        <f t="shared" si="81"/>
        <v>#VALUE!</v>
      </c>
      <c r="AS99" s="685"/>
      <c r="AT99" s="571" t="s">
        <v>585</v>
      </c>
      <c r="AU99" s="573" t="s">
        <v>585</v>
      </c>
      <c r="AV99" s="573" t="s">
        <v>585</v>
      </c>
      <c r="AW99" s="571" t="e">
        <f t="shared" si="83"/>
        <v>#VALUE!</v>
      </c>
      <c r="AX99" s="685"/>
      <c r="AZ99" s="368" t="e">
        <f t="shared" si="85"/>
        <v>#N/A</v>
      </c>
      <c r="BA99" s="685"/>
    </row>
    <row r="100" spans="2:53">
      <c r="B100" s="660"/>
      <c r="C100" s="380">
        <v>14</v>
      </c>
      <c r="D100" s="225"/>
      <c r="E100" s="516"/>
      <c r="F100" s="513"/>
      <c r="G100" s="512"/>
      <c r="H100" s="692"/>
      <c r="I100" s="381" t="str">
        <f t="shared" si="68"/>
        <v>-</v>
      </c>
      <c r="J100" s="381" t="str">
        <f t="shared" si="69"/>
        <v>-</v>
      </c>
      <c r="K100" s="199" t="str">
        <f t="shared" si="70"/>
        <v>-</v>
      </c>
      <c r="L100" s="634"/>
      <c r="M100" s="467" t="e">
        <f>RANK(K100, K$87:$K$101)</f>
        <v>#VALUE!</v>
      </c>
      <c r="N100" s="652"/>
      <c r="O100" s="652"/>
      <c r="P100" s="572" t="s">
        <v>585</v>
      </c>
      <c r="Q100" s="510" t="s">
        <v>585</v>
      </c>
      <c r="R100" s="510" t="s">
        <v>585</v>
      </c>
      <c r="S100" s="571" t="e">
        <f t="shared" si="71"/>
        <v>#VALUE!</v>
      </c>
      <c r="T100" s="685"/>
      <c r="U100" s="572" t="s">
        <v>585</v>
      </c>
      <c r="V100" s="510" t="s">
        <v>585</v>
      </c>
      <c r="W100" s="510" t="s">
        <v>585</v>
      </c>
      <c r="X100" s="571" t="e">
        <f t="shared" si="73"/>
        <v>#VALUE!</v>
      </c>
      <c r="Y100" s="685"/>
      <c r="Z100" s="572" t="s">
        <v>585</v>
      </c>
      <c r="AA100" s="510" t="s">
        <v>585</v>
      </c>
      <c r="AB100" s="510" t="s">
        <v>585</v>
      </c>
      <c r="AC100" s="571" t="e">
        <f t="shared" si="75"/>
        <v>#VALUE!</v>
      </c>
      <c r="AD100" s="685"/>
      <c r="AE100" s="572" t="s">
        <v>585</v>
      </c>
      <c r="AF100" s="510" t="s">
        <v>585</v>
      </c>
      <c r="AG100" s="510" t="s">
        <v>585</v>
      </c>
      <c r="AH100" s="571" t="e">
        <f t="shared" si="77"/>
        <v>#VALUE!</v>
      </c>
      <c r="AI100" s="685"/>
      <c r="AJ100" s="572" t="s">
        <v>585</v>
      </c>
      <c r="AK100" s="510" t="s">
        <v>585</v>
      </c>
      <c r="AL100" s="510" t="s">
        <v>585</v>
      </c>
      <c r="AM100" s="571" t="e">
        <f t="shared" si="79"/>
        <v>#VALUE!</v>
      </c>
      <c r="AN100" s="685"/>
      <c r="AO100" s="572" t="s">
        <v>585</v>
      </c>
      <c r="AP100" s="510" t="s">
        <v>585</v>
      </c>
      <c r="AQ100" s="510" t="s">
        <v>585</v>
      </c>
      <c r="AR100" s="571" t="e">
        <f t="shared" si="81"/>
        <v>#VALUE!</v>
      </c>
      <c r="AS100" s="685"/>
      <c r="AT100" s="571" t="s">
        <v>585</v>
      </c>
      <c r="AU100" s="573" t="s">
        <v>585</v>
      </c>
      <c r="AV100" s="573" t="s">
        <v>585</v>
      </c>
      <c r="AW100" s="571" t="e">
        <f t="shared" si="83"/>
        <v>#VALUE!</v>
      </c>
      <c r="AX100" s="685"/>
      <c r="AZ100" s="368" t="e">
        <f t="shared" si="85"/>
        <v>#N/A</v>
      </c>
      <c r="BA100" s="685"/>
    </row>
    <row r="101" spans="2:53">
      <c r="B101" s="660"/>
      <c r="C101" s="380">
        <v>15</v>
      </c>
      <c r="D101" s="225"/>
      <c r="E101" s="516"/>
      <c r="F101" s="513"/>
      <c r="G101" s="512"/>
      <c r="H101" s="696"/>
      <c r="I101" s="380"/>
      <c r="J101" s="380"/>
      <c r="K101" s="380"/>
      <c r="L101" s="635"/>
      <c r="M101" s="467" t="e">
        <f>RANK(K101, K$87:$K$101)</f>
        <v>#N/A</v>
      </c>
      <c r="N101" s="652"/>
      <c r="O101" s="652"/>
      <c r="P101" s="572" t="s">
        <v>585</v>
      </c>
      <c r="Q101" s="510" t="s">
        <v>585</v>
      </c>
      <c r="R101" s="510" t="s">
        <v>585</v>
      </c>
      <c r="S101" s="571" t="e">
        <f t="shared" si="71"/>
        <v>#VALUE!</v>
      </c>
      <c r="T101" s="685"/>
      <c r="U101" s="572" t="s">
        <v>585</v>
      </c>
      <c r="V101" s="510" t="s">
        <v>585</v>
      </c>
      <c r="W101" s="510" t="s">
        <v>585</v>
      </c>
      <c r="X101" s="571" t="e">
        <f t="shared" si="73"/>
        <v>#VALUE!</v>
      </c>
      <c r="Y101" s="685"/>
      <c r="Z101" s="572" t="s">
        <v>585</v>
      </c>
      <c r="AA101" s="510" t="s">
        <v>585</v>
      </c>
      <c r="AB101" s="510" t="s">
        <v>585</v>
      </c>
      <c r="AC101" s="571" t="e">
        <f t="shared" si="75"/>
        <v>#VALUE!</v>
      </c>
      <c r="AD101" s="685"/>
      <c r="AE101" s="572" t="s">
        <v>585</v>
      </c>
      <c r="AF101" s="510" t="s">
        <v>585</v>
      </c>
      <c r="AG101" s="510" t="s">
        <v>585</v>
      </c>
      <c r="AH101" s="571" t="e">
        <f t="shared" si="77"/>
        <v>#VALUE!</v>
      </c>
      <c r="AI101" s="685"/>
      <c r="AJ101" s="572" t="s">
        <v>585</v>
      </c>
      <c r="AK101" s="510" t="s">
        <v>585</v>
      </c>
      <c r="AL101" s="510" t="s">
        <v>585</v>
      </c>
      <c r="AM101" s="571" t="e">
        <f t="shared" si="79"/>
        <v>#VALUE!</v>
      </c>
      <c r="AN101" s="685"/>
      <c r="AO101" s="572" t="s">
        <v>585</v>
      </c>
      <c r="AP101" s="510" t="s">
        <v>585</v>
      </c>
      <c r="AQ101" s="510" t="s">
        <v>585</v>
      </c>
      <c r="AR101" s="571" t="e">
        <f t="shared" si="81"/>
        <v>#VALUE!</v>
      </c>
      <c r="AS101" s="685"/>
      <c r="AT101" s="571" t="s">
        <v>585</v>
      </c>
      <c r="AU101" s="573" t="s">
        <v>585</v>
      </c>
      <c r="AV101" s="573" t="s">
        <v>585</v>
      </c>
      <c r="AW101" s="571" t="e">
        <f t="shared" si="83"/>
        <v>#VALUE!</v>
      </c>
      <c r="AX101" s="685"/>
      <c r="AZ101" s="368" t="e">
        <f t="shared" si="85"/>
        <v>#N/A</v>
      </c>
      <c r="BA101" s="685"/>
    </row>
    <row r="102" spans="2:53" ht="15.75">
      <c r="B102" s="664" t="s">
        <v>162</v>
      </c>
      <c r="C102" s="665"/>
      <c r="D102" s="665"/>
      <c r="E102" s="665"/>
      <c r="F102" s="665"/>
      <c r="G102" s="665"/>
      <c r="H102" s="666"/>
      <c r="I102" s="207"/>
      <c r="J102" s="207"/>
      <c r="K102" s="207"/>
      <c r="L102" s="207"/>
      <c r="M102" s="206"/>
      <c r="N102" s="653" t="s">
        <v>156</v>
      </c>
      <c r="O102" s="653" t="s">
        <v>105</v>
      </c>
      <c r="P102" s="659">
        <f>P82+7</f>
        <v>46266</v>
      </c>
      <c r="Q102" s="660"/>
      <c r="R102" s="660"/>
      <c r="S102" s="660"/>
      <c r="T102" s="660"/>
      <c r="U102" s="656">
        <f>P102+1</f>
        <v>46267</v>
      </c>
      <c r="V102" s="657"/>
      <c r="W102" s="657"/>
      <c r="X102" s="657"/>
      <c r="Y102" s="658"/>
      <c r="Z102" s="656">
        <f>U102+1</f>
        <v>46268</v>
      </c>
      <c r="AA102" s="657"/>
      <c r="AB102" s="657"/>
      <c r="AC102" s="657"/>
      <c r="AD102" s="658"/>
      <c r="AE102" s="656">
        <f>Z102+1</f>
        <v>46269</v>
      </c>
      <c r="AF102" s="657"/>
      <c r="AG102" s="657"/>
      <c r="AH102" s="657"/>
      <c r="AI102" s="658"/>
      <c r="AJ102" s="656">
        <f>AE102+1</f>
        <v>46270</v>
      </c>
      <c r="AK102" s="657"/>
      <c r="AL102" s="657"/>
      <c r="AM102" s="657"/>
      <c r="AN102" s="658"/>
      <c r="AO102" s="656">
        <f>AJ102+1</f>
        <v>46271</v>
      </c>
      <c r="AP102" s="657"/>
      <c r="AQ102" s="657"/>
      <c r="AR102" s="657"/>
      <c r="AS102" s="658"/>
      <c r="AT102" s="656">
        <f>AO102+1</f>
        <v>46272</v>
      </c>
      <c r="AU102" s="657"/>
      <c r="AV102" s="657"/>
      <c r="AW102" s="657"/>
      <c r="AX102" s="658"/>
    </row>
    <row r="103" spans="2:53" ht="15.75">
      <c r="B103" s="667"/>
      <c r="C103" s="667"/>
      <c r="D103" s="667"/>
      <c r="E103" s="667"/>
      <c r="F103" s="667"/>
      <c r="G103" s="667"/>
      <c r="H103" s="667"/>
      <c r="I103" s="204"/>
      <c r="J103" s="204"/>
      <c r="K103" s="204"/>
      <c r="L103" s="204"/>
      <c r="M103" s="205"/>
      <c r="N103" s="655"/>
      <c r="O103" s="655"/>
      <c r="P103" s="659" t="s">
        <v>158</v>
      </c>
      <c r="Q103" s="660"/>
      <c r="R103" s="660"/>
      <c r="S103" s="660"/>
      <c r="T103" s="660"/>
      <c r="U103" s="659" t="s">
        <v>114</v>
      </c>
      <c r="V103" s="660"/>
      <c r="W103" s="660"/>
      <c r="X103" s="660"/>
      <c r="Y103" s="660"/>
      <c r="Z103" s="659" t="s">
        <v>159</v>
      </c>
      <c r="AA103" s="660"/>
      <c r="AB103" s="660"/>
      <c r="AC103" s="660"/>
      <c r="AD103" s="660"/>
      <c r="AE103" s="659" t="s">
        <v>157</v>
      </c>
      <c r="AF103" s="660"/>
      <c r="AG103" s="660"/>
      <c r="AH103" s="660"/>
      <c r="AI103" s="660"/>
      <c r="AJ103" s="659" t="s">
        <v>160</v>
      </c>
      <c r="AK103" s="660"/>
      <c r="AL103" s="660"/>
      <c r="AM103" s="660"/>
      <c r="AN103" s="660"/>
      <c r="AO103" s="659" t="s">
        <v>115</v>
      </c>
      <c r="AP103" s="660"/>
      <c r="AQ103" s="660"/>
      <c r="AR103" s="660"/>
      <c r="AS103" s="660"/>
      <c r="AT103" s="659" t="s">
        <v>161</v>
      </c>
      <c r="AU103" s="660"/>
      <c r="AV103" s="660"/>
      <c r="AW103" s="660"/>
      <c r="AX103" s="660"/>
    </row>
    <row r="104" spans="2:53">
      <c r="B104" s="652" t="s">
        <v>531</v>
      </c>
      <c r="C104" s="652" t="s">
        <v>532</v>
      </c>
      <c r="D104" s="652"/>
      <c r="E104" s="652" t="s">
        <v>533</v>
      </c>
      <c r="F104" s="652"/>
      <c r="G104" s="652"/>
      <c r="H104" s="668" t="s">
        <v>534</v>
      </c>
      <c r="I104" s="652" t="s">
        <v>535</v>
      </c>
      <c r="J104" s="652"/>
      <c r="K104" s="652"/>
      <c r="L104" s="668" t="s">
        <v>366</v>
      </c>
      <c r="M104" s="653" t="s">
        <v>536</v>
      </c>
      <c r="N104" s="652"/>
      <c r="O104" s="652" t="s">
        <v>522</v>
      </c>
      <c r="P104" s="649" t="s">
        <v>523</v>
      </c>
      <c r="Q104" s="650"/>
      <c r="R104" s="650"/>
      <c r="S104" s="651"/>
      <c r="T104" s="652" t="s">
        <v>519</v>
      </c>
      <c r="U104" s="649" t="s">
        <v>523</v>
      </c>
      <c r="V104" s="650"/>
      <c r="W104" s="650"/>
      <c r="X104" s="651"/>
      <c r="Y104" s="652" t="s">
        <v>519</v>
      </c>
      <c r="Z104" s="649" t="s">
        <v>523</v>
      </c>
      <c r="AA104" s="650"/>
      <c r="AB104" s="650"/>
      <c r="AC104" s="651"/>
      <c r="AD104" s="652" t="s">
        <v>519</v>
      </c>
      <c r="AE104" s="649" t="s">
        <v>523</v>
      </c>
      <c r="AF104" s="650"/>
      <c r="AG104" s="650"/>
      <c r="AH104" s="651"/>
      <c r="AI104" s="652" t="s">
        <v>519</v>
      </c>
      <c r="AJ104" s="649" t="s">
        <v>523</v>
      </c>
      <c r="AK104" s="650"/>
      <c r="AL104" s="650"/>
      <c r="AM104" s="651"/>
      <c r="AN104" s="652" t="s">
        <v>519</v>
      </c>
      <c r="AO104" s="649" t="s">
        <v>523</v>
      </c>
      <c r="AP104" s="650"/>
      <c r="AQ104" s="650"/>
      <c r="AR104" s="651"/>
      <c r="AS104" s="652" t="s">
        <v>519</v>
      </c>
      <c r="AT104" s="649" t="s">
        <v>523</v>
      </c>
      <c r="AU104" s="650"/>
      <c r="AV104" s="650"/>
      <c r="AW104" s="651"/>
      <c r="AX104" s="652" t="s">
        <v>519</v>
      </c>
      <c r="BA104" s="652" t="s">
        <v>366</v>
      </c>
    </row>
    <row r="105" spans="2:53">
      <c r="B105" s="652"/>
      <c r="C105" s="652"/>
      <c r="D105" s="652"/>
      <c r="E105" s="652" t="s">
        <v>538</v>
      </c>
      <c r="F105" s="652"/>
      <c r="G105" s="652"/>
      <c r="H105" s="669"/>
      <c r="I105" s="652" t="s">
        <v>538</v>
      </c>
      <c r="J105" s="652"/>
      <c r="K105" s="652"/>
      <c r="L105" s="669"/>
      <c r="M105" s="654"/>
      <c r="N105" s="652"/>
      <c r="O105" s="652"/>
      <c r="P105" s="649" t="s">
        <v>525</v>
      </c>
      <c r="Q105" s="650"/>
      <c r="R105" s="650"/>
      <c r="S105" s="651"/>
      <c r="T105" s="652"/>
      <c r="U105" s="649" t="s">
        <v>525</v>
      </c>
      <c r="V105" s="650"/>
      <c r="W105" s="650"/>
      <c r="X105" s="651"/>
      <c r="Y105" s="652"/>
      <c r="Z105" s="649" t="s">
        <v>525</v>
      </c>
      <c r="AA105" s="650"/>
      <c r="AB105" s="650"/>
      <c r="AC105" s="651"/>
      <c r="AD105" s="652"/>
      <c r="AE105" s="649" t="s">
        <v>525</v>
      </c>
      <c r="AF105" s="650"/>
      <c r="AG105" s="650"/>
      <c r="AH105" s="651"/>
      <c r="AI105" s="652"/>
      <c r="AJ105" s="649" t="s">
        <v>525</v>
      </c>
      <c r="AK105" s="650"/>
      <c r="AL105" s="650"/>
      <c r="AM105" s="651"/>
      <c r="AN105" s="652"/>
      <c r="AO105" s="649" t="s">
        <v>525</v>
      </c>
      <c r="AP105" s="650"/>
      <c r="AQ105" s="650"/>
      <c r="AR105" s="651"/>
      <c r="AS105" s="652"/>
      <c r="AT105" s="649" t="s">
        <v>525</v>
      </c>
      <c r="AU105" s="650"/>
      <c r="AV105" s="650"/>
      <c r="AW105" s="651"/>
      <c r="AX105" s="652"/>
      <c r="BA105" s="652"/>
    </row>
    <row r="106" spans="2:53">
      <c r="B106" s="652"/>
      <c r="C106" s="652"/>
      <c r="D106" s="652"/>
      <c r="E106" s="345" t="s">
        <v>539</v>
      </c>
      <c r="F106" s="345" t="s">
        <v>540</v>
      </c>
      <c r="G106" s="345" t="s">
        <v>541</v>
      </c>
      <c r="H106" s="670"/>
      <c r="I106" s="345" t="s">
        <v>539</v>
      </c>
      <c r="J106" s="345" t="s">
        <v>540</v>
      </c>
      <c r="K106" s="345" t="s">
        <v>541</v>
      </c>
      <c r="L106" s="670"/>
      <c r="M106" s="655"/>
      <c r="N106" s="652"/>
      <c r="O106" s="652"/>
      <c r="P106" s="345" t="s">
        <v>526</v>
      </c>
      <c r="Q106" s="345" t="s">
        <v>527</v>
      </c>
      <c r="R106" s="345" t="s">
        <v>528</v>
      </c>
      <c r="S106" s="345" t="s">
        <v>521</v>
      </c>
      <c r="T106" s="652"/>
      <c r="U106" s="345" t="s">
        <v>526</v>
      </c>
      <c r="V106" s="345" t="s">
        <v>527</v>
      </c>
      <c r="W106" s="345" t="s">
        <v>528</v>
      </c>
      <c r="X106" s="345" t="s">
        <v>521</v>
      </c>
      <c r="Y106" s="652"/>
      <c r="Z106" s="345" t="s">
        <v>526</v>
      </c>
      <c r="AA106" s="345" t="s">
        <v>527</v>
      </c>
      <c r="AB106" s="345" t="s">
        <v>528</v>
      </c>
      <c r="AC106" s="345" t="s">
        <v>521</v>
      </c>
      <c r="AD106" s="652"/>
      <c r="AE106" s="345" t="s">
        <v>526</v>
      </c>
      <c r="AF106" s="345" t="s">
        <v>527</v>
      </c>
      <c r="AG106" s="345" t="s">
        <v>528</v>
      </c>
      <c r="AH106" s="345" t="s">
        <v>521</v>
      </c>
      <c r="AI106" s="652"/>
      <c r="AJ106" s="345" t="s">
        <v>526</v>
      </c>
      <c r="AK106" s="345" t="s">
        <v>527</v>
      </c>
      <c r="AL106" s="345" t="s">
        <v>528</v>
      </c>
      <c r="AM106" s="345" t="s">
        <v>521</v>
      </c>
      <c r="AN106" s="652"/>
      <c r="AO106" s="345" t="s">
        <v>526</v>
      </c>
      <c r="AP106" s="345" t="s">
        <v>527</v>
      </c>
      <c r="AQ106" s="345" t="s">
        <v>528</v>
      </c>
      <c r="AR106" s="345" t="s">
        <v>521</v>
      </c>
      <c r="AS106" s="652"/>
      <c r="AT106" s="345" t="s">
        <v>526</v>
      </c>
      <c r="AU106" s="345" t="s">
        <v>527</v>
      </c>
      <c r="AV106" s="345" t="s">
        <v>528</v>
      </c>
      <c r="AW106" s="345" t="s">
        <v>521</v>
      </c>
      <c r="AX106" s="652"/>
      <c r="AZ106" s="367" t="s">
        <v>521</v>
      </c>
      <c r="BA106" s="652"/>
    </row>
    <row r="107" spans="2:53">
      <c r="B107" s="652" t="s">
        <v>136</v>
      </c>
      <c r="C107" s="348">
        <v>1</v>
      </c>
      <c r="D107" s="225"/>
      <c r="E107" s="181"/>
      <c r="F107" s="353"/>
      <c r="G107" s="354"/>
      <c r="H107" s="691" t="e">
        <f>AVERAGE(G107:G121)</f>
        <v>#DIV/0!</v>
      </c>
      <c r="I107" s="363" t="str">
        <f t="shared" ref="I107:I120" si="87">IFERROR(AVERAGE(P107,U107,Z107,AE107,AJ107,AO107,AT107),"-")</f>
        <v>-</v>
      </c>
      <c r="J107" s="363" t="str">
        <f t="shared" ref="J107:J120" si="88">IFERROR(AVERAGE(Q107,V107,AA107,AF107,AK107,AP107,AU107),"-")</f>
        <v>-</v>
      </c>
      <c r="K107" s="199" t="str">
        <f t="shared" ref="K107:K120" si="89">IFERROR(AVERAGE(R107,W107,AB107,AG107,AL107,AQ107,AV107),"-")</f>
        <v>-</v>
      </c>
      <c r="L107" s="633" t="str">
        <f>IFERROR(AVERAGE(K107:K121),"-")</f>
        <v>-</v>
      </c>
      <c r="M107" s="349" t="e">
        <f>RANK(K107, K$67:$K$81)</f>
        <v>#VALUE!</v>
      </c>
      <c r="N107" s="652"/>
      <c r="O107" s="652"/>
      <c r="P107" s="507"/>
      <c r="Q107" s="509"/>
      <c r="R107" s="509"/>
      <c r="S107" s="507"/>
      <c r="T107" s="685"/>
      <c r="U107" s="507"/>
      <c r="V107" s="509"/>
      <c r="W107" s="509"/>
      <c r="X107" s="507"/>
      <c r="Y107" s="685"/>
      <c r="Z107" s="507"/>
      <c r="AA107" s="509"/>
      <c r="AB107" s="509"/>
      <c r="AC107" s="507"/>
      <c r="AD107" s="685"/>
      <c r="AE107" s="507"/>
      <c r="AF107" s="509"/>
      <c r="AG107" s="509"/>
      <c r="AH107" s="507"/>
      <c r="AI107" s="685"/>
      <c r="AJ107" s="507"/>
      <c r="AK107" s="509"/>
      <c r="AL107" s="509"/>
      <c r="AM107" s="507"/>
      <c r="AN107" s="685"/>
      <c r="AO107" s="507"/>
      <c r="AP107" s="509"/>
      <c r="AQ107" s="509"/>
      <c r="AR107" s="507"/>
      <c r="AS107" s="685"/>
      <c r="AT107" s="507"/>
      <c r="AU107" s="509"/>
      <c r="AV107" s="509"/>
      <c r="AW107" s="507"/>
      <c r="AX107" s="685"/>
      <c r="AZ107" s="369" t="e">
        <f>RANK(AY107, AY$67:AY$81)</f>
        <v>#N/A</v>
      </c>
      <c r="BA107" s="710" t="e">
        <f>AVERAGE(AY107:AY121)</f>
        <v>#DIV/0!</v>
      </c>
    </row>
    <row r="108" spans="2:53">
      <c r="B108" s="680"/>
      <c r="C108" s="348">
        <v>2</v>
      </c>
      <c r="D108" s="225"/>
      <c r="E108" s="181"/>
      <c r="F108" s="353"/>
      <c r="G108" s="354"/>
      <c r="H108" s="692"/>
      <c r="I108" s="363" t="str">
        <f t="shared" si="87"/>
        <v>-</v>
      </c>
      <c r="J108" s="363" t="str">
        <f t="shared" si="88"/>
        <v>-</v>
      </c>
      <c r="K108" s="199" t="str">
        <f t="shared" si="89"/>
        <v>-</v>
      </c>
      <c r="L108" s="634"/>
      <c r="M108" s="349" t="e">
        <f>RANK(K108, K$67:$K$81)</f>
        <v>#VALUE!</v>
      </c>
      <c r="N108" s="652"/>
      <c r="O108" s="652"/>
      <c r="P108" s="507"/>
      <c r="Q108" s="509"/>
      <c r="R108" s="509"/>
      <c r="S108" s="507"/>
      <c r="T108" s="685"/>
      <c r="U108" s="507"/>
      <c r="V108" s="509"/>
      <c r="W108" s="509"/>
      <c r="X108" s="507"/>
      <c r="Y108" s="685"/>
      <c r="Z108" s="507"/>
      <c r="AA108" s="509"/>
      <c r="AB108" s="509"/>
      <c r="AC108" s="507"/>
      <c r="AD108" s="685"/>
      <c r="AE108" s="507"/>
      <c r="AF108" s="509"/>
      <c r="AG108" s="509"/>
      <c r="AH108" s="507"/>
      <c r="AI108" s="685"/>
      <c r="AJ108" s="507"/>
      <c r="AK108" s="509"/>
      <c r="AL108" s="509"/>
      <c r="AM108" s="507"/>
      <c r="AN108" s="685"/>
      <c r="AO108" s="507"/>
      <c r="AP108" s="509"/>
      <c r="AQ108" s="509"/>
      <c r="AR108" s="507"/>
      <c r="AS108" s="685"/>
      <c r="AT108" s="507"/>
      <c r="AU108" s="509"/>
      <c r="AV108" s="509"/>
      <c r="AW108" s="507"/>
      <c r="AX108" s="685"/>
      <c r="AZ108" s="369" t="e">
        <f t="shared" ref="AZ108:AZ121" si="90">RANK(AY108, AY$67:AY$81)</f>
        <v>#N/A</v>
      </c>
      <c r="BA108" s="710"/>
    </row>
    <row r="109" spans="2:53">
      <c r="B109" s="680"/>
      <c r="C109" s="348">
        <v>3</v>
      </c>
      <c r="D109" s="225"/>
      <c r="E109" s="181"/>
      <c r="F109" s="353"/>
      <c r="G109" s="354"/>
      <c r="H109" s="692"/>
      <c r="I109" s="363" t="str">
        <f t="shared" si="87"/>
        <v>-</v>
      </c>
      <c r="J109" s="363" t="str">
        <f t="shared" si="88"/>
        <v>-</v>
      </c>
      <c r="K109" s="199" t="str">
        <f t="shared" si="89"/>
        <v>-</v>
      </c>
      <c r="L109" s="634"/>
      <c r="M109" s="349" t="e">
        <f>RANK(K109, K$67:$K$81)</f>
        <v>#VALUE!</v>
      </c>
      <c r="N109" s="652"/>
      <c r="O109" s="652"/>
      <c r="P109" s="507"/>
      <c r="Q109" s="509"/>
      <c r="R109" s="509"/>
      <c r="S109" s="507"/>
      <c r="T109" s="685"/>
      <c r="U109" s="507"/>
      <c r="V109" s="509"/>
      <c r="W109" s="509"/>
      <c r="X109" s="507"/>
      <c r="Y109" s="685"/>
      <c r="Z109" s="507"/>
      <c r="AA109" s="509"/>
      <c r="AB109" s="509"/>
      <c r="AC109" s="507"/>
      <c r="AD109" s="685"/>
      <c r="AE109" s="507"/>
      <c r="AF109" s="509"/>
      <c r="AG109" s="509"/>
      <c r="AH109" s="507"/>
      <c r="AI109" s="685"/>
      <c r="AJ109" s="507"/>
      <c r="AK109" s="509"/>
      <c r="AL109" s="509"/>
      <c r="AM109" s="507"/>
      <c r="AN109" s="685"/>
      <c r="AO109" s="507"/>
      <c r="AP109" s="509"/>
      <c r="AQ109" s="509"/>
      <c r="AR109" s="507"/>
      <c r="AS109" s="685"/>
      <c r="AT109" s="507"/>
      <c r="AU109" s="509"/>
      <c r="AV109" s="509"/>
      <c r="AW109" s="507"/>
      <c r="AX109" s="685"/>
      <c r="AZ109" s="369" t="e">
        <f t="shared" si="90"/>
        <v>#N/A</v>
      </c>
      <c r="BA109" s="710"/>
    </row>
    <row r="110" spans="2:53">
      <c r="B110" s="680"/>
      <c r="C110" s="348">
        <v>4</v>
      </c>
      <c r="D110" s="225"/>
      <c r="E110" s="181"/>
      <c r="F110" s="353"/>
      <c r="G110" s="354"/>
      <c r="H110" s="692"/>
      <c r="I110" s="363" t="str">
        <f t="shared" si="87"/>
        <v>-</v>
      </c>
      <c r="J110" s="363" t="str">
        <f t="shared" si="88"/>
        <v>-</v>
      </c>
      <c r="K110" s="199" t="str">
        <f t="shared" si="89"/>
        <v>-</v>
      </c>
      <c r="L110" s="634"/>
      <c r="M110" s="349" t="e">
        <f>RANK(K110, K$67:$K$81)</f>
        <v>#VALUE!</v>
      </c>
      <c r="N110" s="652"/>
      <c r="O110" s="652"/>
      <c r="P110" s="507"/>
      <c r="Q110" s="509"/>
      <c r="R110" s="509"/>
      <c r="S110" s="507"/>
      <c r="T110" s="685"/>
      <c r="U110" s="507"/>
      <c r="V110" s="509"/>
      <c r="W110" s="509"/>
      <c r="X110" s="507"/>
      <c r="Y110" s="685"/>
      <c r="Z110" s="507"/>
      <c r="AA110" s="509"/>
      <c r="AB110" s="509"/>
      <c r="AC110" s="507"/>
      <c r="AD110" s="685"/>
      <c r="AE110" s="507"/>
      <c r="AF110" s="509"/>
      <c r="AG110" s="509"/>
      <c r="AH110" s="507"/>
      <c r="AI110" s="685"/>
      <c r="AJ110" s="507"/>
      <c r="AK110" s="509"/>
      <c r="AL110" s="509"/>
      <c r="AM110" s="507"/>
      <c r="AN110" s="685"/>
      <c r="AO110" s="507"/>
      <c r="AP110" s="509"/>
      <c r="AQ110" s="509"/>
      <c r="AR110" s="507"/>
      <c r="AS110" s="685"/>
      <c r="AT110" s="507"/>
      <c r="AU110" s="509"/>
      <c r="AV110" s="509"/>
      <c r="AW110" s="507"/>
      <c r="AX110" s="685"/>
      <c r="AZ110" s="369" t="e">
        <f t="shared" si="90"/>
        <v>#N/A</v>
      </c>
      <c r="BA110" s="710"/>
    </row>
    <row r="111" spans="2:53">
      <c r="B111" s="680"/>
      <c r="C111" s="348">
        <v>5</v>
      </c>
      <c r="D111" s="225"/>
      <c r="E111" s="181"/>
      <c r="F111" s="353"/>
      <c r="G111" s="354"/>
      <c r="H111" s="692"/>
      <c r="I111" s="363" t="str">
        <f t="shared" si="87"/>
        <v>-</v>
      </c>
      <c r="J111" s="363" t="str">
        <f t="shared" si="88"/>
        <v>-</v>
      </c>
      <c r="K111" s="199" t="str">
        <f t="shared" si="89"/>
        <v>-</v>
      </c>
      <c r="L111" s="634"/>
      <c r="M111" s="349" t="e">
        <f>RANK(K111, K$67:$K$81)</f>
        <v>#VALUE!</v>
      </c>
      <c r="N111" s="652"/>
      <c r="O111" s="652"/>
      <c r="P111" s="507"/>
      <c r="Q111" s="509"/>
      <c r="R111" s="509"/>
      <c r="S111" s="507"/>
      <c r="T111" s="685"/>
      <c r="U111" s="507"/>
      <c r="V111" s="509"/>
      <c r="W111" s="509"/>
      <c r="X111" s="507"/>
      <c r="Y111" s="685"/>
      <c r="Z111" s="507"/>
      <c r="AA111" s="509"/>
      <c r="AB111" s="509"/>
      <c r="AC111" s="507"/>
      <c r="AD111" s="685"/>
      <c r="AE111" s="507"/>
      <c r="AF111" s="509"/>
      <c r="AG111" s="509"/>
      <c r="AH111" s="507"/>
      <c r="AI111" s="685"/>
      <c r="AJ111" s="507"/>
      <c r="AK111" s="509"/>
      <c r="AL111" s="509"/>
      <c r="AM111" s="507"/>
      <c r="AN111" s="685"/>
      <c r="AO111" s="507"/>
      <c r="AP111" s="509"/>
      <c r="AQ111" s="509"/>
      <c r="AR111" s="507"/>
      <c r="AS111" s="685"/>
      <c r="AT111" s="507"/>
      <c r="AU111" s="509"/>
      <c r="AV111" s="509"/>
      <c r="AW111" s="507"/>
      <c r="AX111" s="685"/>
      <c r="AZ111" s="369" t="e">
        <f t="shared" si="90"/>
        <v>#N/A</v>
      </c>
      <c r="BA111" s="710"/>
    </row>
    <row r="112" spans="2:53">
      <c r="B112" s="680"/>
      <c r="C112" s="348">
        <v>6</v>
      </c>
      <c r="D112" s="225"/>
      <c r="E112" s="181"/>
      <c r="F112" s="353"/>
      <c r="G112" s="354"/>
      <c r="H112" s="692"/>
      <c r="I112" s="363" t="str">
        <f t="shared" si="87"/>
        <v>-</v>
      </c>
      <c r="J112" s="363" t="str">
        <f t="shared" si="88"/>
        <v>-</v>
      </c>
      <c r="K112" s="199" t="str">
        <f t="shared" si="89"/>
        <v>-</v>
      </c>
      <c r="L112" s="634"/>
      <c r="M112" s="349" t="e">
        <f>RANK(K112, K$67:$K$81)</f>
        <v>#VALUE!</v>
      </c>
      <c r="N112" s="652"/>
      <c r="O112" s="652"/>
      <c r="P112" s="507"/>
      <c r="Q112" s="509"/>
      <c r="R112" s="509"/>
      <c r="S112" s="507"/>
      <c r="T112" s="685"/>
      <c r="U112" s="507"/>
      <c r="V112" s="509"/>
      <c r="W112" s="509"/>
      <c r="X112" s="507"/>
      <c r="Y112" s="685"/>
      <c r="Z112" s="507"/>
      <c r="AA112" s="509"/>
      <c r="AB112" s="509"/>
      <c r="AC112" s="507"/>
      <c r="AD112" s="685"/>
      <c r="AE112" s="507"/>
      <c r="AF112" s="509"/>
      <c r="AG112" s="509"/>
      <c r="AH112" s="507"/>
      <c r="AI112" s="685"/>
      <c r="AJ112" s="507"/>
      <c r="AK112" s="509"/>
      <c r="AL112" s="509"/>
      <c r="AM112" s="507"/>
      <c r="AN112" s="685"/>
      <c r="AO112" s="507"/>
      <c r="AP112" s="509"/>
      <c r="AQ112" s="509"/>
      <c r="AR112" s="507"/>
      <c r="AS112" s="685"/>
      <c r="AT112" s="507"/>
      <c r="AU112" s="509"/>
      <c r="AV112" s="509"/>
      <c r="AW112" s="507"/>
      <c r="AX112" s="685"/>
      <c r="AZ112" s="369" t="e">
        <f t="shared" si="90"/>
        <v>#N/A</v>
      </c>
      <c r="BA112" s="710"/>
    </row>
    <row r="113" spans="2:53">
      <c r="B113" s="680"/>
      <c r="C113" s="348">
        <v>7</v>
      </c>
      <c r="D113" s="225"/>
      <c r="E113" s="181"/>
      <c r="F113" s="353"/>
      <c r="G113" s="354"/>
      <c r="H113" s="692"/>
      <c r="I113" s="363" t="str">
        <f t="shared" si="87"/>
        <v>-</v>
      </c>
      <c r="J113" s="363" t="str">
        <f t="shared" si="88"/>
        <v>-</v>
      </c>
      <c r="K113" s="199" t="str">
        <f t="shared" si="89"/>
        <v>-</v>
      </c>
      <c r="L113" s="634"/>
      <c r="M113" s="349" t="e">
        <f>RANK(K113, K$67:$K$81)</f>
        <v>#VALUE!</v>
      </c>
      <c r="N113" s="652"/>
      <c r="O113" s="652"/>
      <c r="P113" s="507"/>
      <c r="Q113" s="509"/>
      <c r="R113" s="509"/>
      <c r="S113" s="507"/>
      <c r="T113" s="685"/>
      <c r="U113" s="507"/>
      <c r="V113" s="509"/>
      <c r="W113" s="509"/>
      <c r="X113" s="507"/>
      <c r="Y113" s="685"/>
      <c r="Z113" s="507"/>
      <c r="AA113" s="509"/>
      <c r="AB113" s="509"/>
      <c r="AC113" s="507"/>
      <c r="AD113" s="685"/>
      <c r="AE113" s="507"/>
      <c r="AF113" s="509"/>
      <c r="AG113" s="509"/>
      <c r="AH113" s="507"/>
      <c r="AI113" s="685"/>
      <c r="AJ113" s="507"/>
      <c r="AK113" s="509"/>
      <c r="AL113" s="509"/>
      <c r="AM113" s="507"/>
      <c r="AN113" s="685"/>
      <c r="AO113" s="507"/>
      <c r="AP113" s="509"/>
      <c r="AQ113" s="509"/>
      <c r="AR113" s="507"/>
      <c r="AS113" s="685"/>
      <c r="AT113" s="507"/>
      <c r="AU113" s="509"/>
      <c r="AV113" s="509"/>
      <c r="AW113" s="507"/>
      <c r="AX113" s="685"/>
      <c r="AZ113" s="369" t="e">
        <f t="shared" si="90"/>
        <v>#N/A</v>
      </c>
      <c r="BA113" s="710"/>
    </row>
    <row r="114" spans="2:53">
      <c r="B114" s="680"/>
      <c r="C114" s="348">
        <v>8</v>
      </c>
      <c r="D114" s="225"/>
      <c r="E114" s="181"/>
      <c r="F114" s="353"/>
      <c r="G114" s="354"/>
      <c r="H114" s="692"/>
      <c r="I114" s="363" t="str">
        <f t="shared" si="87"/>
        <v>-</v>
      </c>
      <c r="J114" s="363" t="str">
        <f t="shared" si="88"/>
        <v>-</v>
      </c>
      <c r="K114" s="199" t="str">
        <f t="shared" si="89"/>
        <v>-</v>
      </c>
      <c r="L114" s="634"/>
      <c r="M114" s="349" t="e">
        <f>RANK(K114, K$67:$K$81)</f>
        <v>#VALUE!</v>
      </c>
      <c r="N114" s="652"/>
      <c r="O114" s="652"/>
      <c r="P114" s="507"/>
      <c r="Q114" s="509"/>
      <c r="R114" s="509"/>
      <c r="S114" s="507"/>
      <c r="T114" s="685"/>
      <c r="U114" s="507"/>
      <c r="V114" s="509"/>
      <c r="W114" s="509"/>
      <c r="X114" s="507"/>
      <c r="Y114" s="685"/>
      <c r="Z114" s="507"/>
      <c r="AA114" s="509"/>
      <c r="AB114" s="509"/>
      <c r="AC114" s="507"/>
      <c r="AD114" s="685"/>
      <c r="AE114" s="507"/>
      <c r="AF114" s="509"/>
      <c r="AG114" s="509"/>
      <c r="AH114" s="507"/>
      <c r="AI114" s="685"/>
      <c r="AJ114" s="507"/>
      <c r="AK114" s="509"/>
      <c r="AL114" s="509"/>
      <c r="AM114" s="507"/>
      <c r="AN114" s="685"/>
      <c r="AO114" s="507"/>
      <c r="AP114" s="509"/>
      <c r="AQ114" s="509"/>
      <c r="AR114" s="507"/>
      <c r="AS114" s="685"/>
      <c r="AT114" s="507"/>
      <c r="AU114" s="509"/>
      <c r="AV114" s="509"/>
      <c r="AW114" s="507"/>
      <c r="AX114" s="685"/>
      <c r="AZ114" s="369" t="e">
        <f t="shared" si="90"/>
        <v>#N/A</v>
      </c>
      <c r="BA114" s="710"/>
    </row>
    <row r="115" spans="2:53">
      <c r="B115" s="680"/>
      <c r="C115" s="348">
        <v>9</v>
      </c>
      <c r="D115" s="225"/>
      <c r="E115" s="181"/>
      <c r="F115" s="353"/>
      <c r="G115" s="354"/>
      <c r="H115" s="692"/>
      <c r="I115" s="363" t="str">
        <f t="shared" si="87"/>
        <v>-</v>
      </c>
      <c r="J115" s="363" t="str">
        <f t="shared" si="88"/>
        <v>-</v>
      </c>
      <c r="K115" s="199" t="str">
        <f t="shared" si="89"/>
        <v>-</v>
      </c>
      <c r="L115" s="634"/>
      <c r="M115" s="349" t="e">
        <f>RANK(K115, K$67:$K$81)</f>
        <v>#VALUE!</v>
      </c>
      <c r="N115" s="652"/>
      <c r="O115" s="652"/>
      <c r="P115" s="507"/>
      <c r="Q115" s="509"/>
      <c r="R115" s="509"/>
      <c r="S115" s="507"/>
      <c r="T115" s="685"/>
      <c r="U115" s="507"/>
      <c r="V115" s="509"/>
      <c r="W115" s="509"/>
      <c r="X115" s="507"/>
      <c r="Y115" s="685"/>
      <c r="Z115" s="507"/>
      <c r="AA115" s="509"/>
      <c r="AB115" s="509"/>
      <c r="AC115" s="507"/>
      <c r="AD115" s="685"/>
      <c r="AE115" s="507"/>
      <c r="AF115" s="509"/>
      <c r="AG115" s="509"/>
      <c r="AH115" s="507"/>
      <c r="AI115" s="685"/>
      <c r="AJ115" s="507"/>
      <c r="AK115" s="509"/>
      <c r="AL115" s="509"/>
      <c r="AM115" s="507"/>
      <c r="AN115" s="685"/>
      <c r="AO115" s="507"/>
      <c r="AP115" s="509"/>
      <c r="AQ115" s="509"/>
      <c r="AR115" s="507"/>
      <c r="AS115" s="685"/>
      <c r="AT115" s="507"/>
      <c r="AU115" s="509"/>
      <c r="AV115" s="509"/>
      <c r="AW115" s="507"/>
      <c r="AX115" s="685"/>
      <c r="AZ115" s="369" t="e">
        <f t="shared" si="90"/>
        <v>#N/A</v>
      </c>
      <c r="BA115" s="710"/>
    </row>
    <row r="116" spans="2:53">
      <c r="B116" s="680"/>
      <c r="C116" s="348">
        <v>10</v>
      </c>
      <c r="D116" s="225"/>
      <c r="E116" s="181"/>
      <c r="F116" s="353"/>
      <c r="G116" s="354"/>
      <c r="H116" s="692"/>
      <c r="I116" s="363" t="str">
        <f t="shared" si="87"/>
        <v>-</v>
      </c>
      <c r="J116" s="363" t="str">
        <f t="shared" si="88"/>
        <v>-</v>
      </c>
      <c r="K116" s="199" t="str">
        <f t="shared" si="89"/>
        <v>-</v>
      </c>
      <c r="L116" s="634"/>
      <c r="M116" s="349" t="e">
        <f>RANK(K116, K$67:$K$81)</f>
        <v>#VALUE!</v>
      </c>
      <c r="N116" s="652"/>
      <c r="O116" s="652"/>
      <c r="P116" s="507"/>
      <c r="Q116" s="509"/>
      <c r="R116" s="509"/>
      <c r="S116" s="507"/>
      <c r="T116" s="685"/>
      <c r="U116" s="507"/>
      <c r="V116" s="509"/>
      <c r="W116" s="509"/>
      <c r="X116" s="507"/>
      <c r="Y116" s="685"/>
      <c r="Z116" s="507"/>
      <c r="AA116" s="509"/>
      <c r="AB116" s="509"/>
      <c r="AC116" s="507"/>
      <c r="AD116" s="685"/>
      <c r="AE116" s="507"/>
      <c r="AF116" s="509"/>
      <c r="AG116" s="509"/>
      <c r="AH116" s="507"/>
      <c r="AI116" s="685"/>
      <c r="AJ116" s="507"/>
      <c r="AK116" s="509"/>
      <c r="AL116" s="509"/>
      <c r="AM116" s="507"/>
      <c r="AN116" s="685"/>
      <c r="AO116" s="507"/>
      <c r="AP116" s="509"/>
      <c r="AQ116" s="509"/>
      <c r="AR116" s="507"/>
      <c r="AS116" s="685"/>
      <c r="AT116" s="507"/>
      <c r="AU116" s="509"/>
      <c r="AV116" s="509"/>
      <c r="AW116" s="507"/>
      <c r="AX116" s="685"/>
      <c r="AZ116" s="369" t="e">
        <f t="shared" si="90"/>
        <v>#N/A</v>
      </c>
      <c r="BA116" s="710"/>
    </row>
    <row r="117" spans="2:53">
      <c r="B117" s="680"/>
      <c r="C117" s="348">
        <v>11</v>
      </c>
      <c r="D117" s="225"/>
      <c r="E117" s="181"/>
      <c r="F117" s="353"/>
      <c r="G117" s="354"/>
      <c r="H117" s="692"/>
      <c r="I117" s="363" t="str">
        <f t="shared" si="87"/>
        <v>-</v>
      </c>
      <c r="J117" s="363" t="str">
        <f t="shared" si="88"/>
        <v>-</v>
      </c>
      <c r="K117" s="199" t="str">
        <f t="shared" si="89"/>
        <v>-</v>
      </c>
      <c r="L117" s="634"/>
      <c r="M117" s="349" t="e">
        <f>RANK(K117, K$67:$K$81)</f>
        <v>#VALUE!</v>
      </c>
      <c r="N117" s="652"/>
      <c r="O117" s="652"/>
      <c r="P117" s="507"/>
      <c r="Q117" s="509"/>
      <c r="R117" s="509"/>
      <c r="S117" s="507"/>
      <c r="T117" s="685"/>
      <c r="U117" s="507"/>
      <c r="V117" s="509"/>
      <c r="W117" s="509"/>
      <c r="X117" s="507"/>
      <c r="Y117" s="685"/>
      <c r="Z117" s="507"/>
      <c r="AA117" s="509"/>
      <c r="AB117" s="509"/>
      <c r="AC117" s="507"/>
      <c r="AD117" s="685"/>
      <c r="AE117" s="507"/>
      <c r="AF117" s="509"/>
      <c r="AG117" s="509"/>
      <c r="AH117" s="507"/>
      <c r="AI117" s="685"/>
      <c r="AJ117" s="507"/>
      <c r="AK117" s="509"/>
      <c r="AL117" s="509"/>
      <c r="AM117" s="507"/>
      <c r="AN117" s="685"/>
      <c r="AO117" s="507"/>
      <c r="AP117" s="509"/>
      <c r="AQ117" s="509"/>
      <c r="AR117" s="507"/>
      <c r="AS117" s="685"/>
      <c r="AT117" s="507"/>
      <c r="AU117" s="509"/>
      <c r="AV117" s="509"/>
      <c r="AW117" s="507"/>
      <c r="AX117" s="685"/>
      <c r="AZ117" s="369" t="e">
        <f t="shared" si="90"/>
        <v>#N/A</v>
      </c>
      <c r="BA117" s="710"/>
    </row>
    <row r="118" spans="2:53">
      <c r="B118" s="680"/>
      <c r="C118" s="348">
        <v>12</v>
      </c>
      <c r="D118" s="225"/>
      <c r="E118" s="181"/>
      <c r="F118" s="353"/>
      <c r="G118" s="354"/>
      <c r="H118" s="692"/>
      <c r="I118" s="363" t="str">
        <f t="shared" si="87"/>
        <v>-</v>
      </c>
      <c r="J118" s="363" t="str">
        <f t="shared" si="88"/>
        <v>-</v>
      </c>
      <c r="K118" s="199" t="str">
        <f t="shared" si="89"/>
        <v>-</v>
      </c>
      <c r="L118" s="634"/>
      <c r="M118" s="349" t="e">
        <f>RANK(K118, K$67:$K$81)</f>
        <v>#VALUE!</v>
      </c>
      <c r="N118" s="652"/>
      <c r="O118" s="652"/>
      <c r="P118" s="507"/>
      <c r="Q118" s="509"/>
      <c r="R118" s="509"/>
      <c r="S118" s="507"/>
      <c r="T118" s="685"/>
      <c r="U118" s="507"/>
      <c r="V118" s="509"/>
      <c r="W118" s="509"/>
      <c r="X118" s="507"/>
      <c r="Y118" s="685"/>
      <c r="Z118" s="507"/>
      <c r="AA118" s="509"/>
      <c r="AB118" s="509"/>
      <c r="AC118" s="507"/>
      <c r="AD118" s="685"/>
      <c r="AE118" s="507"/>
      <c r="AF118" s="509"/>
      <c r="AG118" s="509"/>
      <c r="AH118" s="507"/>
      <c r="AI118" s="685"/>
      <c r="AJ118" s="507"/>
      <c r="AK118" s="509"/>
      <c r="AL118" s="509"/>
      <c r="AM118" s="507"/>
      <c r="AN118" s="685"/>
      <c r="AO118" s="507"/>
      <c r="AP118" s="509"/>
      <c r="AQ118" s="509"/>
      <c r="AR118" s="507"/>
      <c r="AS118" s="685"/>
      <c r="AT118" s="507"/>
      <c r="AU118" s="509"/>
      <c r="AV118" s="509"/>
      <c r="AW118" s="507"/>
      <c r="AX118" s="685"/>
      <c r="AZ118" s="369" t="e">
        <f t="shared" si="90"/>
        <v>#N/A</v>
      </c>
      <c r="BA118" s="710"/>
    </row>
    <row r="119" spans="2:53">
      <c r="B119" s="680"/>
      <c r="C119" s="348">
        <v>13</v>
      </c>
      <c r="D119" s="225"/>
      <c r="E119" s="181"/>
      <c r="F119" s="353"/>
      <c r="G119" s="354"/>
      <c r="H119" s="692"/>
      <c r="I119" s="363" t="str">
        <f t="shared" si="87"/>
        <v>-</v>
      </c>
      <c r="J119" s="363" t="str">
        <f t="shared" si="88"/>
        <v>-</v>
      </c>
      <c r="K119" s="199" t="str">
        <f t="shared" si="89"/>
        <v>-</v>
      </c>
      <c r="L119" s="634"/>
      <c r="M119" s="349" t="e">
        <f>RANK(K119, K$67:$K$81)</f>
        <v>#VALUE!</v>
      </c>
      <c r="N119" s="652"/>
      <c r="O119" s="652"/>
      <c r="P119" s="507"/>
      <c r="Q119" s="509"/>
      <c r="R119" s="509"/>
      <c r="S119" s="507"/>
      <c r="T119" s="685"/>
      <c r="U119" s="507"/>
      <c r="V119" s="509"/>
      <c r="W119" s="509"/>
      <c r="X119" s="507"/>
      <c r="Y119" s="685"/>
      <c r="Z119" s="507"/>
      <c r="AA119" s="509"/>
      <c r="AB119" s="509"/>
      <c r="AC119" s="507"/>
      <c r="AD119" s="685"/>
      <c r="AE119" s="507"/>
      <c r="AF119" s="509"/>
      <c r="AG119" s="509"/>
      <c r="AH119" s="507"/>
      <c r="AI119" s="685"/>
      <c r="AJ119" s="507"/>
      <c r="AK119" s="509"/>
      <c r="AL119" s="509"/>
      <c r="AM119" s="507"/>
      <c r="AN119" s="685"/>
      <c r="AO119" s="507"/>
      <c r="AP119" s="509"/>
      <c r="AQ119" s="509"/>
      <c r="AR119" s="507"/>
      <c r="AS119" s="685"/>
      <c r="AT119" s="507"/>
      <c r="AU119" s="509"/>
      <c r="AV119" s="509"/>
      <c r="AW119" s="507"/>
      <c r="AX119" s="685"/>
      <c r="AZ119" s="369" t="e">
        <f t="shared" si="90"/>
        <v>#N/A</v>
      </c>
      <c r="BA119" s="710"/>
    </row>
    <row r="120" spans="2:53">
      <c r="B120" s="680"/>
      <c r="C120" s="348">
        <v>14</v>
      </c>
      <c r="D120" s="225"/>
      <c r="E120" s="181"/>
      <c r="F120" s="353"/>
      <c r="G120" s="354"/>
      <c r="H120" s="692"/>
      <c r="I120" s="363" t="str">
        <f t="shared" si="87"/>
        <v>-</v>
      </c>
      <c r="J120" s="363" t="str">
        <f t="shared" si="88"/>
        <v>-</v>
      </c>
      <c r="K120" s="199" t="str">
        <f t="shared" si="89"/>
        <v>-</v>
      </c>
      <c r="L120" s="634"/>
      <c r="M120" s="349" t="e">
        <f>RANK(K120, K$67:$K$81)</f>
        <v>#VALUE!</v>
      </c>
      <c r="N120" s="652"/>
      <c r="O120" s="652"/>
      <c r="P120" s="507"/>
      <c r="Q120" s="509"/>
      <c r="R120" s="509"/>
      <c r="S120" s="507"/>
      <c r="T120" s="685"/>
      <c r="U120" s="507"/>
      <c r="V120" s="509"/>
      <c r="W120" s="509"/>
      <c r="X120" s="507"/>
      <c r="Y120" s="685"/>
      <c r="Z120" s="507"/>
      <c r="AA120" s="509"/>
      <c r="AB120" s="509"/>
      <c r="AC120" s="507"/>
      <c r="AD120" s="685"/>
      <c r="AE120" s="507"/>
      <c r="AF120" s="509"/>
      <c r="AG120" s="509"/>
      <c r="AH120" s="507"/>
      <c r="AI120" s="685"/>
      <c r="AJ120" s="507"/>
      <c r="AK120" s="509"/>
      <c r="AL120" s="509"/>
      <c r="AM120" s="507"/>
      <c r="AN120" s="685"/>
      <c r="AO120" s="507"/>
      <c r="AP120" s="509"/>
      <c r="AQ120" s="509"/>
      <c r="AR120" s="507"/>
      <c r="AS120" s="685"/>
      <c r="AT120" s="507"/>
      <c r="AU120" s="509"/>
      <c r="AV120" s="509"/>
      <c r="AW120" s="507"/>
      <c r="AX120" s="685"/>
      <c r="AZ120" s="369" t="e">
        <f t="shared" si="90"/>
        <v>#N/A</v>
      </c>
      <c r="BA120" s="710"/>
    </row>
    <row r="121" spans="2:53">
      <c r="B121" s="680"/>
      <c r="C121" s="348">
        <v>15</v>
      </c>
      <c r="D121" s="225"/>
      <c r="E121" s="181"/>
      <c r="F121" s="353"/>
      <c r="G121" s="354"/>
      <c r="H121" s="696"/>
      <c r="I121" s="365"/>
      <c r="J121" s="365"/>
      <c r="K121" s="365"/>
      <c r="L121" s="635"/>
      <c r="M121" s="349" t="e">
        <f>RANK(K121, K$47:$K$61)</f>
        <v>#N/A</v>
      </c>
      <c r="N121" s="652"/>
      <c r="O121" s="652"/>
      <c r="P121" s="507"/>
      <c r="Q121" s="509"/>
      <c r="R121" s="509"/>
      <c r="S121" s="507"/>
      <c r="T121" s="685"/>
      <c r="U121" s="507"/>
      <c r="V121" s="509"/>
      <c r="W121" s="509"/>
      <c r="X121" s="507"/>
      <c r="Y121" s="685"/>
      <c r="Z121" s="507"/>
      <c r="AA121" s="509"/>
      <c r="AB121" s="509"/>
      <c r="AC121" s="507"/>
      <c r="AD121" s="685"/>
      <c r="AE121" s="507"/>
      <c r="AF121" s="509"/>
      <c r="AG121" s="509"/>
      <c r="AH121" s="507"/>
      <c r="AI121" s="685"/>
      <c r="AJ121" s="507"/>
      <c r="AK121" s="509"/>
      <c r="AL121" s="509"/>
      <c r="AM121" s="507"/>
      <c r="AN121" s="685"/>
      <c r="AO121" s="507"/>
      <c r="AP121" s="509"/>
      <c r="AQ121" s="509"/>
      <c r="AR121" s="507"/>
      <c r="AS121" s="685"/>
      <c r="AT121" s="507"/>
      <c r="AU121" s="509"/>
      <c r="AV121" s="509"/>
      <c r="AW121" s="507"/>
      <c r="AX121" s="685"/>
      <c r="AZ121" s="369" t="e">
        <f t="shared" si="90"/>
        <v>#N/A</v>
      </c>
      <c r="BA121" s="710"/>
    </row>
    <row r="123" spans="2:53" ht="15.75">
      <c r="B123" s="686" t="s">
        <v>472</v>
      </c>
      <c r="C123" s="687"/>
      <c r="D123" s="687"/>
      <c r="E123" s="687"/>
      <c r="F123" s="687"/>
      <c r="G123" s="687"/>
      <c r="H123" s="688"/>
      <c r="I123" s="307"/>
      <c r="J123" s="307"/>
      <c r="K123" s="307"/>
      <c r="L123" s="307"/>
      <c r="M123" s="308"/>
    </row>
    <row r="124" spans="2:53" ht="15.75">
      <c r="B124" s="689"/>
      <c r="C124" s="689"/>
      <c r="D124" s="689"/>
      <c r="E124" s="689"/>
      <c r="F124" s="689"/>
      <c r="G124" s="689"/>
      <c r="H124" s="689"/>
      <c r="I124" s="309"/>
      <c r="J124" s="309"/>
      <c r="K124" s="309"/>
      <c r="L124" s="309"/>
      <c r="M124" s="310"/>
    </row>
    <row r="125" spans="2:53">
      <c r="B125" s="652" t="s">
        <v>473</v>
      </c>
      <c r="C125" s="652" t="s">
        <v>474</v>
      </c>
      <c r="D125" s="652"/>
      <c r="E125" s="652" t="s">
        <v>475</v>
      </c>
      <c r="F125" s="652"/>
      <c r="G125" s="652"/>
      <c r="H125" s="668" t="s">
        <v>476</v>
      </c>
      <c r="I125" s="690" t="s">
        <v>477</v>
      </c>
      <c r="J125" s="690"/>
      <c r="K125" s="690"/>
      <c r="L125" s="704" t="s">
        <v>476</v>
      </c>
      <c r="M125" s="707" t="s">
        <v>478</v>
      </c>
    </row>
    <row r="126" spans="2:53">
      <c r="B126" s="652"/>
      <c r="C126" s="652"/>
      <c r="D126" s="652"/>
      <c r="E126" s="652" t="s">
        <v>479</v>
      </c>
      <c r="F126" s="652"/>
      <c r="G126" s="652"/>
      <c r="H126" s="669"/>
      <c r="I126" s="690" t="s">
        <v>479</v>
      </c>
      <c r="J126" s="690"/>
      <c r="K126" s="690"/>
      <c r="L126" s="705"/>
      <c r="M126" s="708"/>
    </row>
    <row r="127" spans="2:53">
      <c r="B127" s="652"/>
      <c r="C127" s="652"/>
      <c r="D127" s="652"/>
      <c r="E127" s="304" t="s">
        <v>480</v>
      </c>
      <c r="F127" s="304" t="s">
        <v>481</v>
      </c>
      <c r="G127" s="304" t="s">
        <v>482</v>
      </c>
      <c r="H127" s="670"/>
      <c r="I127" s="311" t="s">
        <v>480</v>
      </c>
      <c r="J127" s="311" t="s">
        <v>481</v>
      </c>
      <c r="K127" s="311" t="s">
        <v>482</v>
      </c>
      <c r="L127" s="706"/>
      <c r="M127" s="709"/>
    </row>
    <row r="128" spans="2:53">
      <c r="B128" s="652" t="s">
        <v>490</v>
      </c>
      <c r="C128" s="303">
        <v>1</v>
      </c>
      <c r="D128" s="225"/>
      <c r="E128" s="181"/>
      <c r="F128" s="303"/>
      <c r="G128" s="306"/>
      <c r="H128" s="698" t="e">
        <f>AVERAGE(G128:G142)</f>
        <v>#DIV/0!</v>
      </c>
      <c r="I128" s="198" t="e">
        <f t="shared" ref="I128:J133" si="91">AVERAGEIF($D$7:$D$121,$D128,I$7:I$121)</f>
        <v>#DIV/0!</v>
      </c>
      <c r="J128" s="198" t="e">
        <f t="shared" si="91"/>
        <v>#DIV/0!</v>
      </c>
      <c r="K128" s="198" t="e">
        <f t="shared" ref="K128:K133" si="92">AVERAGEIF($D$7:$D$121,$D128,K$7:K$121)</f>
        <v>#DIV/0!</v>
      </c>
      <c r="L128" s="701" t="e">
        <f>AVERAGE(K128:K142)</f>
        <v>#DIV/0!</v>
      </c>
      <c r="M128" s="198" t="e">
        <f>RANK(K128, K$128:$K$142)</f>
        <v>#DIV/0!</v>
      </c>
    </row>
    <row r="129" spans="2:13">
      <c r="B129" s="660"/>
      <c r="C129" s="303">
        <v>2</v>
      </c>
      <c r="D129" s="225"/>
      <c r="E129" s="181"/>
      <c r="F129" s="303"/>
      <c r="G129" s="306"/>
      <c r="H129" s="699"/>
      <c r="I129" s="198" t="e">
        <f t="shared" si="91"/>
        <v>#DIV/0!</v>
      </c>
      <c r="J129" s="198" t="e">
        <f t="shared" si="91"/>
        <v>#DIV/0!</v>
      </c>
      <c r="K129" s="198" t="e">
        <f t="shared" si="92"/>
        <v>#DIV/0!</v>
      </c>
      <c r="L129" s="702"/>
      <c r="M129" s="198" t="e">
        <f>RANK(K129, K$128:$K$142)</f>
        <v>#DIV/0!</v>
      </c>
    </row>
    <row r="130" spans="2:13">
      <c r="B130" s="660"/>
      <c r="C130" s="303">
        <v>3</v>
      </c>
      <c r="D130" s="225"/>
      <c r="E130" s="181"/>
      <c r="F130" s="303"/>
      <c r="G130" s="306"/>
      <c r="H130" s="699"/>
      <c r="I130" s="198" t="e">
        <f t="shared" si="91"/>
        <v>#DIV/0!</v>
      </c>
      <c r="J130" s="198" t="e">
        <f t="shared" si="91"/>
        <v>#DIV/0!</v>
      </c>
      <c r="K130" s="198" t="e">
        <f t="shared" si="92"/>
        <v>#DIV/0!</v>
      </c>
      <c r="L130" s="702"/>
      <c r="M130" s="198" t="e">
        <f>RANK(K130, K$128:$K$142)</f>
        <v>#DIV/0!</v>
      </c>
    </row>
    <row r="131" spans="2:13">
      <c r="B131" s="660"/>
      <c r="C131" s="303">
        <v>4</v>
      </c>
      <c r="D131" s="225"/>
      <c r="E131" s="181"/>
      <c r="F131" s="303"/>
      <c r="G131" s="306"/>
      <c r="H131" s="699"/>
      <c r="I131" s="198" t="e">
        <f t="shared" si="91"/>
        <v>#DIV/0!</v>
      </c>
      <c r="J131" s="198" t="e">
        <f t="shared" si="91"/>
        <v>#DIV/0!</v>
      </c>
      <c r="K131" s="198" t="e">
        <f t="shared" si="92"/>
        <v>#DIV/0!</v>
      </c>
      <c r="L131" s="702"/>
      <c r="M131" s="198" t="e">
        <f>RANK(K131, K$128:$K$142)</f>
        <v>#DIV/0!</v>
      </c>
    </row>
    <row r="132" spans="2:13">
      <c r="B132" s="660"/>
      <c r="C132" s="303">
        <v>5</v>
      </c>
      <c r="D132" s="225"/>
      <c r="E132" s="181"/>
      <c r="F132" s="303"/>
      <c r="G132" s="306"/>
      <c r="H132" s="699"/>
      <c r="I132" s="198" t="e">
        <f t="shared" si="91"/>
        <v>#DIV/0!</v>
      </c>
      <c r="J132" s="198" t="e">
        <f t="shared" si="91"/>
        <v>#DIV/0!</v>
      </c>
      <c r="K132" s="198" t="e">
        <f t="shared" si="92"/>
        <v>#DIV/0!</v>
      </c>
      <c r="L132" s="702"/>
      <c r="M132" s="198" t="e">
        <f>RANK(K132, K$128:$K$142)</f>
        <v>#DIV/0!</v>
      </c>
    </row>
    <row r="133" spans="2:13">
      <c r="B133" s="660"/>
      <c r="C133" s="303">
        <v>6</v>
      </c>
      <c r="D133" s="312"/>
      <c r="E133" s="181"/>
      <c r="F133" s="303"/>
      <c r="G133" s="306"/>
      <c r="H133" s="699"/>
      <c r="I133" s="198" t="e">
        <f t="shared" si="91"/>
        <v>#DIV/0!</v>
      </c>
      <c r="J133" s="198" t="e">
        <f t="shared" si="91"/>
        <v>#DIV/0!</v>
      </c>
      <c r="K133" s="198" t="e">
        <f t="shared" si="92"/>
        <v>#DIV/0!</v>
      </c>
      <c r="L133" s="702"/>
      <c r="M133" s="198" t="e">
        <f>RANK(K133, K$128:$K$142)</f>
        <v>#DIV/0!</v>
      </c>
    </row>
    <row r="134" spans="2:13">
      <c r="B134" s="660"/>
      <c r="C134" s="303">
        <v>7</v>
      </c>
      <c r="D134" s="225"/>
      <c r="E134" s="181"/>
      <c r="F134" s="303"/>
      <c r="G134" s="306"/>
      <c r="H134" s="699"/>
      <c r="I134" s="198"/>
      <c r="J134" s="198"/>
      <c r="K134" s="198"/>
      <c r="L134" s="702"/>
      <c r="M134" s="198" t="e">
        <f>RANK(K134, K$128:$K$142)</f>
        <v>#DIV/0!</v>
      </c>
    </row>
    <row r="135" spans="2:13">
      <c r="B135" s="660"/>
      <c r="C135" s="303">
        <v>8</v>
      </c>
      <c r="D135" s="225"/>
      <c r="E135" s="181"/>
      <c r="F135" s="303"/>
      <c r="G135" s="306"/>
      <c r="H135" s="699"/>
      <c r="I135" s="198"/>
      <c r="J135" s="198"/>
      <c r="K135" s="198"/>
      <c r="L135" s="702"/>
      <c r="M135" s="198" t="e">
        <f>RANK(K135, K$128:$K$142)</f>
        <v>#DIV/0!</v>
      </c>
    </row>
    <row r="136" spans="2:13">
      <c r="B136" s="660"/>
      <c r="C136" s="303">
        <v>9</v>
      </c>
      <c r="D136" s="225"/>
      <c r="E136" s="303"/>
      <c r="F136" s="303"/>
      <c r="G136" s="303"/>
      <c r="H136" s="699"/>
      <c r="I136" s="198"/>
      <c r="J136" s="198"/>
      <c r="K136" s="198"/>
      <c r="L136" s="702"/>
      <c r="M136" s="198" t="e">
        <f>RANK(K136, K$128:$K$142)</f>
        <v>#DIV/0!</v>
      </c>
    </row>
    <row r="137" spans="2:13">
      <c r="B137" s="660"/>
      <c r="C137" s="303">
        <v>10</v>
      </c>
      <c r="D137" s="225"/>
      <c r="E137" s="303"/>
      <c r="F137" s="303"/>
      <c r="G137" s="303"/>
      <c r="H137" s="699"/>
      <c r="I137" s="198"/>
      <c r="J137" s="198"/>
      <c r="K137" s="198"/>
      <c r="L137" s="702"/>
      <c r="M137" s="198" t="e">
        <f>RANK(K137, K$128:$K$142)</f>
        <v>#DIV/0!</v>
      </c>
    </row>
    <row r="138" spans="2:13">
      <c r="B138" s="660"/>
      <c r="C138" s="303">
        <v>11</v>
      </c>
      <c r="D138" s="225"/>
      <c r="E138" s="303"/>
      <c r="F138" s="303"/>
      <c r="G138" s="303"/>
      <c r="H138" s="699"/>
      <c r="I138" s="198"/>
      <c r="J138" s="198"/>
      <c r="K138" s="198"/>
      <c r="L138" s="702"/>
      <c r="M138" s="198" t="e">
        <f>RANK(K138, K$128:$K$142)</f>
        <v>#DIV/0!</v>
      </c>
    </row>
    <row r="139" spans="2:13">
      <c r="B139" s="660"/>
      <c r="C139" s="303">
        <v>12</v>
      </c>
      <c r="D139" s="225"/>
      <c r="E139" s="303"/>
      <c r="F139" s="303"/>
      <c r="G139" s="303"/>
      <c r="H139" s="699"/>
      <c r="I139" s="198"/>
      <c r="J139" s="198"/>
      <c r="K139" s="198"/>
      <c r="L139" s="702"/>
      <c r="M139" s="198" t="e">
        <f>RANK(K139, K$128:$K$142)</f>
        <v>#DIV/0!</v>
      </c>
    </row>
    <row r="140" spans="2:13">
      <c r="B140" s="660"/>
      <c r="C140" s="303">
        <v>13</v>
      </c>
      <c r="D140" s="225"/>
      <c r="E140" s="303"/>
      <c r="F140" s="303"/>
      <c r="G140" s="303"/>
      <c r="H140" s="699"/>
      <c r="I140" s="198"/>
      <c r="J140" s="198"/>
      <c r="K140" s="198"/>
      <c r="L140" s="702"/>
      <c r="M140" s="198" t="e">
        <f>RANK(K140, K$128:$K$142)</f>
        <v>#DIV/0!</v>
      </c>
    </row>
    <row r="141" spans="2:13">
      <c r="B141" s="660"/>
      <c r="C141" s="303">
        <v>14</v>
      </c>
      <c r="D141" s="225"/>
      <c r="E141" s="303"/>
      <c r="F141" s="303"/>
      <c r="G141" s="303"/>
      <c r="H141" s="699"/>
      <c r="I141" s="198"/>
      <c r="J141" s="198"/>
      <c r="K141" s="198"/>
      <c r="L141" s="702"/>
      <c r="M141" s="198" t="e">
        <f>RANK(K141, K$128:$K$142)</f>
        <v>#DIV/0!</v>
      </c>
    </row>
    <row r="142" spans="2:13">
      <c r="B142" s="660"/>
      <c r="C142" s="303">
        <v>15</v>
      </c>
      <c r="D142" s="225"/>
      <c r="E142" s="303"/>
      <c r="F142" s="303"/>
      <c r="G142" s="303"/>
      <c r="H142" s="700"/>
      <c r="I142" s="198"/>
      <c r="J142" s="198"/>
      <c r="K142" s="198"/>
      <c r="L142" s="703"/>
      <c r="M142" s="198" t="e">
        <f>RANK(K142, K$128:$K$142)</f>
        <v>#DIV/0!</v>
      </c>
    </row>
  </sheetData>
  <mergeCells count="379"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BA87:BA101"/>
    <mergeCell ref="BA104:BA106"/>
    <mergeCell ref="BA107:BA121"/>
    <mergeCell ref="BA4:BA6"/>
    <mergeCell ref="BA7:BA21"/>
    <mergeCell ref="BA24:BA26"/>
    <mergeCell ref="BA27:BA41"/>
    <mergeCell ref="BA44:BA46"/>
    <mergeCell ref="BA47:BA61"/>
    <mergeCell ref="BA64:BA66"/>
    <mergeCell ref="BA67:BA81"/>
    <mergeCell ref="BA84:BA86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M36"/>
  <sheetViews>
    <sheetView zoomScale="70" zoomScaleNormal="70" zoomScaleSheetLayoutView="100" workbookViewId="0">
      <selection activeCell="O33" sqref="O33"/>
    </sheetView>
  </sheetViews>
  <sheetFormatPr defaultColWidth="12.5703125" defaultRowHeight="15.75" customHeight="1"/>
  <cols>
    <col min="1" max="1" width="6.42578125" style="119" customWidth="1"/>
    <col min="2" max="10" width="11.5703125" style="119" customWidth="1"/>
    <col min="11" max="12" width="12.85546875" style="119" customWidth="1"/>
    <col min="13" max="13" width="12.5703125" style="120"/>
    <col min="14" max="16384" width="12.5703125" style="119"/>
  </cols>
  <sheetData>
    <row r="1" spans="1:13" ht="15.75" customHeight="1">
      <c r="A1" s="605" t="s">
        <v>185</v>
      </c>
      <c r="B1" s="605"/>
      <c r="C1" s="605"/>
      <c r="D1" s="605"/>
      <c r="E1" s="605"/>
      <c r="F1" s="605"/>
      <c r="G1" s="605"/>
      <c r="H1" s="605"/>
      <c r="I1" s="605"/>
      <c r="J1" s="605"/>
      <c r="K1" s="605"/>
      <c r="L1" s="605"/>
      <c r="M1" s="119"/>
    </row>
    <row r="2" spans="1:13" s="120" customFormat="1" ht="15.75" customHeight="1">
      <c r="A2" s="605"/>
      <c r="B2" s="605"/>
      <c r="C2" s="605"/>
      <c r="D2" s="605"/>
      <c r="E2" s="605"/>
      <c r="F2" s="605"/>
      <c r="G2" s="605"/>
      <c r="H2" s="605"/>
      <c r="I2" s="605"/>
      <c r="J2" s="605"/>
      <c r="K2" s="605"/>
      <c r="L2" s="605"/>
    </row>
    <row r="3" spans="1:13" ht="15.75" customHeight="1">
      <c r="A3" s="735" t="s">
        <v>186</v>
      </c>
      <c r="B3" s="736"/>
      <c r="C3" s="736"/>
      <c r="D3" s="736"/>
      <c r="E3" s="736"/>
      <c r="F3" s="736"/>
      <c r="G3" s="736"/>
      <c r="H3" s="736"/>
      <c r="I3" s="736"/>
      <c r="J3" s="736"/>
      <c r="K3" s="736"/>
      <c r="L3" s="736"/>
      <c r="M3" s="151"/>
    </row>
    <row r="4" spans="1:13" s="120" customFormat="1" ht="15.75" customHeight="1">
      <c r="A4" s="736"/>
      <c r="B4" s="736"/>
      <c r="C4" s="736"/>
      <c r="D4" s="736"/>
      <c r="E4" s="736"/>
      <c r="F4" s="736"/>
      <c r="G4" s="736"/>
      <c r="H4" s="736"/>
      <c r="I4" s="736"/>
      <c r="J4" s="736"/>
      <c r="K4" s="736"/>
      <c r="L4" s="736"/>
      <c r="M4" s="130"/>
    </row>
    <row r="5" spans="1:13" s="153" customFormat="1" ht="16.350000000000001" customHeight="1">
      <c r="A5" s="722" t="s">
        <v>154</v>
      </c>
      <c r="B5" s="165">
        <v>1</v>
      </c>
      <c r="C5" s="165">
        <v>2</v>
      </c>
      <c r="D5" s="155">
        <v>3</v>
      </c>
      <c r="E5" s="155">
        <v>4</v>
      </c>
      <c r="F5" s="155">
        <v>5</v>
      </c>
      <c r="G5" s="155">
        <v>6</v>
      </c>
      <c r="H5" s="155">
        <v>7</v>
      </c>
      <c r="I5" s="155">
        <v>8</v>
      </c>
      <c r="J5" s="155">
        <v>9</v>
      </c>
      <c r="K5" s="152"/>
      <c r="L5" s="152"/>
      <c r="M5" s="152"/>
    </row>
    <row r="6" spans="1:13" ht="16.350000000000001" customHeight="1">
      <c r="A6" s="722"/>
      <c r="B6" s="166" t="s">
        <v>187</v>
      </c>
      <c r="C6" s="166" t="s">
        <v>151</v>
      </c>
      <c r="D6" s="156" t="s">
        <v>188</v>
      </c>
      <c r="E6" s="156" t="s">
        <v>153</v>
      </c>
      <c r="F6" s="157" t="s">
        <v>133</v>
      </c>
      <c r="G6" s="158" t="s">
        <v>131</v>
      </c>
      <c r="H6" s="159" t="s">
        <v>189</v>
      </c>
      <c r="I6" s="158" t="s">
        <v>190</v>
      </c>
      <c r="J6" s="158" t="s">
        <v>137</v>
      </c>
      <c r="K6" s="154"/>
      <c r="L6" s="154"/>
      <c r="M6" s="130"/>
    </row>
    <row r="7" spans="1:13" s="153" customFormat="1" ht="15.75" customHeight="1">
      <c r="A7" s="723" t="s">
        <v>168</v>
      </c>
      <c r="B7" s="723"/>
      <c r="C7" s="346" t="s">
        <v>385</v>
      </c>
      <c r="D7" s="723" t="s">
        <v>12</v>
      </c>
      <c r="E7" s="726"/>
      <c r="F7" s="726"/>
      <c r="G7" s="346" t="s">
        <v>46</v>
      </c>
      <c r="H7" s="346" t="s">
        <v>507</v>
      </c>
      <c r="I7" s="346" t="s">
        <v>382</v>
      </c>
      <c r="J7" s="221" t="s">
        <v>383</v>
      </c>
      <c r="K7" s="723" t="s">
        <v>384</v>
      </c>
      <c r="L7" s="726"/>
      <c r="M7" s="152"/>
    </row>
    <row r="8" spans="1:13" ht="15.75" customHeight="1">
      <c r="A8" s="722">
        <v>1</v>
      </c>
      <c r="B8" s="723" t="s">
        <v>150</v>
      </c>
      <c r="C8" s="574">
        <v>1</v>
      </c>
      <c r="D8" s="362" t="s">
        <v>602</v>
      </c>
      <c r="E8" s="343"/>
      <c r="F8" s="344"/>
      <c r="G8" s="357">
        <v>3</v>
      </c>
      <c r="H8" s="357">
        <v>3356.5131484031708</v>
      </c>
      <c r="I8" s="357">
        <v>1118.8377161343903</v>
      </c>
      <c r="J8" s="376" t="s">
        <v>721</v>
      </c>
      <c r="K8" s="729" t="s">
        <v>741</v>
      </c>
      <c r="L8" s="730"/>
      <c r="M8" s="130"/>
    </row>
    <row r="9" spans="1:13" ht="15.75" customHeight="1">
      <c r="A9" s="722"/>
      <c r="B9" s="723"/>
      <c r="C9" s="574">
        <v>2</v>
      </c>
      <c r="D9" s="356" t="s">
        <v>607</v>
      </c>
      <c r="E9" s="343"/>
      <c r="F9" s="344"/>
      <c r="G9" s="357">
        <v>3</v>
      </c>
      <c r="H9" s="357">
        <v>3309.7154169359987</v>
      </c>
      <c r="I9" s="357">
        <v>1103.2384723119997</v>
      </c>
      <c r="J9" s="240" t="s">
        <v>722</v>
      </c>
      <c r="K9" s="731"/>
      <c r="L9" s="732"/>
      <c r="M9" s="130"/>
    </row>
    <row r="10" spans="1:13" ht="15.75" customHeight="1">
      <c r="A10" s="722"/>
      <c r="B10" s="723"/>
      <c r="C10" s="574">
        <v>3</v>
      </c>
      <c r="D10" s="362" t="s">
        <v>336</v>
      </c>
      <c r="E10" s="343"/>
      <c r="F10" s="344"/>
      <c r="G10" s="357">
        <v>3</v>
      </c>
      <c r="H10" s="357">
        <v>3243.0939242093636</v>
      </c>
      <c r="I10" s="357">
        <v>1081.0313080697881</v>
      </c>
      <c r="J10" s="240" t="s">
        <v>722</v>
      </c>
      <c r="K10" s="731"/>
      <c r="L10" s="732"/>
      <c r="M10" s="130"/>
    </row>
    <row r="11" spans="1:13" ht="15.75" customHeight="1">
      <c r="A11" s="722"/>
      <c r="B11" s="723"/>
      <c r="C11" s="574">
        <v>4</v>
      </c>
      <c r="D11" s="465" t="s">
        <v>340</v>
      </c>
      <c r="E11" s="343"/>
      <c r="F11" s="344"/>
      <c r="G11" s="357">
        <v>3</v>
      </c>
      <c r="H11" s="357">
        <v>3232.0586031896623</v>
      </c>
      <c r="I11" s="357">
        <v>1077.3528677298875</v>
      </c>
      <c r="J11" s="241" t="s">
        <v>723</v>
      </c>
      <c r="K11" s="731"/>
      <c r="L11" s="732"/>
      <c r="M11" s="130"/>
    </row>
    <row r="12" spans="1:13" ht="15.75" customHeight="1">
      <c r="A12" s="722"/>
      <c r="B12" s="723"/>
      <c r="C12" s="574">
        <v>5</v>
      </c>
      <c r="D12" s="362" t="s">
        <v>335</v>
      </c>
      <c r="E12" s="343"/>
      <c r="F12" s="344"/>
      <c r="G12" s="357">
        <v>3</v>
      </c>
      <c r="H12" s="357">
        <v>3226.0243993450617</v>
      </c>
      <c r="I12" s="357">
        <v>1075.3414664483539</v>
      </c>
      <c r="J12" s="376" t="s">
        <v>721</v>
      </c>
      <c r="K12" s="733"/>
      <c r="L12" s="734"/>
      <c r="M12" s="130"/>
    </row>
    <row r="13" spans="1:13" ht="15.75" customHeight="1">
      <c r="A13" s="722"/>
      <c r="B13" s="723"/>
      <c r="C13" s="164" t="s">
        <v>716</v>
      </c>
      <c r="D13" s="356" t="s">
        <v>594</v>
      </c>
      <c r="E13" s="343"/>
      <c r="F13" s="344"/>
      <c r="G13" s="357">
        <v>8.5714285714285712</v>
      </c>
      <c r="H13" s="357">
        <v>1437.7401219235494</v>
      </c>
      <c r="I13" s="357">
        <v>168.83717910598989</v>
      </c>
      <c r="J13" s="376" t="s">
        <v>721</v>
      </c>
      <c r="K13" s="727"/>
      <c r="L13" s="726"/>
      <c r="M13" s="130"/>
    </row>
    <row r="14" spans="1:13" ht="15.75" customHeight="1">
      <c r="A14" s="722"/>
      <c r="B14" s="723"/>
      <c r="C14" s="164" t="s">
        <v>717</v>
      </c>
      <c r="D14" s="356" t="s">
        <v>634</v>
      </c>
      <c r="E14" s="343"/>
      <c r="F14" s="344"/>
      <c r="G14" s="357">
        <v>5</v>
      </c>
      <c r="H14" s="357">
        <v>1961.7346938775579</v>
      </c>
      <c r="I14" s="357">
        <v>392.3469387755116</v>
      </c>
      <c r="J14" s="239" t="s">
        <v>721</v>
      </c>
      <c r="K14" s="728"/>
      <c r="L14" s="728"/>
      <c r="M14" s="130"/>
    </row>
    <row r="15" spans="1:13" ht="15.75" customHeight="1">
      <c r="A15" s="722"/>
      <c r="B15" s="723"/>
      <c r="C15" s="164" t="s">
        <v>718</v>
      </c>
      <c r="D15" s="463" t="s">
        <v>633</v>
      </c>
      <c r="E15" s="343"/>
      <c r="F15" s="344"/>
      <c r="G15" s="357">
        <v>5</v>
      </c>
      <c r="H15" s="357">
        <v>1963.4642857142928</v>
      </c>
      <c r="I15" s="357">
        <v>392.69285714285854</v>
      </c>
      <c r="J15" s="239" t="s">
        <v>721</v>
      </c>
      <c r="K15" s="728"/>
      <c r="L15" s="728"/>
      <c r="M15" s="130"/>
    </row>
    <row r="16" spans="1:13" ht="15.75" customHeight="1">
      <c r="A16" s="722"/>
      <c r="B16" s="723"/>
      <c r="C16" s="164" t="s">
        <v>719</v>
      </c>
      <c r="D16" s="356" t="s">
        <v>630</v>
      </c>
      <c r="E16" s="343"/>
      <c r="F16" s="344"/>
      <c r="G16" s="357">
        <v>4</v>
      </c>
      <c r="H16" s="357">
        <v>2262.336134453778</v>
      </c>
      <c r="I16" s="357">
        <v>565.58403361344449</v>
      </c>
      <c r="J16" s="239" t="s">
        <v>721</v>
      </c>
      <c r="K16" s="728"/>
      <c r="L16" s="728"/>
      <c r="M16" s="151"/>
    </row>
    <row r="17" spans="1:13" ht="15.75" customHeight="1">
      <c r="A17" s="722"/>
      <c r="B17" s="723"/>
      <c r="C17" s="164" t="s">
        <v>720</v>
      </c>
      <c r="D17" s="465" t="s">
        <v>735</v>
      </c>
      <c r="E17" s="343"/>
      <c r="F17" s="344"/>
      <c r="G17" s="357">
        <v>4</v>
      </c>
      <c r="H17" s="357">
        <v>2783.7160365452633</v>
      </c>
      <c r="I17" s="357">
        <v>695.92900913631581</v>
      </c>
      <c r="J17" s="239" t="s">
        <v>721</v>
      </c>
      <c r="K17" s="727"/>
      <c r="L17" s="726"/>
      <c r="M17" s="151"/>
    </row>
    <row r="18" spans="1:13" s="161" customFormat="1" ht="15.75" customHeight="1">
      <c r="A18" s="720" t="s">
        <v>167</v>
      </c>
      <c r="B18" s="720"/>
      <c r="C18" s="575" t="s">
        <v>47</v>
      </c>
      <c r="D18" s="720" t="s">
        <v>12</v>
      </c>
      <c r="E18" s="721"/>
      <c r="F18" s="721"/>
      <c r="G18" s="575" t="s">
        <v>46</v>
      </c>
      <c r="H18" s="575" t="s">
        <v>507</v>
      </c>
      <c r="I18" s="575" t="s">
        <v>382</v>
      </c>
      <c r="J18" s="221" t="s">
        <v>383</v>
      </c>
      <c r="K18" s="720" t="s">
        <v>51</v>
      </c>
      <c r="L18" s="721"/>
      <c r="M18" s="154"/>
    </row>
    <row r="19" spans="1:13" ht="15.75" customHeight="1">
      <c r="A19" s="722">
        <v>2</v>
      </c>
      <c r="B19" s="723" t="s">
        <v>151</v>
      </c>
      <c r="C19" s="574">
        <v>1</v>
      </c>
      <c r="D19" s="342" t="s">
        <v>571</v>
      </c>
      <c r="E19" s="343"/>
      <c r="F19" s="344"/>
      <c r="G19" s="357">
        <v>10</v>
      </c>
      <c r="H19" s="357">
        <v>1533.9030303030322</v>
      </c>
      <c r="I19" s="357">
        <v>153.39030303030319</v>
      </c>
      <c r="J19" s="240" t="s">
        <v>722</v>
      </c>
      <c r="K19" s="725" t="s">
        <v>787</v>
      </c>
      <c r="L19" s="726"/>
      <c r="M19" s="151"/>
    </row>
    <row r="20" spans="1:13" ht="15.75" customHeight="1">
      <c r="A20" s="722"/>
      <c r="B20" s="723"/>
      <c r="C20" s="574">
        <v>2</v>
      </c>
      <c r="D20" s="342" t="s">
        <v>591</v>
      </c>
      <c r="E20" s="343"/>
      <c r="F20" s="344"/>
      <c r="G20" s="357">
        <v>13.285714285714286</v>
      </c>
      <c r="H20" s="357">
        <v>1846.7181746824608</v>
      </c>
      <c r="I20" s="357">
        <v>139.25685891816198</v>
      </c>
      <c r="J20" s="241" t="s">
        <v>723</v>
      </c>
      <c r="K20" s="718" t="s">
        <v>725</v>
      </c>
      <c r="L20" s="719"/>
      <c r="M20" s="151"/>
    </row>
    <row r="21" spans="1:13" ht="15.75" customHeight="1">
      <c r="A21" s="722"/>
      <c r="B21" s="723"/>
      <c r="C21" s="574">
        <v>3</v>
      </c>
      <c r="D21" s="358" t="s">
        <v>592</v>
      </c>
      <c r="E21" s="343"/>
      <c r="F21" s="344"/>
      <c r="G21" s="357">
        <v>13.285714285714286</v>
      </c>
      <c r="H21" s="357">
        <v>1830.5097744360887</v>
      </c>
      <c r="I21" s="357">
        <v>137.96197636949506</v>
      </c>
      <c r="J21" s="239" t="s">
        <v>721</v>
      </c>
      <c r="K21" s="718"/>
      <c r="L21" s="719"/>
      <c r="M21" s="151"/>
    </row>
    <row r="22" spans="1:13" ht="15.75" customHeight="1">
      <c r="A22" s="722"/>
      <c r="B22" s="723"/>
      <c r="C22" s="574">
        <v>4</v>
      </c>
      <c r="D22" s="358" t="s">
        <v>713</v>
      </c>
      <c r="E22" s="343"/>
      <c r="F22" s="344"/>
      <c r="G22" s="357">
        <v>13.285714285714286</v>
      </c>
      <c r="H22" s="357">
        <v>1772.8065661047017</v>
      </c>
      <c r="I22" s="357">
        <v>133.66368946049505</v>
      </c>
      <c r="J22" s="239" t="s">
        <v>721</v>
      </c>
      <c r="K22" s="718"/>
      <c r="L22" s="719"/>
      <c r="M22" s="151"/>
    </row>
    <row r="23" spans="1:13" ht="15.75" customHeight="1">
      <c r="A23" s="722"/>
      <c r="B23" s="723"/>
      <c r="C23" s="574">
        <v>5</v>
      </c>
      <c r="D23" s="358"/>
      <c r="E23" s="343"/>
      <c r="F23" s="344"/>
      <c r="G23" s="357"/>
      <c r="H23" s="357"/>
      <c r="I23" s="357"/>
      <c r="J23" s="239"/>
      <c r="K23" s="718"/>
      <c r="L23" s="719"/>
      <c r="M23" s="151"/>
    </row>
    <row r="24" spans="1:13" ht="15.75" customHeight="1">
      <c r="A24" s="722"/>
      <c r="B24" s="723"/>
      <c r="C24" s="164" t="s">
        <v>716</v>
      </c>
      <c r="D24" s="342"/>
      <c r="E24" s="343"/>
      <c r="F24" s="344"/>
      <c r="G24" s="357"/>
      <c r="H24" s="357"/>
      <c r="I24" s="357"/>
      <c r="J24" s="239"/>
      <c r="K24" s="724"/>
      <c r="L24" s="719"/>
      <c r="M24" s="151"/>
    </row>
    <row r="25" spans="1:13" ht="15.75" customHeight="1">
      <c r="A25" s="722"/>
      <c r="B25" s="723"/>
      <c r="C25" s="164" t="s">
        <v>717</v>
      </c>
      <c r="D25" s="342"/>
      <c r="E25" s="343"/>
      <c r="F25" s="344"/>
      <c r="G25" s="357"/>
      <c r="H25" s="357"/>
      <c r="I25" s="357"/>
      <c r="J25" s="239"/>
      <c r="K25" s="718"/>
      <c r="L25" s="719"/>
      <c r="M25" s="151"/>
    </row>
    <row r="26" spans="1:13" ht="15.75" customHeight="1">
      <c r="A26" s="722"/>
      <c r="B26" s="723"/>
      <c r="C26" s="164" t="s">
        <v>718</v>
      </c>
      <c r="E26" s="343"/>
      <c r="F26" s="344"/>
      <c r="G26" s="357"/>
      <c r="H26" s="357"/>
      <c r="I26" s="357"/>
      <c r="J26" s="576"/>
      <c r="K26" s="718"/>
      <c r="L26" s="719"/>
      <c r="M26" s="151"/>
    </row>
    <row r="27" spans="1:13" ht="15.75" customHeight="1">
      <c r="A27" s="722"/>
      <c r="B27" s="723"/>
      <c r="C27" s="164" t="s">
        <v>719</v>
      </c>
      <c r="D27" s="342"/>
      <c r="E27" s="343"/>
      <c r="F27" s="344"/>
      <c r="G27" s="357"/>
      <c r="H27" s="357"/>
      <c r="I27" s="357"/>
      <c r="J27" s="576"/>
      <c r="K27" s="718"/>
      <c r="L27" s="719"/>
      <c r="M27" s="151"/>
    </row>
    <row r="28" spans="1:13" ht="15.75" customHeight="1">
      <c r="A28" s="722"/>
      <c r="B28" s="723"/>
      <c r="C28" s="164" t="s">
        <v>720</v>
      </c>
      <c r="D28" s="342"/>
      <c r="E28" s="343"/>
      <c r="F28" s="344"/>
      <c r="G28" s="576"/>
      <c r="H28" s="576"/>
      <c r="I28" s="576"/>
      <c r="J28" s="576"/>
      <c r="K28" s="718"/>
      <c r="L28" s="719"/>
      <c r="M28" s="151"/>
    </row>
    <row r="29" spans="1:13" ht="15.75" customHeight="1">
      <c r="A29" s="151"/>
      <c r="B29" s="151"/>
      <c r="C29" s="151"/>
      <c r="D29" s="151"/>
      <c r="E29" s="151"/>
      <c r="F29" s="151"/>
      <c r="G29" s="151"/>
      <c r="H29" s="151"/>
      <c r="I29" s="151"/>
      <c r="J29" s="151"/>
      <c r="K29" s="151"/>
      <c r="L29" s="151"/>
      <c r="M29" s="130"/>
    </row>
    <row r="30" spans="1:13" ht="15.75" customHeight="1">
      <c r="A30" s="151"/>
      <c r="B30" s="151"/>
      <c r="C30" s="151"/>
      <c r="D30" s="151"/>
      <c r="E30" s="151"/>
      <c r="F30" s="151"/>
      <c r="G30" s="151"/>
      <c r="H30" s="151"/>
      <c r="I30" s="151"/>
      <c r="J30" s="151"/>
      <c r="K30" s="151"/>
      <c r="L30" s="151"/>
      <c r="M30" s="151"/>
    </row>
    <row r="31" spans="1:13" ht="15.75" customHeight="1">
      <c r="A31" s="151"/>
      <c r="B31" s="151"/>
      <c r="C31" s="151"/>
      <c r="D31" s="151"/>
      <c r="E31" s="151"/>
      <c r="F31" s="151"/>
      <c r="G31" s="151"/>
      <c r="H31" s="151"/>
      <c r="I31" s="151"/>
      <c r="J31" s="151"/>
      <c r="K31" s="151"/>
      <c r="L31" s="151"/>
      <c r="M31" s="130"/>
    </row>
    <row r="32" spans="1:13" ht="15.75" customHeight="1">
      <c r="A32" s="151"/>
      <c r="B32" s="151"/>
      <c r="C32" s="151"/>
      <c r="D32" s="151"/>
      <c r="E32" s="151"/>
      <c r="F32" s="151"/>
      <c r="G32" s="151"/>
      <c r="H32" s="151"/>
      <c r="I32" s="151"/>
      <c r="J32" s="151"/>
      <c r="K32" s="151"/>
      <c r="L32" s="151"/>
      <c r="M32" s="130"/>
    </row>
    <row r="33" spans="1:13" ht="15.75" customHeight="1">
      <c r="A33" s="151"/>
      <c r="B33" s="151"/>
      <c r="C33" s="151"/>
      <c r="D33" s="151"/>
      <c r="E33" s="151"/>
      <c r="F33" s="151"/>
      <c r="G33" s="151"/>
      <c r="H33" s="151"/>
      <c r="I33" s="151"/>
      <c r="J33" s="151"/>
      <c r="K33" s="151"/>
      <c r="L33" s="151"/>
      <c r="M33" s="130"/>
    </row>
    <row r="34" spans="1:13" ht="15.75" customHeight="1">
      <c r="A34" s="151"/>
      <c r="B34" s="151"/>
      <c r="C34" s="151"/>
      <c r="D34" s="151"/>
      <c r="E34" s="151"/>
      <c r="F34" s="151"/>
      <c r="G34" s="151"/>
      <c r="H34" s="151"/>
      <c r="I34" s="151"/>
      <c r="J34" s="151"/>
      <c r="K34" s="151"/>
      <c r="L34" s="151"/>
      <c r="M34" s="130"/>
    </row>
    <row r="35" spans="1:13" ht="15.75" customHeight="1">
      <c r="A35" s="151"/>
      <c r="B35" s="151"/>
      <c r="C35" s="151"/>
      <c r="D35" s="151"/>
      <c r="E35" s="151"/>
      <c r="F35" s="151"/>
      <c r="G35" s="151"/>
      <c r="H35" s="151"/>
      <c r="I35" s="151"/>
      <c r="J35" s="151"/>
      <c r="K35" s="151"/>
      <c r="L35" s="151"/>
      <c r="M35" s="130"/>
    </row>
    <row r="36" spans="1:13" ht="15.75" customHeight="1">
      <c r="M36" s="151"/>
    </row>
  </sheetData>
  <mergeCells count="29">
    <mergeCell ref="A1:L2"/>
    <mergeCell ref="A5:A6"/>
    <mergeCell ref="A7:B7"/>
    <mergeCell ref="D7:F7"/>
    <mergeCell ref="K7:L7"/>
    <mergeCell ref="A3:L4"/>
    <mergeCell ref="K13:L13"/>
    <mergeCell ref="A8:A17"/>
    <mergeCell ref="B8:B17"/>
    <mergeCell ref="K14:L14"/>
    <mergeCell ref="K17:L17"/>
    <mergeCell ref="K8:L12"/>
    <mergeCell ref="K15:L15"/>
    <mergeCell ref="K16:L16"/>
    <mergeCell ref="K23:L23"/>
    <mergeCell ref="A18:B18"/>
    <mergeCell ref="D18:F18"/>
    <mergeCell ref="K18:L18"/>
    <mergeCell ref="A19:A28"/>
    <mergeCell ref="K28:L28"/>
    <mergeCell ref="B19:B28"/>
    <mergeCell ref="K27:L27"/>
    <mergeCell ref="K26:L26"/>
    <mergeCell ref="K24:L24"/>
    <mergeCell ref="K25:L25"/>
    <mergeCell ref="K22:L22"/>
    <mergeCell ref="K19:L19"/>
    <mergeCell ref="K20:L20"/>
    <mergeCell ref="K21:L21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M35"/>
  <sheetViews>
    <sheetView zoomScale="70" zoomScaleNormal="70" zoomScaleSheetLayoutView="100" workbookViewId="0">
      <selection activeCell="A8" sqref="A8:L28"/>
    </sheetView>
  </sheetViews>
  <sheetFormatPr defaultColWidth="12.5703125" defaultRowHeight="15.75" customHeight="1"/>
  <cols>
    <col min="1" max="1" width="6.42578125" style="119" customWidth="1"/>
    <col min="2" max="10" width="11.5703125" style="119" customWidth="1"/>
    <col min="11" max="12" width="12.85546875" style="119" customWidth="1"/>
    <col min="13" max="13" width="12.5703125" style="120"/>
    <col min="14" max="16384" width="12.5703125" style="119"/>
  </cols>
  <sheetData>
    <row r="1" spans="1:13" ht="15.75" customHeight="1">
      <c r="A1" s="605" t="s">
        <v>185</v>
      </c>
      <c r="B1" s="605"/>
      <c r="C1" s="605"/>
      <c r="D1" s="605"/>
      <c r="E1" s="605"/>
      <c r="F1" s="605"/>
      <c r="G1" s="605"/>
      <c r="H1" s="605"/>
      <c r="I1" s="605"/>
      <c r="J1" s="605"/>
      <c r="K1" s="605"/>
      <c r="L1" s="605"/>
      <c r="M1" s="119"/>
    </row>
    <row r="2" spans="1:13" s="120" customFormat="1" ht="15.75" customHeight="1">
      <c r="A2" s="605"/>
      <c r="B2" s="605"/>
      <c r="C2" s="605"/>
      <c r="D2" s="605"/>
      <c r="E2" s="605"/>
      <c r="F2" s="605"/>
      <c r="G2" s="605"/>
      <c r="H2" s="605"/>
      <c r="I2" s="605"/>
      <c r="J2" s="605"/>
      <c r="K2" s="605"/>
      <c r="L2" s="605"/>
    </row>
    <row r="3" spans="1:13" ht="15.75" customHeight="1">
      <c r="A3" s="735" t="s">
        <v>186</v>
      </c>
      <c r="B3" s="736"/>
      <c r="C3" s="736"/>
      <c r="D3" s="736"/>
      <c r="E3" s="736"/>
      <c r="F3" s="736"/>
      <c r="G3" s="736"/>
      <c r="H3" s="736"/>
      <c r="I3" s="736"/>
      <c r="J3" s="736"/>
      <c r="K3" s="736"/>
      <c r="L3" s="736"/>
      <c r="M3" s="151"/>
    </row>
    <row r="4" spans="1:13" s="120" customFormat="1" ht="15.75" customHeight="1">
      <c r="A4" s="736"/>
      <c r="B4" s="736"/>
      <c r="C4" s="736"/>
      <c r="D4" s="736"/>
      <c r="E4" s="736"/>
      <c r="F4" s="736"/>
      <c r="G4" s="736"/>
      <c r="H4" s="736"/>
      <c r="I4" s="736"/>
      <c r="J4" s="736"/>
      <c r="K4" s="736"/>
      <c r="L4" s="736"/>
      <c r="M4" s="130"/>
    </row>
    <row r="5" spans="1:13" s="153" customFormat="1" ht="16.350000000000001" customHeight="1">
      <c r="A5" s="722" t="s">
        <v>154</v>
      </c>
      <c r="B5" s="155">
        <v>1</v>
      </c>
      <c r="C5" s="155">
        <v>2</v>
      </c>
      <c r="D5" s="165">
        <v>3</v>
      </c>
      <c r="E5" s="165">
        <v>4</v>
      </c>
      <c r="F5" s="155">
        <v>5</v>
      </c>
      <c r="G5" s="155">
        <v>6</v>
      </c>
      <c r="H5" s="155">
        <v>7</v>
      </c>
      <c r="I5" s="155">
        <v>8</v>
      </c>
      <c r="J5" s="155">
        <v>9</v>
      </c>
      <c r="K5" s="152"/>
      <c r="L5" s="152"/>
      <c r="M5" s="152"/>
    </row>
    <row r="6" spans="1:13" ht="16.350000000000001" customHeight="1">
      <c r="A6" s="722"/>
      <c r="B6" s="156" t="s">
        <v>187</v>
      </c>
      <c r="C6" s="156" t="s">
        <v>151</v>
      </c>
      <c r="D6" s="166" t="s">
        <v>188</v>
      </c>
      <c r="E6" s="166" t="s">
        <v>153</v>
      </c>
      <c r="F6" s="157" t="s">
        <v>133</v>
      </c>
      <c r="G6" s="158" t="s">
        <v>131</v>
      </c>
      <c r="H6" s="159" t="s">
        <v>189</v>
      </c>
      <c r="I6" s="158" t="s">
        <v>190</v>
      </c>
      <c r="J6" s="158" t="s">
        <v>137</v>
      </c>
      <c r="K6" s="154"/>
      <c r="L6" s="154"/>
      <c r="M6" s="130"/>
    </row>
    <row r="7" spans="1:13" s="153" customFormat="1" ht="15.75" customHeight="1">
      <c r="A7" s="723" t="s">
        <v>168</v>
      </c>
      <c r="B7" s="723"/>
      <c r="C7" s="346" t="s">
        <v>385</v>
      </c>
      <c r="D7" s="723" t="s">
        <v>12</v>
      </c>
      <c r="E7" s="726"/>
      <c r="F7" s="726"/>
      <c r="G7" s="361" t="s">
        <v>552</v>
      </c>
      <c r="H7" s="361" t="s">
        <v>553</v>
      </c>
      <c r="I7" s="361" t="s">
        <v>554</v>
      </c>
      <c r="J7" s="221" t="s">
        <v>555</v>
      </c>
      <c r="K7" s="723" t="s">
        <v>556</v>
      </c>
      <c r="L7" s="726"/>
      <c r="M7" s="152"/>
    </row>
    <row r="8" spans="1:13" ht="15.75" customHeight="1">
      <c r="A8" s="722">
        <v>3</v>
      </c>
      <c r="B8" s="723" t="s">
        <v>152</v>
      </c>
      <c r="C8" s="574">
        <v>1</v>
      </c>
      <c r="D8" s="342" t="s">
        <v>428</v>
      </c>
      <c r="E8" s="343"/>
      <c r="F8" s="344"/>
      <c r="G8" s="357">
        <v>5</v>
      </c>
      <c r="H8" s="357">
        <v>2082.4040343410093</v>
      </c>
      <c r="I8" s="357">
        <v>416.4808068682018</v>
      </c>
      <c r="J8" s="240" t="s">
        <v>722</v>
      </c>
      <c r="K8" s="746" t="s">
        <v>788</v>
      </c>
      <c r="L8" s="747"/>
      <c r="M8" s="130"/>
    </row>
    <row r="9" spans="1:13" ht="15.75" customHeight="1">
      <c r="A9" s="722"/>
      <c r="B9" s="723"/>
      <c r="C9" s="574">
        <v>2</v>
      </c>
      <c r="D9" s="342" t="s">
        <v>358</v>
      </c>
      <c r="E9" s="343"/>
      <c r="F9" s="344"/>
      <c r="G9" s="357">
        <v>5</v>
      </c>
      <c r="H9" s="357">
        <v>2078.8341105126196</v>
      </c>
      <c r="I9" s="357">
        <v>415.76682210252392</v>
      </c>
      <c r="J9" s="241" t="s">
        <v>723</v>
      </c>
      <c r="K9" s="748"/>
      <c r="L9" s="749"/>
      <c r="M9" s="130"/>
    </row>
    <row r="10" spans="1:13" ht="15.75" customHeight="1">
      <c r="A10" s="722"/>
      <c r="B10" s="723"/>
      <c r="C10" s="574">
        <v>3</v>
      </c>
      <c r="D10" s="342" t="s">
        <v>704</v>
      </c>
      <c r="E10" s="343"/>
      <c r="F10" s="344"/>
      <c r="G10" s="357">
        <v>7</v>
      </c>
      <c r="H10" s="357">
        <v>1697.1428571428535</v>
      </c>
      <c r="I10" s="357">
        <v>242.44897959183621</v>
      </c>
      <c r="J10" s="240" t="s">
        <v>722</v>
      </c>
      <c r="K10" s="744" t="s">
        <v>789</v>
      </c>
      <c r="L10" s="745"/>
      <c r="M10" s="130"/>
    </row>
    <row r="11" spans="1:13" ht="15.75" customHeight="1">
      <c r="A11" s="722"/>
      <c r="B11" s="723"/>
      <c r="C11" s="574">
        <v>4</v>
      </c>
      <c r="D11" s="342" t="s">
        <v>361</v>
      </c>
      <c r="E11" s="343"/>
      <c r="F11" s="344"/>
      <c r="G11" s="357">
        <v>10</v>
      </c>
      <c r="H11" s="357">
        <v>2422.2397014163739</v>
      </c>
      <c r="I11" s="357">
        <v>242.22397014163741</v>
      </c>
      <c r="J11" s="241" t="s">
        <v>723</v>
      </c>
      <c r="K11" s="738" t="s">
        <v>725</v>
      </c>
      <c r="L11" s="721"/>
      <c r="M11" s="130"/>
    </row>
    <row r="12" spans="1:13" ht="15.75" customHeight="1">
      <c r="A12" s="722"/>
      <c r="B12" s="723"/>
      <c r="C12" s="574">
        <v>5</v>
      </c>
      <c r="D12" s="342" t="s">
        <v>760</v>
      </c>
      <c r="E12" s="343"/>
      <c r="F12" s="344"/>
      <c r="G12" s="357">
        <v>11</v>
      </c>
      <c r="H12" s="357">
        <v>2153.1748419174332</v>
      </c>
      <c r="I12" s="357">
        <v>195.74316744703941</v>
      </c>
      <c r="J12" s="239" t="s">
        <v>721</v>
      </c>
      <c r="K12" s="739"/>
      <c r="L12" s="740"/>
      <c r="M12" s="130"/>
    </row>
    <row r="13" spans="1:13" ht="15.75" customHeight="1">
      <c r="A13" s="722"/>
      <c r="B13" s="723"/>
      <c r="C13" s="164" t="s">
        <v>716</v>
      </c>
      <c r="D13" s="342" t="s">
        <v>357</v>
      </c>
      <c r="E13" s="343"/>
      <c r="F13" s="344"/>
      <c r="G13" s="357">
        <v>18</v>
      </c>
      <c r="H13" s="357">
        <v>1095.8052415615073</v>
      </c>
      <c r="I13" s="357">
        <v>60.878068975639295</v>
      </c>
      <c r="J13" s="239" t="s">
        <v>721</v>
      </c>
      <c r="K13" s="737"/>
      <c r="L13" s="721"/>
      <c r="M13" s="130"/>
    </row>
    <row r="14" spans="1:13" ht="15.75" customHeight="1">
      <c r="A14" s="722"/>
      <c r="B14" s="723"/>
      <c r="C14" s="164" t="s">
        <v>717</v>
      </c>
      <c r="D14" s="342" t="s">
        <v>360</v>
      </c>
      <c r="E14" s="343"/>
      <c r="F14" s="344"/>
      <c r="G14" s="357">
        <v>13</v>
      </c>
      <c r="H14" s="357">
        <v>2151.7103555984718</v>
      </c>
      <c r="I14" s="357">
        <v>165.51618119988242</v>
      </c>
      <c r="J14" s="239" t="s">
        <v>721</v>
      </c>
      <c r="K14" s="737"/>
      <c r="L14" s="721"/>
      <c r="M14" s="130"/>
    </row>
    <row r="15" spans="1:13" ht="15.75" customHeight="1">
      <c r="A15" s="722"/>
      <c r="B15" s="723"/>
      <c r="C15" s="164" t="s">
        <v>718</v>
      </c>
      <c r="D15" s="342" t="s">
        <v>572</v>
      </c>
      <c r="E15" s="343"/>
      <c r="F15" s="344"/>
      <c r="G15" s="357">
        <v>13</v>
      </c>
      <c r="H15" s="357">
        <v>2153.1030000585279</v>
      </c>
      <c r="I15" s="357">
        <v>165.62330769680986</v>
      </c>
      <c r="J15" s="239" t="s">
        <v>721</v>
      </c>
      <c r="K15" s="737"/>
      <c r="L15" s="721"/>
      <c r="M15" s="130"/>
    </row>
    <row r="16" spans="1:13" ht="15.75" customHeight="1">
      <c r="A16" s="722"/>
      <c r="B16" s="723"/>
      <c r="C16" s="164" t="s">
        <v>719</v>
      </c>
      <c r="D16" s="342" t="s">
        <v>691</v>
      </c>
      <c r="E16" s="343"/>
      <c r="F16" s="344"/>
      <c r="G16" s="357">
        <v>11</v>
      </c>
      <c r="H16" s="357">
        <v>2076.261484798682</v>
      </c>
      <c r="I16" s="357">
        <v>188.7510440726075</v>
      </c>
      <c r="J16" s="239" t="s">
        <v>721</v>
      </c>
      <c r="K16" s="737"/>
      <c r="L16" s="721"/>
      <c r="M16" s="151"/>
    </row>
    <row r="17" spans="1:13" ht="15.75" customHeight="1">
      <c r="A17" s="722"/>
      <c r="B17" s="723"/>
      <c r="C17" s="164" t="s">
        <v>720</v>
      </c>
      <c r="D17" s="342"/>
      <c r="E17" s="343"/>
      <c r="F17" s="344"/>
      <c r="G17" s="357"/>
      <c r="H17" s="357"/>
      <c r="I17" s="357"/>
      <c r="J17" s="239"/>
      <c r="K17" s="737"/>
      <c r="L17" s="721"/>
      <c r="M17" s="151"/>
    </row>
    <row r="18" spans="1:13" s="161" customFormat="1" ht="15.75" customHeight="1">
      <c r="A18" s="720" t="s">
        <v>167</v>
      </c>
      <c r="B18" s="720"/>
      <c r="C18" s="575" t="s">
        <v>47</v>
      </c>
      <c r="D18" s="720" t="s">
        <v>12</v>
      </c>
      <c r="E18" s="721"/>
      <c r="F18" s="721"/>
      <c r="G18" s="575" t="s">
        <v>46</v>
      </c>
      <c r="H18" s="575" t="s">
        <v>507</v>
      </c>
      <c r="I18" s="575" t="s">
        <v>382</v>
      </c>
      <c r="J18" s="221" t="s">
        <v>383</v>
      </c>
      <c r="K18" s="720" t="s">
        <v>51</v>
      </c>
      <c r="L18" s="721"/>
      <c r="M18" s="154"/>
    </row>
    <row r="19" spans="1:13" ht="15.75" customHeight="1">
      <c r="A19" s="722">
        <v>4</v>
      </c>
      <c r="B19" s="723" t="s">
        <v>153</v>
      </c>
      <c r="C19" s="574">
        <v>1</v>
      </c>
      <c r="D19" s="464"/>
      <c r="E19" s="343"/>
      <c r="F19" s="344"/>
      <c r="G19" s="357"/>
      <c r="H19" s="357"/>
      <c r="I19" s="357"/>
      <c r="J19" s="240"/>
      <c r="K19" s="742"/>
      <c r="L19" s="719"/>
      <c r="M19" s="151"/>
    </row>
    <row r="20" spans="1:13" ht="15.75" customHeight="1">
      <c r="A20" s="722"/>
      <c r="B20" s="723"/>
      <c r="C20" s="574">
        <v>2</v>
      </c>
      <c r="D20" s="464"/>
      <c r="E20" s="343"/>
      <c r="F20" s="344"/>
      <c r="G20" s="357"/>
      <c r="H20" s="357"/>
      <c r="I20" s="357"/>
      <c r="J20" s="241"/>
      <c r="K20" s="743"/>
      <c r="L20" s="726"/>
      <c r="M20" s="151"/>
    </row>
    <row r="21" spans="1:13" ht="15.75" customHeight="1">
      <c r="A21" s="722"/>
      <c r="B21" s="723"/>
      <c r="C21" s="574">
        <v>3</v>
      </c>
      <c r="D21" s="358"/>
      <c r="E21" s="343"/>
      <c r="F21" s="344"/>
      <c r="G21" s="357"/>
      <c r="H21" s="357"/>
      <c r="I21" s="357"/>
      <c r="J21" s="241"/>
      <c r="K21" s="718"/>
      <c r="L21" s="719"/>
      <c r="M21" s="151"/>
    </row>
    <row r="22" spans="1:13" ht="15.75" customHeight="1">
      <c r="A22" s="722"/>
      <c r="B22" s="723"/>
      <c r="C22" s="574">
        <v>4</v>
      </c>
      <c r="D22" s="358"/>
      <c r="E22" s="343"/>
      <c r="F22" s="344"/>
      <c r="G22" s="576"/>
      <c r="H22" s="357"/>
      <c r="I22" s="357"/>
      <c r="J22" s="239"/>
      <c r="K22" s="718"/>
      <c r="L22" s="719"/>
      <c r="M22" s="151"/>
    </row>
    <row r="23" spans="1:13" ht="15.75" customHeight="1">
      <c r="A23" s="722"/>
      <c r="B23" s="723"/>
      <c r="C23" s="574">
        <v>5</v>
      </c>
      <c r="D23" s="342"/>
      <c r="E23" s="343"/>
      <c r="F23" s="344"/>
      <c r="G23" s="576"/>
      <c r="H23" s="576"/>
      <c r="I23" s="576"/>
      <c r="J23" s="576"/>
      <c r="K23" s="718"/>
      <c r="L23" s="719"/>
      <c r="M23" s="151"/>
    </row>
    <row r="24" spans="1:13" ht="15.75" customHeight="1">
      <c r="A24" s="722"/>
      <c r="B24" s="723"/>
      <c r="C24" s="164" t="s">
        <v>716</v>
      </c>
      <c r="D24" s="358"/>
      <c r="E24" s="343"/>
      <c r="F24" s="344"/>
      <c r="G24" s="357"/>
      <c r="H24" s="357"/>
      <c r="I24" s="357"/>
      <c r="J24" s="239"/>
      <c r="K24" s="741"/>
      <c r="L24" s="719"/>
      <c r="M24" s="151"/>
    </row>
    <row r="25" spans="1:13" ht="15.75" customHeight="1">
      <c r="A25" s="722"/>
      <c r="B25" s="723"/>
      <c r="C25" s="164" t="s">
        <v>717</v>
      </c>
      <c r="D25" s="342"/>
      <c r="E25" s="343"/>
      <c r="F25" s="344"/>
      <c r="G25" s="576"/>
      <c r="H25" s="576"/>
      <c r="I25" s="576"/>
      <c r="J25" s="576"/>
      <c r="K25" s="718"/>
      <c r="L25" s="719"/>
      <c r="M25" s="151"/>
    </row>
    <row r="26" spans="1:13" ht="15.75" customHeight="1">
      <c r="A26" s="722"/>
      <c r="B26" s="723"/>
      <c r="C26" s="164" t="s">
        <v>718</v>
      </c>
      <c r="D26" s="342"/>
      <c r="E26" s="343"/>
      <c r="F26" s="344"/>
      <c r="G26" s="576"/>
      <c r="H26" s="576"/>
      <c r="I26" s="576"/>
      <c r="J26" s="576"/>
      <c r="K26" s="718"/>
      <c r="L26" s="719"/>
      <c r="M26" s="151"/>
    </row>
    <row r="27" spans="1:13" ht="15.75" customHeight="1">
      <c r="A27" s="722"/>
      <c r="B27" s="723"/>
      <c r="C27" s="164" t="s">
        <v>719</v>
      </c>
      <c r="D27" s="342"/>
      <c r="E27" s="343"/>
      <c r="F27" s="344"/>
      <c r="G27" s="576"/>
      <c r="H27" s="576"/>
      <c r="I27" s="576"/>
      <c r="J27" s="576"/>
      <c r="K27" s="718"/>
      <c r="L27" s="719"/>
      <c r="M27" s="151"/>
    </row>
    <row r="28" spans="1:13" ht="15.75" customHeight="1">
      <c r="A28" s="722"/>
      <c r="B28" s="723"/>
      <c r="C28" s="164" t="s">
        <v>720</v>
      </c>
      <c r="D28" s="342"/>
      <c r="E28" s="343"/>
      <c r="F28" s="344"/>
      <c r="G28" s="576"/>
      <c r="H28" s="576"/>
      <c r="I28" s="576"/>
      <c r="J28" s="576"/>
      <c r="K28" s="718"/>
      <c r="L28" s="719"/>
      <c r="M28" s="151"/>
    </row>
    <row r="29" spans="1:13" ht="15.75" customHeight="1">
      <c r="A29" s="151"/>
      <c r="B29" s="151"/>
      <c r="C29" s="151"/>
      <c r="D29" s="151"/>
      <c r="E29" s="151"/>
      <c r="F29" s="151"/>
      <c r="G29" s="151"/>
      <c r="H29" s="151"/>
      <c r="I29" s="151"/>
      <c r="J29" s="151"/>
      <c r="K29" s="151"/>
      <c r="L29" s="151"/>
      <c r="M29" s="130"/>
    </row>
    <row r="30" spans="1:13" ht="15.75" customHeight="1">
      <c r="A30" s="151"/>
      <c r="B30" s="151"/>
      <c r="C30" s="151"/>
      <c r="D30" s="151"/>
      <c r="E30" s="151"/>
      <c r="F30" s="151"/>
      <c r="G30" s="151"/>
      <c r="H30" s="151"/>
      <c r="I30" s="151"/>
      <c r="J30" s="151"/>
      <c r="K30" s="151"/>
      <c r="L30" s="151"/>
      <c r="M30" s="130"/>
    </row>
    <row r="31" spans="1:13" ht="15.75" customHeight="1">
      <c r="A31" s="151"/>
      <c r="B31" s="151"/>
      <c r="C31" s="151"/>
      <c r="D31" s="151"/>
      <c r="E31" s="151"/>
      <c r="F31" s="151"/>
      <c r="G31" s="151"/>
      <c r="H31" s="151"/>
      <c r="I31" s="151"/>
      <c r="J31" s="151"/>
      <c r="K31" s="151"/>
      <c r="L31" s="151"/>
      <c r="M31" s="130"/>
    </row>
    <row r="32" spans="1:13" ht="15.75" customHeight="1">
      <c r="A32" s="151"/>
      <c r="B32" s="151"/>
      <c r="C32" s="151"/>
      <c r="D32" s="151"/>
      <c r="E32" s="151"/>
      <c r="F32" s="151"/>
      <c r="G32" s="151"/>
      <c r="H32" s="151"/>
      <c r="I32" s="151"/>
      <c r="J32" s="151"/>
      <c r="K32" s="151"/>
      <c r="L32" s="151"/>
      <c r="M32" s="130"/>
    </row>
    <row r="33" spans="1:13" ht="15.75" customHeight="1">
      <c r="A33" s="151"/>
      <c r="B33" s="151"/>
      <c r="C33" s="151"/>
      <c r="D33" s="151"/>
      <c r="E33" s="151"/>
      <c r="F33" s="151"/>
      <c r="G33" s="151"/>
      <c r="H33" s="151"/>
      <c r="I33" s="151"/>
      <c r="J33" s="151"/>
      <c r="K33" s="151"/>
      <c r="L33" s="151"/>
      <c r="M33" s="130"/>
    </row>
    <row r="34" spans="1:13" ht="15.75" customHeight="1">
      <c r="A34" s="151"/>
      <c r="B34" s="151"/>
      <c r="C34" s="151"/>
      <c r="D34" s="151"/>
      <c r="E34" s="151"/>
      <c r="F34" s="151"/>
      <c r="G34" s="151"/>
      <c r="H34" s="151"/>
      <c r="I34" s="151"/>
      <c r="J34" s="151"/>
      <c r="K34" s="151"/>
      <c r="L34" s="151"/>
      <c r="M34" s="130"/>
    </row>
    <row r="35" spans="1:13" ht="15.75" customHeight="1">
      <c r="A35" s="151"/>
      <c r="B35" s="151"/>
      <c r="C35" s="151"/>
      <c r="D35" s="151"/>
      <c r="E35" s="151"/>
      <c r="F35" s="151"/>
      <c r="G35" s="151"/>
      <c r="H35" s="151"/>
      <c r="I35" s="151"/>
      <c r="J35" s="151"/>
      <c r="K35" s="151"/>
      <c r="L35" s="151"/>
      <c r="M35" s="130"/>
    </row>
  </sheetData>
  <mergeCells count="32">
    <mergeCell ref="A1:L2"/>
    <mergeCell ref="A3:L4"/>
    <mergeCell ref="K10:L10"/>
    <mergeCell ref="A5:A6"/>
    <mergeCell ref="A7:B7"/>
    <mergeCell ref="D7:F7"/>
    <mergeCell ref="K7:L7"/>
    <mergeCell ref="A8:A17"/>
    <mergeCell ref="B8:B17"/>
    <mergeCell ref="K16:L16"/>
    <mergeCell ref="K13:L13"/>
    <mergeCell ref="K14:L14"/>
    <mergeCell ref="K15:L15"/>
    <mergeCell ref="K8:L9"/>
    <mergeCell ref="A19:A28"/>
    <mergeCell ref="K25:L25"/>
    <mergeCell ref="K26:L26"/>
    <mergeCell ref="K28:L28"/>
    <mergeCell ref="K22:L22"/>
    <mergeCell ref="K23:L23"/>
    <mergeCell ref="K27:L27"/>
    <mergeCell ref="K24:L24"/>
    <mergeCell ref="K19:L19"/>
    <mergeCell ref="B19:B28"/>
    <mergeCell ref="K20:L20"/>
    <mergeCell ref="K21:L21"/>
    <mergeCell ref="A18:B18"/>
    <mergeCell ref="K17:L17"/>
    <mergeCell ref="D18:F18"/>
    <mergeCell ref="K11:L11"/>
    <mergeCell ref="K12:L12"/>
    <mergeCell ref="K18:L18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R35"/>
  <sheetViews>
    <sheetView zoomScale="70" zoomScaleNormal="70" zoomScaleSheetLayoutView="100" workbookViewId="0">
      <selection activeCell="A8" sqref="A8:L28"/>
    </sheetView>
  </sheetViews>
  <sheetFormatPr defaultColWidth="12.5703125" defaultRowHeight="15.75" customHeight="1"/>
  <cols>
    <col min="1" max="1" width="6.42578125" style="119" customWidth="1"/>
    <col min="2" max="10" width="11.5703125" style="119" customWidth="1"/>
    <col min="11" max="12" width="12.85546875" style="119" customWidth="1"/>
    <col min="13" max="13" width="12.5703125" style="120"/>
    <col min="14" max="16384" width="12.5703125" style="119"/>
  </cols>
  <sheetData>
    <row r="1" spans="1:18" ht="15.75" customHeight="1">
      <c r="A1" s="605" t="s">
        <v>185</v>
      </c>
      <c r="B1" s="605"/>
      <c r="C1" s="605"/>
      <c r="D1" s="605"/>
      <c r="E1" s="605"/>
      <c r="F1" s="605"/>
      <c r="G1" s="605"/>
      <c r="H1" s="605"/>
      <c r="I1" s="605"/>
      <c r="J1" s="605"/>
      <c r="K1" s="605"/>
      <c r="L1" s="605"/>
      <c r="M1" s="119"/>
    </row>
    <row r="2" spans="1:18" s="120" customFormat="1" ht="15.75" customHeight="1">
      <c r="A2" s="605"/>
      <c r="B2" s="605"/>
      <c r="C2" s="605"/>
      <c r="D2" s="605"/>
      <c r="E2" s="605"/>
      <c r="F2" s="605"/>
      <c r="G2" s="605"/>
      <c r="H2" s="605"/>
      <c r="I2" s="605"/>
      <c r="J2" s="605"/>
      <c r="K2" s="605"/>
      <c r="L2" s="605"/>
    </row>
    <row r="3" spans="1:18" ht="15.75" customHeight="1">
      <c r="A3" s="735" t="s">
        <v>186</v>
      </c>
      <c r="B3" s="736"/>
      <c r="C3" s="736"/>
      <c r="D3" s="736"/>
      <c r="E3" s="736"/>
      <c r="F3" s="736"/>
      <c r="G3" s="736"/>
      <c r="H3" s="736"/>
      <c r="I3" s="736"/>
      <c r="J3" s="736"/>
      <c r="K3" s="736"/>
      <c r="L3" s="736"/>
      <c r="M3" s="151"/>
    </row>
    <row r="4" spans="1:18" s="120" customFormat="1" ht="15.75" customHeight="1">
      <c r="A4" s="736"/>
      <c r="B4" s="736"/>
      <c r="C4" s="736"/>
      <c r="D4" s="736"/>
      <c r="E4" s="736"/>
      <c r="F4" s="736"/>
      <c r="G4" s="736"/>
      <c r="H4" s="736"/>
      <c r="I4" s="736"/>
      <c r="J4" s="736"/>
      <c r="K4" s="736"/>
      <c r="L4" s="736"/>
      <c r="M4" s="130"/>
    </row>
    <row r="5" spans="1:18" s="153" customFormat="1" ht="16.350000000000001" customHeight="1">
      <c r="A5" s="722" t="s">
        <v>154</v>
      </c>
      <c r="B5" s="155">
        <v>1</v>
      </c>
      <c r="C5" s="155">
        <v>2</v>
      </c>
      <c r="D5" s="155">
        <v>3</v>
      </c>
      <c r="E5" s="155">
        <v>4</v>
      </c>
      <c r="F5" s="165">
        <v>5</v>
      </c>
      <c r="G5" s="165">
        <v>6</v>
      </c>
      <c r="H5" s="155">
        <v>7</v>
      </c>
      <c r="I5" s="155">
        <v>8</v>
      </c>
      <c r="J5" s="155">
        <v>9</v>
      </c>
      <c r="K5" s="152"/>
      <c r="L5" s="152"/>
      <c r="M5" s="152"/>
    </row>
    <row r="6" spans="1:18" ht="16.350000000000001" customHeight="1">
      <c r="A6" s="722"/>
      <c r="B6" s="156" t="s">
        <v>187</v>
      </c>
      <c r="C6" s="156" t="s">
        <v>151</v>
      </c>
      <c r="D6" s="156" t="s">
        <v>188</v>
      </c>
      <c r="E6" s="156" t="s">
        <v>153</v>
      </c>
      <c r="F6" s="167" t="s">
        <v>133</v>
      </c>
      <c r="G6" s="168" t="s">
        <v>131</v>
      </c>
      <c r="H6" s="159" t="s">
        <v>189</v>
      </c>
      <c r="I6" s="158" t="s">
        <v>190</v>
      </c>
      <c r="J6" s="158" t="s">
        <v>137</v>
      </c>
      <c r="K6" s="154"/>
      <c r="L6" s="154"/>
      <c r="M6" s="130"/>
    </row>
    <row r="7" spans="1:18" s="153" customFormat="1" ht="15.75" customHeight="1">
      <c r="A7" s="723" t="s">
        <v>542</v>
      </c>
      <c r="B7" s="723"/>
      <c r="C7" s="346" t="s">
        <v>543</v>
      </c>
      <c r="D7" s="723" t="s">
        <v>12</v>
      </c>
      <c r="E7" s="726"/>
      <c r="F7" s="726"/>
      <c r="G7" s="361" t="s">
        <v>552</v>
      </c>
      <c r="H7" s="361" t="s">
        <v>553</v>
      </c>
      <c r="I7" s="361" t="s">
        <v>554</v>
      </c>
      <c r="J7" s="221" t="s">
        <v>555</v>
      </c>
      <c r="K7" s="723" t="s">
        <v>556</v>
      </c>
      <c r="L7" s="726"/>
      <c r="M7" s="152"/>
    </row>
    <row r="8" spans="1:18" ht="15.75" customHeight="1">
      <c r="A8" s="722">
        <v>5</v>
      </c>
      <c r="B8" s="723" t="s">
        <v>133</v>
      </c>
      <c r="C8" s="574">
        <v>1</v>
      </c>
      <c r="D8" s="371" t="s">
        <v>586</v>
      </c>
      <c r="E8" s="343"/>
      <c r="F8" s="344"/>
      <c r="G8" s="357">
        <v>6</v>
      </c>
      <c r="H8" s="357">
        <v>1458.5388160071493</v>
      </c>
      <c r="I8" s="357">
        <v>243.08980266785821</v>
      </c>
      <c r="J8" s="240" t="s">
        <v>722</v>
      </c>
      <c r="K8" s="758" t="s">
        <v>790</v>
      </c>
      <c r="L8" s="759"/>
      <c r="M8" s="130"/>
      <c r="P8" s="250"/>
      <c r="Q8" s="250"/>
      <c r="R8" s="250"/>
    </row>
    <row r="9" spans="1:18" ht="15.75" customHeight="1">
      <c r="A9" s="722"/>
      <c r="B9" s="723"/>
      <c r="C9" s="574">
        <v>2</v>
      </c>
      <c r="D9" s="358" t="s">
        <v>342</v>
      </c>
      <c r="E9" s="343"/>
      <c r="F9" s="344"/>
      <c r="G9" s="357">
        <v>6</v>
      </c>
      <c r="H9" s="357">
        <v>1454.1767263617639</v>
      </c>
      <c r="I9" s="357">
        <v>242.36278772696068</v>
      </c>
      <c r="J9" s="241" t="s">
        <v>723</v>
      </c>
      <c r="K9" s="760"/>
      <c r="L9" s="761"/>
      <c r="M9" s="130"/>
      <c r="P9" s="250"/>
      <c r="Q9" s="250"/>
      <c r="R9" s="250"/>
    </row>
    <row r="10" spans="1:18" ht="15.75" customHeight="1">
      <c r="A10" s="722"/>
      <c r="B10" s="723"/>
      <c r="C10" s="574">
        <v>3</v>
      </c>
      <c r="D10" s="342" t="s">
        <v>345</v>
      </c>
      <c r="E10" s="343"/>
      <c r="F10" s="344"/>
      <c r="G10" s="357">
        <v>14.428571428571429</v>
      </c>
      <c r="H10" s="357">
        <v>1358.1198130674363</v>
      </c>
      <c r="I10" s="357">
        <v>94.238615714158172</v>
      </c>
      <c r="J10" s="239" t="s">
        <v>721</v>
      </c>
      <c r="K10" s="757"/>
      <c r="L10" s="726"/>
      <c r="M10" s="130"/>
      <c r="P10" s="250"/>
      <c r="Q10" s="250"/>
      <c r="R10" s="250"/>
    </row>
    <row r="11" spans="1:18" ht="15.75" customHeight="1">
      <c r="A11" s="722"/>
      <c r="B11" s="723"/>
      <c r="C11" s="574">
        <v>4</v>
      </c>
      <c r="D11" s="464" t="s">
        <v>603</v>
      </c>
      <c r="E11" s="343"/>
      <c r="F11" s="344"/>
      <c r="G11" s="357">
        <v>16</v>
      </c>
      <c r="H11" s="357">
        <v>1444.5538990299669</v>
      </c>
      <c r="I11" s="357">
        <v>90.284618689372934</v>
      </c>
      <c r="J11" s="239" t="s">
        <v>721</v>
      </c>
      <c r="K11" s="757"/>
      <c r="L11" s="726"/>
      <c r="M11" s="130"/>
      <c r="P11" s="250"/>
      <c r="Q11" s="250"/>
      <c r="R11" s="250"/>
    </row>
    <row r="12" spans="1:18" ht="15.75" customHeight="1">
      <c r="A12" s="722"/>
      <c r="B12" s="723"/>
      <c r="C12" s="574">
        <v>5</v>
      </c>
      <c r="D12" s="464" t="s">
        <v>731</v>
      </c>
      <c r="E12" s="343"/>
      <c r="F12" s="344"/>
      <c r="G12" s="357">
        <v>15.428571428571429</v>
      </c>
      <c r="H12" s="357">
        <v>1332.3506267849884</v>
      </c>
      <c r="I12" s="357">
        <v>86.442714400407468</v>
      </c>
      <c r="J12" s="239" t="s">
        <v>721</v>
      </c>
      <c r="K12" s="757"/>
      <c r="L12" s="726"/>
      <c r="M12" s="130"/>
      <c r="P12" s="250"/>
      <c r="Q12" s="250"/>
      <c r="R12" s="250"/>
    </row>
    <row r="13" spans="1:18" ht="15.75" customHeight="1">
      <c r="A13" s="722"/>
      <c r="B13" s="723"/>
      <c r="C13" s="164" t="s">
        <v>716</v>
      </c>
      <c r="D13" s="464" t="s">
        <v>698</v>
      </c>
      <c r="E13" s="343"/>
      <c r="F13" s="344"/>
      <c r="G13" s="357">
        <v>20.714285714285715</v>
      </c>
      <c r="H13" s="357">
        <v>1082.54019433496</v>
      </c>
      <c r="I13" s="357">
        <v>52.288097110889332</v>
      </c>
      <c r="J13" s="239" t="s">
        <v>721</v>
      </c>
      <c r="K13" s="757"/>
      <c r="L13" s="726"/>
      <c r="M13" s="130"/>
      <c r="P13" s="250"/>
      <c r="Q13" s="250"/>
      <c r="R13" s="250"/>
    </row>
    <row r="14" spans="1:18" ht="15.75" customHeight="1">
      <c r="A14" s="722"/>
      <c r="B14" s="723"/>
      <c r="C14" s="164" t="s">
        <v>717</v>
      </c>
      <c r="D14" s="464" t="s">
        <v>626</v>
      </c>
      <c r="E14" s="343"/>
      <c r="F14" s="344"/>
      <c r="G14" s="357">
        <v>20</v>
      </c>
      <c r="H14" s="357">
        <v>1179.8472105878893</v>
      </c>
      <c r="I14" s="357">
        <v>58.992360529394468</v>
      </c>
      <c r="J14" s="239" t="s">
        <v>721</v>
      </c>
      <c r="K14" s="757"/>
      <c r="L14" s="726"/>
      <c r="M14" s="130"/>
      <c r="P14" s="250"/>
      <c r="Q14" s="250"/>
      <c r="R14" s="250"/>
    </row>
    <row r="15" spans="1:18" ht="15.75" customHeight="1">
      <c r="A15" s="722"/>
      <c r="B15" s="723"/>
      <c r="C15" s="164" t="s">
        <v>718</v>
      </c>
      <c r="D15" s="342" t="s">
        <v>757</v>
      </c>
      <c r="E15" s="343"/>
      <c r="F15" s="344"/>
      <c r="G15" s="357">
        <v>20.285714285714285</v>
      </c>
      <c r="H15" s="357">
        <v>1214.6074506081786</v>
      </c>
      <c r="I15" s="357">
        <v>59.901891487642175</v>
      </c>
      <c r="J15" s="239" t="s">
        <v>721</v>
      </c>
      <c r="K15" s="757"/>
      <c r="L15" s="726"/>
      <c r="M15" s="130"/>
      <c r="P15" s="250"/>
      <c r="Q15" s="250"/>
      <c r="R15" s="250"/>
    </row>
    <row r="16" spans="1:18" ht="15.75" customHeight="1">
      <c r="A16" s="722"/>
      <c r="B16" s="723"/>
      <c r="C16" s="164" t="s">
        <v>719</v>
      </c>
      <c r="D16" s="358" t="s">
        <v>549</v>
      </c>
      <c r="E16" s="343"/>
      <c r="F16" s="344"/>
      <c r="G16" s="357">
        <v>18</v>
      </c>
      <c r="H16" s="357">
        <v>1196.9187237729097</v>
      </c>
      <c r="I16" s="357">
        <v>66.495484654050557</v>
      </c>
      <c r="J16" s="239" t="s">
        <v>721</v>
      </c>
      <c r="K16" s="757"/>
      <c r="L16" s="726"/>
      <c r="M16" s="151"/>
      <c r="P16" s="250"/>
      <c r="Q16" s="250"/>
      <c r="R16" s="250"/>
    </row>
    <row r="17" spans="1:18" ht="15.75" customHeight="1">
      <c r="A17" s="722"/>
      <c r="B17" s="723"/>
      <c r="C17" s="164" t="s">
        <v>720</v>
      </c>
      <c r="D17" s="358" t="s">
        <v>628</v>
      </c>
      <c r="E17" s="343"/>
      <c r="F17" s="344"/>
      <c r="G17" s="357">
        <v>19</v>
      </c>
      <c r="H17" s="357">
        <v>1266.0846849127086</v>
      </c>
      <c r="I17" s="357">
        <v>66.636036048037312</v>
      </c>
      <c r="J17" s="241" t="s">
        <v>723</v>
      </c>
      <c r="K17" s="757" t="s">
        <v>724</v>
      </c>
      <c r="L17" s="726"/>
      <c r="M17" s="151"/>
      <c r="P17" s="250"/>
      <c r="Q17" s="250"/>
      <c r="R17" s="250"/>
    </row>
    <row r="18" spans="1:18" s="161" customFormat="1" ht="15.75" customHeight="1">
      <c r="A18" s="720" t="s">
        <v>167</v>
      </c>
      <c r="B18" s="720"/>
      <c r="C18" s="575" t="s">
        <v>47</v>
      </c>
      <c r="D18" s="720" t="s">
        <v>12</v>
      </c>
      <c r="E18" s="721"/>
      <c r="F18" s="721"/>
      <c r="G18" s="575" t="s">
        <v>46</v>
      </c>
      <c r="H18" s="575" t="s">
        <v>507</v>
      </c>
      <c r="I18" s="575" t="s">
        <v>382</v>
      </c>
      <c r="J18" s="221" t="s">
        <v>383</v>
      </c>
      <c r="K18" s="720" t="s">
        <v>51</v>
      </c>
      <c r="L18" s="721"/>
      <c r="M18" s="154"/>
    </row>
    <row r="19" spans="1:18" ht="15.75" customHeight="1">
      <c r="A19" s="722">
        <v>6</v>
      </c>
      <c r="B19" s="723" t="s">
        <v>131</v>
      </c>
      <c r="C19" s="574">
        <v>1</v>
      </c>
      <c r="D19" s="342" t="s">
        <v>588</v>
      </c>
      <c r="E19" s="343"/>
      <c r="F19" s="344"/>
      <c r="G19" s="357">
        <v>15.142857142857142</v>
      </c>
      <c r="H19" s="357">
        <v>1270.6475869273213</v>
      </c>
      <c r="I19" s="357">
        <v>83.95445752379139</v>
      </c>
      <c r="J19" s="240" t="s">
        <v>722</v>
      </c>
      <c r="K19" s="751" t="s">
        <v>724</v>
      </c>
      <c r="L19" s="752"/>
      <c r="M19" s="151"/>
      <c r="P19" s="250"/>
      <c r="Q19" s="250"/>
      <c r="R19" s="250"/>
    </row>
    <row r="20" spans="1:18" ht="15.75" customHeight="1">
      <c r="A20" s="722"/>
      <c r="B20" s="723"/>
      <c r="C20" s="574">
        <v>2</v>
      </c>
      <c r="D20" s="342" t="s">
        <v>510</v>
      </c>
      <c r="E20" s="343"/>
      <c r="F20" s="344"/>
      <c r="G20" s="357">
        <v>16.142857142857142</v>
      </c>
      <c r="H20" s="357">
        <v>1317.4801605508449</v>
      </c>
      <c r="I20" s="357">
        <v>81.645698599573478</v>
      </c>
      <c r="J20" s="241" t="s">
        <v>723</v>
      </c>
      <c r="K20" s="753"/>
      <c r="L20" s="754"/>
      <c r="M20" s="151"/>
      <c r="P20" s="250"/>
      <c r="Q20" s="250"/>
      <c r="R20" s="250"/>
    </row>
    <row r="21" spans="1:18" ht="15.75" customHeight="1">
      <c r="A21" s="722"/>
      <c r="B21" s="723"/>
      <c r="C21" s="574">
        <v>3</v>
      </c>
      <c r="D21" s="342" t="s">
        <v>561</v>
      </c>
      <c r="E21" s="343"/>
      <c r="F21" s="344"/>
      <c r="G21" s="357">
        <v>19</v>
      </c>
      <c r="H21" s="357">
        <v>1482.9843329124117</v>
      </c>
      <c r="I21" s="357">
        <v>78.051806995390081</v>
      </c>
      <c r="J21" s="240" t="s">
        <v>722</v>
      </c>
      <c r="K21" s="753"/>
      <c r="L21" s="754"/>
      <c r="M21" s="151"/>
      <c r="P21" s="250"/>
      <c r="Q21" s="250"/>
      <c r="R21" s="250"/>
    </row>
    <row r="22" spans="1:18" ht="15.75" customHeight="1">
      <c r="A22" s="722"/>
      <c r="B22" s="723"/>
      <c r="C22" s="574">
        <v>4</v>
      </c>
      <c r="D22" s="342" t="s">
        <v>347</v>
      </c>
      <c r="E22" s="343"/>
      <c r="F22" s="344"/>
      <c r="G22" s="357">
        <v>17</v>
      </c>
      <c r="H22" s="357">
        <v>1301.3821659863552</v>
      </c>
      <c r="I22" s="357">
        <v>76.551892116844428</v>
      </c>
      <c r="J22" s="241" t="s">
        <v>723</v>
      </c>
      <c r="K22" s="755"/>
      <c r="L22" s="756"/>
      <c r="M22" s="151"/>
      <c r="P22" s="250"/>
      <c r="Q22" s="250"/>
      <c r="R22" s="250"/>
    </row>
    <row r="23" spans="1:18" ht="15.75" customHeight="1">
      <c r="A23" s="722"/>
      <c r="B23" s="723"/>
      <c r="C23" s="574">
        <v>5</v>
      </c>
      <c r="D23" s="342" t="s">
        <v>604</v>
      </c>
      <c r="E23" s="343"/>
      <c r="F23" s="344"/>
      <c r="G23" s="357">
        <v>17</v>
      </c>
      <c r="H23" s="357">
        <v>1294.9771465745175</v>
      </c>
      <c r="I23" s="357">
        <v>76.175126269089262</v>
      </c>
      <c r="J23" s="239" t="s">
        <v>721</v>
      </c>
      <c r="K23" s="750"/>
      <c r="L23" s="726"/>
      <c r="M23" s="151"/>
      <c r="P23" s="250"/>
      <c r="Q23" s="250"/>
      <c r="R23" s="250"/>
    </row>
    <row r="24" spans="1:18" ht="15.75" customHeight="1">
      <c r="A24" s="722"/>
      <c r="B24" s="723"/>
      <c r="C24" s="164" t="s">
        <v>716</v>
      </c>
      <c r="D24" s="358" t="s">
        <v>348</v>
      </c>
      <c r="E24" s="343"/>
      <c r="F24" s="344"/>
      <c r="G24" s="357">
        <v>21</v>
      </c>
      <c r="H24" s="357">
        <v>1258.6246740750228</v>
      </c>
      <c r="I24" s="357">
        <v>59.934508289286796</v>
      </c>
      <c r="J24" s="239" t="s">
        <v>721</v>
      </c>
      <c r="K24" s="750"/>
      <c r="L24" s="726"/>
      <c r="M24" s="151"/>
      <c r="P24" s="250"/>
      <c r="Q24" s="250"/>
      <c r="R24" s="250"/>
    </row>
    <row r="25" spans="1:18" ht="15.75" customHeight="1">
      <c r="A25" s="722"/>
      <c r="B25" s="723"/>
      <c r="C25" s="164" t="s">
        <v>717</v>
      </c>
      <c r="D25" s="342" t="s">
        <v>752</v>
      </c>
      <c r="E25" s="343"/>
      <c r="F25" s="344"/>
      <c r="G25" s="357">
        <v>20</v>
      </c>
      <c r="H25" s="357">
        <v>1214.4206456084605</v>
      </c>
      <c r="I25" s="357">
        <v>60.721032280423017</v>
      </c>
      <c r="J25" s="239" t="s">
        <v>721</v>
      </c>
      <c r="K25" s="750"/>
      <c r="L25" s="726"/>
      <c r="M25" s="151"/>
      <c r="P25" s="250"/>
      <c r="Q25" s="250"/>
      <c r="R25" s="250"/>
    </row>
    <row r="26" spans="1:18" ht="15.75" customHeight="1">
      <c r="A26" s="722"/>
      <c r="B26" s="723"/>
      <c r="C26" s="164" t="s">
        <v>718</v>
      </c>
      <c r="D26" s="464" t="s">
        <v>742</v>
      </c>
      <c r="E26" s="343"/>
      <c r="F26" s="344"/>
      <c r="G26" s="357">
        <v>18.571428571428573</v>
      </c>
      <c r="H26" s="357">
        <v>1134.8919685197418</v>
      </c>
      <c r="I26" s="357">
        <v>61.125003759912033</v>
      </c>
      <c r="J26" s="239" t="s">
        <v>721</v>
      </c>
      <c r="K26" s="750"/>
      <c r="L26" s="726"/>
      <c r="M26" s="151"/>
      <c r="P26" s="250"/>
      <c r="Q26" s="250"/>
      <c r="R26" s="250"/>
    </row>
    <row r="27" spans="1:18" ht="15.75" customHeight="1">
      <c r="A27" s="722"/>
      <c r="B27" s="723"/>
      <c r="C27" s="164" t="s">
        <v>719</v>
      </c>
      <c r="D27" s="342" t="s">
        <v>349</v>
      </c>
      <c r="E27" s="343"/>
      <c r="F27" s="344"/>
      <c r="G27" s="357">
        <v>19</v>
      </c>
      <c r="H27" s="357">
        <v>1297.6110243506034</v>
      </c>
      <c r="I27" s="357">
        <v>68.295317071084398</v>
      </c>
      <c r="J27" s="239" t="s">
        <v>721</v>
      </c>
      <c r="K27" s="750"/>
      <c r="L27" s="726"/>
      <c r="M27" s="151"/>
      <c r="P27" s="250"/>
      <c r="Q27" s="250"/>
      <c r="R27" s="250"/>
    </row>
    <row r="28" spans="1:18" ht="15.75" customHeight="1">
      <c r="A28" s="722"/>
      <c r="B28" s="723"/>
      <c r="C28" s="164" t="s">
        <v>720</v>
      </c>
      <c r="D28" s="342" t="s">
        <v>491</v>
      </c>
      <c r="E28" s="343"/>
      <c r="F28" s="344"/>
      <c r="G28" s="357">
        <v>18</v>
      </c>
      <c r="H28" s="357">
        <v>1237.0562564609161</v>
      </c>
      <c r="I28" s="357">
        <v>68.725347581162012</v>
      </c>
      <c r="J28" s="239" t="s">
        <v>721</v>
      </c>
      <c r="K28" s="750"/>
      <c r="L28" s="726"/>
      <c r="M28" s="151"/>
      <c r="P28" s="250"/>
      <c r="Q28" s="250"/>
      <c r="R28" s="250"/>
    </row>
    <row r="29" spans="1:18" ht="15.75" customHeight="1">
      <c r="A29" s="151"/>
      <c r="B29" s="151"/>
      <c r="C29" s="151"/>
      <c r="D29" s="151"/>
      <c r="E29" s="151"/>
      <c r="F29" s="151"/>
      <c r="G29" s="151"/>
      <c r="H29" s="151"/>
      <c r="I29" s="151"/>
      <c r="J29" s="151"/>
      <c r="K29" s="151"/>
      <c r="L29" s="151"/>
      <c r="M29" s="130"/>
    </row>
    <row r="30" spans="1:18" ht="15.75" customHeight="1">
      <c r="A30" s="151"/>
      <c r="B30" s="151"/>
      <c r="C30" s="151"/>
      <c r="D30" s="151"/>
      <c r="E30" s="151"/>
      <c r="F30" s="151"/>
      <c r="G30" s="151"/>
      <c r="H30" s="151"/>
      <c r="I30" s="151"/>
      <c r="J30" s="151"/>
      <c r="K30" s="151"/>
      <c r="L30" s="151"/>
      <c r="M30" s="130"/>
    </row>
    <row r="31" spans="1:18" ht="15.75" customHeight="1">
      <c r="A31" s="151"/>
      <c r="B31" s="151"/>
      <c r="C31" s="151"/>
      <c r="D31" s="151"/>
      <c r="E31" s="151"/>
      <c r="F31" s="151"/>
      <c r="G31" s="151"/>
      <c r="H31" s="151"/>
      <c r="I31" s="151"/>
      <c r="J31" s="151"/>
      <c r="K31" s="151"/>
      <c r="L31" s="151"/>
      <c r="M31" s="130"/>
    </row>
    <row r="32" spans="1:18" ht="15.75" customHeight="1">
      <c r="A32" s="151"/>
      <c r="B32" s="151"/>
      <c r="C32" s="151"/>
      <c r="D32" s="151"/>
      <c r="E32" s="151"/>
      <c r="F32" s="151"/>
      <c r="G32" s="151"/>
      <c r="H32" s="151"/>
      <c r="I32" s="151"/>
      <c r="J32" s="151"/>
      <c r="K32" s="151"/>
      <c r="L32" s="151"/>
      <c r="M32" s="130"/>
    </row>
    <row r="33" spans="1:13" ht="15.75" customHeight="1">
      <c r="A33" s="151"/>
      <c r="B33" s="151"/>
      <c r="C33" s="151"/>
      <c r="D33" s="151"/>
      <c r="E33" s="151"/>
      <c r="F33" s="151"/>
      <c r="G33" s="151"/>
      <c r="H33" s="151"/>
      <c r="I33" s="151"/>
      <c r="J33" s="151"/>
      <c r="K33" s="151"/>
      <c r="L33" s="151"/>
      <c r="M33" s="130"/>
    </row>
    <row r="34" spans="1:13" ht="15.75" customHeight="1">
      <c r="A34" s="151"/>
      <c r="B34" s="151"/>
      <c r="C34" s="151"/>
      <c r="D34" s="151"/>
      <c r="E34" s="151"/>
      <c r="F34" s="151"/>
      <c r="G34" s="151"/>
      <c r="H34" s="151"/>
      <c r="I34" s="151"/>
      <c r="J34" s="151"/>
      <c r="K34" s="151"/>
      <c r="L34" s="151"/>
      <c r="M34" s="130"/>
    </row>
    <row r="35" spans="1:13" ht="15.75" customHeight="1">
      <c r="A35" s="151"/>
      <c r="B35" s="151"/>
      <c r="C35" s="151"/>
      <c r="D35" s="151"/>
      <c r="E35" s="151"/>
      <c r="F35" s="151"/>
      <c r="G35" s="151"/>
      <c r="H35" s="151"/>
      <c r="I35" s="151"/>
      <c r="J35" s="151"/>
      <c r="K35" s="151"/>
      <c r="L35" s="151"/>
      <c r="M35" s="130"/>
    </row>
  </sheetData>
  <mergeCells count="29">
    <mergeCell ref="A1:L2"/>
    <mergeCell ref="A3:L4"/>
    <mergeCell ref="A5:A6"/>
    <mergeCell ref="A7:B7"/>
    <mergeCell ref="D7:F7"/>
    <mergeCell ref="K7:L7"/>
    <mergeCell ref="K10:L10"/>
    <mergeCell ref="K11:L11"/>
    <mergeCell ref="K16:L16"/>
    <mergeCell ref="K17:L17"/>
    <mergeCell ref="K8:L9"/>
    <mergeCell ref="K18:L18"/>
    <mergeCell ref="K15:L15"/>
    <mergeCell ref="K12:L12"/>
    <mergeCell ref="K13:L13"/>
    <mergeCell ref="K14:L14"/>
    <mergeCell ref="A8:A17"/>
    <mergeCell ref="B8:B17"/>
    <mergeCell ref="A18:B18"/>
    <mergeCell ref="D18:F18"/>
    <mergeCell ref="B19:B28"/>
    <mergeCell ref="K28:L28"/>
    <mergeCell ref="A19:A28"/>
    <mergeCell ref="K24:L24"/>
    <mergeCell ref="K27:L27"/>
    <mergeCell ref="K19:L22"/>
    <mergeCell ref="K23:L23"/>
    <mergeCell ref="K25:L25"/>
    <mergeCell ref="K26:L26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M35"/>
  <sheetViews>
    <sheetView zoomScale="70" zoomScaleNormal="70" zoomScaleSheetLayoutView="100" workbookViewId="0">
      <selection activeCell="A8" sqref="A8:L28"/>
    </sheetView>
  </sheetViews>
  <sheetFormatPr defaultColWidth="12.5703125" defaultRowHeight="15.75" customHeight="1"/>
  <cols>
    <col min="1" max="1" width="6.42578125" style="119" customWidth="1"/>
    <col min="2" max="10" width="11.5703125" style="119" customWidth="1"/>
    <col min="11" max="12" width="12.85546875" style="119" customWidth="1"/>
    <col min="13" max="13" width="12.5703125" style="120"/>
    <col min="14" max="16384" width="12.5703125" style="119"/>
  </cols>
  <sheetData>
    <row r="1" spans="1:13" ht="15.75" customHeight="1">
      <c r="A1" s="605" t="s">
        <v>185</v>
      </c>
      <c r="B1" s="605"/>
      <c r="C1" s="605"/>
      <c r="D1" s="605"/>
      <c r="E1" s="605"/>
      <c r="F1" s="605"/>
      <c r="G1" s="605"/>
      <c r="H1" s="605"/>
      <c r="I1" s="605"/>
      <c r="J1" s="605"/>
      <c r="K1" s="605"/>
      <c r="L1" s="605"/>
      <c r="M1" s="119"/>
    </row>
    <row r="2" spans="1:13" s="120" customFormat="1" ht="15.75" customHeight="1">
      <c r="A2" s="605"/>
      <c r="B2" s="605"/>
      <c r="C2" s="605"/>
      <c r="D2" s="605"/>
      <c r="E2" s="605"/>
      <c r="F2" s="605"/>
      <c r="G2" s="605"/>
      <c r="H2" s="605"/>
      <c r="I2" s="605"/>
      <c r="J2" s="605"/>
      <c r="K2" s="605"/>
      <c r="L2" s="605"/>
    </row>
    <row r="3" spans="1:13" ht="15.75" customHeight="1">
      <c r="A3" s="735" t="s">
        <v>186</v>
      </c>
      <c r="B3" s="735"/>
      <c r="C3" s="735"/>
      <c r="D3" s="735"/>
      <c r="E3" s="735"/>
      <c r="F3" s="735"/>
      <c r="G3" s="735"/>
      <c r="H3" s="735"/>
      <c r="I3" s="735"/>
      <c r="J3" s="735"/>
      <c r="K3" s="735"/>
      <c r="L3" s="735"/>
      <c r="M3" s="151"/>
    </row>
    <row r="4" spans="1:13" s="120" customFormat="1" ht="15.75" customHeight="1">
      <c r="A4" s="735"/>
      <c r="B4" s="735"/>
      <c r="C4" s="735"/>
      <c r="D4" s="735"/>
      <c r="E4" s="735"/>
      <c r="F4" s="735"/>
      <c r="G4" s="735"/>
      <c r="H4" s="735"/>
      <c r="I4" s="735"/>
      <c r="J4" s="735"/>
      <c r="K4" s="735"/>
      <c r="L4" s="735"/>
      <c r="M4" s="130"/>
    </row>
    <row r="5" spans="1:13" s="153" customFormat="1" ht="16.350000000000001" customHeight="1">
      <c r="A5" s="778" t="s">
        <v>154</v>
      </c>
      <c r="B5" s="155">
        <v>1</v>
      </c>
      <c r="C5" s="155">
        <v>2</v>
      </c>
      <c r="D5" s="155">
        <v>3</v>
      </c>
      <c r="E5" s="155">
        <v>4</v>
      </c>
      <c r="F5" s="155">
        <v>5</v>
      </c>
      <c r="G5" s="155">
        <v>6</v>
      </c>
      <c r="H5" s="165">
        <v>7</v>
      </c>
      <c r="I5" s="165">
        <v>8</v>
      </c>
      <c r="J5" s="155">
        <v>9</v>
      </c>
      <c r="K5" s="152"/>
      <c r="L5" s="152"/>
      <c r="M5" s="152"/>
    </row>
    <row r="6" spans="1:13" ht="16.350000000000001" customHeight="1">
      <c r="A6" s="779"/>
      <c r="B6" s="156" t="s">
        <v>187</v>
      </c>
      <c r="C6" s="156" t="s">
        <v>151</v>
      </c>
      <c r="D6" s="156" t="s">
        <v>188</v>
      </c>
      <c r="E6" s="156" t="s">
        <v>153</v>
      </c>
      <c r="F6" s="157" t="s">
        <v>133</v>
      </c>
      <c r="G6" s="158" t="s">
        <v>131</v>
      </c>
      <c r="H6" s="166" t="s">
        <v>189</v>
      </c>
      <c r="I6" s="168" t="s">
        <v>190</v>
      </c>
      <c r="J6" s="158" t="s">
        <v>137</v>
      </c>
      <c r="K6" s="154"/>
      <c r="L6" s="154"/>
      <c r="M6" s="130"/>
    </row>
    <row r="7" spans="1:13" s="153" customFormat="1" ht="15.75" customHeight="1">
      <c r="A7" s="780" t="s">
        <v>542</v>
      </c>
      <c r="B7" s="781"/>
      <c r="C7" s="346" t="s">
        <v>543</v>
      </c>
      <c r="D7" s="780" t="s">
        <v>12</v>
      </c>
      <c r="E7" s="782"/>
      <c r="F7" s="781"/>
      <c r="G7" s="361" t="s">
        <v>46</v>
      </c>
      <c r="H7" s="361" t="s">
        <v>557</v>
      </c>
      <c r="I7" s="361" t="s">
        <v>558</v>
      </c>
      <c r="J7" s="221" t="s">
        <v>559</v>
      </c>
      <c r="K7" s="780" t="s">
        <v>51</v>
      </c>
      <c r="L7" s="781"/>
      <c r="M7" s="152"/>
    </row>
    <row r="8" spans="1:13" ht="15.75" customHeight="1">
      <c r="A8" s="778">
        <v>7</v>
      </c>
      <c r="B8" s="784" t="s">
        <v>135</v>
      </c>
      <c r="C8" s="574">
        <v>1</v>
      </c>
      <c r="D8" s="342" t="s">
        <v>761</v>
      </c>
      <c r="E8" s="343"/>
      <c r="F8" s="344"/>
      <c r="G8" s="357">
        <v>17</v>
      </c>
      <c r="H8" s="357">
        <v>1443.3884131350148</v>
      </c>
      <c r="I8" s="357">
        <v>84.90520077264793</v>
      </c>
      <c r="J8" s="239" t="s">
        <v>721</v>
      </c>
      <c r="K8" s="788"/>
      <c r="L8" s="777"/>
      <c r="M8" s="130"/>
    </row>
    <row r="9" spans="1:13" ht="15.75" customHeight="1">
      <c r="A9" s="783"/>
      <c r="B9" s="785"/>
      <c r="C9" s="574">
        <v>2</v>
      </c>
      <c r="D9" s="342" t="s">
        <v>623</v>
      </c>
      <c r="E9" s="343"/>
      <c r="F9" s="344"/>
      <c r="G9" s="357">
        <v>17</v>
      </c>
      <c r="H9" s="357">
        <v>1442.5993600901463</v>
      </c>
      <c r="I9" s="357">
        <v>84.858785887655671</v>
      </c>
      <c r="J9" s="239" t="s">
        <v>721</v>
      </c>
      <c r="K9" s="776"/>
      <c r="L9" s="777"/>
      <c r="M9" s="130"/>
    </row>
    <row r="10" spans="1:13" ht="15.75" customHeight="1">
      <c r="A10" s="783"/>
      <c r="B10" s="785"/>
      <c r="C10" s="574">
        <v>3</v>
      </c>
      <c r="D10" s="358" t="s">
        <v>587</v>
      </c>
      <c r="E10" s="343"/>
      <c r="F10" s="344"/>
      <c r="G10" s="357">
        <v>17</v>
      </c>
      <c r="H10" s="357">
        <v>1395.279137213837</v>
      </c>
      <c r="I10" s="357">
        <v>82.075243365519825</v>
      </c>
      <c r="J10" s="239" t="s">
        <v>721</v>
      </c>
      <c r="K10" s="776"/>
      <c r="L10" s="777"/>
      <c r="M10" s="130"/>
    </row>
    <row r="11" spans="1:13" ht="15.75" customHeight="1">
      <c r="A11" s="783"/>
      <c r="B11" s="785"/>
      <c r="C11" s="574">
        <v>4</v>
      </c>
      <c r="D11" s="342" t="s">
        <v>615</v>
      </c>
      <c r="E11" s="343"/>
      <c r="F11" s="344"/>
      <c r="G11" s="357">
        <v>18</v>
      </c>
      <c r="H11" s="357">
        <v>1434.8450375932375</v>
      </c>
      <c r="I11" s="357">
        <v>79.713613199624319</v>
      </c>
      <c r="J11" s="240" t="s">
        <v>722</v>
      </c>
      <c r="K11" s="772" t="s">
        <v>724</v>
      </c>
      <c r="L11" s="773"/>
      <c r="M11" s="130"/>
    </row>
    <row r="12" spans="1:13" ht="15.75" customHeight="1">
      <c r="A12" s="783"/>
      <c r="B12" s="785"/>
      <c r="C12" s="574">
        <v>5</v>
      </c>
      <c r="D12" s="358" t="s">
        <v>714</v>
      </c>
      <c r="E12" s="343"/>
      <c r="F12" s="344"/>
      <c r="G12" s="357">
        <v>17</v>
      </c>
      <c r="H12" s="357">
        <v>1322.3140219451448</v>
      </c>
      <c r="I12" s="357">
        <v>77.783177761479109</v>
      </c>
      <c r="J12" s="241" t="s">
        <v>723</v>
      </c>
      <c r="K12" s="774"/>
      <c r="L12" s="775"/>
      <c r="M12" s="130"/>
    </row>
    <row r="13" spans="1:13" ht="15.75" customHeight="1">
      <c r="A13" s="783"/>
      <c r="B13" s="785"/>
      <c r="C13" s="164" t="s">
        <v>716</v>
      </c>
      <c r="D13" s="358" t="s">
        <v>773</v>
      </c>
      <c r="E13" s="343"/>
      <c r="F13" s="344"/>
      <c r="G13" s="357">
        <v>17</v>
      </c>
      <c r="H13" s="357">
        <v>1291.8820952771907</v>
      </c>
      <c r="I13" s="357">
        <v>75.993064428070042</v>
      </c>
      <c r="J13" s="239" t="s">
        <v>721</v>
      </c>
      <c r="K13" s="766" t="s">
        <v>791</v>
      </c>
      <c r="L13" s="767"/>
      <c r="M13" s="130"/>
    </row>
    <row r="14" spans="1:13" ht="15.75" customHeight="1">
      <c r="A14" s="783"/>
      <c r="B14" s="785"/>
      <c r="C14" s="164" t="s">
        <v>717</v>
      </c>
      <c r="D14" s="342"/>
      <c r="E14" s="343"/>
      <c r="F14" s="344"/>
      <c r="G14" s="357"/>
      <c r="H14" s="357"/>
      <c r="I14" s="357"/>
      <c r="J14" s="239"/>
      <c r="K14" s="787"/>
      <c r="L14" s="767"/>
      <c r="M14" s="130"/>
    </row>
    <row r="15" spans="1:13" ht="15.75" customHeight="1">
      <c r="A15" s="783"/>
      <c r="B15" s="785"/>
      <c r="C15" s="164" t="s">
        <v>718</v>
      </c>
      <c r="D15" s="342"/>
      <c r="E15" s="343"/>
      <c r="F15" s="344"/>
      <c r="G15" s="357"/>
      <c r="H15" s="357"/>
      <c r="I15" s="357"/>
      <c r="J15" s="239"/>
      <c r="K15" s="787"/>
      <c r="L15" s="767"/>
      <c r="M15" s="130"/>
    </row>
    <row r="16" spans="1:13" ht="15.75" customHeight="1">
      <c r="A16" s="783"/>
      <c r="B16" s="785"/>
      <c r="C16" s="164" t="s">
        <v>719</v>
      </c>
      <c r="D16" s="342"/>
      <c r="E16" s="343"/>
      <c r="F16" s="344"/>
      <c r="G16" s="357"/>
      <c r="H16" s="357"/>
      <c r="I16" s="357"/>
      <c r="J16" s="239"/>
      <c r="K16" s="787"/>
      <c r="L16" s="767"/>
      <c r="M16" s="151"/>
    </row>
    <row r="17" spans="1:13" ht="15.75" customHeight="1">
      <c r="A17" s="779"/>
      <c r="B17" s="786"/>
      <c r="C17" s="164" t="s">
        <v>720</v>
      </c>
      <c r="D17" s="342"/>
      <c r="E17" s="343"/>
      <c r="F17" s="344"/>
      <c r="G17" s="576"/>
      <c r="H17" s="576"/>
      <c r="I17" s="576"/>
      <c r="J17" s="576"/>
      <c r="K17" s="787"/>
      <c r="L17" s="767"/>
      <c r="M17" s="151"/>
    </row>
    <row r="18" spans="1:13" s="161" customFormat="1" ht="15.75" customHeight="1">
      <c r="A18" s="768" t="s">
        <v>167</v>
      </c>
      <c r="B18" s="769"/>
      <c r="C18" s="575" t="s">
        <v>47</v>
      </c>
      <c r="D18" s="768" t="s">
        <v>12</v>
      </c>
      <c r="E18" s="789"/>
      <c r="F18" s="769"/>
      <c r="G18" s="575" t="s">
        <v>46</v>
      </c>
      <c r="H18" s="575" t="s">
        <v>507</v>
      </c>
      <c r="I18" s="575" t="s">
        <v>382</v>
      </c>
      <c r="J18" s="221" t="s">
        <v>383</v>
      </c>
      <c r="K18" s="768" t="s">
        <v>51</v>
      </c>
      <c r="L18" s="769"/>
      <c r="M18" s="154"/>
    </row>
    <row r="19" spans="1:13" ht="15.75" customHeight="1">
      <c r="A19" s="778">
        <v>8</v>
      </c>
      <c r="B19" s="784" t="s">
        <v>136</v>
      </c>
      <c r="C19" s="574">
        <v>1</v>
      </c>
      <c r="D19" s="464" t="s">
        <v>593</v>
      </c>
      <c r="E19" s="343"/>
      <c r="F19" s="344"/>
      <c r="G19" s="357">
        <v>17</v>
      </c>
      <c r="H19" s="357">
        <v>2276.7050075162047</v>
      </c>
      <c r="I19" s="357">
        <v>133.92382397154145</v>
      </c>
      <c r="J19" s="240" t="s">
        <v>722</v>
      </c>
      <c r="K19" s="762" t="s">
        <v>733</v>
      </c>
      <c r="L19" s="763"/>
      <c r="M19" s="151"/>
    </row>
    <row r="20" spans="1:13" ht="15.75" customHeight="1">
      <c r="A20" s="783"/>
      <c r="B20" s="785"/>
      <c r="C20" s="574">
        <v>2</v>
      </c>
      <c r="D20" s="464" t="s">
        <v>351</v>
      </c>
      <c r="E20" s="343"/>
      <c r="F20" s="344"/>
      <c r="G20" s="357">
        <v>18.142857142857142</v>
      </c>
      <c r="H20" s="357">
        <v>2362.3000337298045</v>
      </c>
      <c r="I20" s="357">
        <v>130.24724498164747</v>
      </c>
      <c r="J20" s="241" t="s">
        <v>723</v>
      </c>
      <c r="K20" s="764"/>
      <c r="L20" s="765"/>
      <c r="M20" s="151"/>
    </row>
    <row r="21" spans="1:13" ht="15.75" customHeight="1">
      <c r="A21" s="783"/>
      <c r="B21" s="785"/>
      <c r="C21" s="574">
        <v>3</v>
      </c>
      <c r="D21" s="342" t="s">
        <v>352</v>
      </c>
      <c r="E21" s="343"/>
      <c r="F21" s="344"/>
      <c r="G21" s="357">
        <v>19</v>
      </c>
      <c r="H21" s="357">
        <v>2448.2124942679138</v>
      </c>
      <c r="I21" s="357">
        <v>128.85328917199547</v>
      </c>
      <c r="J21" s="239" t="s">
        <v>721</v>
      </c>
      <c r="K21" s="770"/>
      <c r="L21" s="771"/>
      <c r="M21" s="151"/>
    </row>
    <row r="22" spans="1:13" ht="15.75" customHeight="1">
      <c r="A22" s="783"/>
      <c r="B22" s="785"/>
      <c r="C22" s="574">
        <v>4</v>
      </c>
      <c r="D22" s="342" t="s">
        <v>616</v>
      </c>
      <c r="E22" s="343"/>
      <c r="F22" s="344"/>
      <c r="G22" s="357">
        <v>17.857142857142858</v>
      </c>
      <c r="H22" s="357">
        <v>2299.6568135697044</v>
      </c>
      <c r="I22" s="357">
        <v>128.85114883977349</v>
      </c>
      <c r="J22" s="239" t="s">
        <v>721</v>
      </c>
      <c r="K22" s="770"/>
      <c r="L22" s="771"/>
      <c r="M22" s="151"/>
    </row>
    <row r="23" spans="1:13" ht="15.75" customHeight="1">
      <c r="A23" s="783"/>
      <c r="B23" s="785"/>
      <c r="C23" s="574">
        <v>5</v>
      </c>
      <c r="D23" s="342" t="s">
        <v>732</v>
      </c>
      <c r="E23" s="343"/>
      <c r="F23" s="344"/>
      <c r="G23" s="357">
        <v>18</v>
      </c>
      <c r="H23" s="357">
        <v>2272.2165075707721</v>
      </c>
      <c r="I23" s="357">
        <v>126.23425042059849</v>
      </c>
      <c r="J23" s="239" t="s">
        <v>721</v>
      </c>
      <c r="K23" s="770"/>
      <c r="L23" s="771"/>
      <c r="M23" s="151"/>
    </row>
    <row r="24" spans="1:13" ht="15.75" customHeight="1">
      <c r="A24" s="783"/>
      <c r="B24" s="785"/>
      <c r="C24" s="164" t="s">
        <v>716</v>
      </c>
      <c r="D24" s="464" t="s">
        <v>350</v>
      </c>
      <c r="E24" s="343"/>
      <c r="F24" s="344"/>
      <c r="G24" s="357">
        <v>20</v>
      </c>
      <c r="H24" s="357">
        <v>2285.8732271292861</v>
      </c>
      <c r="I24" s="357">
        <v>114.29366135646431</v>
      </c>
      <c r="J24" s="239" t="s">
        <v>721</v>
      </c>
      <c r="K24" s="762"/>
      <c r="L24" s="763"/>
      <c r="M24" s="151"/>
    </row>
    <row r="25" spans="1:13" ht="15.75" customHeight="1">
      <c r="A25" s="783"/>
      <c r="B25" s="785"/>
      <c r="C25" s="164" t="s">
        <v>717</v>
      </c>
      <c r="D25" s="464" t="s">
        <v>511</v>
      </c>
      <c r="E25" s="343"/>
      <c r="F25" s="344"/>
      <c r="G25" s="357">
        <v>18</v>
      </c>
      <c r="H25" s="357">
        <v>2173.0891301988081</v>
      </c>
      <c r="I25" s="357">
        <v>120.72717389993375</v>
      </c>
      <c r="J25" s="239" t="s">
        <v>721</v>
      </c>
      <c r="K25" s="764"/>
      <c r="L25" s="765"/>
      <c r="M25" s="151"/>
    </row>
    <row r="26" spans="1:13" ht="15.75" customHeight="1">
      <c r="A26" s="783"/>
      <c r="B26" s="785"/>
      <c r="C26" s="164" t="s">
        <v>718</v>
      </c>
      <c r="D26" s="464" t="s">
        <v>353</v>
      </c>
      <c r="E26" s="343"/>
      <c r="F26" s="344"/>
      <c r="G26" s="357">
        <v>19.857142857142858</v>
      </c>
      <c r="H26" s="357">
        <v>2477.7645213299047</v>
      </c>
      <c r="I26" s="357">
        <v>124.82815831469816</v>
      </c>
      <c r="J26" s="239" t="s">
        <v>721</v>
      </c>
      <c r="K26" s="770"/>
      <c r="L26" s="771"/>
      <c r="M26" s="151"/>
    </row>
    <row r="27" spans="1:13" ht="15.75" customHeight="1">
      <c r="A27" s="783"/>
      <c r="B27" s="785"/>
      <c r="C27" s="164" t="s">
        <v>719</v>
      </c>
      <c r="D27" s="342"/>
      <c r="E27" s="343"/>
      <c r="F27" s="344"/>
      <c r="G27" s="357"/>
      <c r="H27" s="357"/>
      <c r="I27" s="357"/>
      <c r="J27" s="239"/>
      <c r="K27" s="770"/>
      <c r="L27" s="771"/>
      <c r="M27" s="151"/>
    </row>
    <row r="28" spans="1:13" ht="15.75" customHeight="1">
      <c r="A28" s="779"/>
      <c r="B28" s="786"/>
      <c r="C28" s="164" t="s">
        <v>720</v>
      </c>
      <c r="D28" s="342"/>
      <c r="E28" s="343"/>
      <c r="F28" s="344"/>
      <c r="G28" s="357"/>
      <c r="H28" s="357"/>
      <c r="I28" s="357"/>
      <c r="J28" s="239"/>
      <c r="K28" s="770"/>
      <c r="L28" s="771"/>
      <c r="M28" s="151"/>
    </row>
    <row r="29" spans="1:13" ht="15.75" customHeight="1">
      <c r="A29" s="151"/>
      <c r="B29" s="151"/>
      <c r="C29" s="151"/>
      <c r="D29" s="151"/>
      <c r="E29" s="151"/>
      <c r="F29" s="151"/>
      <c r="G29" s="151"/>
      <c r="H29" s="151"/>
      <c r="I29" s="151"/>
      <c r="J29" s="151"/>
      <c r="K29" s="151"/>
      <c r="L29" s="151"/>
      <c r="M29" s="130"/>
    </row>
    <row r="30" spans="1:13" ht="15.75" customHeight="1">
      <c r="A30" s="151"/>
      <c r="B30" s="151"/>
      <c r="C30" s="151"/>
      <c r="D30" s="151"/>
      <c r="E30" s="151"/>
      <c r="F30" s="151"/>
      <c r="G30" s="151"/>
      <c r="H30" s="151"/>
      <c r="I30" s="151"/>
      <c r="J30" s="151"/>
      <c r="K30" s="151"/>
      <c r="L30" s="151"/>
      <c r="M30" s="130"/>
    </row>
    <row r="31" spans="1:13" ht="15.75" customHeight="1">
      <c r="A31" s="151"/>
      <c r="B31" s="151"/>
      <c r="C31" s="151"/>
      <c r="D31" s="151"/>
      <c r="E31" s="151"/>
      <c r="F31" s="151"/>
      <c r="G31" s="151"/>
      <c r="H31" s="151"/>
      <c r="I31" s="151"/>
      <c r="J31" s="151"/>
      <c r="K31" s="151"/>
      <c r="L31" s="151"/>
      <c r="M31" s="130"/>
    </row>
    <row r="32" spans="1:13" ht="15.75" customHeight="1">
      <c r="A32" s="151"/>
      <c r="B32" s="151"/>
      <c r="C32" s="151"/>
      <c r="D32" s="151"/>
      <c r="E32" s="151"/>
      <c r="F32" s="151"/>
      <c r="G32" s="151"/>
      <c r="H32" s="151"/>
      <c r="I32" s="151"/>
      <c r="J32" s="151"/>
      <c r="K32" s="151"/>
      <c r="L32" s="151"/>
      <c r="M32" s="130"/>
    </row>
    <row r="33" spans="1:13" ht="15.75" customHeight="1">
      <c r="A33" s="151"/>
      <c r="B33" s="151"/>
      <c r="C33" s="151"/>
      <c r="D33" s="151"/>
      <c r="E33" s="151"/>
      <c r="F33" s="151"/>
      <c r="G33" s="151"/>
      <c r="H33" s="151"/>
      <c r="I33" s="151"/>
      <c r="J33" s="151"/>
      <c r="K33" s="151"/>
      <c r="L33" s="151"/>
      <c r="M33" s="130"/>
    </row>
    <row r="34" spans="1:13" ht="15.75" customHeight="1">
      <c r="A34" s="151"/>
      <c r="B34" s="151"/>
      <c r="C34" s="151"/>
      <c r="D34" s="151"/>
      <c r="E34" s="151"/>
      <c r="F34" s="151"/>
      <c r="G34" s="151"/>
      <c r="H34" s="151"/>
      <c r="I34" s="151"/>
      <c r="J34" s="151"/>
      <c r="K34" s="151"/>
      <c r="L34" s="151"/>
      <c r="M34" s="130"/>
    </row>
    <row r="35" spans="1:13" ht="15.75" customHeight="1">
      <c r="A35" s="151"/>
      <c r="B35" s="151"/>
      <c r="C35" s="151"/>
      <c r="D35" s="151"/>
      <c r="E35" s="151"/>
      <c r="F35" s="151"/>
      <c r="G35" s="151"/>
      <c r="H35" s="151"/>
      <c r="I35" s="151"/>
      <c r="J35" s="151"/>
      <c r="K35" s="151"/>
      <c r="L35" s="151"/>
      <c r="M35" s="130"/>
    </row>
  </sheetData>
  <mergeCells count="30">
    <mergeCell ref="K27:L27"/>
    <mergeCell ref="K28:L28"/>
    <mergeCell ref="A8:A17"/>
    <mergeCell ref="B8:B17"/>
    <mergeCell ref="K17:L17"/>
    <mergeCell ref="K16:L16"/>
    <mergeCell ref="K8:L8"/>
    <mergeCell ref="K19:L20"/>
    <mergeCell ref="K26:L26"/>
    <mergeCell ref="K14:L14"/>
    <mergeCell ref="K15:L15"/>
    <mergeCell ref="A19:A28"/>
    <mergeCell ref="B19:B28"/>
    <mergeCell ref="K21:L21"/>
    <mergeCell ref="A18:B18"/>
    <mergeCell ref="D18:F18"/>
    <mergeCell ref="K11:L12"/>
    <mergeCell ref="K9:L9"/>
    <mergeCell ref="K10:L10"/>
    <mergeCell ref="A1:L2"/>
    <mergeCell ref="A3:L4"/>
    <mergeCell ref="A5:A6"/>
    <mergeCell ref="A7:B7"/>
    <mergeCell ref="D7:F7"/>
    <mergeCell ref="K7:L7"/>
    <mergeCell ref="K24:L25"/>
    <mergeCell ref="K13:L13"/>
    <mergeCell ref="K18:L18"/>
    <mergeCell ref="K22:L22"/>
    <mergeCell ref="K23:L23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V35"/>
  <sheetViews>
    <sheetView zoomScale="70" zoomScaleNormal="70" zoomScaleSheetLayoutView="100" workbookViewId="0">
      <selection activeCell="S32" sqref="S32"/>
    </sheetView>
  </sheetViews>
  <sheetFormatPr defaultColWidth="12.5703125" defaultRowHeight="15.75" customHeight="1"/>
  <cols>
    <col min="1" max="1" width="6.42578125" style="119" customWidth="1"/>
    <col min="2" max="10" width="11.5703125" style="119" customWidth="1"/>
    <col min="11" max="12" width="12.85546875" style="119" customWidth="1"/>
    <col min="13" max="13" width="12.5703125" style="120"/>
    <col min="14" max="16384" width="12.5703125" style="119"/>
  </cols>
  <sheetData>
    <row r="1" spans="1:22" ht="15.75" customHeight="1">
      <c r="A1" s="605" t="s">
        <v>185</v>
      </c>
      <c r="B1" s="605"/>
      <c r="C1" s="605"/>
      <c r="D1" s="605"/>
      <c r="E1" s="605"/>
      <c r="F1" s="605"/>
      <c r="G1" s="605"/>
      <c r="H1" s="605"/>
      <c r="I1" s="605"/>
      <c r="J1" s="605"/>
      <c r="K1" s="605"/>
      <c r="L1" s="605"/>
      <c r="M1" s="119"/>
    </row>
    <row r="2" spans="1:22" s="120" customFormat="1" ht="15.75" customHeight="1">
      <c r="A2" s="605"/>
      <c r="B2" s="605"/>
      <c r="C2" s="605"/>
      <c r="D2" s="605"/>
      <c r="E2" s="605"/>
      <c r="F2" s="605"/>
      <c r="G2" s="605"/>
      <c r="H2" s="605"/>
      <c r="I2" s="605"/>
      <c r="J2" s="605"/>
      <c r="K2" s="605"/>
      <c r="L2" s="605"/>
    </row>
    <row r="3" spans="1:22" ht="15.75" customHeight="1">
      <c r="A3" s="735" t="s">
        <v>186</v>
      </c>
      <c r="B3" s="735"/>
      <c r="C3" s="735"/>
      <c r="D3" s="735"/>
      <c r="E3" s="735"/>
      <c r="F3" s="735"/>
      <c r="G3" s="735"/>
      <c r="H3" s="735"/>
      <c r="I3" s="735"/>
      <c r="J3" s="735"/>
      <c r="K3" s="735"/>
      <c r="L3" s="735"/>
      <c r="M3" s="151"/>
    </row>
    <row r="4" spans="1:22" s="120" customFormat="1" ht="15.75" customHeight="1">
      <c r="A4" s="735"/>
      <c r="B4" s="735"/>
      <c r="C4" s="735"/>
      <c r="D4" s="735"/>
      <c r="E4" s="735"/>
      <c r="F4" s="735"/>
      <c r="G4" s="735"/>
      <c r="H4" s="735"/>
      <c r="I4" s="735"/>
      <c r="J4" s="735"/>
      <c r="K4" s="735"/>
      <c r="L4" s="735"/>
      <c r="M4" s="130"/>
    </row>
    <row r="5" spans="1:22" s="153" customFormat="1" ht="16.350000000000001" customHeight="1">
      <c r="A5" s="778" t="s">
        <v>154</v>
      </c>
      <c r="B5" s="155">
        <v>1</v>
      </c>
      <c r="C5" s="155">
        <v>2</v>
      </c>
      <c r="D5" s="155">
        <v>3</v>
      </c>
      <c r="E5" s="155">
        <v>4</v>
      </c>
      <c r="F5" s="155">
        <v>5</v>
      </c>
      <c r="G5" s="155">
        <v>6</v>
      </c>
      <c r="H5" s="155">
        <v>7</v>
      </c>
      <c r="I5" s="155">
        <v>8</v>
      </c>
      <c r="J5" s="165">
        <v>9</v>
      </c>
      <c r="K5" s="152"/>
      <c r="L5" s="152"/>
      <c r="M5" s="152"/>
      <c r="U5" s="459"/>
      <c r="V5" s="460"/>
    </row>
    <row r="6" spans="1:22" ht="16.350000000000001" customHeight="1">
      <c r="A6" s="779"/>
      <c r="B6" s="156" t="s">
        <v>187</v>
      </c>
      <c r="C6" s="156" t="s">
        <v>151</v>
      </c>
      <c r="D6" s="156" t="s">
        <v>188</v>
      </c>
      <c r="E6" s="156" t="s">
        <v>153</v>
      </c>
      <c r="F6" s="157" t="s">
        <v>133</v>
      </c>
      <c r="G6" s="158" t="s">
        <v>131</v>
      </c>
      <c r="H6" s="159" t="s">
        <v>189</v>
      </c>
      <c r="I6" s="158" t="s">
        <v>190</v>
      </c>
      <c r="J6" s="168" t="s">
        <v>137</v>
      </c>
      <c r="K6" s="154"/>
      <c r="L6" s="154"/>
      <c r="M6" s="130"/>
      <c r="U6" s="250"/>
      <c r="V6" s="461"/>
    </row>
    <row r="7" spans="1:22" s="153" customFormat="1" ht="15.75" customHeight="1">
      <c r="A7" s="780" t="s">
        <v>542</v>
      </c>
      <c r="B7" s="781"/>
      <c r="C7" s="346" t="s">
        <v>543</v>
      </c>
      <c r="D7" s="780" t="s">
        <v>12</v>
      </c>
      <c r="E7" s="782"/>
      <c r="F7" s="781"/>
      <c r="G7" s="361" t="s">
        <v>552</v>
      </c>
      <c r="H7" s="361" t="s">
        <v>553</v>
      </c>
      <c r="I7" s="361" t="s">
        <v>554</v>
      </c>
      <c r="J7" s="221" t="s">
        <v>555</v>
      </c>
      <c r="K7" s="780" t="s">
        <v>556</v>
      </c>
      <c r="L7" s="781"/>
      <c r="M7" s="152"/>
      <c r="U7" s="459"/>
      <c r="V7" s="460"/>
    </row>
    <row r="8" spans="1:22" ht="15.75" customHeight="1">
      <c r="A8" s="778">
        <f>J5</f>
        <v>9</v>
      </c>
      <c r="B8" s="784" t="str">
        <f>J6</f>
        <v>微波小吃</v>
      </c>
      <c r="C8" s="574">
        <v>1</v>
      </c>
      <c r="D8" s="342" t="s">
        <v>355</v>
      </c>
      <c r="E8" s="343"/>
      <c r="F8" s="344"/>
      <c r="G8" s="423">
        <v>7</v>
      </c>
      <c r="H8" s="423">
        <v>1477.2432537551788</v>
      </c>
      <c r="I8" s="423">
        <v>211.03475053645408</v>
      </c>
      <c r="J8" s="239" t="s">
        <v>721</v>
      </c>
      <c r="K8" s="790"/>
      <c r="L8" s="791"/>
      <c r="M8" s="130"/>
      <c r="U8" s="250"/>
      <c r="V8" s="461"/>
    </row>
    <row r="9" spans="1:22" ht="15.75" customHeight="1">
      <c r="A9" s="783"/>
      <c r="B9" s="785"/>
      <c r="C9" s="574">
        <v>2</v>
      </c>
      <c r="D9" s="342" t="s">
        <v>388</v>
      </c>
      <c r="E9" s="343"/>
      <c r="F9" s="344"/>
      <c r="G9" s="423">
        <v>7</v>
      </c>
      <c r="H9" s="423">
        <v>1461.1963946398992</v>
      </c>
      <c r="I9" s="423">
        <v>208.74234209141414</v>
      </c>
      <c r="J9" s="239" t="s">
        <v>721</v>
      </c>
      <c r="K9" s="790"/>
      <c r="L9" s="791"/>
      <c r="M9" s="130"/>
      <c r="U9" s="250"/>
      <c r="V9" s="461"/>
    </row>
    <row r="10" spans="1:22" ht="15.75" customHeight="1">
      <c r="A10" s="783"/>
      <c r="B10" s="785"/>
      <c r="C10" s="574">
        <v>3</v>
      </c>
      <c r="D10" s="342" t="s">
        <v>562</v>
      </c>
      <c r="E10" s="343"/>
      <c r="F10" s="344"/>
      <c r="G10" s="423">
        <v>7</v>
      </c>
      <c r="H10" s="423">
        <v>1456.6906194361802</v>
      </c>
      <c r="I10" s="423">
        <v>208.09865991945438</v>
      </c>
      <c r="J10" s="239" t="s">
        <v>721</v>
      </c>
      <c r="K10" s="790"/>
      <c r="L10" s="791"/>
      <c r="M10" s="130"/>
      <c r="U10" s="250"/>
      <c r="V10" s="461"/>
    </row>
    <row r="11" spans="1:22" ht="15.75" customHeight="1">
      <c r="A11" s="783"/>
      <c r="B11" s="785"/>
      <c r="C11" s="574">
        <v>4</v>
      </c>
      <c r="D11" s="358" t="s">
        <v>354</v>
      </c>
      <c r="E11" s="343"/>
      <c r="F11" s="344"/>
      <c r="G11" s="423">
        <v>7</v>
      </c>
      <c r="H11" s="423">
        <v>1447.4532066389208</v>
      </c>
      <c r="I11" s="423">
        <v>206.77902951984584</v>
      </c>
      <c r="J11" s="239" t="s">
        <v>721</v>
      </c>
      <c r="K11" s="790"/>
      <c r="L11" s="791"/>
      <c r="M11" s="130"/>
      <c r="U11" s="250"/>
      <c r="V11" s="461"/>
    </row>
    <row r="12" spans="1:22" ht="15.75" customHeight="1">
      <c r="A12" s="783"/>
      <c r="B12" s="785"/>
      <c r="C12" s="574">
        <v>5</v>
      </c>
      <c r="D12" s="358" t="s">
        <v>621</v>
      </c>
      <c r="E12" s="343"/>
      <c r="F12" s="344"/>
      <c r="G12" s="423">
        <v>7</v>
      </c>
      <c r="H12" s="423">
        <v>1357.2950572213242</v>
      </c>
      <c r="I12" s="423">
        <v>193.89929388876061</v>
      </c>
      <c r="J12" s="239" t="s">
        <v>721</v>
      </c>
      <c r="K12" s="790"/>
      <c r="L12" s="791"/>
      <c r="M12" s="130"/>
    </row>
    <row r="13" spans="1:22" ht="15.75" customHeight="1">
      <c r="A13" s="783"/>
      <c r="B13" s="785"/>
      <c r="C13" s="164" t="s">
        <v>716</v>
      </c>
      <c r="D13" s="358" t="s">
        <v>356</v>
      </c>
      <c r="E13" s="343"/>
      <c r="F13" s="344"/>
      <c r="G13" s="423">
        <v>16.714285714285715</v>
      </c>
      <c r="H13" s="423">
        <v>1355.8435570399176</v>
      </c>
      <c r="I13" s="423">
        <v>81.160947504332043</v>
      </c>
      <c r="J13" s="239" t="s">
        <v>721</v>
      </c>
      <c r="K13" s="790"/>
      <c r="L13" s="791"/>
      <c r="M13" s="130"/>
    </row>
    <row r="14" spans="1:22" ht="15.75" customHeight="1">
      <c r="A14" s="783"/>
      <c r="B14" s="785"/>
      <c r="C14" s="164" t="s">
        <v>717</v>
      </c>
      <c r="D14" s="342" t="s">
        <v>606</v>
      </c>
      <c r="E14" s="343"/>
      <c r="F14" s="344"/>
      <c r="G14" s="423">
        <v>10.857142857142858</v>
      </c>
      <c r="H14" s="423">
        <v>1313.3185905941318</v>
      </c>
      <c r="I14" s="423">
        <v>121.80596098088351</v>
      </c>
      <c r="J14" s="239" t="s">
        <v>721</v>
      </c>
      <c r="K14" s="790"/>
      <c r="L14" s="791"/>
      <c r="M14" s="130"/>
    </row>
    <row r="15" spans="1:22" ht="15.75" customHeight="1">
      <c r="A15" s="783"/>
      <c r="B15" s="785"/>
      <c r="C15" s="164" t="s">
        <v>718</v>
      </c>
      <c r="D15" s="342" t="s">
        <v>605</v>
      </c>
      <c r="E15" s="343"/>
      <c r="F15" s="344"/>
      <c r="G15" s="357">
        <v>12</v>
      </c>
      <c r="H15" s="357">
        <v>1504.8967812940334</v>
      </c>
      <c r="I15" s="357">
        <v>125.40806510783611</v>
      </c>
      <c r="J15" s="241" t="s">
        <v>723</v>
      </c>
      <c r="K15" s="746" t="s">
        <v>762</v>
      </c>
      <c r="L15" s="792"/>
      <c r="M15" s="130"/>
    </row>
    <row r="16" spans="1:22" ht="15.75" customHeight="1">
      <c r="A16" s="783"/>
      <c r="B16" s="785"/>
      <c r="C16" s="164" t="s">
        <v>719</v>
      </c>
      <c r="D16" s="358" t="s">
        <v>577</v>
      </c>
      <c r="E16" s="343"/>
      <c r="F16" s="344"/>
      <c r="G16" s="357">
        <v>12.571428571428571</v>
      </c>
      <c r="H16" s="357">
        <v>1615.9093931270206</v>
      </c>
      <c r="I16" s="357">
        <v>127.95960870475581</v>
      </c>
      <c r="J16" s="240" t="s">
        <v>722</v>
      </c>
      <c r="K16" s="793"/>
      <c r="L16" s="794"/>
      <c r="M16" s="151"/>
    </row>
    <row r="17" spans="1:13" ht="15.75" customHeight="1">
      <c r="A17" s="779"/>
      <c r="B17" s="786"/>
      <c r="C17" s="164" t="s">
        <v>720</v>
      </c>
      <c r="D17" s="358"/>
      <c r="E17" s="343"/>
      <c r="F17" s="344"/>
      <c r="G17" s="357"/>
      <c r="H17" s="357"/>
      <c r="I17" s="357"/>
      <c r="J17" s="240"/>
      <c r="K17" s="790"/>
      <c r="L17" s="791"/>
      <c r="M17" s="151"/>
    </row>
    <row r="18" spans="1:13" s="161" customFormat="1" ht="15.75" customHeight="1">
      <c r="A18" s="768" t="s">
        <v>167</v>
      </c>
      <c r="B18" s="769"/>
      <c r="C18" s="575" t="s">
        <v>47</v>
      </c>
      <c r="D18" s="768" t="s">
        <v>12</v>
      </c>
      <c r="E18" s="789"/>
      <c r="F18" s="769"/>
      <c r="G18" s="575" t="s">
        <v>46</v>
      </c>
      <c r="H18" s="575" t="s">
        <v>507</v>
      </c>
      <c r="I18" s="575" t="s">
        <v>382</v>
      </c>
      <c r="J18" s="221" t="s">
        <v>383</v>
      </c>
      <c r="K18" s="768" t="s">
        <v>51</v>
      </c>
      <c r="L18" s="769"/>
      <c r="M18" s="154"/>
    </row>
    <row r="19" spans="1:13" ht="15.75" customHeight="1">
      <c r="A19" s="778"/>
      <c r="B19" s="784"/>
      <c r="C19" s="574">
        <v>1</v>
      </c>
      <c r="D19" s="342"/>
      <c r="E19" s="343"/>
      <c r="F19" s="344"/>
      <c r="G19" s="576"/>
      <c r="H19" s="576"/>
      <c r="I19" s="576"/>
      <c r="J19" s="576"/>
      <c r="K19" s="790"/>
      <c r="L19" s="791"/>
      <c r="M19" s="151"/>
    </row>
    <row r="20" spans="1:13" ht="15.75" customHeight="1">
      <c r="A20" s="783"/>
      <c r="B20" s="785"/>
      <c r="C20" s="574">
        <v>2</v>
      </c>
      <c r="D20" s="342"/>
      <c r="E20" s="343"/>
      <c r="F20" s="344"/>
      <c r="G20" s="576"/>
      <c r="H20" s="576"/>
      <c r="I20" s="576"/>
      <c r="J20" s="576"/>
      <c r="K20" s="795"/>
      <c r="L20" s="796"/>
      <c r="M20" s="151"/>
    </row>
    <row r="21" spans="1:13" ht="15.75" customHeight="1">
      <c r="A21" s="783"/>
      <c r="B21" s="785"/>
      <c r="C21" s="574">
        <v>3</v>
      </c>
      <c r="D21" s="342"/>
      <c r="E21" s="343"/>
      <c r="F21" s="344"/>
      <c r="G21" s="576"/>
      <c r="H21" s="576"/>
      <c r="I21" s="576"/>
      <c r="J21" s="576"/>
      <c r="K21" s="795"/>
      <c r="L21" s="796"/>
      <c r="M21" s="151"/>
    </row>
    <row r="22" spans="1:13" ht="15.75" customHeight="1">
      <c r="A22" s="783"/>
      <c r="B22" s="785"/>
      <c r="C22" s="574">
        <v>4</v>
      </c>
      <c r="D22" s="342"/>
      <c r="E22" s="343"/>
      <c r="F22" s="344"/>
      <c r="G22" s="576"/>
      <c r="H22" s="576"/>
      <c r="I22" s="576"/>
      <c r="J22" s="576"/>
      <c r="K22" s="795"/>
      <c r="L22" s="796"/>
      <c r="M22" s="151"/>
    </row>
    <row r="23" spans="1:13" ht="15.75" customHeight="1">
      <c r="A23" s="783"/>
      <c r="B23" s="785"/>
      <c r="C23" s="574">
        <v>5</v>
      </c>
      <c r="D23" s="342"/>
      <c r="E23" s="343"/>
      <c r="F23" s="344"/>
      <c r="G23" s="576"/>
      <c r="H23" s="576"/>
      <c r="I23" s="576"/>
      <c r="J23" s="576"/>
      <c r="K23" s="795"/>
      <c r="L23" s="796"/>
      <c r="M23" s="151"/>
    </row>
    <row r="24" spans="1:13" ht="15.75" customHeight="1">
      <c r="A24" s="783"/>
      <c r="B24" s="785"/>
      <c r="C24" s="164" t="s">
        <v>716</v>
      </c>
      <c r="D24" s="342"/>
      <c r="E24" s="343"/>
      <c r="F24" s="344"/>
      <c r="G24" s="576"/>
      <c r="H24" s="576"/>
      <c r="I24" s="576"/>
      <c r="J24" s="576"/>
      <c r="K24" s="790"/>
      <c r="L24" s="791"/>
      <c r="M24" s="151"/>
    </row>
    <row r="25" spans="1:13" ht="15.75" customHeight="1">
      <c r="A25" s="783"/>
      <c r="B25" s="785"/>
      <c r="C25" s="164" t="s">
        <v>717</v>
      </c>
      <c r="D25" s="342"/>
      <c r="E25" s="343"/>
      <c r="F25" s="344"/>
      <c r="G25" s="576"/>
      <c r="H25" s="576"/>
      <c r="I25" s="576"/>
      <c r="J25" s="576"/>
      <c r="K25" s="795"/>
      <c r="L25" s="796"/>
      <c r="M25" s="151"/>
    </row>
    <row r="26" spans="1:13" ht="15.75" customHeight="1">
      <c r="A26" s="783"/>
      <c r="B26" s="785"/>
      <c r="C26" s="164" t="s">
        <v>718</v>
      </c>
      <c r="D26" s="342"/>
      <c r="E26" s="343"/>
      <c r="F26" s="344"/>
      <c r="G26" s="576"/>
      <c r="H26" s="576"/>
      <c r="I26" s="576"/>
      <c r="J26" s="576"/>
      <c r="K26" s="795"/>
      <c r="L26" s="796"/>
      <c r="M26" s="151"/>
    </row>
    <row r="27" spans="1:13" ht="15.75" customHeight="1">
      <c r="A27" s="783"/>
      <c r="B27" s="785"/>
      <c r="C27" s="164" t="s">
        <v>719</v>
      </c>
      <c r="D27" s="342"/>
      <c r="E27" s="343"/>
      <c r="F27" s="344"/>
      <c r="G27" s="576"/>
      <c r="H27" s="576"/>
      <c r="I27" s="576"/>
      <c r="J27" s="576"/>
      <c r="K27" s="795"/>
      <c r="L27" s="796"/>
      <c r="M27" s="151"/>
    </row>
    <row r="28" spans="1:13" ht="15.75" customHeight="1">
      <c r="A28" s="779"/>
      <c r="B28" s="786"/>
      <c r="C28" s="164" t="s">
        <v>720</v>
      </c>
      <c r="D28" s="342"/>
      <c r="E28" s="343"/>
      <c r="F28" s="344"/>
      <c r="G28" s="576"/>
      <c r="H28" s="576"/>
      <c r="I28" s="576"/>
      <c r="J28" s="576"/>
      <c r="K28" s="795"/>
      <c r="L28" s="796"/>
      <c r="M28" s="151"/>
    </row>
    <row r="29" spans="1:13" ht="15.75" customHeight="1">
      <c r="A29" s="151"/>
      <c r="B29" s="151"/>
      <c r="C29" s="151"/>
      <c r="D29" s="151"/>
      <c r="E29" s="151"/>
      <c r="F29" s="151"/>
      <c r="G29" s="151"/>
      <c r="H29" s="151"/>
      <c r="I29" s="151"/>
      <c r="J29" s="151"/>
      <c r="K29" s="151"/>
      <c r="L29" s="151"/>
      <c r="M29" s="130"/>
    </row>
    <row r="30" spans="1:13" ht="15.75" customHeight="1">
      <c r="A30" s="151"/>
      <c r="B30" s="151"/>
      <c r="C30" s="151"/>
      <c r="D30" s="151"/>
      <c r="E30" s="151"/>
      <c r="F30" s="151"/>
      <c r="G30" s="151"/>
      <c r="H30" s="151"/>
      <c r="I30" s="151"/>
      <c r="J30" s="151"/>
      <c r="K30" s="151"/>
      <c r="L30" s="151"/>
      <c r="M30" s="130"/>
    </row>
    <row r="31" spans="1:13" ht="15.75" customHeight="1">
      <c r="A31" s="151"/>
      <c r="B31" s="151"/>
      <c r="C31" s="151"/>
      <c r="D31" s="151"/>
      <c r="E31" s="151"/>
      <c r="F31" s="151"/>
      <c r="G31" s="151"/>
      <c r="H31" s="151"/>
      <c r="I31" s="151"/>
      <c r="J31" s="151"/>
      <c r="K31" s="151"/>
      <c r="L31" s="151"/>
      <c r="M31" s="130"/>
    </row>
    <row r="32" spans="1:13" ht="15.75" customHeight="1">
      <c r="A32" s="151"/>
      <c r="B32" s="151"/>
      <c r="C32" s="151"/>
      <c r="D32" s="151"/>
      <c r="E32" s="151"/>
      <c r="F32" s="151"/>
      <c r="G32" s="151"/>
      <c r="H32" s="151"/>
      <c r="I32" s="151"/>
      <c r="J32" s="151"/>
      <c r="K32" s="151"/>
      <c r="L32" s="151"/>
      <c r="M32" s="130"/>
    </row>
    <row r="33" spans="1:13" ht="15.75" customHeight="1">
      <c r="A33" s="151"/>
      <c r="B33" s="151"/>
      <c r="C33" s="151"/>
      <c r="D33" s="151"/>
      <c r="E33" s="151"/>
      <c r="F33" s="151"/>
      <c r="G33" s="151"/>
      <c r="H33" s="151"/>
      <c r="I33" s="151"/>
      <c r="J33" s="151"/>
      <c r="K33" s="151"/>
      <c r="L33" s="151"/>
      <c r="M33" s="130"/>
    </row>
    <row r="34" spans="1:13" ht="15.75" customHeight="1">
      <c r="A34" s="151"/>
      <c r="B34" s="151"/>
      <c r="C34" s="151"/>
      <c r="D34" s="151"/>
      <c r="E34" s="151"/>
      <c r="F34" s="151"/>
      <c r="G34" s="151"/>
      <c r="H34" s="151"/>
      <c r="I34" s="151"/>
      <c r="J34" s="151"/>
      <c r="K34" s="151"/>
      <c r="L34" s="151"/>
      <c r="M34" s="130"/>
    </row>
    <row r="35" spans="1:13" ht="15.75" customHeight="1">
      <c r="A35" s="151"/>
      <c r="B35" s="151"/>
      <c r="C35" s="151"/>
      <c r="D35" s="151"/>
      <c r="E35" s="151"/>
      <c r="F35" s="151"/>
      <c r="G35" s="151"/>
      <c r="H35" s="151"/>
      <c r="I35" s="151"/>
      <c r="J35" s="151"/>
      <c r="K35" s="151"/>
      <c r="L35" s="151"/>
      <c r="M35" s="130"/>
    </row>
  </sheetData>
  <mergeCells count="32">
    <mergeCell ref="A19:A28"/>
    <mergeCell ref="B19:B28"/>
    <mergeCell ref="K19:L19"/>
    <mergeCell ref="K20:L20"/>
    <mergeCell ref="K28:L28"/>
    <mergeCell ref="K26:L26"/>
    <mergeCell ref="K21:L21"/>
    <mergeCell ref="K27:L27"/>
    <mergeCell ref="K25:L25"/>
    <mergeCell ref="K22:L22"/>
    <mergeCell ref="K24:L24"/>
    <mergeCell ref="K23:L23"/>
    <mergeCell ref="A18:B18"/>
    <mergeCell ref="D18:F18"/>
    <mergeCell ref="K18:L18"/>
    <mergeCell ref="K15:L16"/>
    <mergeCell ref="K17:L17"/>
    <mergeCell ref="A1:L2"/>
    <mergeCell ref="K14:L14"/>
    <mergeCell ref="A3:L4"/>
    <mergeCell ref="A5:A6"/>
    <mergeCell ref="A7:B7"/>
    <mergeCell ref="D7:F7"/>
    <mergeCell ref="K7:L7"/>
    <mergeCell ref="A8:A17"/>
    <mergeCell ref="B8:B17"/>
    <mergeCell ref="K13:L13"/>
    <mergeCell ref="K8:L8"/>
    <mergeCell ref="K12:L12"/>
    <mergeCell ref="K11:L11"/>
    <mergeCell ref="K9:L9"/>
    <mergeCell ref="K10:L10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0" summaryRight="0"/>
  </sheetPr>
  <dimension ref="A1:N15"/>
  <sheetViews>
    <sheetView zoomScale="115" zoomScaleNormal="115" zoomScaleSheetLayoutView="115" workbookViewId="0">
      <selection activeCell="N13" sqref="N13"/>
    </sheetView>
  </sheetViews>
  <sheetFormatPr defaultColWidth="12.5703125" defaultRowHeight="15.75" customHeight="1"/>
  <cols>
    <col min="1" max="1" width="7.5703125" style="182" customWidth="1"/>
    <col min="2" max="2" width="14.85546875" style="182" customWidth="1"/>
    <col min="3" max="3" width="12.85546875" style="182" customWidth="1"/>
    <col min="4" max="4" width="2.5703125" style="182" customWidth="1"/>
    <col min="5" max="5" width="7.5703125" style="182" customWidth="1"/>
    <col min="6" max="6" width="12.85546875" style="182" customWidth="1"/>
    <col min="7" max="7" width="9.42578125" style="182" customWidth="1"/>
    <col min="8" max="8" width="12.85546875" style="182" customWidth="1"/>
    <col min="9" max="9" width="9.42578125" style="182" customWidth="1"/>
    <col min="10" max="10" width="12.85546875" style="182" customWidth="1"/>
    <col min="11" max="11" width="9.42578125" style="182" customWidth="1"/>
    <col min="12" max="12" width="12.85546875" style="182" customWidth="1"/>
    <col min="13" max="13" width="9.42578125" style="182" customWidth="1"/>
    <col min="14" max="16384" width="12.5703125" style="182"/>
  </cols>
  <sheetData>
    <row r="1" spans="1:14" ht="15.75" customHeight="1">
      <c r="A1" s="799" t="s">
        <v>217</v>
      </c>
      <c r="B1" s="799"/>
      <c r="C1" s="799"/>
      <c r="D1" s="799"/>
      <c r="E1" s="799"/>
      <c r="F1" s="799"/>
      <c r="G1" s="799"/>
      <c r="H1" s="799"/>
      <c r="I1" s="799"/>
      <c r="J1" s="799"/>
      <c r="K1" s="799"/>
      <c r="L1" s="799"/>
      <c r="M1" s="799"/>
    </row>
    <row r="2" spans="1:14" s="183" customFormat="1" ht="15.75" customHeight="1">
      <c r="A2" s="799"/>
      <c r="B2" s="799"/>
      <c r="C2" s="799"/>
      <c r="D2" s="799"/>
      <c r="E2" s="799"/>
      <c r="F2" s="799"/>
      <c r="G2" s="799"/>
      <c r="H2" s="799"/>
      <c r="I2" s="799"/>
      <c r="J2" s="799"/>
      <c r="K2" s="799"/>
      <c r="L2" s="799"/>
      <c r="M2" s="799"/>
    </row>
    <row r="3" spans="1:14" ht="15.75" customHeight="1">
      <c r="A3" s="800" t="s">
        <v>218</v>
      </c>
      <c r="B3" s="800"/>
      <c r="C3" s="800"/>
      <c r="D3" s="800"/>
      <c r="E3" s="800"/>
      <c r="F3" s="800"/>
      <c r="G3" s="800"/>
      <c r="H3" s="800"/>
      <c r="I3" s="800"/>
      <c r="J3" s="800"/>
      <c r="K3" s="800"/>
      <c r="L3" s="800"/>
      <c r="M3" s="800"/>
      <c r="N3" s="184"/>
    </row>
    <row r="4" spans="1:14" s="183" customFormat="1" ht="15.75" customHeight="1">
      <c r="A4" s="800"/>
      <c r="B4" s="800"/>
      <c r="C4" s="800"/>
      <c r="D4" s="800"/>
      <c r="E4" s="800"/>
      <c r="F4" s="800"/>
      <c r="G4" s="800"/>
      <c r="H4" s="800"/>
      <c r="I4" s="800"/>
      <c r="J4" s="800"/>
      <c r="K4" s="800"/>
      <c r="L4" s="800"/>
      <c r="M4" s="800"/>
      <c r="N4" s="185"/>
    </row>
    <row r="5" spans="1:14" ht="15.75" customHeight="1">
      <c r="A5" s="186" t="s">
        <v>219</v>
      </c>
      <c r="B5" s="187">
        <v>212376150</v>
      </c>
    </row>
    <row r="6" spans="1:14" ht="15.75" customHeight="1">
      <c r="A6" s="801" t="s">
        <v>220</v>
      </c>
      <c r="B6" s="802" t="s">
        <v>10</v>
      </c>
      <c r="C6" s="802"/>
      <c r="D6" s="803"/>
      <c r="E6" s="801" t="s">
        <v>220</v>
      </c>
      <c r="F6" s="805">
        <v>1</v>
      </c>
      <c r="G6" s="805"/>
      <c r="H6" s="805">
        <v>2</v>
      </c>
      <c r="I6" s="805"/>
      <c r="J6" s="805">
        <v>3</v>
      </c>
      <c r="K6" s="805"/>
      <c r="L6" s="805">
        <v>4</v>
      </c>
      <c r="M6" s="805"/>
    </row>
    <row r="7" spans="1:14" ht="31.35" customHeight="1">
      <c r="A7" s="801"/>
      <c r="B7" s="802"/>
      <c r="C7" s="802"/>
      <c r="D7" s="804"/>
      <c r="E7" s="801"/>
      <c r="F7" s="797" t="s">
        <v>231</v>
      </c>
      <c r="G7" s="797"/>
      <c r="H7" s="797" t="s">
        <v>221</v>
      </c>
      <c r="I7" s="797"/>
      <c r="J7" s="797" t="s">
        <v>222</v>
      </c>
      <c r="K7" s="797"/>
      <c r="L7" s="797" t="s">
        <v>223</v>
      </c>
      <c r="M7" s="797"/>
    </row>
    <row r="8" spans="1:14" ht="15.75" customHeight="1">
      <c r="A8" s="801"/>
      <c r="B8" s="215" t="s">
        <v>11</v>
      </c>
      <c r="C8" s="215" t="s">
        <v>224</v>
      </c>
      <c r="D8" s="804"/>
      <c r="E8" s="801"/>
      <c r="F8" s="215" t="s">
        <v>11</v>
      </c>
      <c r="G8" s="215" t="s">
        <v>224</v>
      </c>
      <c r="H8" s="215" t="s">
        <v>11</v>
      </c>
      <c r="I8" s="215" t="s">
        <v>224</v>
      </c>
      <c r="J8" s="215" t="s">
        <v>11</v>
      </c>
      <c r="K8" s="215" t="s">
        <v>224</v>
      </c>
      <c r="L8" s="215" t="s">
        <v>11</v>
      </c>
      <c r="M8" s="215" t="s">
        <v>224</v>
      </c>
    </row>
    <row r="9" spans="1:14" s="193" customFormat="1" ht="19.350000000000001" customHeight="1">
      <c r="A9" s="188" t="s">
        <v>225</v>
      </c>
      <c r="B9" s="189">
        <v>47927.00699999994</v>
      </c>
      <c r="C9" s="190">
        <f>B9/$B$5</f>
        <v>2.256703824793883E-4</v>
      </c>
      <c r="D9" s="804"/>
      <c r="E9" s="188" t="s">
        <v>225</v>
      </c>
      <c r="F9" s="191">
        <v>1423.9050000000002</v>
      </c>
      <c r="G9" s="192">
        <f>IFERROR(F9/$B$9,"")</f>
        <v>2.9709866923256903E-2</v>
      </c>
      <c r="H9" s="191">
        <v>5535.9419999999991</v>
      </c>
      <c r="I9" s="192">
        <f>IFERROR(H9/$B$9,"")</f>
        <v>0.11550777623146812</v>
      </c>
      <c r="J9" s="191">
        <v>6691.5360000000019</v>
      </c>
      <c r="K9" s="192">
        <f>IFERROR(J9/$B$9,"")</f>
        <v>0.13961931735065389</v>
      </c>
      <c r="L9" s="191">
        <v>17258.763000000006</v>
      </c>
      <c r="M9" s="192">
        <f>IFERROR(L9/$B$9,"")</f>
        <v>0.36010516993059943</v>
      </c>
    </row>
    <row r="10" spans="1:14" s="193" customFormat="1" ht="19.350000000000001" customHeight="1">
      <c r="A10" s="194" t="s">
        <v>226</v>
      </c>
      <c r="B10" s="195">
        <v>69974.579191980054</v>
      </c>
      <c r="C10" s="190">
        <f>B10/$B$5</f>
        <v>3.2948416849999424E-4</v>
      </c>
      <c r="D10" s="804"/>
      <c r="E10" s="194" t="s">
        <v>226</v>
      </c>
      <c r="F10" s="191">
        <v>1179.8078200000007</v>
      </c>
      <c r="G10" s="192">
        <f>IFERROR(F10/$B$10,"")</f>
        <v>1.6860520400746062E-2</v>
      </c>
      <c r="H10" s="191">
        <v>3563.9139100000007</v>
      </c>
      <c r="I10" s="192">
        <f>IFERROR(H10/$B$10,"")</f>
        <v>5.0931551874319365E-2</v>
      </c>
      <c r="J10" s="191">
        <v>3130.998689999999</v>
      </c>
      <c r="K10" s="192">
        <f>IFERROR(J10/$B$10,"")</f>
        <v>4.4744801986016804E-2</v>
      </c>
      <c r="L10" s="191">
        <v>14381.948886699534</v>
      </c>
      <c r="M10" s="192">
        <f>IFERROR(L10/$B$10,"")</f>
        <v>0.20553105217312806</v>
      </c>
    </row>
    <row r="11" spans="1:14" ht="15.75" customHeight="1">
      <c r="D11" s="804"/>
      <c r="E11" s="801" t="s">
        <v>220</v>
      </c>
      <c r="F11" s="805">
        <v>5</v>
      </c>
      <c r="G11" s="805"/>
      <c r="H11" s="805">
        <v>6</v>
      </c>
      <c r="I11" s="805"/>
      <c r="J11" s="805">
        <v>7</v>
      </c>
      <c r="K11" s="805"/>
      <c r="L11" s="806">
        <v>8</v>
      </c>
      <c r="M11" s="806"/>
    </row>
    <row r="12" spans="1:14" ht="31.35" customHeight="1">
      <c r="D12" s="804"/>
      <c r="E12" s="801"/>
      <c r="F12" s="797" t="s">
        <v>227</v>
      </c>
      <c r="G12" s="797"/>
      <c r="H12" s="797" t="s">
        <v>228</v>
      </c>
      <c r="I12" s="797"/>
      <c r="J12" s="797" t="s">
        <v>229</v>
      </c>
      <c r="K12" s="797"/>
      <c r="L12" s="798" t="s">
        <v>230</v>
      </c>
      <c r="M12" s="798"/>
    </row>
    <row r="13" spans="1:14" ht="15.75" customHeight="1">
      <c r="D13" s="804"/>
      <c r="E13" s="801"/>
      <c r="F13" s="215" t="s">
        <v>11</v>
      </c>
      <c r="G13" s="215" t="s">
        <v>224</v>
      </c>
      <c r="H13" s="215" t="s">
        <v>11</v>
      </c>
      <c r="I13" s="215" t="s">
        <v>224</v>
      </c>
      <c r="J13" s="215" t="s">
        <v>11</v>
      </c>
      <c r="K13" s="215" t="s">
        <v>224</v>
      </c>
      <c r="L13" s="215" t="s">
        <v>11</v>
      </c>
      <c r="M13" s="215" t="s">
        <v>224</v>
      </c>
    </row>
    <row r="14" spans="1:14" s="193" customFormat="1" ht="19.350000000000001" customHeight="1">
      <c r="D14" s="804"/>
      <c r="E14" s="188" t="s">
        <v>225</v>
      </c>
      <c r="F14" s="191">
        <v>12460.915000000001</v>
      </c>
      <c r="G14" s="192">
        <f>IFERROR(F14/$B$9,"")</f>
        <v>0.25999777119401629</v>
      </c>
      <c r="H14" s="191">
        <v>1494.27</v>
      </c>
      <c r="I14" s="192">
        <f>IFERROR(H14/$B$9,"")</f>
        <v>3.1178037051218365E-2</v>
      </c>
      <c r="J14" s="191">
        <v>3061.675999999999</v>
      </c>
      <c r="K14" s="192">
        <f>IFERROR(J14/$B$9,"")</f>
        <v>6.3882061318788444E-2</v>
      </c>
      <c r="L14" s="191">
        <v>0</v>
      </c>
      <c r="M14" s="192">
        <f>IFERROR(L14/$B$9,"")</f>
        <v>0</v>
      </c>
    </row>
    <row r="15" spans="1:14" s="193" customFormat="1" ht="19.350000000000001" customHeight="1">
      <c r="D15" s="804"/>
      <c r="E15" s="194" t="s">
        <v>226</v>
      </c>
      <c r="F15" s="191">
        <v>30846.731825280494</v>
      </c>
      <c r="G15" s="192">
        <f>IFERROR(F15/$B$10,"")</f>
        <v>0.44082768601795191</v>
      </c>
      <c r="H15" s="191">
        <v>12704.309300000044</v>
      </c>
      <c r="I15" s="192">
        <f>IFERROR(H15/$B$10,"")</f>
        <v>0.18155606574131589</v>
      </c>
      <c r="J15" s="191">
        <v>3994.7131600000112</v>
      </c>
      <c r="K15" s="192">
        <f>IFERROR(J15/$B$10,"")</f>
        <v>5.7088062638293857E-2</v>
      </c>
      <c r="L15" s="191">
        <v>0</v>
      </c>
      <c r="M15" s="192">
        <f>IFERROR(L15/$B$10,"")</f>
        <v>0</v>
      </c>
    </row>
  </sheetData>
  <mergeCells count="23">
    <mergeCell ref="A1:M2"/>
    <mergeCell ref="A3:M4"/>
    <mergeCell ref="A6:A8"/>
    <mergeCell ref="B6:C7"/>
    <mergeCell ref="D6:D15"/>
    <mergeCell ref="E6:E8"/>
    <mergeCell ref="F6:G6"/>
    <mergeCell ref="H6:I6"/>
    <mergeCell ref="J6:K6"/>
    <mergeCell ref="L6:M6"/>
    <mergeCell ref="E11:E13"/>
    <mergeCell ref="F11:G11"/>
    <mergeCell ref="H11:I11"/>
    <mergeCell ref="J11:K11"/>
    <mergeCell ref="L11:M11"/>
    <mergeCell ref="F12:G12"/>
    <mergeCell ref="H12:I12"/>
    <mergeCell ref="J12:K12"/>
    <mergeCell ref="L12:M12"/>
    <mergeCell ref="F7:G7"/>
    <mergeCell ref="H7:I7"/>
    <mergeCell ref="J7:K7"/>
    <mergeCell ref="L7:M7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S16"/>
  <sheetViews>
    <sheetView zoomScale="110" zoomScaleNormal="110" zoomScaleSheetLayoutView="115" workbookViewId="0">
      <selection activeCell="L19" sqref="L19"/>
    </sheetView>
  </sheetViews>
  <sheetFormatPr defaultColWidth="12.5703125" defaultRowHeight="15.75" customHeight="1"/>
  <cols>
    <col min="1" max="1" width="7.5703125" style="182" customWidth="1"/>
    <col min="2" max="2" width="14.85546875" style="182" customWidth="1"/>
    <col min="3" max="3" width="12.85546875" style="182" customWidth="1"/>
    <col min="4" max="4" width="2.5703125" style="182" customWidth="1"/>
    <col min="5" max="5" width="7.5703125" style="182" customWidth="1"/>
    <col min="6" max="6" width="12.85546875" style="182" customWidth="1"/>
    <col min="7" max="7" width="9.42578125" style="182" customWidth="1"/>
    <col min="8" max="8" width="12.85546875" style="182" customWidth="1"/>
    <col min="9" max="9" width="9.42578125" style="182" customWidth="1"/>
    <col min="10" max="10" width="12.85546875" style="182" customWidth="1"/>
    <col min="11" max="11" width="9.42578125" style="182" customWidth="1"/>
    <col min="12" max="12" width="12.85546875" style="182" customWidth="1"/>
    <col min="13" max="13" width="9.42578125" style="182" customWidth="1"/>
    <col min="14" max="16384" width="12.5703125" style="182"/>
  </cols>
  <sheetData>
    <row r="1" spans="1:19" ht="15.75" customHeight="1">
      <c r="A1" s="799" t="s">
        <v>217</v>
      </c>
      <c r="B1" s="799"/>
      <c r="C1" s="799"/>
      <c r="D1" s="799"/>
      <c r="E1" s="799"/>
      <c r="F1" s="799"/>
      <c r="G1" s="799"/>
      <c r="H1" s="799"/>
      <c r="I1" s="799"/>
      <c r="J1" s="799"/>
      <c r="K1" s="799"/>
      <c r="L1" s="799"/>
      <c r="M1" s="799"/>
    </row>
    <row r="2" spans="1:19" s="183" customFormat="1" ht="15.75" customHeight="1">
      <c r="A2" s="799"/>
      <c r="B2" s="799"/>
      <c r="C2" s="799"/>
      <c r="D2" s="799"/>
      <c r="E2" s="799"/>
      <c r="F2" s="799"/>
      <c r="G2" s="799"/>
      <c r="H2" s="799"/>
      <c r="I2" s="799"/>
      <c r="J2" s="799"/>
      <c r="K2" s="799"/>
      <c r="L2" s="799"/>
      <c r="M2" s="799"/>
    </row>
    <row r="3" spans="1:19" ht="15.75" customHeight="1">
      <c r="A3" s="800" t="s">
        <v>595</v>
      </c>
      <c r="B3" s="800"/>
      <c r="C3" s="800"/>
      <c r="D3" s="800"/>
      <c r="E3" s="800"/>
      <c r="F3" s="800"/>
      <c r="G3" s="800"/>
      <c r="H3" s="800"/>
      <c r="I3" s="800"/>
      <c r="J3" s="800"/>
      <c r="K3" s="800"/>
      <c r="L3" s="800"/>
      <c r="M3" s="800"/>
    </row>
    <row r="4" spans="1:19" s="183" customFormat="1" ht="15.75" customHeight="1">
      <c r="A4" s="800"/>
      <c r="B4" s="800"/>
      <c r="C4" s="800"/>
      <c r="D4" s="800"/>
      <c r="E4" s="800"/>
      <c r="F4" s="800"/>
      <c r="G4" s="800"/>
      <c r="H4" s="800"/>
      <c r="I4" s="800"/>
      <c r="J4" s="800"/>
      <c r="K4" s="800"/>
      <c r="L4" s="800"/>
      <c r="M4" s="800"/>
    </row>
    <row r="5" spans="1:19" ht="15.75" customHeight="1" thickBot="1"/>
    <row r="6" spans="1:19" ht="15.75" customHeight="1" thickBot="1">
      <c r="A6" s="389" t="s">
        <v>703</v>
      </c>
      <c r="B6" s="390">
        <v>56983669</v>
      </c>
      <c r="C6" s="577" t="s">
        <v>764</v>
      </c>
      <c r="E6" s="809" t="s">
        <v>694</v>
      </c>
      <c r="F6" s="810"/>
      <c r="G6" s="810"/>
      <c r="H6" s="810"/>
      <c r="I6" s="810"/>
      <c r="J6" s="810"/>
      <c r="K6" s="810"/>
      <c r="L6" s="810"/>
      <c r="M6" s="810"/>
      <c r="N6" s="810"/>
      <c r="O6" s="810"/>
      <c r="P6" s="810"/>
      <c r="Q6" s="810"/>
      <c r="R6" s="810"/>
      <c r="S6" s="811"/>
    </row>
    <row r="7" spans="1:19" ht="15.75" customHeight="1">
      <c r="A7" s="812" t="s">
        <v>695</v>
      </c>
      <c r="B7" s="802" t="s">
        <v>10</v>
      </c>
      <c r="C7" s="813"/>
      <c r="D7" s="804"/>
      <c r="E7" s="814" t="s">
        <v>695</v>
      </c>
      <c r="F7" s="816">
        <v>1</v>
      </c>
      <c r="G7" s="817"/>
      <c r="H7" s="818">
        <v>2</v>
      </c>
      <c r="I7" s="819"/>
      <c r="J7" s="819">
        <v>3</v>
      </c>
      <c r="K7" s="820"/>
      <c r="L7" s="816">
        <v>4</v>
      </c>
      <c r="M7" s="817"/>
      <c r="N7" s="821">
        <v>5</v>
      </c>
      <c r="O7" s="822"/>
      <c r="P7" s="823">
        <v>6</v>
      </c>
      <c r="Q7" s="818"/>
      <c r="R7" s="820">
        <v>7</v>
      </c>
      <c r="S7" s="822"/>
    </row>
    <row r="8" spans="1:19" ht="15.75" customHeight="1">
      <c r="A8" s="812"/>
      <c r="B8" s="802"/>
      <c r="C8" s="813"/>
      <c r="D8" s="804"/>
      <c r="E8" s="815"/>
      <c r="F8" s="824" t="s">
        <v>598</v>
      </c>
      <c r="G8" s="825"/>
      <c r="H8" s="826" t="s">
        <v>645</v>
      </c>
      <c r="I8" s="827"/>
      <c r="J8" s="827" t="s">
        <v>365</v>
      </c>
      <c r="K8" s="807"/>
      <c r="L8" s="824" t="s">
        <v>492</v>
      </c>
      <c r="M8" s="825"/>
      <c r="N8" s="828" t="s">
        <v>193</v>
      </c>
      <c r="O8" s="808"/>
      <c r="P8" s="829" t="s">
        <v>194</v>
      </c>
      <c r="Q8" s="826"/>
      <c r="R8" s="807" t="s">
        <v>506</v>
      </c>
      <c r="S8" s="808"/>
    </row>
    <row r="9" spans="1:19" ht="15.75" customHeight="1">
      <c r="A9" s="812"/>
      <c r="B9" s="564" t="s">
        <v>11</v>
      </c>
      <c r="C9" s="565" t="s">
        <v>693</v>
      </c>
      <c r="D9" s="804"/>
      <c r="E9" s="815"/>
      <c r="F9" s="539" t="s">
        <v>11</v>
      </c>
      <c r="G9" s="540" t="s">
        <v>693</v>
      </c>
      <c r="H9" s="541" t="s">
        <v>11</v>
      </c>
      <c r="I9" s="542" t="s">
        <v>693</v>
      </c>
      <c r="J9" s="542" t="s">
        <v>11</v>
      </c>
      <c r="K9" s="543" t="s">
        <v>693</v>
      </c>
      <c r="L9" s="539" t="s">
        <v>11</v>
      </c>
      <c r="M9" s="540" t="s">
        <v>693</v>
      </c>
      <c r="N9" s="539" t="s">
        <v>11</v>
      </c>
      <c r="O9" s="540" t="s">
        <v>693</v>
      </c>
      <c r="P9" s="541" t="s">
        <v>11</v>
      </c>
      <c r="Q9" s="542" t="s">
        <v>693</v>
      </c>
      <c r="R9" s="542" t="s">
        <v>11</v>
      </c>
      <c r="S9" s="540" t="s">
        <v>693</v>
      </c>
    </row>
    <row r="10" spans="1:19" ht="15.75" customHeight="1">
      <c r="A10" s="261" t="s">
        <v>659</v>
      </c>
      <c r="B10" s="262">
        <v>137876</v>
      </c>
      <c r="C10" s="391">
        <v>2.4195704211324126E-3</v>
      </c>
      <c r="D10" s="804"/>
      <c r="E10" s="544" t="s">
        <v>659</v>
      </c>
      <c r="F10" s="392">
        <v>0</v>
      </c>
      <c r="G10" s="545">
        <v>0</v>
      </c>
      <c r="H10" s="392">
        <v>0</v>
      </c>
      <c r="I10" s="546">
        <v>0</v>
      </c>
      <c r="J10" s="392">
        <v>4836.6733949115951</v>
      </c>
      <c r="K10" s="547">
        <v>3.5079878984824009E-2</v>
      </c>
      <c r="L10" s="392">
        <v>7713.8564872054649</v>
      </c>
      <c r="M10" s="545">
        <v>5.594778269753594E-2</v>
      </c>
      <c r="N10" s="392">
        <v>4743.1729711062289</v>
      </c>
      <c r="O10" s="545">
        <v>3.4401730330922198E-2</v>
      </c>
      <c r="P10" s="392">
        <v>945.3529833296293</v>
      </c>
      <c r="Q10" s="546">
        <v>6.8565448905511424E-3</v>
      </c>
      <c r="R10" s="392">
        <v>914.34271999999896</v>
      </c>
      <c r="S10" s="545">
        <v>6.631630740665518E-3</v>
      </c>
    </row>
    <row r="11" spans="1:19" ht="15.75" customHeight="1" thickBot="1">
      <c r="A11" s="393" t="s">
        <v>696</v>
      </c>
      <c r="B11" s="394">
        <v>228029.57875901807</v>
      </c>
      <c r="C11" s="395">
        <v>4.0016654378470795E-3</v>
      </c>
      <c r="D11" s="804"/>
      <c r="E11" s="548" t="s">
        <v>696</v>
      </c>
      <c r="F11" s="396">
        <v>4158.7825132641892</v>
      </c>
      <c r="G11" s="549">
        <v>1.8237908151640256E-2</v>
      </c>
      <c r="H11" s="396">
        <v>1550.6188799999993</v>
      </c>
      <c r="I11" s="550">
        <v>6.800077816390194E-3</v>
      </c>
      <c r="J11" s="396">
        <v>2652.8644111589883</v>
      </c>
      <c r="K11" s="551">
        <v>1.1633860947322709E-2</v>
      </c>
      <c r="L11" s="396">
        <v>8870.4552347938661</v>
      </c>
      <c r="M11" s="549">
        <v>3.8900458804812223E-2</v>
      </c>
      <c r="N11" s="396">
        <v>6790.9703233179916</v>
      </c>
      <c r="O11" s="549">
        <v>2.9781094015415857E-2</v>
      </c>
      <c r="P11" s="396">
        <v>3372.0230503542116</v>
      </c>
      <c r="Q11" s="550">
        <v>1.4787656358904954E-2</v>
      </c>
      <c r="R11" s="396">
        <v>3383.7692000000002</v>
      </c>
      <c r="S11" s="549">
        <v>1.4839167876444535E-2</v>
      </c>
    </row>
    <row r="12" spans="1:19" ht="15.75" customHeight="1">
      <c r="A12" s="413"/>
      <c r="B12" s="184"/>
      <c r="C12" s="184"/>
      <c r="D12" s="804"/>
    </row>
    <row r="13" spans="1:19" ht="15.75" customHeight="1">
      <c r="A13" s="413"/>
      <c r="B13" s="184"/>
      <c r="C13" s="184"/>
      <c r="D13" s="804"/>
    </row>
    <row r="14" spans="1:19" ht="15.75" customHeight="1">
      <c r="A14" s="413"/>
      <c r="B14" s="184"/>
      <c r="C14" s="184"/>
      <c r="D14" s="804"/>
    </row>
    <row r="15" spans="1:19" ht="15.75" customHeight="1">
      <c r="A15" s="414"/>
      <c r="B15" s="415"/>
      <c r="C15" s="415"/>
      <c r="D15" s="804"/>
    </row>
    <row r="16" spans="1:19" ht="15.75" customHeight="1">
      <c r="A16" s="414"/>
      <c r="B16" s="415"/>
      <c r="C16" s="415"/>
      <c r="D16" s="804"/>
    </row>
  </sheetData>
  <mergeCells count="21">
    <mergeCell ref="J8:K8"/>
    <mergeCell ref="L8:M8"/>
    <mergeCell ref="A1:M2"/>
    <mergeCell ref="N8:O8"/>
    <mergeCell ref="P8:Q8"/>
    <mergeCell ref="R8:S8"/>
    <mergeCell ref="A3:M4"/>
    <mergeCell ref="E6:S6"/>
    <mergeCell ref="A7:A9"/>
    <mergeCell ref="B7:C8"/>
    <mergeCell ref="E7:E9"/>
    <mergeCell ref="F7:G7"/>
    <mergeCell ref="H7:I7"/>
    <mergeCell ref="J7:K7"/>
    <mergeCell ref="L7:M7"/>
    <mergeCell ref="N7:O7"/>
    <mergeCell ref="P7:Q7"/>
    <mergeCell ref="R7:S7"/>
    <mergeCell ref="F8:G8"/>
    <mergeCell ref="H8:I8"/>
    <mergeCell ref="D7:D16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Q31"/>
  <sheetViews>
    <sheetView view="pageBreakPreview" zoomScale="115" zoomScaleNormal="60" zoomScaleSheetLayoutView="115" workbookViewId="0">
      <selection activeCell="A8" sqref="A8:P30"/>
    </sheetView>
  </sheetViews>
  <sheetFormatPr defaultColWidth="12.5703125" defaultRowHeight="15.75" customHeight="1"/>
  <cols>
    <col min="1" max="1" width="5.42578125" style="119" customWidth="1"/>
    <col min="2" max="2" width="11.42578125" style="174" customWidth="1"/>
    <col min="3" max="3" width="4" style="160" customWidth="1"/>
    <col min="4" max="17" width="9.5703125" style="119" customWidth="1"/>
    <col min="18" max="16384" width="12.5703125" style="119"/>
  </cols>
  <sheetData>
    <row r="1" spans="1:17" ht="15.75" customHeight="1">
      <c r="A1" s="605" t="s">
        <v>185</v>
      </c>
      <c r="B1" s="605"/>
      <c r="C1" s="605"/>
      <c r="D1" s="605"/>
      <c r="E1" s="605"/>
      <c r="F1" s="605"/>
      <c r="G1" s="605"/>
      <c r="H1" s="605"/>
      <c r="I1" s="605"/>
      <c r="J1" s="605"/>
      <c r="K1" s="605"/>
      <c r="L1" s="605"/>
      <c r="M1" s="605"/>
      <c r="N1" s="605"/>
      <c r="O1" s="605"/>
      <c r="P1" s="605"/>
      <c r="Q1" s="605"/>
    </row>
    <row r="2" spans="1:17" s="120" customFormat="1" ht="15.75" customHeight="1">
      <c r="A2" s="605"/>
      <c r="B2" s="605"/>
      <c r="C2" s="605"/>
      <c r="D2" s="605"/>
      <c r="E2" s="605"/>
      <c r="F2" s="605"/>
      <c r="G2" s="605"/>
      <c r="H2" s="605"/>
      <c r="I2" s="605"/>
      <c r="J2" s="605"/>
      <c r="K2" s="605"/>
      <c r="L2" s="605"/>
      <c r="M2" s="605"/>
      <c r="N2" s="605"/>
      <c r="O2" s="605"/>
      <c r="P2" s="605"/>
      <c r="Q2" s="605"/>
    </row>
    <row r="3" spans="1:17" ht="15.75" customHeight="1">
      <c r="A3" s="735" t="s">
        <v>191</v>
      </c>
      <c r="B3" s="736"/>
      <c r="C3" s="736"/>
      <c r="D3" s="736"/>
      <c r="E3" s="736"/>
      <c r="F3" s="736"/>
      <c r="G3" s="736"/>
      <c r="H3" s="736"/>
      <c r="I3" s="736"/>
      <c r="J3" s="736"/>
      <c r="K3" s="736"/>
      <c r="L3" s="736"/>
      <c r="M3" s="736"/>
      <c r="N3" s="151"/>
    </row>
    <row r="4" spans="1:17" s="120" customFormat="1" ht="15.75" customHeight="1">
      <c r="A4" s="736"/>
      <c r="B4" s="736"/>
      <c r="C4" s="736"/>
      <c r="D4" s="736"/>
      <c r="E4" s="736"/>
      <c r="F4" s="736"/>
      <c r="G4" s="736"/>
      <c r="H4" s="736"/>
      <c r="I4" s="736"/>
      <c r="J4" s="736"/>
      <c r="K4" s="736"/>
      <c r="L4" s="736"/>
      <c r="M4" s="736"/>
      <c r="N4" s="130"/>
    </row>
    <row r="5" spans="1:17" ht="15.75" customHeight="1">
      <c r="A5" s="624" t="s">
        <v>171</v>
      </c>
      <c r="B5" s="864">
        <v>1</v>
      </c>
      <c r="C5" s="864"/>
      <c r="D5" s="864">
        <v>2</v>
      </c>
      <c r="E5" s="864"/>
      <c r="F5" s="864">
        <v>3</v>
      </c>
      <c r="G5" s="864"/>
      <c r="H5" s="859">
        <v>4</v>
      </c>
      <c r="I5" s="859"/>
      <c r="J5" s="859">
        <v>5</v>
      </c>
      <c r="K5" s="859"/>
      <c r="L5" s="859">
        <v>6</v>
      </c>
      <c r="M5" s="859"/>
      <c r="N5" s="859">
        <v>7</v>
      </c>
      <c r="O5" s="859"/>
      <c r="P5" s="859">
        <v>8</v>
      </c>
      <c r="Q5" s="859"/>
    </row>
    <row r="6" spans="1:17" ht="15.75" customHeight="1">
      <c r="A6" s="624"/>
      <c r="B6" s="865" t="s">
        <v>302</v>
      </c>
      <c r="C6" s="865"/>
      <c r="D6" s="865" t="s">
        <v>192</v>
      </c>
      <c r="E6" s="865"/>
      <c r="F6" s="865" t="s">
        <v>163</v>
      </c>
      <c r="G6" s="865"/>
      <c r="H6" s="624" t="s">
        <v>492</v>
      </c>
      <c r="I6" s="624"/>
      <c r="J6" s="624" t="s">
        <v>169</v>
      </c>
      <c r="K6" s="624"/>
      <c r="L6" s="624" t="s">
        <v>164</v>
      </c>
      <c r="M6" s="624"/>
      <c r="N6" s="624" t="s">
        <v>170</v>
      </c>
      <c r="O6" s="624"/>
      <c r="P6" s="863" t="s">
        <v>195</v>
      </c>
      <c r="Q6" s="624"/>
    </row>
    <row r="8" spans="1:17" s="153" customFormat="1" ht="15.75" customHeight="1">
      <c r="A8" s="849" t="s">
        <v>635</v>
      </c>
      <c r="B8" s="850"/>
      <c r="C8" s="568" t="s">
        <v>536</v>
      </c>
      <c r="D8" s="851" t="s">
        <v>12</v>
      </c>
      <c r="E8" s="852"/>
      <c r="F8" s="853"/>
      <c r="G8" s="566" t="s">
        <v>636</v>
      </c>
      <c r="H8" s="567"/>
      <c r="I8" s="568"/>
      <c r="J8" s="169" t="s">
        <v>637</v>
      </c>
      <c r="K8" s="169" t="s">
        <v>638</v>
      </c>
      <c r="L8" s="169" t="s">
        <v>639</v>
      </c>
      <c r="M8" s="169" t="s">
        <v>11</v>
      </c>
      <c r="N8" s="319" t="s">
        <v>13</v>
      </c>
      <c r="O8" s="854" t="s">
        <v>50</v>
      </c>
      <c r="P8" s="855"/>
    </row>
    <row r="9" spans="1:17" ht="15.75" customHeight="1">
      <c r="A9" s="778">
        <v>1</v>
      </c>
      <c r="B9" s="836" t="s">
        <v>598</v>
      </c>
      <c r="C9" s="170">
        <v>1</v>
      </c>
      <c r="D9" s="578">
        <v>0</v>
      </c>
      <c r="E9" s="839"/>
      <c r="F9" s="840"/>
      <c r="G9" s="578">
        <v>0</v>
      </c>
      <c r="H9" s="839"/>
      <c r="I9" s="840"/>
      <c r="J9" s="4">
        <v>0</v>
      </c>
      <c r="K9" s="14">
        <v>0</v>
      </c>
      <c r="L9" s="4">
        <v>0</v>
      </c>
      <c r="M9" s="397">
        <v>0</v>
      </c>
      <c r="N9" s="171"/>
      <c r="O9" s="845"/>
      <c r="P9" s="846"/>
    </row>
    <row r="10" spans="1:17" ht="15.75" customHeight="1">
      <c r="A10" s="783"/>
      <c r="B10" s="837"/>
      <c r="C10" s="170">
        <v>2</v>
      </c>
      <c r="D10" s="578">
        <v>0</v>
      </c>
      <c r="E10" s="839"/>
      <c r="F10" s="840"/>
      <c r="G10" s="578">
        <v>0</v>
      </c>
      <c r="H10" s="839"/>
      <c r="I10" s="840"/>
      <c r="J10" s="4">
        <v>0</v>
      </c>
      <c r="K10" s="14">
        <v>0</v>
      </c>
      <c r="L10" s="4">
        <v>0</v>
      </c>
      <c r="M10" s="397">
        <v>0</v>
      </c>
      <c r="N10" s="171"/>
      <c r="O10" s="845"/>
      <c r="P10" s="846"/>
    </row>
    <row r="11" spans="1:17" ht="15.75" customHeight="1">
      <c r="A11" s="783"/>
      <c r="B11" s="837"/>
      <c r="C11" s="170">
        <v>3</v>
      </c>
      <c r="D11" s="578">
        <v>0</v>
      </c>
      <c r="E11" s="839"/>
      <c r="F11" s="840"/>
      <c r="G11" s="578">
        <v>0</v>
      </c>
      <c r="H11" s="839"/>
      <c r="I11" s="840"/>
      <c r="J11" s="4">
        <v>0</v>
      </c>
      <c r="K11" s="14">
        <v>0</v>
      </c>
      <c r="L11" s="4">
        <v>0</v>
      </c>
      <c r="M11" s="397">
        <v>0</v>
      </c>
      <c r="N11" s="171"/>
      <c r="O11" s="845"/>
      <c r="P11" s="846"/>
    </row>
    <row r="12" spans="1:17" ht="15.75" customHeight="1">
      <c r="A12" s="783"/>
      <c r="B12" s="837"/>
      <c r="C12" s="170">
        <v>4</v>
      </c>
      <c r="D12" s="578">
        <v>0</v>
      </c>
      <c r="E12" s="839"/>
      <c r="F12" s="840"/>
      <c r="G12" s="578">
        <v>0</v>
      </c>
      <c r="H12" s="839"/>
      <c r="I12" s="840"/>
      <c r="J12" s="4">
        <v>0</v>
      </c>
      <c r="K12" s="14">
        <v>0</v>
      </c>
      <c r="L12" s="4">
        <v>0</v>
      </c>
      <c r="M12" s="397">
        <v>0</v>
      </c>
      <c r="N12" s="171"/>
      <c r="O12" s="845"/>
      <c r="P12" s="846"/>
    </row>
    <row r="13" spans="1:17" ht="15.75" customHeight="1" thickBot="1">
      <c r="A13" s="783"/>
      <c r="B13" s="837"/>
      <c r="C13" s="172">
        <v>5</v>
      </c>
      <c r="D13" s="856">
        <v>0</v>
      </c>
      <c r="E13" s="857"/>
      <c r="F13" s="858"/>
      <c r="G13" s="856">
        <v>0</v>
      </c>
      <c r="H13" s="857"/>
      <c r="I13" s="858"/>
      <c r="J13" s="4">
        <v>0</v>
      </c>
      <c r="K13" s="14">
        <v>0</v>
      </c>
      <c r="L13" s="4">
        <v>0</v>
      </c>
      <c r="M13" s="397">
        <v>0</v>
      </c>
      <c r="N13" s="171"/>
      <c r="O13" s="847"/>
      <c r="P13" s="848"/>
    </row>
    <row r="14" spans="1:17" ht="15.75" customHeight="1" thickTop="1" thickBot="1">
      <c r="A14" s="779"/>
      <c r="B14" s="838"/>
      <c r="C14" s="830"/>
      <c r="D14" s="831"/>
      <c r="E14" s="831"/>
      <c r="F14" s="831"/>
      <c r="G14" s="831"/>
      <c r="H14" s="831"/>
      <c r="I14" s="832"/>
      <c r="J14" s="318" t="s">
        <v>641</v>
      </c>
      <c r="K14" s="244">
        <v>0</v>
      </c>
      <c r="L14" s="318" t="s">
        <v>642</v>
      </c>
      <c r="M14" s="398">
        <v>0</v>
      </c>
      <c r="N14" s="860"/>
      <c r="O14" s="861"/>
      <c r="P14" s="862"/>
    </row>
    <row r="15" spans="1:17" ht="15.75" customHeight="1" thickTop="1"/>
    <row r="16" spans="1:17" ht="15.75" customHeight="1">
      <c r="A16" s="849" t="s">
        <v>635</v>
      </c>
      <c r="B16" s="850"/>
      <c r="C16" s="568" t="s">
        <v>536</v>
      </c>
      <c r="D16" s="851" t="s">
        <v>12</v>
      </c>
      <c r="E16" s="852"/>
      <c r="F16" s="853"/>
      <c r="G16" s="566" t="s">
        <v>636</v>
      </c>
      <c r="H16" s="567"/>
      <c r="I16" s="568"/>
      <c r="J16" s="169" t="s">
        <v>637</v>
      </c>
      <c r="K16" s="169" t="s">
        <v>638</v>
      </c>
      <c r="L16" s="169" t="s">
        <v>639</v>
      </c>
      <c r="M16" s="169" t="s">
        <v>11</v>
      </c>
      <c r="N16" s="319" t="s">
        <v>13</v>
      </c>
      <c r="O16" s="854" t="s">
        <v>50</v>
      </c>
      <c r="P16" s="855"/>
    </row>
    <row r="17" spans="1:16" ht="15.75" customHeight="1">
      <c r="A17" s="778">
        <v>2</v>
      </c>
      <c r="B17" s="836" t="s">
        <v>645</v>
      </c>
      <c r="C17" s="170">
        <v>1</v>
      </c>
      <c r="D17" s="578" t="s">
        <v>578</v>
      </c>
      <c r="E17" s="839"/>
      <c r="F17" s="840"/>
      <c r="G17" s="578" t="s">
        <v>765</v>
      </c>
      <c r="H17" s="839"/>
      <c r="I17" s="840"/>
      <c r="J17" s="4">
        <v>95.58</v>
      </c>
      <c r="K17" s="14">
        <v>3.8299502106472622E-2</v>
      </c>
      <c r="L17" s="4">
        <v>1.8</v>
      </c>
      <c r="M17" s="397">
        <v>172.04400000000001</v>
      </c>
      <c r="N17" s="171"/>
      <c r="O17" s="866" t="s">
        <v>627</v>
      </c>
      <c r="P17" s="867"/>
    </row>
    <row r="18" spans="1:16" ht="15.75" customHeight="1">
      <c r="A18" s="783"/>
      <c r="B18" s="837"/>
      <c r="C18" s="170">
        <v>2</v>
      </c>
      <c r="D18" s="578">
        <v>0</v>
      </c>
      <c r="E18" s="839"/>
      <c r="F18" s="840"/>
      <c r="G18" s="578">
        <v>0</v>
      </c>
      <c r="H18" s="839"/>
      <c r="I18" s="840"/>
      <c r="J18" s="4">
        <v>0</v>
      </c>
      <c r="K18" s="14">
        <v>0</v>
      </c>
      <c r="L18" s="4">
        <v>0</v>
      </c>
      <c r="M18" s="397">
        <v>0</v>
      </c>
      <c r="N18" s="171"/>
      <c r="O18" s="866"/>
      <c r="P18" s="867"/>
    </row>
    <row r="19" spans="1:16" ht="15.75" customHeight="1">
      <c r="A19" s="783"/>
      <c r="B19" s="837"/>
      <c r="C19" s="170">
        <v>3</v>
      </c>
      <c r="D19" s="578">
        <v>0</v>
      </c>
      <c r="E19" s="839"/>
      <c r="F19" s="840"/>
      <c r="G19" s="578">
        <v>0</v>
      </c>
      <c r="H19" s="839"/>
      <c r="I19" s="840"/>
      <c r="J19" s="4">
        <v>0</v>
      </c>
      <c r="K19" s="14">
        <v>0</v>
      </c>
      <c r="L19" s="4">
        <v>0</v>
      </c>
      <c r="M19" s="397">
        <v>0</v>
      </c>
      <c r="N19" s="171"/>
      <c r="O19" s="866"/>
      <c r="P19" s="867"/>
    </row>
    <row r="20" spans="1:16" ht="15.75" customHeight="1">
      <c r="A20" s="783"/>
      <c r="B20" s="837"/>
      <c r="C20" s="170">
        <v>4</v>
      </c>
      <c r="D20" s="578">
        <v>0</v>
      </c>
      <c r="E20" s="839"/>
      <c r="F20" s="840"/>
      <c r="G20" s="578">
        <v>0</v>
      </c>
      <c r="H20" s="839"/>
      <c r="I20" s="840"/>
      <c r="J20" s="4">
        <v>0</v>
      </c>
      <c r="K20" s="14">
        <v>0</v>
      </c>
      <c r="L20" s="4">
        <v>0</v>
      </c>
      <c r="M20" s="397">
        <v>0</v>
      </c>
      <c r="N20" s="171"/>
      <c r="O20" s="845"/>
      <c r="P20" s="846"/>
    </row>
    <row r="21" spans="1:16" ht="15.75" customHeight="1" thickBot="1">
      <c r="A21" s="783"/>
      <c r="B21" s="837"/>
      <c r="C21" s="172">
        <v>5</v>
      </c>
      <c r="D21" s="578">
        <v>0</v>
      </c>
      <c r="E21" s="839"/>
      <c r="F21" s="840"/>
      <c r="G21" s="578">
        <v>0</v>
      </c>
      <c r="H21" s="839"/>
      <c r="I21" s="840"/>
      <c r="J21" s="4">
        <v>0</v>
      </c>
      <c r="K21" s="14">
        <v>0</v>
      </c>
      <c r="L21" s="4">
        <v>0</v>
      </c>
      <c r="M21" s="397">
        <v>0</v>
      </c>
      <c r="N21" s="173"/>
      <c r="O21" s="847"/>
      <c r="P21" s="848"/>
    </row>
    <row r="22" spans="1:16" ht="15.75" customHeight="1" thickTop="1" thickBot="1">
      <c r="A22" s="779"/>
      <c r="B22" s="838"/>
      <c r="C22" s="841"/>
      <c r="D22" s="842"/>
      <c r="E22" s="842"/>
      <c r="F22" s="842"/>
      <c r="G22" s="842"/>
      <c r="H22" s="842"/>
      <c r="I22" s="843"/>
      <c r="J22" s="318" t="s">
        <v>641</v>
      </c>
      <c r="K22" s="244">
        <v>1.2478168789346951E-3</v>
      </c>
      <c r="L22" s="318" t="s">
        <v>642</v>
      </c>
      <c r="M22" s="398">
        <v>172.04400000000001</v>
      </c>
      <c r="N22" s="844"/>
      <c r="O22" s="834"/>
      <c r="P22" s="835"/>
    </row>
    <row r="23" spans="1:16" ht="15.75" customHeight="1" thickTop="1"/>
    <row r="24" spans="1:16" ht="15.75" customHeight="1">
      <c r="A24" s="849" t="s">
        <v>635</v>
      </c>
      <c r="B24" s="850"/>
      <c r="C24" s="568" t="s">
        <v>536</v>
      </c>
      <c r="D24" s="851" t="s">
        <v>12</v>
      </c>
      <c r="E24" s="852"/>
      <c r="F24" s="853"/>
      <c r="G24" s="566" t="s">
        <v>636</v>
      </c>
      <c r="H24" s="567"/>
      <c r="I24" s="568"/>
      <c r="J24" s="169" t="s">
        <v>637</v>
      </c>
      <c r="K24" s="169" t="s">
        <v>638</v>
      </c>
      <c r="L24" s="169" t="s">
        <v>639</v>
      </c>
      <c r="M24" s="169" t="s">
        <v>11</v>
      </c>
      <c r="N24" s="319" t="s">
        <v>13</v>
      </c>
      <c r="O24" s="854" t="s">
        <v>50</v>
      </c>
      <c r="P24" s="855"/>
    </row>
    <row r="25" spans="1:16" ht="15.75" customHeight="1">
      <c r="A25" s="778">
        <v>3</v>
      </c>
      <c r="B25" s="836" t="s">
        <v>365</v>
      </c>
      <c r="C25" s="170">
        <v>1</v>
      </c>
      <c r="D25" s="578" t="s">
        <v>572</v>
      </c>
      <c r="E25" s="839"/>
      <c r="F25" s="840"/>
      <c r="G25" s="578" t="s">
        <v>734</v>
      </c>
      <c r="H25" s="839"/>
      <c r="I25" s="840"/>
      <c r="J25" s="4">
        <v>96.32</v>
      </c>
      <c r="K25" s="14">
        <v>3.2926146653057195E-2</v>
      </c>
      <c r="L25" s="4">
        <v>2</v>
      </c>
      <c r="M25" s="397">
        <v>192.64</v>
      </c>
      <c r="N25" s="171"/>
      <c r="O25" s="845" t="s">
        <v>513</v>
      </c>
      <c r="P25" s="846"/>
    </row>
    <row r="26" spans="1:16" ht="15.75" customHeight="1">
      <c r="A26" s="783"/>
      <c r="B26" s="837"/>
      <c r="C26" s="170">
        <v>2</v>
      </c>
      <c r="D26" s="578" t="s">
        <v>766</v>
      </c>
      <c r="E26" s="839"/>
      <c r="F26" s="840"/>
      <c r="G26" s="578" t="s">
        <v>767</v>
      </c>
      <c r="H26" s="839"/>
      <c r="I26" s="840"/>
      <c r="J26" s="4">
        <v>158.13</v>
      </c>
      <c r="K26" s="14">
        <v>1.5008629962228282E-2</v>
      </c>
      <c r="L26" s="4">
        <v>1.2</v>
      </c>
      <c r="M26" s="397">
        <v>189.756</v>
      </c>
      <c r="N26" s="171"/>
      <c r="O26" s="845" t="s">
        <v>513</v>
      </c>
      <c r="P26" s="846"/>
    </row>
    <row r="27" spans="1:16" ht="15.75" customHeight="1">
      <c r="A27" s="783"/>
      <c r="B27" s="837"/>
      <c r="C27" s="170">
        <v>3</v>
      </c>
      <c r="D27" s="578" t="s">
        <v>330</v>
      </c>
      <c r="E27" s="839"/>
      <c r="F27" s="840"/>
      <c r="G27" s="578" t="s">
        <v>753</v>
      </c>
      <c r="H27" s="839"/>
      <c r="I27" s="840"/>
      <c r="J27" s="4">
        <v>75.14</v>
      </c>
      <c r="K27" s="14">
        <v>2.5037556334501755E-2</v>
      </c>
      <c r="L27" s="4">
        <v>2.5</v>
      </c>
      <c r="M27" s="397">
        <v>187.85</v>
      </c>
      <c r="N27" s="171"/>
      <c r="O27" s="845" t="s">
        <v>513</v>
      </c>
      <c r="P27" s="846"/>
    </row>
    <row r="28" spans="1:16" ht="15.75" customHeight="1">
      <c r="A28" s="783"/>
      <c r="B28" s="837"/>
      <c r="C28" s="170">
        <v>4</v>
      </c>
      <c r="D28" s="578" t="s">
        <v>587</v>
      </c>
      <c r="E28" s="839"/>
      <c r="F28" s="840"/>
      <c r="G28" s="578" t="s">
        <v>736</v>
      </c>
      <c r="H28" s="839"/>
      <c r="I28" s="840"/>
      <c r="J28" s="4">
        <v>143.99</v>
      </c>
      <c r="K28" s="14">
        <v>2.2154055896387186E-2</v>
      </c>
      <c r="L28" s="4">
        <v>1.3</v>
      </c>
      <c r="M28" s="397">
        <v>187.18700000000001</v>
      </c>
      <c r="N28" s="171"/>
      <c r="O28" s="845" t="s">
        <v>513</v>
      </c>
      <c r="P28" s="846"/>
    </row>
    <row r="29" spans="1:16" ht="15.75" customHeight="1" thickBot="1">
      <c r="A29" s="783"/>
      <c r="B29" s="837"/>
      <c r="C29" s="172">
        <v>5</v>
      </c>
      <c r="D29" s="578" t="s">
        <v>509</v>
      </c>
      <c r="E29" s="839"/>
      <c r="F29" s="840"/>
      <c r="G29" s="578" t="s">
        <v>768</v>
      </c>
      <c r="H29" s="839"/>
      <c r="I29" s="840"/>
      <c r="J29" s="4">
        <v>103.97</v>
      </c>
      <c r="K29" s="14">
        <v>2.0754064337599448E-2</v>
      </c>
      <c r="L29" s="4">
        <v>1.8</v>
      </c>
      <c r="M29" s="397">
        <v>187.14600000000002</v>
      </c>
      <c r="N29" s="173"/>
      <c r="O29" s="847" t="s">
        <v>513</v>
      </c>
      <c r="P29" s="848"/>
    </row>
    <row r="30" spans="1:16" ht="15.75" customHeight="1" thickTop="1" thickBot="1">
      <c r="A30" s="779"/>
      <c r="B30" s="838"/>
      <c r="C30" s="830"/>
      <c r="D30" s="831"/>
      <c r="E30" s="831"/>
      <c r="F30" s="831"/>
      <c r="G30" s="831"/>
      <c r="H30" s="831"/>
      <c r="I30" s="832"/>
      <c r="J30" s="318" t="s">
        <v>641</v>
      </c>
      <c r="K30" s="244">
        <v>6.8509312715773589E-3</v>
      </c>
      <c r="L30" s="318" t="s">
        <v>642</v>
      </c>
      <c r="M30" s="398">
        <v>944.57899999999995</v>
      </c>
      <c r="N30" s="833"/>
      <c r="O30" s="834"/>
      <c r="P30" s="835"/>
    </row>
    <row r="31" spans="1:16" ht="15.75" customHeight="1" thickTop="1"/>
  </sheetData>
  <mergeCells count="85">
    <mergeCell ref="O17:P17"/>
    <mergeCell ref="O18:P18"/>
    <mergeCell ref="O19:P19"/>
    <mergeCell ref="O20:P20"/>
    <mergeCell ref="O21:P21"/>
    <mergeCell ref="A1:Q2"/>
    <mergeCell ref="A3:M4"/>
    <mergeCell ref="P5:Q5"/>
    <mergeCell ref="P6:Q6"/>
    <mergeCell ref="A5:A6"/>
    <mergeCell ref="B5:C5"/>
    <mergeCell ref="D5:E5"/>
    <mergeCell ref="F5:G5"/>
    <mergeCell ref="F6:G6"/>
    <mergeCell ref="D6:E6"/>
    <mergeCell ref="B6:C6"/>
    <mergeCell ref="J5:K5"/>
    <mergeCell ref="L5:M5"/>
    <mergeCell ref="N5:O5"/>
    <mergeCell ref="J6:K6"/>
    <mergeCell ref="L6:M6"/>
    <mergeCell ref="N6:O6"/>
    <mergeCell ref="H5:I5"/>
    <mergeCell ref="H6:I6"/>
    <mergeCell ref="N14:P14"/>
    <mergeCell ref="D13:F13"/>
    <mergeCell ref="D12:F12"/>
    <mergeCell ref="O8:P8"/>
    <mergeCell ref="G9:I9"/>
    <mergeCell ref="O9:P9"/>
    <mergeCell ref="O10:P10"/>
    <mergeCell ref="O11:P11"/>
    <mergeCell ref="O12:P12"/>
    <mergeCell ref="O13:P13"/>
    <mergeCell ref="A8:B8"/>
    <mergeCell ref="A9:A14"/>
    <mergeCell ref="B9:B14"/>
    <mergeCell ref="D8:F8"/>
    <mergeCell ref="C14:I14"/>
    <mergeCell ref="D9:F9"/>
    <mergeCell ref="D10:F10"/>
    <mergeCell ref="D11:F11"/>
    <mergeCell ref="G10:I10"/>
    <mergeCell ref="G11:I11"/>
    <mergeCell ref="G12:I12"/>
    <mergeCell ref="G13:I13"/>
    <mergeCell ref="A16:B16"/>
    <mergeCell ref="D16:F16"/>
    <mergeCell ref="A24:B24"/>
    <mergeCell ref="D24:F24"/>
    <mergeCell ref="O24:P24"/>
    <mergeCell ref="O16:P16"/>
    <mergeCell ref="A17:A22"/>
    <mergeCell ref="B17:B22"/>
    <mergeCell ref="D17:F17"/>
    <mergeCell ref="G17:I17"/>
    <mergeCell ref="D18:F18"/>
    <mergeCell ref="G18:I18"/>
    <mergeCell ref="D19:F19"/>
    <mergeCell ref="G19:I19"/>
    <mergeCell ref="D20:F20"/>
    <mergeCell ref="G20:I20"/>
    <mergeCell ref="D21:F21"/>
    <mergeCell ref="G21:I21"/>
    <mergeCell ref="C22:I22"/>
    <mergeCell ref="N22:P22"/>
    <mergeCell ref="D29:F29"/>
    <mergeCell ref="G29:I29"/>
    <mergeCell ref="O25:P25"/>
    <mergeCell ref="O26:P26"/>
    <mergeCell ref="O27:P27"/>
    <mergeCell ref="O28:P28"/>
    <mergeCell ref="O29:P29"/>
    <mergeCell ref="C30:I30"/>
    <mergeCell ref="N30:P30"/>
    <mergeCell ref="A25:A30"/>
    <mergeCell ref="B25:B30"/>
    <mergeCell ref="D25:F25"/>
    <mergeCell ref="G25:I25"/>
    <mergeCell ref="D26:F26"/>
    <mergeCell ref="G26:I26"/>
    <mergeCell ref="D27:F27"/>
    <mergeCell ref="G27:I27"/>
    <mergeCell ref="D28:F28"/>
    <mergeCell ref="G28:I28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Q39"/>
  <sheetViews>
    <sheetView view="pageBreakPreview" topLeftCell="A7" zoomScaleNormal="60" zoomScaleSheetLayoutView="100" workbookViewId="0">
      <selection activeCell="A8" sqref="A8:P38"/>
    </sheetView>
  </sheetViews>
  <sheetFormatPr defaultColWidth="12.5703125" defaultRowHeight="15.75" customHeight="1"/>
  <cols>
    <col min="1" max="1" width="5.42578125" style="76" customWidth="1"/>
    <col min="2" max="2" width="11.42578125" style="110" customWidth="1"/>
    <col min="3" max="3" width="4" style="108" customWidth="1"/>
    <col min="4" max="17" width="9.5703125" style="76" customWidth="1"/>
    <col min="18" max="16384" width="12.5703125" style="76"/>
  </cols>
  <sheetData>
    <row r="1" spans="1:17" s="119" customFormat="1" ht="15.75" customHeight="1">
      <c r="A1" s="605" t="s">
        <v>185</v>
      </c>
      <c r="B1" s="605"/>
      <c r="C1" s="605"/>
      <c r="D1" s="605"/>
      <c r="E1" s="605"/>
      <c r="F1" s="605"/>
      <c r="G1" s="605"/>
      <c r="H1" s="605"/>
      <c r="I1" s="605"/>
      <c r="J1" s="605"/>
      <c r="K1" s="605"/>
      <c r="L1" s="605"/>
      <c r="M1" s="605"/>
      <c r="N1" s="605"/>
      <c r="O1" s="605"/>
      <c r="P1" s="605"/>
      <c r="Q1" s="605"/>
    </row>
    <row r="2" spans="1:17" s="120" customFormat="1" ht="15.75" customHeight="1">
      <c r="A2" s="605"/>
      <c r="B2" s="605"/>
      <c r="C2" s="605"/>
      <c r="D2" s="605"/>
      <c r="E2" s="605"/>
      <c r="F2" s="605"/>
      <c r="G2" s="605"/>
      <c r="H2" s="605"/>
      <c r="I2" s="605"/>
      <c r="J2" s="605"/>
      <c r="K2" s="605"/>
      <c r="L2" s="605"/>
      <c r="M2" s="605"/>
      <c r="N2" s="605"/>
      <c r="O2" s="605"/>
      <c r="P2" s="605"/>
      <c r="Q2" s="605"/>
    </row>
    <row r="3" spans="1:17" s="119" customFormat="1" ht="15.75" customHeight="1">
      <c r="A3" s="735" t="s">
        <v>191</v>
      </c>
      <c r="B3" s="736"/>
      <c r="C3" s="736"/>
      <c r="D3" s="736"/>
      <c r="E3" s="736"/>
      <c r="F3" s="736"/>
      <c r="G3" s="736"/>
      <c r="H3" s="736"/>
      <c r="I3" s="736"/>
      <c r="J3" s="736"/>
      <c r="K3" s="736"/>
      <c r="L3" s="736"/>
      <c r="M3" s="736"/>
      <c r="N3" s="151"/>
    </row>
    <row r="4" spans="1:17" s="120" customFormat="1" ht="15.75" customHeight="1">
      <c r="A4" s="736"/>
      <c r="B4" s="736"/>
      <c r="C4" s="736"/>
      <c r="D4" s="736"/>
      <c r="E4" s="736"/>
      <c r="F4" s="736"/>
      <c r="G4" s="736"/>
      <c r="H4" s="736"/>
      <c r="I4" s="736"/>
      <c r="J4" s="736"/>
      <c r="K4" s="736"/>
      <c r="L4" s="736"/>
      <c r="M4" s="736"/>
      <c r="N4" s="130"/>
    </row>
    <row r="5" spans="1:17" s="119" customFormat="1" ht="15.75" customHeight="1">
      <c r="A5" s="624" t="s">
        <v>171</v>
      </c>
      <c r="B5" s="859">
        <v>1</v>
      </c>
      <c r="C5" s="859"/>
      <c r="D5" s="859">
        <v>2</v>
      </c>
      <c r="E5" s="859"/>
      <c r="F5" s="859">
        <v>3</v>
      </c>
      <c r="G5" s="859"/>
      <c r="H5" s="864">
        <v>4</v>
      </c>
      <c r="I5" s="864"/>
      <c r="J5" s="864">
        <v>5</v>
      </c>
      <c r="K5" s="864"/>
      <c r="L5" s="864">
        <v>6</v>
      </c>
      <c r="M5" s="864"/>
      <c r="N5" s="864">
        <v>7</v>
      </c>
      <c r="O5" s="864"/>
      <c r="P5" s="859">
        <v>8</v>
      </c>
      <c r="Q5" s="859"/>
    </row>
    <row r="6" spans="1:17" s="119" customFormat="1" ht="15.75" customHeight="1">
      <c r="A6" s="624"/>
      <c r="B6" s="624" t="s">
        <v>303</v>
      </c>
      <c r="C6" s="624"/>
      <c r="D6" s="624" t="s">
        <v>192</v>
      </c>
      <c r="E6" s="624"/>
      <c r="F6" s="624" t="s">
        <v>163</v>
      </c>
      <c r="G6" s="624"/>
      <c r="H6" s="865" t="s">
        <v>492</v>
      </c>
      <c r="I6" s="865"/>
      <c r="J6" s="865" t="s">
        <v>169</v>
      </c>
      <c r="K6" s="865"/>
      <c r="L6" s="865" t="s">
        <v>164</v>
      </c>
      <c r="M6" s="865"/>
      <c r="N6" s="865" t="s">
        <v>170</v>
      </c>
      <c r="O6" s="865"/>
      <c r="P6" s="863" t="s">
        <v>195</v>
      </c>
      <c r="Q6" s="624"/>
    </row>
    <row r="7" spans="1:17" s="119" customFormat="1" ht="15.75" customHeight="1">
      <c r="B7" s="174"/>
      <c r="C7" s="160"/>
    </row>
    <row r="8" spans="1:17" s="109" customFormat="1" ht="15.75" customHeight="1">
      <c r="A8" s="868" t="s">
        <v>635</v>
      </c>
      <c r="B8" s="869"/>
      <c r="C8" s="116" t="s">
        <v>536</v>
      </c>
      <c r="D8" s="870" t="s">
        <v>12</v>
      </c>
      <c r="E8" s="871"/>
      <c r="F8" s="872"/>
      <c r="G8" s="114" t="s">
        <v>636</v>
      </c>
      <c r="H8" s="115"/>
      <c r="I8" s="116"/>
      <c r="J8" s="113" t="s">
        <v>637</v>
      </c>
      <c r="K8" s="113" t="s">
        <v>638</v>
      </c>
      <c r="L8" s="113" t="s">
        <v>639</v>
      </c>
      <c r="M8" s="117" t="s">
        <v>11</v>
      </c>
      <c r="N8" s="319" t="s">
        <v>13</v>
      </c>
      <c r="O8" s="873" t="s">
        <v>50</v>
      </c>
      <c r="P8" s="874"/>
    </row>
    <row r="9" spans="1:17" ht="15.75" customHeight="1">
      <c r="A9" s="869">
        <v>4</v>
      </c>
      <c r="B9" s="876" t="s">
        <v>492</v>
      </c>
      <c r="C9" s="111">
        <v>1</v>
      </c>
      <c r="D9" s="578" t="s">
        <v>691</v>
      </c>
      <c r="E9" s="839"/>
      <c r="F9" s="840"/>
      <c r="G9" s="578" t="s">
        <v>769</v>
      </c>
      <c r="H9" s="839"/>
      <c r="I9" s="840"/>
      <c r="J9" s="4">
        <v>74.150000000000006</v>
      </c>
      <c r="K9" s="14">
        <v>1.7073811400052534E-2</v>
      </c>
      <c r="L9" s="4">
        <v>2.6</v>
      </c>
      <c r="M9" s="397">
        <v>192.79000000000002</v>
      </c>
      <c r="N9" s="4"/>
      <c r="O9" s="845" t="s">
        <v>643</v>
      </c>
      <c r="P9" s="882"/>
      <c r="Q9" s="260"/>
    </row>
    <row r="10" spans="1:17" ht="15.75" customHeight="1">
      <c r="A10" s="869"/>
      <c r="B10" s="876"/>
      <c r="C10" s="111">
        <v>2</v>
      </c>
      <c r="D10" s="578" t="s">
        <v>761</v>
      </c>
      <c r="E10" s="839"/>
      <c r="F10" s="840"/>
      <c r="G10" s="578" t="s">
        <v>770</v>
      </c>
      <c r="H10" s="839"/>
      <c r="I10" s="840"/>
      <c r="J10" s="4">
        <v>320.60000000000002</v>
      </c>
      <c r="K10" s="14">
        <v>2.7341079972658919E-2</v>
      </c>
      <c r="L10" s="4">
        <v>0.6</v>
      </c>
      <c r="M10" s="397">
        <v>192.36</v>
      </c>
      <c r="N10" s="4"/>
      <c r="O10" s="845" t="s">
        <v>643</v>
      </c>
      <c r="P10" s="882"/>
      <c r="Q10" s="260"/>
    </row>
    <row r="11" spans="1:17" ht="15.75" customHeight="1">
      <c r="A11" s="869"/>
      <c r="B11" s="876"/>
      <c r="C11" s="111">
        <v>3</v>
      </c>
      <c r="D11" s="578" t="s">
        <v>356</v>
      </c>
      <c r="E11" s="839"/>
      <c r="F11" s="840"/>
      <c r="G11" s="578" t="s">
        <v>744</v>
      </c>
      <c r="H11" s="839"/>
      <c r="I11" s="840"/>
      <c r="J11" s="4">
        <v>83.39</v>
      </c>
      <c r="K11" s="14">
        <v>1.5750727615134394E-2</v>
      </c>
      <c r="L11" s="4">
        <v>2.2999999999999998</v>
      </c>
      <c r="M11" s="397">
        <v>191.797</v>
      </c>
      <c r="N11" s="4"/>
      <c r="O11" s="845" t="s">
        <v>643</v>
      </c>
      <c r="P11" s="882"/>
      <c r="Q11" s="260"/>
    </row>
    <row r="12" spans="1:17" ht="15.75" customHeight="1">
      <c r="A12" s="869"/>
      <c r="B12" s="876"/>
      <c r="C12" s="111">
        <v>4</v>
      </c>
      <c r="D12" s="578" t="s">
        <v>330</v>
      </c>
      <c r="E12" s="839"/>
      <c r="F12" s="840"/>
      <c r="G12" s="578" t="s">
        <v>771</v>
      </c>
      <c r="H12" s="839"/>
      <c r="I12" s="840"/>
      <c r="J12" s="4">
        <v>127.66</v>
      </c>
      <c r="K12" s="14">
        <v>1.3254630284179272E-2</v>
      </c>
      <c r="L12" s="4">
        <v>1.5</v>
      </c>
      <c r="M12" s="397">
        <v>191.49</v>
      </c>
      <c r="N12" s="4"/>
      <c r="O12" s="845" t="s">
        <v>643</v>
      </c>
      <c r="P12" s="882"/>
      <c r="Q12" s="260"/>
    </row>
    <row r="13" spans="1:17" ht="15.75" customHeight="1" thickBot="1">
      <c r="A13" s="869"/>
      <c r="B13" s="876"/>
      <c r="C13" s="112">
        <v>5</v>
      </c>
      <c r="D13" s="578" t="s">
        <v>748</v>
      </c>
      <c r="E13" s="839"/>
      <c r="F13" s="840"/>
      <c r="G13" s="578" t="s">
        <v>747</v>
      </c>
      <c r="H13" s="839"/>
      <c r="I13" s="840"/>
      <c r="J13" s="4">
        <v>127.48</v>
      </c>
      <c r="K13" s="14">
        <v>1.3437849944008958E-2</v>
      </c>
      <c r="L13" s="4">
        <v>1.5</v>
      </c>
      <c r="M13" s="397">
        <v>191.22</v>
      </c>
      <c r="N13" s="27"/>
      <c r="O13" s="845" t="s">
        <v>643</v>
      </c>
      <c r="P13" s="882"/>
      <c r="Q13" s="260"/>
    </row>
    <row r="14" spans="1:17" ht="15.75" customHeight="1" thickTop="1" thickBot="1">
      <c r="A14" s="869"/>
      <c r="B14" s="876"/>
      <c r="C14" s="884"/>
      <c r="D14" s="884"/>
      <c r="E14" s="884"/>
      <c r="F14" s="884"/>
      <c r="G14" s="884"/>
      <c r="H14" s="884"/>
      <c r="I14" s="884"/>
      <c r="J14" s="245" t="s">
        <v>641</v>
      </c>
      <c r="K14" s="244">
        <v>6.9602904058719429E-3</v>
      </c>
      <c r="L14" s="245" t="s">
        <v>642</v>
      </c>
      <c r="M14" s="398">
        <v>959.65700000000004</v>
      </c>
      <c r="N14" s="883"/>
      <c r="O14" s="883"/>
      <c r="P14" s="883"/>
      <c r="Q14" s="260"/>
    </row>
    <row r="15" spans="1:17" ht="15.75" customHeight="1" thickTop="1">
      <c r="A15" s="563"/>
      <c r="D15" s="563"/>
      <c r="E15" s="563"/>
      <c r="F15" s="563"/>
      <c r="G15" s="563"/>
      <c r="H15" s="563"/>
      <c r="I15" s="563"/>
      <c r="J15" s="563"/>
      <c r="K15" s="563"/>
      <c r="L15" s="563"/>
      <c r="M15" s="563"/>
      <c r="N15" s="563"/>
      <c r="O15" s="563"/>
      <c r="P15" s="563"/>
      <c r="Q15" s="260"/>
    </row>
    <row r="16" spans="1:17" ht="15.75" customHeight="1">
      <c r="A16" s="868" t="s">
        <v>635</v>
      </c>
      <c r="B16" s="869"/>
      <c r="C16" s="116" t="s">
        <v>536</v>
      </c>
      <c r="D16" s="870" t="s">
        <v>12</v>
      </c>
      <c r="E16" s="871"/>
      <c r="F16" s="872"/>
      <c r="G16" s="114" t="s">
        <v>636</v>
      </c>
      <c r="H16" s="115"/>
      <c r="I16" s="116"/>
      <c r="J16" s="113" t="s">
        <v>637</v>
      </c>
      <c r="K16" s="113" t="s">
        <v>638</v>
      </c>
      <c r="L16" s="113" t="s">
        <v>639</v>
      </c>
      <c r="M16" s="117" t="s">
        <v>11</v>
      </c>
      <c r="N16" s="319" t="s">
        <v>13</v>
      </c>
      <c r="O16" s="873" t="s">
        <v>50</v>
      </c>
      <c r="P16" s="874"/>
      <c r="Q16" s="260"/>
    </row>
    <row r="17" spans="1:17" ht="15.75" customHeight="1">
      <c r="A17" s="869">
        <v>5</v>
      </c>
      <c r="B17" s="875" t="s">
        <v>193</v>
      </c>
      <c r="C17" s="111">
        <v>1</v>
      </c>
      <c r="D17" s="578" t="s">
        <v>565</v>
      </c>
      <c r="E17" s="839"/>
      <c r="F17" s="840"/>
      <c r="G17" s="578" t="s">
        <v>772</v>
      </c>
      <c r="H17" s="839"/>
      <c r="I17" s="840"/>
      <c r="J17" s="4">
        <v>200.44</v>
      </c>
      <c r="K17" s="14">
        <v>1.284018953659671E-2</v>
      </c>
      <c r="L17" s="4">
        <v>0.9</v>
      </c>
      <c r="M17" s="397">
        <v>180.39600000000002</v>
      </c>
      <c r="N17" s="4"/>
      <c r="O17" s="845" t="s">
        <v>505</v>
      </c>
      <c r="P17" s="882"/>
      <c r="Q17" s="260"/>
    </row>
    <row r="18" spans="1:17" ht="15.75" customHeight="1">
      <c r="A18" s="869"/>
      <c r="B18" s="876"/>
      <c r="C18" s="111">
        <v>2</v>
      </c>
      <c r="D18" s="578" t="s">
        <v>573</v>
      </c>
      <c r="E18" s="839"/>
      <c r="F18" s="840"/>
      <c r="G18" s="578" t="s">
        <v>728</v>
      </c>
      <c r="H18" s="839"/>
      <c r="I18" s="840"/>
      <c r="J18" s="4">
        <v>297.35000000000002</v>
      </c>
      <c r="K18" s="14">
        <v>1.2921287821686228E-2</v>
      </c>
      <c r="L18" s="4">
        <v>0.6</v>
      </c>
      <c r="M18" s="397">
        <v>178.41</v>
      </c>
      <c r="N18" s="4"/>
      <c r="O18" s="845" t="s">
        <v>505</v>
      </c>
      <c r="P18" s="882"/>
      <c r="Q18" s="260"/>
    </row>
    <row r="19" spans="1:17" ht="15.75" customHeight="1">
      <c r="A19" s="869"/>
      <c r="B19" s="876"/>
      <c r="C19" s="111">
        <v>3</v>
      </c>
      <c r="D19" s="578" t="s">
        <v>773</v>
      </c>
      <c r="E19" s="839"/>
      <c r="F19" s="840"/>
      <c r="G19" s="578" t="s">
        <v>774</v>
      </c>
      <c r="H19" s="839"/>
      <c r="I19" s="840"/>
      <c r="J19" s="4">
        <v>100.09</v>
      </c>
      <c r="K19" s="14">
        <v>3.6619976197015472E-2</v>
      </c>
      <c r="L19" s="4">
        <v>1.6</v>
      </c>
      <c r="M19" s="397">
        <v>160.14400000000001</v>
      </c>
      <c r="N19" s="4"/>
      <c r="O19" s="845" t="s">
        <v>505</v>
      </c>
      <c r="P19" s="882"/>
      <c r="Q19" s="260"/>
    </row>
    <row r="20" spans="1:17" ht="15.75" customHeight="1">
      <c r="A20" s="869"/>
      <c r="B20" s="876"/>
      <c r="C20" s="111">
        <v>4</v>
      </c>
      <c r="D20" s="578" t="s">
        <v>578</v>
      </c>
      <c r="E20" s="839"/>
      <c r="F20" s="840"/>
      <c r="G20" s="578" t="s">
        <v>579</v>
      </c>
      <c r="H20" s="839"/>
      <c r="I20" s="840"/>
      <c r="J20" s="4">
        <v>447.3</v>
      </c>
      <c r="K20" s="14">
        <v>3.2614530039280151E-3</v>
      </c>
      <c r="L20" s="4">
        <v>0.35158463382344002</v>
      </c>
      <c r="M20" s="397">
        <v>157.26380670922472</v>
      </c>
      <c r="N20" s="4"/>
      <c r="O20" s="845" t="s">
        <v>505</v>
      </c>
      <c r="P20" s="882"/>
      <c r="Q20" s="260"/>
    </row>
    <row r="21" spans="1:17" ht="15.75" customHeight="1" thickBot="1">
      <c r="A21" s="869"/>
      <c r="B21" s="876"/>
      <c r="C21" s="112">
        <v>5</v>
      </c>
      <c r="D21" s="578" t="s">
        <v>348</v>
      </c>
      <c r="E21" s="839"/>
      <c r="F21" s="840"/>
      <c r="G21" s="578" t="s">
        <v>775</v>
      </c>
      <c r="H21" s="839"/>
      <c r="I21" s="840"/>
      <c r="J21" s="4">
        <v>420.33</v>
      </c>
      <c r="K21" s="14">
        <v>4.788739131072561E-3</v>
      </c>
      <c r="L21" s="4">
        <v>0.36772727787506199</v>
      </c>
      <c r="M21" s="397">
        <v>154.56680670922481</v>
      </c>
      <c r="N21" s="4"/>
      <c r="O21" s="845" t="s">
        <v>505</v>
      </c>
      <c r="P21" s="882"/>
      <c r="Q21" s="260"/>
    </row>
    <row r="22" spans="1:17" ht="15.75" customHeight="1" thickTop="1" thickBot="1">
      <c r="A22" s="869"/>
      <c r="B22" s="876"/>
      <c r="C22" s="877"/>
      <c r="D22" s="877"/>
      <c r="E22" s="877"/>
      <c r="F22" s="877"/>
      <c r="G22" s="877"/>
      <c r="H22" s="877"/>
      <c r="I22" s="878"/>
      <c r="J22" s="118" t="s">
        <v>641</v>
      </c>
      <c r="K22" s="244">
        <v>6.0255636471789834E-3</v>
      </c>
      <c r="L22" s="118" t="s">
        <v>642</v>
      </c>
      <c r="M22" s="398">
        <v>830.78061341844955</v>
      </c>
      <c r="N22" s="879"/>
      <c r="O22" s="880"/>
      <c r="P22" s="881"/>
      <c r="Q22" s="260"/>
    </row>
    <row r="23" spans="1:17" ht="15.75" customHeight="1" thickTop="1">
      <c r="A23" s="563"/>
      <c r="D23" s="563"/>
      <c r="E23" s="563"/>
      <c r="F23" s="563"/>
      <c r="G23" s="563"/>
      <c r="H23" s="563"/>
      <c r="I23" s="563"/>
      <c r="J23" s="563"/>
      <c r="K23" s="563"/>
      <c r="L23" s="563"/>
      <c r="M23" s="563"/>
      <c r="N23" s="563"/>
      <c r="O23" s="563"/>
      <c r="P23" s="563"/>
      <c r="Q23" s="260"/>
    </row>
    <row r="24" spans="1:17" ht="15.75" customHeight="1">
      <c r="A24" s="868" t="s">
        <v>635</v>
      </c>
      <c r="B24" s="869"/>
      <c r="C24" s="116" t="s">
        <v>536</v>
      </c>
      <c r="D24" s="870" t="s">
        <v>12</v>
      </c>
      <c r="E24" s="871"/>
      <c r="F24" s="872"/>
      <c r="G24" s="114" t="s">
        <v>636</v>
      </c>
      <c r="H24" s="115"/>
      <c r="I24" s="116"/>
      <c r="J24" s="113" t="s">
        <v>637</v>
      </c>
      <c r="K24" s="113" t="s">
        <v>638</v>
      </c>
      <c r="L24" s="113" t="s">
        <v>639</v>
      </c>
      <c r="M24" s="117" t="s">
        <v>11</v>
      </c>
      <c r="N24" s="319" t="s">
        <v>13</v>
      </c>
      <c r="O24" s="873" t="s">
        <v>50</v>
      </c>
      <c r="P24" s="874"/>
      <c r="Q24" s="260"/>
    </row>
    <row r="25" spans="1:17" ht="15.75" customHeight="1">
      <c r="A25" s="869">
        <v>6</v>
      </c>
      <c r="B25" s="875" t="s">
        <v>194</v>
      </c>
      <c r="C25" s="111">
        <v>1</v>
      </c>
      <c r="D25" s="578" t="s">
        <v>626</v>
      </c>
      <c r="E25" s="839"/>
      <c r="F25" s="840"/>
      <c r="G25" s="578" t="s">
        <v>331</v>
      </c>
      <c r="H25" s="839"/>
      <c r="I25" s="840"/>
      <c r="J25" s="4">
        <v>487.66</v>
      </c>
      <c r="K25" s="14">
        <v>6.973234052188867E-3</v>
      </c>
      <c r="L25" s="4">
        <v>0.32406013287332103</v>
      </c>
      <c r="M25" s="397">
        <v>158.03116439700375</v>
      </c>
      <c r="N25" s="4"/>
      <c r="O25" s="845" t="s">
        <v>576</v>
      </c>
      <c r="P25" s="882"/>
      <c r="Q25" s="260"/>
    </row>
    <row r="26" spans="1:17" ht="15.75" customHeight="1">
      <c r="A26" s="869"/>
      <c r="B26" s="876"/>
      <c r="C26" s="111">
        <v>2</v>
      </c>
      <c r="D26" s="578" t="s">
        <v>549</v>
      </c>
      <c r="E26" s="839"/>
      <c r="F26" s="840"/>
      <c r="G26" s="578" t="s">
        <v>738</v>
      </c>
      <c r="H26" s="839"/>
      <c r="I26" s="840"/>
      <c r="J26" s="4">
        <v>444.88</v>
      </c>
      <c r="K26" s="14">
        <v>9.5558038495827374E-3</v>
      </c>
      <c r="L26" s="4">
        <v>0.35295317098818801</v>
      </c>
      <c r="M26" s="397">
        <v>157.02180670922507</v>
      </c>
      <c r="N26" s="4"/>
      <c r="O26" s="845" t="s">
        <v>576</v>
      </c>
      <c r="P26" s="882"/>
      <c r="Q26" s="260"/>
    </row>
    <row r="27" spans="1:17" ht="15.75" customHeight="1">
      <c r="A27" s="869"/>
      <c r="B27" s="876"/>
      <c r="C27" s="111">
        <v>3</v>
      </c>
      <c r="D27" s="578" t="s">
        <v>757</v>
      </c>
      <c r="E27" s="839"/>
      <c r="F27" s="840"/>
      <c r="G27" s="578" t="s">
        <v>756</v>
      </c>
      <c r="H27" s="839"/>
      <c r="I27" s="840"/>
      <c r="J27" s="4">
        <v>370.75</v>
      </c>
      <c r="K27" s="14">
        <v>1.4284664959582838E-2</v>
      </c>
      <c r="L27" s="4">
        <v>0.39471386216319299</v>
      </c>
      <c r="M27" s="397">
        <v>146.3401643970038</v>
      </c>
      <c r="N27" s="4"/>
      <c r="O27" s="845" t="s">
        <v>576</v>
      </c>
      <c r="P27" s="882"/>
      <c r="Q27" s="260"/>
    </row>
    <row r="28" spans="1:17" ht="15.75" customHeight="1">
      <c r="A28" s="869"/>
      <c r="B28" s="876"/>
      <c r="C28" s="111">
        <v>4</v>
      </c>
      <c r="D28" s="578">
        <v>0</v>
      </c>
      <c r="E28" s="839"/>
      <c r="F28" s="840"/>
      <c r="G28" s="578">
        <v>0</v>
      </c>
      <c r="H28" s="839"/>
      <c r="I28" s="840"/>
      <c r="J28" s="4">
        <v>0</v>
      </c>
      <c r="K28" s="14">
        <v>0</v>
      </c>
      <c r="L28" s="4">
        <v>0</v>
      </c>
      <c r="M28" s="397">
        <v>0</v>
      </c>
      <c r="N28" s="4"/>
      <c r="O28" s="845"/>
      <c r="P28" s="882"/>
      <c r="Q28" s="260"/>
    </row>
    <row r="29" spans="1:17" ht="15.75" customHeight="1" thickBot="1">
      <c r="A29" s="869"/>
      <c r="B29" s="876"/>
      <c r="C29" s="112">
        <v>5</v>
      </c>
      <c r="D29" s="578">
        <v>0</v>
      </c>
      <c r="E29" s="839"/>
      <c r="F29" s="840"/>
      <c r="G29" s="578">
        <v>0</v>
      </c>
      <c r="H29" s="839"/>
      <c r="I29" s="840"/>
      <c r="J29" s="4">
        <v>0</v>
      </c>
      <c r="K29" s="14">
        <v>0</v>
      </c>
      <c r="L29" s="4">
        <v>0</v>
      </c>
      <c r="M29" s="397">
        <v>0</v>
      </c>
      <c r="N29" s="4"/>
      <c r="O29" s="845"/>
      <c r="P29" s="882"/>
      <c r="Q29" s="260"/>
    </row>
    <row r="30" spans="1:17" ht="15.75" customHeight="1" thickTop="1" thickBot="1">
      <c r="A30" s="869"/>
      <c r="B30" s="876"/>
      <c r="C30" s="877"/>
      <c r="D30" s="877"/>
      <c r="E30" s="877"/>
      <c r="F30" s="877"/>
      <c r="G30" s="877"/>
      <c r="H30" s="877"/>
      <c r="I30" s="878"/>
      <c r="J30" s="118" t="s">
        <v>641</v>
      </c>
      <c r="K30" s="244">
        <v>3.3464354601470355E-3</v>
      </c>
      <c r="L30" s="118" t="s">
        <v>642</v>
      </c>
      <c r="M30" s="398">
        <v>461.39313550323266</v>
      </c>
      <c r="N30" s="879"/>
      <c r="O30" s="880"/>
      <c r="P30" s="881"/>
      <c r="Q30" s="260"/>
    </row>
    <row r="31" spans="1:17" ht="15.75" customHeight="1" thickTop="1">
      <c r="A31" s="563"/>
      <c r="D31" s="563"/>
      <c r="E31" s="563"/>
      <c r="F31" s="563"/>
      <c r="G31" s="563"/>
      <c r="H31" s="563"/>
      <c r="I31" s="563"/>
      <c r="J31" s="563"/>
      <c r="K31" s="563"/>
      <c r="L31" s="563"/>
      <c r="M31" s="563"/>
      <c r="N31" s="563"/>
      <c r="O31" s="563"/>
      <c r="P31" s="563"/>
      <c r="Q31" s="260"/>
    </row>
    <row r="32" spans="1:17" ht="15.75" customHeight="1">
      <c r="A32" s="868" t="s">
        <v>635</v>
      </c>
      <c r="B32" s="869"/>
      <c r="C32" s="116" t="s">
        <v>536</v>
      </c>
      <c r="D32" s="870" t="s">
        <v>12</v>
      </c>
      <c r="E32" s="871"/>
      <c r="F32" s="872"/>
      <c r="G32" s="114" t="s">
        <v>636</v>
      </c>
      <c r="H32" s="115"/>
      <c r="I32" s="116"/>
      <c r="J32" s="113" t="s">
        <v>637</v>
      </c>
      <c r="K32" s="113" t="s">
        <v>638</v>
      </c>
      <c r="L32" s="113" t="s">
        <v>639</v>
      </c>
      <c r="M32" s="117" t="s">
        <v>11</v>
      </c>
      <c r="N32" s="117" t="s">
        <v>13</v>
      </c>
      <c r="O32" s="873" t="s">
        <v>50</v>
      </c>
      <c r="P32" s="874"/>
      <c r="Q32" s="260"/>
    </row>
    <row r="33" spans="1:17" ht="15.75" customHeight="1">
      <c r="A33" s="869">
        <v>7</v>
      </c>
      <c r="B33" s="875" t="s">
        <v>506</v>
      </c>
      <c r="C33" s="111">
        <v>1</v>
      </c>
      <c r="D33" s="578" t="s">
        <v>700</v>
      </c>
      <c r="E33" s="839"/>
      <c r="F33" s="840"/>
      <c r="G33" s="578" t="s">
        <v>701</v>
      </c>
      <c r="H33" s="839"/>
      <c r="I33" s="840"/>
      <c r="J33" s="4">
        <v>1010.1</v>
      </c>
      <c r="K33" s="14">
        <v>1.8601190476190476E-2</v>
      </c>
      <c r="L33" s="4">
        <v>0.2</v>
      </c>
      <c r="M33" s="397">
        <v>202.02</v>
      </c>
      <c r="N33" s="4"/>
      <c r="O33" s="845" t="s">
        <v>589</v>
      </c>
      <c r="P33" s="882"/>
      <c r="Q33" s="260"/>
    </row>
    <row r="34" spans="1:17" ht="15.75" customHeight="1">
      <c r="A34" s="869"/>
      <c r="B34" s="876"/>
      <c r="C34" s="111">
        <v>2</v>
      </c>
      <c r="D34" s="578" t="s">
        <v>622</v>
      </c>
      <c r="E34" s="839"/>
      <c r="F34" s="840"/>
      <c r="G34" s="578" t="s">
        <v>710</v>
      </c>
      <c r="H34" s="839"/>
      <c r="I34" s="840"/>
      <c r="J34" s="4">
        <v>935.2</v>
      </c>
      <c r="K34" s="14">
        <v>1.2491705507542989E-2</v>
      </c>
      <c r="L34" s="4">
        <v>0.21385799828913599</v>
      </c>
      <c r="M34" s="397">
        <v>199.99999999999997</v>
      </c>
      <c r="N34" s="4"/>
      <c r="O34" s="845" t="s">
        <v>589</v>
      </c>
      <c r="P34" s="846"/>
      <c r="Q34" s="260"/>
    </row>
    <row r="35" spans="1:17" ht="15.75" customHeight="1">
      <c r="A35" s="869"/>
      <c r="B35" s="876"/>
      <c r="C35" s="111">
        <v>3</v>
      </c>
      <c r="D35" s="578" t="s">
        <v>700</v>
      </c>
      <c r="E35" s="839"/>
      <c r="F35" s="840"/>
      <c r="G35" s="578" t="s">
        <v>707</v>
      </c>
      <c r="H35" s="839"/>
      <c r="I35" s="840"/>
      <c r="J35" s="4">
        <v>622.54999999999995</v>
      </c>
      <c r="K35" s="14">
        <v>9.9999999999999992E-2</v>
      </c>
      <c r="L35" s="4">
        <v>0.3</v>
      </c>
      <c r="M35" s="397">
        <v>186.76499999999999</v>
      </c>
      <c r="N35" s="4"/>
      <c r="O35" s="845" t="s">
        <v>589</v>
      </c>
      <c r="P35" s="846"/>
      <c r="Q35" s="260"/>
    </row>
    <row r="36" spans="1:17" ht="15.75" customHeight="1">
      <c r="A36" s="869"/>
      <c r="B36" s="876"/>
      <c r="C36" s="111">
        <v>4</v>
      </c>
      <c r="D36" s="578">
        <v>0</v>
      </c>
      <c r="E36" s="839"/>
      <c r="F36" s="840"/>
      <c r="G36" s="578">
        <v>0</v>
      </c>
      <c r="H36" s="839"/>
      <c r="I36" s="840"/>
      <c r="J36" s="4">
        <v>0</v>
      </c>
      <c r="K36" s="14">
        <v>0</v>
      </c>
      <c r="L36" s="4">
        <v>0</v>
      </c>
      <c r="M36" s="397">
        <v>0</v>
      </c>
      <c r="N36" s="4"/>
      <c r="O36" s="845"/>
      <c r="P36" s="882"/>
      <c r="Q36" s="260"/>
    </row>
    <row r="37" spans="1:17" ht="15.75" customHeight="1" thickBot="1">
      <c r="A37" s="869"/>
      <c r="B37" s="876"/>
      <c r="C37" s="112">
        <v>5</v>
      </c>
      <c r="D37" s="578">
        <v>0</v>
      </c>
      <c r="E37" s="839"/>
      <c r="F37" s="840"/>
      <c r="G37" s="578">
        <v>0</v>
      </c>
      <c r="H37" s="839"/>
      <c r="I37" s="840"/>
      <c r="J37" s="4">
        <v>0</v>
      </c>
      <c r="K37" s="14">
        <v>0</v>
      </c>
      <c r="L37" s="4">
        <v>0</v>
      </c>
      <c r="M37" s="397">
        <v>0</v>
      </c>
      <c r="N37" s="4"/>
      <c r="O37" s="845"/>
      <c r="P37" s="846"/>
      <c r="Q37" s="260"/>
    </row>
    <row r="38" spans="1:17" ht="15.75" customHeight="1" thickTop="1" thickBot="1">
      <c r="A38" s="869"/>
      <c r="B38" s="876"/>
      <c r="C38" s="877"/>
      <c r="D38" s="877"/>
      <c r="E38" s="877"/>
      <c r="F38" s="877"/>
      <c r="G38" s="877"/>
      <c r="H38" s="877"/>
      <c r="I38" s="878"/>
      <c r="J38" s="118" t="s">
        <v>641</v>
      </c>
      <c r="K38" s="244">
        <v>4.2703951376599257E-3</v>
      </c>
      <c r="L38" s="118" t="s">
        <v>642</v>
      </c>
      <c r="M38" s="398">
        <v>588.78499999999997</v>
      </c>
      <c r="N38" s="879"/>
      <c r="O38" s="880"/>
      <c r="P38" s="881"/>
      <c r="Q38" s="260"/>
    </row>
    <row r="39" spans="1:17" ht="15.75" customHeight="1" thickTop="1"/>
  </sheetData>
  <mergeCells count="107">
    <mergeCell ref="O25:P25"/>
    <mergeCell ref="O26:P26"/>
    <mergeCell ref="O27:P27"/>
    <mergeCell ref="O28:P28"/>
    <mergeCell ref="O29:P29"/>
    <mergeCell ref="O11:P11"/>
    <mergeCell ref="O12:P12"/>
    <mergeCell ref="O13:P13"/>
    <mergeCell ref="O17:P17"/>
    <mergeCell ref="O18:P18"/>
    <mergeCell ref="A1:Q2"/>
    <mergeCell ref="P5:Q5"/>
    <mergeCell ref="P6:Q6"/>
    <mergeCell ref="N5:O5"/>
    <mergeCell ref="B6:C6"/>
    <mergeCell ref="D6:E6"/>
    <mergeCell ref="F6:G6"/>
    <mergeCell ref="H6:I6"/>
    <mergeCell ref="J6:K6"/>
    <mergeCell ref="L6:M6"/>
    <mergeCell ref="N6:O6"/>
    <mergeCell ref="A3:M4"/>
    <mergeCell ref="A5:A6"/>
    <mergeCell ref="B5:C5"/>
    <mergeCell ref="D5:E5"/>
    <mergeCell ref="F5:G5"/>
    <mergeCell ref="H5:I5"/>
    <mergeCell ref="J5:K5"/>
    <mergeCell ref="L5:M5"/>
    <mergeCell ref="A8:B8"/>
    <mergeCell ref="D8:F8"/>
    <mergeCell ref="O8:P8"/>
    <mergeCell ref="A9:A14"/>
    <mergeCell ref="B9:B14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N14:P14"/>
    <mergeCell ref="O9:P9"/>
    <mergeCell ref="O10:P10"/>
    <mergeCell ref="C14:I14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D21:F21"/>
    <mergeCell ref="G21:I21"/>
    <mergeCell ref="N22:P22"/>
    <mergeCell ref="O19:P19"/>
    <mergeCell ref="O20:P20"/>
    <mergeCell ref="O21:P21"/>
    <mergeCell ref="D19:F19"/>
    <mergeCell ref="G19:I19"/>
    <mergeCell ref="D20:F20"/>
    <mergeCell ref="G20:I20"/>
    <mergeCell ref="C22:I22"/>
    <mergeCell ref="N38:P38"/>
    <mergeCell ref="G34:I34"/>
    <mergeCell ref="D35:F35"/>
    <mergeCell ref="G27:I27"/>
    <mergeCell ref="D28:F28"/>
    <mergeCell ref="O36:P36"/>
    <mergeCell ref="O37:P37"/>
    <mergeCell ref="G35:I35"/>
    <mergeCell ref="D36:F36"/>
    <mergeCell ref="G36:I36"/>
    <mergeCell ref="D37:F37"/>
    <mergeCell ref="G37:I37"/>
    <mergeCell ref="O33:P33"/>
    <mergeCell ref="O34:P34"/>
    <mergeCell ref="O35:P35"/>
    <mergeCell ref="A24:B24"/>
    <mergeCell ref="D24:F24"/>
    <mergeCell ref="O24:P24"/>
    <mergeCell ref="G28:I28"/>
    <mergeCell ref="A33:A38"/>
    <mergeCell ref="B33:B38"/>
    <mergeCell ref="D33:F33"/>
    <mergeCell ref="G33:I33"/>
    <mergeCell ref="D34:F34"/>
    <mergeCell ref="C30:I30"/>
    <mergeCell ref="D29:F29"/>
    <mergeCell ref="G29:I29"/>
    <mergeCell ref="A25:A30"/>
    <mergeCell ref="B25:B30"/>
    <mergeCell ref="D25:F25"/>
    <mergeCell ref="G25:I25"/>
    <mergeCell ref="D26:F26"/>
    <mergeCell ref="G26:I26"/>
    <mergeCell ref="D27:F27"/>
    <mergeCell ref="N30:P30"/>
    <mergeCell ref="A32:B32"/>
    <mergeCell ref="D32:F32"/>
    <mergeCell ref="O32:P32"/>
    <mergeCell ref="C38:I38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W31"/>
  <sheetViews>
    <sheetView view="pageBreakPreview" zoomScale="115" zoomScaleNormal="60" zoomScaleSheetLayoutView="115" workbookViewId="0">
      <selection activeCell="A8" sqref="A8:P30"/>
    </sheetView>
  </sheetViews>
  <sheetFormatPr defaultColWidth="12.5703125" defaultRowHeight="15.75" customHeight="1"/>
  <cols>
    <col min="1" max="1" width="5.42578125" style="182" customWidth="1"/>
    <col min="2" max="2" width="11.42578125" style="321" customWidth="1"/>
    <col min="3" max="3" width="4" style="322" customWidth="1"/>
    <col min="4" max="17" width="9.5703125" style="182" customWidth="1"/>
    <col min="18" max="16384" width="12.5703125" style="182"/>
  </cols>
  <sheetData>
    <row r="1" spans="1:23" ht="15.75" customHeight="1">
      <c r="A1" s="799" t="s">
        <v>495</v>
      </c>
      <c r="B1" s="799"/>
      <c r="C1" s="799"/>
      <c r="D1" s="799"/>
      <c r="E1" s="799"/>
      <c r="F1" s="799"/>
      <c r="G1" s="799"/>
      <c r="H1" s="799"/>
      <c r="I1" s="799"/>
      <c r="J1" s="799"/>
      <c r="K1" s="799"/>
      <c r="L1" s="799"/>
      <c r="M1" s="799"/>
      <c r="N1" s="799"/>
      <c r="O1" s="799"/>
      <c r="P1" s="799"/>
      <c r="Q1" s="799"/>
    </row>
    <row r="2" spans="1:23" s="183" customFormat="1" ht="15.75" customHeight="1">
      <c r="A2" s="799"/>
      <c r="B2" s="799"/>
      <c r="C2" s="799"/>
      <c r="D2" s="799"/>
      <c r="E2" s="799"/>
      <c r="F2" s="799"/>
      <c r="G2" s="799"/>
      <c r="H2" s="799"/>
      <c r="I2" s="799"/>
      <c r="J2" s="799"/>
      <c r="K2" s="799"/>
      <c r="L2" s="799"/>
      <c r="M2" s="799"/>
      <c r="N2" s="799"/>
      <c r="O2" s="799"/>
      <c r="P2" s="799"/>
      <c r="Q2" s="799"/>
      <c r="R2" s="182"/>
      <c r="S2" s="182"/>
      <c r="T2" s="182"/>
      <c r="U2" s="182"/>
      <c r="V2" s="182"/>
      <c r="W2" s="182"/>
    </row>
    <row r="3" spans="1:23" ht="15.75" customHeight="1">
      <c r="A3" s="800" t="s">
        <v>496</v>
      </c>
      <c r="B3" s="800"/>
      <c r="C3" s="800"/>
      <c r="D3" s="800"/>
      <c r="E3" s="800"/>
      <c r="F3" s="800"/>
      <c r="G3" s="800"/>
      <c r="H3" s="800"/>
      <c r="I3" s="800"/>
      <c r="J3" s="800"/>
      <c r="K3" s="800"/>
      <c r="L3" s="800"/>
      <c r="M3" s="800"/>
      <c r="N3" s="184"/>
    </row>
    <row r="4" spans="1:23" s="183" customFormat="1" ht="15.75" customHeight="1">
      <c r="A4" s="800"/>
      <c r="B4" s="800"/>
      <c r="C4" s="800"/>
      <c r="D4" s="800"/>
      <c r="E4" s="800"/>
      <c r="F4" s="800"/>
      <c r="G4" s="800"/>
      <c r="H4" s="800"/>
      <c r="I4" s="800"/>
      <c r="J4" s="800"/>
      <c r="K4" s="800"/>
      <c r="L4" s="800"/>
      <c r="M4" s="800"/>
      <c r="N4" s="185"/>
      <c r="R4" s="182"/>
      <c r="S4" s="182"/>
      <c r="T4" s="182"/>
      <c r="U4" s="182"/>
      <c r="V4" s="182"/>
      <c r="W4" s="182"/>
    </row>
    <row r="5" spans="1:23" ht="15.75" customHeight="1">
      <c r="A5" s="802" t="s">
        <v>494</v>
      </c>
      <c r="B5" s="886">
        <v>1</v>
      </c>
      <c r="C5" s="886"/>
      <c r="D5" s="886">
        <v>2</v>
      </c>
      <c r="E5" s="886"/>
      <c r="F5" s="886">
        <v>3</v>
      </c>
      <c r="G5" s="886"/>
      <c r="H5" s="805">
        <v>4</v>
      </c>
      <c r="I5" s="805"/>
      <c r="J5" s="805">
        <v>5</v>
      </c>
      <c r="K5" s="805"/>
      <c r="L5" s="805">
        <v>6</v>
      </c>
      <c r="M5" s="805"/>
      <c r="N5" s="805">
        <v>7</v>
      </c>
      <c r="O5" s="805"/>
      <c r="P5" s="805">
        <v>8</v>
      </c>
      <c r="Q5" s="805"/>
    </row>
    <row r="6" spans="1:23" ht="15.75" customHeight="1">
      <c r="A6" s="802"/>
      <c r="B6" s="887" t="s">
        <v>497</v>
      </c>
      <c r="C6" s="887"/>
      <c r="D6" s="887" t="s">
        <v>498</v>
      </c>
      <c r="E6" s="887"/>
      <c r="F6" s="887" t="s">
        <v>499</v>
      </c>
      <c r="G6" s="887"/>
      <c r="H6" s="885" t="s">
        <v>500</v>
      </c>
      <c r="I6" s="802"/>
      <c r="J6" s="802" t="s">
        <v>501</v>
      </c>
      <c r="K6" s="802"/>
      <c r="L6" s="802" t="s">
        <v>502</v>
      </c>
      <c r="M6" s="802"/>
      <c r="N6" s="802" t="s">
        <v>503</v>
      </c>
      <c r="O6" s="802"/>
      <c r="P6" s="885" t="s">
        <v>504</v>
      </c>
      <c r="Q6" s="802"/>
    </row>
    <row r="8" spans="1:23" s="320" customFormat="1" ht="15.75" customHeight="1">
      <c r="A8" s="849" t="s">
        <v>635</v>
      </c>
      <c r="B8" s="850"/>
      <c r="C8" s="568" t="s">
        <v>536</v>
      </c>
      <c r="D8" s="851" t="s">
        <v>12</v>
      </c>
      <c r="E8" s="852"/>
      <c r="F8" s="853"/>
      <c r="G8" s="566" t="s">
        <v>636</v>
      </c>
      <c r="H8" s="567"/>
      <c r="I8" s="568"/>
      <c r="J8" s="169" t="s">
        <v>637</v>
      </c>
      <c r="K8" s="319" t="s">
        <v>644</v>
      </c>
      <c r="L8" s="169" t="s">
        <v>639</v>
      </c>
      <c r="M8" s="169" t="s">
        <v>11</v>
      </c>
      <c r="N8" s="319" t="s">
        <v>13</v>
      </c>
      <c r="O8" s="854" t="s">
        <v>50</v>
      </c>
      <c r="P8" s="855"/>
      <c r="R8" s="182"/>
      <c r="S8" s="182"/>
      <c r="T8" s="182"/>
      <c r="U8" s="182"/>
      <c r="V8" s="182"/>
      <c r="W8" s="182"/>
    </row>
    <row r="9" spans="1:23" ht="15.75" customHeight="1">
      <c r="A9" s="778">
        <v>1</v>
      </c>
      <c r="B9" s="836" t="s">
        <v>598</v>
      </c>
      <c r="C9" s="170">
        <v>1</v>
      </c>
      <c r="D9" s="578">
        <v>0</v>
      </c>
      <c r="E9" s="839"/>
      <c r="F9" s="840"/>
      <c r="G9" s="578">
        <v>0</v>
      </c>
      <c r="H9" s="839"/>
      <c r="I9" s="840"/>
      <c r="J9" s="4">
        <v>0</v>
      </c>
      <c r="K9" s="14">
        <v>0</v>
      </c>
      <c r="L9" s="4">
        <v>0</v>
      </c>
      <c r="M9" s="397">
        <v>0</v>
      </c>
      <c r="N9" s="171"/>
      <c r="O9" s="845"/>
      <c r="P9" s="846"/>
    </row>
    <row r="10" spans="1:23" ht="15.75" customHeight="1">
      <c r="A10" s="783"/>
      <c r="B10" s="837"/>
      <c r="C10" s="170">
        <v>2</v>
      </c>
      <c r="D10" s="578">
        <v>0</v>
      </c>
      <c r="E10" s="839"/>
      <c r="F10" s="840"/>
      <c r="G10" s="578">
        <v>0</v>
      </c>
      <c r="H10" s="839"/>
      <c r="I10" s="840"/>
      <c r="J10" s="4">
        <v>0</v>
      </c>
      <c r="K10" s="14">
        <v>0</v>
      </c>
      <c r="L10" s="4">
        <v>0</v>
      </c>
      <c r="M10" s="397">
        <v>0</v>
      </c>
      <c r="N10" s="171"/>
      <c r="O10" s="845"/>
      <c r="P10" s="846"/>
    </row>
    <row r="11" spans="1:23" ht="15.75" customHeight="1">
      <c r="A11" s="783"/>
      <c r="B11" s="837"/>
      <c r="C11" s="170">
        <v>3</v>
      </c>
      <c r="D11" s="578">
        <v>0</v>
      </c>
      <c r="E11" s="839"/>
      <c r="F11" s="840"/>
      <c r="G11" s="578">
        <v>0</v>
      </c>
      <c r="H11" s="839"/>
      <c r="I11" s="840"/>
      <c r="J11" s="4">
        <v>0</v>
      </c>
      <c r="K11" s="14">
        <v>0</v>
      </c>
      <c r="L11" s="4">
        <v>0</v>
      </c>
      <c r="M11" s="397">
        <v>0</v>
      </c>
      <c r="N11" s="171"/>
      <c r="O11" s="845"/>
      <c r="P11" s="846"/>
    </row>
    <row r="12" spans="1:23" ht="15.75" customHeight="1">
      <c r="A12" s="783"/>
      <c r="B12" s="837"/>
      <c r="C12" s="170">
        <v>4</v>
      </c>
      <c r="D12" s="578">
        <v>0</v>
      </c>
      <c r="E12" s="839"/>
      <c r="F12" s="840"/>
      <c r="G12" s="578">
        <v>0</v>
      </c>
      <c r="H12" s="839"/>
      <c r="I12" s="840"/>
      <c r="J12" s="4">
        <v>0</v>
      </c>
      <c r="K12" s="14">
        <v>0</v>
      </c>
      <c r="L12" s="4">
        <v>0</v>
      </c>
      <c r="M12" s="397">
        <v>0</v>
      </c>
      <c r="N12" s="171"/>
      <c r="O12" s="845"/>
      <c r="P12" s="846"/>
    </row>
    <row r="13" spans="1:23" ht="15.75" customHeight="1" thickBot="1">
      <c r="A13" s="783"/>
      <c r="B13" s="837"/>
      <c r="C13" s="172">
        <v>5</v>
      </c>
      <c r="D13" s="578">
        <v>0</v>
      </c>
      <c r="E13" s="839"/>
      <c r="F13" s="840"/>
      <c r="G13" s="578">
        <v>0</v>
      </c>
      <c r="H13" s="839"/>
      <c r="I13" s="840"/>
      <c r="J13" s="4">
        <v>0</v>
      </c>
      <c r="K13" s="14">
        <v>0</v>
      </c>
      <c r="L13" s="4">
        <v>0</v>
      </c>
      <c r="M13" s="397">
        <v>0</v>
      </c>
      <c r="N13" s="173"/>
      <c r="O13" s="847"/>
      <c r="P13" s="848"/>
    </row>
    <row r="14" spans="1:23" ht="15.75" customHeight="1" thickTop="1" thickBot="1">
      <c r="A14" s="779"/>
      <c r="B14" s="838"/>
      <c r="C14" s="830"/>
      <c r="D14" s="831"/>
      <c r="E14" s="831"/>
      <c r="F14" s="831"/>
      <c r="G14" s="831"/>
      <c r="H14" s="831"/>
      <c r="I14" s="832"/>
      <c r="J14" s="318" t="s">
        <v>641</v>
      </c>
      <c r="K14" s="244">
        <v>0</v>
      </c>
      <c r="L14" s="318" t="s">
        <v>642</v>
      </c>
      <c r="M14" s="398">
        <v>0</v>
      </c>
      <c r="N14" s="833"/>
      <c r="O14" s="834"/>
      <c r="P14" s="835"/>
    </row>
    <row r="15" spans="1:23" ht="15.75" customHeight="1" thickTop="1">
      <c r="A15" s="119"/>
      <c r="B15" s="174"/>
      <c r="C15" s="160"/>
      <c r="D15" s="119"/>
      <c r="E15" s="119"/>
      <c r="F15" s="119"/>
      <c r="G15" s="119"/>
      <c r="H15" s="119"/>
      <c r="I15" s="119"/>
      <c r="J15" s="119"/>
      <c r="K15" s="119"/>
      <c r="L15" s="119"/>
      <c r="M15" s="119"/>
      <c r="N15" s="119"/>
      <c r="O15" s="119"/>
      <c r="P15" s="119"/>
    </row>
    <row r="16" spans="1:23" ht="15.75" customHeight="1">
      <c r="A16" s="849" t="s">
        <v>635</v>
      </c>
      <c r="B16" s="850"/>
      <c r="C16" s="568" t="s">
        <v>536</v>
      </c>
      <c r="D16" s="851" t="s">
        <v>12</v>
      </c>
      <c r="E16" s="852"/>
      <c r="F16" s="853"/>
      <c r="G16" s="566" t="s">
        <v>636</v>
      </c>
      <c r="H16" s="567"/>
      <c r="I16" s="568"/>
      <c r="J16" s="169" t="s">
        <v>637</v>
      </c>
      <c r="K16" s="319" t="s">
        <v>644</v>
      </c>
      <c r="L16" s="169" t="s">
        <v>639</v>
      </c>
      <c r="M16" s="169" t="s">
        <v>11</v>
      </c>
      <c r="N16" s="319" t="s">
        <v>13</v>
      </c>
      <c r="O16" s="854" t="s">
        <v>50</v>
      </c>
      <c r="P16" s="855"/>
    </row>
    <row r="17" spans="1:16" ht="15.75" customHeight="1">
      <c r="A17" s="778">
        <v>2</v>
      </c>
      <c r="B17" s="836" t="s">
        <v>645</v>
      </c>
      <c r="C17" s="170">
        <v>1</v>
      </c>
      <c r="D17" s="578" t="s">
        <v>343</v>
      </c>
      <c r="E17" s="839"/>
      <c r="F17" s="840"/>
      <c r="G17" s="578" t="s">
        <v>776</v>
      </c>
      <c r="H17" s="839"/>
      <c r="I17" s="840"/>
      <c r="J17" s="4">
        <v>418.41</v>
      </c>
      <c r="K17" s="14">
        <v>7.4462768615692163E-2</v>
      </c>
      <c r="L17" s="4">
        <v>0.89400000000000013</v>
      </c>
      <c r="M17" s="397">
        <v>374.05854000000005</v>
      </c>
      <c r="N17" s="171"/>
      <c r="O17" s="845" t="s">
        <v>627</v>
      </c>
      <c r="P17" s="846"/>
    </row>
    <row r="18" spans="1:16" ht="15.75" customHeight="1">
      <c r="A18" s="783"/>
      <c r="B18" s="837"/>
      <c r="C18" s="170">
        <v>2</v>
      </c>
      <c r="D18" s="578" t="s">
        <v>628</v>
      </c>
      <c r="E18" s="839"/>
      <c r="F18" s="840"/>
      <c r="G18" s="578" t="s">
        <v>631</v>
      </c>
      <c r="H18" s="839"/>
      <c r="I18" s="840"/>
      <c r="J18" s="4">
        <v>304.76</v>
      </c>
      <c r="K18" s="14">
        <v>6.5697091273821465E-2</v>
      </c>
      <c r="L18" s="4">
        <v>1.048</v>
      </c>
      <c r="M18" s="397">
        <v>319.38848000000002</v>
      </c>
      <c r="N18" s="171"/>
      <c r="O18" s="845" t="s">
        <v>627</v>
      </c>
      <c r="P18" s="846"/>
    </row>
    <row r="19" spans="1:16" ht="15.75" customHeight="1">
      <c r="A19" s="783"/>
      <c r="B19" s="837"/>
      <c r="C19" s="170">
        <v>3</v>
      </c>
      <c r="D19" s="578" t="s">
        <v>628</v>
      </c>
      <c r="E19" s="839"/>
      <c r="F19" s="840"/>
      <c r="G19" s="578" t="s">
        <v>712</v>
      </c>
      <c r="H19" s="839"/>
      <c r="I19" s="840"/>
      <c r="J19" s="4">
        <v>304.58999999999997</v>
      </c>
      <c r="K19" s="14">
        <v>8.6593112671347339E-2</v>
      </c>
      <c r="L19" s="4">
        <v>1.0359999999999996</v>
      </c>
      <c r="M19" s="397">
        <v>315.55523999999986</v>
      </c>
      <c r="N19" s="171"/>
      <c r="O19" s="845" t="s">
        <v>627</v>
      </c>
      <c r="P19" s="846"/>
    </row>
    <row r="20" spans="1:16" ht="15.75" customHeight="1">
      <c r="A20" s="783"/>
      <c r="B20" s="837"/>
      <c r="C20" s="170">
        <v>4</v>
      </c>
      <c r="D20" s="578">
        <v>0</v>
      </c>
      <c r="E20" s="839"/>
      <c r="F20" s="840"/>
      <c r="G20" s="578">
        <v>0</v>
      </c>
      <c r="H20" s="839"/>
      <c r="I20" s="840"/>
      <c r="J20" s="4">
        <v>0</v>
      </c>
      <c r="K20" s="14">
        <v>0</v>
      </c>
      <c r="L20" s="4">
        <v>0</v>
      </c>
      <c r="M20" s="397">
        <v>0</v>
      </c>
      <c r="N20" s="171"/>
      <c r="O20" s="845"/>
      <c r="P20" s="846"/>
    </row>
    <row r="21" spans="1:16" ht="15.75" customHeight="1" thickBot="1">
      <c r="A21" s="783"/>
      <c r="B21" s="837"/>
      <c r="C21" s="172">
        <v>5</v>
      </c>
      <c r="D21" s="578">
        <v>0</v>
      </c>
      <c r="E21" s="839"/>
      <c r="F21" s="840"/>
      <c r="G21" s="578">
        <v>0</v>
      </c>
      <c r="H21" s="839"/>
      <c r="I21" s="840"/>
      <c r="J21" s="4">
        <v>0</v>
      </c>
      <c r="K21" s="14">
        <v>0</v>
      </c>
      <c r="L21" s="4">
        <v>0</v>
      </c>
      <c r="M21" s="397">
        <v>0</v>
      </c>
      <c r="N21" s="173"/>
      <c r="O21" s="845"/>
      <c r="P21" s="846"/>
    </row>
    <row r="22" spans="1:16" ht="15.75" customHeight="1" thickTop="1" thickBot="1">
      <c r="A22" s="779"/>
      <c r="B22" s="838"/>
      <c r="C22" s="841"/>
      <c r="D22" s="842"/>
      <c r="E22" s="842"/>
      <c r="F22" s="842"/>
      <c r="G22" s="842"/>
      <c r="H22" s="842"/>
      <c r="I22" s="843"/>
      <c r="J22" s="318" t="s">
        <v>641</v>
      </c>
      <c r="K22" s="244">
        <v>4.4248744636164712E-3</v>
      </c>
      <c r="L22" s="318" t="s">
        <v>642</v>
      </c>
      <c r="M22" s="398">
        <v>1009.00226</v>
      </c>
      <c r="N22" s="833"/>
      <c r="O22" s="834"/>
      <c r="P22" s="835"/>
    </row>
    <row r="23" spans="1:16" ht="15.75" customHeight="1" thickTop="1">
      <c r="A23" s="119"/>
      <c r="B23" s="174"/>
      <c r="C23" s="160"/>
      <c r="D23" s="119"/>
      <c r="E23" s="119"/>
      <c r="F23" s="119"/>
      <c r="G23" s="119"/>
      <c r="H23" s="119"/>
      <c r="I23" s="119"/>
      <c r="J23" s="119"/>
      <c r="K23" s="119"/>
      <c r="L23" s="119"/>
      <c r="M23" s="119"/>
      <c r="N23" s="119"/>
      <c r="O23" s="119"/>
      <c r="P23" s="119"/>
    </row>
    <row r="24" spans="1:16" ht="15.75" customHeight="1">
      <c r="A24" s="849" t="s">
        <v>635</v>
      </c>
      <c r="B24" s="850"/>
      <c r="C24" s="568" t="s">
        <v>536</v>
      </c>
      <c r="D24" s="851" t="s">
        <v>12</v>
      </c>
      <c r="E24" s="852"/>
      <c r="F24" s="853"/>
      <c r="G24" s="566" t="s">
        <v>636</v>
      </c>
      <c r="H24" s="567"/>
      <c r="I24" s="568"/>
      <c r="J24" s="169" t="s">
        <v>637</v>
      </c>
      <c r="K24" s="319" t="s">
        <v>644</v>
      </c>
      <c r="L24" s="169" t="s">
        <v>639</v>
      </c>
      <c r="M24" s="169" t="s">
        <v>11</v>
      </c>
      <c r="N24" s="319" t="s">
        <v>13</v>
      </c>
      <c r="O24" s="854" t="s">
        <v>50</v>
      </c>
      <c r="P24" s="855"/>
    </row>
    <row r="25" spans="1:16" ht="15.75" customHeight="1">
      <c r="A25" s="778">
        <v>3</v>
      </c>
      <c r="B25" s="836" t="s">
        <v>365</v>
      </c>
      <c r="C25" s="170">
        <v>1</v>
      </c>
      <c r="D25" s="578" t="s">
        <v>343</v>
      </c>
      <c r="E25" s="839"/>
      <c r="F25" s="840"/>
      <c r="G25" s="578" t="s">
        <v>777</v>
      </c>
      <c r="H25" s="839"/>
      <c r="I25" s="840"/>
      <c r="J25" s="4">
        <v>354.37</v>
      </c>
      <c r="K25" s="14">
        <v>5.6290036799781965E-2</v>
      </c>
      <c r="L25" s="4">
        <v>0.82600000000000051</v>
      </c>
      <c r="M25" s="397">
        <v>292.7096200000002</v>
      </c>
      <c r="N25" s="171"/>
      <c r="O25" s="845" t="s">
        <v>730</v>
      </c>
      <c r="P25" s="846"/>
    </row>
    <row r="26" spans="1:16" ht="15.75" customHeight="1">
      <c r="A26" s="783"/>
      <c r="B26" s="837"/>
      <c r="C26" s="170">
        <v>2</v>
      </c>
      <c r="D26" s="578" t="s">
        <v>587</v>
      </c>
      <c r="E26" s="839"/>
      <c r="F26" s="840"/>
      <c r="G26" s="578" t="s">
        <v>736</v>
      </c>
      <c r="H26" s="839"/>
      <c r="I26" s="840"/>
      <c r="J26" s="4">
        <v>143.99</v>
      </c>
      <c r="K26" s="14">
        <v>3.1015678254942062E-2</v>
      </c>
      <c r="L26" s="4">
        <v>1.8200000000000003</v>
      </c>
      <c r="M26" s="397">
        <v>262.06180000000006</v>
      </c>
      <c r="N26" s="171"/>
      <c r="O26" s="845" t="s">
        <v>513</v>
      </c>
      <c r="P26" s="846"/>
    </row>
    <row r="27" spans="1:16" ht="15.75" customHeight="1">
      <c r="A27" s="783"/>
      <c r="B27" s="837"/>
      <c r="C27" s="170">
        <v>3</v>
      </c>
      <c r="D27" s="578" t="s">
        <v>766</v>
      </c>
      <c r="E27" s="839"/>
      <c r="F27" s="840"/>
      <c r="G27" s="578" t="s">
        <v>767</v>
      </c>
      <c r="H27" s="839"/>
      <c r="I27" s="840"/>
      <c r="J27" s="4">
        <v>158.13</v>
      </c>
      <c r="K27" s="14">
        <v>2.0172960012149493E-2</v>
      </c>
      <c r="L27" s="4">
        <v>1.6129088448114004</v>
      </c>
      <c r="M27" s="397">
        <v>255.04927563002673</v>
      </c>
      <c r="N27" s="171"/>
      <c r="O27" s="845" t="s">
        <v>513</v>
      </c>
      <c r="P27" s="846"/>
    </row>
    <row r="28" spans="1:16" ht="15.75" customHeight="1">
      <c r="A28" s="783"/>
      <c r="B28" s="837"/>
      <c r="C28" s="170">
        <v>4</v>
      </c>
      <c r="D28" s="578" t="s">
        <v>350</v>
      </c>
      <c r="E28" s="839"/>
      <c r="F28" s="840"/>
      <c r="G28" s="578" t="s">
        <v>705</v>
      </c>
      <c r="H28" s="839"/>
      <c r="I28" s="840"/>
      <c r="J28" s="4">
        <v>160.9</v>
      </c>
      <c r="K28" s="14">
        <v>3.6885150406598746E-2</v>
      </c>
      <c r="L28" s="4">
        <v>1.5829999999999984</v>
      </c>
      <c r="M28" s="397">
        <v>254.70469999999975</v>
      </c>
      <c r="N28" s="171"/>
      <c r="O28" s="845" t="s">
        <v>513</v>
      </c>
      <c r="P28" s="846"/>
    </row>
    <row r="29" spans="1:16" ht="15.75" customHeight="1" thickBot="1">
      <c r="A29" s="783"/>
      <c r="B29" s="837"/>
      <c r="C29" s="172">
        <v>5</v>
      </c>
      <c r="D29" s="578" t="s">
        <v>572</v>
      </c>
      <c r="E29" s="839"/>
      <c r="F29" s="840"/>
      <c r="G29" s="578" t="s">
        <v>734</v>
      </c>
      <c r="H29" s="839"/>
      <c r="I29" s="840"/>
      <c r="J29" s="4">
        <v>96.32</v>
      </c>
      <c r="K29" s="14">
        <v>4.2112541569260149E-2</v>
      </c>
      <c r="L29" s="4">
        <v>2.5579999999999998</v>
      </c>
      <c r="M29" s="397">
        <v>246.38655999999997</v>
      </c>
      <c r="N29" s="173"/>
      <c r="O29" s="847" t="s">
        <v>513</v>
      </c>
      <c r="P29" s="848"/>
    </row>
    <row r="30" spans="1:16" ht="15.75" customHeight="1" thickTop="1" thickBot="1">
      <c r="A30" s="779"/>
      <c r="B30" s="838"/>
      <c r="C30" s="830"/>
      <c r="D30" s="831"/>
      <c r="E30" s="831"/>
      <c r="F30" s="831"/>
      <c r="G30" s="831"/>
      <c r="H30" s="831"/>
      <c r="I30" s="832"/>
      <c r="J30" s="318" t="s">
        <v>641</v>
      </c>
      <c r="K30" s="244">
        <v>5.748868031788981E-3</v>
      </c>
      <c r="L30" s="318" t="s">
        <v>642</v>
      </c>
      <c r="M30" s="398">
        <v>1310.9119556300266</v>
      </c>
      <c r="N30" s="833"/>
      <c r="O30" s="834"/>
      <c r="P30" s="835"/>
    </row>
    <row r="31" spans="1:16" ht="15.75" customHeight="1" thickTop="1"/>
  </sheetData>
  <mergeCells count="85"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  <mergeCell ref="A8:B8"/>
    <mergeCell ref="D8:F8"/>
    <mergeCell ref="O8:P8"/>
    <mergeCell ref="A9:A14"/>
    <mergeCell ref="B9:B14"/>
    <mergeCell ref="D9:F9"/>
    <mergeCell ref="G9:I9"/>
    <mergeCell ref="O9:P9"/>
    <mergeCell ref="D10:F10"/>
    <mergeCell ref="G10:I10"/>
    <mergeCell ref="D13:F13"/>
    <mergeCell ref="G13:I13"/>
    <mergeCell ref="O13:P13"/>
    <mergeCell ref="C14:I14"/>
    <mergeCell ref="N14:P14"/>
    <mergeCell ref="O10:P10"/>
    <mergeCell ref="D11:F11"/>
    <mergeCell ref="G11:I11"/>
    <mergeCell ref="O11:P11"/>
    <mergeCell ref="D12:F12"/>
    <mergeCell ref="G12:I12"/>
    <mergeCell ref="O12:P12"/>
    <mergeCell ref="G21:I21"/>
    <mergeCell ref="O21:P21"/>
    <mergeCell ref="D19:F19"/>
    <mergeCell ref="G19:I19"/>
    <mergeCell ref="G20:I20"/>
    <mergeCell ref="O20:P20"/>
    <mergeCell ref="D21:F21"/>
    <mergeCell ref="O17:P17"/>
    <mergeCell ref="O18:P18"/>
    <mergeCell ref="O19:P19"/>
    <mergeCell ref="D29:F29"/>
    <mergeCell ref="G29:I29"/>
    <mergeCell ref="O29:P29"/>
    <mergeCell ref="D28:F28"/>
    <mergeCell ref="G28:I28"/>
    <mergeCell ref="O28:P28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D20:F20"/>
    <mergeCell ref="C22:I22"/>
    <mergeCell ref="N22:P22"/>
    <mergeCell ref="A24:B24"/>
    <mergeCell ref="D24:F24"/>
    <mergeCell ref="O24:P24"/>
    <mergeCell ref="A25:A30"/>
    <mergeCell ref="B25:B30"/>
    <mergeCell ref="D25:F25"/>
    <mergeCell ref="G25:I25"/>
    <mergeCell ref="O25:P25"/>
    <mergeCell ref="D26:F26"/>
    <mergeCell ref="G26:I26"/>
    <mergeCell ref="O26:P26"/>
    <mergeCell ref="D27:F27"/>
    <mergeCell ref="G27:I27"/>
    <mergeCell ref="O27:P27"/>
    <mergeCell ref="C30:I30"/>
    <mergeCell ref="N30:P30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W39"/>
  <sheetViews>
    <sheetView view="pageBreakPreview" zoomScaleNormal="60" zoomScaleSheetLayoutView="100" workbookViewId="0">
      <selection activeCell="A8" sqref="A8:P38"/>
    </sheetView>
  </sheetViews>
  <sheetFormatPr defaultColWidth="12.5703125" defaultRowHeight="15.75" customHeight="1"/>
  <cols>
    <col min="1" max="1" width="5.42578125" style="324" customWidth="1"/>
    <col min="2" max="2" width="11.42578125" style="325" customWidth="1"/>
    <col min="3" max="3" width="4" style="326" customWidth="1"/>
    <col min="4" max="17" width="9.5703125" style="324" customWidth="1"/>
    <col min="18" max="16384" width="12.5703125" style="324"/>
  </cols>
  <sheetData>
    <row r="1" spans="1:23" s="182" customFormat="1" ht="15.75" customHeight="1">
      <c r="A1" s="799" t="s">
        <v>495</v>
      </c>
      <c r="B1" s="799"/>
      <c r="C1" s="799"/>
      <c r="D1" s="799"/>
      <c r="E1" s="799"/>
      <c r="F1" s="799"/>
      <c r="G1" s="799"/>
      <c r="H1" s="799"/>
      <c r="I1" s="799"/>
      <c r="J1" s="799"/>
      <c r="K1" s="799"/>
      <c r="L1" s="799"/>
      <c r="M1" s="799"/>
      <c r="N1" s="799"/>
      <c r="O1" s="799"/>
      <c r="P1" s="799"/>
      <c r="Q1" s="799"/>
    </row>
    <row r="2" spans="1:23" s="183" customFormat="1" ht="15.75" customHeight="1">
      <c r="A2" s="799"/>
      <c r="B2" s="799"/>
      <c r="C2" s="799"/>
      <c r="D2" s="799"/>
      <c r="E2" s="799"/>
      <c r="F2" s="799"/>
      <c r="G2" s="799"/>
      <c r="H2" s="799"/>
      <c r="I2" s="799"/>
      <c r="J2" s="799"/>
      <c r="K2" s="799"/>
      <c r="L2" s="799"/>
      <c r="M2" s="799"/>
      <c r="N2" s="799"/>
      <c r="O2" s="799"/>
      <c r="P2" s="799"/>
      <c r="Q2" s="799"/>
    </row>
    <row r="3" spans="1:23" s="182" customFormat="1" ht="15.75" customHeight="1">
      <c r="A3" s="800" t="s">
        <v>496</v>
      </c>
      <c r="B3" s="800"/>
      <c r="C3" s="800"/>
      <c r="D3" s="800"/>
      <c r="E3" s="800"/>
      <c r="F3" s="800"/>
      <c r="G3" s="800"/>
      <c r="H3" s="800"/>
      <c r="I3" s="800"/>
      <c r="J3" s="800"/>
      <c r="K3" s="800"/>
      <c r="L3" s="800"/>
      <c r="M3" s="800"/>
      <c r="N3" s="184"/>
    </row>
    <row r="4" spans="1:23" s="183" customFormat="1" ht="15.75" customHeight="1">
      <c r="A4" s="800"/>
      <c r="B4" s="800"/>
      <c r="C4" s="800"/>
      <c r="D4" s="800"/>
      <c r="E4" s="800"/>
      <c r="F4" s="800"/>
      <c r="G4" s="800"/>
      <c r="H4" s="800"/>
      <c r="I4" s="800"/>
      <c r="J4" s="800"/>
      <c r="K4" s="800"/>
      <c r="L4" s="800"/>
      <c r="M4" s="800"/>
      <c r="N4" s="185"/>
    </row>
    <row r="5" spans="1:23" s="182" customFormat="1" ht="15.75" customHeight="1">
      <c r="A5" s="802" t="s">
        <v>494</v>
      </c>
      <c r="B5" s="805">
        <v>1</v>
      </c>
      <c r="C5" s="805"/>
      <c r="D5" s="805">
        <v>2</v>
      </c>
      <c r="E5" s="805"/>
      <c r="F5" s="805">
        <v>3</v>
      </c>
      <c r="G5" s="805"/>
      <c r="H5" s="886">
        <v>4</v>
      </c>
      <c r="I5" s="886"/>
      <c r="J5" s="886">
        <v>5</v>
      </c>
      <c r="K5" s="886"/>
      <c r="L5" s="886">
        <v>6</v>
      </c>
      <c r="M5" s="886"/>
      <c r="N5" s="886">
        <v>7</v>
      </c>
      <c r="O5" s="886"/>
      <c r="P5" s="805">
        <v>8</v>
      </c>
      <c r="Q5" s="805"/>
    </row>
    <row r="6" spans="1:23" s="182" customFormat="1" ht="15.75" customHeight="1">
      <c r="A6" s="802"/>
      <c r="B6" s="802" t="s">
        <v>497</v>
      </c>
      <c r="C6" s="802"/>
      <c r="D6" s="802" t="s">
        <v>498</v>
      </c>
      <c r="E6" s="802"/>
      <c r="F6" s="802" t="s">
        <v>499</v>
      </c>
      <c r="G6" s="802"/>
      <c r="H6" s="888" t="s">
        <v>500</v>
      </c>
      <c r="I6" s="887"/>
      <c r="J6" s="887" t="s">
        <v>501</v>
      </c>
      <c r="K6" s="887"/>
      <c r="L6" s="887" t="s">
        <v>502</v>
      </c>
      <c r="M6" s="887"/>
      <c r="N6" s="887" t="s">
        <v>503</v>
      </c>
      <c r="O6" s="887"/>
      <c r="P6" s="885" t="s">
        <v>504</v>
      </c>
      <c r="Q6" s="802"/>
    </row>
    <row r="7" spans="1:23" s="182" customFormat="1" ht="15.75" customHeight="1">
      <c r="B7" s="321"/>
      <c r="C7" s="322"/>
    </row>
    <row r="8" spans="1:23" s="323" customFormat="1" ht="15.75" customHeight="1">
      <c r="A8" s="868" t="s">
        <v>635</v>
      </c>
      <c r="B8" s="869"/>
      <c r="C8" s="116" t="s">
        <v>536</v>
      </c>
      <c r="D8" s="870" t="s">
        <v>12</v>
      </c>
      <c r="E8" s="871"/>
      <c r="F8" s="872"/>
      <c r="G8" s="114" t="s">
        <v>636</v>
      </c>
      <c r="H8" s="115"/>
      <c r="I8" s="116"/>
      <c r="J8" s="113" t="s">
        <v>637</v>
      </c>
      <c r="K8" s="113" t="s">
        <v>644</v>
      </c>
      <c r="L8" s="113" t="s">
        <v>639</v>
      </c>
      <c r="M8" s="117" t="s">
        <v>11</v>
      </c>
      <c r="N8" s="319" t="s">
        <v>13</v>
      </c>
      <c r="O8" s="873" t="s">
        <v>50</v>
      </c>
      <c r="P8" s="874"/>
      <c r="R8" s="182"/>
      <c r="S8" s="182"/>
      <c r="T8" s="182"/>
      <c r="U8" s="182"/>
      <c r="V8" s="182"/>
      <c r="W8" s="182"/>
    </row>
    <row r="9" spans="1:23" ht="15.75" customHeight="1">
      <c r="A9" s="869">
        <v>4</v>
      </c>
      <c r="B9" s="876" t="s">
        <v>492</v>
      </c>
      <c r="C9" s="111">
        <v>1</v>
      </c>
      <c r="D9" s="578" t="s">
        <v>350</v>
      </c>
      <c r="E9" s="839"/>
      <c r="F9" s="840"/>
      <c r="G9" s="578" t="s">
        <v>612</v>
      </c>
      <c r="H9" s="839"/>
      <c r="I9" s="840"/>
      <c r="J9" s="4">
        <v>371.13</v>
      </c>
      <c r="K9" s="14">
        <v>6.3141278610890101E-3</v>
      </c>
      <c r="L9" s="4">
        <v>0.8639999999999759</v>
      </c>
      <c r="M9" s="397">
        <v>320.65631999999107</v>
      </c>
      <c r="N9" s="4"/>
      <c r="O9" s="845" t="s">
        <v>443</v>
      </c>
      <c r="P9" s="882"/>
      <c r="R9" s="182"/>
      <c r="S9" s="182"/>
      <c r="T9" s="182"/>
      <c r="U9" s="182"/>
      <c r="V9" s="182"/>
      <c r="W9" s="182"/>
    </row>
    <row r="10" spans="1:23" ht="15.75" customHeight="1">
      <c r="A10" s="869"/>
      <c r="B10" s="876"/>
      <c r="C10" s="111">
        <v>2</v>
      </c>
      <c r="D10" s="578" t="s">
        <v>330</v>
      </c>
      <c r="E10" s="839"/>
      <c r="F10" s="840"/>
      <c r="G10" s="578" t="s">
        <v>711</v>
      </c>
      <c r="H10" s="839"/>
      <c r="I10" s="840"/>
      <c r="J10" s="4">
        <v>111.17</v>
      </c>
      <c r="K10" s="14">
        <v>6.0730402284734355E-3</v>
      </c>
      <c r="L10" s="4">
        <v>2.5219999999999914</v>
      </c>
      <c r="M10" s="397">
        <v>280.37073999999905</v>
      </c>
      <c r="N10" s="4"/>
      <c r="O10" s="845" t="s">
        <v>443</v>
      </c>
      <c r="P10" s="882"/>
      <c r="R10" s="182"/>
      <c r="S10" s="182"/>
      <c r="T10" s="182"/>
      <c r="U10" s="182"/>
      <c r="V10" s="182"/>
      <c r="W10" s="182"/>
    </row>
    <row r="11" spans="1:23" ht="15.75" customHeight="1">
      <c r="A11" s="869"/>
      <c r="B11" s="876"/>
      <c r="C11" s="111">
        <v>3</v>
      </c>
      <c r="D11" s="578" t="s">
        <v>700</v>
      </c>
      <c r="E11" s="839"/>
      <c r="F11" s="840"/>
      <c r="G11" s="578" t="s">
        <v>737</v>
      </c>
      <c r="H11" s="839"/>
      <c r="I11" s="840"/>
      <c r="J11" s="4">
        <v>70.62</v>
      </c>
      <c r="K11" s="14">
        <v>1.9603880355699394E-2</v>
      </c>
      <c r="L11" s="4">
        <v>3.8800000000000239</v>
      </c>
      <c r="M11" s="397">
        <v>274.00560000000172</v>
      </c>
      <c r="N11" s="4"/>
      <c r="O11" s="845" t="s">
        <v>443</v>
      </c>
      <c r="P11" s="882"/>
      <c r="R11" s="182"/>
      <c r="S11" s="182"/>
      <c r="T11" s="182"/>
      <c r="U11" s="182"/>
      <c r="V11" s="182"/>
      <c r="W11" s="182"/>
    </row>
    <row r="12" spans="1:23" ht="15.75" customHeight="1">
      <c r="A12" s="869"/>
      <c r="B12" s="876"/>
      <c r="C12" s="111">
        <v>4</v>
      </c>
      <c r="D12" s="578" t="s">
        <v>714</v>
      </c>
      <c r="E12" s="839"/>
      <c r="F12" s="840"/>
      <c r="G12" s="578" t="s">
        <v>778</v>
      </c>
      <c r="H12" s="839"/>
      <c r="I12" s="840"/>
      <c r="J12" s="4">
        <v>94</v>
      </c>
      <c r="K12" s="14">
        <v>1.4811031664964133E-2</v>
      </c>
      <c r="L12" s="4">
        <v>2.8999999999999773</v>
      </c>
      <c r="M12" s="397">
        <v>272.59999999999786</v>
      </c>
      <c r="N12" s="4"/>
      <c r="O12" s="845" t="s">
        <v>443</v>
      </c>
      <c r="P12" s="882"/>
      <c r="R12" s="182"/>
      <c r="S12" s="182"/>
      <c r="T12" s="182"/>
      <c r="U12" s="182"/>
      <c r="V12" s="182"/>
      <c r="W12" s="182"/>
    </row>
    <row r="13" spans="1:23" ht="15.75" customHeight="1" thickBot="1">
      <c r="A13" s="869"/>
      <c r="B13" s="876"/>
      <c r="C13" s="112">
        <v>5</v>
      </c>
      <c r="D13" s="578" t="s">
        <v>750</v>
      </c>
      <c r="E13" s="839"/>
      <c r="F13" s="840"/>
      <c r="G13" s="578" t="s">
        <v>749</v>
      </c>
      <c r="H13" s="839"/>
      <c r="I13" s="840"/>
      <c r="J13" s="4">
        <v>362.63</v>
      </c>
      <c r="K13" s="14">
        <v>1.7172979710800104E-2</v>
      </c>
      <c r="L13" s="4">
        <v>0.73349230940769417</v>
      </c>
      <c r="M13" s="397">
        <v>265.9863161605121</v>
      </c>
      <c r="N13" s="4"/>
      <c r="O13" s="845" t="s">
        <v>443</v>
      </c>
      <c r="P13" s="882"/>
      <c r="R13" s="182"/>
      <c r="S13" s="182"/>
      <c r="T13" s="182"/>
      <c r="U13" s="182"/>
      <c r="V13" s="182"/>
      <c r="W13" s="182"/>
    </row>
    <row r="14" spans="1:23" ht="15.75" customHeight="1" thickTop="1" thickBot="1">
      <c r="A14" s="869"/>
      <c r="B14" s="876"/>
      <c r="C14" s="884"/>
      <c r="D14" s="884"/>
      <c r="E14" s="884"/>
      <c r="F14" s="884"/>
      <c r="G14" s="884"/>
      <c r="H14" s="884"/>
      <c r="I14" s="884"/>
      <c r="J14" s="245" t="s">
        <v>641</v>
      </c>
      <c r="K14" s="244">
        <v>6.1992789876370216E-3</v>
      </c>
      <c r="L14" s="245" t="s">
        <v>642</v>
      </c>
      <c r="M14" s="398">
        <v>1413.6189761605019</v>
      </c>
      <c r="N14" s="883"/>
      <c r="O14" s="883"/>
      <c r="P14" s="883"/>
      <c r="R14" s="182"/>
      <c r="S14" s="182"/>
      <c r="T14" s="182"/>
      <c r="U14" s="182"/>
      <c r="V14" s="182"/>
      <c r="W14" s="182"/>
    </row>
    <row r="15" spans="1:23" ht="15.75" customHeight="1" thickTop="1">
      <c r="A15" s="563"/>
      <c r="B15" s="110"/>
      <c r="C15" s="108"/>
      <c r="D15" s="563"/>
      <c r="E15" s="563"/>
      <c r="F15" s="563"/>
      <c r="G15" s="563"/>
      <c r="H15" s="563"/>
      <c r="I15" s="563"/>
      <c r="J15" s="563"/>
      <c r="K15" s="563"/>
      <c r="L15" s="563"/>
      <c r="M15" s="563"/>
      <c r="N15" s="563"/>
      <c r="O15" s="563"/>
      <c r="P15" s="563"/>
      <c r="R15" s="182"/>
      <c r="S15" s="182"/>
      <c r="T15" s="182"/>
      <c r="U15" s="182"/>
      <c r="V15" s="182"/>
      <c r="W15" s="182"/>
    </row>
    <row r="16" spans="1:23" ht="15.75" customHeight="1">
      <c r="A16" s="868" t="s">
        <v>635</v>
      </c>
      <c r="B16" s="869"/>
      <c r="C16" s="116" t="s">
        <v>536</v>
      </c>
      <c r="D16" s="870" t="s">
        <v>12</v>
      </c>
      <c r="E16" s="871"/>
      <c r="F16" s="872"/>
      <c r="G16" s="114" t="s">
        <v>636</v>
      </c>
      <c r="H16" s="115"/>
      <c r="I16" s="116"/>
      <c r="J16" s="113" t="s">
        <v>637</v>
      </c>
      <c r="K16" s="113" t="s">
        <v>644</v>
      </c>
      <c r="L16" s="113" t="s">
        <v>639</v>
      </c>
      <c r="M16" s="117" t="s">
        <v>11</v>
      </c>
      <c r="N16" s="319" t="s">
        <v>13</v>
      </c>
      <c r="O16" s="873" t="s">
        <v>50</v>
      </c>
      <c r="P16" s="874"/>
      <c r="R16" s="182"/>
      <c r="S16" s="182"/>
      <c r="T16" s="182"/>
      <c r="U16" s="182"/>
      <c r="V16" s="182"/>
      <c r="W16" s="182"/>
    </row>
    <row r="17" spans="1:23" ht="15.75" customHeight="1">
      <c r="A17" s="869">
        <v>5</v>
      </c>
      <c r="B17" s="875" t="s">
        <v>193</v>
      </c>
      <c r="C17" s="111">
        <v>1</v>
      </c>
      <c r="D17" s="578" t="s">
        <v>332</v>
      </c>
      <c r="E17" s="839"/>
      <c r="F17" s="840"/>
      <c r="G17" s="578" t="s">
        <v>739</v>
      </c>
      <c r="H17" s="839"/>
      <c r="I17" s="840"/>
      <c r="J17" s="4">
        <v>581.91999999999996</v>
      </c>
      <c r="K17" s="14">
        <v>4.032009849184371E-2</v>
      </c>
      <c r="L17" s="4">
        <v>0.65500000000000114</v>
      </c>
      <c r="M17" s="397">
        <v>381.15760000000063</v>
      </c>
      <c r="N17" s="4"/>
      <c r="O17" s="845" t="s">
        <v>505</v>
      </c>
      <c r="P17" s="846"/>
      <c r="R17" s="182"/>
      <c r="S17" s="182"/>
      <c r="T17" s="182"/>
      <c r="U17" s="182"/>
      <c r="V17" s="182"/>
      <c r="W17" s="182"/>
    </row>
    <row r="18" spans="1:23" ht="15.75" customHeight="1">
      <c r="A18" s="869"/>
      <c r="B18" s="876"/>
      <c r="C18" s="111">
        <v>2</v>
      </c>
      <c r="D18" s="578" t="s">
        <v>348</v>
      </c>
      <c r="E18" s="839"/>
      <c r="F18" s="840"/>
      <c r="G18" s="578" t="s">
        <v>775</v>
      </c>
      <c r="H18" s="839"/>
      <c r="I18" s="840"/>
      <c r="J18" s="4">
        <v>420.33</v>
      </c>
      <c r="K18" s="14">
        <v>2.0908772339679853E-2</v>
      </c>
      <c r="L18" s="4">
        <v>0.89499999999999602</v>
      </c>
      <c r="M18" s="397">
        <v>376.19534999999831</v>
      </c>
      <c r="N18" s="4"/>
      <c r="O18" s="845" t="s">
        <v>505</v>
      </c>
      <c r="P18" s="846"/>
      <c r="R18" s="182"/>
      <c r="S18" s="182"/>
      <c r="T18" s="182"/>
      <c r="U18" s="182"/>
      <c r="V18" s="182"/>
      <c r="W18" s="182"/>
    </row>
    <row r="19" spans="1:23" ht="15.75" customHeight="1">
      <c r="A19" s="869"/>
      <c r="B19" s="876"/>
      <c r="C19" s="111">
        <v>3</v>
      </c>
      <c r="D19" s="578" t="s">
        <v>578</v>
      </c>
      <c r="E19" s="839"/>
      <c r="F19" s="840"/>
      <c r="G19" s="578" t="s">
        <v>579</v>
      </c>
      <c r="H19" s="839"/>
      <c r="I19" s="840"/>
      <c r="J19" s="4">
        <v>447.3</v>
      </c>
      <c r="K19" s="14">
        <v>6.2197802356957739E-3</v>
      </c>
      <c r="L19" s="4">
        <v>0.67049230940800442</v>
      </c>
      <c r="M19" s="397">
        <v>299.91120999820038</v>
      </c>
      <c r="N19" s="4"/>
      <c r="O19" s="845" t="s">
        <v>505</v>
      </c>
      <c r="P19" s="846"/>
      <c r="R19" s="182"/>
      <c r="S19" s="182"/>
      <c r="T19" s="182"/>
      <c r="U19" s="182"/>
      <c r="V19" s="182"/>
      <c r="W19" s="182"/>
    </row>
    <row r="20" spans="1:23" ht="15.75" customHeight="1">
      <c r="A20" s="869"/>
      <c r="B20" s="876"/>
      <c r="C20" s="111">
        <v>4</v>
      </c>
      <c r="D20" s="578" t="s">
        <v>601</v>
      </c>
      <c r="E20" s="839"/>
      <c r="F20" s="840"/>
      <c r="G20" s="578" t="s">
        <v>779</v>
      </c>
      <c r="H20" s="839"/>
      <c r="I20" s="840"/>
      <c r="J20" s="4">
        <v>221.28</v>
      </c>
      <c r="K20" s="14">
        <v>2.6429432061526058E-2</v>
      </c>
      <c r="L20" s="4">
        <v>1.3283432554122996</v>
      </c>
      <c r="M20" s="397">
        <v>293.93579555763364</v>
      </c>
      <c r="N20" s="4"/>
      <c r="O20" s="845" t="s">
        <v>505</v>
      </c>
      <c r="P20" s="846"/>
      <c r="R20" s="182"/>
      <c r="S20" s="182"/>
      <c r="T20" s="182"/>
      <c r="U20" s="182"/>
      <c r="V20" s="182"/>
      <c r="W20" s="182"/>
    </row>
    <row r="21" spans="1:23" ht="15.75" customHeight="1" thickBot="1">
      <c r="A21" s="869"/>
      <c r="B21" s="876"/>
      <c r="C21" s="112">
        <v>5</v>
      </c>
      <c r="D21" s="578" t="s">
        <v>752</v>
      </c>
      <c r="E21" s="839"/>
      <c r="F21" s="840"/>
      <c r="G21" s="578" t="s">
        <v>751</v>
      </c>
      <c r="H21" s="839"/>
      <c r="I21" s="840"/>
      <c r="J21" s="4">
        <v>344.19</v>
      </c>
      <c r="K21" s="14">
        <v>1.3195098963242278E-2</v>
      </c>
      <c r="L21" s="4">
        <v>0.84000000000000341</v>
      </c>
      <c r="M21" s="397">
        <v>289.11960000000118</v>
      </c>
      <c r="N21" s="4"/>
      <c r="O21" s="845" t="s">
        <v>505</v>
      </c>
      <c r="P21" s="846"/>
      <c r="R21" s="182"/>
      <c r="S21" s="182"/>
      <c r="T21" s="182"/>
      <c r="U21" s="182"/>
      <c r="V21" s="182"/>
      <c r="W21" s="182"/>
    </row>
    <row r="22" spans="1:23" ht="15.75" customHeight="1" thickTop="1" thickBot="1">
      <c r="A22" s="869"/>
      <c r="B22" s="876"/>
      <c r="C22" s="877"/>
      <c r="D22" s="877"/>
      <c r="E22" s="877"/>
      <c r="F22" s="877"/>
      <c r="G22" s="877"/>
      <c r="H22" s="877"/>
      <c r="I22" s="878"/>
      <c r="J22" s="118" t="s">
        <v>641</v>
      </c>
      <c r="K22" s="244">
        <v>7.1934507991584977E-3</v>
      </c>
      <c r="L22" s="118" t="s">
        <v>642</v>
      </c>
      <c r="M22" s="398">
        <v>1640.3195555558341</v>
      </c>
      <c r="N22" s="879"/>
      <c r="O22" s="880"/>
      <c r="P22" s="881"/>
      <c r="R22" s="182"/>
      <c r="S22" s="182"/>
      <c r="T22" s="182"/>
      <c r="U22" s="182"/>
      <c r="V22" s="182"/>
      <c r="W22" s="182"/>
    </row>
    <row r="23" spans="1:23" ht="15.75" customHeight="1" thickTop="1">
      <c r="A23" s="563"/>
      <c r="B23" s="110"/>
      <c r="C23" s="108"/>
      <c r="D23" s="563"/>
      <c r="E23" s="563"/>
      <c r="F23" s="563"/>
      <c r="G23" s="563"/>
      <c r="H23" s="563"/>
      <c r="I23" s="563"/>
      <c r="J23" s="563"/>
      <c r="K23" s="563"/>
      <c r="L23" s="563"/>
      <c r="M23" s="563"/>
      <c r="N23" s="563"/>
      <c r="O23" s="563"/>
      <c r="P23" s="563"/>
      <c r="R23" s="182"/>
      <c r="S23" s="182"/>
      <c r="T23" s="182"/>
      <c r="U23" s="182"/>
      <c r="V23" s="182"/>
      <c r="W23" s="182"/>
    </row>
    <row r="24" spans="1:23" ht="15.75" customHeight="1">
      <c r="A24" s="868" t="s">
        <v>635</v>
      </c>
      <c r="B24" s="869"/>
      <c r="C24" s="116" t="s">
        <v>536</v>
      </c>
      <c r="D24" s="870" t="s">
        <v>12</v>
      </c>
      <c r="E24" s="871"/>
      <c r="F24" s="872"/>
      <c r="G24" s="114" t="s">
        <v>636</v>
      </c>
      <c r="H24" s="115"/>
      <c r="I24" s="116"/>
      <c r="J24" s="113" t="s">
        <v>637</v>
      </c>
      <c r="K24" s="113" t="s">
        <v>644</v>
      </c>
      <c r="L24" s="113" t="s">
        <v>639</v>
      </c>
      <c r="M24" s="117" t="s">
        <v>11</v>
      </c>
      <c r="N24" s="319" t="s">
        <v>13</v>
      </c>
      <c r="O24" s="873" t="s">
        <v>50</v>
      </c>
      <c r="P24" s="874"/>
      <c r="R24" s="182"/>
      <c r="S24" s="182"/>
      <c r="T24" s="182"/>
      <c r="U24" s="182"/>
      <c r="V24" s="182"/>
      <c r="W24" s="182"/>
    </row>
    <row r="25" spans="1:23" ht="15.75" customHeight="1">
      <c r="A25" s="869">
        <v>6</v>
      </c>
      <c r="B25" s="875" t="s">
        <v>194</v>
      </c>
      <c r="C25" s="111">
        <v>1</v>
      </c>
      <c r="D25" s="578" t="s">
        <v>549</v>
      </c>
      <c r="E25" s="839"/>
      <c r="F25" s="840"/>
      <c r="G25" s="578" t="s">
        <v>738</v>
      </c>
      <c r="H25" s="839"/>
      <c r="I25" s="840"/>
      <c r="J25" s="4">
        <v>444.88</v>
      </c>
      <c r="K25" s="14">
        <v>2.0684427117175733E-2</v>
      </c>
      <c r="L25" s="4">
        <v>0.7640000000000029</v>
      </c>
      <c r="M25" s="397">
        <v>339.88832000000127</v>
      </c>
      <c r="N25" s="4"/>
      <c r="O25" s="866" t="s">
        <v>646</v>
      </c>
      <c r="P25" s="882"/>
      <c r="R25" s="182"/>
      <c r="S25" s="182"/>
      <c r="T25" s="182"/>
      <c r="U25" s="182"/>
      <c r="V25" s="182"/>
      <c r="W25" s="182"/>
    </row>
    <row r="26" spans="1:23" ht="15.75" customHeight="1">
      <c r="A26" s="869"/>
      <c r="B26" s="876"/>
      <c r="C26" s="111">
        <v>2</v>
      </c>
      <c r="D26" s="578" t="s">
        <v>626</v>
      </c>
      <c r="E26" s="839"/>
      <c r="F26" s="840"/>
      <c r="G26" s="578" t="s">
        <v>331</v>
      </c>
      <c r="H26" s="839"/>
      <c r="I26" s="840"/>
      <c r="J26" s="4">
        <v>487.66</v>
      </c>
      <c r="K26" s="14">
        <v>1.3513513513513506E-2</v>
      </c>
      <c r="L26" s="4">
        <v>0.61599999999999966</v>
      </c>
      <c r="M26" s="397">
        <v>300.39855999999986</v>
      </c>
      <c r="N26" s="4"/>
      <c r="O26" s="845" t="s">
        <v>646</v>
      </c>
      <c r="P26" s="882"/>
      <c r="R26" s="182"/>
      <c r="S26" s="182"/>
      <c r="T26" s="182"/>
      <c r="U26" s="182"/>
      <c r="V26" s="182"/>
      <c r="W26" s="182"/>
    </row>
    <row r="27" spans="1:23" ht="15.75" customHeight="1">
      <c r="A27" s="869"/>
      <c r="B27" s="876"/>
      <c r="C27" s="111">
        <v>3</v>
      </c>
      <c r="D27" s="578" t="s">
        <v>757</v>
      </c>
      <c r="E27" s="839"/>
      <c r="F27" s="840"/>
      <c r="G27" s="578" t="s">
        <v>758</v>
      </c>
      <c r="H27" s="839"/>
      <c r="I27" s="840"/>
      <c r="J27" s="4">
        <v>412.67</v>
      </c>
      <c r="K27" s="14">
        <v>2.175240591003666E-2</v>
      </c>
      <c r="L27" s="4">
        <v>0.66990884481139901</v>
      </c>
      <c r="M27" s="397">
        <v>276.45128298832003</v>
      </c>
      <c r="N27" s="4"/>
      <c r="O27" s="845" t="s">
        <v>646</v>
      </c>
      <c r="P27" s="882"/>
      <c r="R27" s="182"/>
      <c r="S27" s="182"/>
      <c r="T27" s="182"/>
      <c r="U27" s="182"/>
      <c r="V27" s="182"/>
      <c r="W27" s="182"/>
    </row>
    <row r="28" spans="1:23" ht="15.75" customHeight="1">
      <c r="A28" s="869"/>
      <c r="B28" s="876"/>
      <c r="C28" s="111">
        <v>4</v>
      </c>
      <c r="D28" s="578" t="s">
        <v>757</v>
      </c>
      <c r="E28" s="839"/>
      <c r="F28" s="840"/>
      <c r="G28" s="578" t="s">
        <v>756</v>
      </c>
      <c r="H28" s="839"/>
      <c r="I28" s="840"/>
      <c r="J28" s="4">
        <v>370.75</v>
      </c>
      <c r="K28" s="14">
        <v>2.2727272727272717E-2</v>
      </c>
      <c r="L28" s="4">
        <v>0.67999999999999972</v>
      </c>
      <c r="M28" s="397">
        <v>252.1099999999999</v>
      </c>
      <c r="N28" s="4"/>
      <c r="O28" s="845" t="s">
        <v>646</v>
      </c>
      <c r="P28" s="882"/>
      <c r="R28" s="182"/>
      <c r="S28" s="182"/>
      <c r="T28" s="182"/>
      <c r="U28" s="182"/>
      <c r="V28" s="182"/>
      <c r="W28" s="182"/>
    </row>
    <row r="29" spans="1:23" ht="15.75" customHeight="1" thickBot="1">
      <c r="A29" s="869"/>
      <c r="B29" s="876"/>
      <c r="C29" s="112">
        <v>5</v>
      </c>
      <c r="D29" s="578">
        <v>0</v>
      </c>
      <c r="E29" s="839"/>
      <c r="F29" s="840"/>
      <c r="G29" s="578">
        <v>0</v>
      </c>
      <c r="H29" s="839"/>
      <c r="I29" s="840"/>
      <c r="J29" s="4">
        <v>0</v>
      </c>
      <c r="K29" s="14">
        <v>0</v>
      </c>
      <c r="L29" s="4">
        <v>0</v>
      </c>
      <c r="M29" s="397">
        <v>0</v>
      </c>
      <c r="N29" s="4"/>
      <c r="O29" s="845"/>
      <c r="P29" s="882"/>
      <c r="R29" s="182"/>
      <c r="S29" s="182"/>
      <c r="T29" s="182"/>
      <c r="U29" s="182"/>
      <c r="V29" s="182"/>
      <c r="W29" s="182"/>
    </row>
    <row r="30" spans="1:23" ht="15.75" customHeight="1" thickTop="1" thickBot="1">
      <c r="A30" s="869"/>
      <c r="B30" s="876"/>
      <c r="C30" s="877"/>
      <c r="D30" s="877"/>
      <c r="E30" s="877"/>
      <c r="F30" s="877"/>
      <c r="G30" s="877"/>
      <c r="H30" s="877"/>
      <c r="I30" s="878"/>
      <c r="J30" s="118" t="s">
        <v>641</v>
      </c>
      <c r="K30" s="244">
        <v>5.1258620453952649E-3</v>
      </c>
      <c r="L30" s="118" t="s">
        <v>642</v>
      </c>
      <c r="M30" s="398">
        <v>1168.8481629883211</v>
      </c>
      <c r="N30" s="879"/>
      <c r="O30" s="880"/>
      <c r="P30" s="881"/>
      <c r="R30" s="182"/>
      <c r="S30" s="182"/>
      <c r="T30" s="182"/>
      <c r="U30" s="182"/>
      <c r="V30" s="182"/>
      <c r="W30" s="182"/>
    </row>
    <row r="31" spans="1:23" ht="15.75" customHeight="1" thickTop="1">
      <c r="A31" s="563"/>
      <c r="B31" s="110"/>
      <c r="C31" s="108"/>
      <c r="D31" s="563"/>
      <c r="E31" s="563"/>
      <c r="F31" s="563"/>
      <c r="G31" s="563"/>
      <c r="H31" s="563"/>
      <c r="I31" s="563"/>
      <c r="J31" s="563"/>
      <c r="K31" s="563"/>
      <c r="L31" s="563"/>
      <c r="M31" s="563"/>
      <c r="N31" s="563"/>
      <c r="O31" s="563"/>
      <c r="P31" s="563"/>
      <c r="R31" s="182"/>
      <c r="S31" s="182"/>
      <c r="T31" s="182"/>
      <c r="U31" s="182"/>
      <c r="V31" s="182"/>
      <c r="W31" s="182"/>
    </row>
    <row r="32" spans="1:23" ht="15.75" customHeight="1">
      <c r="A32" s="868" t="s">
        <v>635</v>
      </c>
      <c r="B32" s="869"/>
      <c r="C32" s="116" t="s">
        <v>536</v>
      </c>
      <c r="D32" s="870" t="s">
        <v>12</v>
      </c>
      <c r="E32" s="871"/>
      <c r="F32" s="872"/>
      <c r="G32" s="114" t="s">
        <v>636</v>
      </c>
      <c r="H32" s="115"/>
      <c r="I32" s="116"/>
      <c r="J32" s="113" t="s">
        <v>637</v>
      </c>
      <c r="K32" s="113" t="s">
        <v>644</v>
      </c>
      <c r="L32" s="113" t="s">
        <v>639</v>
      </c>
      <c r="M32" s="117" t="s">
        <v>11</v>
      </c>
      <c r="N32" s="117" t="s">
        <v>13</v>
      </c>
      <c r="O32" s="873" t="s">
        <v>50</v>
      </c>
      <c r="P32" s="874"/>
      <c r="R32" s="182"/>
      <c r="S32" s="182"/>
      <c r="T32" s="182"/>
      <c r="U32" s="182"/>
      <c r="V32" s="182"/>
      <c r="W32" s="182"/>
    </row>
    <row r="33" spans="1:23" ht="15.75" customHeight="1">
      <c r="A33" s="869">
        <v>7</v>
      </c>
      <c r="B33" s="875" t="s">
        <v>506</v>
      </c>
      <c r="C33" s="111">
        <v>1</v>
      </c>
      <c r="D33" s="578" t="s">
        <v>622</v>
      </c>
      <c r="E33" s="839"/>
      <c r="F33" s="840"/>
      <c r="G33" s="578" t="s">
        <v>710</v>
      </c>
      <c r="H33" s="839"/>
      <c r="I33" s="840"/>
      <c r="J33" s="4">
        <v>935.2</v>
      </c>
      <c r="K33" s="14">
        <v>5.2989130434782601E-2</v>
      </c>
      <c r="L33" s="4">
        <v>0.46799999999999997</v>
      </c>
      <c r="M33" s="397">
        <v>437.67360000000002</v>
      </c>
      <c r="N33" s="4"/>
      <c r="O33" s="845" t="s">
        <v>589</v>
      </c>
      <c r="P33" s="882"/>
      <c r="R33" s="182"/>
      <c r="S33" s="182"/>
      <c r="T33" s="182"/>
      <c r="U33" s="182"/>
      <c r="V33" s="182"/>
      <c r="W33" s="182"/>
    </row>
    <row r="34" spans="1:23" ht="15.75" customHeight="1">
      <c r="A34" s="869"/>
      <c r="B34" s="876"/>
      <c r="C34" s="111">
        <v>2</v>
      </c>
      <c r="D34" s="578" t="s">
        <v>700</v>
      </c>
      <c r="E34" s="839"/>
      <c r="F34" s="840"/>
      <c r="G34" s="578" t="s">
        <v>701</v>
      </c>
      <c r="H34" s="839"/>
      <c r="I34" s="840"/>
      <c r="J34" s="4">
        <v>1010.1</v>
      </c>
      <c r="K34" s="14">
        <v>3.0759162303664874E-2</v>
      </c>
      <c r="L34" s="4">
        <v>0.37599999999999945</v>
      </c>
      <c r="M34" s="397">
        <v>379.79759999999948</v>
      </c>
      <c r="N34" s="4"/>
      <c r="O34" s="845" t="s">
        <v>589</v>
      </c>
      <c r="P34" s="882"/>
      <c r="R34" s="182"/>
      <c r="S34" s="182"/>
      <c r="T34" s="182"/>
      <c r="U34" s="182"/>
      <c r="V34" s="182"/>
      <c r="W34" s="182"/>
    </row>
    <row r="35" spans="1:23" ht="15.75" customHeight="1">
      <c r="A35" s="869"/>
      <c r="B35" s="876"/>
      <c r="C35" s="111">
        <v>3</v>
      </c>
      <c r="D35" s="578" t="s">
        <v>700</v>
      </c>
      <c r="E35" s="839"/>
      <c r="F35" s="840"/>
      <c r="G35" s="578" t="s">
        <v>707</v>
      </c>
      <c r="H35" s="839"/>
      <c r="I35" s="840"/>
      <c r="J35" s="4">
        <v>622.54999999999995</v>
      </c>
      <c r="K35" s="14">
        <v>0.21261115602263531</v>
      </c>
      <c r="L35" s="4">
        <v>0.5259999999999998</v>
      </c>
      <c r="M35" s="397">
        <v>327.46129999999988</v>
      </c>
      <c r="N35" s="4"/>
      <c r="O35" s="845" t="s">
        <v>589</v>
      </c>
      <c r="P35" s="882"/>
      <c r="R35" s="182"/>
      <c r="S35" s="182"/>
      <c r="T35" s="182"/>
      <c r="U35" s="182"/>
      <c r="V35" s="182"/>
      <c r="W35" s="182"/>
    </row>
    <row r="36" spans="1:23" ht="15.75" customHeight="1">
      <c r="A36" s="869"/>
      <c r="B36" s="876"/>
      <c r="C36" s="111">
        <v>4</v>
      </c>
      <c r="D36" s="578" t="s">
        <v>780</v>
      </c>
      <c r="E36" s="839"/>
      <c r="F36" s="840"/>
      <c r="G36" s="578" t="s">
        <v>781</v>
      </c>
      <c r="H36" s="839"/>
      <c r="I36" s="840"/>
      <c r="J36" s="4">
        <v>548.80999999999995</v>
      </c>
      <c r="K36" s="14">
        <v>4.9539985845718868E-3</v>
      </c>
      <c r="L36" s="4">
        <v>0.52500000000000568</v>
      </c>
      <c r="M36" s="397">
        <v>288.12525000000306</v>
      </c>
      <c r="N36" s="4"/>
      <c r="O36" s="845" t="s">
        <v>589</v>
      </c>
      <c r="P36" s="882"/>
      <c r="R36" s="182"/>
      <c r="S36" s="182"/>
      <c r="T36" s="182"/>
      <c r="U36" s="182"/>
      <c r="V36" s="182"/>
      <c r="W36" s="182"/>
    </row>
    <row r="37" spans="1:23" ht="15.75" customHeight="1" thickBot="1">
      <c r="A37" s="869"/>
      <c r="B37" s="876"/>
      <c r="C37" s="112">
        <v>5</v>
      </c>
      <c r="D37" s="578">
        <v>0</v>
      </c>
      <c r="E37" s="839"/>
      <c r="F37" s="840"/>
      <c r="G37" s="578">
        <v>0</v>
      </c>
      <c r="H37" s="839"/>
      <c r="I37" s="840"/>
      <c r="J37" s="4">
        <v>0</v>
      </c>
      <c r="K37" s="14">
        <v>0</v>
      </c>
      <c r="L37" s="4">
        <v>0</v>
      </c>
      <c r="M37" s="397">
        <v>0</v>
      </c>
      <c r="N37" s="4"/>
      <c r="O37" s="845"/>
      <c r="P37" s="882"/>
      <c r="R37" s="182"/>
      <c r="S37" s="182"/>
      <c r="T37" s="182"/>
      <c r="U37" s="182"/>
      <c r="V37" s="182"/>
      <c r="W37" s="182"/>
    </row>
    <row r="38" spans="1:23" ht="15.75" customHeight="1" thickTop="1" thickBot="1">
      <c r="A38" s="869"/>
      <c r="B38" s="876"/>
      <c r="C38" s="877"/>
      <c r="D38" s="877"/>
      <c r="E38" s="877"/>
      <c r="F38" s="877"/>
      <c r="G38" s="877"/>
      <c r="H38" s="877"/>
      <c r="I38" s="878"/>
      <c r="J38" s="118" t="s">
        <v>641</v>
      </c>
      <c r="K38" s="244">
        <v>6.2845257084584612E-3</v>
      </c>
      <c r="L38" s="118" t="s">
        <v>642</v>
      </c>
      <c r="M38" s="398">
        <v>1433.0577500000024</v>
      </c>
      <c r="N38" s="879"/>
      <c r="O38" s="880"/>
      <c r="P38" s="881"/>
      <c r="R38" s="182"/>
      <c r="S38" s="182"/>
      <c r="T38" s="182"/>
      <c r="U38" s="182"/>
      <c r="V38" s="182"/>
      <c r="W38" s="182"/>
    </row>
    <row r="39" spans="1:23" ht="15.75" customHeight="1" thickTop="1"/>
  </sheetData>
  <mergeCells count="107"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  <mergeCell ref="A8:B8"/>
    <mergeCell ref="D8:F8"/>
    <mergeCell ref="O8:P8"/>
    <mergeCell ref="A9:A14"/>
    <mergeCell ref="B9:B14"/>
    <mergeCell ref="D9:F9"/>
    <mergeCell ref="G9:I9"/>
    <mergeCell ref="O9:P9"/>
    <mergeCell ref="D10:F10"/>
    <mergeCell ref="G10:I10"/>
    <mergeCell ref="D13:F13"/>
    <mergeCell ref="G13:I13"/>
    <mergeCell ref="O13:P13"/>
    <mergeCell ref="C14:I14"/>
    <mergeCell ref="N14:P14"/>
    <mergeCell ref="A16:B16"/>
    <mergeCell ref="D16:F16"/>
    <mergeCell ref="O16:P16"/>
    <mergeCell ref="O10:P10"/>
    <mergeCell ref="D11:F11"/>
    <mergeCell ref="G11:I11"/>
    <mergeCell ref="O11:P11"/>
    <mergeCell ref="D12:F12"/>
    <mergeCell ref="G12:I12"/>
    <mergeCell ref="O12:P12"/>
    <mergeCell ref="O19:P19"/>
    <mergeCell ref="D20:F20"/>
    <mergeCell ref="G20:I20"/>
    <mergeCell ref="O20:P20"/>
    <mergeCell ref="D21:F21"/>
    <mergeCell ref="G21:I21"/>
    <mergeCell ref="O21:P21"/>
    <mergeCell ref="A17:A22"/>
    <mergeCell ref="B17:B22"/>
    <mergeCell ref="D17:F17"/>
    <mergeCell ref="G17:I17"/>
    <mergeCell ref="O17:P17"/>
    <mergeCell ref="D18:F18"/>
    <mergeCell ref="G18:I18"/>
    <mergeCell ref="O18:P18"/>
    <mergeCell ref="D19:F19"/>
    <mergeCell ref="G19:I19"/>
    <mergeCell ref="C22:I22"/>
    <mergeCell ref="N22:P22"/>
    <mergeCell ref="A24:B24"/>
    <mergeCell ref="D24:F24"/>
    <mergeCell ref="O24:P24"/>
    <mergeCell ref="A25:A30"/>
    <mergeCell ref="B25:B30"/>
    <mergeCell ref="D25:F25"/>
    <mergeCell ref="G25:I25"/>
    <mergeCell ref="O25:P25"/>
    <mergeCell ref="D28:F28"/>
    <mergeCell ref="G28:I28"/>
    <mergeCell ref="O28:P28"/>
    <mergeCell ref="D29:F29"/>
    <mergeCell ref="G29:I29"/>
    <mergeCell ref="O29:P29"/>
    <mergeCell ref="D26:F26"/>
    <mergeCell ref="G26:I26"/>
    <mergeCell ref="O26:P26"/>
    <mergeCell ref="D27:F27"/>
    <mergeCell ref="G27:I27"/>
    <mergeCell ref="O27:P27"/>
    <mergeCell ref="C30:I30"/>
    <mergeCell ref="N30:P30"/>
    <mergeCell ref="A32:B32"/>
    <mergeCell ref="D32:F32"/>
    <mergeCell ref="O32:P32"/>
    <mergeCell ref="A33:A38"/>
    <mergeCell ref="B33:B38"/>
    <mergeCell ref="D33:F33"/>
    <mergeCell ref="G33:I33"/>
    <mergeCell ref="O33:P33"/>
    <mergeCell ref="C38:I38"/>
    <mergeCell ref="N38:P38"/>
    <mergeCell ref="D36:F36"/>
    <mergeCell ref="G36:I36"/>
    <mergeCell ref="O36:P36"/>
    <mergeCell ref="D37:F37"/>
    <mergeCell ref="G37:I37"/>
    <mergeCell ref="O37:P37"/>
    <mergeCell ref="D34:F34"/>
    <mergeCell ref="G34:I34"/>
    <mergeCell ref="O34:P34"/>
    <mergeCell ref="D35:F35"/>
    <mergeCell ref="G35:I35"/>
    <mergeCell ref="O35:P35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Q20"/>
  <sheetViews>
    <sheetView view="pageBreakPreview" zoomScale="115" zoomScaleNormal="60" zoomScaleSheetLayoutView="115" workbookViewId="0">
      <selection activeCell="S22" sqref="S22"/>
    </sheetView>
  </sheetViews>
  <sheetFormatPr defaultColWidth="12.5703125" defaultRowHeight="15.75" customHeight="1"/>
  <cols>
    <col min="1" max="1" width="5.42578125" style="119" customWidth="1"/>
    <col min="2" max="2" width="7.85546875" style="175" customWidth="1"/>
    <col min="3" max="3" width="4" style="160" customWidth="1"/>
    <col min="4" max="17" width="8.5703125" style="119" customWidth="1"/>
    <col min="18" max="16384" width="12.5703125" style="119"/>
  </cols>
  <sheetData>
    <row r="1" spans="1:17" ht="15.75" customHeight="1">
      <c r="A1" s="605" t="s">
        <v>185</v>
      </c>
      <c r="B1" s="605"/>
      <c r="C1" s="605"/>
      <c r="D1" s="605"/>
      <c r="E1" s="605"/>
      <c r="F1" s="605"/>
      <c r="G1" s="605"/>
      <c r="H1" s="605"/>
      <c r="I1" s="605"/>
      <c r="J1" s="605"/>
      <c r="K1" s="605"/>
      <c r="L1" s="605"/>
      <c r="M1" s="605"/>
      <c r="N1" s="605"/>
      <c r="O1" s="605"/>
      <c r="P1" s="605"/>
      <c r="Q1" s="605"/>
    </row>
    <row r="2" spans="1:17" s="120" customFormat="1" ht="15.75" customHeight="1">
      <c r="A2" s="605"/>
      <c r="B2" s="605"/>
      <c r="C2" s="605"/>
      <c r="D2" s="605"/>
      <c r="E2" s="605"/>
      <c r="F2" s="605"/>
      <c r="G2" s="605"/>
      <c r="H2" s="605"/>
      <c r="I2" s="605"/>
      <c r="J2" s="605"/>
      <c r="K2" s="605"/>
      <c r="L2" s="605"/>
      <c r="M2" s="605"/>
      <c r="N2" s="605"/>
      <c r="O2" s="605"/>
      <c r="P2" s="605"/>
      <c r="Q2" s="605"/>
    </row>
    <row r="3" spans="1:17" ht="15.75" customHeight="1">
      <c r="A3" s="735" t="s">
        <v>196</v>
      </c>
      <c r="B3" s="735"/>
      <c r="C3" s="735"/>
      <c r="D3" s="735"/>
      <c r="E3" s="735"/>
      <c r="F3" s="735"/>
      <c r="G3" s="735"/>
      <c r="H3" s="735"/>
      <c r="I3" s="735"/>
      <c r="J3" s="735"/>
      <c r="K3" s="735"/>
      <c r="L3" s="735"/>
      <c r="M3" s="735"/>
      <c r="N3" s="735"/>
      <c r="O3" s="735"/>
      <c r="P3" s="735"/>
      <c r="Q3" s="735"/>
    </row>
    <row r="4" spans="1:17" s="120" customFormat="1" ht="15.75" customHeight="1">
      <c r="A4" s="895"/>
      <c r="B4" s="895"/>
      <c r="C4" s="895"/>
      <c r="D4" s="895"/>
      <c r="E4" s="895"/>
      <c r="F4" s="895"/>
      <c r="G4" s="895"/>
      <c r="H4" s="895"/>
      <c r="I4" s="895"/>
      <c r="J4" s="895"/>
      <c r="K4" s="895"/>
      <c r="L4" s="895"/>
      <c r="M4" s="895"/>
      <c r="N4" s="895"/>
      <c r="O4" s="895"/>
      <c r="P4" s="895"/>
      <c r="Q4" s="895"/>
    </row>
    <row r="5" spans="1:17" ht="15.75" customHeight="1">
      <c r="A5" s="624" t="s">
        <v>171</v>
      </c>
      <c r="B5" s="859">
        <v>1</v>
      </c>
      <c r="C5" s="859"/>
      <c r="D5" s="859">
        <v>2</v>
      </c>
      <c r="E5" s="859"/>
      <c r="F5" s="859">
        <v>3</v>
      </c>
      <c r="G5" s="859"/>
      <c r="H5" s="859">
        <v>4</v>
      </c>
      <c r="I5" s="859"/>
      <c r="J5" s="859">
        <v>5</v>
      </c>
      <c r="K5" s="859"/>
      <c r="L5" s="859">
        <v>6</v>
      </c>
      <c r="M5" s="859"/>
      <c r="N5" s="859">
        <v>7</v>
      </c>
      <c r="O5" s="859"/>
      <c r="P5" s="864">
        <v>8</v>
      </c>
      <c r="Q5" s="864"/>
    </row>
    <row r="6" spans="1:17" ht="15.75" customHeight="1">
      <c r="A6" s="624"/>
      <c r="B6" s="624" t="s">
        <v>304</v>
      </c>
      <c r="C6" s="624"/>
      <c r="D6" s="624" t="s">
        <v>197</v>
      </c>
      <c r="E6" s="624"/>
      <c r="F6" s="624" t="s">
        <v>163</v>
      </c>
      <c r="G6" s="624"/>
      <c r="H6" s="624" t="s">
        <v>492</v>
      </c>
      <c r="I6" s="624"/>
      <c r="J6" s="624" t="s">
        <v>169</v>
      </c>
      <c r="K6" s="624"/>
      <c r="L6" s="624" t="s">
        <v>164</v>
      </c>
      <c r="M6" s="624"/>
      <c r="N6" s="624" t="s">
        <v>170</v>
      </c>
      <c r="O6" s="624"/>
      <c r="P6" s="865" t="s">
        <v>198</v>
      </c>
      <c r="Q6" s="865"/>
    </row>
    <row r="8" spans="1:17" s="153" customFormat="1" ht="15.75" customHeight="1">
      <c r="A8" s="162" t="s">
        <v>173</v>
      </c>
      <c r="B8" s="179" t="s">
        <v>18</v>
      </c>
      <c r="C8" s="893" t="s">
        <v>12</v>
      </c>
      <c r="D8" s="893"/>
      <c r="E8" s="893"/>
      <c r="F8" s="893" t="s">
        <v>53</v>
      </c>
      <c r="G8" s="893"/>
      <c r="H8" s="893"/>
      <c r="I8" s="179" t="s">
        <v>54</v>
      </c>
      <c r="J8" s="180" t="s">
        <v>19</v>
      </c>
      <c r="K8" s="179" t="s">
        <v>57</v>
      </c>
      <c r="L8" s="179" t="s">
        <v>2</v>
      </c>
      <c r="M8" s="896" t="s">
        <v>50</v>
      </c>
      <c r="N8" s="897"/>
      <c r="O8" s="897"/>
      <c r="P8" s="897"/>
      <c r="Q8" s="897"/>
    </row>
    <row r="9" spans="1:17" ht="15.75" customHeight="1">
      <c r="A9" s="893" t="s">
        <v>172</v>
      </c>
      <c r="B9" s="155">
        <v>1</v>
      </c>
      <c r="C9" s="889"/>
      <c r="D9" s="719"/>
      <c r="E9" s="719"/>
      <c r="F9" s="889"/>
      <c r="G9" s="719"/>
      <c r="H9" s="719"/>
      <c r="I9" s="163"/>
      <c r="J9" s="177"/>
      <c r="K9" s="177"/>
      <c r="L9" s="178">
        <f>K9-J9</f>
        <v>0</v>
      </c>
      <c r="M9" s="889"/>
      <c r="N9" s="889"/>
      <c r="O9" s="889"/>
      <c r="P9" s="889"/>
      <c r="Q9" s="889"/>
    </row>
    <row r="10" spans="1:17" ht="15.75" customHeight="1">
      <c r="A10" s="894"/>
      <c r="B10" s="155">
        <v>2</v>
      </c>
      <c r="C10" s="889"/>
      <c r="D10" s="719"/>
      <c r="E10" s="719"/>
      <c r="F10" s="889"/>
      <c r="G10" s="719"/>
      <c r="H10" s="719"/>
      <c r="I10" s="163"/>
      <c r="J10" s="177"/>
      <c r="K10" s="177"/>
      <c r="L10" s="178">
        <f>K10-J10</f>
        <v>0</v>
      </c>
      <c r="M10" s="889"/>
      <c r="N10" s="889"/>
      <c r="O10" s="889"/>
      <c r="P10" s="889"/>
      <c r="Q10" s="889"/>
    </row>
    <row r="11" spans="1:17" ht="15.75" customHeight="1">
      <c r="A11" s="894"/>
      <c r="B11" s="155">
        <v>3</v>
      </c>
      <c r="C11" s="889"/>
      <c r="D11" s="719"/>
      <c r="E11" s="719"/>
      <c r="F11" s="889"/>
      <c r="G11" s="719"/>
      <c r="H11" s="719"/>
      <c r="I11" s="163"/>
      <c r="J11" s="177"/>
      <c r="K11" s="177"/>
      <c r="L11" s="178">
        <f>K11-J11</f>
        <v>0</v>
      </c>
      <c r="M11" s="889"/>
      <c r="N11" s="889"/>
      <c r="O11" s="889"/>
      <c r="P11" s="889"/>
      <c r="Q11" s="889"/>
    </row>
    <row r="12" spans="1:17" ht="15.75" customHeight="1">
      <c r="A12" s="894"/>
      <c r="B12" s="155">
        <v>4</v>
      </c>
      <c r="C12" s="889"/>
      <c r="D12" s="719"/>
      <c r="E12" s="719"/>
      <c r="F12" s="889"/>
      <c r="G12" s="719"/>
      <c r="H12" s="719"/>
      <c r="I12" s="163"/>
      <c r="J12" s="177"/>
      <c r="K12" s="177"/>
      <c r="L12" s="178">
        <f>K12-J12</f>
        <v>0</v>
      </c>
      <c r="M12" s="889"/>
      <c r="N12" s="889"/>
      <c r="O12" s="889"/>
      <c r="P12" s="889"/>
      <c r="Q12" s="889"/>
    </row>
    <row r="13" spans="1:17" ht="15.75" customHeight="1">
      <c r="A13" s="894"/>
      <c r="B13" s="155">
        <v>5</v>
      </c>
      <c r="C13" s="889"/>
      <c r="D13" s="719"/>
      <c r="E13" s="719"/>
      <c r="F13" s="889"/>
      <c r="G13" s="719"/>
      <c r="H13" s="719"/>
      <c r="I13" s="163"/>
      <c r="J13" s="177"/>
      <c r="K13" s="177"/>
      <c r="L13" s="178">
        <f>K13-J13</f>
        <v>0</v>
      </c>
      <c r="M13" s="889"/>
      <c r="N13" s="889"/>
      <c r="O13" s="889"/>
      <c r="P13" s="889"/>
      <c r="Q13" s="889"/>
    </row>
    <row r="14" spans="1:17" ht="15.75" customHeight="1">
      <c r="A14" s="891"/>
      <c r="B14" s="891"/>
      <c r="C14" s="891"/>
      <c r="D14" s="891"/>
      <c r="E14" s="891"/>
      <c r="F14" s="891"/>
      <c r="G14" s="891"/>
      <c r="H14" s="891"/>
      <c r="I14" s="891"/>
      <c r="J14" s="891"/>
      <c r="K14" s="891"/>
      <c r="L14" s="891"/>
      <c r="M14" s="891"/>
      <c r="N14" s="891"/>
      <c r="O14" s="892"/>
    </row>
    <row r="15" spans="1:17" s="153" customFormat="1" ht="15.75" customHeight="1">
      <c r="A15" s="162" t="s">
        <v>173</v>
      </c>
      <c r="B15" s="162" t="s">
        <v>18</v>
      </c>
      <c r="C15" s="890" t="s">
        <v>12</v>
      </c>
      <c r="D15" s="890"/>
      <c r="E15" s="890"/>
      <c r="F15" s="890" t="s">
        <v>53</v>
      </c>
      <c r="G15" s="890"/>
      <c r="H15" s="890"/>
      <c r="I15" s="162" t="s">
        <v>54</v>
      </c>
      <c r="J15" s="176" t="s">
        <v>19</v>
      </c>
      <c r="K15" s="162" t="s">
        <v>57</v>
      </c>
      <c r="L15" s="162" t="s">
        <v>2</v>
      </c>
      <c r="M15" s="890" t="s">
        <v>50</v>
      </c>
      <c r="N15" s="890"/>
      <c r="O15" s="890"/>
      <c r="P15" s="890"/>
      <c r="Q15" s="890"/>
    </row>
    <row r="16" spans="1:17" ht="15.75" customHeight="1">
      <c r="A16" s="890" t="s">
        <v>174</v>
      </c>
      <c r="B16" s="155">
        <v>1</v>
      </c>
      <c r="C16" s="889"/>
      <c r="D16" s="719"/>
      <c r="E16" s="719"/>
      <c r="F16" s="889"/>
      <c r="G16" s="719"/>
      <c r="H16" s="719"/>
      <c r="I16" s="163"/>
      <c r="J16" s="177"/>
      <c r="K16" s="177"/>
      <c r="L16" s="178">
        <f>K16-J16</f>
        <v>0</v>
      </c>
      <c r="M16" s="889"/>
      <c r="N16" s="889"/>
      <c r="O16" s="889"/>
      <c r="P16" s="889"/>
      <c r="Q16" s="889"/>
    </row>
    <row r="17" spans="1:17" ht="15.75" customHeight="1">
      <c r="A17" s="890"/>
      <c r="B17" s="155">
        <v>2</v>
      </c>
      <c r="C17" s="889"/>
      <c r="D17" s="719"/>
      <c r="E17" s="719"/>
      <c r="F17" s="889"/>
      <c r="G17" s="719"/>
      <c r="H17" s="719"/>
      <c r="I17" s="163"/>
      <c r="J17" s="177"/>
      <c r="K17" s="177"/>
      <c r="L17" s="178">
        <f>K17-J17</f>
        <v>0</v>
      </c>
      <c r="M17" s="889"/>
      <c r="N17" s="889"/>
      <c r="O17" s="889"/>
      <c r="P17" s="889"/>
      <c r="Q17" s="889"/>
    </row>
    <row r="18" spans="1:17" ht="15.75" customHeight="1">
      <c r="A18" s="890"/>
      <c r="B18" s="155">
        <v>3</v>
      </c>
      <c r="C18" s="889"/>
      <c r="D18" s="719"/>
      <c r="E18" s="719"/>
      <c r="F18" s="889"/>
      <c r="G18" s="719"/>
      <c r="H18" s="719"/>
      <c r="I18" s="163"/>
      <c r="J18" s="177"/>
      <c r="K18" s="177"/>
      <c r="L18" s="178">
        <f>K18-J18</f>
        <v>0</v>
      </c>
      <c r="M18" s="889"/>
      <c r="N18" s="889"/>
      <c r="O18" s="889"/>
      <c r="P18" s="889"/>
      <c r="Q18" s="889"/>
    </row>
    <row r="19" spans="1:17" ht="15.75" customHeight="1">
      <c r="A19" s="890"/>
      <c r="B19" s="155">
        <v>4</v>
      </c>
      <c r="C19" s="889"/>
      <c r="D19" s="719"/>
      <c r="E19" s="719"/>
      <c r="F19" s="889"/>
      <c r="G19" s="719"/>
      <c r="H19" s="719"/>
      <c r="I19" s="163"/>
      <c r="J19" s="177"/>
      <c r="K19" s="177"/>
      <c r="L19" s="178">
        <f>K19-J19</f>
        <v>0</v>
      </c>
      <c r="M19" s="889"/>
      <c r="N19" s="889"/>
      <c r="O19" s="889"/>
      <c r="P19" s="889"/>
      <c r="Q19" s="889"/>
    </row>
    <row r="20" spans="1:17" ht="15.75" customHeight="1">
      <c r="A20" s="890"/>
      <c r="B20" s="155">
        <v>5</v>
      </c>
      <c r="C20" s="889"/>
      <c r="D20" s="719"/>
      <c r="E20" s="719"/>
      <c r="F20" s="889"/>
      <c r="G20" s="719"/>
      <c r="H20" s="719"/>
      <c r="I20" s="163"/>
      <c r="J20" s="177"/>
      <c r="K20" s="177"/>
      <c r="L20" s="178">
        <f>K20-J20</f>
        <v>0</v>
      </c>
      <c r="M20" s="889"/>
      <c r="N20" s="889"/>
      <c r="O20" s="889"/>
      <c r="P20" s="889"/>
      <c r="Q20" s="889"/>
    </row>
  </sheetData>
  <mergeCells count="58">
    <mergeCell ref="M15:Q15"/>
    <mergeCell ref="J5:K5"/>
    <mergeCell ref="L5:M5"/>
    <mergeCell ref="A3:Q4"/>
    <mergeCell ref="N5:O5"/>
    <mergeCell ref="P5:Q5"/>
    <mergeCell ref="A5:A6"/>
    <mergeCell ref="B5:C5"/>
    <mergeCell ref="D5:E5"/>
    <mergeCell ref="C8:E8"/>
    <mergeCell ref="F8:H8"/>
    <mergeCell ref="C9:E9"/>
    <mergeCell ref="F9:H9"/>
    <mergeCell ref="M8:Q8"/>
    <mergeCell ref="M9:Q9"/>
    <mergeCell ref="C11:E11"/>
    <mergeCell ref="A1:Q2"/>
    <mergeCell ref="J6:K6"/>
    <mergeCell ref="L6:M6"/>
    <mergeCell ref="N6:O6"/>
    <mergeCell ref="P6:Q6"/>
    <mergeCell ref="F5:G5"/>
    <mergeCell ref="H5:I5"/>
    <mergeCell ref="B6:C6"/>
    <mergeCell ref="D6:E6"/>
    <mergeCell ref="F6:G6"/>
    <mergeCell ref="H6:I6"/>
    <mergeCell ref="C12:E12"/>
    <mergeCell ref="C13:E13"/>
    <mergeCell ref="F10:H10"/>
    <mergeCell ref="F11:H11"/>
    <mergeCell ref="F12:H12"/>
    <mergeCell ref="F13:H13"/>
    <mergeCell ref="A16:A20"/>
    <mergeCell ref="M13:Q13"/>
    <mergeCell ref="C16:E16"/>
    <mergeCell ref="F16:H16"/>
    <mergeCell ref="C17:E17"/>
    <mergeCell ref="F17:H17"/>
    <mergeCell ref="C15:E15"/>
    <mergeCell ref="F15:H15"/>
    <mergeCell ref="A14:O14"/>
    <mergeCell ref="A9:A13"/>
    <mergeCell ref="M10:Q10"/>
    <mergeCell ref="M11:Q11"/>
    <mergeCell ref="M12:Q12"/>
    <mergeCell ref="M16:Q16"/>
    <mergeCell ref="M17:Q17"/>
    <mergeCell ref="C10:E10"/>
    <mergeCell ref="M20:Q20"/>
    <mergeCell ref="C20:E20"/>
    <mergeCell ref="F20:H20"/>
    <mergeCell ref="C18:E18"/>
    <mergeCell ref="F18:H18"/>
    <mergeCell ref="C19:E19"/>
    <mergeCell ref="F19:H19"/>
    <mergeCell ref="M18:Q18"/>
    <mergeCell ref="M19:Q19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39997558519241921"/>
    <pageSetUpPr fitToPage="1"/>
  </sheetPr>
  <dimension ref="B1:AQ78"/>
  <sheetViews>
    <sheetView zoomScale="55" zoomScaleNormal="55" workbookViewId="0">
      <pane xSplit="4" ySplit="1" topLeftCell="E2" activePane="bottomRight" state="frozen"/>
      <selection activeCell="M12" sqref="M12:Q12"/>
      <selection pane="topRight" activeCell="M12" sqref="M12:Q12"/>
      <selection pane="bottomLeft" activeCell="M12" sqref="M12:Q12"/>
      <selection pane="bottomRight" activeCell="B3" sqref="B3:AD24"/>
    </sheetView>
  </sheetViews>
  <sheetFormatPr defaultColWidth="8.85546875" defaultRowHeight="16.5"/>
  <cols>
    <col min="1" max="1" width="8.85546875" style="327"/>
    <col min="2" max="2" width="12.42578125" style="327" customWidth="1"/>
    <col min="3" max="3" width="8.85546875" style="327"/>
    <col min="4" max="4" width="11.5703125" style="327" customWidth="1"/>
    <col min="5" max="5" width="39.28515625" style="327" bestFit="1" customWidth="1"/>
    <col min="6" max="6" width="11.42578125" style="327" bestFit="1" customWidth="1"/>
    <col min="7" max="8" width="17.28515625" style="327" bestFit="1" customWidth="1"/>
    <col min="9" max="9" width="16.85546875" style="327" customWidth="1"/>
    <col min="10" max="10" width="14" style="327" customWidth="1"/>
    <col min="11" max="11" width="16.85546875" style="327" customWidth="1"/>
    <col min="12" max="12" width="14" style="327" customWidth="1"/>
    <col min="13" max="13" width="13.85546875" style="327" bestFit="1" customWidth="1"/>
    <col min="14" max="14" width="10.85546875" style="327" bestFit="1" customWidth="1"/>
    <col min="15" max="15" width="19.140625" style="327" bestFit="1" customWidth="1"/>
    <col min="16" max="16" width="15.28515625" style="327" bestFit="1" customWidth="1"/>
    <col min="17" max="17" width="12.5703125" style="327" bestFit="1" customWidth="1"/>
    <col min="18" max="18" width="12.85546875" style="327" bestFit="1" customWidth="1"/>
    <col min="19" max="19" width="13.42578125" style="327" bestFit="1" customWidth="1"/>
    <col min="20" max="20" width="12.85546875" style="327" bestFit="1" customWidth="1"/>
    <col min="21" max="21" width="10.85546875" style="327" bestFit="1" customWidth="1"/>
    <col min="22" max="22" width="12.5703125" style="327" bestFit="1" customWidth="1"/>
    <col min="23" max="24" width="10.85546875" style="327" customWidth="1"/>
    <col min="25" max="25" width="12.42578125" style="327" bestFit="1" customWidth="1"/>
    <col min="26" max="26" width="25.28515625" style="327" bestFit="1" customWidth="1"/>
    <col min="27" max="27" width="88.28515625" style="327" customWidth="1"/>
    <col min="28" max="28" width="117.7109375" style="327" bestFit="1" customWidth="1"/>
    <col min="29" max="29" width="11.5703125" style="327" bestFit="1" customWidth="1"/>
    <col min="30" max="30" width="69.5703125" style="327" bestFit="1" customWidth="1"/>
    <col min="31" max="31" width="11.42578125" style="327" bestFit="1" customWidth="1"/>
    <col min="32" max="32" width="21.5703125" style="327" customWidth="1"/>
    <col min="33" max="33" width="19.42578125" style="327" bestFit="1" customWidth="1"/>
    <col min="34" max="39" width="14.42578125" style="327" customWidth="1"/>
    <col min="40" max="16384" width="8.85546875" style="327"/>
  </cols>
  <sheetData>
    <row r="1" spans="2:43" ht="21">
      <c r="B1" s="475" t="s">
        <v>671</v>
      </c>
    </row>
    <row r="2" spans="2:43" ht="41.1" customHeight="1">
      <c r="B2" s="930" t="s">
        <v>648</v>
      </c>
      <c r="C2" s="931"/>
      <c r="D2" s="931"/>
      <c r="E2" s="931"/>
      <c r="F2" s="931"/>
      <c r="G2" s="931"/>
      <c r="H2" s="931"/>
      <c r="I2" s="931"/>
      <c r="J2" s="931"/>
      <c r="K2" s="931"/>
      <c r="L2" s="931"/>
      <c r="M2" s="931"/>
      <c r="N2" s="931"/>
      <c r="O2" s="931"/>
      <c r="P2" s="931"/>
      <c r="Q2" s="931"/>
      <c r="R2" s="931"/>
      <c r="S2" s="931"/>
      <c r="T2" s="931"/>
      <c r="U2" s="931"/>
      <c r="V2" s="931"/>
      <c r="W2" s="931"/>
      <c r="X2" s="931"/>
      <c r="Y2" s="931"/>
      <c r="Z2" s="931"/>
      <c r="AA2" s="931"/>
      <c r="AB2" s="931"/>
      <c r="AC2" s="931"/>
      <c r="AD2" s="931"/>
      <c r="AF2" s="328"/>
      <c r="AG2" s="328"/>
    </row>
    <row r="3" spans="2:43" ht="17.100000000000001" customHeight="1">
      <c r="B3" s="924" t="s">
        <v>649</v>
      </c>
      <c r="C3" s="925"/>
      <c r="D3" s="928" t="s">
        <v>650</v>
      </c>
      <c r="E3" s="929" t="s">
        <v>651</v>
      </c>
      <c r="F3" s="920" t="s">
        <v>652</v>
      </c>
      <c r="G3" s="921" t="s">
        <v>653</v>
      </c>
      <c r="H3" s="923" t="s">
        <v>654</v>
      </c>
      <c r="I3" s="915" t="s">
        <v>655</v>
      </c>
      <c r="J3" s="916"/>
      <c r="K3" s="915" t="s">
        <v>656</v>
      </c>
      <c r="L3" s="916"/>
      <c r="M3" s="915" t="s">
        <v>657</v>
      </c>
      <c r="N3" s="916"/>
      <c r="O3" s="915" t="s">
        <v>658</v>
      </c>
      <c r="P3" s="916"/>
      <c r="Q3" s="915" t="s">
        <v>659</v>
      </c>
      <c r="R3" s="916"/>
      <c r="S3" s="917" t="s">
        <v>660</v>
      </c>
      <c r="T3" s="918"/>
      <c r="U3" s="919"/>
      <c r="V3" s="932" t="s">
        <v>661</v>
      </c>
      <c r="W3" s="933"/>
      <c r="X3" s="934"/>
      <c r="Y3" s="913" t="s">
        <v>165</v>
      </c>
      <c r="Z3" s="913" t="s">
        <v>662</v>
      </c>
      <c r="AA3" s="913" t="s">
        <v>663</v>
      </c>
      <c r="AB3" s="913" t="s">
        <v>664</v>
      </c>
      <c r="AC3" s="913" t="s">
        <v>665</v>
      </c>
      <c r="AD3" s="921" t="s">
        <v>166</v>
      </c>
      <c r="AF3" s="898" t="s">
        <v>666</v>
      </c>
      <c r="AG3" s="899"/>
      <c r="AH3" s="899"/>
      <c r="AI3" s="899"/>
      <c r="AJ3" s="899"/>
      <c r="AK3" s="899"/>
      <c r="AL3" s="899"/>
      <c r="AM3" s="900"/>
    </row>
    <row r="4" spans="2:43">
      <c r="B4" s="926"/>
      <c r="C4" s="927"/>
      <c r="D4" s="928"/>
      <c r="E4" s="928"/>
      <c r="F4" s="920"/>
      <c r="G4" s="922"/>
      <c r="H4" s="922"/>
      <c r="I4" s="570" t="s">
        <v>667</v>
      </c>
      <c r="J4" s="569" t="s">
        <v>596</v>
      </c>
      <c r="K4" s="570" t="s">
        <v>667</v>
      </c>
      <c r="L4" s="569" t="s">
        <v>596</v>
      </c>
      <c r="M4" s="570" t="s">
        <v>667</v>
      </c>
      <c r="N4" s="569" t="s">
        <v>596</v>
      </c>
      <c r="O4" s="570" t="s">
        <v>667</v>
      </c>
      <c r="P4" s="569" t="s">
        <v>596</v>
      </c>
      <c r="Q4" s="570" t="s">
        <v>667</v>
      </c>
      <c r="R4" s="569" t="s">
        <v>596</v>
      </c>
      <c r="S4" s="570" t="s">
        <v>667</v>
      </c>
      <c r="T4" s="569" t="s">
        <v>596</v>
      </c>
      <c r="U4" s="569" t="s">
        <v>597</v>
      </c>
      <c r="V4" s="570" t="s">
        <v>667</v>
      </c>
      <c r="W4" s="569" t="s">
        <v>596</v>
      </c>
      <c r="X4" s="569" t="s">
        <v>597</v>
      </c>
      <c r="Y4" s="914"/>
      <c r="Z4" s="914"/>
      <c r="AA4" s="914"/>
      <c r="AB4" s="914"/>
      <c r="AC4" s="914"/>
      <c r="AD4" s="922"/>
      <c r="AF4" s="901"/>
      <c r="AG4" s="902"/>
      <c r="AH4" s="902"/>
      <c r="AI4" s="902"/>
      <c r="AJ4" s="902"/>
      <c r="AK4" s="902"/>
      <c r="AL4" s="902"/>
      <c r="AM4" s="903"/>
    </row>
    <row r="5" spans="2:43" s="388" customFormat="1" ht="27" customHeight="1">
      <c r="B5" s="907" t="s">
        <v>764</v>
      </c>
      <c r="C5" s="908"/>
      <c r="D5" s="329">
        <v>1</v>
      </c>
      <c r="E5" s="399" t="s">
        <v>745</v>
      </c>
      <c r="F5" s="400">
        <v>1093.049298412051</v>
      </c>
      <c r="G5" s="330">
        <v>154.4</v>
      </c>
      <c r="H5" s="401">
        <v>261.71600000000001</v>
      </c>
      <c r="I5" s="401">
        <v>264.01170515728563</v>
      </c>
      <c r="J5" s="403">
        <v>1.0087631702052631</v>
      </c>
      <c r="K5" s="402">
        <v>270.84345442528621</v>
      </c>
      <c r="L5" s="403">
        <v>1.0348754161965115</v>
      </c>
      <c r="M5" s="402">
        <v>0</v>
      </c>
      <c r="N5" s="403">
        <v>0</v>
      </c>
      <c r="O5" s="470">
        <v>270.84345442528621</v>
      </c>
      <c r="P5" s="403">
        <v>1.0348754161965115</v>
      </c>
      <c r="Q5" s="401">
        <v>7.0793348342749427</v>
      </c>
      <c r="R5" s="403">
        <v>2.7049682993301679E-2</v>
      </c>
      <c r="S5" s="470">
        <v>9.12745442528621</v>
      </c>
      <c r="T5" s="403">
        <v>3.4875416196511522E-2</v>
      </c>
      <c r="U5" s="411">
        <v>1409.2789632641909</v>
      </c>
      <c r="V5" s="471">
        <v>2.0481195910112673</v>
      </c>
      <c r="W5" s="472">
        <v>7.8257332032098427E-3</v>
      </c>
      <c r="X5" s="473">
        <v>316.22966485213971</v>
      </c>
      <c r="Y5" s="331" t="s">
        <v>325</v>
      </c>
      <c r="Z5" s="331" t="s">
        <v>492</v>
      </c>
      <c r="AA5" s="474" t="s">
        <v>583</v>
      </c>
      <c r="AB5" s="474" t="s">
        <v>584</v>
      </c>
      <c r="AC5" s="331">
        <v>1</v>
      </c>
      <c r="AD5" s="404" t="s">
        <v>698</v>
      </c>
      <c r="AF5" s="904"/>
      <c r="AG5" s="905"/>
      <c r="AH5" s="905"/>
      <c r="AI5" s="905"/>
      <c r="AJ5" s="905"/>
      <c r="AK5" s="905"/>
      <c r="AL5" s="905"/>
      <c r="AM5" s="906"/>
      <c r="AP5" s="405"/>
      <c r="AQ5" s="405"/>
    </row>
    <row r="6" spans="2:43" s="388" customFormat="1" ht="27" customHeight="1">
      <c r="B6" s="909"/>
      <c r="C6" s="910"/>
      <c r="D6" s="329">
        <v>2</v>
      </c>
      <c r="E6" s="399" t="s">
        <v>775</v>
      </c>
      <c r="F6" s="400">
        <v>1079.2928067092248</v>
      </c>
      <c r="G6" s="330">
        <v>420.33</v>
      </c>
      <c r="H6" s="401">
        <v>443.79999999999995</v>
      </c>
      <c r="I6" s="401">
        <v>445.74597701324615</v>
      </c>
      <c r="J6" s="403">
        <v>1.0045997516221978</v>
      </c>
      <c r="K6" s="402">
        <v>448.31036327009758</v>
      </c>
      <c r="L6" s="403">
        <v>1.0101630537857089</v>
      </c>
      <c r="M6" s="402">
        <v>0</v>
      </c>
      <c r="N6" s="403">
        <v>0</v>
      </c>
      <c r="O6" s="470">
        <v>448.31036327009758</v>
      </c>
      <c r="P6" s="403">
        <v>1.0101630537857089</v>
      </c>
      <c r="Q6" s="401">
        <v>2.5677272778750617</v>
      </c>
      <c r="R6" s="403">
        <v>5.7857757500564717E-3</v>
      </c>
      <c r="S6" s="470">
        <v>4.5103632700975851</v>
      </c>
      <c r="T6" s="403">
        <v>1.0163053785708845E-2</v>
      </c>
      <c r="U6" s="411">
        <v>1895.8409933201178</v>
      </c>
      <c r="V6" s="471">
        <v>1.9426359922225234</v>
      </c>
      <c r="W6" s="472">
        <v>4.3772780356523744E-3</v>
      </c>
      <c r="X6" s="473">
        <v>816.54818661089325</v>
      </c>
      <c r="Y6" s="331" t="s">
        <v>326</v>
      </c>
      <c r="Z6" s="331" t="s">
        <v>193</v>
      </c>
      <c r="AA6" s="474" t="s">
        <v>629</v>
      </c>
      <c r="AB6" s="474" t="s">
        <v>514</v>
      </c>
      <c r="AC6" s="331">
        <v>1</v>
      </c>
      <c r="AD6" s="404" t="s">
        <v>348</v>
      </c>
      <c r="AF6" s="222" t="s">
        <v>669</v>
      </c>
      <c r="AG6" s="222" t="s">
        <v>598</v>
      </c>
      <c r="AH6" s="469" t="s">
        <v>645</v>
      </c>
      <c r="AI6" s="469" t="s">
        <v>365</v>
      </c>
      <c r="AJ6" s="469" t="s">
        <v>492</v>
      </c>
      <c r="AK6" s="469" t="s">
        <v>193</v>
      </c>
      <c r="AL6" s="469" t="s">
        <v>194</v>
      </c>
      <c r="AM6" s="469" t="s">
        <v>506</v>
      </c>
      <c r="AP6" s="407"/>
      <c r="AQ6" s="208"/>
    </row>
    <row r="7" spans="2:43" s="388" customFormat="1" ht="27" customHeight="1">
      <c r="B7" s="909"/>
      <c r="C7" s="910"/>
      <c r="D7" s="329">
        <v>3</v>
      </c>
      <c r="E7" s="399" t="s">
        <v>706</v>
      </c>
      <c r="F7" s="400">
        <v>1040.364</v>
      </c>
      <c r="G7" s="330">
        <v>136.88999999999999</v>
      </c>
      <c r="H7" s="401">
        <v>2417.7059999999997</v>
      </c>
      <c r="I7" s="401">
        <v>2422.9317813292514</v>
      </c>
      <c r="J7" s="403">
        <v>1.0021612055792049</v>
      </c>
      <c r="K7" s="402">
        <v>2429.755252100224</v>
      </c>
      <c r="L7" s="403">
        <v>1.0049837540628284</v>
      </c>
      <c r="M7" s="402">
        <v>0</v>
      </c>
      <c r="N7" s="403">
        <v>0</v>
      </c>
      <c r="O7" s="470">
        <v>2429.755252100224</v>
      </c>
      <c r="P7" s="403">
        <v>1.0049837540628284</v>
      </c>
      <c r="Q7" s="401">
        <v>7.6000000000000014</v>
      </c>
      <c r="R7" s="403">
        <v>3.1434756748752752E-3</v>
      </c>
      <c r="S7" s="470">
        <v>12.04925210022401</v>
      </c>
      <c r="T7" s="403">
        <v>4.9837540628281567E-3</v>
      </c>
      <c r="U7" s="411">
        <v>1649.4221199996646</v>
      </c>
      <c r="V7" s="471">
        <v>4.4492521002240082</v>
      </c>
      <c r="W7" s="472">
        <v>1.8402783879528813E-3</v>
      </c>
      <c r="X7" s="473">
        <v>609.05811999966443</v>
      </c>
      <c r="Y7" s="331" t="s">
        <v>326</v>
      </c>
      <c r="Z7" s="331" t="s">
        <v>193</v>
      </c>
      <c r="AA7" s="474" t="s">
        <v>629</v>
      </c>
      <c r="AB7" s="474" t="s">
        <v>514</v>
      </c>
      <c r="AC7" s="331">
        <v>1</v>
      </c>
      <c r="AD7" s="404" t="s">
        <v>330</v>
      </c>
      <c r="AF7" s="406">
        <v>20</v>
      </c>
      <c r="AG7" s="332">
        <v>0</v>
      </c>
      <c r="AH7" s="332">
        <v>0</v>
      </c>
      <c r="AI7" s="332">
        <v>3</v>
      </c>
      <c r="AJ7" s="332">
        <v>7</v>
      </c>
      <c r="AK7" s="332">
        <v>7</v>
      </c>
      <c r="AL7" s="332">
        <v>2</v>
      </c>
      <c r="AM7" s="332">
        <v>1</v>
      </c>
      <c r="AP7" s="208"/>
      <c r="AQ7" s="208"/>
    </row>
    <row r="8" spans="2:43" s="388" customFormat="1" ht="27" customHeight="1">
      <c r="B8" s="909"/>
      <c r="C8" s="910"/>
      <c r="D8" s="329">
        <v>4</v>
      </c>
      <c r="E8" s="399" t="s">
        <v>747</v>
      </c>
      <c r="F8" s="400">
        <v>1012.1749711062288</v>
      </c>
      <c r="G8" s="330">
        <v>127.48</v>
      </c>
      <c r="H8" s="401">
        <v>1035.316</v>
      </c>
      <c r="I8" s="401">
        <v>1038.8010199116386</v>
      </c>
      <c r="J8" s="403">
        <v>1.0033782885051521</v>
      </c>
      <c r="K8" s="402">
        <v>1046.5434544252871</v>
      </c>
      <c r="L8" s="403">
        <v>1.010844471084468</v>
      </c>
      <c r="M8" s="402">
        <v>0</v>
      </c>
      <c r="N8" s="403">
        <v>0</v>
      </c>
      <c r="O8" s="470">
        <v>1046.5434544252871</v>
      </c>
      <c r="P8" s="403">
        <v>1.010844471084468</v>
      </c>
      <c r="Q8" s="401">
        <v>7.9398726945891793</v>
      </c>
      <c r="R8" s="403">
        <v>7.6690331208917658E-3</v>
      </c>
      <c r="S8" s="470">
        <v>11.227454425286993</v>
      </c>
      <c r="T8" s="403">
        <v>1.0844471084467924E-2</v>
      </c>
      <c r="U8" s="411">
        <v>1431.275890135586</v>
      </c>
      <c r="V8" s="471">
        <v>3.2875817306978137</v>
      </c>
      <c r="W8" s="472">
        <v>3.1754379635761578E-3</v>
      </c>
      <c r="X8" s="473">
        <v>419.10091902935733</v>
      </c>
      <c r="Y8" s="331" t="s">
        <v>325</v>
      </c>
      <c r="Z8" s="331" t="s">
        <v>492</v>
      </c>
      <c r="AA8" s="474" t="s">
        <v>726</v>
      </c>
      <c r="AB8" s="474" t="s">
        <v>727</v>
      </c>
      <c r="AC8" s="331">
        <v>1</v>
      </c>
      <c r="AD8" s="404" t="s">
        <v>748</v>
      </c>
      <c r="AF8" s="408" t="s">
        <v>11</v>
      </c>
      <c r="AG8" s="409">
        <v>0</v>
      </c>
      <c r="AH8" s="409">
        <v>0</v>
      </c>
      <c r="AI8" s="409">
        <v>2551.335</v>
      </c>
      <c r="AJ8" s="409">
        <v>6319.7969999999996</v>
      </c>
      <c r="AK8" s="409">
        <v>6352.2249999999995</v>
      </c>
      <c r="AL8" s="409">
        <v>2051.5880000000002</v>
      </c>
      <c r="AM8" s="409">
        <v>1028.72</v>
      </c>
      <c r="AP8" s="208"/>
      <c r="AQ8" s="208"/>
    </row>
    <row r="9" spans="2:43" s="388" customFormat="1" ht="27" customHeight="1">
      <c r="B9" s="909"/>
      <c r="C9" s="910"/>
      <c r="D9" s="329">
        <v>5</v>
      </c>
      <c r="E9" s="399" t="s">
        <v>711</v>
      </c>
      <c r="F9" s="400">
        <v>1011.1059711062287</v>
      </c>
      <c r="G9" s="330">
        <v>111.17</v>
      </c>
      <c r="H9" s="401">
        <v>2604.8820000000005</v>
      </c>
      <c r="I9" s="401">
        <v>2612.3310745378158</v>
      </c>
      <c r="J9" s="403">
        <v>1.0028169732648806</v>
      </c>
      <c r="K9" s="402">
        <v>2619.010363270098</v>
      </c>
      <c r="L9" s="403">
        <v>1.0054238016424919</v>
      </c>
      <c r="M9" s="402">
        <v>0</v>
      </c>
      <c r="N9" s="403">
        <v>0</v>
      </c>
      <c r="O9" s="470">
        <v>2619.010363270098</v>
      </c>
      <c r="P9" s="403">
        <v>1.0054238016424919</v>
      </c>
      <c r="Q9" s="401">
        <v>9.0951333192968313</v>
      </c>
      <c r="R9" s="403">
        <v>3.4915721016525237E-3</v>
      </c>
      <c r="S9" s="470">
        <v>14.128363270097964</v>
      </c>
      <c r="T9" s="403">
        <v>5.4238016424920437E-3</v>
      </c>
      <c r="U9" s="411">
        <v>1570.6501447367905</v>
      </c>
      <c r="V9" s="471">
        <v>5.0332299508011324</v>
      </c>
      <c r="W9" s="472">
        <v>1.9322295408395205E-3</v>
      </c>
      <c r="X9" s="473">
        <v>559.54417363056189</v>
      </c>
      <c r="Y9" s="331" t="s">
        <v>325</v>
      </c>
      <c r="Z9" s="331" t="s">
        <v>492</v>
      </c>
      <c r="AA9" s="474" t="s">
        <v>620</v>
      </c>
      <c r="AB9" s="474" t="s">
        <v>515</v>
      </c>
      <c r="AC9" s="331">
        <v>1</v>
      </c>
      <c r="AD9" s="404" t="s">
        <v>330</v>
      </c>
      <c r="AF9" s="329" t="s">
        <v>599</v>
      </c>
      <c r="AG9" s="410">
        <v>0</v>
      </c>
      <c r="AH9" s="410">
        <v>0</v>
      </c>
      <c r="AI9" s="410">
        <v>0.15</v>
      </c>
      <c r="AJ9" s="410">
        <v>0.35</v>
      </c>
      <c r="AK9" s="410">
        <v>0.35</v>
      </c>
      <c r="AL9" s="410">
        <v>0.1</v>
      </c>
      <c r="AM9" s="410">
        <v>0.05</v>
      </c>
      <c r="AP9" s="208"/>
      <c r="AQ9" s="208"/>
    </row>
    <row r="10" spans="2:43" s="388" customFormat="1" ht="27" customHeight="1">
      <c r="B10" s="909"/>
      <c r="C10" s="910"/>
      <c r="D10" s="329">
        <v>6</v>
      </c>
      <c r="E10" s="399" t="s">
        <v>782</v>
      </c>
      <c r="F10" s="400">
        <v>1006.4018562908384</v>
      </c>
      <c r="G10" s="330">
        <v>91.83</v>
      </c>
      <c r="H10" s="401">
        <v>310.28399999999999</v>
      </c>
      <c r="I10" s="401">
        <v>310.28399999999999</v>
      </c>
      <c r="J10" s="403">
        <v>1</v>
      </c>
      <c r="K10" s="402">
        <v>324.15525210022366</v>
      </c>
      <c r="L10" s="403">
        <v>1.0447050189511018</v>
      </c>
      <c r="M10" s="402">
        <v>0</v>
      </c>
      <c r="N10" s="403">
        <v>0</v>
      </c>
      <c r="O10" s="470">
        <v>324.15525210022366</v>
      </c>
      <c r="P10" s="403">
        <v>1.0447050189511018</v>
      </c>
      <c r="Q10" s="401">
        <v>10.95940168017901</v>
      </c>
      <c r="R10" s="403">
        <v>3.5320550464023312E-2</v>
      </c>
      <c r="S10" s="470">
        <v>13.871252100223693</v>
      </c>
      <c r="T10" s="403">
        <v>4.470501895110187E-2</v>
      </c>
      <c r="U10" s="411">
        <v>1273.7970803635417</v>
      </c>
      <c r="V10" s="471">
        <v>2.9118504200446829</v>
      </c>
      <c r="W10" s="472">
        <v>9.3844684870785563E-3</v>
      </c>
      <c r="X10" s="473">
        <v>267.39522407270323</v>
      </c>
      <c r="Y10" s="331" t="s">
        <v>329</v>
      </c>
      <c r="Z10" s="331" t="s">
        <v>365</v>
      </c>
      <c r="AA10" s="474" t="s">
        <v>754</v>
      </c>
      <c r="AB10" s="474" t="s">
        <v>755</v>
      </c>
      <c r="AC10" s="331">
        <v>1</v>
      </c>
      <c r="AD10" s="404" t="s">
        <v>783</v>
      </c>
      <c r="AP10" s="208"/>
      <c r="AQ10" s="208"/>
    </row>
    <row r="11" spans="2:43" s="388" customFormat="1" ht="27" customHeight="1">
      <c r="B11" s="909"/>
      <c r="C11" s="910"/>
      <c r="D11" s="329">
        <v>7</v>
      </c>
      <c r="E11" s="399" t="s">
        <v>631</v>
      </c>
      <c r="F11" s="400">
        <v>965.86180670922488</v>
      </c>
      <c r="G11" s="330">
        <v>304.76</v>
      </c>
      <c r="H11" s="401">
        <v>118.512</v>
      </c>
      <c r="I11" s="401">
        <v>120.70533375928741</v>
      </c>
      <c r="J11" s="403">
        <v>1.0190986893550784</v>
      </c>
      <c r="K11" s="402">
        <v>123.6</v>
      </c>
      <c r="L11" s="403">
        <v>1.0429323612798704</v>
      </c>
      <c r="M11" s="402">
        <v>0</v>
      </c>
      <c r="N11" s="403">
        <v>0</v>
      </c>
      <c r="O11" s="470">
        <v>123.6</v>
      </c>
      <c r="P11" s="403">
        <v>1.0429323612798704</v>
      </c>
      <c r="Q11" s="401">
        <v>3.1692538611012759</v>
      </c>
      <c r="R11" s="403">
        <v>2.6742050265806633E-2</v>
      </c>
      <c r="S11" s="470">
        <v>5.0879999999999974</v>
      </c>
      <c r="T11" s="403">
        <v>4.2932361279870372E-2</v>
      </c>
      <c r="U11" s="411">
        <v>1550.6188799999993</v>
      </c>
      <c r="V11" s="471">
        <v>1.9187461388987215</v>
      </c>
      <c r="W11" s="472">
        <v>1.6190311014063735E-2</v>
      </c>
      <c r="X11" s="473">
        <v>584.75707329077431</v>
      </c>
      <c r="Y11" s="331" t="s">
        <v>329</v>
      </c>
      <c r="Z11" s="331" t="s">
        <v>365</v>
      </c>
      <c r="AA11" s="474" t="s">
        <v>784</v>
      </c>
      <c r="AB11" s="474" t="s">
        <v>785</v>
      </c>
      <c r="AC11" s="331">
        <v>1</v>
      </c>
      <c r="AD11" s="404" t="s">
        <v>628</v>
      </c>
      <c r="AP11" s="208"/>
      <c r="AQ11" s="208"/>
    </row>
    <row r="12" spans="2:43" s="388" customFormat="1" ht="27" customHeight="1">
      <c r="B12" s="909"/>
      <c r="C12" s="910"/>
      <c r="D12" s="329">
        <v>8</v>
      </c>
      <c r="E12" s="399" t="s">
        <v>753</v>
      </c>
      <c r="F12" s="400">
        <v>965.08679003885425</v>
      </c>
      <c r="G12" s="330">
        <v>75.14</v>
      </c>
      <c r="H12" s="401">
        <v>807.18499999999995</v>
      </c>
      <c r="I12" s="401">
        <v>812.26469566742708</v>
      </c>
      <c r="J12" s="403">
        <v>1.0063176412194637</v>
      </c>
      <c r="K12" s="402">
        <v>824.12202001468495</v>
      </c>
      <c r="L12" s="403">
        <v>1.0209828230389377</v>
      </c>
      <c r="M12" s="402">
        <v>0</v>
      </c>
      <c r="N12" s="403">
        <v>0</v>
      </c>
      <c r="O12" s="470">
        <v>824.12202001468495</v>
      </c>
      <c r="P12" s="403">
        <v>1.0209828230389377</v>
      </c>
      <c r="Q12" s="401">
        <v>12.8438486829765</v>
      </c>
      <c r="R12" s="403">
        <v>1.5911902083136458E-2</v>
      </c>
      <c r="S12" s="470">
        <v>16.937020014685004</v>
      </c>
      <c r="T12" s="403">
        <v>2.0982823038937795E-2</v>
      </c>
      <c r="U12" s="411">
        <v>1272.6476839034312</v>
      </c>
      <c r="V12" s="471">
        <v>4.0931713317085041</v>
      </c>
      <c r="W12" s="472">
        <v>5.0709209558013396E-3</v>
      </c>
      <c r="X12" s="473">
        <v>307.560893864577</v>
      </c>
      <c r="Y12" s="331" t="s">
        <v>329</v>
      </c>
      <c r="Z12" s="331" t="s">
        <v>365</v>
      </c>
      <c r="AA12" s="474" t="s">
        <v>754</v>
      </c>
      <c r="AB12" s="474" t="s">
        <v>755</v>
      </c>
      <c r="AC12" s="331">
        <v>1</v>
      </c>
      <c r="AD12" s="404" t="s">
        <v>330</v>
      </c>
      <c r="AP12" s="208"/>
      <c r="AQ12" s="208"/>
    </row>
    <row r="13" spans="2:43" s="388" customFormat="1" ht="27" customHeight="1">
      <c r="B13" s="909"/>
      <c r="C13" s="910"/>
      <c r="D13" s="329">
        <v>9</v>
      </c>
      <c r="E13" s="399" t="s">
        <v>736</v>
      </c>
      <c r="F13" s="400">
        <v>962.61098332962945</v>
      </c>
      <c r="G13" s="330">
        <v>143.99</v>
      </c>
      <c r="H13" s="401">
        <v>380.20499999999998</v>
      </c>
      <c r="I13" s="401">
        <v>382.8320443273289</v>
      </c>
      <c r="J13" s="403">
        <v>1.0070999059952805</v>
      </c>
      <c r="K13" s="402">
        <v>388.65511116987386</v>
      </c>
      <c r="L13" s="403">
        <v>1.022225144776828</v>
      </c>
      <c r="M13" s="402">
        <v>0.8</v>
      </c>
      <c r="N13" s="403">
        <v>2.1041280361910023E-3</v>
      </c>
      <c r="O13" s="470">
        <v>389.45511116987387</v>
      </c>
      <c r="P13" s="403">
        <v>1.0243292728130191</v>
      </c>
      <c r="Q13" s="401">
        <v>6.6852627497022672</v>
      </c>
      <c r="R13" s="403">
        <v>1.7583310976189863E-2</v>
      </c>
      <c r="S13" s="470">
        <v>9.2501111698739038</v>
      </c>
      <c r="T13" s="403">
        <v>2.432927281301904E-2</v>
      </c>
      <c r="U13" s="411">
        <v>1331.9235073501436</v>
      </c>
      <c r="V13" s="471">
        <v>2.5648484201716366</v>
      </c>
      <c r="W13" s="472">
        <v>6.7459618368291754E-3</v>
      </c>
      <c r="X13" s="473">
        <v>369.31252402051399</v>
      </c>
      <c r="Y13" s="331" t="s">
        <v>329</v>
      </c>
      <c r="Z13" s="331" t="s">
        <v>365</v>
      </c>
      <c r="AA13" s="474" t="s">
        <v>754</v>
      </c>
      <c r="AB13" s="474" t="s">
        <v>755</v>
      </c>
      <c r="AC13" s="331">
        <v>1</v>
      </c>
      <c r="AD13" s="404" t="s">
        <v>587</v>
      </c>
    </row>
    <row r="14" spans="2:43" s="388" customFormat="1" ht="27" customHeight="1">
      <c r="B14" s="909"/>
      <c r="C14" s="910"/>
      <c r="D14" s="329">
        <v>10</v>
      </c>
      <c r="E14" s="399" t="s">
        <v>729</v>
      </c>
      <c r="F14" s="400">
        <v>950.76</v>
      </c>
      <c r="G14" s="330">
        <v>83.4</v>
      </c>
      <c r="H14" s="401">
        <v>887.14499999999998</v>
      </c>
      <c r="I14" s="401">
        <v>891.39125675374578</v>
      </c>
      <c r="J14" s="403">
        <v>1.0047614079305698</v>
      </c>
      <c r="K14" s="402">
        <v>902.65525210022395</v>
      </c>
      <c r="L14" s="403">
        <v>1.0174833337281097</v>
      </c>
      <c r="M14" s="402">
        <v>0</v>
      </c>
      <c r="N14" s="403">
        <v>0</v>
      </c>
      <c r="O14" s="470">
        <v>902.65525210022395</v>
      </c>
      <c r="P14" s="403">
        <v>1.0174833337281097</v>
      </c>
      <c r="Q14" s="401">
        <v>11.4</v>
      </c>
      <c r="R14" s="403">
        <v>1.2850210506737908E-2</v>
      </c>
      <c r="S14" s="470">
        <v>15.510252100224022</v>
      </c>
      <c r="T14" s="403">
        <v>1.7483333728109861E-2</v>
      </c>
      <c r="U14" s="411">
        <v>1293.5550251586835</v>
      </c>
      <c r="V14" s="471">
        <v>4.110252100224022</v>
      </c>
      <c r="W14" s="472">
        <v>4.633123221371954E-3</v>
      </c>
      <c r="X14" s="473">
        <v>342.79502515868347</v>
      </c>
      <c r="Y14" s="331" t="s">
        <v>325</v>
      </c>
      <c r="Z14" s="331" t="s">
        <v>492</v>
      </c>
      <c r="AA14" s="474" t="s">
        <v>620</v>
      </c>
      <c r="AB14" s="474" t="s">
        <v>515</v>
      </c>
      <c r="AC14" s="331">
        <v>1</v>
      </c>
      <c r="AD14" s="404" t="s">
        <v>587</v>
      </c>
    </row>
    <row r="15" spans="2:43" s="388" customFormat="1" ht="27" customHeight="1">
      <c r="B15" s="909"/>
      <c r="C15" s="910"/>
      <c r="D15" s="329">
        <v>11</v>
      </c>
      <c r="E15" s="399" t="s">
        <v>331</v>
      </c>
      <c r="F15" s="400">
        <v>945.3529833296293</v>
      </c>
      <c r="G15" s="330">
        <v>487.66</v>
      </c>
      <c r="H15" s="401">
        <v>304.88</v>
      </c>
      <c r="I15" s="401">
        <v>306.69052911262452</v>
      </c>
      <c r="J15" s="403">
        <v>1.0059458129251204</v>
      </c>
      <c r="K15" s="402">
        <v>308.55511116987395</v>
      </c>
      <c r="L15" s="403">
        <v>1.0120542874897467</v>
      </c>
      <c r="M15" s="402">
        <v>0</v>
      </c>
      <c r="N15" s="403">
        <v>0</v>
      </c>
      <c r="O15" s="470">
        <v>308.55511116987395</v>
      </c>
      <c r="P15" s="403">
        <v>1.0120542874897467</v>
      </c>
      <c r="Q15" s="401">
        <v>1.9385493649871413</v>
      </c>
      <c r="R15" s="403">
        <v>6.3584012233899936E-3</v>
      </c>
      <c r="S15" s="470">
        <v>3.675111169873901</v>
      </c>
      <c r="T15" s="403">
        <v>1.2054287489746461E-2</v>
      </c>
      <c r="U15" s="411">
        <v>1792.2047131007066</v>
      </c>
      <c r="V15" s="471">
        <v>1.7365618048867597</v>
      </c>
      <c r="W15" s="472">
        <v>5.6958862663564671E-3</v>
      </c>
      <c r="X15" s="473">
        <v>846.85172977107732</v>
      </c>
      <c r="Y15" s="331" t="s">
        <v>326</v>
      </c>
      <c r="Z15" s="331" t="s">
        <v>194</v>
      </c>
      <c r="AA15" s="474" t="s">
        <v>580</v>
      </c>
      <c r="AB15" s="474" t="s">
        <v>514</v>
      </c>
      <c r="AC15" s="331">
        <v>1</v>
      </c>
      <c r="AD15" s="404" t="s">
        <v>626</v>
      </c>
      <c r="AH15" s="333"/>
    </row>
    <row r="16" spans="2:43" s="388" customFormat="1" ht="27" customHeight="1">
      <c r="B16" s="909"/>
      <c r="C16" s="910"/>
      <c r="D16" s="329">
        <v>12</v>
      </c>
      <c r="E16" s="399" t="s">
        <v>749</v>
      </c>
      <c r="F16" s="400">
        <v>942.39162564185017</v>
      </c>
      <c r="G16" s="330">
        <v>362.63</v>
      </c>
      <c r="H16" s="401">
        <v>390.59199999999993</v>
      </c>
      <c r="I16" s="401">
        <v>392.50010387020541</v>
      </c>
      <c r="J16" s="403">
        <v>1.0048715598373545</v>
      </c>
      <c r="K16" s="402">
        <v>394.86751232409296</v>
      </c>
      <c r="L16" s="403">
        <v>1.0109462362877197</v>
      </c>
      <c r="M16" s="402">
        <v>0</v>
      </c>
      <c r="N16" s="403">
        <v>0</v>
      </c>
      <c r="O16" s="470">
        <v>394.86751232409296</v>
      </c>
      <c r="P16" s="403">
        <v>1.0109462362877197</v>
      </c>
      <c r="Q16" s="401">
        <v>2.5987690638994301</v>
      </c>
      <c r="R16" s="403">
        <v>6.6534108837340003E-3</v>
      </c>
      <c r="S16" s="470">
        <v>4.2755123240929933</v>
      </c>
      <c r="T16" s="403">
        <v>1.0946236287719652E-2</v>
      </c>
      <c r="U16" s="411">
        <v>1550.429034085842</v>
      </c>
      <c r="V16" s="471">
        <v>1.6767432601935632</v>
      </c>
      <c r="W16" s="472">
        <v>4.2928254039856515E-3</v>
      </c>
      <c r="X16" s="473">
        <v>608.03740844399181</v>
      </c>
      <c r="Y16" s="331" t="s">
        <v>325</v>
      </c>
      <c r="Z16" s="331" t="s">
        <v>492</v>
      </c>
      <c r="AA16" s="474" t="s">
        <v>624</v>
      </c>
      <c r="AB16" s="474" t="s">
        <v>611</v>
      </c>
      <c r="AC16" s="331">
        <v>1</v>
      </c>
      <c r="AD16" s="404" t="s">
        <v>750</v>
      </c>
    </row>
    <row r="17" spans="2:30" s="388" customFormat="1" ht="27" customHeight="1">
      <c r="B17" s="909"/>
      <c r="C17" s="910"/>
      <c r="D17" s="329">
        <v>13</v>
      </c>
      <c r="E17" s="399" t="s">
        <v>767</v>
      </c>
      <c r="F17" s="400">
        <v>936.71195854304744</v>
      </c>
      <c r="G17" s="330">
        <v>158.13</v>
      </c>
      <c r="H17" s="401">
        <v>732.21400000000006</v>
      </c>
      <c r="I17" s="401">
        <v>734.87462258601226</v>
      </c>
      <c r="J17" s="403">
        <v>1.0036109030253386</v>
      </c>
      <c r="K17" s="402">
        <v>739.36751232409313</v>
      </c>
      <c r="L17" s="403">
        <v>1.0097697016501912</v>
      </c>
      <c r="M17" s="402">
        <v>1.2</v>
      </c>
      <c r="N17" s="403">
        <v>1.6388651405190285E-3</v>
      </c>
      <c r="O17" s="470">
        <v>740.56751232409317</v>
      </c>
      <c r="P17" s="403">
        <v>1.0114085667907102</v>
      </c>
      <c r="Q17" s="401">
        <v>5.9236827834253312</v>
      </c>
      <c r="R17" s="403">
        <v>8.0900976810404212E-3</v>
      </c>
      <c r="S17" s="470">
        <v>8.3535123240931171</v>
      </c>
      <c r="T17" s="403">
        <v>1.1408566790710253E-2</v>
      </c>
      <c r="U17" s="411">
        <v>1320.9409038088447</v>
      </c>
      <c r="V17" s="471">
        <v>2.4298295406677859</v>
      </c>
      <c r="W17" s="472">
        <v>3.318469109669831E-3</v>
      </c>
      <c r="X17" s="473">
        <v>384.22894526579699</v>
      </c>
      <c r="Y17" s="331" t="s">
        <v>329</v>
      </c>
      <c r="Z17" s="331" t="s">
        <v>365</v>
      </c>
      <c r="AA17" s="474" t="s">
        <v>754</v>
      </c>
      <c r="AB17" s="474" t="s">
        <v>755</v>
      </c>
      <c r="AC17" s="331">
        <v>1</v>
      </c>
      <c r="AD17" s="404" t="s">
        <v>766</v>
      </c>
    </row>
    <row r="18" spans="2:30" s="388" customFormat="1" ht="27" customHeight="1">
      <c r="B18" s="909"/>
      <c r="C18" s="910"/>
      <c r="D18" s="329">
        <v>14</v>
      </c>
      <c r="E18" s="399" t="s">
        <v>786</v>
      </c>
      <c r="F18" s="400">
        <v>916.03199999999993</v>
      </c>
      <c r="G18" s="330">
        <v>234.88</v>
      </c>
      <c r="H18" s="401">
        <v>420.20800000000003</v>
      </c>
      <c r="I18" s="401">
        <v>421.84917345551253</v>
      </c>
      <c r="J18" s="403">
        <v>1.0038615075481949</v>
      </c>
      <c r="K18" s="402">
        <v>424.40000000000003</v>
      </c>
      <c r="L18" s="403">
        <v>1.0099760118798309</v>
      </c>
      <c r="M18" s="402">
        <v>1.8</v>
      </c>
      <c r="N18" s="403">
        <v>4.2835928873319875E-3</v>
      </c>
      <c r="O18" s="470">
        <v>426.20000000000005</v>
      </c>
      <c r="P18" s="403">
        <v>1.014259604767163</v>
      </c>
      <c r="Q18" s="401">
        <v>3.8999999999999995</v>
      </c>
      <c r="R18" s="403">
        <v>9.2811179225526386E-3</v>
      </c>
      <c r="S18" s="470">
        <v>5.9919999999999902</v>
      </c>
      <c r="T18" s="403">
        <v>1.4259604767162905E-2</v>
      </c>
      <c r="U18" s="411">
        <v>1407.4009599999977</v>
      </c>
      <c r="V18" s="471">
        <v>2.0919999999999908</v>
      </c>
      <c r="W18" s="472">
        <v>4.9784868446102661E-3</v>
      </c>
      <c r="X18" s="473">
        <v>491.3689599999978</v>
      </c>
      <c r="Y18" s="331" t="s">
        <v>325</v>
      </c>
      <c r="Z18" s="331" t="s">
        <v>492</v>
      </c>
      <c r="AA18" s="474" t="s">
        <v>583</v>
      </c>
      <c r="AB18" s="474" t="s">
        <v>584</v>
      </c>
      <c r="AC18" s="331">
        <v>1</v>
      </c>
      <c r="AD18" s="404" t="s">
        <v>761</v>
      </c>
    </row>
    <row r="19" spans="2:30" s="388" customFormat="1" ht="27" customHeight="1">
      <c r="B19" s="909"/>
      <c r="C19" s="910"/>
      <c r="D19" s="329">
        <v>15</v>
      </c>
      <c r="E19" s="399" t="s">
        <v>701</v>
      </c>
      <c r="F19" s="400">
        <v>914.34271999999896</v>
      </c>
      <c r="G19" s="330">
        <v>1010.1</v>
      </c>
      <c r="H19" s="401">
        <v>78.823999999999998</v>
      </c>
      <c r="I19" s="401">
        <v>79.965325192137584</v>
      </c>
      <c r="J19" s="403">
        <v>1.0141255568870435</v>
      </c>
      <c r="K19" s="402">
        <v>80.199999999999989</v>
      </c>
      <c r="L19" s="403">
        <v>1.01745661219933</v>
      </c>
      <c r="M19" s="402">
        <v>0.3</v>
      </c>
      <c r="N19" s="403">
        <v>3.8059474271795392E-3</v>
      </c>
      <c r="O19" s="470">
        <v>80.499999999999986</v>
      </c>
      <c r="P19" s="403">
        <v>1.0212625596265095</v>
      </c>
      <c r="Q19" s="401">
        <v>0.90520019800019691</v>
      </c>
      <c r="R19" s="403">
        <v>1.1483814548870864E-2</v>
      </c>
      <c r="S19" s="470">
        <v>1.6760000000000002</v>
      </c>
      <c r="T19" s="403">
        <v>2.1262559626509695E-2</v>
      </c>
      <c r="U19" s="411">
        <v>1692.9276000000002</v>
      </c>
      <c r="V19" s="471">
        <v>0.77079980199980325</v>
      </c>
      <c r="W19" s="472">
        <v>9.7787450776388313E-3</v>
      </c>
      <c r="X19" s="473">
        <v>778.58488000000125</v>
      </c>
      <c r="Y19" s="331" t="s">
        <v>326</v>
      </c>
      <c r="Z19" s="331" t="s">
        <v>506</v>
      </c>
      <c r="AA19" s="474" t="s">
        <v>589</v>
      </c>
      <c r="AB19" s="474" t="s">
        <v>647</v>
      </c>
      <c r="AC19" s="331">
        <v>1</v>
      </c>
      <c r="AD19" s="404" t="s">
        <v>700</v>
      </c>
    </row>
    <row r="20" spans="2:30" s="388" customFormat="1" ht="27" customHeight="1">
      <c r="B20" s="909"/>
      <c r="C20" s="910"/>
      <c r="D20" s="329">
        <v>16</v>
      </c>
      <c r="E20" s="399" t="s">
        <v>769</v>
      </c>
      <c r="F20" s="400">
        <v>905.41781893262601</v>
      </c>
      <c r="G20" s="330">
        <v>74.150000000000006</v>
      </c>
      <c r="H20" s="401">
        <v>915.65100000000007</v>
      </c>
      <c r="I20" s="401">
        <v>919.64933614072879</v>
      </c>
      <c r="J20" s="403">
        <v>1.0043664769521268</v>
      </c>
      <c r="K20" s="402">
        <v>931.51036327009808</v>
      </c>
      <c r="L20" s="403">
        <v>1.0173203144758189</v>
      </c>
      <c r="M20" s="402">
        <v>0</v>
      </c>
      <c r="N20" s="403">
        <v>0</v>
      </c>
      <c r="O20" s="470">
        <v>931.51036327009808</v>
      </c>
      <c r="P20" s="403">
        <v>1.0173203144758189</v>
      </c>
      <c r="Q20" s="401">
        <v>12.21062466530851</v>
      </c>
      <c r="R20" s="403">
        <v>1.3335457139574477E-2</v>
      </c>
      <c r="S20" s="470">
        <v>15.859363270098015</v>
      </c>
      <c r="T20" s="403">
        <v>1.732031447581886E-2</v>
      </c>
      <c r="U20" s="411">
        <v>1175.9717864777679</v>
      </c>
      <c r="V20" s="471">
        <v>3.6487386047895054</v>
      </c>
      <c r="W20" s="472">
        <v>3.9848573362443827E-3</v>
      </c>
      <c r="X20" s="473">
        <v>270.55396754514186</v>
      </c>
      <c r="Y20" s="331" t="s">
        <v>325</v>
      </c>
      <c r="Z20" s="331" t="s">
        <v>492</v>
      </c>
      <c r="AA20" s="474" t="s">
        <v>583</v>
      </c>
      <c r="AB20" s="474" t="s">
        <v>584</v>
      </c>
      <c r="AC20" s="331">
        <v>1</v>
      </c>
      <c r="AD20" s="404" t="s">
        <v>691</v>
      </c>
    </row>
    <row r="21" spans="2:30" s="388" customFormat="1" ht="27" customHeight="1">
      <c r="B21" s="909"/>
      <c r="C21" s="910"/>
      <c r="D21" s="329">
        <v>17</v>
      </c>
      <c r="E21" s="399" t="s">
        <v>728</v>
      </c>
      <c r="F21" s="400">
        <v>892.05</v>
      </c>
      <c r="G21" s="330">
        <v>297.35000000000002</v>
      </c>
      <c r="H21" s="401">
        <v>296.59200000000004</v>
      </c>
      <c r="I21" s="401">
        <v>298.18015094443774</v>
      </c>
      <c r="J21" s="403">
        <v>1.0054820067896082</v>
      </c>
      <c r="K21" s="402">
        <v>301.39999999999998</v>
      </c>
      <c r="L21" s="403">
        <v>1.0162108216000429</v>
      </c>
      <c r="M21" s="402">
        <v>0</v>
      </c>
      <c r="N21" s="403">
        <v>0</v>
      </c>
      <c r="O21" s="470">
        <v>301.39999999999998</v>
      </c>
      <c r="P21" s="403">
        <v>1.0162108216000429</v>
      </c>
      <c r="Q21" s="401">
        <v>3</v>
      </c>
      <c r="R21" s="403">
        <v>1.0114905324486161E-2</v>
      </c>
      <c r="S21" s="470">
        <v>4.8079999999999927</v>
      </c>
      <c r="T21" s="403">
        <v>1.621082160004313E-2</v>
      </c>
      <c r="U21" s="411">
        <v>1429.6587999999979</v>
      </c>
      <c r="V21" s="471">
        <v>1.8079999999999927</v>
      </c>
      <c r="W21" s="472">
        <v>6.0959162755569686E-3</v>
      </c>
      <c r="X21" s="473">
        <v>537.60879999999793</v>
      </c>
      <c r="Y21" s="331" t="s">
        <v>326</v>
      </c>
      <c r="Z21" s="331" t="s">
        <v>193</v>
      </c>
      <c r="AA21" s="474" t="s">
        <v>629</v>
      </c>
      <c r="AB21" s="474" t="s">
        <v>514</v>
      </c>
      <c r="AC21" s="331">
        <v>1</v>
      </c>
      <c r="AD21" s="404" t="s">
        <v>573</v>
      </c>
    </row>
    <row r="22" spans="2:30" s="388" customFormat="1" ht="27" customHeight="1">
      <c r="B22" s="909"/>
      <c r="C22" s="910"/>
      <c r="D22" s="329">
        <v>18</v>
      </c>
      <c r="E22" s="399" t="s">
        <v>744</v>
      </c>
      <c r="F22" s="400">
        <v>882.92480200648038</v>
      </c>
      <c r="G22" s="330">
        <v>83.39</v>
      </c>
      <c r="H22" s="401">
        <v>985.12499999999989</v>
      </c>
      <c r="I22" s="401">
        <v>987.60048626614173</v>
      </c>
      <c r="J22" s="403">
        <v>1.0024468898708743</v>
      </c>
      <c r="K22" s="402">
        <v>998.9220200146849</v>
      </c>
      <c r="L22" s="403">
        <v>1.0140053495898338</v>
      </c>
      <c r="M22" s="402">
        <v>0</v>
      </c>
      <c r="N22" s="403">
        <v>0</v>
      </c>
      <c r="O22" s="470">
        <v>998.9220200146849</v>
      </c>
      <c r="P22" s="403">
        <v>1.0140053495898338</v>
      </c>
      <c r="Q22" s="401">
        <v>10.587897853537356</v>
      </c>
      <c r="R22" s="403">
        <v>1.074777094636453E-2</v>
      </c>
      <c r="S22" s="470">
        <v>13.797020014685003</v>
      </c>
      <c r="T22" s="403">
        <v>1.4005349589833783E-2</v>
      </c>
      <c r="U22" s="411">
        <v>1150.5334990245824</v>
      </c>
      <c r="V22" s="471">
        <v>3.209122161147647</v>
      </c>
      <c r="W22" s="472">
        <v>3.2575786434692524E-3</v>
      </c>
      <c r="X22" s="473">
        <v>267.6086970181023</v>
      </c>
      <c r="Y22" s="331" t="s">
        <v>325</v>
      </c>
      <c r="Z22" s="331" t="s">
        <v>492</v>
      </c>
      <c r="AA22" s="474" t="s">
        <v>620</v>
      </c>
      <c r="AB22" s="474" t="s">
        <v>515</v>
      </c>
      <c r="AC22" s="331">
        <v>1</v>
      </c>
      <c r="AD22" s="404" t="s">
        <v>356</v>
      </c>
    </row>
    <row r="23" spans="2:30" s="388" customFormat="1" ht="27" customHeight="1">
      <c r="B23" s="909"/>
      <c r="C23" s="910"/>
      <c r="D23" s="329">
        <v>19</v>
      </c>
      <c r="E23" s="399" t="s">
        <v>751</v>
      </c>
      <c r="F23" s="400">
        <v>866.48316439700386</v>
      </c>
      <c r="G23" s="330">
        <v>344.19</v>
      </c>
      <c r="H23" s="401">
        <v>479.69999999999993</v>
      </c>
      <c r="I23" s="401">
        <v>481.01695954071749</v>
      </c>
      <c r="J23" s="403">
        <v>1.0026650583583405</v>
      </c>
      <c r="K23" s="402">
        <v>482.3</v>
      </c>
      <c r="L23" s="403">
        <v>1.0054200542005423</v>
      </c>
      <c r="M23" s="402">
        <v>1.7999999999999998</v>
      </c>
      <c r="N23" s="403">
        <v>3.7523452157598499E-3</v>
      </c>
      <c r="O23" s="470">
        <v>484.1</v>
      </c>
      <c r="P23" s="403">
        <v>1.009172399416302</v>
      </c>
      <c r="Q23" s="401">
        <v>2.5174559528080529</v>
      </c>
      <c r="R23" s="403">
        <v>5.2479798891141407E-3</v>
      </c>
      <c r="S23" s="470">
        <v>4.4000000000000199</v>
      </c>
      <c r="T23" s="403">
        <v>9.1723994163018987E-3</v>
      </c>
      <c r="U23" s="411">
        <v>1514.436000000007</v>
      </c>
      <c r="V23" s="471">
        <v>1.882544047191967</v>
      </c>
      <c r="W23" s="472">
        <v>3.9244195271877572E-3</v>
      </c>
      <c r="X23" s="473">
        <v>647.95283560300311</v>
      </c>
      <c r="Y23" s="331" t="s">
        <v>326</v>
      </c>
      <c r="Z23" s="331" t="s">
        <v>193</v>
      </c>
      <c r="AA23" s="474" t="s">
        <v>629</v>
      </c>
      <c r="AB23" s="474" t="s">
        <v>514</v>
      </c>
      <c r="AC23" s="331">
        <v>1</v>
      </c>
      <c r="AD23" s="404" t="s">
        <v>752</v>
      </c>
    </row>
    <row r="24" spans="2:30" s="388" customFormat="1" ht="27" customHeight="1">
      <c r="B24" s="911"/>
      <c r="C24" s="912"/>
      <c r="D24" s="329">
        <v>20</v>
      </c>
      <c r="E24" s="399" t="s">
        <v>632</v>
      </c>
      <c r="F24" s="400">
        <v>864.98299999999995</v>
      </c>
      <c r="G24" s="330">
        <v>298.27</v>
      </c>
      <c r="H24" s="401">
        <v>185.17500000000001</v>
      </c>
      <c r="I24" s="401">
        <v>186.50369843833539</v>
      </c>
      <c r="J24" s="403">
        <v>1.0073081205280667</v>
      </c>
      <c r="K24" s="402">
        <v>189.59999999999997</v>
      </c>
      <c r="L24" s="403">
        <v>1.0238963142972861</v>
      </c>
      <c r="M24" s="402">
        <v>0</v>
      </c>
      <c r="N24" s="403">
        <v>0</v>
      </c>
      <c r="O24" s="470">
        <v>189.59999999999997</v>
      </c>
      <c r="P24" s="403">
        <v>1.0238963142972861</v>
      </c>
      <c r="Q24" s="401">
        <v>2.9</v>
      </c>
      <c r="R24" s="403">
        <v>1.5660861347374103E-2</v>
      </c>
      <c r="S24" s="470">
        <v>4.4250000000000007</v>
      </c>
      <c r="T24" s="403">
        <v>2.3896314297286354E-2</v>
      </c>
      <c r="U24" s="411">
        <v>1319.8447500000002</v>
      </c>
      <c r="V24" s="471">
        <v>1.5250000000000008</v>
      </c>
      <c r="W24" s="472">
        <v>8.2354529499122486E-3</v>
      </c>
      <c r="X24" s="473">
        <v>454.8617500000002</v>
      </c>
      <c r="Y24" s="331" t="s">
        <v>326</v>
      </c>
      <c r="Z24" s="331" t="s">
        <v>193</v>
      </c>
      <c r="AA24" s="474" t="s">
        <v>629</v>
      </c>
      <c r="AB24" s="474" t="s">
        <v>514</v>
      </c>
      <c r="AC24" s="331">
        <v>1</v>
      </c>
      <c r="AD24" s="404" t="s">
        <v>628</v>
      </c>
    </row>
    <row r="28" spans="2:30" ht="14.1" customHeight="1"/>
    <row r="38" ht="14.1" customHeight="1"/>
    <row r="48" ht="14.1" customHeight="1"/>
    <row r="58" ht="14.1" customHeight="1"/>
    <row r="68" ht="14.1" customHeight="1"/>
    <row r="78" ht="14.1" customHeight="1"/>
  </sheetData>
  <mergeCells count="22">
    <mergeCell ref="E3:E4"/>
    <mergeCell ref="B2:AD2"/>
    <mergeCell ref="V3:X3"/>
    <mergeCell ref="AB3:AB4"/>
    <mergeCell ref="AC3:AC4"/>
    <mergeCell ref="AD3:AD4"/>
    <mergeCell ref="AF3:AM5"/>
    <mergeCell ref="B5:C24"/>
    <mergeCell ref="Y3:Y4"/>
    <mergeCell ref="Z3:Z4"/>
    <mergeCell ref="AA3:AA4"/>
    <mergeCell ref="M3:N3"/>
    <mergeCell ref="O3:P3"/>
    <mergeCell ref="Q3:R3"/>
    <mergeCell ref="S3:U3"/>
    <mergeCell ref="F3:F4"/>
    <mergeCell ref="G3:G4"/>
    <mergeCell ref="H3:H4"/>
    <mergeCell ref="I3:J3"/>
    <mergeCell ref="K3:L3"/>
    <mergeCell ref="B3:C4"/>
    <mergeCell ref="D3:D4"/>
  </mergeCells>
  <phoneticPr fontId="13" type="noConversion"/>
  <dataValidations disablePrompts="1" count="3">
    <dataValidation type="list" allowBlank="1" showInputMessage="1" showErrorMessage="1" sqref="Y5:Y24">
      <formula1>$AQ$6:$AQ$12</formula1>
    </dataValidation>
    <dataValidation type="list" allowBlank="1" showInputMessage="1" showErrorMessage="1" sqref="Z5:Z24">
      <formula1>$AP$6:$AP$12</formula1>
    </dataValidation>
    <dataValidation type="list" allowBlank="1" showInputMessage="1" showErrorMessage="1" sqref="Y1:Z3 Y25:Z1048576">
      <formula1>#REF!</formula1>
    </dataValidation>
  </dataValidations>
  <pageMargins left="0" right="0" top="0" bottom="0" header="0" footer="0"/>
  <pageSetup paperSize="9" scale="18" orientation="landscape" horizontalDpi="300" verticalDpi="30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39997558519241921"/>
    <pageSetUpPr fitToPage="1"/>
  </sheetPr>
  <dimension ref="B1:AP24"/>
  <sheetViews>
    <sheetView zoomScale="55" zoomScaleNormal="55" workbookViewId="0">
      <pane xSplit="4" ySplit="1" topLeftCell="E2" activePane="bottomRight" state="frozen"/>
      <selection activeCell="M12" sqref="M12:Q12"/>
      <selection pane="topRight" activeCell="M12" sqref="M12:Q12"/>
      <selection pane="bottomLeft" activeCell="M12" sqref="M12:Q12"/>
      <selection pane="bottomRight" activeCell="T37" sqref="T37"/>
    </sheetView>
  </sheetViews>
  <sheetFormatPr defaultColWidth="8.85546875" defaultRowHeight="16.5"/>
  <cols>
    <col min="1" max="1" width="8.85546875" style="327"/>
    <col min="2" max="2" width="12.42578125" style="327" customWidth="1"/>
    <col min="3" max="3" width="8.85546875" style="327"/>
    <col min="4" max="4" width="11.5703125" style="327" customWidth="1"/>
    <col min="5" max="5" width="39.28515625" style="327" bestFit="1" customWidth="1"/>
    <col min="6" max="6" width="11.42578125" style="327" bestFit="1" customWidth="1"/>
    <col min="7" max="8" width="15.85546875" style="327" bestFit="1" customWidth="1"/>
    <col min="9" max="9" width="16.85546875" style="327" customWidth="1"/>
    <col min="10" max="10" width="14" style="327" customWidth="1"/>
    <col min="11" max="11" width="15.42578125" style="327" bestFit="1" customWidth="1"/>
    <col min="12" max="12" width="12.28515625" style="327" bestFit="1" customWidth="1"/>
    <col min="13" max="13" width="19.140625" style="327" bestFit="1" customWidth="1"/>
    <col min="14" max="14" width="15.28515625" style="327" bestFit="1" customWidth="1"/>
    <col min="15" max="15" width="19.140625" style="327" bestFit="1" customWidth="1"/>
    <col min="16" max="16" width="12.5703125" style="327" bestFit="1" customWidth="1"/>
    <col min="17" max="17" width="9.140625" style="327" bestFit="1" customWidth="1"/>
    <col min="18" max="18" width="12.28515625" style="327" bestFit="1" customWidth="1"/>
    <col min="19" max="19" width="12.5703125" style="327" bestFit="1" customWidth="1"/>
    <col min="20" max="20" width="12.42578125" style="327" bestFit="1" customWidth="1"/>
    <col min="21" max="21" width="11.42578125" style="327" bestFit="1" customWidth="1"/>
    <col min="22" max="24" width="11.42578125" style="327" customWidth="1"/>
    <col min="25" max="25" width="12.42578125" style="327" bestFit="1" customWidth="1"/>
    <col min="26" max="26" width="15.28515625" style="327" bestFit="1" customWidth="1"/>
    <col min="27" max="27" width="66.85546875" style="327" bestFit="1" customWidth="1"/>
    <col min="28" max="28" width="113.42578125" style="327" bestFit="1" customWidth="1"/>
    <col min="29" max="29" width="11.42578125" style="327" bestFit="1" customWidth="1"/>
    <col min="30" max="30" width="37.7109375" style="327" bestFit="1" customWidth="1"/>
    <col min="31" max="31" width="19.42578125" style="327" bestFit="1" customWidth="1"/>
    <col min="32" max="32" width="21.5703125" style="327" customWidth="1"/>
    <col min="33" max="33" width="19.42578125" style="327" bestFit="1" customWidth="1"/>
    <col min="34" max="39" width="14.42578125" style="327" customWidth="1"/>
    <col min="40" max="16384" width="8.85546875" style="327"/>
  </cols>
  <sheetData>
    <row r="1" spans="2:42" ht="21">
      <c r="B1" s="475" t="s">
        <v>674</v>
      </c>
    </row>
    <row r="2" spans="2:42" ht="41.1" customHeight="1">
      <c r="B2" s="930" t="s">
        <v>672</v>
      </c>
      <c r="C2" s="931"/>
      <c r="D2" s="931"/>
      <c r="E2" s="931"/>
      <c r="F2" s="931"/>
      <c r="G2" s="931"/>
      <c r="H2" s="931"/>
      <c r="I2" s="931"/>
      <c r="J2" s="931"/>
      <c r="K2" s="931"/>
      <c r="L2" s="931"/>
      <c r="M2" s="931"/>
      <c r="N2" s="931"/>
      <c r="O2" s="931"/>
      <c r="P2" s="931"/>
      <c r="Q2" s="931"/>
      <c r="R2" s="931"/>
      <c r="S2" s="931"/>
      <c r="T2" s="931"/>
      <c r="U2" s="931"/>
      <c r="V2" s="931"/>
      <c r="W2" s="931"/>
      <c r="X2" s="931"/>
      <c r="Y2" s="931"/>
      <c r="Z2" s="931"/>
      <c r="AA2" s="931"/>
      <c r="AB2" s="931"/>
      <c r="AD2" s="328"/>
      <c r="AE2" s="328"/>
      <c r="AF2" s="328"/>
      <c r="AG2" s="328"/>
    </row>
    <row r="3" spans="2:42" ht="17.100000000000001" customHeight="1">
      <c r="B3" s="924" t="s">
        <v>649</v>
      </c>
      <c r="C3" s="925"/>
      <c r="D3" s="928" t="s">
        <v>650</v>
      </c>
      <c r="E3" s="929" t="s">
        <v>651</v>
      </c>
      <c r="F3" s="937" t="s">
        <v>673</v>
      </c>
      <c r="G3" s="921" t="s">
        <v>653</v>
      </c>
      <c r="H3" s="923" t="s">
        <v>654</v>
      </c>
      <c r="I3" s="915" t="s">
        <v>655</v>
      </c>
      <c r="J3" s="916"/>
      <c r="K3" s="915" t="s">
        <v>656</v>
      </c>
      <c r="L3" s="916"/>
      <c r="M3" s="915" t="s">
        <v>657</v>
      </c>
      <c r="N3" s="916"/>
      <c r="O3" s="915" t="s">
        <v>658</v>
      </c>
      <c r="P3" s="916"/>
      <c r="Q3" s="915" t="s">
        <v>659</v>
      </c>
      <c r="R3" s="935"/>
      <c r="S3" s="916"/>
      <c r="T3" s="917" t="s">
        <v>660</v>
      </c>
      <c r="U3" s="918"/>
      <c r="V3" s="932" t="s">
        <v>661</v>
      </c>
      <c r="W3" s="933"/>
      <c r="X3" s="934"/>
      <c r="Y3" s="913" t="s">
        <v>165</v>
      </c>
      <c r="Z3" s="913" t="s">
        <v>662</v>
      </c>
      <c r="AA3" s="913" t="s">
        <v>663</v>
      </c>
      <c r="AB3" s="913" t="s">
        <v>664</v>
      </c>
      <c r="AC3" s="913" t="s">
        <v>665</v>
      </c>
      <c r="AD3" s="921" t="s">
        <v>166</v>
      </c>
      <c r="AF3" s="898" t="s">
        <v>666</v>
      </c>
      <c r="AG3" s="899"/>
      <c r="AH3" s="899"/>
      <c r="AI3" s="899"/>
      <c r="AJ3" s="899"/>
      <c r="AK3" s="899"/>
      <c r="AL3" s="899"/>
      <c r="AM3" s="900"/>
    </row>
    <row r="4" spans="2:42" ht="16.5" customHeight="1">
      <c r="B4" s="926"/>
      <c r="C4" s="927"/>
      <c r="D4" s="928"/>
      <c r="E4" s="928"/>
      <c r="F4" s="920"/>
      <c r="G4" s="922"/>
      <c r="H4" s="922"/>
      <c r="I4" s="570" t="s">
        <v>667</v>
      </c>
      <c r="J4" s="569" t="s">
        <v>596</v>
      </c>
      <c r="K4" s="570" t="s">
        <v>667</v>
      </c>
      <c r="L4" s="569" t="s">
        <v>596</v>
      </c>
      <c r="M4" s="570" t="s">
        <v>667</v>
      </c>
      <c r="N4" s="569" t="s">
        <v>596</v>
      </c>
      <c r="O4" s="570" t="s">
        <v>667</v>
      </c>
      <c r="P4" s="569" t="s">
        <v>596</v>
      </c>
      <c r="Q4" s="570" t="s">
        <v>667</v>
      </c>
      <c r="R4" s="569" t="s">
        <v>596</v>
      </c>
      <c r="S4" s="569" t="s">
        <v>597</v>
      </c>
      <c r="T4" s="570" t="s">
        <v>667</v>
      </c>
      <c r="U4" s="569" t="s">
        <v>596</v>
      </c>
      <c r="V4" s="570" t="s">
        <v>667</v>
      </c>
      <c r="W4" s="569" t="s">
        <v>596</v>
      </c>
      <c r="X4" s="569" t="s">
        <v>597</v>
      </c>
      <c r="Y4" s="914"/>
      <c r="Z4" s="914"/>
      <c r="AA4" s="914"/>
      <c r="AB4" s="914"/>
      <c r="AC4" s="914"/>
      <c r="AD4" s="922"/>
      <c r="AF4" s="901"/>
      <c r="AG4" s="902"/>
      <c r="AH4" s="902"/>
      <c r="AI4" s="902"/>
      <c r="AJ4" s="902"/>
      <c r="AK4" s="902"/>
      <c r="AL4" s="902"/>
      <c r="AM4" s="903"/>
    </row>
    <row r="5" spans="2:42" s="388" customFormat="1" ht="27" customHeight="1">
      <c r="B5" s="936" t="s">
        <v>764</v>
      </c>
      <c r="C5" s="908"/>
      <c r="D5" s="329">
        <v>1</v>
      </c>
      <c r="E5" s="399" t="s">
        <v>775</v>
      </c>
      <c r="F5" s="411">
        <v>1895.8409933201178</v>
      </c>
      <c r="G5" s="330">
        <v>420.33</v>
      </c>
      <c r="H5" s="401">
        <v>443.79999999999995</v>
      </c>
      <c r="I5" s="401">
        <v>445.74597701324615</v>
      </c>
      <c r="J5" s="403">
        <v>1.0045997516221978</v>
      </c>
      <c r="K5" s="402">
        <v>448.31036327009758</v>
      </c>
      <c r="L5" s="403">
        <v>1.0101630537857089</v>
      </c>
      <c r="M5" s="402">
        <v>0</v>
      </c>
      <c r="N5" s="403">
        <v>0</v>
      </c>
      <c r="O5" s="470">
        <v>448.31036327009758</v>
      </c>
      <c r="P5" s="403">
        <v>1.0101630537857089</v>
      </c>
      <c r="Q5" s="401">
        <v>2.5677272778750617</v>
      </c>
      <c r="R5" s="403">
        <v>5.7857757500564717E-3</v>
      </c>
      <c r="S5" s="412">
        <v>1079.2928067092248</v>
      </c>
      <c r="T5" s="470">
        <v>4.5103632700975851</v>
      </c>
      <c r="U5" s="403">
        <v>1.0118685311126321E-2</v>
      </c>
      <c r="V5" s="471">
        <v>1.9426359922225234</v>
      </c>
      <c r="W5" s="472">
        <v>4.3772780356523744E-3</v>
      </c>
      <c r="X5" s="473">
        <v>816.54818661089325</v>
      </c>
      <c r="Y5" s="424" t="s">
        <v>326</v>
      </c>
      <c r="Z5" s="424" t="s">
        <v>193</v>
      </c>
      <c r="AA5" s="331" t="s">
        <v>629</v>
      </c>
      <c r="AB5" s="331" t="s">
        <v>514</v>
      </c>
      <c r="AC5" s="331">
        <v>1</v>
      </c>
      <c r="AD5" s="404" t="s">
        <v>348</v>
      </c>
      <c r="AF5" s="904"/>
      <c r="AG5" s="905"/>
      <c r="AH5" s="905"/>
      <c r="AI5" s="905"/>
      <c r="AJ5" s="905"/>
      <c r="AK5" s="905"/>
      <c r="AL5" s="905"/>
      <c r="AM5" s="906"/>
      <c r="AO5" s="405" t="s">
        <v>668</v>
      </c>
      <c r="AP5" s="405" t="s">
        <v>165</v>
      </c>
    </row>
    <row r="6" spans="2:42" s="388" customFormat="1" ht="27" customHeight="1">
      <c r="B6" s="909"/>
      <c r="C6" s="910"/>
      <c r="D6" s="329">
        <v>2</v>
      </c>
      <c r="E6" s="399" t="s">
        <v>331</v>
      </c>
      <c r="F6" s="411">
        <v>1792.2047131007066</v>
      </c>
      <c r="G6" s="330">
        <v>487.66</v>
      </c>
      <c r="H6" s="401">
        <v>304.88</v>
      </c>
      <c r="I6" s="401">
        <v>306.69052911262452</v>
      </c>
      <c r="J6" s="403">
        <v>1.0059458129251204</v>
      </c>
      <c r="K6" s="402">
        <v>308.55511116987395</v>
      </c>
      <c r="L6" s="403">
        <v>1.0120542874897467</v>
      </c>
      <c r="M6" s="402">
        <v>0</v>
      </c>
      <c r="N6" s="403">
        <v>0</v>
      </c>
      <c r="O6" s="470">
        <v>308.55511116987395</v>
      </c>
      <c r="P6" s="403">
        <v>1.0120542874897467</v>
      </c>
      <c r="Q6" s="401">
        <v>1.9385493649871413</v>
      </c>
      <c r="R6" s="403">
        <v>6.3584012233899936E-3</v>
      </c>
      <c r="S6" s="412">
        <v>945.3529833296293</v>
      </c>
      <c r="T6" s="470">
        <v>3.675111169873901</v>
      </c>
      <c r="U6" s="403">
        <v>1.1983125727773313E-2</v>
      </c>
      <c r="V6" s="471">
        <v>1.7365618048867597</v>
      </c>
      <c r="W6" s="472">
        <v>5.6958862663564671E-3</v>
      </c>
      <c r="X6" s="473">
        <v>846.85172977107732</v>
      </c>
      <c r="Y6" s="424" t="s">
        <v>326</v>
      </c>
      <c r="Z6" s="424" t="s">
        <v>194</v>
      </c>
      <c r="AA6" s="331" t="s">
        <v>580</v>
      </c>
      <c r="AB6" s="331" t="s">
        <v>514</v>
      </c>
      <c r="AC6" s="331">
        <v>1</v>
      </c>
      <c r="AD6" s="404" t="s">
        <v>626</v>
      </c>
      <c r="AF6" s="222" t="s">
        <v>669</v>
      </c>
      <c r="AG6" s="222" t="s">
        <v>598</v>
      </c>
      <c r="AH6" s="469" t="s">
        <v>645</v>
      </c>
      <c r="AI6" s="469" t="s">
        <v>365</v>
      </c>
      <c r="AJ6" s="469" t="s">
        <v>492</v>
      </c>
      <c r="AK6" s="469" t="s">
        <v>193</v>
      </c>
      <c r="AL6" s="469" t="s">
        <v>194</v>
      </c>
      <c r="AM6" s="469" t="s">
        <v>506</v>
      </c>
      <c r="AO6" s="407" t="s">
        <v>598</v>
      </c>
      <c r="AP6" s="208" t="s">
        <v>670</v>
      </c>
    </row>
    <row r="7" spans="2:42" s="388" customFormat="1" ht="27" customHeight="1">
      <c r="B7" s="909"/>
      <c r="C7" s="910"/>
      <c r="D7" s="329">
        <v>3</v>
      </c>
      <c r="E7" s="399" t="s">
        <v>579</v>
      </c>
      <c r="F7" s="411">
        <v>1731.2712099982018</v>
      </c>
      <c r="G7" s="330">
        <v>447.3</v>
      </c>
      <c r="H7" s="401">
        <v>684.00000000000011</v>
      </c>
      <c r="I7" s="401">
        <v>687.16089504670254</v>
      </c>
      <c r="J7" s="403">
        <v>1.0046338018751948</v>
      </c>
      <c r="K7" s="402">
        <v>687.37049230940806</v>
      </c>
      <c r="L7" s="403">
        <v>1.0049276203353918</v>
      </c>
      <c r="M7" s="402">
        <v>0.5</v>
      </c>
      <c r="N7" s="403">
        <v>7.3099415204678348E-4</v>
      </c>
      <c r="O7" s="470">
        <v>687.87049230940806</v>
      </c>
      <c r="P7" s="403">
        <v>1.0056586144874384</v>
      </c>
      <c r="Q7" s="401">
        <v>1.6515846338234401</v>
      </c>
      <c r="R7" s="403">
        <v>2.414597417870526E-3</v>
      </c>
      <c r="S7" s="412">
        <v>738.75380670922482</v>
      </c>
      <c r="T7" s="470">
        <v>3.8704923094080073</v>
      </c>
      <c r="U7" s="403">
        <v>5.6325852319418605E-3</v>
      </c>
      <c r="V7" s="471">
        <v>2.2189076755845671</v>
      </c>
      <c r="W7" s="472">
        <v>3.2440170695680801E-3</v>
      </c>
      <c r="X7" s="473">
        <v>992.51740328897688</v>
      </c>
      <c r="Y7" s="424" t="s">
        <v>326</v>
      </c>
      <c r="Z7" s="424" t="s">
        <v>193</v>
      </c>
      <c r="AA7" s="331" t="s">
        <v>580</v>
      </c>
      <c r="AB7" s="331" t="s">
        <v>514</v>
      </c>
      <c r="AC7" s="331">
        <v>1</v>
      </c>
      <c r="AD7" s="404" t="s">
        <v>578</v>
      </c>
      <c r="AF7" s="406">
        <v>20</v>
      </c>
      <c r="AG7" s="332">
        <v>0</v>
      </c>
      <c r="AH7" s="332">
        <v>0</v>
      </c>
      <c r="AI7" s="332">
        <v>1</v>
      </c>
      <c r="AJ7" s="332">
        <v>10</v>
      </c>
      <c r="AK7" s="332">
        <v>6</v>
      </c>
      <c r="AL7" s="332">
        <v>2</v>
      </c>
      <c r="AM7" s="332">
        <v>1</v>
      </c>
      <c r="AO7" s="208" t="s">
        <v>645</v>
      </c>
      <c r="AP7" s="208" t="s">
        <v>329</v>
      </c>
    </row>
    <row r="8" spans="2:42" s="388" customFormat="1" ht="27" customHeight="1">
      <c r="B8" s="909"/>
      <c r="C8" s="910"/>
      <c r="D8" s="329">
        <v>4</v>
      </c>
      <c r="E8" s="399" t="s">
        <v>701</v>
      </c>
      <c r="F8" s="411">
        <v>1692.9276000000002</v>
      </c>
      <c r="G8" s="330">
        <v>1010.1</v>
      </c>
      <c r="H8" s="401">
        <v>78.823999999999998</v>
      </c>
      <c r="I8" s="401">
        <v>79.965325192137584</v>
      </c>
      <c r="J8" s="403">
        <v>1.0141255568870435</v>
      </c>
      <c r="K8" s="402">
        <v>80.199999999999989</v>
      </c>
      <c r="L8" s="403">
        <v>1.01745661219933</v>
      </c>
      <c r="M8" s="402">
        <v>0.3</v>
      </c>
      <c r="N8" s="403">
        <v>3.8059474271795392E-3</v>
      </c>
      <c r="O8" s="470">
        <v>80.499999999999986</v>
      </c>
      <c r="P8" s="403">
        <v>1.0212625596265095</v>
      </c>
      <c r="Q8" s="401">
        <v>0.90520019800019691</v>
      </c>
      <c r="R8" s="403">
        <v>1.1483814548870864E-2</v>
      </c>
      <c r="S8" s="412">
        <v>914.34271999999896</v>
      </c>
      <c r="T8" s="470">
        <v>1.6760000000000002</v>
      </c>
      <c r="U8" s="403">
        <v>2.0959084402807995E-2</v>
      </c>
      <c r="V8" s="471">
        <v>0.77079980199980325</v>
      </c>
      <c r="W8" s="472">
        <v>9.7787450776388313E-3</v>
      </c>
      <c r="X8" s="473">
        <v>778.58488000000125</v>
      </c>
      <c r="Y8" s="424" t="s">
        <v>326</v>
      </c>
      <c r="Z8" s="424" t="s">
        <v>506</v>
      </c>
      <c r="AA8" s="331" t="s">
        <v>589</v>
      </c>
      <c r="AB8" s="331" t="s">
        <v>647</v>
      </c>
      <c r="AC8" s="331">
        <v>1</v>
      </c>
      <c r="AD8" s="404" t="s">
        <v>700</v>
      </c>
      <c r="AF8" s="408"/>
      <c r="AG8" s="409">
        <v>0</v>
      </c>
      <c r="AH8" s="409">
        <v>0</v>
      </c>
      <c r="AI8" s="409">
        <v>1342.1630400000001</v>
      </c>
      <c r="AJ8" s="409">
        <v>14000.804869999998</v>
      </c>
      <c r="AK8" s="409">
        <v>9300.5849499999968</v>
      </c>
      <c r="AL8" s="409">
        <v>3721.092560000006</v>
      </c>
      <c r="AM8" s="409">
        <v>1862.9183999999943</v>
      </c>
      <c r="AO8" s="208" t="s">
        <v>365</v>
      </c>
      <c r="AP8" s="208" t="s">
        <v>329</v>
      </c>
    </row>
    <row r="9" spans="2:42" s="388" customFormat="1" ht="27" customHeight="1">
      <c r="B9" s="909"/>
      <c r="C9" s="910"/>
      <c r="D9" s="329">
        <v>5</v>
      </c>
      <c r="E9" s="399" t="s">
        <v>710</v>
      </c>
      <c r="F9" s="411">
        <v>1690.8416</v>
      </c>
      <c r="G9" s="330">
        <v>935.2</v>
      </c>
      <c r="H9" s="401">
        <v>93.89200000000001</v>
      </c>
      <c r="I9" s="401">
        <v>95.455699962037386</v>
      </c>
      <c r="J9" s="403">
        <v>1.0168954247706139</v>
      </c>
      <c r="K9" s="402">
        <v>95.399999999999991</v>
      </c>
      <c r="L9" s="403">
        <v>1.0160610062625142</v>
      </c>
      <c r="M9" s="402">
        <v>0.3</v>
      </c>
      <c r="N9" s="403">
        <v>3.1951603970519315E-3</v>
      </c>
      <c r="O9" s="470">
        <v>95.699999999999989</v>
      </c>
      <c r="P9" s="403">
        <v>1.0192561666595661</v>
      </c>
      <c r="Q9" s="401">
        <v>0.81385799828913608</v>
      </c>
      <c r="R9" s="403">
        <v>8.6680228165246873E-3</v>
      </c>
      <c r="S9" s="412">
        <v>761.11999999999989</v>
      </c>
      <c r="T9" s="470">
        <v>1.8079999999999998</v>
      </c>
      <c r="U9" s="403">
        <v>1.8940723295927213E-2</v>
      </c>
      <c r="V9" s="471">
        <v>0.99414200171086375</v>
      </c>
      <c r="W9" s="472">
        <v>1.0588143843041619E-2</v>
      </c>
      <c r="X9" s="473">
        <v>929.72159999999985</v>
      </c>
      <c r="Y9" s="424" t="s">
        <v>326</v>
      </c>
      <c r="Z9" s="424" t="s">
        <v>506</v>
      </c>
      <c r="AA9" s="331" t="s">
        <v>589</v>
      </c>
      <c r="AB9" s="331" t="s">
        <v>647</v>
      </c>
      <c r="AC9" s="331">
        <v>1</v>
      </c>
      <c r="AD9" s="404" t="s">
        <v>622</v>
      </c>
      <c r="AF9" s="329"/>
      <c r="AG9" s="476">
        <v>0</v>
      </c>
      <c r="AH9" s="476">
        <v>0</v>
      </c>
      <c r="AI9" s="476">
        <v>0.05</v>
      </c>
      <c r="AJ9" s="476">
        <v>0.5</v>
      </c>
      <c r="AK9" s="476">
        <v>0.3</v>
      </c>
      <c r="AL9" s="476">
        <v>0.1</v>
      </c>
      <c r="AM9" s="476">
        <v>0.05</v>
      </c>
      <c r="AO9" s="208" t="s">
        <v>492</v>
      </c>
      <c r="AP9" s="208" t="s">
        <v>325</v>
      </c>
    </row>
    <row r="10" spans="2:42" s="388" customFormat="1" ht="27" customHeight="1">
      <c r="B10" s="909"/>
      <c r="C10" s="910"/>
      <c r="D10" s="329">
        <v>6</v>
      </c>
      <c r="E10" s="399" t="s">
        <v>706</v>
      </c>
      <c r="F10" s="411">
        <v>1649.4221199996646</v>
      </c>
      <c r="G10" s="330">
        <v>136.88999999999999</v>
      </c>
      <c r="H10" s="401">
        <v>2417.7059999999997</v>
      </c>
      <c r="I10" s="401">
        <v>2422.9317813292514</v>
      </c>
      <c r="J10" s="403">
        <v>1.0021612055792049</v>
      </c>
      <c r="K10" s="402">
        <v>2429.755252100224</v>
      </c>
      <c r="L10" s="403">
        <v>1.0049837540628284</v>
      </c>
      <c r="M10" s="402">
        <v>0</v>
      </c>
      <c r="N10" s="403">
        <v>0</v>
      </c>
      <c r="O10" s="470">
        <v>2429.755252100224</v>
      </c>
      <c r="P10" s="403">
        <v>1.0049837540628284</v>
      </c>
      <c r="Q10" s="401">
        <v>7.6000000000000014</v>
      </c>
      <c r="R10" s="403">
        <v>3.1434756748752752E-3</v>
      </c>
      <c r="S10" s="412">
        <v>1040.364</v>
      </c>
      <c r="T10" s="470">
        <v>12.04925210022401</v>
      </c>
      <c r="U10" s="403">
        <v>4.9730050978214644E-3</v>
      </c>
      <c r="V10" s="471">
        <v>4.4492521002240082</v>
      </c>
      <c r="W10" s="472">
        <v>1.8402783879528813E-3</v>
      </c>
      <c r="X10" s="473">
        <v>609.05811999966443</v>
      </c>
      <c r="Y10" s="424" t="s">
        <v>326</v>
      </c>
      <c r="Z10" s="424" t="s">
        <v>193</v>
      </c>
      <c r="AA10" s="331" t="s">
        <v>629</v>
      </c>
      <c r="AB10" s="331" t="s">
        <v>514</v>
      </c>
      <c r="AC10" s="331">
        <v>1</v>
      </c>
      <c r="AD10" s="404" t="s">
        <v>330</v>
      </c>
      <c r="AO10" s="208" t="s">
        <v>193</v>
      </c>
      <c r="AP10" s="208" t="s">
        <v>326</v>
      </c>
    </row>
    <row r="11" spans="2:42" s="388" customFormat="1" ht="27" customHeight="1">
      <c r="B11" s="909"/>
      <c r="C11" s="910"/>
      <c r="D11" s="329">
        <v>7</v>
      </c>
      <c r="E11" s="399" t="s">
        <v>738</v>
      </c>
      <c r="F11" s="411">
        <v>1579.818337253505</v>
      </c>
      <c r="G11" s="330">
        <v>444.88</v>
      </c>
      <c r="H11" s="401">
        <v>229.10399999999998</v>
      </c>
      <c r="I11" s="401">
        <v>230.4860176949889</v>
      </c>
      <c r="J11" s="403">
        <v>1.0061699164116436</v>
      </c>
      <c r="K11" s="402">
        <v>232.65511116987389</v>
      </c>
      <c r="L11" s="403">
        <v>1.0154999963766407</v>
      </c>
      <c r="M11" s="402">
        <v>0</v>
      </c>
      <c r="N11" s="403">
        <v>0</v>
      </c>
      <c r="O11" s="470">
        <v>232.65511116987389</v>
      </c>
      <c r="P11" s="403">
        <v>1.0154999963766407</v>
      </c>
      <c r="Q11" s="401">
        <v>1.8880678511999878</v>
      </c>
      <c r="R11" s="403">
        <v>8.241095097422952E-3</v>
      </c>
      <c r="S11" s="412">
        <v>839.96362564185063</v>
      </c>
      <c r="T11" s="470">
        <v>3.5511111698739093</v>
      </c>
      <c r="U11" s="403">
        <v>1.5407056815798834E-2</v>
      </c>
      <c r="V11" s="471">
        <v>1.6630433186739215</v>
      </c>
      <c r="W11" s="472">
        <v>7.2589012792178293E-3</v>
      </c>
      <c r="X11" s="473">
        <v>739.85471161165424</v>
      </c>
      <c r="Y11" s="424" t="s">
        <v>326</v>
      </c>
      <c r="Z11" s="424" t="s">
        <v>194</v>
      </c>
      <c r="AA11" s="331" t="s">
        <v>580</v>
      </c>
      <c r="AB11" s="331" t="s">
        <v>514</v>
      </c>
      <c r="AC11" s="331">
        <v>1</v>
      </c>
      <c r="AD11" s="404" t="s">
        <v>549</v>
      </c>
      <c r="AO11" s="208" t="s">
        <v>194</v>
      </c>
      <c r="AP11" s="208" t="s">
        <v>326</v>
      </c>
    </row>
    <row r="12" spans="2:42" s="388" customFormat="1" ht="27" customHeight="1">
      <c r="B12" s="909"/>
      <c r="C12" s="910"/>
      <c r="D12" s="329">
        <v>8</v>
      </c>
      <c r="E12" s="399" t="s">
        <v>711</v>
      </c>
      <c r="F12" s="411">
        <v>1570.6501447367905</v>
      </c>
      <c r="G12" s="330">
        <v>111.17</v>
      </c>
      <c r="H12" s="401">
        <v>2604.8820000000005</v>
      </c>
      <c r="I12" s="401">
        <v>2612.3310745378158</v>
      </c>
      <c r="J12" s="403">
        <v>1.0028169732648806</v>
      </c>
      <c r="K12" s="402">
        <v>2619.010363270098</v>
      </c>
      <c r="L12" s="403">
        <v>1.0054238016424919</v>
      </c>
      <c r="M12" s="402">
        <v>0</v>
      </c>
      <c r="N12" s="403">
        <v>0</v>
      </c>
      <c r="O12" s="470">
        <v>2619.010363270098</v>
      </c>
      <c r="P12" s="403">
        <v>1.0054238016424919</v>
      </c>
      <c r="Q12" s="401">
        <v>9.0951333192968313</v>
      </c>
      <c r="R12" s="403">
        <v>3.4915721016525237E-3</v>
      </c>
      <c r="S12" s="412">
        <v>1011.1059711062287</v>
      </c>
      <c r="T12" s="470">
        <v>14.128363270097964</v>
      </c>
      <c r="U12" s="403">
        <v>5.408335646199673E-3</v>
      </c>
      <c r="V12" s="471">
        <v>5.0332299508011324</v>
      </c>
      <c r="W12" s="472">
        <v>1.9322295408395205E-3</v>
      </c>
      <c r="X12" s="473">
        <v>559.54417363056189</v>
      </c>
      <c r="Y12" s="424" t="s">
        <v>325</v>
      </c>
      <c r="Z12" s="424" t="s">
        <v>492</v>
      </c>
      <c r="AA12" s="331" t="s">
        <v>620</v>
      </c>
      <c r="AB12" s="331" t="s">
        <v>515</v>
      </c>
      <c r="AC12" s="331">
        <v>1</v>
      </c>
      <c r="AD12" s="404" t="s">
        <v>330</v>
      </c>
      <c r="AO12" s="208" t="s">
        <v>506</v>
      </c>
      <c r="AP12" s="208" t="s">
        <v>326</v>
      </c>
    </row>
    <row r="13" spans="2:42" s="388" customFormat="1" ht="27" customHeight="1">
      <c r="B13" s="909"/>
      <c r="C13" s="910"/>
      <c r="D13" s="329">
        <v>9</v>
      </c>
      <c r="E13" s="399" t="s">
        <v>631</v>
      </c>
      <c r="F13" s="411">
        <v>1550.6188799999993</v>
      </c>
      <c r="G13" s="330">
        <v>304.76</v>
      </c>
      <c r="H13" s="401">
        <v>118.512</v>
      </c>
      <c r="I13" s="401">
        <v>120.70533375928741</v>
      </c>
      <c r="J13" s="403">
        <v>1.0190986893550784</v>
      </c>
      <c r="K13" s="402">
        <v>123.6</v>
      </c>
      <c r="L13" s="403">
        <v>1.0429323612798704</v>
      </c>
      <c r="M13" s="402">
        <v>0</v>
      </c>
      <c r="N13" s="403">
        <v>0</v>
      </c>
      <c r="O13" s="470">
        <v>123.6</v>
      </c>
      <c r="P13" s="403">
        <v>1.0429323612798704</v>
      </c>
      <c r="Q13" s="401">
        <v>3.1692538611012759</v>
      </c>
      <c r="R13" s="403">
        <v>2.6742050265806633E-2</v>
      </c>
      <c r="S13" s="412">
        <v>965.86180670922488</v>
      </c>
      <c r="T13" s="470">
        <v>5.0879999999999974</v>
      </c>
      <c r="U13" s="403">
        <v>4.2152238360456978E-2</v>
      </c>
      <c r="V13" s="471">
        <v>1.9187461388987215</v>
      </c>
      <c r="W13" s="472">
        <v>1.6190311014063735E-2</v>
      </c>
      <c r="X13" s="473">
        <v>584.75707329077431</v>
      </c>
      <c r="Y13" s="424" t="s">
        <v>329</v>
      </c>
      <c r="Z13" s="424" t="s">
        <v>645</v>
      </c>
      <c r="AA13" s="331" t="s">
        <v>784</v>
      </c>
      <c r="AB13" s="331" t="s">
        <v>785</v>
      </c>
      <c r="AC13" s="331">
        <v>1</v>
      </c>
      <c r="AD13" s="404" t="s">
        <v>628</v>
      </c>
    </row>
    <row r="14" spans="2:42" s="388" customFormat="1" ht="27" customHeight="1">
      <c r="B14" s="909"/>
      <c r="C14" s="910"/>
      <c r="D14" s="329">
        <v>10</v>
      </c>
      <c r="E14" s="399" t="s">
        <v>749</v>
      </c>
      <c r="F14" s="411">
        <v>1550.429034085842</v>
      </c>
      <c r="G14" s="330">
        <v>362.63</v>
      </c>
      <c r="H14" s="401">
        <v>390.59199999999993</v>
      </c>
      <c r="I14" s="401">
        <v>392.50010387020541</v>
      </c>
      <c r="J14" s="403">
        <v>1.0048715598373545</v>
      </c>
      <c r="K14" s="402">
        <v>394.86751232409296</v>
      </c>
      <c r="L14" s="403">
        <v>1.0109462362877197</v>
      </c>
      <c r="M14" s="402">
        <v>0</v>
      </c>
      <c r="N14" s="403">
        <v>0</v>
      </c>
      <c r="O14" s="470">
        <v>394.86751232409296</v>
      </c>
      <c r="P14" s="403">
        <v>1.0109462362877197</v>
      </c>
      <c r="Q14" s="401">
        <v>2.5987690638994301</v>
      </c>
      <c r="R14" s="403">
        <v>6.6534108837340003E-3</v>
      </c>
      <c r="S14" s="412">
        <v>942.39162564185017</v>
      </c>
      <c r="T14" s="470">
        <v>4.2755123240929933</v>
      </c>
      <c r="U14" s="403">
        <v>1.089302214683451E-2</v>
      </c>
      <c r="V14" s="471">
        <v>1.6767432601935632</v>
      </c>
      <c r="W14" s="472">
        <v>4.2928254039856515E-3</v>
      </c>
      <c r="X14" s="473">
        <v>608.03740844399181</v>
      </c>
      <c r="Y14" s="424" t="s">
        <v>325</v>
      </c>
      <c r="Z14" s="424" t="s">
        <v>492</v>
      </c>
      <c r="AA14" s="331" t="s">
        <v>624</v>
      </c>
      <c r="AB14" s="331" t="s">
        <v>611</v>
      </c>
      <c r="AC14" s="331">
        <v>1</v>
      </c>
      <c r="AD14" s="404" t="s">
        <v>750</v>
      </c>
    </row>
    <row r="15" spans="2:42" s="388" customFormat="1" ht="27" customHeight="1">
      <c r="B15" s="909"/>
      <c r="C15" s="910"/>
      <c r="D15" s="329">
        <v>11</v>
      </c>
      <c r="E15" s="399" t="s">
        <v>612</v>
      </c>
      <c r="F15" s="411">
        <v>1548.3543599999934</v>
      </c>
      <c r="G15" s="330">
        <v>371.13</v>
      </c>
      <c r="H15" s="401">
        <v>841.428</v>
      </c>
      <c r="I15" s="401">
        <v>843.3002222284714</v>
      </c>
      <c r="J15" s="403">
        <v>1.0022728627514741</v>
      </c>
      <c r="K15" s="402">
        <v>845.2</v>
      </c>
      <c r="L15" s="403">
        <v>1.0044828553364045</v>
      </c>
      <c r="M15" s="402">
        <v>0.4</v>
      </c>
      <c r="N15" s="403">
        <v>4.7538232623587522E-4</v>
      </c>
      <c r="O15" s="470">
        <v>845.6</v>
      </c>
      <c r="P15" s="403">
        <v>1.0049582376626403</v>
      </c>
      <c r="Q15" s="401">
        <v>1.9032193751764201</v>
      </c>
      <c r="R15" s="403">
        <v>2.2618921347713886E-3</v>
      </c>
      <c r="S15" s="412">
        <v>706.34180670922478</v>
      </c>
      <c r="T15" s="470">
        <v>4.1719999999999828</v>
      </c>
      <c r="U15" s="403">
        <v>4.9472298121483035E-3</v>
      </c>
      <c r="V15" s="471">
        <v>2.2687806248235627</v>
      </c>
      <c r="W15" s="472">
        <v>2.6963455278687693E-3</v>
      </c>
      <c r="X15" s="473">
        <v>842.01255329076878</v>
      </c>
      <c r="Y15" s="424" t="s">
        <v>325</v>
      </c>
      <c r="Z15" s="424" t="s">
        <v>492</v>
      </c>
      <c r="AA15" s="331" t="s">
        <v>624</v>
      </c>
      <c r="AB15" s="331" t="s">
        <v>611</v>
      </c>
      <c r="AC15" s="331">
        <v>1</v>
      </c>
      <c r="AD15" s="404" t="s">
        <v>350</v>
      </c>
      <c r="AH15" s="333"/>
    </row>
    <row r="16" spans="2:42" s="388" customFormat="1" ht="27" customHeight="1">
      <c r="B16" s="909"/>
      <c r="C16" s="910"/>
      <c r="D16" s="329">
        <v>12</v>
      </c>
      <c r="E16" s="399" t="s">
        <v>751</v>
      </c>
      <c r="F16" s="411">
        <v>1514.436000000007</v>
      </c>
      <c r="G16" s="330">
        <v>344.19</v>
      </c>
      <c r="H16" s="401">
        <v>479.69999999999993</v>
      </c>
      <c r="I16" s="401">
        <v>481.01695954071749</v>
      </c>
      <c r="J16" s="403">
        <v>1.0026650583583405</v>
      </c>
      <c r="K16" s="402">
        <v>482.3</v>
      </c>
      <c r="L16" s="403">
        <v>1.0054200542005423</v>
      </c>
      <c r="M16" s="402">
        <v>1.7999999999999998</v>
      </c>
      <c r="N16" s="403">
        <v>3.7523452157598499E-3</v>
      </c>
      <c r="O16" s="470">
        <v>484.1</v>
      </c>
      <c r="P16" s="403">
        <v>1.009172399416302</v>
      </c>
      <c r="Q16" s="401">
        <v>2.5174559528080529</v>
      </c>
      <c r="R16" s="403">
        <v>5.2479798891141407E-3</v>
      </c>
      <c r="S16" s="412">
        <v>866.48316439700386</v>
      </c>
      <c r="T16" s="470">
        <v>4.4000000000000199</v>
      </c>
      <c r="U16" s="403">
        <v>9.1472866241581342E-3</v>
      </c>
      <c r="V16" s="471">
        <v>1.882544047191967</v>
      </c>
      <c r="W16" s="472">
        <v>3.9244195271877572E-3</v>
      </c>
      <c r="X16" s="473">
        <v>647.95283560300311</v>
      </c>
      <c r="Y16" s="424" t="s">
        <v>326</v>
      </c>
      <c r="Z16" s="424" t="s">
        <v>193</v>
      </c>
      <c r="AA16" s="331" t="s">
        <v>629</v>
      </c>
      <c r="AB16" s="331" t="s">
        <v>514</v>
      </c>
      <c r="AC16" s="331">
        <v>1</v>
      </c>
      <c r="AD16" s="404" t="s">
        <v>752</v>
      </c>
    </row>
    <row r="17" spans="2:30" s="388" customFormat="1" ht="27" customHeight="1">
      <c r="B17" s="909"/>
      <c r="C17" s="910"/>
      <c r="D17" s="329">
        <v>13</v>
      </c>
      <c r="E17" s="399" t="s">
        <v>747</v>
      </c>
      <c r="F17" s="411">
        <v>1431.275890135586</v>
      </c>
      <c r="G17" s="330">
        <v>127.48</v>
      </c>
      <c r="H17" s="401">
        <v>1035.316</v>
      </c>
      <c r="I17" s="401">
        <v>1038.8010199116386</v>
      </c>
      <c r="J17" s="403">
        <v>1.0033782885051521</v>
      </c>
      <c r="K17" s="402">
        <v>1046.5434544252871</v>
      </c>
      <c r="L17" s="403">
        <v>1.010844471084468</v>
      </c>
      <c r="M17" s="402">
        <v>0</v>
      </c>
      <c r="N17" s="403">
        <v>0</v>
      </c>
      <c r="O17" s="470">
        <v>1046.5434544252871</v>
      </c>
      <c r="P17" s="403">
        <v>1.010844471084468</v>
      </c>
      <c r="Q17" s="401">
        <v>7.9398726945891793</v>
      </c>
      <c r="R17" s="403">
        <v>7.6690331208917658E-3</v>
      </c>
      <c r="S17" s="412">
        <v>1012.1749711062288</v>
      </c>
      <c r="T17" s="470">
        <v>11.227454425286993</v>
      </c>
      <c r="U17" s="403">
        <v>1.0808089528292927E-2</v>
      </c>
      <c r="V17" s="471">
        <v>3.2875817306978137</v>
      </c>
      <c r="W17" s="472">
        <v>3.1754379635761578E-3</v>
      </c>
      <c r="X17" s="473">
        <v>419.10091902935733</v>
      </c>
      <c r="Y17" s="424" t="s">
        <v>325</v>
      </c>
      <c r="Z17" s="424" t="s">
        <v>492</v>
      </c>
      <c r="AA17" s="331" t="s">
        <v>726</v>
      </c>
      <c r="AB17" s="331" t="s">
        <v>727</v>
      </c>
      <c r="AC17" s="331">
        <v>1</v>
      </c>
      <c r="AD17" s="404" t="s">
        <v>748</v>
      </c>
    </row>
    <row r="18" spans="2:30" s="388" customFormat="1" ht="27" customHeight="1">
      <c r="B18" s="909"/>
      <c r="C18" s="910"/>
      <c r="D18" s="329">
        <v>14</v>
      </c>
      <c r="E18" s="399" t="s">
        <v>728</v>
      </c>
      <c r="F18" s="411">
        <v>1429.6587999999979</v>
      </c>
      <c r="G18" s="330">
        <v>297.35000000000002</v>
      </c>
      <c r="H18" s="401">
        <v>296.59200000000004</v>
      </c>
      <c r="I18" s="401">
        <v>298.18015094443774</v>
      </c>
      <c r="J18" s="403">
        <v>1.0054820067896082</v>
      </c>
      <c r="K18" s="402">
        <v>301.39999999999998</v>
      </c>
      <c r="L18" s="403">
        <v>1.0162108216000429</v>
      </c>
      <c r="M18" s="402">
        <v>0</v>
      </c>
      <c r="N18" s="403">
        <v>0</v>
      </c>
      <c r="O18" s="470">
        <v>301.39999999999998</v>
      </c>
      <c r="P18" s="403">
        <v>1.0162108216000429</v>
      </c>
      <c r="Q18" s="401">
        <v>3</v>
      </c>
      <c r="R18" s="403">
        <v>1.0114905324486161E-2</v>
      </c>
      <c r="S18" s="412">
        <v>892.05</v>
      </c>
      <c r="T18" s="470">
        <v>4.8079999999999927</v>
      </c>
      <c r="U18" s="403">
        <v>1.6124480401433244E-2</v>
      </c>
      <c r="V18" s="471">
        <v>1.8079999999999927</v>
      </c>
      <c r="W18" s="472">
        <v>6.0959162755569686E-3</v>
      </c>
      <c r="X18" s="473">
        <v>537.60879999999793</v>
      </c>
      <c r="Y18" s="424" t="s">
        <v>329</v>
      </c>
      <c r="Z18" s="424" t="s">
        <v>598</v>
      </c>
      <c r="AA18" s="331" t="s">
        <v>629</v>
      </c>
      <c r="AB18" s="331" t="s">
        <v>514</v>
      </c>
      <c r="AC18" s="331">
        <v>1</v>
      </c>
      <c r="AD18" s="404" t="s">
        <v>573</v>
      </c>
    </row>
    <row r="19" spans="2:30" s="388" customFormat="1" ht="27" customHeight="1">
      <c r="B19" s="909"/>
      <c r="C19" s="910"/>
      <c r="D19" s="329">
        <v>15</v>
      </c>
      <c r="E19" s="399" t="s">
        <v>745</v>
      </c>
      <c r="F19" s="411">
        <v>1409.2789632641909</v>
      </c>
      <c r="G19" s="330">
        <v>154.4</v>
      </c>
      <c r="H19" s="401">
        <v>261.71600000000001</v>
      </c>
      <c r="I19" s="401">
        <v>264.01170515728563</v>
      </c>
      <c r="J19" s="403">
        <v>1.0087631702052631</v>
      </c>
      <c r="K19" s="402">
        <v>270.84345442528621</v>
      </c>
      <c r="L19" s="403">
        <v>1.0348754161965115</v>
      </c>
      <c r="M19" s="402">
        <v>0</v>
      </c>
      <c r="N19" s="403">
        <v>0</v>
      </c>
      <c r="O19" s="470">
        <v>270.84345442528621</v>
      </c>
      <c r="P19" s="403">
        <v>1.0348754161965115</v>
      </c>
      <c r="Q19" s="401">
        <v>7.0793348342749427</v>
      </c>
      <c r="R19" s="403">
        <v>2.7049682993301679E-2</v>
      </c>
      <c r="S19" s="412">
        <v>1093.049298412051</v>
      </c>
      <c r="T19" s="470">
        <v>9.12745442528621</v>
      </c>
      <c r="U19" s="403">
        <v>3.4572158154307996E-2</v>
      </c>
      <c r="V19" s="471">
        <v>2.0481195910112673</v>
      </c>
      <c r="W19" s="472">
        <v>7.8257332032098427E-3</v>
      </c>
      <c r="X19" s="473">
        <v>316.22966485213971</v>
      </c>
      <c r="Y19" s="424" t="s">
        <v>329</v>
      </c>
      <c r="Z19" s="424" t="s">
        <v>598</v>
      </c>
      <c r="AA19" s="331" t="s">
        <v>583</v>
      </c>
      <c r="AB19" s="331" t="s">
        <v>584</v>
      </c>
      <c r="AC19" s="331">
        <v>1</v>
      </c>
      <c r="AD19" s="404" t="s">
        <v>698</v>
      </c>
    </row>
    <row r="20" spans="2:30" s="388" customFormat="1" ht="27" customHeight="1">
      <c r="B20" s="909"/>
      <c r="C20" s="910"/>
      <c r="D20" s="329">
        <v>16</v>
      </c>
      <c r="E20" s="399" t="s">
        <v>786</v>
      </c>
      <c r="F20" s="411">
        <v>1407.4009599999977</v>
      </c>
      <c r="G20" s="330">
        <v>234.88</v>
      </c>
      <c r="H20" s="401">
        <v>420.20800000000003</v>
      </c>
      <c r="I20" s="401">
        <v>421.84917345551253</v>
      </c>
      <c r="J20" s="403">
        <v>1.0038615075481949</v>
      </c>
      <c r="K20" s="402">
        <v>424.40000000000003</v>
      </c>
      <c r="L20" s="403">
        <v>1.0099760118798309</v>
      </c>
      <c r="M20" s="402">
        <v>1.8</v>
      </c>
      <c r="N20" s="403">
        <v>4.2835928873319875E-3</v>
      </c>
      <c r="O20" s="470">
        <v>426.20000000000005</v>
      </c>
      <c r="P20" s="403">
        <v>1.014259604767163</v>
      </c>
      <c r="Q20" s="401">
        <v>3.8999999999999995</v>
      </c>
      <c r="R20" s="403">
        <v>9.2811179225526386E-3</v>
      </c>
      <c r="S20" s="412">
        <v>916.03199999999993</v>
      </c>
      <c r="T20" s="470">
        <v>5.9919999999999902</v>
      </c>
      <c r="U20" s="403">
        <v>1.4204128814375635E-2</v>
      </c>
      <c r="V20" s="471">
        <v>2.0919999999999908</v>
      </c>
      <c r="W20" s="472">
        <v>4.9784868446102661E-3</v>
      </c>
      <c r="X20" s="473">
        <v>491.3689599999978</v>
      </c>
      <c r="Y20" s="424" t="s">
        <v>325</v>
      </c>
      <c r="Z20" s="331" t="s">
        <v>492</v>
      </c>
      <c r="AA20" s="331" t="s">
        <v>583</v>
      </c>
      <c r="AB20" s="331" t="s">
        <v>584</v>
      </c>
      <c r="AC20" s="331">
        <v>1</v>
      </c>
      <c r="AD20" s="404" t="s">
        <v>761</v>
      </c>
    </row>
    <row r="21" spans="2:30" s="388" customFormat="1" ht="27" customHeight="1">
      <c r="B21" s="909"/>
      <c r="C21" s="910"/>
      <c r="D21" s="329">
        <v>17</v>
      </c>
      <c r="E21" s="399" t="s">
        <v>743</v>
      </c>
      <c r="F21" s="411">
        <v>1362.3448458356561</v>
      </c>
      <c r="G21" s="330">
        <v>116.66</v>
      </c>
      <c r="H21" s="401">
        <v>1209.9889999999998</v>
      </c>
      <c r="I21" s="401">
        <v>1213.835547181521</v>
      </c>
      <c r="J21" s="403">
        <v>1.0031708906740362</v>
      </c>
      <c r="K21" s="402">
        <v>1213.766908844811</v>
      </c>
      <c r="L21" s="403">
        <v>1.0031222670989663</v>
      </c>
      <c r="M21" s="402">
        <v>7.9</v>
      </c>
      <c r="N21" s="403">
        <v>6.5289849742435685E-3</v>
      </c>
      <c r="O21" s="470">
        <v>1221.6669088448111</v>
      </c>
      <c r="P21" s="403">
        <v>1.0096512520732099</v>
      </c>
      <c r="Q21" s="401">
        <v>7.0646306078280912</v>
      </c>
      <c r="R21" s="403">
        <v>5.8385907705178252E-3</v>
      </c>
      <c r="S21" s="412">
        <v>824.15980670922488</v>
      </c>
      <c r="T21" s="470">
        <v>11.677908844811043</v>
      </c>
      <c r="U21" s="403">
        <v>9.6206680319477333E-3</v>
      </c>
      <c r="V21" s="471">
        <v>4.6132782369829517</v>
      </c>
      <c r="W21" s="472">
        <v>3.8126613026919685E-3</v>
      </c>
      <c r="X21" s="473">
        <v>538.18503912643109</v>
      </c>
      <c r="Y21" s="424" t="s">
        <v>325</v>
      </c>
      <c r="Z21" s="331" t="s">
        <v>492</v>
      </c>
      <c r="AA21" s="331" t="s">
        <v>746</v>
      </c>
      <c r="AB21" s="331" t="s">
        <v>740</v>
      </c>
      <c r="AC21" s="331">
        <v>1</v>
      </c>
      <c r="AD21" s="404" t="s">
        <v>330</v>
      </c>
    </row>
    <row r="22" spans="2:30" s="388" customFormat="1" ht="27" customHeight="1">
      <c r="B22" s="909"/>
      <c r="C22" s="910"/>
      <c r="D22" s="329">
        <v>18</v>
      </c>
      <c r="E22" s="399" t="s">
        <v>736</v>
      </c>
      <c r="F22" s="411">
        <v>1331.9235073501436</v>
      </c>
      <c r="G22" s="330">
        <v>143.99</v>
      </c>
      <c r="H22" s="401">
        <v>380.20499999999998</v>
      </c>
      <c r="I22" s="401">
        <v>382.8320443273289</v>
      </c>
      <c r="J22" s="403">
        <v>1.0070999059952805</v>
      </c>
      <c r="K22" s="402">
        <v>388.65511116987386</v>
      </c>
      <c r="L22" s="403">
        <v>1.022225144776828</v>
      </c>
      <c r="M22" s="402">
        <v>0.8</v>
      </c>
      <c r="N22" s="403">
        <v>2.1041280361910023E-3</v>
      </c>
      <c r="O22" s="470">
        <v>389.45511116987387</v>
      </c>
      <c r="P22" s="403">
        <v>1.0243292728130191</v>
      </c>
      <c r="Q22" s="401">
        <v>6.6852627497022672</v>
      </c>
      <c r="R22" s="403">
        <v>1.7583310976189863E-2</v>
      </c>
      <c r="S22" s="412">
        <v>962.61098332962945</v>
      </c>
      <c r="T22" s="470">
        <v>9.2501111698739038</v>
      </c>
      <c r="U22" s="403">
        <v>2.4162322112108458E-2</v>
      </c>
      <c r="V22" s="471">
        <v>2.5648484201716366</v>
      </c>
      <c r="W22" s="472">
        <v>6.7459618368291754E-3</v>
      </c>
      <c r="X22" s="473">
        <v>369.31252402051399</v>
      </c>
      <c r="Y22" s="424" t="s">
        <v>329</v>
      </c>
      <c r="Z22" s="424" t="s">
        <v>365</v>
      </c>
      <c r="AA22" s="331" t="s">
        <v>754</v>
      </c>
      <c r="AB22" s="331" t="s">
        <v>755</v>
      </c>
      <c r="AC22" s="331">
        <v>1</v>
      </c>
      <c r="AD22" s="404" t="s">
        <v>587</v>
      </c>
    </row>
    <row r="23" spans="2:30" s="388" customFormat="1" ht="27" customHeight="1">
      <c r="B23" s="909"/>
      <c r="C23" s="910"/>
      <c r="D23" s="329">
        <v>19</v>
      </c>
      <c r="E23" s="399" t="s">
        <v>767</v>
      </c>
      <c r="F23" s="411">
        <v>1320.9409038088447</v>
      </c>
      <c r="G23" s="330">
        <v>158.13</v>
      </c>
      <c r="H23" s="401">
        <v>732.21400000000006</v>
      </c>
      <c r="I23" s="401">
        <v>734.87462258601226</v>
      </c>
      <c r="J23" s="403">
        <v>1.0036109030253386</v>
      </c>
      <c r="K23" s="402">
        <v>739.36751232409313</v>
      </c>
      <c r="L23" s="403">
        <v>1.0097697016501912</v>
      </c>
      <c r="M23" s="402">
        <v>1.2</v>
      </c>
      <c r="N23" s="403">
        <v>1.6388651405190285E-3</v>
      </c>
      <c r="O23" s="470">
        <v>740.56751232409317</v>
      </c>
      <c r="P23" s="403">
        <v>1.0114085667907102</v>
      </c>
      <c r="Q23" s="401">
        <v>5.9236827834253312</v>
      </c>
      <c r="R23" s="403">
        <v>8.0900976810404212E-3</v>
      </c>
      <c r="S23" s="412">
        <v>936.71195854304744</v>
      </c>
      <c r="T23" s="470">
        <v>8.3535123240931171</v>
      </c>
      <c r="U23" s="403">
        <v>1.1367261934691987E-2</v>
      </c>
      <c r="V23" s="471">
        <v>2.4298295406677859</v>
      </c>
      <c r="W23" s="472">
        <v>3.318469109669831E-3</v>
      </c>
      <c r="X23" s="473">
        <v>384.22894526579699</v>
      </c>
      <c r="Y23" s="424" t="s">
        <v>329</v>
      </c>
      <c r="Z23" s="424" t="s">
        <v>365</v>
      </c>
      <c r="AA23" s="331" t="s">
        <v>754</v>
      </c>
      <c r="AB23" s="331" t="s">
        <v>755</v>
      </c>
      <c r="AC23" s="331">
        <v>1</v>
      </c>
      <c r="AD23" s="404" t="s">
        <v>766</v>
      </c>
    </row>
    <row r="24" spans="2:30" s="388" customFormat="1" ht="27" customHeight="1">
      <c r="B24" s="911"/>
      <c r="C24" s="912"/>
      <c r="D24" s="329">
        <v>20</v>
      </c>
      <c r="E24" s="399" t="s">
        <v>632</v>
      </c>
      <c r="F24" s="411">
        <v>1319.8447500000002</v>
      </c>
      <c r="G24" s="330">
        <v>298.27</v>
      </c>
      <c r="H24" s="401">
        <v>185.17500000000001</v>
      </c>
      <c r="I24" s="401">
        <v>186.50369843833539</v>
      </c>
      <c r="J24" s="403">
        <v>1.0073081205280667</v>
      </c>
      <c r="K24" s="402">
        <v>189.59999999999997</v>
      </c>
      <c r="L24" s="403">
        <v>1.0238963142972861</v>
      </c>
      <c r="M24" s="402">
        <v>0</v>
      </c>
      <c r="N24" s="403">
        <v>0</v>
      </c>
      <c r="O24" s="470">
        <v>189.59999999999997</v>
      </c>
      <c r="P24" s="403">
        <v>1.0238963142972861</v>
      </c>
      <c r="Q24" s="401">
        <v>2.9</v>
      </c>
      <c r="R24" s="403">
        <v>1.5660861347374103E-2</v>
      </c>
      <c r="S24" s="412">
        <v>864.98299999999995</v>
      </c>
      <c r="T24" s="470">
        <v>4.4250000000000007</v>
      </c>
      <c r="U24" s="403">
        <v>2.3726071048736117E-2</v>
      </c>
      <c r="V24" s="471">
        <v>1.5250000000000008</v>
      </c>
      <c r="W24" s="472">
        <v>8.2354529499122486E-3</v>
      </c>
      <c r="X24" s="473">
        <v>454.8617500000002</v>
      </c>
      <c r="Y24" s="424" t="s">
        <v>329</v>
      </c>
      <c r="Z24" s="424" t="s">
        <v>598</v>
      </c>
      <c r="AA24" s="331" t="s">
        <v>629</v>
      </c>
      <c r="AB24" s="331" t="s">
        <v>514</v>
      </c>
      <c r="AC24" s="331">
        <v>1</v>
      </c>
      <c r="AD24" s="404" t="s">
        <v>628</v>
      </c>
    </row>
  </sheetData>
  <mergeCells count="22">
    <mergeCell ref="AF3:AM5"/>
    <mergeCell ref="B5:C24"/>
    <mergeCell ref="B3:C4"/>
    <mergeCell ref="D3:D4"/>
    <mergeCell ref="E3:E4"/>
    <mergeCell ref="F3:F4"/>
    <mergeCell ref="B2:AB2"/>
    <mergeCell ref="V3:X3"/>
    <mergeCell ref="AB3:AB4"/>
    <mergeCell ref="AC3:AC4"/>
    <mergeCell ref="AD3:AD4"/>
    <mergeCell ref="G3:G4"/>
    <mergeCell ref="H3:H4"/>
    <mergeCell ref="I3:J3"/>
    <mergeCell ref="K3:L3"/>
    <mergeCell ref="M3:N3"/>
    <mergeCell ref="O3:P3"/>
    <mergeCell ref="Q3:S3"/>
    <mergeCell ref="T3:U3"/>
    <mergeCell ref="Y3:Y4"/>
    <mergeCell ref="Z3:Z4"/>
    <mergeCell ref="AA3:AA4"/>
  </mergeCells>
  <phoneticPr fontId="81" type="noConversion"/>
  <dataValidations count="3">
    <dataValidation type="list" allowBlank="1" showInputMessage="1" showErrorMessage="1" sqref="Y5:Y24">
      <formula1>$AP$6:$AP$12</formula1>
    </dataValidation>
    <dataValidation type="list" allowBlank="1" showInputMessage="1" showErrorMessage="1" sqref="Z5:Z24">
      <formula1>$AO$6:$AO$12</formula1>
    </dataValidation>
    <dataValidation type="list" allowBlank="1" showInputMessage="1" showErrorMessage="1" sqref="T1:X2 T25:X1048576 Y3:Z3">
      <formula1>#REF!</formula1>
    </dataValidation>
  </dataValidations>
  <pageMargins left="0" right="0" top="0" bottom="0" header="0" footer="0"/>
  <pageSetup paperSize="9" scale="20" orientation="landscape" horizontalDpi="300" verticalDpi="30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39997558519241921"/>
  </sheetPr>
  <dimension ref="A1:AG49"/>
  <sheetViews>
    <sheetView zoomScale="55" zoomScaleNormal="55" workbookViewId="0">
      <selection activeCell="E9" sqref="E9:E39"/>
    </sheetView>
  </sheetViews>
  <sheetFormatPr defaultColWidth="10.140625" defaultRowHeight="15.75"/>
  <cols>
    <col min="1" max="4" width="25.7109375" style="478" customWidth="1"/>
    <col min="5" max="5" width="33.7109375" style="478" customWidth="1"/>
    <col min="6" max="6" width="25.7109375" style="478" customWidth="1"/>
    <col min="7" max="7" width="33.7109375" style="478" customWidth="1"/>
    <col min="8" max="11" width="25.7109375" style="478" customWidth="1"/>
    <col min="12" max="12" width="26.42578125" style="478" bestFit="1" customWidth="1"/>
    <col min="13" max="14" width="26.42578125" style="478" customWidth="1"/>
    <col min="15" max="15" width="26.140625" style="478" bestFit="1" customWidth="1"/>
    <col min="16" max="16" width="10.140625" style="478"/>
    <col min="17" max="18" width="13.7109375" style="478" bestFit="1" customWidth="1"/>
    <col min="19" max="20" width="10.140625" style="478"/>
    <col min="21" max="21" width="15.140625" style="478" bestFit="1" customWidth="1"/>
    <col min="22" max="23" width="10.140625" style="478"/>
    <col min="24" max="24" width="13.7109375" style="478" bestFit="1" customWidth="1"/>
    <col min="25" max="26" width="10.140625" style="478"/>
    <col min="27" max="27" width="15.140625" style="478" bestFit="1" customWidth="1"/>
    <col min="28" max="29" width="10.140625" style="478"/>
    <col min="30" max="30" width="13.7109375" style="478" bestFit="1" customWidth="1"/>
    <col min="31" max="32" width="10.140625" style="478"/>
    <col min="33" max="33" width="15.140625" style="478" bestFit="1" customWidth="1"/>
    <col min="34" max="16384" width="10.140625" style="478"/>
  </cols>
  <sheetData>
    <row r="1" spans="1:33" ht="27">
      <c r="A1" s="940" t="s">
        <v>600</v>
      </c>
      <c r="B1" s="940"/>
      <c r="C1" s="940"/>
      <c r="D1" s="940"/>
      <c r="E1" s="940"/>
      <c r="F1" s="940"/>
      <c r="G1" s="940"/>
      <c r="H1" s="940"/>
      <c r="I1" s="940"/>
      <c r="J1" s="940"/>
      <c r="K1" s="477"/>
      <c r="L1" s="477"/>
      <c r="M1" s="477"/>
      <c r="N1" s="477"/>
      <c r="O1" s="477"/>
      <c r="P1" s="477"/>
      <c r="Q1" s="477"/>
      <c r="R1" s="477"/>
      <c r="S1" s="477"/>
      <c r="T1" s="477"/>
      <c r="U1" s="477"/>
      <c r="V1" s="477"/>
    </row>
    <row r="2" spans="1:33" ht="48">
      <c r="A2" s="941" t="s">
        <v>675</v>
      </c>
      <c r="B2" s="943">
        <v>145112.05000000002</v>
      </c>
      <c r="C2" s="941" t="s">
        <v>676</v>
      </c>
      <c r="D2" s="945">
        <v>2.400875527091945E-3</v>
      </c>
      <c r="E2" s="479" t="s">
        <v>677</v>
      </c>
      <c r="F2" s="480" t="s">
        <v>678</v>
      </c>
      <c r="G2" s="481" t="s">
        <v>679</v>
      </c>
      <c r="H2" s="482" t="s">
        <v>680</v>
      </c>
      <c r="I2" s="947" t="s">
        <v>681</v>
      </c>
      <c r="J2" s="947" t="s">
        <v>682</v>
      </c>
      <c r="K2" s="477"/>
      <c r="L2" s="483"/>
      <c r="M2" s="477"/>
      <c r="N2" s="477"/>
      <c r="O2" s="477"/>
      <c r="P2" s="477"/>
      <c r="Q2" s="477"/>
      <c r="R2" s="477"/>
      <c r="S2" s="477"/>
      <c r="T2" s="477"/>
      <c r="U2" s="477"/>
      <c r="V2" s="477"/>
    </row>
    <row r="3" spans="1:33" ht="24">
      <c r="A3" s="942"/>
      <c r="B3" s="944"/>
      <c r="C3" s="942"/>
      <c r="D3" s="946"/>
      <c r="E3" s="484">
        <v>242534.62661448139</v>
      </c>
      <c r="F3" s="485">
        <v>4.0127298147265584E-3</v>
      </c>
      <c r="G3" s="486">
        <v>97422.576614481382</v>
      </c>
      <c r="H3" s="487">
        <v>1.6118542876346132E-3</v>
      </c>
      <c r="I3" s="948"/>
      <c r="J3" s="948"/>
      <c r="K3" s="488"/>
      <c r="L3" s="489"/>
      <c r="M3" s="477"/>
      <c r="N3" s="477"/>
      <c r="O3" s="477"/>
      <c r="P3" s="477"/>
      <c r="Q3" s="477"/>
      <c r="R3" s="477"/>
      <c r="S3" s="477"/>
      <c r="T3" s="477"/>
      <c r="U3" s="477"/>
      <c r="V3" s="477"/>
    </row>
    <row r="4" spans="1:33" ht="40.5">
      <c r="A4" s="490" t="s">
        <v>683</v>
      </c>
      <c r="B4" s="490" t="s">
        <v>334</v>
      </c>
      <c r="C4" s="490" t="s">
        <v>684</v>
      </c>
      <c r="D4" s="490" t="s">
        <v>685</v>
      </c>
      <c r="E4" s="490" t="s">
        <v>686</v>
      </c>
      <c r="F4" s="490" t="s">
        <v>687</v>
      </c>
      <c r="G4" s="491" t="s">
        <v>688</v>
      </c>
      <c r="H4" s="491" t="s">
        <v>689</v>
      </c>
      <c r="I4" s="949"/>
      <c r="J4" s="949"/>
      <c r="K4" s="477"/>
      <c r="L4" s="483"/>
      <c r="M4" s="492"/>
      <c r="N4" s="483"/>
      <c r="O4" s="493"/>
      <c r="P4" s="483"/>
      <c r="Q4" s="492"/>
      <c r="R4" s="494"/>
      <c r="S4" s="477"/>
      <c r="T4" s="477"/>
      <c r="U4" s="494"/>
      <c r="V4" s="477"/>
      <c r="X4" s="495"/>
      <c r="AA4" s="495"/>
      <c r="AD4" s="495"/>
      <c r="AG4" s="495"/>
    </row>
    <row r="5" spans="1:33" ht="18.75">
      <c r="A5" s="496">
        <v>46231</v>
      </c>
      <c r="B5" s="497">
        <v>9354163</v>
      </c>
      <c r="C5" s="498">
        <v>21345.173000000003</v>
      </c>
      <c r="D5" s="499">
        <v>2.2818902129458298E-3</v>
      </c>
      <c r="E5" s="498">
        <v>36734.074955441465</v>
      </c>
      <c r="F5" s="500">
        <v>3.9270295969229384E-3</v>
      </c>
      <c r="G5" s="501">
        <v>15388.901955441463</v>
      </c>
      <c r="H5" s="502">
        <v>1.6451393839771087E-3</v>
      </c>
      <c r="I5" s="938">
        <v>145112.05000000002</v>
      </c>
      <c r="J5" s="938">
        <v>242534.62661448139</v>
      </c>
      <c r="K5" s="477"/>
      <c r="L5" s="477"/>
      <c r="M5" s="477"/>
      <c r="N5" s="477"/>
      <c r="O5" s="477"/>
      <c r="P5" s="477"/>
      <c r="Q5" s="477"/>
      <c r="R5" s="477"/>
      <c r="S5" s="477"/>
      <c r="T5" s="477"/>
      <c r="U5" s="477"/>
      <c r="V5" s="477"/>
    </row>
    <row r="6" spans="1:33" ht="18.75">
      <c r="A6" s="496">
        <v>46232</v>
      </c>
      <c r="B6" s="497">
        <v>8773103</v>
      </c>
      <c r="C6" s="498">
        <v>21345.173000000003</v>
      </c>
      <c r="D6" s="499">
        <v>2.4330243244607983E-3</v>
      </c>
      <c r="E6" s="498">
        <v>36734.074955441465</v>
      </c>
      <c r="F6" s="500">
        <v>4.1871245505086929E-3</v>
      </c>
      <c r="G6" s="501">
        <v>15388.901955441463</v>
      </c>
      <c r="H6" s="502">
        <v>1.7541002260478946E-3</v>
      </c>
      <c r="I6" s="938"/>
      <c r="J6" s="938"/>
      <c r="K6" s="477"/>
      <c r="L6" s="477"/>
      <c r="M6" s="477"/>
      <c r="N6" s="477"/>
      <c r="O6" s="477"/>
      <c r="P6" s="477"/>
      <c r="Q6" s="477"/>
      <c r="R6" s="477"/>
      <c r="S6" s="477"/>
      <c r="T6" s="477"/>
      <c r="U6" s="477"/>
      <c r="V6" s="477"/>
    </row>
    <row r="7" spans="1:33" ht="18.75">
      <c r="A7" s="496">
        <v>46233</v>
      </c>
      <c r="B7" s="497">
        <v>8177093</v>
      </c>
      <c r="C7" s="498">
        <v>19644.059000000001</v>
      </c>
      <c r="D7" s="499">
        <v>2.4023279422161399E-3</v>
      </c>
      <c r="E7" s="498">
        <v>31953.240728001674</v>
      </c>
      <c r="F7" s="500">
        <v>3.9076528453328924E-3</v>
      </c>
      <c r="G7" s="501">
        <v>12309.181728001673</v>
      </c>
      <c r="H7" s="502">
        <v>1.5053249031167523E-3</v>
      </c>
      <c r="I7" s="938"/>
      <c r="J7" s="938"/>
      <c r="K7" s="477"/>
      <c r="L7" s="477"/>
      <c r="M7" s="477"/>
      <c r="N7" s="477"/>
      <c r="O7" s="477"/>
      <c r="P7" s="477"/>
      <c r="Q7" s="477"/>
      <c r="R7" s="477"/>
      <c r="S7" s="477"/>
      <c r="T7" s="477"/>
      <c r="U7" s="477"/>
      <c r="V7" s="477"/>
    </row>
    <row r="8" spans="1:33" ht="18.75">
      <c r="A8" s="496">
        <v>46234</v>
      </c>
      <c r="B8" s="497">
        <v>7340175</v>
      </c>
      <c r="C8" s="498">
        <v>17779.859000000011</v>
      </c>
      <c r="D8" s="499">
        <v>2.4222663628591977E-3</v>
      </c>
      <c r="E8" s="498">
        <v>30262.577285357078</v>
      </c>
      <c r="F8" s="500">
        <v>4.1228686353332279E-3</v>
      </c>
      <c r="G8" s="501">
        <v>12482.718285357067</v>
      </c>
      <c r="H8" s="502">
        <v>1.7006022724740304E-3</v>
      </c>
      <c r="I8" s="938"/>
      <c r="J8" s="938"/>
      <c r="K8" s="477"/>
      <c r="L8" s="477"/>
      <c r="M8" s="477"/>
      <c r="N8" s="477"/>
      <c r="O8" s="477"/>
      <c r="P8" s="477"/>
      <c r="Q8" s="477"/>
      <c r="R8" s="477"/>
      <c r="S8" s="477"/>
      <c r="T8" s="477"/>
      <c r="U8" s="477"/>
      <c r="V8" s="477"/>
    </row>
    <row r="9" spans="1:33" ht="18.75">
      <c r="A9" s="496">
        <v>46235</v>
      </c>
      <c r="B9" s="497">
        <v>8235605</v>
      </c>
      <c r="C9" s="498">
        <v>20006.722999999998</v>
      </c>
      <c r="D9" s="499">
        <v>2.4292960869298609E-3</v>
      </c>
      <c r="E9" s="498">
        <v>32949.152905466486</v>
      </c>
      <c r="F9" s="500">
        <v>4.0008175362303659E-3</v>
      </c>
      <c r="G9" s="501">
        <v>12942.429905466488</v>
      </c>
      <c r="H9" s="502">
        <v>1.5715214493005052E-3</v>
      </c>
      <c r="I9" s="938"/>
      <c r="J9" s="938"/>
      <c r="K9" s="477"/>
      <c r="L9" s="477"/>
      <c r="M9" s="477"/>
      <c r="N9" s="477"/>
      <c r="O9" s="477"/>
      <c r="P9" s="477"/>
      <c r="Q9" s="477"/>
      <c r="R9" s="477"/>
      <c r="S9" s="477"/>
      <c r="T9" s="477"/>
      <c r="U9" s="477"/>
      <c r="V9" s="477"/>
    </row>
    <row r="10" spans="1:33" ht="18.75">
      <c r="A10" s="496">
        <v>46236</v>
      </c>
      <c r="B10" s="497">
        <v>9197911</v>
      </c>
      <c r="C10" s="498">
        <v>22227.285999999996</v>
      </c>
      <c r="D10" s="499">
        <v>2.4165580641082522E-3</v>
      </c>
      <c r="E10" s="498">
        <v>37866.802366513148</v>
      </c>
      <c r="F10" s="500">
        <v>4.1168915818508298E-3</v>
      </c>
      <c r="G10" s="501">
        <v>15639.516366513151</v>
      </c>
      <c r="H10" s="502">
        <v>1.7003335177425778E-3</v>
      </c>
      <c r="I10" s="938"/>
      <c r="J10" s="938"/>
      <c r="K10" s="477"/>
      <c r="L10" s="477"/>
      <c r="M10" s="477"/>
      <c r="N10" s="477"/>
      <c r="O10" s="477"/>
      <c r="P10" s="477"/>
      <c r="Q10" s="477"/>
      <c r="R10" s="477"/>
      <c r="S10" s="477"/>
      <c r="T10" s="477"/>
      <c r="U10" s="477"/>
      <c r="V10" s="477"/>
    </row>
    <row r="11" spans="1:33" ht="18.75">
      <c r="A11" s="496">
        <v>46237</v>
      </c>
      <c r="B11" s="497">
        <v>9363255</v>
      </c>
      <c r="C11" s="498">
        <v>22763.776999999998</v>
      </c>
      <c r="D11" s="499">
        <v>2.4311819981406037E-3</v>
      </c>
      <c r="E11" s="498">
        <v>36034.703418260069</v>
      </c>
      <c r="F11" s="500">
        <v>3.848523127722151E-3</v>
      </c>
      <c r="G11" s="501">
        <v>13270.926418260071</v>
      </c>
      <c r="H11" s="502">
        <v>1.4173411295815472E-3</v>
      </c>
      <c r="I11" s="938"/>
      <c r="J11" s="938"/>
      <c r="K11" s="477"/>
      <c r="L11" s="477"/>
      <c r="M11" s="477"/>
      <c r="N11" s="477"/>
      <c r="O11" s="477"/>
      <c r="P11" s="477"/>
      <c r="Q11" s="477"/>
      <c r="R11" s="477"/>
      <c r="S11" s="477"/>
      <c r="T11" s="477"/>
      <c r="U11" s="477"/>
      <c r="V11" s="477"/>
    </row>
    <row r="12" spans="1:33" ht="18.75">
      <c r="A12" s="503">
        <v>46238</v>
      </c>
      <c r="B12" s="497">
        <v>8602665</v>
      </c>
      <c r="C12" s="498">
        <v>20919.18199999999</v>
      </c>
      <c r="D12" s="499">
        <v>2.4040165804658808E-3</v>
      </c>
      <c r="E12" s="498">
        <v>33659.596926766419</v>
      </c>
      <c r="F12" s="500">
        <v>3.9126941391727354E-3</v>
      </c>
      <c r="G12" s="501">
        <v>12740.414926766429</v>
      </c>
      <c r="H12" s="502">
        <v>1.4809846630975899E-3</v>
      </c>
      <c r="I12" s="939">
        <v>135310.44099999999</v>
      </c>
      <c r="J12" s="939">
        <v>223790.14419914404</v>
      </c>
      <c r="K12" s="477"/>
      <c r="L12" s="477"/>
      <c r="M12" s="477"/>
      <c r="N12" s="477"/>
      <c r="O12" s="477"/>
      <c r="P12" s="477"/>
      <c r="Q12" s="477"/>
      <c r="R12" s="477"/>
      <c r="S12" s="477"/>
      <c r="T12" s="477"/>
      <c r="U12" s="477"/>
      <c r="V12" s="477"/>
    </row>
    <row r="13" spans="1:33" ht="18.75">
      <c r="A13" s="503">
        <v>46239</v>
      </c>
      <c r="B13" s="497">
        <v>8256703</v>
      </c>
      <c r="C13" s="498">
        <v>20086.246999999996</v>
      </c>
      <c r="D13" s="499">
        <v>2.4062558297899181E-3</v>
      </c>
      <c r="E13" s="498">
        <v>33275.559431765774</v>
      </c>
      <c r="F13" s="500">
        <v>3.7563089982108801E-3</v>
      </c>
      <c r="G13" s="501">
        <v>13189.312431765778</v>
      </c>
      <c r="H13" s="502">
        <v>1.5974066684687313E-3</v>
      </c>
      <c r="I13" s="939"/>
      <c r="J13" s="939"/>
      <c r="K13" s="477"/>
      <c r="L13" s="477"/>
      <c r="M13" s="477"/>
      <c r="N13" s="477"/>
      <c r="O13" s="477"/>
      <c r="P13" s="477"/>
      <c r="Q13" s="477"/>
      <c r="R13" s="477"/>
      <c r="S13" s="477"/>
      <c r="T13" s="477"/>
      <c r="U13" s="477"/>
      <c r="V13" s="477"/>
    </row>
    <row r="14" spans="1:33" ht="18.75">
      <c r="A14" s="503">
        <v>46240</v>
      </c>
      <c r="B14" s="497">
        <v>7670457</v>
      </c>
      <c r="C14" s="498">
        <v>18464.782000000003</v>
      </c>
      <c r="D14" s="499">
        <v>2.4082651185941303E-3</v>
      </c>
      <c r="E14" s="498">
        <v>30759.830056862073</v>
      </c>
      <c r="F14" s="500">
        <v>3.8738159695569496E-3</v>
      </c>
      <c r="G14" s="501">
        <v>12295.04805686207</v>
      </c>
      <c r="H14" s="502">
        <v>1.6029094559635846E-3</v>
      </c>
      <c r="I14" s="939"/>
      <c r="J14" s="939"/>
      <c r="K14" s="477"/>
      <c r="L14" s="477"/>
      <c r="M14" s="477"/>
      <c r="N14" s="477"/>
      <c r="O14" s="477"/>
      <c r="P14" s="477"/>
      <c r="Q14" s="477"/>
      <c r="R14" s="477"/>
      <c r="S14" s="477"/>
      <c r="T14" s="477"/>
      <c r="U14" s="477"/>
      <c r="V14" s="477"/>
    </row>
    <row r="15" spans="1:33" ht="18.75">
      <c r="A15" s="503">
        <v>46241</v>
      </c>
      <c r="B15" s="497">
        <v>6794244</v>
      </c>
      <c r="C15" s="498">
        <v>16422.061999999991</v>
      </c>
      <c r="D15" s="499">
        <v>2.4428604558859169E-3</v>
      </c>
      <c r="E15" s="498">
        <v>27772.946933388146</v>
      </c>
      <c r="F15" s="500">
        <v>4.0445004623045613E-3</v>
      </c>
      <c r="G15" s="501">
        <v>11350.884933388155</v>
      </c>
      <c r="H15" s="502">
        <v>1.6706619505257915E-3</v>
      </c>
      <c r="I15" s="939"/>
      <c r="J15" s="939"/>
      <c r="K15" s="477"/>
      <c r="L15" s="477"/>
      <c r="M15" s="477"/>
      <c r="N15" s="477"/>
      <c r="O15" s="477"/>
      <c r="P15" s="477"/>
      <c r="Q15" s="477"/>
      <c r="R15" s="477"/>
      <c r="S15" s="477"/>
      <c r="T15" s="477"/>
      <c r="U15" s="477"/>
      <c r="V15" s="477"/>
    </row>
    <row r="16" spans="1:33" ht="18.75">
      <c r="A16" s="503">
        <v>46242</v>
      </c>
      <c r="B16" s="497">
        <v>7244290</v>
      </c>
      <c r="C16" s="498">
        <v>17535.380999999979</v>
      </c>
      <c r="D16" s="499">
        <v>2.4336636816533553E-3</v>
      </c>
      <c r="E16" s="498">
        <v>29644.647044702873</v>
      </c>
      <c r="F16" s="500">
        <v>4.0593259337160714E-3</v>
      </c>
      <c r="G16" s="501">
        <v>12109.266044702894</v>
      </c>
      <c r="H16" s="502">
        <v>1.6715600900437302E-3</v>
      </c>
      <c r="I16" s="939"/>
      <c r="J16" s="939"/>
      <c r="K16" s="477"/>
      <c r="L16" s="477"/>
      <c r="M16" s="477"/>
      <c r="N16" s="477"/>
      <c r="O16" s="477"/>
      <c r="P16" s="477"/>
      <c r="Q16" s="477"/>
      <c r="R16" s="477"/>
      <c r="S16" s="477"/>
      <c r="T16" s="477"/>
      <c r="U16" s="477"/>
      <c r="V16" s="477"/>
    </row>
    <row r="17" spans="1:22" ht="18.75">
      <c r="A17" s="503">
        <v>46243</v>
      </c>
      <c r="B17" s="497">
        <v>8720178</v>
      </c>
      <c r="C17" s="498">
        <v>21124.945000000018</v>
      </c>
      <c r="D17" s="499">
        <v>2.4191679142235947E-3</v>
      </c>
      <c r="E17" s="498">
        <v>34271.041097536552</v>
      </c>
      <c r="F17" s="500">
        <v>3.8031416505624033E-3</v>
      </c>
      <c r="G17" s="501">
        <v>13146.096097536534</v>
      </c>
      <c r="H17" s="502">
        <v>1.50754905433542E-3</v>
      </c>
      <c r="I17" s="939"/>
      <c r="J17" s="939"/>
      <c r="K17" s="477"/>
      <c r="L17" s="477"/>
      <c r="M17" s="477"/>
      <c r="N17" s="477"/>
      <c r="O17" s="477"/>
      <c r="P17" s="477"/>
      <c r="Q17" s="477"/>
      <c r="R17" s="477"/>
      <c r="S17" s="477"/>
      <c r="T17" s="477"/>
      <c r="U17" s="477"/>
      <c r="V17" s="477"/>
    </row>
    <row r="18" spans="1:22" ht="18.75">
      <c r="A18" s="503">
        <v>46244</v>
      </c>
      <c r="B18" s="497">
        <v>8645276</v>
      </c>
      <c r="C18" s="498">
        <v>20757.842000000001</v>
      </c>
      <c r="D18" s="499">
        <v>2.4299256698365047E-3</v>
      </c>
      <c r="E18" s="498">
        <v>34406.522708122218</v>
      </c>
      <c r="F18" s="500">
        <v>3.8911986915429902E-3</v>
      </c>
      <c r="G18" s="501">
        <v>13648.680708122218</v>
      </c>
      <c r="H18" s="502">
        <v>1.5787443579733276E-3</v>
      </c>
      <c r="I18" s="939"/>
      <c r="J18" s="939"/>
      <c r="K18" s="477"/>
      <c r="L18" s="477"/>
      <c r="M18" s="477"/>
      <c r="N18" s="477"/>
      <c r="O18" s="477"/>
      <c r="P18" s="477"/>
      <c r="Q18" s="477"/>
      <c r="R18" s="477"/>
      <c r="S18" s="477"/>
      <c r="T18" s="477"/>
      <c r="U18" s="477"/>
      <c r="V18" s="477"/>
    </row>
    <row r="19" spans="1:22" ht="18.75">
      <c r="A19" s="496">
        <v>46245</v>
      </c>
      <c r="B19" s="497">
        <v>8196585</v>
      </c>
      <c r="C19" s="498">
        <v>19685.665000000001</v>
      </c>
      <c r="D19" s="499">
        <v>2.4016910701224999E-3</v>
      </c>
      <c r="E19" s="498">
        <v>33860.144488828897</v>
      </c>
      <c r="F19" s="500">
        <v>4.1310063262723299E-3</v>
      </c>
      <c r="G19" s="501">
        <v>14174.4794888289</v>
      </c>
      <c r="H19" s="502">
        <v>1.72931525614984E-3</v>
      </c>
      <c r="I19" s="938">
        <v>130425.52</v>
      </c>
      <c r="J19" s="938">
        <v>219455.30448427799</v>
      </c>
      <c r="K19" s="477"/>
      <c r="L19" s="477"/>
      <c r="M19" s="477"/>
      <c r="N19" s="477"/>
      <c r="O19" s="477"/>
      <c r="P19" s="477"/>
      <c r="Q19" s="477"/>
      <c r="R19" s="477"/>
      <c r="S19" s="477"/>
      <c r="T19" s="477"/>
      <c r="U19" s="477"/>
      <c r="V19" s="477"/>
    </row>
    <row r="20" spans="1:22" ht="18.75">
      <c r="A20" s="496">
        <v>46246</v>
      </c>
      <c r="B20" s="497">
        <v>7757225</v>
      </c>
      <c r="C20" s="498">
        <v>18773.796999999999</v>
      </c>
      <c r="D20" s="499">
        <v>2.4201691971033499E-3</v>
      </c>
      <c r="E20" s="498">
        <v>32220.202454154802</v>
      </c>
      <c r="F20" s="500">
        <v>4.15357327577256E-3</v>
      </c>
      <c r="G20" s="501">
        <v>13446.405454154799</v>
      </c>
      <c r="H20" s="502">
        <v>1.73340407866922E-3</v>
      </c>
      <c r="I20" s="938"/>
      <c r="J20" s="938"/>
      <c r="K20" s="477"/>
      <c r="L20" s="477"/>
      <c r="M20" s="477"/>
      <c r="N20" s="477"/>
      <c r="O20" s="477"/>
      <c r="P20" s="477"/>
      <c r="Q20" s="477"/>
      <c r="R20" s="477"/>
      <c r="S20" s="477"/>
      <c r="T20" s="477"/>
      <c r="U20" s="477"/>
      <c r="V20" s="477"/>
    </row>
    <row r="21" spans="1:22" ht="18.75">
      <c r="A21" s="496">
        <v>46247</v>
      </c>
      <c r="B21" s="497">
        <v>7394587</v>
      </c>
      <c r="C21" s="498">
        <v>17980</v>
      </c>
      <c r="D21" s="499">
        <v>2.4315083452260398E-3</v>
      </c>
      <c r="E21" s="498">
        <v>30722.582147138499</v>
      </c>
      <c r="F21" s="500">
        <v>4.1547394258987704E-3</v>
      </c>
      <c r="G21" s="501">
        <v>12742.582147138501</v>
      </c>
      <c r="H21" s="502">
        <v>1.72323108067273E-3</v>
      </c>
      <c r="I21" s="938"/>
      <c r="J21" s="938"/>
      <c r="K21" s="477"/>
      <c r="L21" s="477"/>
      <c r="M21" s="477"/>
      <c r="N21" s="477"/>
      <c r="O21" s="477"/>
      <c r="P21" s="477"/>
      <c r="Q21" s="477"/>
      <c r="R21" s="477"/>
      <c r="S21" s="477"/>
      <c r="T21" s="477"/>
      <c r="U21" s="477"/>
      <c r="V21" s="477"/>
    </row>
    <row r="22" spans="1:22" ht="18.75">
      <c r="A22" s="496">
        <v>46248</v>
      </c>
      <c r="B22" s="497">
        <v>6557542</v>
      </c>
      <c r="C22" s="498">
        <v>15993.163</v>
      </c>
      <c r="D22" s="499">
        <v>2.43889600707094E-3</v>
      </c>
      <c r="E22" s="498">
        <v>26841.440516818398</v>
      </c>
      <c r="F22" s="500">
        <v>4.0932167139483703E-3</v>
      </c>
      <c r="G22" s="501">
        <v>10848.2775168184</v>
      </c>
      <c r="H22" s="502">
        <v>1.65432070687742E-3</v>
      </c>
      <c r="I22" s="938"/>
      <c r="J22" s="938"/>
      <c r="K22" s="477"/>
      <c r="L22" s="477"/>
      <c r="M22" s="477"/>
      <c r="N22" s="477"/>
      <c r="O22" s="477"/>
      <c r="P22" s="477"/>
      <c r="Q22" s="477"/>
      <c r="R22" s="477"/>
      <c r="S22" s="477"/>
      <c r="T22" s="477"/>
      <c r="U22" s="477"/>
      <c r="V22" s="477"/>
    </row>
    <row r="23" spans="1:22" ht="18.75">
      <c r="A23" s="496">
        <v>46249</v>
      </c>
      <c r="B23" s="497">
        <v>7004503</v>
      </c>
      <c r="C23" s="498">
        <v>16869</v>
      </c>
      <c r="D23" s="499">
        <v>2.40830791278125E-3</v>
      </c>
      <c r="E23" s="498">
        <v>27887</v>
      </c>
      <c r="F23" s="500">
        <v>3.9812960319954198E-3</v>
      </c>
      <c r="G23" s="501">
        <v>11018</v>
      </c>
      <c r="H23" s="502">
        <v>1.57298811921417E-3</v>
      </c>
      <c r="I23" s="938"/>
      <c r="J23" s="938"/>
      <c r="K23" s="477"/>
      <c r="L23" s="477"/>
      <c r="M23" s="477"/>
      <c r="N23" s="477"/>
      <c r="O23" s="477"/>
      <c r="P23" s="477"/>
      <c r="Q23" s="477"/>
      <c r="R23" s="477"/>
      <c r="S23" s="477"/>
      <c r="T23" s="477"/>
      <c r="U23" s="477"/>
      <c r="V23" s="477"/>
    </row>
    <row r="24" spans="1:22" ht="18.75">
      <c r="A24" s="496">
        <v>46250</v>
      </c>
      <c r="B24" s="497">
        <v>8582365</v>
      </c>
      <c r="C24" s="498">
        <v>20589.814999999999</v>
      </c>
      <c r="D24" s="499">
        <v>2.39908405200664E-3</v>
      </c>
      <c r="E24" s="498">
        <v>33705.809645585003</v>
      </c>
      <c r="F24" s="500">
        <v>3.9273335083726902E-3</v>
      </c>
      <c r="G24" s="501">
        <v>13115.994645585</v>
      </c>
      <c r="H24" s="502">
        <v>1.52824945636605E-3</v>
      </c>
      <c r="I24" s="938"/>
      <c r="J24" s="938"/>
      <c r="K24" s="477"/>
      <c r="L24" s="477"/>
      <c r="M24" s="477"/>
      <c r="N24" s="477"/>
      <c r="O24" s="477"/>
      <c r="P24" s="477"/>
      <c r="Q24" s="477"/>
      <c r="R24" s="477"/>
      <c r="S24" s="477"/>
      <c r="T24" s="477"/>
      <c r="U24" s="477"/>
      <c r="V24" s="477"/>
    </row>
    <row r="25" spans="1:22" ht="18.75">
      <c r="A25" s="496">
        <v>46251</v>
      </c>
      <c r="B25" s="497">
        <v>8557390</v>
      </c>
      <c r="C25" s="498">
        <v>20534.080000000002</v>
      </c>
      <c r="D25" s="499">
        <v>2.3995727669301001E-3</v>
      </c>
      <c r="E25" s="498">
        <v>34218.125231751997</v>
      </c>
      <c r="F25" s="500">
        <v>3.9986637551580502E-3</v>
      </c>
      <c r="G25" s="501">
        <v>13684.045231751999</v>
      </c>
      <c r="H25" s="502">
        <v>1.5990909882279501E-3</v>
      </c>
      <c r="I25" s="938"/>
      <c r="J25" s="938"/>
      <c r="K25" s="477"/>
      <c r="L25" s="477"/>
      <c r="M25" s="477"/>
      <c r="N25" s="477"/>
      <c r="O25" s="477"/>
      <c r="P25" s="477"/>
      <c r="Q25" s="477"/>
      <c r="R25" s="477"/>
      <c r="S25" s="477"/>
      <c r="T25" s="477"/>
      <c r="U25" s="477"/>
      <c r="V25" s="477"/>
    </row>
    <row r="26" spans="1:22" ht="18.75">
      <c r="A26" s="503">
        <v>46252</v>
      </c>
      <c r="B26" s="497">
        <v>9261715</v>
      </c>
      <c r="C26" s="498">
        <v>22420</v>
      </c>
      <c r="D26" s="499">
        <v>2.420717977178093E-3</v>
      </c>
      <c r="E26" s="498">
        <v>36481</v>
      </c>
      <c r="F26" s="500">
        <v>3.9389033240603928E-3</v>
      </c>
      <c r="G26" s="501">
        <v>14061</v>
      </c>
      <c r="H26" s="502">
        <v>1.5181853468822998E-3</v>
      </c>
      <c r="I26" s="939">
        <v>135924.83199999997</v>
      </c>
      <c r="J26" s="939">
        <v>225031.45703466871</v>
      </c>
      <c r="K26" s="477"/>
      <c r="L26" s="477"/>
      <c r="M26" s="477"/>
      <c r="N26" s="477"/>
      <c r="O26" s="477"/>
      <c r="P26" s="477"/>
      <c r="Q26" s="477"/>
      <c r="R26" s="477"/>
      <c r="S26" s="477"/>
      <c r="T26" s="477"/>
      <c r="U26" s="477"/>
      <c r="V26" s="477"/>
    </row>
    <row r="27" spans="1:22" ht="18.75">
      <c r="A27" s="503">
        <v>46253</v>
      </c>
      <c r="B27" s="497">
        <v>8223442</v>
      </c>
      <c r="C27" s="498">
        <v>19722.105999999989</v>
      </c>
      <c r="D27" s="499">
        <v>2.3982787256236486E-3</v>
      </c>
      <c r="E27" s="498">
        <v>32476.935947484941</v>
      </c>
      <c r="F27" s="500">
        <v>3.9493117295026758E-3</v>
      </c>
      <c r="G27" s="501">
        <v>12754.829947484952</v>
      </c>
      <c r="H27" s="502">
        <v>1.5510330038790267E-3</v>
      </c>
      <c r="I27" s="939"/>
      <c r="J27" s="939"/>
      <c r="K27" s="477"/>
      <c r="L27" s="477"/>
      <c r="M27" s="477"/>
      <c r="N27" s="477"/>
      <c r="O27" s="477"/>
      <c r="P27" s="477"/>
      <c r="Q27" s="477"/>
      <c r="R27" s="477"/>
      <c r="S27" s="477"/>
      <c r="T27" s="477"/>
      <c r="U27" s="477"/>
      <c r="V27" s="477"/>
    </row>
    <row r="28" spans="1:22" ht="18.75">
      <c r="A28" s="503">
        <v>46254</v>
      </c>
      <c r="B28" s="497">
        <v>7777327</v>
      </c>
      <c r="C28" s="498">
        <v>18815.270000000004</v>
      </c>
      <c r="D28" s="499">
        <v>2.4192463554637738E-3</v>
      </c>
      <c r="E28" s="498">
        <v>31115.982112489968</v>
      </c>
      <c r="F28" s="500">
        <v>4.0008581499131985E-3</v>
      </c>
      <c r="G28" s="501">
        <v>12300.712112489964</v>
      </c>
      <c r="H28" s="502">
        <v>1.5816117944494252E-3</v>
      </c>
      <c r="I28" s="939"/>
      <c r="J28" s="939"/>
      <c r="K28" s="477"/>
      <c r="L28" s="477"/>
      <c r="M28" s="477"/>
      <c r="N28" s="477"/>
      <c r="O28" s="477"/>
      <c r="P28" s="477"/>
      <c r="Q28" s="477"/>
      <c r="R28" s="477"/>
      <c r="S28" s="477"/>
      <c r="T28" s="477"/>
      <c r="U28" s="477"/>
      <c r="V28" s="477"/>
    </row>
    <row r="29" spans="1:22" ht="18.75">
      <c r="A29" s="503">
        <v>46255</v>
      </c>
      <c r="B29" s="497">
        <v>6482925</v>
      </c>
      <c r="C29" s="498">
        <v>15488.338999999996</v>
      </c>
      <c r="D29" s="499">
        <v>2.3890973596023394E-3</v>
      </c>
      <c r="E29" s="498">
        <v>27121.440620452813</v>
      </c>
      <c r="F29" s="500">
        <v>4.1835191091139897E-3</v>
      </c>
      <c r="G29" s="501">
        <v>11633.101620452817</v>
      </c>
      <c r="H29" s="502">
        <v>1.7944217495116505E-3</v>
      </c>
      <c r="I29" s="939"/>
      <c r="J29" s="939"/>
      <c r="K29" s="477"/>
      <c r="L29" s="477"/>
      <c r="M29" s="477"/>
      <c r="N29" s="477"/>
      <c r="O29" s="477"/>
      <c r="P29" s="477"/>
      <c r="Q29" s="477"/>
      <c r="R29" s="477"/>
      <c r="S29" s="477"/>
      <c r="T29" s="477"/>
      <c r="U29" s="477"/>
      <c r="V29" s="477"/>
    </row>
    <row r="30" spans="1:22" ht="18.75">
      <c r="A30" s="503">
        <v>46256</v>
      </c>
      <c r="B30" s="497">
        <v>7062658</v>
      </c>
      <c r="C30" s="498">
        <v>17158.116999999987</v>
      </c>
      <c r="D30" s="499">
        <v>2.4294135437394797E-3</v>
      </c>
      <c r="E30" s="498">
        <v>28544.108880181033</v>
      </c>
      <c r="F30" s="500">
        <v>4.0415533189035961E-3</v>
      </c>
      <c r="G30" s="501">
        <v>11385.991880181045</v>
      </c>
      <c r="H30" s="502">
        <v>1.6121397751641161E-3</v>
      </c>
      <c r="I30" s="939"/>
      <c r="J30" s="939"/>
      <c r="K30" s="477"/>
      <c r="L30" s="477"/>
      <c r="M30" s="477"/>
      <c r="N30" s="477"/>
      <c r="O30" s="477"/>
      <c r="P30" s="477"/>
      <c r="Q30" s="477"/>
      <c r="R30" s="477"/>
      <c r="S30" s="477"/>
      <c r="T30" s="477"/>
      <c r="U30" s="477"/>
      <c r="V30" s="477"/>
    </row>
    <row r="31" spans="1:22" ht="18.75">
      <c r="A31" s="503">
        <v>46257</v>
      </c>
      <c r="B31" s="497">
        <v>8897810</v>
      </c>
      <c r="C31" s="498">
        <v>21531</v>
      </c>
      <c r="D31" s="499">
        <v>2.4198089192733942E-3</v>
      </c>
      <c r="E31" s="498">
        <v>35136.732714571139</v>
      </c>
      <c r="F31" s="500">
        <v>3.9489191963608056E-3</v>
      </c>
      <c r="G31" s="501">
        <v>13605.732714571139</v>
      </c>
      <c r="H31" s="502">
        <v>1.5291102770874114E-3</v>
      </c>
      <c r="I31" s="939"/>
      <c r="J31" s="939"/>
      <c r="K31" s="477"/>
      <c r="L31" s="477"/>
      <c r="M31" s="477"/>
      <c r="N31" s="477"/>
      <c r="O31" s="477"/>
      <c r="P31" s="477"/>
      <c r="Q31" s="477"/>
      <c r="R31" s="477"/>
      <c r="S31" s="477"/>
      <c r="T31" s="477"/>
      <c r="U31" s="477"/>
      <c r="V31" s="477"/>
    </row>
    <row r="32" spans="1:22" ht="18.75">
      <c r="A32" s="503">
        <v>46258</v>
      </c>
      <c r="B32" s="497">
        <v>8622282</v>
      </c>
      <c r="C32" s="498">
        <v>20790</v>
      </c>
      <c r="D32" s="499">
        <v>2.4111946234187192E-3</v>
      </c>
      <c r="E32" s="498">
        <v>34155.256759488824</v>
      </c>
      <c r="F32" s="500">
        <v>3.9612780885024202E-3</v>
      </c>
      <c r="G32" s="501">
        <v>13365.256759488824</v>
      </c>
      <c r="H32" s="502">
        <v>1.550083465083701E-3</v>
      </c>
      <c r="I32" s="939"/>
      <c r="J32" s="939"/>
      <c r="K32" s="477"/>
      <c r="L32" s="477"/>
      <c r="M32" s="477"/>
      <c r="N32" s="477"/>
      <c r="O32" s="477"/>
      <c r="P32" s="477"/>
      <c r="Q32" s="477"/>
      <c r="R32" s="477"/>
      <c r="S32" s="477"/>
      <c r="T32" s="477"/>
      <c r="U32" s="477"/>
      <c r="V32" s="477"/>
    </row>
    <row r="33" spans="1:22" ht="18.75">
      <c r="A33" s="496">
        <v>46259</v>
      </c>
      <c r="B33" s="497">
        <v>9024965</v>
      </c>
      <c r="C33" s="498">
        <v>21926</v>
      </c>
      <c r="D33" s="499">
        <v>2.429483106028666E-3</v>
      </c>
      <c r="E33" s="498">
        <v>35991</v>
      </c>
      <c r="F33" s="500">
        <v>3.9879379033602898E-3</v>
      </c>
      <c r="G33" s="501">
        <v>14065</v>
      </c>
      <c r="H33" s="502">
        <v>1.558454797331624E-3</v>
      </c>
      <c r="I33" s="938">
        <v>137876</v>
      </c>
      <c r="J33" s="938">
        <v>228029.57875901807</v>
      </c>
      <c r="K33" s="477"/>
      <c r="L33" s="477"/>
      <c r="M33" s="477"/>
      <c r="N33" s="477"/>
      <c r="O33" s="477"/>
      <c r="P33" s="477"/>
      <c r="Q33" s="477"/>
      <c r="R33" s="477"/>
      <c r="S33" s="477"/>
      <c r="T33" s="477"/>
      <c r="U33" s="477"/>
      <c r="V33" s="477"/>
    </row>
    <row r="34" spans="1:22" ht="18.75">
      <c r="A34" s="496">
        <v>46260</v>
      </c>
      <c r="B34" s="497">
        <v>8226921</v>
      </c>
      <c r="C34" s="498">
        <v>19927</v>
      </c>
      <c r="D34" s="499">
        <v>2.4221698494491439E-3</v>
      </c>
      <c r="E34" s="498">
        <v>32881</v>
      </c>
      <c r="F34" s="500">
        <v>3.9967565022199676E-3</v>
      </c>
      <c r="G34" s="501">
        <v>12954</v>
      </c>
      <c r="H34" s="502">
        <v>1.5745866527708239E-3</v>
      </c>
      <c r="I34" s="938"/>
      <c r="J34" s="938"/>
      <c r="K34" s="477"/>
      <c r="L34" s="477"/>
      <c r="M34" s="477"/>
      <c r="N34" s="477"/>
      <c r="O34" s="477"/>
      <c r="P34" s="477"/>
      <c r="Q34" s="477"/>
      <c r="R34" s="477"/>
      <c r="S34" s="477"/>
      <c r="T34" s="477"/>
      <c r="U34" s="477"/>
      <c r="V34" s="477"/>
    </row>
    <row r="35" spans="1:22" ht="18.75">
      <c r="A35" s="496">
        <v>46261</v>
      </c>
      <c r="B35" s="497">
        <v>8093461</v>
      </c>
      <c r="C35" s="498">
        <v>19484</v>
      </c>
      <c r="D35" s="499">
        <v>2.4073755343974597E-3</v>
      </c>
      <c r="E35" s="498">
        <v>32266.282650908099</v>
      </c>
      <c r="F35" s="500">
        <v>3.9867100923706312E-3</v>
      </c>
      <c r="G35" s="501">
        <v>12782.282650908099</v>
      </c>
      <c r="H35" s="502">
        <v>1.5793345579731711E-3</v>
      </c>
      <c r="I35" s="938"/>
      <c r="J35" s="938"/>
      <c r="K35" s="477"/>
      <c r="L35" s="477"/>
      <c r="M35" s="477"/>
      <c r="N35" s="477"/>
      <c r="O35" s="477"/>
      <c r="P35" s="477"/>
      <c r="Q35" s="477"/>
      <c r="R35" s="477"/>
      <c r="S35" s="477"/>
      <c r="T35" s="477"/>
      <c r="U35" s="477"/>
      <c r="V35" s="477"/>
    </row>
    <row r="36" spans="1:22" ht="18.75">
      <c r="A36" s="496">
        <v>46262</v>
      </c>
      <c r="B36" s="497">
        <v>8092638</v>
      </c>
      <c r="C36" s="498">
        <v>19584</v>
      </c>
      <c r="D36" s="499">
        <v>2.4199772682282341E-3</v>
      </c>
      <c r="E36" s="498">
        <v>32039.296108109964</v>
      </c>
      <c r="F36" s="500">
        <v>3.9590670073355516E-3</v>
      </c>
      <c r="G36" s="501">
        <v>12455.296108109964</v>
      </c>
      <c r="H36" s="502">
        <v>1.5390897391073174E-3</v>
      </c>
      <c r="I36" s="938"/>
      <c r="J36" s="938"/>
      <c r="K36" s="477"/>
      <c r="L36" s="477"/>
      <c r="M36" s="477"/>
      <c r="N36" s="477"/>
      <c r="O36" s="477"/>
      <c r="P36" s="477"/>
      <c r="Q36" s="477"/>
      <c r="R36" s="477"/>
      <c r="S36" s="477"/>
      <c r="T36" s="477"/>
      <c r="U36" s="477"/>
      <c r="V36" s="477"/>
    </row>
    <row r="37" spans="1:22" ht="18.75">
      <c r="A37" s="496">
        <v>46263</v>
      </c>
      <c r="B37" s="497">
        <v>7053318</v>
      </c>
      <c r="C37" s="498">
        <v>17085</v>
      </c>
      <c r="D37" s="499">
        <v>2.4222642449978861E-3</v>
      </c>
      <c r="E37" s="498">
        <v>28716</v>
      </c>
      <c r="F37" s="500">
        <v>4.0712753912413987E-3</v>
      </c>
      <c r="G37" s="501">
        <v>11631</v>
      </c>
      <c r="H37" s="502">
        <v>1.6490111462435127E-3</v>
      </c>
      <c r="I37" s="938"/>
      <c r="J37" s="938"/>
      <c r="K37" s="477"/>
      <c r="L37" s="477"/>
      <c r="M37" s="477"/>
      <c r="N37" s="477"/>
      <c r="O37" s="477"/>
      <c r="P37" s="477"/>
      <c r="Q37" s="477"/>
      <c r="R37" s="477"/>
      <c r="S37" s="477"/>
      <c r="T37" s="477"/>
      <c r="U37" s="477"/>
      <c r="V37" s="477"/>
    </row>
    <row r="38" spans="1:22" ht="18.75">
      <c r="A38" s="496">
        <v>46264</v>
      </c>
      <c r="B38" s="497">
        <v>7474537</v>
      </c>
      <c r="C38" s="498">
        <v>18156</v>
      </c>
      <c r="D38" s="499">
        <v>2.4290467757400892E-3</v>
      </c>
      <c r="E38" s="498">
        <v>29762</v>
      </c>
      <c r="F38" s="500">
        <v>3.9817850925080714E-3</v>
      </c>
      <c r="G38" s="501">
        <v>11606</v>
      </c>
      <c r="H38" s="502">
        <v>1.5527383167679818E-3</v>
      </c>
      <c r="I38" s="938"/>
      <c r="J38" s="938"/>
      <c r="K38" s="477"/>
      <c r="L38" s="477"/>
      <c r="M38" s="477"/>
      <c r="N38" s="477"/>
      <c r="O38" s="477"/>
      <c r="P38" s="477"/>
      <c r="Q38" s="477"/>
      <c r="R38" s="477"/>
      <c r="S38" s="477"/>
      <c r="T38" s="477"/>
      <c r="U38" s="477"/>
      <c r="V38" s="477"/>
    </row>
    <row r="39" spans="1:22" ht="18.75">
      <c r="A39" s="496">
        <v>46265</v>
      </c>
      <c r="B39" s="497">
        <v>9017829</v>
      </c>
      <c r="C39" s="498">
        <v>21714</v>
      </c>
      <c r="D39" s="499">
        <v>2.407896623455601E-3</v>
      </c>
      <c r="E39" s="498">
        <v>36374</v>
      </c>
      <c r="F39" s="500">
        <v>4.0335650631654245E-3</v>
      </c>
      <c r="G39" s="501">
        <v>14660</v>
      </c>
      <c r="H39" s="502">
        <v>1.6256684397098237E-3</v>
      </c>
      <c r="I39" s="938"/>
      <c r="J39" s="938"/>
      <c r="K39" s="477"/>
      <c r="L39" s="477"/>
      <c r="M39" s="477"/>
      <c r="N39" s="477"/>
      <c r="O39" s="477"/>
      <c r="P39" s="477"/>
      <c r="Q39" s="477"/>
      <c r="R39" s="477"/>
      <c r="S39" s="477"/>
      <c r="T39" s="477"/>
      <c r="U39" s="477"/>
      <c r="V39" s="477"/>
    </row>
    <row r="40" spans="1:22" ht="18.75">
      <c r="A40" s="503">
        <v>46266</v>
      </c>
      <c r="B40" s="497"/>
      <c r="C40" s="498"/>
      <c r="D40" s="499" t="e">
        <v>#DIV/0!</v>
      </c>
      <c r="E40" s="498"/>
      <c r="F40" s="500" t="e">
        <v>#DIV/0!</v>
      </c>
      <c r="G40" s="501">
        <v>0</v>
      </c>
      <c r="H40" s="502" t="e">
        <v>#DIV/0!</v>
      </c>
      <c r="I40" s="939">
        <v>0</v>
      </c>
      <c r="J40" s="939">
        <v>0</v>
      </c>
      <c r="K40" s="477"/>
      <c r="L40" s="477"/>
      <c r="M40" s="477"/>
      <c r="N40" s="477"/>
      <c r="O40" s="477"/>
      <c r="P40" s="477"/>
      <c r="Q40" s="477"/>
      <c r="R40" s="477"/>
      <c r="S40" s="477"/>
      <c r="T40" s="477"/>
      <c r="U40" s="477"/>
      <c r="V40" s="477"/>
    </row>
    <row r="41" spans="1:22" ht="18.75">
      <c r="A41" s="503">
        <v>46267</v>
      </c>
      <c r="B41" s="497"/>
      <c r="C41" s="498"/>
      <c r="D41" s="499" t="e">
        <v>#DIV/0!</v>
      </c>
      <c r="E41" s="498"/>
      <c r="F41" s="500" t="e">
        <v>#DIV/0!</v>
      </c>
      <c r="G41" s="501">
        <v>0</v>
      </c>
      <c r="H41" s="502" t="e">
        <v>#DIV/0!</v>
      </c>
      <c r="I41" s="939"/>
      <c r="J41" s="939"/>
      <c r="K41" s="477"/>
      <c r="L41" s="477"/>
      <c r="M41" s="477"/>
      <c r="N41" s="477"/>
      <c r="O41" s="477"/>
      <c r="P41" s="477"/>
      <c r="Q41" s="477"/>
      <c r="R41" s="477"/>
      <c r="S41" s="477"/>
      <c r="T41" s="477"/>
      <c r="U41" s="477"/>
      <c r="V41" s="477"/>
    </row>
    <row r="42" spans="1:22" ht="18.75">
      <c r="A42" s="503">
        <v>46268</v>
      </c>
      <c r="B42" s="497"/>
      <c r="C42" s="498"/>
      <c r="D42" s="499" t="e">
        <v>#DIV/0!</v>
      </c>
      <c r="E42" s="498"/>
      <c r="F42" s="500" t="e">
        <v>#DIV/0!</v>
      </c>
      <c r="G42" s="501">
        <v>0</v>
      </c>
      <c r="H42" s="502" t="e">
        <v>#DIV/0!</v>
      </c>
      <c r="I42" s="939"/>
      <c r="J42" s="939"/>
      <c r="K42" s="477"/>
      <c r="L42" s="477"/>
      <c r="M42" s="477"/>
      <c r="N42" s="477"/>
      <c r="O42" s="477"/>
      <c r="P42" s="477"/>
      <c r="Q42" s="477"/>
      <c r="R42" s="477"/>
      <c r="S42" s="477"/>
      <c r="T42" s="477"/>
      <c r="U42" s="477"/>
      <c r="V42" s="477"/>
    </row>
    <row r="43" spans="1:22" ht="18.75">
      <c r="A43" s="503">
        <v>46269</v>
      </c>
      <c r="B43" s="497"/>
      <c r="C43" s="498"/>
      <c r="D43" s="499" t="e">
        <v>#DIV/0!</v>
      </c>
      <c r="E43" s="498"/>
      <c r="F43" s="500" t="e">
        <v>#DIV/0!</v>
      </c>
      <c r="G43" s="501">
        <v>0</v>
      </c>
      <c r="H43" s="502" t="e">
        <v>#DIV/0!</v>
      </c>
      <c r="I43" s="939"/>
      <c r="J43" s="939"/>
      <c r="K43" s="477"/>
      <c r="L43" s="477"/>
      <c r="M43" s="477"/>
      <c r="N43" s="477"/>
      <c r="O43" s="477"/>
      <c r="P43" s="477"/>
      <c r="Q43" s="477"/>
      <c r="R43" s="477"/>
      <c r="S43" s="477"/>
      <c r="T43" s="477"/>
      <c r="U43" s="477"/>
      <c r="V43" s="477"/>
    </row>
    <row r="44" spans="1:22" ht="18.75">
      <c r="A44" s="503">
        <v>46270</v>
      </c>
      <c r="B44" s="497"/>
      <c r="C44" s="498"/>
      <c r="D44" s="499" t="e">
        <v>#DIV/0!</v>
      </c>
      <c r="E44" s="498"/>
      <c r="F44" s="500" t="e">
        <v>#DIV/0!</v>
      </c>
      <c r="G44" s="501">
        <v>0</v>
      </c>
      <c r="H44" s="502" t="e">
        <v>#DIV/0!</v>
      </c>
      <c r="I44" s="939"/>
      <c r="J44" s="939"/>
      <c r="K44" s="477"/>
      <c r="L44" s="477"/>
      <c r="M44" s="477"/>
      <c r="N44" s="477"/>
      <c r="O44" s="477"/>
      <c r="P44" s="477"/>
      <c r="Q44" s="477"/>
      <c r="R44" s="477"/>
      <c r="S44" s="477"/>
      <c r="T44" s="477"/>
      <c r="U44" s="477"/>
      <c r="V44" s="477"/>
    </row>
    <row r="45" spans="1:22" ht="18.75">
      <c r="A45" s="503">
        <v>46271</v>
      </c>
      <c r="B45" s="497"/>
      <c r="C45" s="498"/>
      <c r="D45" s="499" t="e">
        <v>#DIV/0!</v>
      </c>
      <c r="E45" s="498"/>
      <c r="F45" s="500" t="e">
        <v>#DIV/0!</v>
      </c>
      <c r="G45" s="501">
        <v>0</v>
      </c>
      <c r="H45" s="502" t="e">
        <v>#DIV/0!</v>
      </c>
      <c r="I45" s="939"/>
      <c r="J45" s="939"/>
      <c r="K45" s="477"/>
      <c r="L45" s="477"/>
      <c r="M45" s="477"/>
      <c r="N45" s="477"/>
      <c r="O45" s="477"/>
      <c r="P45" s="477"/>
      <c r="Q45" s="477"/>
      <c r="R45" s="477"/>
      <c r="S45" s="477"/>
      <c r="T45" s="477"/>
      <c r="U45" s="477"/>
      <c r="V45" s="477"/>
    </row>
    <row r="46" spans="1:22" ht="18.75">
      <c r="A46" s="503">
        <v>46272</v>
      </c>
      <c r="B46" s="497"/>
      <c r="C46" s="498"/>
      <c r="D46" s="499" t="e">
        <v>#DIV/0!</v>
      </c>
      <c r="E46" s="498"/>
      <c r="F46" s="500" t="e">
        <v>#DIV/0!</v>
      </c>
      <c r="G46" s="501">
        <v>0</v>
      </c>
      <c r="H46" s="502" t="e">
        <v>#DIV/0!</v>
      </c>
      <c r="I46" s="939"/>
      <c r="J46" s="939"/>
      <c r="K46" s="477"/>
      <c r="L46" s="477"/>
      <c r="M46" s="477"/>
      <c r="N46" s="477"/>
      <c r="O46" s="477"/>
      <c r="P46" s="477"/>
      <c r="Q46" s="477"/>
      <c r="R46" s="477"/>
      <c r="S46" s="477"/>
      <c r="T46" s="477"/>
      <c r="U46" s="477"/>
      <c r="V46" s="477"/>
    </row>
    <row r="47" spans="1:22" ht="18.75">
      <c r="A47" s="477"/>
      <c r="B47" s="477"/>
      <c r="C47" s="477"/>
      <c r="D47" s="477"/>
      <c r="E47" s="477"/>
      <c r="F47" s="477"/>
      <c r="G47" s="477"/>
      <c r="H47" s="477"/>
      <c r="I47" s="477"/>
      <c r="J47" s="477"/>
      <c r="K47" s="477"/>
      <c r="L47" s="477"/>
      <c r="M47" s="477"/>
      <c r="N47" s="477"/>
      <c r="O47" s="477"/>
      <c r="P47" s="477"/>
      <c r="Q47" s="477"/>
      <c r="R47" s="477"/>
      <c r="S47" s="477"/>
      <c r="T47" s="477"/>
      <c r="U47" s="477"/>
      <c r="V47" s="477"/>
    </row>
    <row r="48" spans="1:22" ht="18.75">
      <c r="A48" s="504" t="s">
        <v>690</v>
      </c>
      <c r="B48" s="505">
        <v>283737143</v>
      </c>
      <c r="C48" s="477"/>
      <c r="D48" s="477"/>
      <c r="E48" s="477"/>
      <c r="F48" s="477"/>
      <c r="G48" s="477"/>
      <c r="H48" s="477"/>
      <c r="I48" s="477"/>
      <c r="J48" s="477"/>
      <c r="K48" s="477"/>
      <c r="L48" s="477"/>
      <c r="M48" s="477"/>
      <c r="N48" s="477"/>
      <c r="O48" s="477"/>
      <c r="P48" s="477"/>
      <c r="Q48" s="477"/>
      <c r="R48" s="477"/>
      <c r="S48" s="477"/>
      <c r="T48" s="477"/>
      <c r="U48" s="477"/>
      <c r="V48" s="477"/>
    </row>
    <row r="49" spans="1:22" ht="18.75">
      <c r="A49" s="477"/>
      <c r="B49" s="477"/>
      <c r="C49" s="477"/>
      <c r="D49" s="477"/>
      <c r="E49" s="477"/>
      <c r="F49" s="477"/>
      <c r="G49" s="477"/>
      <c r="H49" s="477"/>
      <c r="I49" s="477"/>
      <c r="J49" s="477"/>
      <c r="K49" s="477"/>
      <c r="L49" s="477"/>
      <c r="M49" s="477"/>
      <c r="N49" s="477"/>
      <c r="O49" s="477"/>
      <c r="P49" s="477"/>
      <c r="Q49" s="477"/>
      <c r="R49" s="477"/>
      <c r="S49" s="477"/>
      <c r="T49" s="477"/>
      <c r="U49" s="477"/>
      <c r="V49" s="477"/>
    </row>
  </sheetData>
  <mergeCells count="19">
    <mergeCell ref="I5:I11"/>
    <mergeCell ref="I12:I18"/>
    <mergeCell ref="A1:J1"/>
    <mergeCell ref="A2:A3"/>
    <mergeCell ref="B2:B3"/>
    <mergeCell ref="C2:C3"/>
    <mergeCell ref="D2:D3"/>
    <mergeCell ref="I2:I4"/>
    <mergeCell ref="J2:J4"/>
    <mergeCell ref="J5:J11"/>
    <mergeCell ref="J33:J39"/>
    <mergeCell ref="I40:I46"/>
    <mergeCell ref="J40:J46"/>
    <mergeCell ref="J12:J18"/>
    <mergeCell ref="I19:I25"/>
    <mergeCell ref="J19:J25"/>
    <mergeCell ref="I26:I32"/>
    <mergeCell ref="J26:J32"/>
    <mergeCell ref="I33:I39"/>
  </mergeCells>
  <phoneticPr fontId="13" type="noConversion"/>
  <conditionalFormatting sqref="A5:A46">
    <cfRule type="timePeriod" dxfId="2" priority="2" timePeriod="yesterday">
      <formula>FLOOR(A5,1)=TODAY()-1</formula>
    </cfRule>
  </conditionalFormatting>
  <conditionalFormatting sqref="D5:D46">
    <cfRule type="cellIs" dxfId="1" priority="1" operator="greaterThan">
      <formula>0.0025</formula>
    </cfRule>
  </conditionalFormatting>
  <conditionalFormatting sqref="D48">
    <cfRule type="cellIs" dxfId="0" priority="3" operator="greaterThan">
      <formula>0.0025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view="pageBreakPreview" zoomScale="115" zoomScaleNormal="100" zoomScaleSheetLayoutView="115" workbookViewId="0">
      <selection activeCell="Q19" sqref="Q19"/>
    </sheetView>
  </sheetViews>
  <sheetFormatPr defaultColWidth="8.7109375" defaultRowHeight="14.25"/>
  <cols>
    <col min="1" max="2" width="8.7109375" style="208"/>
    <col min="3" max="3" width="14" style="208" bestFit="1" customWidth="1"/>
    <col min="4" max="4" width="0.28515625" style="208" customWidth="1"/>
    <col min="5" max="5" width="8.7109375" style="208"/>
    <col min="6" max="6" width="16.28515625" style="208" bestFit="1" customWidth="1"/>
    <col min="7" max="16384" width="8.7109375" style="208"/>
  </cols>
  <sheetData>
    <row r="2" spans="2:7" ht="15.75">
      <c r="B2" s="950" t="s">
        <v>233</v>
      </c>
      <c r="C2" s="950"/>
      <c r="D2" s="950"/>
      <c r="E2" s="950"/>
      <c r="F2" s="950"/>
    </row>
    <row r="3" spans="2:7" ht="15">
      <c r="B3" s="209" t="s">
        <v>234</v>
      </c>
      <c r="C3" s="209" t="s">
        <v>235</v>
      </c>
      <c r="D3" s="210"/>
      <c r="E3" s="209" t="s">
        <v>236</v>
      </c>
      <c r="F3" s="209" t="s">
        <v>237</v>
      </c>
      <c r="G3" s="210"/>
    </row>
    <row r="4" spans="2:7" ht="15">
      <c r="B4" s="211" t="s">
        <v>238</v>
      </c>
      <c r="C4" s="211" t="s">
        <v>239</v>
      </c>
      <c r="D4" s="210"/>
      <c r="E4" s="211" t="s">
        <v>240</v>
      </c>
      <c r="F4" s="211" t="s">
        <v>241</v>
      </c>
      <c r="G4" s="210"/>
    </row>
    <row r="5" spans="2:7" ht="15">
      <c r="B5" s="211" t="s">
        <v>242</v>
      </c>
      <c r="C5" s="211" t="s">
        <v>243</v>
      </c>
      <c r="D5" s="210"/>
      <c r="E5" s="211" t="s">
        <v>244</v>
      </c>
      <c r="F5" s="211" t="s">
        <v>245</v>
      </c>
      <c r="G5" s="210"/>
    </row>
    <row r="6" spans="2:7" ht="15">
      <c r="B6" s="211" t="s">
        <v>246</v>
      </c>
      <c r="C6" s="211" t="s">
        <v>247</v>
      </c>
      <c r="D6" s="210"/>
      <c r="E6" s="212" t="s">
        <v>248</v>
      </c>
      <c r="F6" s="212" t="s">
        <v>136</v>
      </c>
      <c r="G6" s="210"/>
    </row>
    <row r="7" spans="2:7" ht="15">
      <c r="B7" s="212" t="s">
        <v>249</v>
      </c>
      <c r="C7" s="212" t="s">
        <v>250</v>
      </c>
      <c r="D7" s="210"/>
      <c r="E7" s="211" t="s">
        <v>251</v>
      </c>
      <c r="F7" s="211" t="s">
        <v>252</v>
      </c>
      <c r="G7" s="210"/>
    </row>
    <row r="8" spans="2:7" ht="15">
      <c r="B8" s="211" t="s">
        <v>253</v>
      </c>
      <c r="C8" s="211" t="s">
        <v>254</v>
      </c>
      <c r="D8" s="210"/>
      <c r="E8" s="211" t="s">
        <v>255</v>
      </c>
      <c r="F8" s="211" t="s">
        <v>256</v>
      </c>
      <c r="G8" s="210"/>
    </row>
    <row r="9" spans="2:7" ht="15">
      <c r="B9" s="211" t="s">
        <v>257</v>
      </c>
      <c r="C9" s="211" t="s">
        <v>258</v>
      </c>
      <c r="D9" s="210"/>
      <c r="E9" s="212" t="s">
        <v>259</v>
      </c>
      <c r="F9" s="212" t="s">
        <v>135</v>
      </c>
      <c r="G9" s="210"/>
    </row>
    <row r="10" spans="2:7" ht="15">
      <c r="B10" s="211" t="s">
        <v>260</v>
      </c>
      <c r="C10" s="211" t="s">
        <v>261</v>
      </c>
      <c r="D10" s="210"/>
      <c r="E10" s="211" t="s">
        <v>262</v>
      </c>
      <c r="F10" s="211" t="s">
        <v>263</v>
      </c>
      <c r="G10" s="210"/>
    </row>
    <row r="11" spans="2:7" ht="15">
      <c r="B11" s="211" t="s">
        <v>264</v>
      </c>
      <c r="C11" s="211" t="s">
        <v>265</v>
      </c>
      <c r="D11" s="210"/>
      <c r="E11" s="211" t="s">
        <v>266</v>
      </c>
      <c r="F11" s="211" t="s">
        <v>256</v>
      </c>
      <c r="G11" s="210"/>
    </row>
    <row r="12" spans="2:7" ht="15">
      <c r="B12" s="211" t="s">
        <v>267</v>
      </c>
      <c r="C12" s="211" t="s">
        <v>268</v>
      </c>
      <c r="D12" s="210"/>
      <c r="E12" s="211" t="s">
        <v>269</v>
      </c>
      <c r="F12" s="211" t="s">
        <v>270</v>
      </c>
      <c r="G12" s="210"/>
    </row>
    <row r="13" spans="2:7" ht="15">
      <c r="B13" s="212" t="s">
        <v>271</v>
      </c>
      <c r="C13" s="212" t="s">
        <v>131</v>
      </c>
      <c r="D13" s="210"/>
      <c r="E13" s="211" t="s">
        <v>272</v>
      </c>
      <c r="F13" s="211" t="s">
        <v>273</v>
      </c>
      <c r="G13" s="210"/>
    </row>
    <row r="14" spans="2:7" ht="15">
      <c r="B14" s="211" t="s">
        <v>274</v>
      </c>
      <c r="C14" s="211" t="s">
        <v>275</v>
      </c>
      <c r="D14" s="210"/>
      <c r="E14" s="212" t="s">
        <v>276</v>
      </c>
      <c r="F14" s="212" t="s">
        <v>277</v>
      </c>
      <c r="G14" s="210"/>
    </row>
    <row r="15" spans="2:7" ht="15">
      <c r="B15" s="212" t="s">
        <v>278</v>
      </c>
      <c r="C15" s="212" t="s">
        <v>279</v>
      </c>
      <c r="D15" s="210"/>
      <c r="E15" s="211" t="s">
        <v>280</v>
      </c>
      <c r="F15" s="211" t="s">
        <v>277</v>
      </c>
      <c r="G15" s="210"/>
    </row>
    <row r="16" spans="2:7" ht="15">
      <c r="B16" s="211" t="s">
        <v>281</v>
      </c>
      <c r="C16" s="211" t="s">
        <v>282</v>
      </c>
      <c r="D16" s="210"/>
      <c r="E16" s="212" t="s">
        <v>283</v>
      </c>
      <c r="F16" s="212" t="s">
        <v>284</v>
      </c>
      <c r="G16" s="210"/>
    </row>
    <row r="17" spans="2:7" ht="15">
      <c r="B17" s="211" t="s">
        <v>285</v>
      </c>
      <c r="C17" s="211" t="s">
        <v>286</v>
      </c>
      <c r="D17" s="210"/>
      <c r="E17" s="211" t="s">
        <v>287</v>
      </c>
      <c r="F17" s="211" t="s">
        <v>288</v>
      </c>
      <c r="G17" s="210"/>
    </row>
    <row r="18" spans="2:7" ht="15">
      <c r="B18" s="211" t="s">
        <v>289</v>
      </c>
      <c r="C18" s="211" t="s">
        <v>290</v>
      </c>
      <c r="D18" s="210"/>
      <c r="E18" s="211" t="s">
        <v>291</v>
      </c>
      <c r="F18" s="211" t="s">
        <v>292</v>
      </c>
      <c r="G18" s="210"/>
    </row>
    <row r="19" spans="2:7" ht="15">
      <c r="B19" s="211" t="s">
        <v>293</v>
      </c>
      <c r="C19" s="211" t="s">
        <v>294</v>
      </c>
      <c r="D19" s="210"/>
      <c r="E19" s="211" t="s">
        <v>295</v>
      </c>
      <c r="F19" s="211" t="s">
        <v>296</v>
      </c>
      <c r="G19" s="210"/>
    </row>
    <row r="20" spans="2:7" ht="15">
      <c r="B20" s="211" t="s">
        <v>297</v>
      </c>
      <c r="C20" s="211" t="s">
        <v>298</v>
      </c>
      <c r="D20" s="210"/>
      <c r="G20" s="210"/>
    </row>
    <row r="21" spans="2:7" ht="15">
      <c r="D21" s="210"/>
      <c r="G21" s="210"/>
    </row>
    <row r="22" spans="2:7" ht="15">
      <c r="D22" s="210"/>
      <c r="G22" s="210"/>
    </row>
    <row r="23" spans="2:7" ht="15">
      <c r="D23" s="210"/>
      <c r="G23" s="210"/>
    </row>
  </sheetData>
  <mergeCells count="1">
    <mergeCell ref="B2:F2"/>
  </mergeCells>
  <phoneticPr fontId="13" type="noConversion"/>
  <pageMargins left="0" right="0" top="0" bottom="0" header="0" footer="0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DA62899FCF77541A2830A96A559C8DA" ma:contentTypeVersion="11" ma:contentTypeDescription="建立新的文件。" ma:contentTypeScope="" ma:versionID="d02586461ad3ed0e5a8730ab5eb20d51">
  <xsd:schema xmlns:xsd="http://www.w3.org/2001/XMLSchema" xmlns:xs="http://www.w3.org/2001/XMLSchema" xmlns:p="http://schemas.microsoft.com/office/2006/metadata/properties" xmlns:ns2="d017f4fe-1359-4419-afdf-e2560bdfb30b" xmlns:ns3="85de06e7-71af-4d71-a190-84eae70d6c46" targetNamespace="http://schemas.microsoft.com/office/2006/metadata/properties" ma:root="true" ma:fieldsID="eb7a66f808bf71e5a949a7b74ccbfe17" ns2:_="" ns3:_="">
    <xsd:import namespace="d017f4fe-1359-4419-afdf-e2560bdfb30b"/>
    <xsd:import namespace="85de06e7-71af-4d71-a190-84eae70d6c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7f4fe-1359-4419-afdf-e2560bdfb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ecabee93-cc04-4b29-9ac7-5286c815f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e06e7-71af-4d71-a190-84eae70d6c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97b0fa-71ef-4af6-bbc5-b4c66286d822}" ma:internalName="TaxCatchAll" ma:showField="CatchAllData" ma:web="85de06e7-71af-4d71-a190-84eae70d6c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de06e7-71af-4d71-a190-84eae70d6c46" xsi:nil="true"/>
    <lcf76f155ced4ddcb4097134ff3c332f xmlns="d017f4fe-1359-4419-afdf-e2560bdfb30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909886B-8AE8-48C4-8B0A-9D475A32C114}"/>
</file>

<file path=customXml/itemProps2.xml><?xml version="1.0" encoding="utf-8"?>
<ds:datastoreItem xmlns:ds="http://schemas.openxmlformats.org/officeDocument/2006/customXml" ds:itemID="{CAA00DFD-7400-4D15-8C49-F1792F0068CD}"/>
</file>

<file path=customXml/itemProps3.xml><?xml version="1.0" encoding="utf-8"?>
<ds:datastoreItem xmlns:ds="http://schemas.openxmlformats.org/officeDocument/2006/customXml" ds:itemID="{7567503E-592A-4ACD-AAF7-F3E95FD5797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32</vt:i4>
      </vt:variant>
      <vt:variant>
        <vt:lpstr>已命名的範圍</vt:lpstr>
      </vt:variant>
      <vt:variant>
        <vt:i4>12</vt:i4>
      </vt:variant>
    </vt:vector>
  </HeadingPairs>
  <TitlesOfParts>
    <vt:vector size="44" baseType="lpstr">
      <vt:lpstr>填寫舉例</vt:lpstr>
      <vt:lpstr>生產管理報表(月)</vt:lpstr>
      <vt:lpstr>生產管理報表(週) </vt:lpstr>
      <vt:lpstr>（１）收支狀況</vt:lpstr>
      <vt:lpstr>（２）ＫＰＩ達成進度</vt:lpstr>
      <vt:lpstr>（３）業績構成比</vt:lpstr>
      <vt:lpstr>（４）訂單數量構成比</vt:lpstr>
      <vt:lpstr>（５-1）品群別人時生產性（18℃-飯糰）</vt:lpstr>
      <vt:lpstr>（５-2）品群別人時生產性（18-壽司手卷)</vt:lpstr>
      <vt:lpstr>（５-3）品群別人時生產性（4℃-飯糰)</vt:lpstr>
      <vt:lpstr>（５-4）品群別人時生產性（4℃-壽司手卷)</vt:lpstr>
      <vt:lpstr>（５-5）品群別人時生產性(主食) </vt:lpstr>
      <vt:lpstr>（５-6）品群別人時生產性(便當)</vt:lpstr>
      <vt:lpstr>（５-7）品群別人時生產性(熱食義麵) </vt:lpstr>
      <vt:lpstr>（５-8）品群別人時生產性(季節調理麵) </vt:lpstr>
      <vt:lpstr>（５-9）品群別人時生產性(微波小吃)</vt:lpstr>
      <vt:lpstr>生產管理報表 6-1</vt:lpstr>
      <vt:lpstr>生產管理報表 6-2</vt:lpstr>
      <vt:lpstr>生產管理報表 6-3</vt:lpstr>
      <vt:lpstr>生產管理報表 6-4</vt:lpstr>
      <vt:lpstr>生產管理報表 6-5</vt:lpstr>
      <vt:lpstr>生產管理報表 7-1(月)</vt:lpstr>
      <vt:lpstr>生產管理報表 7-1 (週)</vt:lpstr>
      <vt:lpstr>生產管理報表 8-1(報廢)</vt:lpstr>
      <vt:lpstr>生產管理報表 8-2(報廢)</vt:lpstr>
      <vt:lpstr>生產管理報表 8-3(超用)</vt:lpstr>
      <vt:lpstr>生產管理報表 8-4(超用)</vt:lpstr>
      <vt:lpstr>生產管理報表 9</vt:lpstr>
      <vt:lpstr>報廢20大－原因別分析</vt:lpstr>
      <vt:lpstr>超用20大－原因別分析</vt:lpstr>
      <vt:lpstr>日別報廢率總表  </vt:lpstr>
      <vt:lpstr>鮮食品群番</vt:lpstr>
      <vt:lpstr>'生產管理報表 6-1'!Print_Area</vt:lpstr>
      <vt:lpstr>'生產管理報表 6-2'!Print_Area</vt:lpstr>
      <vt:lpstr>'生產管理報表 6-3'!Print_Area</vt:lpstr>
      <vt:lpstr>'生產管理報表 6-4'!Print_Area</vt:lpstr>
      <vt:lpstr>'生產管理報表 6-5'!Print_Area</vt:lpstr>
      <vt:lpstr>'生產管理報表 7-1 (週)'!Print_Area</vt:lpstr>
      <vt:lpstr>'生產管理報表 7-1(月)'!Print_Area</vt:lpstr>
      <vt:lpstr>'生產管理報表 8-3(超用)'!Print_Area</vt:lpstr>
      <vt:lpstr>'生產管理報表 8-4(超用)'!Print_Area</vt:lpstr>
      <vt:lpstr>'生產管理報表(月)'!Print_Area</vt:lpstr>
      <vt:lpstr>'生產管理報表(週) '!Print_Area</vt:lpstr>
      <vt:lpstr>鮮食品群番!Print_Area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丁珮心</dc:creator>
  <cp:lastModifiedBy>林宗翰</cp:lastModifiedBy>
  <cp:lastPrinted>2025-07-28T04:42:39Z</cp:lastPrinted>
  <dcterms:created xsi:type="dcterms:W3CDTF">2025-07-03T16:36:59Z</dcterms:created>
  <dcterms:modified xsi:type="dcterms:W3CDTF">2026-09-02T12:12:54Z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0x010100FDA62899FCF77541A2830A96A559C8DA</vt:lpwstr>
  </property>
</Properties>
</file>