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 tabRatio="838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5" l="1"/>
  <c r="A8" i="25"/>
  <c r="S81" i="37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Y67" i="35"/>
  <c r="X67" i="35"/>
  <c r="AC81" i="35"/>
  <c r="AC80" i="35"/>
  <c r="AC79" i="35"/>
  <c r="AC78" i="35"/>
  <c r="AC77" i="35"/>
  <c r="AC76" i="35"/>
  <c r="AC75" i="35"/>
  <c r="AC74" i="35"/>
  <c r="AC73" i="35"/>
  <c r="AC72" i="35"/>
  <c r="AC71" i="35"/>
  <c r="AC70" i="35"/>
  <c r="AC69" i="35"/>
  <c r="AC68" i="35"/>
  <c r="AD67" i="35"/>
  <c r="AC67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I67" i="35"/>
  <c r="AH67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N67" i="35"/>
  <c r="AM67" i="35"/>
  <c r="AR81" i="35"/>
  <c r="AR80" i="35"/>
  <c r="AR79" i="35"/>
  <c r="AR78" i="35"/>
  <c r="AR77" i="35"/>
  <c r="AR76" i="35"/>
  <c r="AR75" i="35"/>
  <c r="AR74" i="35"/>
  <c r="AR73" i="35"/>
  <c r="AR72" i="35"/>
  <c r="AR71" i="35"/>
  <c r="AR70" i="35"/>
  <c r="AR69" i="35"/>
  <c r="AR68" i="35"/>
  <c r="AS67" i="35"/>
  <c r="AR67" i="35"/>
  <c r="AW81" i="35"/>
  <c r="AW80" i="35"/>
  <c r="AW79" i="35"/>
  <c r="AW78" i="35"/>
  <c r="AW77" i="35"/>
  <c r="AW76" i="35"/>
  <c r="AW75" i="35"/>
  <c r="AW74" i="35"/>
  <c r="AW73" i="35"/>
  <c r="AW72" i="35"/>
  <c r="AW71" i="35"/>
  <c r="AW70" i="35"/>
  <c r="AW69" i="35"/>
  <c r="AW68" i="35"/>
  <c r="AX67" i="35"/>
  <c r="AW67" i="35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T67" i="34"/>
  <c r="S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Y67" i="34"/>
  <c r="X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D67" i="34"/>
  <c r="AC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I67" i="34"/>
  <c r="AH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N67" i="34"/>
  <c r="AM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S67" i="34"/>
  <c r="AR67" i="34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X67" i="34"/>
  <c r="AW67" i="34"/>
  <c r="S141" i="33" l="1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T112" i="33"/>
  <c r="S11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Y112" i="33"/>
  <c r="X112" i="33"/>
  <c r="AC141" i="33"/>
  <c r="AC140" i="33"/>
  <c r="AC139" i="33"/>
  <c r="AC138" i="33"/>
  <c r="AC137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D112" i="33"/>
  <c r="AC112" i="33"/>
  <c r="AH141" i="33"/>
  <c r="AH140" i="33"/>
  <c r="AH139" i="33"/>
  <c r="AH138" i="33"/>
  <c r="AH137" i="33"/>
  <c r="AH136" i="33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I112" i="33"/>
  <c r="AH112" i="33"/>
  <c r="AM141" i="33"/>
  <c r="AM140" i="33"/>
  <c r="AM139" i="33"/>
  <c r="AM138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N112" i="33"/>
  <c r="AM112" i="33"/>
  <c r="AR141" i="33"/>
  <c r="AR140" i="33"/>
  <c r="AR139" i="33"/>
  <c r="AR138" i="33"/>
  <c r="AR137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S112" i="33"/>
  <c r="AR112" i="33"/>
  <c r="AW141" i="33"/>
  <c r="AW140" i="33"/>
  <c r="AW139" i="33"/>
  <c r="AW138" i="33"/>
  <c r="AW137" i="33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X112" i="33"/>
  <c r="AW112" i="33"/>
  <c r="M67" i="31"/>
  <c r="M68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X81" i="31"/>
  <c r="X80" i="31"/>
  <c r="X79" i="31"/>
  <c r="X78" i="31"/>
  <c r="X77" i="31"/>
  <c r="X76" i="31"/>
  <c r="X75" i="31"/>
  <c r="X74" i="31"/>
  <c r="X73" i="31"/>
  <c r="X72" i="31"/>
  <c r="X71" i="31"/>
  <c r="X70" i="31"/>
  <c r="X69" i="31"/>
  <c r="X68" i="31"/>
  <c r="Y67" i="31"/>
  <c r="X67" i="31"/>
  <c r="AC81" i="31"/>
  <c r="AC80" i="31"/>
  <c r="AC79" i="31"/>
  <c r="AC78" i="31"/>
  <c r="AC77" i="31"/>
  <c r="AC76" i="31"/>
  <c r="AC75" i="31"/>
  <c r="AC74" i="31"/>
  <c r="AC73" i="31"/>
  <c r="AC72" i="31"/>
  <c r="AC71" i="31"/>
  <c r="AC70" i="31"/>
  <c r="AC69" i="31"/>
  <c r="AC68" i="31"/>
  <c r="AD67" i="31"/>
  <c r="AC67" i="31"/>
  <c r="AH81" i="31"/>
  <c r="AH80" i="31"/>
  <c r="AH79" i="31"/>
  <c r="AH78" i="31"/>
  <c r="AH77" i="31"/>
  <c r="AH76" i="31"/>
  <c r="AH75" i="31"/>
  <c r="AH74" i="31"/>
  <c r="AH73" i="31"/>
  <c r="AH72" i="31"/>
  <c r="AH71" i="31"/>
  <c r="AH70" i="31"/>
  <c r="AH69" i="31"/>
  <c r="AH68" i="31"/>
  <c r="AI67" i="31"/>
  <c r="AH67" i="31"/>
  <c r="AM81" i="31"/>
  <c r="AM80" i="31"/>
  <c r="AM79" i="31"/>
  <c r="AM78" i="31"/>
  <c r="AM77" i="31"/>
  <c r="AM76" i="31"/>
  <c r="AM75" i="31"/>
  <c r="AM74" i="31"/>
  <c r="AM73" i="31"/>
  <c r="AM72" i="31"/>
  <c r="AM71" i="31"/>
  <c r="AM70" i="31"/>
  <c r="AM69" i="31"/>
  <c r="AM68" i="31"/>
  <c r="AN67" i="31"/>
  <c r="AM67" i="31"/>
  <c r="AR81" i="31"/>
  <c r="AR80" i="31"/>
  <c r="AR79" i="31"/>
  <c r="AR78" i="31"/>
  <c r="AR77" i="31"/>
  <c r="AR76" i="31"/>
  <c r="AR75" i="31"/>
  <c r="AR74" i="31"/>
  <c r="AR73" i="31"/>
  <c r="AR72" i="31"/>
  <c r="AR71" i="31"/>
  <c r="AR70" i="31"/>
  <c r="AR69" i="31"/>
  <c r="AR68" i="31"/>
  <c r="AS67" i="31"/>
  <c r="AR67" i="31"/>
  <c r="AW81" i="31"/>
  <c r="AW80" i="31"/>
  <c r="AW79" i="31"/>
  <c r="AW78" i="31"/>
  <c r="AW77" i="31"/>
  <c r="AW76" i="31"/>
  <c r="AW75" i="31"/>
  <c r="AW74" i="31"/>
  <c r="AW73" i="31"/>
  <c r="AW72" i="31"/>
  <c r="AW71" i="31"/>
  <c r="AW70" i="31"/>
  <c r="AW69" i="31"/>
  <c r="AW68" i="31"/>
  <c r="AX67" i="31"/>
  <c r="AW67" i="31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X67" i="30"/>
  <c r="AW67" i="30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Y112" i="8"/>
  <c r="X11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D112" i="8"/>
  <c r="AC11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I112" i="8"/>
  <c r="AH112" i="8"/>
  <c r="AM141" i="8"/>
  <c r="AM140" i="8"/>
  <c r="AM139" i="8"/>
  <c r="AM138" i="8"/>
  <c r="AM137" i="8"/>
  <c r="AM136" i="8"/>
  <c r="AM135" i="8"/>
  <c r="AM134" i="8"/>
  <c r="AM133" i="8"/>
  <c r="AM132" i="8"/>
  <c r="AM131" i="8"/>
  <c r="AM130" i="8"/>
  <c r="AM129" i="8"/>
  <c r="AM128" i="8"/>
  <c r="AM127" i="8"/>
  <c r="AM126" i="8"/>
  <c r="AM125" i="8"/>
  <c r="AM124" i="8"/>
  <c r="AM123" i="8"/>
  <c r="AM122" i="8"/>
  <c r="AM121" i="8"/>
  <c r="AM120" i="8"/>
  <c r="AM119" i="8"/>
  <c r="AM118" i="8"/>
  <c r="AM117" i="8"/>
  <c r="AM116" i="8"/>
  <c r="AM115" i="8"/>
  <c r="AM114" i="8"/>
  <c r="AM113" i="8"/>
  <c r="AN112" i="8"/>
  <c r="AM112" i="8"/>
  <c r="AR141" i="8"/>
  <c r="AR140" i="8"/>
  <c r="AR139" i="8"/>
  <c r="AR138" i="8"/>
  <c r="AR137" i="8"/>
  <c r="AR136" i="8"/>
  <c r="AR135" i="8"/>
  <c r="AR134" i="8"/>
  <c r="AR133" i="8"/>
  <c r="AR132" i="8"/>
  <c r="AR131" i="8"/>
  <c r="AR130" i="8"/>
  <c r="AR129" i="8"/>
  <c r="AR128" i="8"/>
  <c r="AR127" i="8"/>
  <c r="AR126" i="8"/>
  <c r="AR125" i="8"/>
  <c r="AR124" i="8"/>
  <c r="AR123" i="8"/>
  <c r="AR122" i="8"/>
  <c r="AR121" i="8"/>
  <c r="AR120" i="8"/>
  <c r="AR119" i="8"/>
  <c r="AR118" i="8"/>
  <c r="AR117" i="8"/>
  <c r="AR116" i="8"/>
  <c r="AR115" i="8"/>
  <c r="AR114" i="8"/>
  <c r="AR113" i="8"/>
  <c r="AS112" i="8"/>
  <c r="AR112" i="8"/>
  <c r="AW141" i="8"/>
  <c r="AW140" i="8"/>
  <c r="AW139" i="8"/>
  <c r="AW138" i="8"/>
  <c r="AW137" i="8"/>
  <c r="AW136" i="8"/>
  <c r="AW135" i="8"/>
  <c r="AW134" i="8"/>
  <c r="AW133" i="8"/>
  <c r="AW132" i="8"/>
  <c r="AW131" i="8"/>
  <c r="AW130" i="8"/>
  <c r="AW129" i="8"/>
  <c r="AW128" i="8"/>
  <c r="AW127" i="8"/>
  <c r="AW126" i="8"/>
  <c r="AW125" i="8"/>
  <c r="AW124" i="8"/>
  <c r="AW123" i="8"/>
  <c r="AW122" i="8"/>
  <c r="AW121" i="8"/>
  <c r="AW120" i="8"/>
  <c r="AW119" i="8"/>
  <c r="AW118" i="8"/>
  <c r="AW117" i="8"/>
  <c r="AW116" i="8"/>
  <c r="AW115" i="8"/>
  <c r="AW114" i="8"/>
  <c r="AW113" i="8"/>
  <c r="AX112" i="8"/>
  <c r="AW112" i="8"/>
  <c r="C10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S61" i="37" l="1"/>
  <c r="S60" i="37"/>
  <c r="S59" i="37"/>
  <c r="S58" i="37"/>
  <c r="S57" i="37"/>
  <c r="S56" i="37"/>
  <c r="S55" i="37"/>
  <c r="S54" i="37"/>
  <c r="S53" i="37"/>
  <c r="S52" i="37"/>
  <c r="S51" i="37"/>
  <c r="S50" i="37"/>
  <c r="S49" i="37"/>
  <c r="S48" i="37"/>
  <c r="T47" i="37"/>
  <c r="S47" i="37"/>
  <c r="X61" i="37"/>
  <c r="X60" i="37"/>
  <c r="X59" i="37"/>
  <c r="X58" i="37"/>
  <c r="X57" i="37"/>
  <c r="X56" i="37"/>
  <c r="X55" i="37"/>
  <c r="X54" i="37"/>
  <c r="X53" i="37"/>
  <c r="X52" i="37"/>
  <c r="X51" i="37"/>
  <c r="X50" i="37"/>
  <c r="X49" i="37"/>
  <c r="X48" i="37"/>
  <c r="Y47" i="37"/>
  <c r="X47" i="37"/>
  <c r="AC61" i="37"/>
  <c r="AC60" i="37"/>
  <c r="AC59" i="37"/>
  <c r="AC58" i="37"/>
  <c r="AC57" i="37"/>
  <c r="AC56" i="37"/>
  <c r="AC55" i="37"/>
  <c r="AC54" i="37"/>
  <c r="AC53" i="37"/>
  <c r="AC52" i="37"/>
  <c r="AC51" i="37"/>
  <c r="AC50" i="37"/>
  <c r="AC49" i="37"/>
  <c r="AC48" i="37"/>
  <c r="AD47" i="37"/>
  <c r="AC47" i="37"/>
  <c r="AH61" i="37"/>
  <c r="AH60" i="37"/>
  <c r="AH59" i="37"/>
  <c r="AH58" i="37"/>
  <c r="AH57" i="37"/>
  <c r="AH56" i="37"/>
  <c r="AH55" i="37"/>
  <c r="AH54" i="37"/>
  <c r="AH53" i="37"/>
  <c r="AH52" i="37"/>
  <c r="AH51" i="37"/>
  <c r="AH50" i="37"/>
  <c r="AH49" i="37"/>
  <c r="AH48" i="37"/>
  <c r="AI47" i="37"/>
  <c r="AH47" i="37"/>
  <c r="AM61" i="37"/>
  <c r="AM60" i="37"/>
  <c r="AM59" i="37"/>
  <c r="AM58" i="37"/>
  <c r="AM57" i="37"/>
  <c r="AM56" i="37"/>
  <c r="AM55" i="37"/>
  <c r="AM54" i="37"/>
  <c r="AM53" i="37"/>
  <c r="AM52" i="37"/>
  <c r="AM51" i="37"/>
  <c r="AM50" i="37"/>
  <c r="AM49" i="37"/>
  <c r="AM48" i="37"/>
  <c r="AN47" i="37"/>
  <c r="AM47" i="37"/>
  <c r="AR61" i="37"/>
  <c r="AR60" i="37"/>
  <c r="AR59" i="37"/>
  <c r="AR58" i="37"/>
  <c r="AR57" i="37"/>
  <c r="AR56" i="37"/>
  <c r="AR55" i="37"/>
  <c r="AR54" i="37"/>
  <c r="AR53" i="37"/>
  <c r="AR52" i="37"/>
  <c r="AR51" i="37"/>
  <c r="AR50" i="37"/>
  <c r="AR49" i="37"/>
  <c r="AR48" i="37"/>
  <c r="AS47" i="37"/>
  <c r="AR47" i="37"/>
  <c r="AW61" i="37"/>
  <c r="AW60" i="37"/>
  <c r="AW59" i="37"/>
  <c r="AW58" i="37"/>
  <c r="AW57" i="37"/>
  <c r="AW56" i="37"/>
  <c r="AW55" i="37"/>
  <c r="AW54" i="37"/>
  <c r="AW53" i="37"/>
  <c r="AW52" i="37"/>
  <c r="AW51" i="37"/>
  <c r="AW50" i="37"/>
  <c r="AW49" i="37"/>
  <c r="AW48" i="37"/>
  <c r="AX47" i="37"/>
  <c r="AW4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S8" i="37"/>
  <c r="S9" i="37"/>
  <c r="S10" i="37"/>
  <c r="S11" i="37"/>
  <c r="S12" i="37"/>
  <c r="S13" i="37"/>
  <c r="S14" i="37"/>
  <c r="S15" i="37"/>
  <c r="S16" i="37"/>
  <c r="S17" i="37"/>
  <c r="S18" i="37"/>
  <c r="S19" i="37"/>
  <c r="S20" i="37"/>
  <c r="S21" i="37"/>
  <c r="S7" i="37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T47" i="36"/>
  <c r="S47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Y47" i="36"/>
  <c r="X47" i="36"/>
  <c r="AC61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D47" i="36"/>
  <c r="AC47" i="36"/>
  <c r="AH61" i="36"/>
  <c r="AH60" i="36"/>
  <c r="AH59" i="36"/>
  <c r="AH58" i="36"/>
  <c r="AH57" i="36"/>
  <c r="AH56" i="36"/>
  <c r="AH55" i="36"/>
  <c r="AH54" i="36"/>
  <c r="AH53" i="36"/>
  <c r="AH52" i="36"/>
  <c r="AH51" i="36"/>
  <c r="AH50" i="36"/>
  <c r="AH49" i="36"/>
  <c r="AH48" i="36"/>
  <c r="AI47" i="36"/>
  <c r="AH47" i="36"/>
  <c r="AM61" i="36"/>
  <c r="AM60" i="36"/>
  <c r="AM59" i="36"/>
  <c r="AM58" i="36"/>
  <c r="AM57" i="36"/>
  <c r="AM56" i="36"/>
  <c r="AM55" i="36"/>
  <c r="AM54" i="36"/>
  <c r="AM53" i="36"/>
  <c r="AM52" i="36"/>
  <c r="AM51" i="36"/>
  <c r="AM50" i="36"/>
  <c r="AM49" i="36"/>
  <c r="AM48" i="36"/>
  <c r="AN47" i="36"/>
  <c r="AM47" i="36"/>
  <c r="AR61" i="36"/>
  <c r="AR60" i="36"/>
  <c r="AR59" i="36"/>
  <c r="AR58" i="36"/>
  <c r="AR57" i="36"/>
  <c r="AR56" i="36"/>
  <c r="AR55" i="36"/>
  <c r="AR54" i="36"/>
  <c r="AR53" i="36"/>
  <c r="AR52" i="36"/>
  <c r="AR51" i="36"/>
  <c r="AR50" i="36"/>
  <c r="AR49" i="36"/>
  <c r="AR48" i="36"/>
  <c r="AS47" i="36"/>
  <c r="AR47" i="36"/>
  <c r="AW61" i="36"/>
  <c r="AW60" i="36"/>
  <c r="AW59" i="36"/>
  <c r="AW58" i="36"/>
  <c r="AW57" i="36"/>
  <c r="AW56" i="36"/>
  <c r="AW55" i="36"/>
  <c r="AW54" i="36"/>
  <c r="AW53" i="36"/>
  <c r="AW52" i="36"/>
  <c r="AW51" i="36"/>
  <c r="AW50" i="36"/>
  <c r="AW49" i="36"/>
  <c r="AW48" i="36"/>
  <c r="AX47" i="36"/>
  <c r="AW4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S8" i="36"/>
  <c r="S9" i="36"/>
  <c r="S10" i="36"/>
  <c r="S11" i="36"/>
  <c r="S12" i="36"/>
  <c r="S13" i="36"/>
  <c r="S14" i="36"/>
  <c r="S15" i="36"/>
  <c r="S16" i="36"/>
  <c r="S17" i="36"/>
  <c r="S18" i="36"/>
  <c r="S19" i="36"/>
  <c r="S20" i="36"/>
  <c r="S21" i="36"/>
  <c r="S7" i="36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S8" i="35"/>
  <c r="S9" i="35"/>
  <c r="S10" i="35"/>
  <c r="S11" i="35"/>
  <c r="S12" i="35"/>
  <c r="S13" i="35"/>
  <c r="S14" i="35"/>
  <c r="S15" i="35"/>
  <c r="S16" i="35"/>
  <c r="S17" i="35"/>
  <c r="S18" i="35"/>
  <c r="S19" i="35"/>
  <c r="S20" i="35"/>
  <c r="S21" i="35"/>
  <c r="S7" i="35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7" i="34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X106" i="33"/>
  <c r="X105" i="33"/>
  <c r="X104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X91" i="33"/>
  <c r="X90" i="33"/>
  <c r="X89" i="33"/>
  <c r="X88" i="33"/>
  <c r="X87" i="33"/>
  <c r="X86" i="33"/>
  <c r="X85" i="33"/>
  <c r="X84" i="33"/>
  <c r="X83" i="33"/>
  <c r="X82" i="33"/>
  <c r="X81" i="33"/>
  <c r="X80" i="33"/>
  <c r="X79" i="33"/>
  <c r="X78" i="33"/>
  <c r="Y77" i="33"/>
  <c r="X77" i="33"/>
  <c r="AC106" i="33"/>
  <c r="AC105" i="33"/>
  <c r="AC104" i="33"/>
  <c r="AC103" i="33"/>
  <c r="AC102" i="33"/>
  <c r="AC101" i="33"/>
  <c r="AC100" i="33"/>
  <c r="AC99" i="33"/>
  <c r="AC98" i="33"/>
  <c r="AC97" i="33"/>
  <c r="AC96" i="33"/>
  <c r="AC95" i="33"/>
  <c r="AC94" i="33"/>
  <c r="AC93" i="33"/>
  <c r="AC92" i="33"/>
  <c r="AC91" i="33"/>
  <c r="AC90" i="33"/>
  <c r="AC89" i="33"/>
  <c r="AC88" i="33"/>
  <c r="AC87" i="33"/>
  <c r="AC86" i="33"/>
  <c r="AC85" i="33"/>
  <c r="AC84" i="33"/>
  <c r="AC83" i="33"/>
  <c r="AC82" i="33"/>
  <c r="AC81" i="33"/>
  <c r="AC80" i="33"/>
  <c r="AC79" i="33"/>
  <c r="AC78" i="33"/>
  <c r="AD77" i="33"/>
  <c r="AC77" i="33"/>
  <c r="AH106" i="33"/>
  <c r="AH105" i="33"/>
  <c r="AH104" i="33"/>
  <c r="AH103" i="33"/>
  <c r="AH102" i="33"/>
  <c r="AH101" i="33"/>
  <c r="AH100" i="33"/>
  <c r="AH99" i="33"/>
  <c r="AH98" i="33"/>
  <c r="AH97" i="33"/>
  <c r="AH96" i="33"/>
  <c r="AH95" i="33"/>
  <c r="AH94" i="33"/>
  <c r="AH93" i="33"/>
  <c r="AH92" i="33"/>
  <c r="AH91" i="33"/>
  <c r="AH90" i="33"/>
  <c r="AH89" i="33"/>
  <c r="AH88" i="33"/>
  <c r="AH87" i="33"/>
  <c r="AH86" i="33"/>
  <c r="AH85" i="33"/>
  <c r="AH84" i="33"/>
  <c r="AH83" i="33"/>
  <c r="AH82" i="33"/>
  <c r="AH81" i="33"/>
  <c r="AH80" i="33"/>
  <c r="AH79" i="33"/>
  <c r="AH78" i="33"/>
  <c r="AI77" i="33"/>
  <c r="AH77" i="33"/>
  <c r="AM106" i="33"/>
  <c r="AM105" i="33"/>
  <c r="AM104" i="33"/>
  <c r="AM103" i="33"/>
  <c r="AM102" i="33"/>
  <c r="AM101" i="33"/>
  <c r="AM100" i="33"/>
  <c r="AM99" i="33"/>
  <c r="AM98" i="33"/>
  <c r="AM97" i="33"/>
  <c r="AM96" i="33"/>
  <c r="AM95" i="33"/>
  <c r="AM94" i="33"/>
  <c r="AM93" i="33"/>
  <c r="AM92" i="33"/>
  <c r="AM91" i="33"/>
  <c r="AM90" i="33"/>
  <c r="AM89" i="33"/>
  <c r="AM88" i="33"/>
  <c r="AM87" i="33"/>
  <c r="AM86" i="33"/>
  <c r="AM85" i="33"/>
  <c r="AM84" i="33"/>
  <c r="AM83" i="33"/>
  <c r="AM82" i="33"/>
  <c r="AM81" i="33"/>
  <c r="AM80" i="33"/>
  <c r="AM79" i="33"/>
  <c r="AM78" i="33"/>
  <c r="AN77" i="33"/>
  <c r="AM77" i="33"/>
  <c r="AR106" i="33"/>
  <c r="AR105" i="33"/>
  <c r="AR104" i="33"/>
  <c r="AR103" i="33"/>
  <c r="AR102" i="33"/>
  <c r="AR101" i="33"/>
  <c r="AR100" i="33"/>
  <c r="AR99" i="33"/>
  <c r="AR98" i="33"/>
  <c r="AR97" i="33"/>
  <c r="AR96" i="33"/>
  <c r="AR95" i="33"/>
  <c r="AR94" i="33"/>
  <c r="AR93" i="33"/>
  <c r="AR92" i="33"/>
  <c r="AR91" i="33"/>
  <c r="AR90" i="33"/>
  <c r="AR89" i="33"/>
  <c r="AR88" i="33"/>
  <c r="AR87" i="33"/>
  <c r="AR86" i="33"/>
  <c r="AR85" i="33"/>
  <c r="AR84" i="33"/>
  <c r="AR83" i="33"/>
  <c r="AR82" i="33"/>
  <c r="AR81" i="33"/>
  <c r="AR80" i="33"/>
  <c r="AR79" i="33"/>
  <c r="AR78" i="33"/>
  <c r="AS77" i="33"/>
  <c r="AR77" i="33"/>
  <c r="AW106" i="33"/>
  <c r="AW105" i="33"/>
  <c r="AW104" i="33"/>
  <c r="AW103" i="33"/>
  <c r="AW102" i="33"/>
  <c r="AW101" i="33"/>
  <c r="AW100" i="33"/>
  <c r="AW99" i="33"/>
  <c r="AW98" i="33"/>
  <c r="AW97" i="33"/>
  <c r="AW96" i="33"/>
  <c r="AW95" i="33"/>
  <c r="AW94" i="33"/>
  <c r="AW93" i="33"/>
  <c r="AW92" i="33"/>
  <c r="AW91" i="33"/>
  <c r="AW90" i="33"/>
  <c r="AW89" i="33"/>
  <c r="AW88" i="33"/>
  <c r="AW87" i="33"/>
  <c r="AW86" i="33"/>
  <c r="AW85" i="33"/>
  <c r="AW84" i="33"/>
  <c r="AW83" i="33"/>
  <c r="AW82" i="33"/>
  <c r="AW81" i="33"/>
  <c r="AW80" i="33"/>
  <c r="AW79" i="33"/>
  <c r="AW78" i="33"/>
  <c r="AX77" i="33"/>
  <c r="AW7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8" i="33"/>
  <c r="S9" i="33"/>
  <c r="S10" i="33"/>
  <c r="S11" i="33"/>
  <c r="S12" i="33"/>
  <c r="S13" i="33"/>
  <c r="S14" i="33"/>
  <c r="S15" i="33"/>
  <c r="S16" i="33"/>
  <c r="S17" i="33"/>
  <c r="S18" i="33"/>
  <c r="S19" i="33"/>
  <c r="S20" i="33"/>
  <c r="S21" i="33"/>
  <c r="S22" i="33"/>
  <c r="S23" i="33"/>
  <c r="S24" i="33"/>
  <c r="S25" i="33"/>
  <c r="S26" i="33"/>
  <c r="S27" i="33"/>
  <c r="S28" i="33"/>
  <c r="S29" i="33"/>
  <c r="S30" i="33"/>
  <c r="S31" i="33"/>
  <c r="S32" i="33"/>
  <c r="S33" i="33"/>
  <c r="S34" i="33"/>
  <c r="S35" i="33"/>
  <c r="S36" i="33"/>
  <c r="S7" i="33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T47" i="31"/>
  <c r="S47" i="31"/>
  <c r="X61" i="31"/>
  <c r="X60" i="31"/>
  <c r="X59" i="31"/>
  <c r="X58" i="31"/>
  <c r="X57" i="31"/>
  <c r="X56" i="31"/>
  <c r="X55" i="31"/>
  <c r="X54" i="31"/>
  <c r="X53" i="31"/>
  <c r="X52" i="31"/>
  <c r="X51" i="31"/>
  <c r="X50" i="31"/>
  <c r="X49" i="31"/>
  <c r="X48" i="31"/>
  <c r="Y47" i="31"/>
  <c r="X47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D47" i="31"/>
  <c r="AC47" i="31"/>
  <c r="AH61" i="31"/>
  <c r="AH60" i="31"/>
  <c r="AH59" i="31"/>
  <c r="AH58" i="31"/>
  <c r="AH57" i="31"/>
  <c r="AH56" i="31"/>
  <c r="AH55" i="31"/>
  <c r="AH54" i="31"/>
  <c r="AH53" i="31"/>
  <c r="AH52" i="31"/>
  <c r="AH51" i="31"/>
  <c r="AH50" i="31"/>
  <c r="AH49" i="31"/>
  <c r="AH48" i="31"/>
  <c r="AI47" i="31"/>
  <c r="AH47" i="31"/>
  <c r="AM61" i="31"/>
  <c r="AM60" i="31"/>
  <c r="AM59" i="31"/>
  <c r="AM58" i="31"/>
  <c r="AM57" i="31"/>
  <c r="AM56" i="31"/>
  <c r="AM55" i="31"/>
  <c r="AM54" i="31"/>
  <c r="AM53" i="31"/>
  <c r="AM52" i="31"/>
  <c r="AM51" i="31"/>
  <c r="AM50" i="31"/>
  <c r="AM49" i="31"/>
  <c r="AM48" i="31"/>
  <c r="AN47" i="31"/>
  <c r="AM47" i="31"/>
  <c r="AR61" i="31"/>
  <c r="AR60" i="31"/>
  <c r="AR59" i="31"/>
  <c r="AR58" i="31"/>
  <c r="AR57" i="31"/>
  <c r="AR56" i="31"/>
  <c r="AR55" i="31"/>
  <c r="AR54" i="31"/>
  <c r="AR53" i="31"/>
  <c r="AR52" i="31"/>
  <c r="AR51" i="31"/>
  <c r="AR50" i="31"/>
  <c r="AR49" i="31"/>
  <c r="AR48" i="31"/>
  <c r="AS47" i="31"/>
  <c r="AR47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X47" i="31"/>
  <c r="AW4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S8" i="31"/>
  <c r="S9" i="31"/>
  <c r="S10" i="31"/>
  <c r="S11" i="31"/>
  <c r="S12" i="31"/>
  <c r="S13" i="31"/>
  <c r="S14" i="31"/>
  <c r="S15" i="31"/>
  <c r="S16" i="31"/>
  <c r="S17" i="31"/>
  <c r="S18" i="31"/>
  <c r="S19" i="31"/>
  <c r="S20" i="31"/>
  <c r="S21" i="31"/>
  <c r="S7" i="31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8" i="32"/>
  <c r="S9" i="32"/>
  <c r="S10" i="32"/>
  <c r="S11" i="32"/>
  <c r="S12" i="32"/>
  <c r="S13" i="32"/>
  <c r="S14" i="32"/>
  <c r="S15" i="32"/>
  <c r="S16" i="32"/>
  <c r="S17" i="32"/>
  <c r="S18" i="32"/>
  <c r="S19" i="32"/>
  <c r="S20" i="32"/>
  <c r="S21" i="32"/>
  <c r="S7" i="32"/>
  <c r="S61" i="30"/>
  <c r="S60" i="30"/>
  <c r="S59" i="30"/>
  <c r="S58" i="30"/>
  <c r="S57" i="30"/>
  <c r="S56" i="30"/>
  <c r="S55" i="30"/>
  <c r="S54" i="30"/>
  <c r="S53" i="30"/>
  <c r="S52" i="30"/>
  <c r="S51" i="30"/>
  <c r="S50" i="30"/>
  <c r="S49" i="30"/>
  <c r="S48" i="30"/>
  <c r="T47" i="30"/>
  <c r="S47" i="30"/>
  <c r="X61" i="30"/>
  <c r="X60" i="30"/>
  <c r="X59" i="30"/>
  <c r="X58" i="30"/>
  <c r="X57" i="30"/>
  <c r="X56" i="30"/>
  <c r="X55" i="30"/>
  <c r="X54" i="30"/>
  <c r="X53" i="30"/>
  <c r="X52" i="30"/>
  <c r="X51" i="30"/>
  <c r="X50" i="30"/>
  <c r="X49" i="30"/>
  <c r="X48" i="30"/>
  <c r="Y47" i="30"/>
  <c r="X47" i="30"/>
  <c r="AC61" i="30"/>
  <c r="AC60" i="30"/>
  <c r="AC59" i="30"/>
  <c r="AC58" i="30"/>
  <c r="AC57" i="30"/>
  <c r="AC56" i="30"/>
  <c r="AC55" i="30"/>
  <c r="AC54" i="30"/>
  <c r="AC53" i="30"/>
  <c r="AC52" i="30"/>
  <c r="AC51" i="30"/>
  <c r="AC50" i="30"/>
  <c r="AC49" i="30"/>
  <c r="AC48" i="30"/>
  <c r="AD47" i="30"/>
  <c r="AC47" i="30"/>
  <c r="AH61" i="30"/>
  <c r="AH60" i="30"/>
  <c r="AH59" i="30"/>
  <c r="AH58" i="30"/>
  <c r="AH57" i="30"/>
  <c r="AH56" i="30"/>
  <c r="AH55" i="30"/>
  <c r="AH54" i="30"/>
  <c r="AH53" i="30"/>
  <c r="AH52" i="30"/>
  <c r="AH51" i="30"/>
  <c r="AH50" i="30"/>
  <c r="AH49" i="30"/>
  <c r="AH48" i="30"/>
  <c r="AI47" i="30"/>
  <c r="AH47" i="30"/>
  <c r="AM61" i="30"/>
  <c r="AM60" i="30"/>
  <c r="AM59" i="30"/>
  <c r="AM58" i="30"/>
  <c r="AM57" i="30"/>
  <c r="AM56" i="30"/>
  <c r="AM55" i="30"/>
  <c r="AM54" i="30"/>
  <c r="AM53" i="30"/>
  <c r="AM52" i="30"/>
  <c r="AM51" i="30"/>
  <c r="AM50" i="30"/>
  <c r="AM49" i="30"/>
  <c r="AM48" i="30"/>
  <c r="AN47" i="30"/>
  <c r="AM47" i="30"/>
  <c r="AR61" i="30"/>
  <c r="AR60" i="30"/>
  <c r="AR59" i="30"/>
  <c r="AR58" i="30"/>
  <c r="AR57" i="30"/>
  <c r="AR56" i="30"/>
  <c r="AR55" i="30"/>
  <c r="AR54" i="30"/>
  <c r="AR53" i="30"/>
  <c r="AR52" i="30"/>
  <c r="AR51" i="30"/>
  <c r="AR50" i="30"/>
  <c r="AR49" i="30"/>
  <c r="AR48" i="30"/>
  <c r="AS47" i="30"/>
  <c r="AR47" i="30"/>
  <c r="AW61" i="30"/>
  <c r="AW60" i="30"/>
  <c r="AW59" i="30"/>
  <c r="AW58" i="30"/>
  <c r="AW57" i="30"/>
  <c r="AW56" i="30"/>
  <c r="AW55" i="30"/>
  <c r="AW54" i="30"/>
  <c r="AW53" i="30"/>
  <c r="AW52" i="30"/>
  <c r="AW51" i="30"/>
  <c r="AW50" i="30"/>
  <c r="AW49" i="30"/>
  <c r="AW48" i="30"/>
  <c r="AX47" i="30"/>
  <c r="AW47" i="30"/>
  <c r="AZ48" i="30"/>
  <c r="AZ49" i="30"/>
  <c r="AZ50" i="30"/>
  <c r="AZ51" i="30"/>
  <c r="AZ52" i="30"/>
  <c r="AZ53" i="30"/>
  <c r="AZ54" i="30"/>
  <c r="AZ55" i="30"/>
  <c r="AZ56" i="30"/>
  <c r="AZ57" i="30"/>
  <c r="AZ58" i="30"/>
  <c r="AZ59" i="30"/>
  <c r="AZ60" i="30"/>
  <c r="AZ61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8" i="30"/>
  <c r="S9" i="30"/>
  <c r="S10" i="30"/>
  <c r="S11" i="30"/>
  <c r="S12" i="30"/>
  <c r="S13" i="30"/>
  <c r="S14" i="30"/>
  <c r="S15" i="30"/>
  <c r="S16" i="30"/>
  <c r="S17" i="30"/>
  <c r="S18" i="30"/>
  <c r="S19" i="30"/>
  <c r="S20" i="30"/>
  <c r="S21" i="30"/>
  <c r="S7" i="30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Y77" i="8"/>
  <c r="X7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D77" i="8"/>
  <c r="AC7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I77" i="8"/>
  <c r="AH77" i="8"/>
  <c r="AM106" i="8"/>
  <c r="AM105" i="8"/>
  <c r="AM104" i="8"/>
  <c r="AM103" i="8"/>
  <c r="AM102" i="8"/>
  <c r="AM101" i="8"/>
  <c r="AM100" i="8"/>
  <c r="AM99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N77" i="8"/>
  <c r="AM77" i="8"/>
  <c r="AR106" i="8"/>
  <c r="AR105" i="8"/>
  <c r="AR104" i="8"/>
  <c r="AR103" i="8"/>
  <c r="AR102" i="8"/>
  <c r="AR101" i="8"/>
  <c r="AR100" i="8"/>
  <c r="AR99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S77" i="8"/>
  <c r="AR7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X77" i="8"/>
  <c r="AW7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4" i="8"/>
  <c r="S13" i="8"/>
  <c r="S12" i="8"/>
  <c r="S11" i="8"/>
  <c r="S10" i="8"/>
  <c r="S9" i="8"/>
  <c r="S8" i="8"/>
  <c r="S7" i="8"/>
  <c r="S15" i="8"/>
  <c r="S41" i="37" l="1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K20" i="35" l="1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M13" i="35" s="1"/>
  <c r="J13" i="35"/>
  <c r="I13" i="35"/>
  <c r="K12" i="35"/>
  <c r="M12" i="35" s="1"/>
  <c r="J12" i="35"/>
  <c r="I12" i="35"/>
  <c r="K11" i="35"/>
  <c r="M11" i="35" s="1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M9" i="36" s="1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M11" i="37" s="1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21" i="34"/>
  <c r="M21" i="34" s="1"/>
  <c r="J21" i="34"/>
  <c r="I21" i="34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M8" i="32" s="1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M9" i="31" s="1"/>
  <c r="J9" i="31"/>
  <c r="I9" i="31"/>
  <c r="K8" i="31"/>
  <c r="J8" i="31"/>
  <c r="I8" i="31"/>
  <c r="T7" i="31"/>
  <c r="K7" i="31"/>
  <c r="J7" i="31"/>
  <c r="I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M11" i="30" s="1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K36" i="33"/>
  <c r="M36" i="33" s="1"/>
  <c r="J36" i="33"/>
  <c r="I36" i="33"/>
  <c r="K35" i="33"/>
  <c r="M35" i="33" s="1"/>
  <c r="J35" i="33"/>
  <c r="I35" i="33"/>
  <c r="K34" i="33"/>
  <c r="M34" i="33" s="1"/>
  <c r="J34" i="33"/>
  <c r="I34" i="33"/>
  <c r="K33" i="33"/>
  <c r="M33" i="33" s="1"/>
  <c r="J33" i="33"/>
  <c r="I33" i="33"/>
  <c r="K32" i="33"/>
  <c r="M32" i="33" s="1"/>
  <c r="J32" i="33"/>
  <c r="I32" i="33"/>
  <c r="K31" i="33"/>
  <c r="M31" i="33" s="1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M9" i="33" s="1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J7" i="33"/>
  <c r="I7" i="33"/>
  <c r="H7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M11" i="8" s="1"/>
  <c r="J11" i="8"/>
  <c r="I11" i="8"/>
  <c r="K10" i="8"/>
  <c r="J10" i="8"/>
  <c r="I10" i="8"/>
  <c r="K9" i="8"/>
  <c r="J9" i="8"/>
  <c r="I9" i="8"/>
  <c r="K8" i="8"/>
  <c r="J8" i="8"/>
  <c r="I8" i="8"/>
  <c r="T7" i="8"/>
  <c r="K7" i="8"/>
  <c r="J7" i="8"/>
  <c r="I7" i="8"/>
  <c r="H7" i="8"/>
  <c r="U2" i="33"/>
  <c r="Z2" i="33" s="1"/>
  <c r="AE2" i="33" s="1"/>
  <c r="AJ2" i="33" s="1"/>
  <c r="AO2" i="33" s="1"/>
  <c r="AT2" i="33" s="1"/>
  <c r="U2" i="8"/>
  <c r="Z2" i="8" s="1"/>
  <c r="AE2" i="8" s="1"/>
  <c r="AJ2" i="8" s="1"/>
  <c r="AO2" i="8" s="1"/>
  <c r="AT2" i="8" s="1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6" i="3"/>
  <c r="D7" i="3" s="1"/>
  <c r="D8" i="3" s="1"/>
  <c r="D9" i="3" s="1"/>
  <c r="D10" i="3" s="1"/>
  <c r="D11" i="3" s="1"/>
  <c r="M15" i="8" l="1"/>
  <c r="M25" i="33"/>
  <c r="M29" i="33"/>
  <c r="M12" i="32"/>
  <c r="M10" i="34"/>
  <c r="M14" i="34"/>
  <c r="M15" i="37"/>
  <c r="M13" i="36"/>
  <c r="M17" i="36"/>
  <c r="M10" i="8"/>
  <c r="M14" i="8"/>
  <c r="M18" i="8"/>
  <c r="M22" i="8"/>
  <c r="M26" i="8"/>
  <c r="M30" i="8"/>
  <c r="M8" i="33"/>
  <c r="M12" i="33"/>
  <c r="M16" i="33"/>
  <c r="M20" i="33"/>
  <c r="M24" i="33"/>
  <c r="M28" i="33"/>
  <c r="M7" i="30"/>
  <c r="M10" i="30"/>
  <c r="M11" i="32"/>
  <c r="M15" i="32"/>
  <c r="M9" i="34"/>
  <c r="M13" i="34"/>
  <c r="M17" i="34"/>
  <c r="M21" i="37"/>
  <c r="M7" i="37"/>
  <c r="M10" i="37"/>
  <c r="M14" i="37"/>
  <c r="M8" i="36"/>
  <c r="M12" i="36"/>
  <c r="M16" i="36"/>
  <c r="M21" i="35"/>
  <c r="M7" i="35"/>
  <c r="M10" i="35"/>
  <c r="M19" i="8"/>
  <c r="M17" i="33"/>
  <c r="M25" i="8"/>
  <c r="M23" i="33"/>
  <c r="M21" i="32"/>
  <c r="M7" i="32"/>
  <c r="M10" i="32"/>
  <c r="M14" i="32"/>
  <c r="M8" i="34"/>
  <c r="M12" i="34"/>
  <c r="M16" i="34"/>
  <c r="M9" i="37"/>
  <c r="M13" i="37"/>
  <c r="M11" i="36"/>
  <c r="M15" i="36"/>
  <c r="M9" i="35"/>
  <c r="M23" i="8"/>
  <c r="M27" i="8"/>
  <c r="M31" i="8"/>
  <c r="M13" i="33"/>
  <c r="M21" i="33"/>
  <c r="L7" i="34"/>
  <c r="M7" i="34"/>
  <c r="M18" i="34"/>
  <c r="M9" i="8"/>
  <c r="M13" i="8"/>
  <c r="M17" i="8"/>
  <c r="M21" i="8"/>
  <c r="M29" i="8"/>
  <c r="M11" i="33"/>
  <c r="M15" i="33"/>
  <c r="M19" i="33"/>
  <c r="M27" i="33"/>
  <c r="M9" i="30"/>
  <c r="M21" i="31"/>
  <c r="M7" i="31"/>
  <c r="M8" i="31"/>
  <c r="M7" i="8"/>
  <c r="M8" i="8"/>
  <c r="M12" i="8"/>
  <c r="M16" i="8"/>
  <c r="M20" i="8"/>
  <c r="M24" i="8"/>
  <c r="M28" i="8"/>
  <c r="M7" i="33"/>
  <c r="M10" i="33"/>
  <c r="M14" i="33"/>
  <c r="M18" i="33"/>
  <c r="M22" i="33"/>
  <c r="M26" i="33"/>
  <c r="M30" i="33"/>
  <c r="M8" i="30"/>
  <c r="M9" i="32"/>
  <c r="M13" i="32"/>
  <c r="M11" i="34"/>
  <c r="M15" i="34"/>
  <c r="M19" i="34"/>
  <c r="M8" i="37"/>
  <c r="M12" i="37"/>
  <c r="M16" i="37"/>
  <c r="M21" i="36"/>
  <c r="M7" i="36"/>
  <c r="M10" i="36"/>
  <c r="M14" i="36"/>
  <c r="M18" i="36"/>
  <c r="M8" i="35"/>
  <c r="L7" i="32"/>
  <c r="L7" i="37"/>
  <c r="L7" i="35"/>
  <c r="L7" i="31"/>
  <c r="L7" i="8"/>
  <c r="L7" i="36"/>
  <c r="L7" i="30"/>
  <c r="L7" i="33"/>
  <c r="AC38" i="7" l="1"/>
  <c r="S38" i="7"/>
  <c r="M38" i="7"/>
  <c r="AC37" i="7"/>
  <c r="S37" i="7"/>
  <c r="M37" i="7"/>
  <c r="AC36" i="7"/>
  <c r="S36" i="7"/>
  <c r="M36" i="7"/>
  <c r="AC35" i="7"/>
  <c r="S35" i="7"/>
  <c r="M35" i="7"/>
  <c r="AC38" i="6"/>
  <c r="S38" i="6"/>
  <c r="M38" i="6"/>
  <c r="AC37" i="6"/>
  <c r="S37" i="6"/>
  <c r="M37" i="6"/>
  <c r="AC36" i="6"/>
  <c r="S36" i="6"/>
  <c r="M36" i="6"/>
  <c r="AC35" i="6"/>
  <c r="S35" i="6"/>
  <c r="M35" i="6"/>
  <c r="H67" i="31" l="1"/>
  <c r="I67" i="31"/>
  <c r="J67" i="31"/>
  <c r="K67" i="31"/>
  <c r="I68" i="31"/>
  <c r="J68" i="31"/>
  <c r="K68" i="31"/>
  <c r="I69" i="31"/>
  <c r="J69" i="31"/>
  <c r="K69" i="31"/>
  <c r="M69" i="31" s="1"/>
  <c r="I70" i="31"/>
  <c r="J70" i="31"/>
  <c r="K70" i="31"/>
  <c r="M70" i="31" s="1"/>
  <c r="I71" i="31"/>
  <c r="J71" i="31"/>
  <c r="K71" i="31"/>
  <c r="M71" i="31" s="1"/>
  <c r="I72" i="31"/>
  <c r="J72" i="31"/>
  <c r="K72" i="31"/>
  <c r="M72" i="31" s="1"/>
  <c r="I73" i="31"/>
  <c r="J73" i="31"/>
  <c r="K73" i="31"/>
  <c r="M73" i="31" s="1"/>
  <c r="I74" i="31"/>
  <c r="J74" i="31"/>
  <c r="K74" i="31"/>
  <c r="M74" i="31" s="1"/>
  <c r="I75" i="31"/>
  <c r="J75" i="31"/>
  <c r="K75" i="31"/>
  <c r="M75" i="31" s="1"/>
  <c r="I76" i="31"/>
  <c r="J76" i="31"/>
  <c r="K76" i="31"/>
  <c r="M76" i="31" s="1"/>
  <c r="I77" i="31"/>
  <c r="J77" i="31"/>
  <c r="K77" i="31"/>
  <c r="M77" i="31" s="1"/>
  <c r="I78" i="31"/>
  <c r="J78" i="31"/>
  <c r="K78" i="31"/>
  <c r="M78" i="31" s="1"/>
  <c r="I79" i="31"/>
  <c r="J79" i="31"/>
  <c r="K79" i="31"/>
  <c r="M79" i="31" s="1"/>
  <c r="I80" i="31"/>
  <c r="J80" i="31"/>
  <c r="K80" i="31"/>
  <c r="M80" i="31" s="1"/>
  <c r="I81" i="31"/>
  <c r="J81" i="31"/>
  <c r="K81" i="31"/>
  <c r="M81" i="31" s="1"/>
  <c r="L67" i="31" l="1"/>
  <c r="B31" i="39" s="1"/>
  <c r="G19" i="5" l="1"/>
  <c r="I19" i="5"/>
  <c r="M19" i="5"/>
  <c r="P19" i="5"/>
  <c r="S19" i="5"/>
  <c r="V19" i="5"/>
  <c r="I20" i="5"/>
  <c r="I21" i="5"/>
  <c r="I22" i="5"/>
  <c r="I23" i="5"/>
  <c r="I24" i="5"/>
  <c r="I25" i="5"/>
  <c r="J19" i="5" l="1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T10" i="3"/>
  <c r="N10" i="3"/>
  <c r="K10" i="3"/>
  <c r="H10" i="3"/>
  <c r="W10" i="5"/>
  <c r="T10" i="5"/>
  <c r="Q10" i="5"/>
  <c r="N10" i="5"/>
  <c r="H10" i="5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26" i="5"/>
  <c r="S33" i="5"/>
  <c r="S6" i="5"/>
  <c r="P6" i="5"/>
  <c r="M6" i="5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F46" i="7" l="1"/>
  <c r="AF46" i="7" s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F48" i="7"/>
  <c r="AJ48" i="7" s="1"/>
  <c r="N46" i="7"/>
  <c r="AB46" i="7"/>
  <c r="F45" i="7"/>
  <c r="T45" i="7" s="1"/>
  <c r="AJ46" i="7"/>
  <c r="F47" i="7"/>
  <c r="AD47" i="7" s="1"/>
  <c r="F45" i="6"/>
  <c r="F47" i="6"/>
  <c r="K155" i="8"/>
  <c r="K156" i="8"/>
  <c r="AC14" i="6"/>
  <c r="S14" i="6"/>
  <c r="M14" i="6"/>
  <c r="V46" i="7" l="1"/>
  <c r="AH46" i="7"/>
  <c r="AL46" i="7"/>
  <c r="X46" i="7"/>
  <c r="P46" i="7"/>
  <c r="AD46" i="7"/>
  <c r="L46" i="7"/>
  <c r="Z46" i="7"/>
  <c r="J46" i="7"/>
  <c r="T46" i="7"/>
  <c r="R46" i="7"/>
  <c r="AH47" i="6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33" i="5"/>
  <c r="M33" i="5"/>
  <c r="P33" i="5"/>
  <c r="V33" i="5"/>
  <c r="I34" i="5"/>
  <c r="I35" i="5"/>
  <c r="I36" i="5"/>
  <c r="I37" i="5"/>
  <c r="I38" i="5"/>
  <c r="I39" i="5"/>
  <c r="J33" i="5" l="1"/>
  <c r="AC40" i="7" l="1"/>
  <c r="AC39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H87" i="30"/>
  <c r="V12" i="5"/>
  <c r="V26" i="5"/>
  <c r="I11" i="39" s="1"/>
  <c r="V6" i="5"/>
  <c r="P26" i="5"/>
  <c r="I9" i="39" s="1"/>
  <c r="P12" i="5"/>
  <c r="M12" i="5"/>
  <c r="M26" i="5"/>
  <c r="I8" i="39" s="1"/>
  <c r="G12" i="5"/>
  <c r="G26" i="5"/>
  <c r="I6" i="39" s="1"/>
  <c r="G6" i="5"/>
  <c r="S33" i="3"/>
  <c r="S26" i="3"/>
  <c r="S19" i="3"/>
  <c r="S12" i="3"/>
  <c r="S6" i="3"/>
  <c r="M33" i="3"/>
  <c r="M26" i="3"/>
  <c r="B8" i="39" s="1"/>
  <c r="M19" i="3"/>
  <c r="M12" i="3"/>
  <c r="M6" i="3"/>
  <c r="J12" i="3"/>
  <c r="J19" i="3"/>
  <c r="J26" i="3"/>
  <c r="B7" i="39" s="1"/>
  <c r="J33" i="3"/>
  <c r="J6" i="3"/>
  <c r="G19" i="3"/>
  <c r="G26" i="3"/>
  <c r="B6" i="39" s="1"/>
  <c r="G33" i="3"/>
  <c r="G12" i="3"/>
  <c r="G6" i="3"/>
  <c r="V19" i="3" l="1"/>
  <c r="B10" i="39"/>
  <c r="V26" i="3"/>
  <c r="M87" i="30"/>
  <c r="M89" i="34"/>
  <c r="M88" i="37"/>
  <c r="M98" i="36"/>
  <c r="M99" i="34"/>
  <c r="M95" i="32"/>
  <c r="M90" i="30"/>
  <c r="M78" i="36"/>
  <c r="M75" i="32"/>
  <c r="M70" i="30"/>
  <c r="M58" i="36"/>
  <c r="M38" i="36"/>
  <c r="M37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M36" i="37"/>
  <c r="M37" i="37"/>
  <c r="M35" i="37"/>
  <c r="M34" i="37"/>
  <c r="M36" i="36"/>
  <c r="M35" i="36"/>
  <c r="M34" i="36"/>
  <c r="M33" i="35"/>
  <c r="M39" i="34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M101" i="32"/>
  <c r="M87" i="32"/>
  <c r="M91" i="32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47" i="32"/>
  <c r="M61" i="32"/>
  <c r="M51" i="32"/>
  <c r="M47" i="34"/>
  <c r="M61" i="34"/>
  <c r="M51" i="34"/>
  <c r="M55" i="34"/>
  <c r="M59" i="34"/>
  <c r="M61" i="36"/>
  <c r="M47" i="36"/>
  <c r="M51" i="36"/>
  <c r="M50" i="35"/>
  <c r="M28" i="34"/>
  <c r="M28" i="36"/>
  <c r="P12" i="3"/>
  <c r="B11" i="39"/>
  <c r="M73" i="32"/>
  <c r="M61" i="31"/>
  <c r="M47" i="31"/>
  <c r="M50" i="32"/>
  <c r="M54" i="32"/>
  <c r="M29" i="32"/>
  <c r="M70" i="36"/>
  <c r="M71" i="35"/>
  <c r="M50" i="34"/>
  <c r="M54" i="34"/>
  <c r="M58" i="34"/>
  <c r="M49" i="37"/>
  <c r="M53" i="37"/>
  <c r="M50" i="36"/>
  <c r="M49" i="35"/>
  <c r="M53" i="32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B30" i="39" s="1"/>
  <c r="M72" i="32"/>
  <c r="P26" i="3"/>
  <c r="B9" i="39" s="1"/>
  <c r="M51" i="30"/>
  <c r="M53" i="30"/>
  <c r="M47" i="30"/>
  <c r="M50" i="30"/>
  <c r="M49" i="30"/>
  <c r="M48" i="30"/>
  <c r="M54" i="30"/>
  <c r="M52" i="30"/>
  <c r="P19" i="3"/>
  <c r="V12" i="3"/>
  <c r="M30" i="30"/>
  <c r="M33" i="32"/>
  <c r="L87" i="36"/>
  <c r="L67" i="34"/>
  <c r="B33" i="39" s="1"/>
  <c r="L47" i="35"/>
  <c r="L87" i="32"/>
  <c r="L47" i="30"/>
  <c r="L87" i="34"/>
  <c r="L67" i="37"/>
  <c r="B36" i="39" s="1"/>
  <c r="M81" i="36"/>
  <c r="M32" i="34"/>
  <c r="M36" i="34"/>
  <c r="M27" i="37"/>
  <c r="M41" i="37"/>
  <c r="M30" i="37"/>
  <c r="M32" i="36"/>
  <c r="M27" i="35"/>
  <c r="M41" i="35"/>
  <c r="M30" i="35"/>
  <c r="L67" i="30"/>
  <c r="B29" i="39" s="1"/>
  <c r="M28" i="30"/>
  <c r="M29" i="31"/>
  <c r="M31" i="32"/>
  <c r="M35" i="32"/>
  <c r="M101" i="31"/>
  <c r="M67" i="32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B35" i="39" s="1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L47" i="36"/>
  <c r="M81" i="35"/>
  <c r="M69" i="37"/>
  <c r="L67" i="35"/>
  <c r="B34" i="39" s="1"/>
  <c r="L87" i="35"/>
  <c r="L27" i="31"/>
  <c r="L47" i="31"/>
  <c r="M81" i="32"/>
  <c r="L87" i="30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U35" i="3"/>
  <c r="O35" i="3"/>
  <c r="M121" i="31" l="1"/>
  <c r="M107" i="31"/>
  <c r="M107" i="32"/>
  <c r="M121" i="32"/>
  <c r="L107" i="35"/>
  <c r="L107" i="32"/>
  <c r="L107" i="36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AJ7" i="6" l="1"/>
  <c r="V7" i="6"/>
  <c r="P7" i="6"/>
  <c r="J7" i="6"/>
  <c r="AH7" i="6"/>
  <c r="AB7" i="6"/>
  <c r="T7" i="6"/>
  <c r="N7" i="6"/>
  <c r="AF7" i="6"/>
  <c r="Z7" i="6"/>
  <c r="AL7" i="6"/>
  <c r="AD7" i="6"/>
  <c r="X7" i="6"/>
  <c r="R7" i="6"/>
  <c r="L7" i="6"/>
  <c r="X7" i="7"/>
  <c r="R7" i="7"/>
  <c r="L7" i="7"/>
  <c r="AJ7" i="7"/>
  <c r="V7" i="7"/>
  <c r="P7" i="7"/>
  <c r="J7" i="7"/>
  <c r="AH7" i="7"/>
  <c r="AB7" i="7"/>
  <c r="AF7" i="7"/>
  <c r="Z7" i="7"/>
  <c r="T7" i="7"/>
  <c r="N7" i="7"/>
  <c r="AD7" i="7"/>
  <c r="A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P142" i="33" s="1"/>
  <c r="U142" i="33" s="1"/>
  <c r="Z142" i="33" s="1"/>
  <c r="AE142" i="33" s="1"/>
  <c r="AJ142" i="33" s="1"/>
  <c r="AO142" i="33" s="1"/>
  <c r="AT14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F9" i="7"/>
  <c r="I27" i="5"/>
  <c r="I26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AJ9" i="6" l="1"/>
  <c r="V9" i="6"/>
  <c r="P9" i="6"/>
  <c r="J9" i="6"/>
  <c r="AH9" i="6"/>
  <c r="AB9" i="6"/>
  <c r="T9" i="6"/>
  <c r="N9" i="6"/>
  <c r="AF9" i="6"/>
  <c r="Z9" i="6"/>
  <c r="AL9" i="6"/>
  <c r="AD9" i="6"/>
  <c r="X9" i="6"/>
  <c r="R9" i="6"/>
  <c r="L9" i="6"/>
  <c r="AJ13" i="6"/>
  <c r="V13" i="6"/>
  <c r="P13" i="6"/>
  <c r="J13" i="6"/>
  <c r="AH13" i="6"/>
  <c r="AB13" i="6"/>
  <c r="T13" i="6"/>
  <c r="N13" i="6"/>
  <c r="AF13" i="6"/>
  <c r="Z13" i="6"/>
  <c r="AL13" i="6"/>
  <c r="AD13" i="6"/>
  <c r="X13" i="6"/>
  <c r="R13" i="6"/>
  <c r="L13" i="6"/>
  <c r="AF10" i="6"/>
  <c r="Z10" i="6"/>
  <c r="AL10" i="6"/>
  <c r="AD10" i="6"/>
  <c r="X10" i="6"/>
  <c r="R10" i="6"/>
  <c r="L10" i="6"/>
  <c r="AJ10" i="6"/>
  <c r="V10" i="6"/>
  <c r="P10" i="6"/>
  <c r="J10" i="6"/>
  <c r="AH10" i="6"/>
  <c r="AB10" i="6"/>
  <c r="T10" i="6"/>
  <c r="N10" i="6"/>
  <c r="AJ11" i="6"/>
  <c r="V11" i="6"/>
  <c r="P11" i="6"/>
  <c r="J11" i="6"/>
  <c r="AH11" i="6"/>
  <c r="AB11" i="6"/>
  <c r="T11" i="6"/>
  <c r="N11" i="6"/>
  <c r="AF11" i="6"/>
  <c r="Z11" i="6"/>
  <c r="AL11" i="6"/>
  <c r="AD11" i="6"/>
  <c r="X11" i="6"/>
  <c r="R11" i="6"/>
  <c r="L11" i="6"/>
  <c r="AF8" i="6"/>
  <c r="Z8" i="6"/>
  <c r="AL8" i="6"/>
  <c r="AD8" i="6"/>
  <c r="X8" i="6"/>
  <c r="R8" i="6"/>
  <c r="L8" i="6"/>
  <c r="AJ8" i="6"/>
  <c r="V8" i="6"/>
  <c r="P8" i="6"/>
  <c r="J8" i="6"/>
  <c r="AH8" i="6"/>
  <c r="AB8" i="6"/>
  <c r="T8" i="6"/>
  <c r="N8" i="6"/>
  <c r="AF12" i="6"/>
  <c r="Z12" i="6"/>
  <c r="AL12" i="6"/>
  <c r="AD12" i="6"/>
  <c r="X12" i="6"/>
  <c r="R12" i="6"/>
  <c r="L12" i="6"/>
  <c r="AJ12" i="6"/>
  <c r="V12" i="6"/>
  <c r="P12" i="6"/>
  <c r="J12" i="6"/>
  <c r="AH12" i="6"/>
  <c r="AB12" i="6"/>
  <c r="T12" i="6"/>
  <c r="N12" i="6"/>
  <c r="AH13" i="7"/>
  <c r="AB13" i="7"/>
  <c r="AF13" i="7"/>
  <c r="Z13" i="7"/>
  <c r="X13" i="7"/>
  <c r="R13" i="7"/>
  <c r="L13" i="7"/>
  <c r="AJ13" i="7"/>
  <c r="V13" i="7"/>
  <c r="P13" i="7"/>
  <c r="J13" i="7"/>
  <c r="N13" i="7"/>
  <c r="T13" i="7"/>
  <c r="AD13" i="7"/>
  <c r="X11" i="7"/>
  <c r="R11" i="7"/>
  <c r="L11" i="7"/>
  <c r="AJ11" i="7"/>
  <c r="V11" i="7"/>
  <c r="P11" i="7"/>
  <c r="J11" i="7"/>
  <c r="AH11" i="7"/>
  <c r="AB11" i="7"/>
  <c r="AF11" i="7"/>
  <c r="Z11" i="7"/>
  <c r="T11" i="7"/>
  <c r="N11" i="7"/>
  <c r="AD11" i="7"/>
  <c r="AH9" i="7"/>
  <c r="AB9" i="7"/>
  <c r="AF9" i="7"/>
  <c r="Z9" i="7"/>
  <c r="X9" i="7"/>
  <c r="R9" i="7"/>
  <c r="L9" i="7"/>
  <c r="AJ9" i="7"/>
  <c r="V9" i="7"/>
  <c r="P9" i="7"/>
  <c r="J9" i="7"/>
  <c r="N9" i="7"/>
  <c r="AD9" i="7"/>
  <c r="T9" i="7"/>
  <c r="K10" i="5"/>
  <c r="K7" i="39" s="1"/>
  <c r="AL13" i="7"/>
  <c r="AL9" i="7"/>
  <c r="AL11" i="7"/>
  <c r="U107" i="33"/>
  <c r="Z107" i="33" s="1"/>
  <c r="AE107" i="33" s="1"/>
  <c r="AJ107" i="33" s="1"/>
  <c r="AO107" i="33" s="1"/>
  <c r="AT107" i="33" s="1"/>
  <c r="G8" i="6"/>
  <c r="J12" i="5"/>
  <c r="J6" i="5"/>
  <c r="J26" i="5"/>
  <c r="I7" i="39" s="1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B28" i="39" s="1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F10" i="7" l="1"/>
  <c r="Z10" i="7"/>
  <c r="AD10" i="7"/>
  <c r="X10" i="7"/>
  <c r="R10" i="7"/>
  <c r="L10" i="7"/>
  <c r="AJ10" i="7"/>
  <c r="V10" i="7"/>
  <c r="P10" i="7"/>
  <c r="J10" i="7"/>
  <c r="AH10" i="7"/>
  <c r="AB10" i="7"/>
  <c r="T10" i="7"/>
  <c r="N10" i="7"/>
  <c r="AJ12" i="7"/>
  <c r="V12" i="7"/>
  <c r="P12" i="7"/>
  <c r="J12" i="7"/>
  <c r="AH12" i="7"/>
  <c r="AB12" i="7"/>
  <c r="T12" i="7"/>
  <c r="N12" i="7"/>
  <c r="AF12" i="7"/>
  <c r="Z12" i="7"/>
  <c r="AD12" i="7"/>
  <c r="X12" i="7"/>
  <c r="R12" i="7"/>
  <c r="L12" i="7"/>
  <c r="AJ8" i="7"/>
  <c r="V8" i="7"/>
  <c r="P8" i="7"/>
  <c r="J8" i="7"/>
  <c r="AH8" i="7"/>
  <c r="AB8" i="7"/>
  <c r="T8" i="7"/>
  <c r="N8" i="7"/>
  <c r="AF8" i="7"/>
  <c r="Z8" i="7"/>
  <c r="AD8" i="7"/>
  <c r="X8" i="7"/>
  <c r="R8" i="7"/>
  <c r="L8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37" i="7"/>
  <c r="AJ38" i="7"/>
  <c r="V38" i="7"/>
  <c r="P38" i="7"/>
  <c r="J38" i="7"/>
  <c r="AH38" i="7"/>
  <c r="AB38" i="7"/>
  <c r="T38" i="7"/>
  <c r="N38" i="7"/>
  <c r="AF38" i="7"/>
  <c r="Z38" i="7"/>
  <c r="AL38" i="7"/>
  <c r="AD38" i="7"/>
  <c r="X38" i="7"/>
  <c r="R38" i="7"/>
  <c r="L38" i="7"/>
  <c r="AF35" i="7"/>
  <c r="Z35" i="7"/>
  <c r="AL35" i="7"/>
  <c r="AD35" i="7"/>
  <c r="X35" i="7"/>
  <c r="L35" i="7"/>
  <c r="AJ35" i="7"/>
  <c r="V35" i="7"/>
  <c r="P35" i="7"/>
  <c r="J35" i="7"/>
  <c r="AH35" i="7"/>
  <c r="AB35" i="7"/>
  <c r="T35" i="7"/>
  <c r="N35" i="7"/>
  <c r="R35" i="7"/>
  <c r="AJ36" i="7"/>
  <c r="V36" i="7"/>
  <c r="P36" i="7"/>
  <c r="J36" i="7"/>
  <c r="AH36" i="7"/>
  <c r="AB36" i="7"/>
  <c r="T36" i="7"/>
  <c r="N36" i="7"/>
  <c r="AF36" i="7"/>
  <c r="Z36" i="7"/>
  <c r="AL36" i="7"/>
  <c r="AD36" i="7"/>
  <c r="X36" i="7"/>
  <c r="R36" i="7"/>
  <c r="L36" i="7"/>
  <c r="AL36" i="6"/>
  <c r="X36" i="6"/>
  <c r="R36" i="6"/>
  <c r="L36" i="6"/>
  <c r="P36" i="6"/>
  <c r="AJ36" i="6"/>
  <c r="V36" i="6"/>
  <c r="J36" i="6"/>
  <c r="AH36" i="6"/>
  <c r="AB36" i="6"/>
  <c r="AF36" i="6"/>
  <c r="Z36" i="6"/>
  <c r="AD36" i="6"/>
  <c r="T36" i="6"/>
  <c r="N36" i="6"/>
  <c r="AH37" i="6"/>
  <c r="AB37" i="6"/>
  <c r="Z37" i="6"/>
  <c r="AF37" i="6"/>
  <c r="AL37" i="6"/>
  <c r="X37" i="6"/>
  <c r="R37" i="6"/>
  <c r="L37" i="6"/>
  <c r="AJ37" i="6"/>
  <c r="V37" i="6"/>
  <c r="J37" i="6"/>
  <c r="P37" i="6"/>
  <c r="AD37" i="6"/>
  <c r="N37" i="6"/>
  <c r="T37" i="6"/>
  <c r="AL38" i="6"/>
  <c r="X38" i="6"/>
  <c r="R38" i="6"/>
  <c r="L38" i="6"/>
  <c r="AJ38" i="6"/>
  <c r="V38" i="6"/>
  <c r="P38" i="6"/>
  <c r="J38" i="6"/>
  <c r="AH38" i="6"/>
  <c r="AB38" i="6"/>
  <c r="AF38" i="6"/>
  <c r="Z38" i="6"/>
  <c r="N38" i="6"/>
  <c r="T38" i="6"/>
  <c r="AD38" i="6"/>
  <c r="AH35" i="6"/>
  <c r="AB35" i="6"/>
  <c r="Z35" i="6"/>
  <c r="AF35" i="6"/>
  <c r="AL35" i="6"/>
  <c r="X35" i="6"/>
  <c r="R35" i="6"/>
  <c r="L35" i="6"/>
  <c r="AJ35" i="6"/>
  <c r="V35" i="6"/>
  <c r="P35" i="6"/>
  <c r="J35" i="6"/>
  <c r="N35" i="6"/>
  <c r="AD35" i="6"/>
  <c r="T35" i="6"/>
  <c r="L14" i="7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L10" i="7"/>
  <c r="AL12" i="7"/>
  <c r="AL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J30" i="7"/>
  <c r="Z30" i="7"/>
  <c r="AD30" i="7"/>
  <c r="AH30" i="7"/>
  <c r="AB30" i="7"/>
  <c r="AF30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N32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J19" i="7"/>
  <c r="T23" i="7"/>
  <c r="N19" i="7"/>
  <c r="R19" i="7"/>
  <c r="N31" i="7"/>
  <c r="X19" i="7"/>
  <c r="AL14" i="7"/>
  <c r="X14" i="7"/>
  <c r="R14" i="7"/>
  <c r="T14" i="7"/>
  <c r="J31" i="7"/>
  <c r="X31" i="7"/>
  <c r="AL31" i="7"/>
  <c r="X29" i="7"/>
  <c r="R31" i="7"/>
  <c r="N29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<sst xmlns="http://schemas.openxmlformats.org/spreadsheetml/2006/main" count="11888" uniqueCount="801">
  <si>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</si>
  <si>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</si>
  <si>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</si>
  <si>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</si>
  <si>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</si>
  <si>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</si>
  <si>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</si>
  <si>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</si>
  <si>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</si>
  <si>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</si>
  <si>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</si>
  <si>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</si>
  <si>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</si>
  <si>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</si>
  <si>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</si>
  <si>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</si>
  <si>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</si>
  <si>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</si>
  <si>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</si>
  <si>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</si>
  <si>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</si>
  <si>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</si>
  <si>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</si>
  <si>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</si>
  <si>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</si>
  <si>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</si>
  <si>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</si>
  <si>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</si>
  <si>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</si>
  <si>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</si>
  <si>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</si>
  <si>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</si>
  <si>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</si>
  <si>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</si>
  <si>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</si>
  <si>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</si>
  <si>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</si>
  <si>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</si>
  <si>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</si>
  <si>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</si>
  <si>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</si>
  <si>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</si>
  <si>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</si>
  <si>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</si>
  <si>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</si>
  <si>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</si>
  <si>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</si>
  <si>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</si>
  <si>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</si>
  <si>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</si>
  <si>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</si>
  <si>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</si>
  <si>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</si>
  <si>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</si>
  <si>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</si>
  <si>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</si>
  <si>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</si>
  <si>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</si>
  <si>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</si>
  <si>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</si>
  <si>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</si>
  <si>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</si>
  <si>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</si>
  <si>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</si>
  <si>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</si>
  <si>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</si>
  <si>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</si>
  <si>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</si>
  <si>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</si>
  <si>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</si>
  <si>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</si>
  <si>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</si>
  <si>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</si>
  <si>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</si>
  <si>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</si>
  <si>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</si>
  <si>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</si>
  <si>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</si>
  <si>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</si>
  <si>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</si>
  <si>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</si>
  <si>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</si>
  <si>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</si>
  <si>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</si>
  <si>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</si>
  <si>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</si>
  <si>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</si>
  <si>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</si>
  <si>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</si>
  <si>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</si>
  <si>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</si>
  <si>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</si>
  <si>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</si>
  <si>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</si>
  <si>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</si>
  <si>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</si>
  <si>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</si>
  <si>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</si>
  <si>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</si>
  <si>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</si>
  <si>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</si>
  <si>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</si>
  <si>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</si>
  <si>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</si>
  <si>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</si>
  <si>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</si>
  <si>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</si>
  <si>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</si>
  <si>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</si>
  <si>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</si>
  <si>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</si>
  <si>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</si>
  <si>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</si>
  <si>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</si>
  <si>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</si>
  <si>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</si>
  <si>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</si>
  <si>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</si>
  <si>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</si>
  <si>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</si>
  <si>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</si>
  <si>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</si>
  <si>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</si>
  <si>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</si>
  <si>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</si>
  <si>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</si>
  <si>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</si>
  <si>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</si>
  <si>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</si>
  <si>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</si>
  <si>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</si>
  <si>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</si>
  <si>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</si>
  <si>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</si>
  <si>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</si>
  <si>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</si>
  <si>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</si>
  <si>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</si>
  <si>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</si>
  <si>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</si>
  <si>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</si>
  <si>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</si>
  <si>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</si>
  <si>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</si>
  <si>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</si>
  <si>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</si>
  <si>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</si>
  <si>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</si>
  <si>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</si>
  <si>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</si>
  <si>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</si>
  <si>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</si>
  <si>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</si>
  <si>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</si>
  <si>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</si>
  <si>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</si>
  <si>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</si>
  <si>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</si>
  <si>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</si>
  <si>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</si>
  <si>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</si>
  <si>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</si>
  <si>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</si>
  <si>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</si>
  <si>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</si>
  <si>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</si>
  <si>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</si>
  <si>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</si>
  <si>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</si>
  <si>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</si>
  <si>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</si>
  <si>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</si>
  <si>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</si>
  <si>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</si>
  <si>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</si>
  <si>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</si>
  <si>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</si>
  <si>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</si>
  <si>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</si>
  <si>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</si>
  <si>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</si>
  <si>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</si>
  <si>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</si>
  <si>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</si>
  <si>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</si>
  <si>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</si>
  <si>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</si>
  <si>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</si>
  <si>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</si>
  <si>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</si>
  <si>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</si>
  <si>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</si>
  <si>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</si>
  <si>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</si>
  <si>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</si>
  <si>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</si>
  <si>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</si>
  <si>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</si>
  <si>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</si>
  <si>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</si>
  <si>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</si>
  <si>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</si>
  <si>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</si>
  <si>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</si>
  <si>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</si>
  <si>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</si>
  <si>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</si>
  <si>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</si>
  <si>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</si>
  <si>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</si>
  <si>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</si>
  <si>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</si>
  <si>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</si>
  <si>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</si>
  <si>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</si>
  <si>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</si>
  <si>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</si>
  <si>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</si>
  <si>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</si>
  <si>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</si>
  <si>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</si>
  <si>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</si>
  <si>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</si>
  <si>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</si>
  <si>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</si>
  <si>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</si>
  <si>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</si>
  <si>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</si>
  <si>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</si>
  <si>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</si>
  <si>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</si>
  <si>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</si>
  <si>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</si>
  <si>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</si>
  <si>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</si>
  <si>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</si>
  <si>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</si>
  <si>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</si>
  <si>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</si>
  <si>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</si>
  <si>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</si>
  <si>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</si>
  <si>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</si>
  <si>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</si>
  <si>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</si>
  <si>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</si>
  <si>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</si>
  <si>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</si>
  <si>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</si>
  <si>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</si>
  <si>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</si>
  <si>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</si>
  <si>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</si>
  <si>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</si>
  <si>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</si>
  <si>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</si>
  <si>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</si>
  <si>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</si>
  <si>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</si>
  <si>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</si>
  <si>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</si>
  <si>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</si>
  <si>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</si>
  <si>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</si>
  <si>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</si>
  <si>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</si>
  <si>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</si>
  <si>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</si>
  <si>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</si>
  <si>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</si>
  <si>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</si>
  <si>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</si>
  <si>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</si>
  <si>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</si>
  <si>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</si>
  <si>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</si>
  <si>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</si>
  <si>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</si>
  <si>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</si>
  <si>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</si>
  <si>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</si>
  <si>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</si>
  <si>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</si>
  <si>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</si>
  <si>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</si>
  <si>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</si>
  <si>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</si>
  <si>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</si>
  <si>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</si>
  <si>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</si>
  <si>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</si>
  <si>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</si>
  <si>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</si>
  <si>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</si>
  <si>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</si>
  <si>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</si>
  <si>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</si>
  <si>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</si>
  <si>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</si>
  <si>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</si>
  <si>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</si>
  <si>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</si>
  <si>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</si>
  <si>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</si>
  <si>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</si>
  <si>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</si>
  <si>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</si>
  <si>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</si>
  <si>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</si>
  <si>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</si>
  <si>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</si>
  <si>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</si>
  <si>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</si>
  <si>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</si>
  <si>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</si>
  <si>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</si>
  <si>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</si>
  <si>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</si>
  <si>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</si>
  <si>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</si>
  <si>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</si>
  <si>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</si>
  <si>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</si>
  <si>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</si>
  <si>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</si>
  <si>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</si>
  <si>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</si>
  <si>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二配金咖哩果香甘口咖哩飯</t>
  </si>
  <si>
    <t>北海道秋鮭親子飯糰</t>
  </si>
  <si>
    <t>調配課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</si>
  <si>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</si>
  <si>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</si>
  <si>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</si>
  <si>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</si>
  <si>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</si>
  <si>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</si>
  <si>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</si>
  <si>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</si>
  <si>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</si>
  <si>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</si>
  <si>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</si>
  <si>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</si>
  <si>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</si>
  <si>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</si>
  <si>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</si>
  <si>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</si>
  <si>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嫩烤香料雞胸排蔬滿盒</t>
  </si>
  <si>
    <t>新招牌腿排便當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</si>
  <si>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</si>
  <si>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</si>
  <si>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</si>
  <si>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</si>
  <si>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</si>
  <si>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</si>
  <si>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</si>
  <si>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</si>
  <si>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</si>
  <si>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</si>
  <si>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</si>
  <si>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</si>
  <si>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</si>
  <si>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</si>
  <si>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</si>
  <si>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</si>
  <si>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</si>
  <si>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</si>
  <si>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</si>
  <si>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</si>
  <si>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</si>
  <si>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</si>
  <si>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</si>
  <si>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</si>
  <si>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</si>
  <si>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</si>
  <si>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</si>
  <si>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</si>
  <si>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</si>
  <si>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</si>
  <si>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</si>
  <si>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</si>
  <si>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</si>
  <si>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</si>
  <si>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</si>
  <si>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</si>
  <si>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</si>
  <si>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</si>
  <si>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</si>
  <si>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</si>
  <si>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</si>
  <si>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</si>
  <si>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</si>
  <si>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</si>
  <si>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</si>
  <si>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</si>
  <si>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</si>
  <si>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</si>
  <si>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</si>
  <si>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</si>
  <si>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</si>
  <si>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</si>
  <si>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</si>
  <si>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</si>
  <si>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</si>
  <si>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</si>
  <si>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</si>
  <si>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</si>
  <si>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</si>
  <si>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</si>
  <si>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</si>
  <si>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</si>
  <si>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</si>
  <si>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</si>
  <si>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</si>
  <si>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</si>
  <si>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</si>
  <si>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</si>
  <si>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</si>
  <si>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</si>
  <si>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</si>
  <si>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</si>
  <si>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</si>
  <si>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</si>
  <si>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</si>
  <si>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</si>
  <si>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</si>
  <si>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</si>
  <si>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</si>
  <si>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</si>
  <si>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</si>
  <si>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</si>
  <si>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</si>
  <si>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</si>
  <si>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</si>
  <si>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</si>
  <si>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</si>
  <si>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</si>
  <si>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</si>
  <si>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</si>
  <si>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</si>
  <si>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</si>
  <si>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</si>
  <si>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</si>
  <si>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</si>
  <si>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</si>
  <si>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</si>
  <si>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</si>
  <si>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</si>
  <si>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</si>
  <si>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</si>
  <si>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</si>
  <si>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</si>
  <si>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</si>
  <si>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</si>
  <si>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</si>
  <si>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</si>
  <si>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</si>
  <si>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</si>
  <si>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</si>
  <si>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</si>
  <si>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</si>
  <si>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</si>
  <si>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</si>
  <si>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</si>
  <si>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</si>
  <si>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</si>
  <si>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</si>
  <si>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</si>
  <si>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</si>
  <si>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</si>
  <si>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</si>
  <si>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</si>
  <si>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</si>
  <si>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</si>
  <si>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</si>
  <si>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</si>
  <si>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</si>
  <si>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</si>
  <si>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</si>
  <si>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</si>
  <si>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</si>
  <si>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</si>
  <si>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</si>
  <si>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</si>
  <si>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</si>
  <si>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</si>
  <si>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</si>
  <si>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</si>
  <si>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</si>
  <si>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</si>
  <si>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</si>
  <si>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</si>
  <si>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</si>
  <si>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</si>
  <si>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蔬活腿排補力餐盒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</si>
  <si>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</si>
  <si>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</si>
  <si>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</si>
  <si>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</si>
  <si>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</si>
  <si>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</si>
  <si>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</si>
  <si>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</si>
  <si>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</si>
  <si>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</si>
  <si>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</si>
  <si>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</si>
  <si>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</si>
  <si>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</si>
  <si>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</si>
  <si>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</si>
  <si>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</si>
  <si>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</si>
  <si>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</si>
  <si>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確認備料量是否正確，調整出料率</t>
  </si>
  <si>
    <t>回饋研發，後續開發列入考量，設定放料量範圍。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</si>
  <si>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</si>
  <si>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</si>
  <si>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</si>
  <si>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</si>
  <si>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</si>
  <si>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</si>
  <si>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</si>
  <si>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</si>
  <si>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</si>
  <si>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</si>
  <si>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</si>
  <si>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</si>
  <si>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</si>
  <si>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</si>
  <si>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</si>
  <si>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</si>
  <si>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</si>
  <si>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</si>
  <si>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</si>
  <si>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</si>
  <si>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</si>
  <si>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</si>
  <si>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</si>
  <si>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</si>
  <si>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</si>
  <si>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</si>
  <si>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</si>
  <si>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</si>
  <si>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</si>
  <si>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</si>
  <si>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</si>
  <si>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</si>
  <si>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</si>
  <si>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</si>
  <si>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壹號醬雞豚雙拼</t>
  </si>
  <si>
    <t>烤飯糰1</t>
    <phoneticPr fontId="13" type="noConversion"/>
  </si>
  <si>
    <t>烤飯糰2</t>
    <phoneticPr fontId="13" type="noConversion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</si>
  <si>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</si>
  <si>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</si>
  <si>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</si>
  <si>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</si>
  <si>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</si>
  <si>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</si>
  <si>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</si>
  <si>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</si>
  <si>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</si>
  <si>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</si>
  <si>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媽媽煮藝-鹹酥雞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</si>
  <si>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</si>
  <si>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</si>
  <si>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</si>
  <si>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</si>
  <si>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</si>
  <si>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</si>
  <si>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</si>
  <si>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</si>
  <si>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</si>
  <si>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</si>
  <si>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</si>
  <si>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</si>
  <si>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</si>
  <si>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賣相要求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</si>
  <si>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</si>
  <si>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</si>
  <si>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</si>
  <si>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</si>
  <si>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韓式泡菜豬肉豆腐丼飯</t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</si>
  <si>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</si>
  <si>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</si>
  <si>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</si>
  <si>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</si>
  <si>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</si>
  <si>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炸醬炒泡麵</t>
  </si>
  <si>
    <t>鐵道滷排便當</t>
  </si>
  <si>
    <t>單價高</t>
  </si>
  <si>
    <t>柚檸海灣貝飯糰</t>
  </si>
  <si>
    <t>鮭鮪海饌雙手卷</t>
  </si>
  <si>
    <t>經典人氣雙手卷</t>
  </si>
  <si>
    <t>和風涓絲冷麵</t>
  </si>
  <si>
    <t>二配兩粒飯糰(鮪魚.焦糖鮭魚)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</si>
  <si>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</si>
  <si>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</si>
  <si>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</si>
  <si>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</si>
  <si>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</si>
  <si>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晉欣廠半成品管理日別總表</t>
    <phoneticPr fontId="13" type="noConversion"/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</si>
  <si>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</si>
  <si>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</si>
  <si>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</si>
  <si>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</si>
  <si>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</si>
  <si>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</si>
  <si>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</si>
  <si>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皮蛋辣拌麵</t>
  </si>
  <si>
    <t>日式胡麻雞絲冷麵</t>
  </si>
  <si>
    <t>蒸手撕雞</t>
  </si>
  <si>
    <t>二配打拋風味豬肉飯</t>
  </si>
  <si>
    <t>生產前先行撥散半成品，便於人員放樣</t>
  </si>
  <si>
    <t>蒸-醬香雞肉絲CL(全)</t>
  </si>
  <si>
    <t>明太子生鮭飯糰(區)</t>
  </si>
  <si>
    <t>二配厚香料優格咖哩雞排飯</t>
  </si>
  <si>
    <t>慢燉滷肉油蔥粄條</t>
  </si>
  <si>
    <t>嘉義崇文白醋涼麵</t>
  </si>
  <si>
    <t>雞汁油蔥手工麵線</t>
  </si>
  <si>
    <t>二配藤椒雞丁炒飯</t>
  </si>
  <si>
    <t>招牌雞絲胡麻涼麵</t>
  </si>
  <si>
    <t>菜梗、葉差異及分布不均，影響人員放料手感</t>
  </si>
  <si>
    <t>燻之味-糖燻雞腿</t>
  </si>
  <si>
    <t>香辣醬雞肉炒飯飯糰</t>
  </si>
  <si>
    <t>韓式黑嚕嚕炸醬麵</t>
  </si>
  <si>
    <t>半成品有結塊的狀況，影響人員放料手感</t>
  </si>
  <si>
    <t>川味花椒口水雞涼麵</t>
  </si>
  <si>
    <t>炙烤醬香燒豚飯</t>
  </si>
  <si>
    <t>確認備料量</t>
  </si>
  <si>
    <t>二配西班牙風味海鮮燉飯</t>
  </si>
  <si>
    <t>原物料的大小、長短、厚薄分布差異導致取樣易有不穩定的狀況</t>
  </si>
  <si>
    <t>二配大飯糰泡菜鮪魚</t>
  </si>
  <si>
    <t>二配油煮蛤蜊-肉</t>
  </si>
  <si>
    <t>二配西班牙烤雞腿丁(115年)</t>
  </si>
  <si>
    <t>二配鮭魚毛豆炊飯飯糰</t>
  </si>
  <si>
    <t>二配柚香雞胸五穀飯糰</t>
  </si>
  <si>
    <t>類型</t>
  </si>
  <si>
    <t>半成品名</t>
  </si>
  <si>
    <t>單價</t>
  </si>
  <si>
    <t>報廢率</t>
  </si>
  <si>
    <t>數量</t>
  </si>
  <si>
    <t>地中海布格麥烤魚餐盒</t>
  </si>
  <si>
    <t>前幾名合計比例</t>
  </si>
  <si>
    <t>前幾名合計金額</t>
  </si>
  <si>
    <t>增加放料抽秤頻率</t>
  </si>
  <si>
    <t>超用率</t>
  </si>
  <si>
    <t>調理多產</t>
  </si>
  <si>
    <t>賣相設定</t>
  </si>
  <si>
    <t>回饋研發，後續開發列入考量。</t>
  </si>
  <si>
    <t>炒泡麵豬肉片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</si>
  <si>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</si>
  <si>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</si>
  <si>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</si>
  <si>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</si>
  <si>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</si>
  <si>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</si>
  <si>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</si>
  <si>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</si>
  <si>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</si>
  <si>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</si>
  <si>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</si>
  <si>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</si>
  <si>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</si>
  <si>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</si>
  <si>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</si>
  <si>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</si>
  <si>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</si>
  <si>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</si>
  <si>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</si>
  <si>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</si>
  <si>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</si>
  <si>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</si>
  <si>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</si>
  <si>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</si>
  <si>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</si>
  <si>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</si>
  <si>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</si>
  <si>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7月總報廢合計</t>
    <phoneticPr fontId="13" type="noConversion"/>
  </si>
  <si>
    <t>7月總報廢率</t>
    <phoneticPr fontId="13" type="noConversion"/>
  </si>
  <si>
    <r>
      <t>7月總超用A合計金額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</si>
  <si>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7月總超用率A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</si>
  <si>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7月總超用B合計金額
(多展-報廢)</t>
    <phoneticPr fontId="13" type="noConversion"/>
  </si>
  <si>
    <t>7月總超用率B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</si>
  <si>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</si>
  <si>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</si>
  <si>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1" type="noConversion"/>
  </si>
  <si>
    <t>報廢額</t>
    <phoneticPr fontId="81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</si>
  <si>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</si>
  <si>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1" type="noConversion"/>
  </si>
  <si>
    <t>超用率A</t>
    <phoneticPr fontId="13" type="noConversion"/>
  </si>
  <si>
    <t>超用額B</t>
    <phoneticPr fontId="81" type="noConversion"/>
  </si>
  <si>
    <t>超用率B</t>
    <phoneticPr fontId="13" type="noConversion"/>
  </si>
  <si>
    <t>營業額合計</t>
    <phoneticPr fontId="81" type="noConversion"/>
  </si>
  <si>
    <t>大口法式蕈菇起司雞排飯糰</t>
  </si>
  <si>
    <t>銀鮭美乃滋脆卷</t>
  </si>
  <si>
    <t>比例</t>
  </si>
  <si>
    <t>前20名原因分析</t>
  </si>
  <si>
    <t>項目</t>
  </si>
  <si>
    <t>超用</t>
  </si>
  <si>
    <t>金門高粱酒雞絲涼麵</t>
  </si>
  <si>
    <t>二配玉米濃湯焗烤飯</t>
  </si>
  <si>
    <t>金門高粱腿排蒜香白肉便當</t>
  </si>
  <si>
    <t>二配美味蟹煲</t>
  </si>
  <si>
    <t>二配蒸紅雪蟹肉</t>
  </si>
  <si>
    <t>煮皮蛋拌麵醬</t>
  </si>
  <si>
    <t>韓式辣醬起司熱狗飯卷</t>
  </si>
  <si>
    <t>業績金額</t>
  </si>
  <si>
    <t>西西里風烤飯糰</t>
  </si>
  <si>
    <t>清洗青蔥絲</t>
  </si>
  <si>
    <t>川燙青花菜</t>
  </si>
  <si>
    <t>二配蒸果香甘口咖哩腿丁</t>
  </si>
  <si>
    <t>二配烤鹹蛋黃碎</t>
  </si>
  <si>
    <t>筋子銀鮭飯糰</t>
  </si>
  <si>
    <t>二配泰式檸檬魚飯</t>
  </si>
  <si>
    <t>炒鼎泰豐香辣醬</t>
  </si>
  <si>
    <t>蒜炒紅K高麗菜(111年)</t>
  </si>
  <si>
    <t>二配炒打拋肉醬</t>
  </si>
  <si>
    <t>二配蒸燻腸片</t>
  </si>
  <si>
    <t>青木瓜雞絲泰泰雙手卷</t>
  </si>
  <si>
    <t>打拋風味豬肉拌麵</t>
  </si>
  <si>
    <t>月見烏龍冷麵</t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</si>
  <si>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</si>
  <si>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</si>
  <si>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</si>
  <si>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</si>
  <si>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</si>
  <si>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－</t>
    <phoneticPr fontId="13" type="noConversion"/>
  </si>
  <si>
    <t>▲</t>
    <phoneticPr fontId="13" type="noConversion"/>
  </si>
  <si>
    <t>▼</t>
    <phoneticPr fontId="13" type="noConversion"/>
  </si>
  <si>
    <t>對比上週差異小。</t>
    <phoneticPr fontId="13" type="noConversion"/>
  </si>
  <si>
    <t>對比上週差異小</t>
    <phoneticPr fontId="13" type="noConversion"/>
  </si>
  <si>
    <t>半成品結凍強度影響擠醬機出料量</t>
  </si>
  <si>
    <t>生產前及生產中確認設定及實際出料狀況</t>
  </si>
  <si>
    <t>二配油亮蒜味香腸片</t>
  </si>
  <si>
    <t>炒泡麵高麗菜</t>
  </si>
  <si>
    <t>二配炒綠咖哩腿肉片</t>
  </si>
  <si>
    <t>確認飯袋覆蓋狀況是否良好</t>
  </si>
  <si>
    <t>二配排骨蛋炒飯</t>
  </si>
  <si>
    <t>韓式泡菜冷麵</t>
  </si>
  <si>
    <t>兩支品項性質相近，產能及人時生產性接近，對比上週差異小。</t>
    <phoneticPr fontId="13" type="noConversion"/>
  </si>
  <si>
    <t>日式焙煎咖哩醬</t>
  </si>
  <si>
    <t>炒筍尾</t>
  </si>
  <si>
    <t>紹興醉雞風味飯糰(區)</t>
  </si>
  <si>
    <t>炒泡麵炒蛋</t>
  </si>
  <si>
    <t>二配蟹粉燴汁(115年)</t>
  </si>
  <si>
    <t>炒混蔬</t>
  </si>
  <si>
    <t>切-究極燒肉片</t>
  </si>
  <si>
    <t>二配川燙醃嫩化淨零碳排牛肉片</t>
  </si>
  <si>
    <t>112年拌鹽烤豬肉片</t>
  </si>
  <si>
    <t>人員目視放樣量取樣放料，而有放料誤差</t>
  </si>
  <si>
    <t>增加線上抽秤頻率，穩定人員放料量</t>
  </si>
  <si>
    <t>飯糰排名前段品項，皆是使用GKK生產的單餡飯糰，產能及人時生產性差異小。對比上週差異小。</t>
    <phoneticPr fontId="13" type="noConversion"/>
  </si>
  <si>
    <t>W3</t>
    <phoneticPr fontId="13" type="noConversion"/>
  </si>
  <si>
    <t>8/18-8/24</t>
  </si>
  <si>
    <t>二配奶香起司醬</t>
  </si>
  <si>
    <t>蔥醬</t>
  </si>
  <si>
    <t>香烤鱈魚輕蔬餐盒</t>
  </si>
  <si>
    <t>炒玉米筍</t>
  </si>
  <si>
    <t>炒醬香豆瓣肉燥</t>
  </si>
  <si>
    <t>二配鼎泰豐-麻婆豆腐燴汁(113年)</t>
  </si>
  <si>
    <t>二配鼎泰豐-煮麻婆豆腐(113年)</t>
  </si>
  <si>
    <t>小黃瓜絲</t>
  </si>
  <si>
    <t>煮黑嚕嚕炸醬</t>
  </si>
  <si>
    <t>烤照燒雞腿丁</t>
  </si>
  <si>
    <t>川燙枸杞</t>
  </si>
  <si>
    <t>切-烤醃漬五花肉片</t>
  </si>
  <si>
    <t>112年炒炊粉混蔬</t>
  </si>
  <si>
    <t>二配炒奶香玉米</t>
  </si>
  <si>
    <t>人員目視放樣量取樣放料，且半成品易沾附在手上，而有放料誤差</t>
  </si>
  <si>
    <t>粉絲煲湯凍</t>
  </si>
  <si>
    <t>香辣醬粉絲煲</t>
  </si>
  <si>
    <t>二配蒸-全熟雞肉絲CL(升)</t>
  </si>
  <si>
    <t>二配雞肉飯飯糰</t>
  </si>
  <si>
    <t>二配112年拌鹽烤豬肉片</t>
  </si>
  <si>
    <t>二配鹽蔥燒肉飯糰</t>
  </si>
  <si>
    <t>煮慢燉滷肉</t>
  </si>
  <si>
    <t>蒸益活雞胸丁</t>
  </si>
  <si>
    <t>益活雞胸補力餐盒</t>
  </si>
  <si>
    <t>二配歐姆蛋(111年版)</t>
  </si>
  <si>
    <t>加熱時間的長短影響最終出料量</t>
  </si>
  <si>
    <t>穩定加熱時間，確認製成率，調整出料量</t>
  </si>
  <si>
    <t>日式牛培根(115年)</t>
  </si>
  <si>
    <t>柚見極炙烤牛</t>
  </si>
  <si>
    <t>切-鹽烤牛肉(115年)</t>
  </si>
  <si>
    <t>二配醬燒炙烤牛飯糰</t>
  </si>
  <si>
    <t>大口益活烤雞蛋白青醬飯糰</t>
  </si>
  <si>
    <t>愛恨椒芝麵</t>
  </si>
  <si>
    <t>人時生產性差異小，主要差異在人員順手度。對比上週差異小。</t>
    <phoneticPr fontId="13" type="noConversion"/>
  </si>
  <si>
    <t>本週出勤熟手較多，人員順手度提升，對比上週產能及人時生產性提升。</t>
    <phoneticPr fontId="13" type="noConversion"/>
  </si>
  <si>
    <t>8/18上市新品，半成品數量少，使用人數少，人時生產性較高。</t>
    <phoneticPr fontId="13" type="noConversion"/>
  </si>
  <si>
    <t>8/19下架，當週僅生產一天，對比上週產能及人時生產性下降。</t>
    <phoneticPr fontId="13" type="noConversion"/>
  </si>
  <si>
    <t>產能及人時生產性對比上週提升</t>
    <phoneticPr fontId="13" type="noConversion"/>
  </si>
  <si>
    <t>產能對比上週提升</t>
    <phoneticPr fontId="13" type="noConversion"/>
  </si>
  <si>
    <t>8/18上市新品，該品項有兩樣需過秤且需排列主菜，有賣相需求，產能較低，使用人數多，人時生產性低。</t>
    <phoneticPr fontId="13" type="noConversion"/>
  </si>
  <si>
    <t>8/20開始更換組別生產，人員熟悉度較低，對比上週產能及人時生產性下降。</t>
    <phoneticPr fontId="13" type="noConversion"/>
  </si>
  <si>
    <t>8/18上市新品，餐盒類商品半成品數量多，使用人數多，人時生產性較低。</t>
    <phoneticPr fontId="13" type="noConversion"/>
  </si>
  <si>
    <t>8/18上市新品，半成品數少，使用人數少，人時生產性高。</t>
    <phoneticPr fontId="13" type="noConversion"/>
  </si>
  <si>
    <t>日式胡麻雞絲冷麵</t>
    <phoneticPr fontId="13" type="noConversion"/>
  </si>
  <si>
    <t>訂單量下降，8/24已下架</t>
    <phoneticPr fontId="13" type="noConversion"/>
  </si>
  <si>
    <r>
      <rPr>
        <sz val="8"/>
        <color theme="1"/>
        <rFont val="Microsoft JhengHei"/>
        <family val="2"/>
      </rPr>
      <t>品項皆為單一半成品，使用機台生產，產能及人時生產性接近。</t>
    </r>
    <r>
      <rPr>
        <sz val="8"/>
        <color theme="1"/>
        <rFont val="Meiryo UI"/>
        <family val="2"/>
      </rPr>
      <t>對比上週差異小。</t>
    </r>
    <phoneticPr fontId="13" type="noConversion"/>
  </si>
  <si>
    <t>品項性質相同，使用人數相同，產能及人時生產性差異小。對比上週差異小。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</si>
</sst>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2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1"/>
      <color theme="1"/>
      <name val="Microsoft JhengHei"/>
      <family val="3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6"/>
      <color theme="1"/>
      <name val="細明體"/>
      <family val="2"/>
      <charset val="136"/>
    </font>
    <font>
      <sz val="11"/>
      <color theme="1"/>
      <name val="Microsoft JhengHei"/>
      <family val="2"/>
    </font>
    <font>
      <sz val="12"/>
      <color rgb="FF000000"/>
      <name val="微軟正黑體"/>
      <family val="2"/>
      <charset val="136"/>
    </font>
    <font>
      <sz val="10"/>
      <color theme="1"/>
      <name val="細明體"/>
      <family val="2"/>
      <charset val="136"/>
    </font>
    <font>
      <sz val="6"/>
      <color theme="1"/>
      <name val="Meiryo UI"/>
      <family val="2"/>
    </font>
    <font>
      <sz val="11"/>
      <color theme="1"/>
      <name val="細明體"/>
      <family val="2"/>
      <charset val="136"/>
    </font>
    <font>
      <sz val="11"/>
      <name val="Meiryo UI"/>
      <family val="2"/>
    </font>
    <font>
      <sz val="8"/>
      <color theme="1"/>
      <name val="細明體"/>
      <family val="3"/>
      <charset val="136"/>
    </font>
    <font>
      <sz val="8"/>
      <color theme="1"/>
      <name val="Meiryo UI"/>
      <family val="2"/>
    </font>
    <font>
      <sz val="8"/>
      <color theme="1"/>
      <name val="Microsoft JhengHe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50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0" fontId="11" fillId="2" borderId="22" xfId="0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6" fillId="7" borderId="6" xfId="11" applyNumberFormat="1" applyFont="1" applyFill="1" applyBorder="1" applyAlignment="1">
      <alignment shrinkToFit="1"/>
    </xf>
    <xf numFmtId="10" fontId="26" fillId="10" borderId="22" xfId="0" applyNumberFormat="1" applyFont="1" applyFill="1" applyBorder="1" applyAlignment="1"/>
    <xf numFmtId="177" fontId="71" fillId="10" borderId="0" xfId="0" applyNumberFormat="1" applyFont="1" applyFill="1" applyAlignment="1"/>
    <xf numFmtId="177" fontId="71" fillId="0" borderId="0" xfId="0" applyNumberFormat="1" applyFont="1" applyFill="1" applyAlignment="1"/>
    <xf numFmtId="10" fontId="76" fillId="10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0" borderId="22" xfId="0" applyNumberFormat="1" applyFont="1" applyFill="1" applyBorder="1" applyAlignment="1"/>
    <xf numFmtId="3" fontId="28" fillId="11" borderId="22" xfId="0" applyNumberFormat="1" applyFont="1" applyFill="1" applyBorder="1" applyAlignment="1">
      <alignment shrinkToFit="1"/>
    </xf>
    <xf numFmtId="10" fontId="28" fillId="11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1" borderId="22" xfId="0" applyNumberFormat="1" applyFont="1" applyFill="1" applyBorder="1" applyAlignment="1">
      <alignment horizontal="right" shrinkToFit="1"/>
    </xf>
    <xf numFmtId="189" fontId="28" fillId="11" borderId="22" xfId="0" applyNumberFormat="1" applyFont="1" applyFill="1" applyBorder="1" applyAlignment="1">
      <alignment shrinkToFit="1"/>
    </xf>
    <xf numFmtId="185" fontId="28" fillId="11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1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2" borderId="37" xfId="0" applyFont="1" applyFill="1" applyBorder="1" applyAlignment="1">
      <alignment horizontal="left" vertical="center"/>
    </xf>
    <xf numFmtId="0" fontId="35" fillId="12" borderId="32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0" fontId="35" fillId="12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192" fontId="36" fillId="8" borderId="22" xfId="11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7" fillId="0" borderId="22" xfId="0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45" fillId="0" borderId="51" xfId="11" applyFont="1" applyBorder="1" applyAlignment="1">
      <alignment shrinkToFit="1"/>
    </xf>
    <xf numFmtId="184" fontId="63" fillId="13" borderId="52" xfId="11" applyNumberFormat="1" applyFont="1" applyFill="1" applyBorder="1" applyAlignment="1">
      <alignment shrinkToFit="1"/>
    </xf>
    <xf numFmtId="0" fontId="26" fillId="0" borderId="53" xfId="11" applyFont="1" applyBorder="1" applyAlignment="1">
      <alignment shrinkToFit="1"/>
    </xf>
    <xf numFmtId="10" fontId="36" fillId="0" borderId="60" xfId="11" applyNumberFormat="1" applyFont="1" applyFill="1" applyBorder="1" applyAlignment="1">
      <alignment shrinkToFit="1"/>
    </xf>
    <xf numFmtId="3" fontId="28" fillId="7" borderId="42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6" fillId="7" borderId="45" xfId="11" applyNumberFormat="1" applyFont="1" applyFill="1" applyBorder="1" applyAlignment="1">
      <alignment shrinkToFit="1"/>
    </xf>
    <xf numFmtId="10" fontId="36" fillId="0" borderId="63" xfId="11" applyNumberFormat="1" applyFont="1" applyFill="1" applyBorder="1" applyAlignment="1">
      <alignment shrinkToFit="1"/>
    </xf>
    <xf numFmtId="3" fontId="28" fillId="7" borderId="65" xfId="11" applyNumberFormat="1" applyFont="1" applyFill="1" applyBorder="1" applyAlignment="1">
      <alignment shrinkToFit="1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29" fillId="8" borderId="22" xfId="11" applyFont="1" applyFill="1" applyBorder="1" applyAlignment="1">
      <alignment horizontal="left" vertical="center"/>
    </xf>
    <xf numFmtId="197" fontId="36" fillId="4" borderId="22" xfId="11" applyNumberFormat="1" applyFont="1" applyFill="1" applyBorder="1" applyAlignment="1">
      <alignment horizontal="center" vertical="center"/>
    </xf>
    <xf numFmtId="198" fontId="36" fillId="8" borderId="22" xfId="11" applyNumberFormat="1" applyFont="1" applyFill="1" applyBorder="1" applyAlignment="1">
      <alignment horizontal="center" vertical="center"/>
    </xf>
    <xf numFmtId="198" fontId="36" fillId="8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97" fontId="36" fillId="0" borderId="22" xfId="13" applyNumberFormat="1" applyFont="1" applyFill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103" fillId="0" borderId="22" xfId="11" applyFont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4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5" fillId="9" borderId="22" xfId="0" applyNumberFormat="1" applyFont="1" applyFill="1" applyBorder="1" applyAlignment="1"/>
    <xf numFmtId="186" fontId="105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107" fillId="0" borderId="27" xfId="0" applyFont="1" applyBorder="1" applyAlignment="1">
      <alignment horizontal="left" vertical="center"/>
    </xf>
    <xf numFmtId="0" fontId="106" fillId="0" borderId="27" xfId="0" applyFont="1" applyBorder="1" applyAlignment="1">
      <alignment vertical="center"/>
    </xf>
    <xf numFmtId="0" fontId="106" fillId="0" borderId="27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198" fontId="65" fillId="0" borderId="22" xfId="11" applyNumberFormat="1" applyFont="1" applyBorder="1" applyAlignment="1">
      <alignment horizontal="center" vertical="center"/>
    </xf>
    <xf numFmtId="185" fontId="65" fillId="0" borderId="22" xfId="13" applyNumberFormat="1" applyFont="1" applyFill="1" applyBorder="1" applyAlignment="1">
      <alignment horizontal="center" vertical="center"/>
    </xf>
    <xf numFmtId="197" fontId="65" fillId="0" borderId="22" xfId="13" applyNumberFormat="1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09" fillId="0" borderId="0" xfId="581" applyFont="1">
      <alignment vertical="center"/>
    </xf>
    <xf numFmtId="0" fontId="37" fillId="0" borderId="0" xfId="581" applyFont="1">
      <alignment vertical="center"/>
    </xf>
    <xf numFmtId="0" fontId="99" fillId="0" borderId="27" xfId="581" applyFont="1" applyBorder="1" applyAlignment="1">
      <alignment horizontal="center" vertical="center" wrapText="1"/>
    </xf>
    <xf numFmtId="0" fontId="99" fillId="0" borderId="25" xfId="581" applyFont="1" applyBorder="1" applyAlignment="1">
      <alignment horizontal="center" vertical="center" wrapText="1"/>
    </xf>
    <xf numFmtId="0" fontId="110" fillId="0" borderId="23" xfId="581" applyFont="1" applyBorder="1" applyAlignment="1">
      <alignment horizontal="center" vertical="center" wrapText="1"/>
    </xf>
    <xf numFmtId="0" fontId="110" fillId="0" borderId="25" xfId="581" applyFont="1" applyBorder="1" applyAlignment="1">
      <alignment horizontal="center" vertical="center" wrapText="1"/>
    </xf>
    <xf numFmtId="0" fontId="99" fillId="0" borderId="0" xfId="581" applyFont="1">
      <alignment vertical="center"/>
    </xf>
    <xf numFmtId="194" fontId="99" fillId="0" borderId="23" xfId="581" applyNumberFormat="1" applyFont="1" applyBorder="1" applyAlignment="1">
      <alignment horizontal="center" vertical="center"/>
    </xf>
    <xf numFmtId="10" fontId="99" fillId="0" borderId="23" xfId="581" applyNumberFormat="1" applyFont="1" applyBorder="1" applyAlignment="1">
      <alignment horizontal="center" vertical="center"/>
    </xf>
    <xf numFmtId="194" fontId="110" fillId="0" borderId="23" xfId="581" applyNumberFormat="1" applyFont="1" applyBorder="1" applyAlignment="1">
      <alignment horizontal="center" vertical="center"/>
    </xf>
    <xf numFmtId="10" fontId="110" fillId="0" borderId="23" xfId="581" applyNumberFormat="1" applyFont="1" applyBorder="1" applyAlignment="1">
      <alignment horizontal="center" vertical="center"/>
    </xf>
    <xf numFmtId="0" fontId="99" fillId="0" borderId="0" xfId="581" applyFont="1" applyAlignment="1">
      <alignment horizontal="center" vertical="center"/>
    </xf>
    <xf numFmtId="10" fontId="99" fillId="0" borderId="0" xfId="3" applyNumberFormat="1" applyFont="1" applyFill="1" applyBorder="1" applyAlignment="1">
      <alignment horizontal="center" vertical="center"/>
    </xf>
    <xf numFmtId="0" fontId="100" fillId="0" borderId="23" xfId="581" applyFont="1" applyBorder="1" applyAlignment="1">
      <alignment horizontal="center" vertical="center" wrapText="1"/>
    </xf>
    <xf numFmtId="0" fontId="111" fillId="0" borderId="23" xfId="581" applyFont="1" applyBorder="1" applyAlignment="1">
      <alignment horizontal="center" vertical="center" wrapText="1"/>
    </xf>
    <xf numFmtId="194" fontId="99" fillId="0" borderId="0" xfId="581" applyNumberFormat="1" applyFont="1">
      <alignment vertical="center"/>
    </xf>
    <xf numFmtId="194" fontId="112" fillId="0" borderId="0" xfId="581" applyNumberFormat="1" applyFont="1">
      <alignment vertical="center"/>
    </xf>
    <xf numFmtId="195" fontId="109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09" fillId="8" borderId="22" xfId="581" applyNumberFormat="1" applyFont="1" applyFill="1" applyBorder="1" applyAlignment="1">
      <alignment horizontal="center" vertical="center"/>
    </xf>
    <xf numFmtId="194" fontId="109" fillId="8" borderId="22" xfId="582" applyNumberFormat="1" applyFont="1" applyFill="1" applyBorder="1" applyAlignment="1">
      <alignment horizontal="center" vertical="center"/>
    </xf>
    <xf numFmtId="189" fontId="109" fillId="0" borderId="22" xfId="581" applyNumberFormat="1" applyFont="1" applyBorder="1" applyAlignment="1">
      <alignment horizontal="center" vertical="center"/>
    </xf>
    <xf numFmtId="10" fontId="109" fillId="0" borderId="22" xfId="3" applyNumberFormat="1" applyFont="1" applyBorder="1" applyAlignment="1">
      <alignment horizontal="center" vertical="center"/>
    </xf>
    <xf numFmtId="194" fontId="113" fillId="8" borderId="22" xfId="582" applyNumberFormat="1" applyFont="1" applyFill="1" applyBorder="1" applyAlignment="1">
      <alignment horizontal="center" vertical="center"/>
    </xf>
    <xf numFmtId="10" fontId="113" fillId="0" borderId="22" xfId="3" applyNumberFormat="1" applyFont="1" applyBorder="1" applyAlignment="1">
      <alignment horizontal="center" vertical="center"/>
    </xf>
    <xf numFmtId="193" fontId="82" fillId="14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09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43" fontId="7" fillId="0" borderId="0" xfId="0" applyNumberFormat="1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76" fontId="26" fillId="19" borderId="0" xfId="0" applyNumberFormat="1" applyFont="1" applyFill="1" applyAlignment="1"/>
    <xf numFmtId="177" fontId="26" fillId="19" borderId="0" xfId="0" applyNumberFormat="1" applyFont="1" applyFill="1" applyAlignment="1"/>
    <xf numFmtId="0" fontId="28" fillId="0" borderId="42" xfId="11" applyFont="1" applyBorder="1" applyAlignment="1">
      <alignment horizontal="center" vertical="center" shrinkToFit="1"/>
    </xf>
    <xf numFmtId="0" fontId="28" fillId="0" borderId="43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44" fillId="0" borderId="61" xfId="11" applyFont="1" applyBorder="1" applyAlignment="1">
      <alignment horizontal="center" shrinkToFit="1"/>
    </xf>
    <xf numFmtId="10" fontId="28" fillId="0" borderId="43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10" fontId="28" fillId="0" borderId="27" xfId="11" applyNumberFormat="1" applyFont="1" applyBorder="1" applyAlignment="1">
      <alignment shrinkToFit="1"/>
    </xf>
    <xf numFmtId="0" fontId="44" fillId="0" borderId="64" xfId="11" applyFont="1" applyBorder="1" applyAlignment="1">
      <alignment horizontal="center" shrinkToFit="1"/>
    </xf>
    <xf numFmtId="10" fontId="28" fillId="0" borderId="47" xfId="11" applyNumberFormat="1" applyFont="1" applyBorder="1" applyAlignment="1">
      <alignment shrinkToFit="1"/>
    </xf>
    <xf numFmtId="10" fontId="28" fillId="0" borderId="46" xfId="11" applyNumberFormat="1" applyFont="1" applyBorder="1" applyAlignment="1">
      <alignment shrinkToFit="1"/>
    </xf>
    <xf numFmtId="10" fontId="28" fillId="0" borderId="66" xfId="11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43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77" fontId="23" fillId="0" borderId="22" xfId="0" applyNumberFormat="1" applyFont="1" applyFill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4" fillId="12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left" vertical="center"/>
    </xf>
    <xf numFmtId="0" fontId="35" fillId="12" borderId="0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2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52" fillId="0" borderId="22" xfId="0" applyFont="1" applyBorder="1" applyAlignment="1">
      <alignment shrinkToFit="1"/>
    </xf>
    <xf numFmtId="0" fontId="114" fillId="0" borderId="22" xfId="0" applyFont="1" applyBorder="1" applyAlignment="1">
      <alignment horizontal="center" vertical="center" wrapText="1" shrinkToFit="1"/>
    </xf>
    <xf numFmtId="0" fontId="105" fillId="0" borderId="22" xfId="0" applyFont="1" applyBorder="1" applyAlignment="1">
      <alignment horizontal="center" vertical="center" wrapText="1" shrinkToFit="1"/>
    </xf>
    <xf numFmtId="0" fontId="28" fillId="0" borderId="22" xfId="0" applyFont="1" applyBorder="1" applyAlignment="1">
      <alignment horizontal="center" shrinkToFit="1"/>
    </xf>
    <xf numFmtId="0" fontId="114" fillId="0" borderId="22" xfId="0" applyFont="1" applyBorder="1" applyAlignment="1">
      <alignment horizontal="center" wrapText="1" shrinkToFit="1"/>
    </xf>
    <xf numFmtId="0" fontId="105" fillId="0" borderId="22" xfId="0" applyFont="1" applyBorder="1" applyAlignment="1">
      <alignment horizontal="center" wrapText="1" shrinkToFit="1"/>
    </xf>
    <xf numFmtId="0" fontId="2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117" fillId="0" borderId="22" xfId="0" applyFont="1" applyBorder="1" applyAlignment="1">
      <alignment horizontal="center" vertical="center" shrinkToFit="1"/>
    </xf>
    <xf numFmtId="0" fontId="115" fillId="0" borderId="22" xfId="0" applyFont="1" applyBorder="1" applyAlignment="1">
      <alignment horizontal="center" shrinkToFit="1"/>
    </xf>
    <xf numFmtId="179" fontId="119" fillId="0" borderId="22" xfId="0" applyNumberFormat="1" applyFont="1" applyBorder="1" applyAlignment="1">
      <alignment horizontal="center" vertical="center" shrinkToFit="1"/>
    </xf>
    <xf numFmtId="0" fontId="120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121" fillId="0" borderId="31" xfId="0" applyFont="1" applyBorder="1" applyAlignment="1">
      <alignment horizontal="center" vertical="center" wrapText="1" shrinkToFit="1"/>
    </xf>
    <xf numFmtId="0" fontId="121" fillId="0" borderId="32" xfId="0" applyFont="1" applyBorder="1" applyAlignment="1">
      <alignment horizontal="center" vertical="center" wrapText="1" shrinkToFit="1"/>
    </xf>
    <xf numFmtId="0" fontId="121" fillId="0" borderId="35" xfId="0" applyFont="1" applyBorder="1" applyAlignment="1">
      <alignment horizontal="center" vertical="center" wrapText="1" shrinkToFit="1"/>
    </xf>
    <xf numFmtId="0" fontId="121" fillId="0" borderId="36" xfId="0" applyFont="1" applyBorder="1" applyAlignment="1">
      <alignment horizontal="center" vertical="center" wrapText="1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119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35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8" fillId="0" borderId="27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114" fillId="0" borderId="31" xfId="0" applyFont="1" applyBorder="1" applyAlignment="1">
      <alignment horizontal="center" vertical="center" wrapText="1" shrinkToFit="1"/>
    </xf>
    <xf numFmtId="0" fontId="118" fillId="0" borderId="32" xfId="0" applyFont="1" applyBorder="1" applyAlignment="1">
      <alignment horizontal="center" vertical="center" wrapText="1" shrinkToFit="1"/>
    </xf>
    <xf numFmtId="0" fontId="118" fillId="0" borderId="35" xfId="0" applyFont="1" applyBorder="1" applyAlignment="1">
      <alignment horizontal="center" vertical="center" wrapText="1" shrinkToFit="1"/>
    </xf>
    <xf numFmtId="0" fontId="118" fillId="0" borderId="36" xfId="0" applyFont="1" applyBorder="1" applyAlignment="1">
      <alignment horizontal="center" vertical="center" wrapText="1" shrinkToFit="1"/>
    </xf>
    <xf numFmtId="0" fontId="122" fillId="0" borderId="31" xfId="0" applyFont="1" applyBorder="1" applyAlignment="1">
      <alignment horizontal="center" vertical="center" wrapText="1" shrinkToFit="1"/>
    </xf>
    <xf numFmtId="0" fontId="122" fillId="0" borderId="32" xfId="0" applyFont="1" applyBorder="1" applyAlignment="1">
      <alignment horizontal="center" vertical="center" wrapText="1" shrinkToFit="1"/>
    </xf>
    <xf numFmtId="0" fontId="122" fillId="0" borderId="35" xfId="0" applyFont="1" applyBorder="1" applyAlignment="1">
      <alignment horizontal="center" vertical="center" wrapText="1" shrinkToFit="1"/>
    </xf>
    <xf numFmtId="0" fontId="122" fillId="0" borderId="36" xfId="0" applyFont="1" applyBorder="1" applyAlignment="1">
      <alignment horizontal="center" vertical="center" wrapText="1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42" xfId="11" applyFont="1" applyBorder="1" applyAlignment="1">
      <alignment horizontal="center" vertical="center" shrinkToFit="1"/>
    </xf>
    <xf numFmtId="0" fontId="60" fillId="0" borderId="43" xfId="11" applyFont="1" applyBorder="1" applyAlignment="1">
      <alignment horizontal="center" vertical="center" shrinkToFit="1"/>
    </xf>
    <xf numFmtId="0" fontId="60" fillId="0" borderId="59" xfId="11" applyFont="1" applyBorder="1" applyAlignment="1">
      <alignment horizontal="center" vertical="center" shrinkToFit="1"/>
    </xf>
    <xf numFmtId="0" fontId="60" fillId="0" borderId="50" xfId="11" applyFont="1" applyBorder="1" applyAlignment="1">
      <alignment horizontal="center" vertical="center" shrinkToFit="1"/>
    </xf>
    <xf numFmtId="0" fontId="60" fillId="0" borderId="28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14" fillId="17" borderId="54" xfId="11" applyFont="1" applyFill="1" applyBorder="1" applyAlignment="1">
      <alignment horizontal="center" vertical="center" shrinkToFit="1"/>
    </xf>
    <xf numFmtId="0" fontId="14" fillId="17" borderId="55" xfId="11" applyFont="1" applyFill="1" applyBorder="1" applyAlignment="1">
      <alignment horizontal="center" vertical="center" shrinkToFit="1"/>
    </xf>
    <xf numFmtId="0" fontId="14" fillId="17" borderId="56" xfId="11" applyFont="1" applyFill="1" applyBorder="1" applyAlignment="1">
      <alignment horizontal="center" vertical="center" shrinkToFit="1"/>
    </xf>
    <xf numFmtId="0" fontId="45" fillId="0" borderId="42" xfId="11" applyFont="1" applyFill="1" applyBorder="1" applyAlignment="1">
      <alignment horizontal="center" vertical="center"/>
    </xf>
    <xf numFmtId="0" fontId="28" fillId="0" borderId="43" xfId="11" applyFont="1" applyFill="1" applyBorder="1" applyAlignment="1">
      <alignment horizontal="center" vertical="center" shrinkToFit="1"/>
    </xf>
    <xf numFmtId="0" fontId="45" fillId="0" borderId="70" xfId="11" applyFont="1" applyBorder="1" applyAlignment="1">
      <alignment horizontal="center" vertical="center"/>
    </xf>
    <xf numFmtId="0" fontId="45" fillId="0" borderId="59" xfId="11" applyFont="1" applyBorder="1" applyAlignment="1">
      <alignment horizontal="center" vertical="center"/>
    </xf>
    <xf numFmtId="0" fontId="26" fillId="0" borderId="57" xfId="11" applyFont="1" applyBorder="1" applyAlignment="1">
      <alignment horizontal="center" vertical="center" shrinkToFit="1"/>
    </xf>
    <xf numFmtId="0" fontId="26" fillId="0" borderId="71" xfId="11" applyFont="1" applyBorder="1" applyAlignment="1">
      <alignment horizontal="center" vertical="center" shrinkToFit="1"/>
    </xf>
    <xf numFmtId="0" fontId="26" fillId="0" borderId="36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35" xfId="11" applyFont="1" applyBorder="1" applyAlignment="1">
      <alignment horizontal="center" vertical="center" shrinkToFit="1"/>
    </xf>
    <xf numFmtId="0" fontId="26" fillId="0" borderId="70" xfId="11" applyFont="1" applyBorder="1" applyAlignment="1">
      <alignment horizontal="center" vertical="center" shrinkToFit="1"/>
    </xf>
    <xf numFmtId="0" fontId="26" fillId="0" borderId="58" xfId="11" applyFont="1" applyBorder="1" applyAlignment="1">
      <alignment horizontal="center" vertical="center" shrinkToFit="1"/>
    </xf>
    <xf numFmtId="0" fontId="26" fillId="0" borderId="26" xfId="11" applyFont="1" applyBorder="1" applyAlignment="1">
      <alignment horizontal="center" vertical="center" shrinkToFit="1"/>
    </xf>
    <xf numFmtId="0" fontId="102" fillId="0" borderId="4" xfId="0" applyFont="1" applyBorder="1" applyAlignment="1">
      <alignment horizontal="center" shrinkToFit="1"/>
    </xf>
    <xf numFmtId="0" fontId="102" fillId="0" borderId="3" xfId="0" applyFont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0" borderId="48" xfId="0" applyFont="1" applyBorder="1" applyAlignment="1">
      <alignment horizontal="center" shrinkToFit="1"/>
    </xf>
    <xf numFmtId="0" fontId="11" fillId="0" borderId="49" xfId="0" applyFont="1" applyBorder="1" applyAlignment="1">
      <alignment horizontal="center" shrinkToFit="1"/>
    </xf>
    <xf numFmtId="0" fontId="26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28" fillId="2" borderId="73" xfId="0" applyFont="1" applyFill="1" applyBorder="1" applyAlignment="1">
      <alignment horizontal="center" shrinkToFit="1"/>
    </xf>
    <xf numFmtId="0" fontId="28" fillId="2" borderId="26" xfId="0" applyFont="1" applyFill="1" applyBorder="1" applyAlignment="1">
      <alignment horizontal="center" shrinkToFit="1"/>
    </xf>
    <xf numFmtId="0" fontId="28" fillId="2" borderId="36" xfId="0" applyFont="1" applyFill="1" applyBorder="1" applyAlignment="1">
      <alignment horizontal="center" shrinkToFit="1"/>
    </xf>
    <xf numFmtId="0" fontId="7" fillId="0" borderId="48" xfId="0" applyFont="1" applyBorder="1" applyAlignment="1">
      <alignment shrinkToFit="1"/>
    </xf>
    <xf numFmtId="0" fontId="7" fillId="0" borderId="72" xfId="0" applyFont="1" applyBorder="1" applyAlignment="1">
      <alignment shrinkToFit="1"/>
    </xf>
    <xf numFmtId="0" fontId="7" fillId="0" borderId="49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28" fillId="2" borderId="74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8" fillId="2" borderId="27" xfId="0" applyFont="1" applyFill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80" fillId="5" borderId="22" xfId="580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116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29" fillId="0" borderId="31" xfId="11" applyFont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195" fontId="109" fillId="5" borderId="22" xfId="581" applyNumberFormat="1" applyFont="1" applyFill="1" applyBorder="1" applyAlignment="1">
      <alignment horizontal="center" vertical="center"/>
    </xf>
    <xf numFmtId="195" fontId="109" fillId="14" borderId="22" xfId="581" applyNumberFormat="1" applyFont="1" applyFill="1" applyBorder="1" applyAlignment="1">
      <alignment horizontal="center" vertical="center"/>
    </xf>
    <xf numFmtId="0" fontId="98" fillId="18" borderId="22" xfId="58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/>
    </xf>
    <xf numFmtId="0" fontId="99" fillId="0" borderId="30" xfId="581" applyFont="1" applyBorder="1" applyAlignment="1">
      <alignment horizontal="center" vertical="center"/>
    </xf>
    <xf numFmtId="194" fontId="99" fillId="0" borderId="23" xfId="581" applyNumberFormat="1" applyFont="1" applyBorder="1" applyAlignment="1">
      <alignment horizontal="center" vertical="center"/>
    </xf>
    <xf numFmtId="194" fontId="99" fillId="0" borderId="30" xfId="581" applyNumberFormat="1" applyFont="1" applyBorder="1" applyAlignment="1">
      <alignment horizontal="center" vertical="center"/>
    </xf>
    <xf numFmtId="189" fontId="99" fillId="0" borderId="23" xfId="581" applyNumberFormat="1" applyFont="1" applyBorder="1" applyAlignment="1">
      <alignment horizontal="center" vertical="center"/>
    </xf>
    <xf numFmtId="189" fontId="99" fillId="0" borderId="30" xfId="581" applyNumberFormat="1" applyFont="1" applyBorder="1" applyAlignment="1">
      <alignment horizontal="center" vertical="center"/>
    </xf>
    <xf numFmtId="0" fontId="101" fillId="0" borderId="23" xfId="11" applyFont="1" applyBorder="1" applyAlignment="1">
      <alignment horizontal="center" vertical="center"/>
    </xf>
    <xf numFmtId="0" fontId="101" fillId="0" borderId="29" xfId="11" applyFont="1" applyBorder="1" applyAlignment="1">
      <alignment horizontal="center" vertical="center"/>
    </xf>
    <xf numFmtId="0" fontId="101" fillId="0" borderId="30" xfId="11" applyFont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</cellXfs>
  <cellStyles count="584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2 2 2 2" xfId="580"/>
    <cellStyle name="一般 2 2 30 2 2 30 2 2 2 4" xfId="583"/>
    <cellStyle name="一般 2 2 30 2 2 30 2 2 3" xfId="16"/>
    <cellStyle name="一般 2 2 30 2 2 30 2 2 4" xfId="17"/>
    <cellStyle name="一般 2 2 30 2 2 30 2 3 2" xfId="578"/>
    <cellStyle name="一般 2 2 30 2 2 30 2 3 3" xfId="581"/>
    <cellStyle name="一般 2 2 30 2 3 2" xfId="6"/>
    <cellStyle name="一般 2 2 30 2 3 2 2 2" xfId="18"/>
    <cellStyle name="一般 2 2 30 2 3 2 3" xfId="579"/>
    <cellStyle name="一般 2 2 30 2 3 2 4" xfId="582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84" t="s">
        <v>12</v>
      </c>
      <c r="D21" s="582"/>
      <c r="E21" s="583"/>
      <c r="F21" s="50" t="s">
        <v>46</v>
      </c>
      <c r="G21" s="50" t="s">
        <v>48</v>
      </c>
      <c r="H21" s="50" t="s">
        <v>49</v>
      </c>
      <c r="I21" s="8" t="s">
        <v>13</v>
      </c>
      <c r="J21" s="597" t="s">
        <v>51</v>
      </c>
      <c r="K21" s="583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86" t="s">
        <v>14</v>
      </c>
      <c r="D22" s="582"/>
      <c r="E22" s="583"/>
      <c r="F22" s="4">
        <v>3</v>
      </c>
      <c r="G22" s="4">
        <v>3000</v>
      </c>
      <c r="H22" s="4">
        <v>1000</v>
      </c>
      <c r="I22" s="4">
        <v>10</v>
      </c>
      <c r="J22" s="585" t="s">
        <v>76</v>
      </c>
      <c r="K22" s="583"/>
      <c r="M22" s="53" t="s">
        <v>26</v>
      </c>
      <c r="N22" s="58" t="s">
        <v>47</v>
      </c>
      <c r="O22" s="592" t="s">
        <v>12</v>
      </c>
      <c r="P22" s="582"/>
      <c r="Q22" s="583"/>
      <c r="R22" s="598" t="s">
        <v>53</v>
      </c>
      <c r="S22" s="582"/>
      <c r="T22" s="583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97" t="s">
        <v>51</v>
      </c>
      <c r="AA22" s="583"/>
    </row>
    <row r="23" spans="1:27" ht="15.75" customHeight="1">
      <c r="A23" s="23"/>
      <c r="B23" s="6">
        <v>2</v>
      </c>
      <c r="C23" s="581"/>
      <c r="D23" s="582"/>
      <c r="E23" s="583"/>
      <c r="F23" s="4"/>
      <c r="G23" s="4"/>
      <c r="H23" s="4"/>
      <c r="I23" s="4"/>
      <c r="J23" s="581"/>
      <c r="K23" s="583"/>
      <c r="M23" s="57" t="s">
        <v>42</v>
      </c>
      <c r="N23" s="24">
        <v>1</v>
      </c>
      <c r="O23" s="585" t="s">
        <v>82</v>
      </c>
      <c r="P23" s="582"/>
      <c r="Q23" s="583"/>
      <c r="R23" s="585" t="s">
        <v>85</v>
      </c>
      <c r="S23" s="582"/>
      <c r="T23" s="583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85" t="s">
        <v>86</v>
      </c>
      <c r="AA23" s="583"/>
    </row>
    <row r="24" spans="1:27" ht="15.75" customHeight="1">
      <c r="A24" s="23"/>
      <c r="B24" s="6">
        <v>3</v>
      </c>
      <c r="C24" s="581"/>
      <c r="D24" s="582"/>
      <c r="E24" s="583"/>
      <c r="F24" s="4"/>
      <c r="G24" s="4"/>
      <c r="H24" s="4"/>
      <c r="I24" s="4"/>
      <c r="J24" s="581"/>
      <c r="K24" s="583"/>
      <c r="M24" s="25"/>
      <c r="N24" s="24">
        <v>2</v>
      </c>
      <c r="O24" s="586"/>
      <c r="P24" s="582"/>
      <c r="Q24" s="583"/>
      <c r="R24" s="586"/>
      <c r="S24" s="582"/>
      <c r="T24" s="583"/>
      <c r="U24" s="4"/>
      <c r="V24" s="14"/>
      <c r="W24" s="4"/>
      <c r="X24" s="16">
        <f>W24*U24</f>
        <v>0</v>
      </c>
      <c r="Y24" s="4"/>
      <c r="Z24" s="586"/>
      <c r="AA24" s="583"/>
    </row>
    <row r="25" spans="1:27" ht="15.75" customHeight="1">
      <c r="A25" s="23"/>
      <c r="B25" s="6">
        <v>4</v>
      </c>
      <c r="C25" s="581"/>
      <c r="D25" s="582"/>
      <c r="E25" s="583"/>
      <c r="F25" s="4"/>
      <c r="G25" s="4"/>
      <c r="H25" s="4"/>
      <c r="I25" s="4"/>
      <c r="J25" s="581"/>
      <c r="K25" s="583"/>
      <c r="M25" s="25"/>
      <c r="N25" s="24">
        <v>3</v>
      </c>
      <c r="O25" s="586"/>
      <c r="P25" s="582"/>
      <c r="Q25" s="583"/>
      <c r="R25" s="586"/>
      <c r="S25" s="582"/>
      <c r="T25" s="583"/>
      <c r="U25" s="4"/>
      <c r="V25" s="14"/>
      <c r="W25" s="4"/>
      <c r="X25" s="16">
        <f>W25*U25</f>
        <v>0</v>
      </c>
      <c r="Y25" s="4"/>
      <c r="Z25" s="586"/>
      <c r="AA25" s="583"/>
    </row>
    <row r="26" spans="1:27" ht="15.75" customHeight="1">
      <c r="A26" s="23"/>
      <c r="B26" s="26">
        <v>5</v>
      </c>
      <c r="C26" s="595"/>
      <c r="D26" s="591"/>
      <c r="E26" s="588"/>
      <c r="F26" s="27"/>
      <c r="G26" s="27"/>
      <c r="H26" s="27"/>
      <c r="I26" s="27"/>
      <c r="J26" s="595"/>
      <c r="K26" s="588"/>
      <c r="M26" s="25"/>
      <c r="N26" s="24">
        <v>4</v>
      </c>
      <c r="O26" s="586"/>
      <c r="P26" s="582"/>
      <c r="Q26" s="583"/>
      <c r="R26" s="586"/>
      <c r="S26" s="582"/>
      <c r="T26" s="583"/>
      <c r="U26" s="4"/>
      <c r="V26" s="14"/>
      <c r="W26" s="4"/>
      <c r="X26" s="16">
        <f>W26*U26</f>
        <v>0</v>
      </c>
      <c r="Y26" s="4"/>
      <c r="Z26" s="586"/>
      <c r="AA26" s="583"/>
    </row>
    <row r="27" spans="1:27" ht="15.75" customHeight="1">
      <c r="A27" s="23"/>
      <c r="B27" s="70" t="s">
        <v>101</v>
      </c>
      <c r="C27" s="589" t="s">
        <v>75</v>
      </c>
      <c r="D27" s="596"/>
      <c r="E27" s="590"/>
      <c r="F27" s="28">
        <v>4</v>
      </c>
      <c r="G27" s="28">
        <v>2800</v>
      </c>
      <c r="H27" s="28">
        <v>700</v>
      </c>
      <c r="I27" s="28" t="s">
        <v>15</v>
      </c>
      <c r="J27" s="589" t="s">
        <v>77</v>
      </c>
      <c r="K27" s="590"/>
      <c r="M27" s="25"/>
      <c r="N27" s="29">
        <v>5</v>
      </c>
      <c r="O27" s="587"/>
      <c r="P27" s="591"/>
      <c r="Q27" s="588"/>
      <c r="R27" s="587"/>
      <c r="S27" s="591"/>
      <c r="T27" s="588"/>
      <c r="U27" s="27"/>
      <c r="V27" s="30"/>
      <c r="W27" s="27"/>
      <c r="X27" s="31">
        <f>W27*U27</f>
        <v>0</v>
      </c>
      <c r="Y27" s="4"/>
      <c r="Z27" s="587"/>
      <c r="AA27" s="588"/>
    </row>
    <row r="28" spans="1:27" ht="15.75" customHeight="1">
      <c r="A28" s="23"/>
      <c r="B28" s="71" t="s">
        <v>102</v>
      </c>
      <c r="C28" s="581"/>
      <c r="D28" s="582"/>
      <c r="E28" s="583"/>
      <c r="F28" s="4"/>
      <c r="G28" s="4"/>
      <c r="H28" s="4"/>
      <c r="I28" s="4"/>
      <c r="J28" s="581"/>
      <c r="K28" s="583"/>
      <c r="M28" s="32"/>
      <c r="N28" s="56"/>
      <c r="O28" s="593"/>
      <c r="P28" s="582"/>
      <c r="Q28" s="582"/>
      <c r="R28" s="593"/>
      <c r="S28" s="582"/>
      <c r="T28" s="582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93"/>
      <c r="AA28" s="583"/>
    </row>
    <row r="29" spans="1:27" ht="15.75" customHeight="1">
      <c r="A29" s="23"/>
      <c r="B29" s="71" t="s">
        <v>100</v>
      </c>
      <c r="C29" s="581"/>
      <c r="D29" s="582"/>
      <c r="E29" s="583"/>
      <c r="F29" s="4"/>
      <c r="G29" s="4"/>
      <c r="H29" s="4"/>
      <c r="I29" s="4"/>
      <c r="J29" s="581"/>
      <c r="K29" s="583"/>
      <c r="M29" s="57" t="s">
        <v>43</v>
      </c>
      <c r="N29" s="24">
        <v>1</v>
      </c>
      <c r="O29" s="606" t="s">
        <v>16</v>
      </c>
      <c r="P29" s="602"/>
      <c r="Q29" s="603"/>
      <c r="R29" s="601" t="s">
        <v>87</v>
      </c>
      <c r="S29" s="602"/>
      <c r="T29" s="603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01" t="s">
        <v>88</v>
      </c>
      <c r="AA29" s="603"/>
    </row>
    <row r="30" spans="1:27" ht="15.75" customHeight="1">
      <c r="A30" s="23"/>
      <c r="B30" s="71" t="s">
        <v>99</v>
      </c>
      <c r="C30" s="581"/>
      <c r="D30" s="582"/>
      <c r="E30" s="583"/>
      <c r="F30" s="4"/>
      <c r="G30" s="4"/>
      <c r="H30" s="4"/>
      <c r="I30" s="4"/>
      <c r="J30" s="581"/>
      <c r="K30" s="583"/>
      <c r="M30" s="25"/>
      <c r="N30" s="24">
        <v>2</v>
      </c>
      <c r="O30" s="586"/>
      <c r="P30" s="582"/>
      <c r="Q30" s="583"/>
      <c r="R30" s="586"/>
      <c r="S30" s="582"/>
      <c r="T30" s="583"/>
      <c r="U30" s="4"/>
      <c r="V30" s="14"/>
      <c r="W30" s="4"/>
      <c r="X30" s="16">
        <f>W30*U30</f>
        <v>0</v>
      </c>
      <c r="Y30" s="4"/>
      <c r="Z30" s="586"/>
      <c r="AA30" s="583"/>
    </row>
    <row r="31" spans="1:27" ht="15.75" customHeight="1">
      <c r="A31" s="20"/>
      <c r="B31" s="71" t="s">
        <v>103</v>
      </c>
      <c r="C31" s="581"/>
      <c r="D31" s="582"/>
      <c r="E31" s="583"/>
      <c r="F31" s="4"/>
      <c r="G31" s="4"/>
      <c r="H31" s="4"/>
      <c r="I31" s="4"/>
      <c r="J31" s="581"/>
      <c r="K31" s="583"/>
      <c r="M31" s="25"/>
      <c r="N31" s="24">
        <v>3</v>
      </c>
      <c r="O31" s="586"/>
      <c r="P31" s="582"/>
      <c r="Q31" s="583"/>
      <c r="R31" s="586"/>
      <c r="S31" s="582"/>
      <c r="T31" s="583"/>
      <c r="U31" s="4"/>
      <c r="V31" s="14"/>
      <c r="W31" s="4"/>
      <c r="X31" s="16">
        <f>W31*U31</f>
        <v>0</v>
      </c>
      <c r="Y31" s="4"/>
      <c r="Z31" s="586"/>
      <c r="AA31" s="583"/>
    </row>
    <row r="32" spans="1:27" ht="15.75" customHeight="1">
      <c r="A32" s="68"/>
      <c r="M32" s="25"/>
      <c r="N32" s="24">
        <v>4</v>
      </c>
      <c r="O32" s="586"/>
      <c r="P32" s="582"/>
      <c r="Q32" s="583"/>
      <c r="R32" s="586"/>
      <c r="S32" s="582"/>
      <c r="T32" s="583"/>
      <c r="U32" s="4"/>
      <c r="V32" s="14"/>
      <c r="W32" s="4"/>
      <c r="X32" s="16">
        <f>W32*U32</f>
        <v>0</v>
      </c>
      <c r="Y32" s="4"/>
      <c r="Z32" s="586"/>
      <c r="AA32" s="583"/>
    </row>
    <row r="33" spans="1:27" ht="15.75" customHeight="1">
      <c r="A33" s="18"/>
      <c r="B33" s="50" t="s">
        <v>47</v>
      </c>
      <c r="C33" s="584" t="s">
        <v>12</v>
      </c>
      <c r="D33" s="582"/>
      <c r="E33" s="583"/>
      <c r="F33" s="50" t="s">
        <v>46</v>
      </c>
      <c r="G33" s="50" t="s">
        <v>48</v>
      </c>
      <c r="H33" s="50" t="s">
        <v>49</v>
      </c>
      <c r="I33" s="8" t="s">
        <v>13</v>
      </c>
      <c r="J33" s="597" t="s">
        <v>51</v>
      </c>
      <c r="K33" s="583"/>
      <c r="M33" s="25"/>
      <c r="N33" s="29">
        <v>5</v>
      </c>
      <c r="O33" s="586"/>
      <c r="P33" s="582"/>
      <c r="Q33" s="583"/>
      <c r="R33" s="586"/>
      <c r="S33" s="582"/>
      <c r="T33" s="583"/>
      <c r="U33" s="27"/>
      <c r="V33" s="30"/>
      <c r="W33" s="27"/>
      <c r="X33" s="31">
        <f>W33*U33</f>
        <v>0</v>
      </c>
      <c r="Y33" s="4"/>
      <c r="Z33" s="586"/>
      <c r="AA33" s="583"/>
    </row>
    <row r="34" spans="1:27" ht="15.75" customHeight="1">
      <c r="A34" s="53" t="s">
        <v>35</v>
      </c>
      <c r="B34" s="6">
        <v>1</v>
      </c>
      <c r="C34" s="585" t="s">
        <v>79</v>
      </c>
      <c r="D34" s="582"/>
      <c r="E34" s="583"/>
      <c r="F34" s="4">
        <v>3</v>
      </c>
      <c r="G34" s="4">
        <v>2500</v>
      </c>
      <c r="H34" s="4">
        <v>833.33</v>
      </c>
      <c r="I34" s="4">
        <v>20</v>
      </c>
      <c r="J34" s="585" t="s">
        <v>78</v>
      </c>
      <c r="K34" s="583"/>
      <c r="M34" s="69"/>
      <c r="N34" s="45"/>
      <c r="O34" s="593"/>
      <c r="P34" s="582"/>
      <c r="Q34" s="582"/>
      <c r="R34" s="593"/>
      <c r="S34" s="582"/>
      <c r="T34" s="582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93"/>
      <c r="AA34" s="583"/>
    </row>
    <row r="35" spans="1:27" ht="15.75" customHeight="1">
      <c r="A35" s="23"/>
      <c r="B35" s="6">
        <v>2</v>
      </c>
      <c r="C35" s="586"/>
      <c r="D35" s="582"/>
      <c r="E35" s="583"/>
      <c r="F35" s="4"/>
      <c r="G35" s="4"/>
      <c r="H35" s="4"/>
      <c r="I35" s="4"/>
      <c r="J35" s="586"/>
      <c r="K35" s="583"/>
      <c r="M35" s="1"/>
      <c r="N35" s="1"/>
      <c r="O35" s="604"/>
      <c r="P35" s="605"/>
      <c r="Q35" s="605"/>
      <c r="R35" s="604"/>
      <c r="S35" s="605"/>
      <c r="T35" s="605"/>
      <c r="U35" s="1"/>
      <c r="V35" s="38"/>
      <c r="W35" s="1"/>
      <c r="X35" s="1"/>
      <c r="Y35" s="604"/>
      <c r="Z35" s="605"/>
      <c r="AA35" s="605"/>
    </row>
    <row r="36" spans="1:27" ht="15.75" customHeight="1">
      <c r="A36" s="23"/>
      <c r="B36" s="6">
        <v>3</v>
      </c>
      <c r="C36" s="586"/>
      <c r="D36" s="582"/>
      <c r="E36" s="583"/>
      <c r="F36" s="4"/>
      <c r="G36" s="4"/>
      <c r="H36" s="4"/>
      <c r="I36" s="4"/>
      <c r="J36" s="586"/>
      <c r="K36" s="583"/>
      <c r="M36" s="53" t="s">
        <v>27</v>
      </c>
      <c r="N36" s="58" t="s">
        <v>47</v>
      </c>
      <c r="O36" s="592" t="s">
        <v>12</v>
      </c>
      <c r="P36" s="593"/>
      <c r="Q36" s="594"/>
      <c r="R36" s="598" t="s">
        <v>53</v>
      </c>
      <c r="S36" s="599"/>
      <c r="T36" s="600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97" t="s">
        <v>51</v>
      </c>
      <c r="AA36" s="607"/>
    </row>
    <row r="37" spans="1:27" ht="15.75" customHeight="1">
      <c r="A37" s="23"/>
      <c r="B37" s="6">
        <v>4</v>
      </c>
      <c r="C37" s="586"/>
      <c r="D37" s="582"/>
      <c r="E37" s="583"/>
      <c r="F37" s="4"/>
      <c r="G37" s="4"/>
      <c r="H37" s="4"/>
      <c r="I37" s="4"/>
      <c r="J37" s="586"/>
      <c r="K37" s="583"/>
      <c r="M37" s="57" t="s">
        <v>42</v>
      </c>
      <c r="N37" s="24">
        <v>1</v>
      </c>
      <c r="O37" s="585" t="s">
        <v>89</v>
      </c>
      <c r="P37" s="582"/>
      <c r="Q37" s="583"/>
      <c r="R37" s="585" t="s">
        <v>90</v>
      </c>
      <c r="S37" s="582"/>
      <c r="T37" s="583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85" t="s">
        <v>91</v>
      </c>
      <c r="AA37" s="583"/>
    </row>
    <row r="38" spans="1:27" ht="15.75" customHeight="1">
      <c r="A38" s="23"/>
      <c r="B38" s="26">
        <v>5</v>
      </c>
      <c r="C38" s="587"/>
      <c r="D38" s="591"/>
      <c r="E38" s="588"/>
      <c r="F38" s="27"/>
      <c r="G38" s="27"/>
      <c r="H38" s="27"/>
      <c r="I38" s="27"/>
      <c r="J38" s="587"/>
      <c r="K38" s="588"/>
      <c r="M38" s="25"/>
      <c r="N38" s="24">
        <v>2</v>
      </c>
      <c r="O38" s="586"/>
      <c r="P38" s="582"/>
      <c r="Q38" s="583"/>
      <c r="R38" s="586"/>
      <c r="S38" s="582"/>
      <c r="T38" s="583"/>
      <c r="U38" s="4"/>
      <c r="V38" s="14"/>
      <c r="W38" s="4"/>
      <c r="X38" s="16">
        <f>W38*U38</f>
        <v>0</v>
      </c>
      <c r="Y38" s="4"/>
      <c r="Z38" s="586"/>
      <c r="AA38" s="583"/>
    </row>
    <row r="39" spans="1:27" ht="14.25">
      <c r="A39" s="23"/>
      <c r="B39" s="70" t="s">
        <v>101</v>
      </c>
      <c r="C39" s="589" t="s">
        <v>80</v>
      </c>
      <c r="D39" s="596"/>
      <c r="E39" s="590"/>
      <c r="F39" s="28">
        <v>7</v>
      </c>
      <c r="G39" s="28">
        <v>2200</v>
      </c>
      <c r="H39" s="28">
        <v>314.29000000000002</v>
      </c>
      <c r="I39" s="28">
        <v>-15</v>
      </c>
      <c r="J39" s="589" t="s">
        <v>81</v>
      </c>
      <c r="K39" s="590"/>
      <c r="M39" s="25"/>
      <c r="N39" s="24">
        <v>3</v>
      </c>
      <c r="O39" s="586"/>
      <c r="P39" s="582"/>
      <c r="Q39" s="583"/>
      <c r="R39" s="586"/>
      <c r="S39" s="582"/>
      <c r="T39" s="583"/>
      <c r="U39" s="4"/>
      <c r="V39" s="14"/>
      <c r="W39" s="4"/>
      <c r="X39" s="16">
        <f>W39*U39</f>
        <v>0</v>
      </c>
      <c r="Y39" s="4"/>
      <c r="Z39" s="586"/>
      <c r="AA39" s="583"/>
    </row>
    <row r="40" spans="1:27" ht="14.25">
      <c r="A40" s="23"/>
      <c r="B40" s="71" t="s">
        <v>102</v>
      </c>
      <c r="C40" s="586"/>
      <c r="D40" s="582"/>
      <c r="E40" s="583"/>
      <c r="F40" s="4"/>
      <c r="G40" s="4"/>
      <c r="H40" s="4"/>
      <c r="I40" s="4"/>
      <c r="J40" s="586"/>
      <c r="K40" s="583"/>
      <c r="M40" s="25"/>
      <c r="N40" s="24">
        <v>4</v>
      </c>
      <c r="O40" s="586"/>
      <c r="P40" s="582"/>
      <c r="Q40" s="583"/>
      <c r="R40" s="586"/>
      <c r="S40" s="582"/>
      <c r="T40" s="583"/>
      <c r="U40" s="4"/>
      <c r="V40" s="14"/>
      <c r="W40" s="4"/>
      <c r="X40" s="16">
        <f>W40*U40</f>
        <v>0</v>
      </c>
      <c r="Y40" s="4"/>
      <c r="Z40" s="586"/>
      <c r="AA40" s="583"/>
    </row>
    <row r="41" spans="1:27" ht="14.25">
      <c r="A41" s="23"/>
      <c r="B41" s="71" t="s">
        <v>100</v>
      </c>
      <c r="C41" s="586"/>
      <c r="D41" s="582"/>
      <c r="E41" s="583"/>
      <c r="F41" s="4"/>
      <c r="G41" s="4"/>
      <c r="H41" s="4"/>
      <c r="I41" s="4"/>
      <c r="J41" s="586"/>
      <c r="K41" s="583"/>
      <c r="M41" s="25"/>
      <c r="N41" s="29">
        <v>5</v>
      </c>
      <c r="O41" s="587"/>
      <c r="P41" s="591"/>
      <c r="Q41" s="588"/>
      <c r="R41" s="587"/>
      <c r="S41" s="591"/>
      <c r="T41" s="588"/>
      <c r="U41" s="27"/>
      <c r="V41" s="30"/>
      <c r="W41" s="27"/>
      <c r="X41" s="31">
        <f>W41*U41</f>
        <v>0</v>
      </c>
      <c r="Y41" s="4"/>
      <c r="Z41" s="586"/>
      <c r="AA41" s="583"/>
    </row>
    <row r="42" spans="1:27" ht="14.25">
      <c r="A42" s="23"/>
      <c r="B42" s="71" t="s">
        <v>99</v>
      </c>
      <c r="C42" s="586"/>
      <c r="D42" s="582"/>
      <c r="E42" s="583"/>
      <c r="F42" s="4"/>
      <c r="G42" s="4"/>
      <c r="H42" s="4"/>
      <c r="I42" s="4"/>
      <c r="J42" s="586"/>
      <c r="K42" s="583"/>
      <c r="M42" s="32"/>
      <c r="N42" s="55"/>
      <c r="O42" s="593"/>
      <c r="P42" s="582"/>
      <c r="Q42" s="582"/>
      <c r="R42" s="593"/>
      <c r="S42" s="582"/>
      <c r="T42" s="582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93"/>
      <c r="AA42" s="583"/>
    </row>
    <row r="43" spans="1:27" ht="14.25">
      <c r="A43" s="20"/>
      <c r="B43" s="71" t="s">
        <v>103</v>
      </c>
      <c r="C43" s="586"/>
      <c r="D43" s="582"/>
      <c r="E43" s="583"/>
      <c r="F43" s="4"/>
      <c r="G43" s="4"/>
      <c r="H43" s="4"/>
      <c r="I43" s="4"/>
      <c r="J43" s="586"/>
      <c r="K43" s="583"/>
      <c r="M43" s="57" t="s">
        <v>43</v>
      </c>
      <c r="N43" s="24">
        <v>1</v>
      </c>
      <c r="O43" s="585" t="s">
        <v>89</v>
      </c>
      <c r="P43" s="582"/>
      <c r="Q43" s="583"/>
      <c r="R43" s="601" t="s">
        <v>93</v>
      </c>
      <c r="S43" s="602"/>
      <c r="T43" s="603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85" t="s">
        <v>92</v>
      </c>
      <c r="AA43" s="583"/>
    </row>
    <row r="44" spans="1:27" ht="14.25">
      <c r="A44" s="68"/>
      <c r="M44" s="25"/>
      <c r="N44" s="24">
        <v>2</v>
      </c>
      <c r="O44" s="586"/>
      <c r="P44" s="582"/>
      <c r="Q44" s="583"/>
      <c r="R44" s="586"/>
      <c r="S44" s="582"/>
      <c r="T44" s="583"/>
      <c r="U44" s="4"/>
      <c r="V44" s="14"/>
      <c r="W44" s="4"/>
      <c r="X44" s="37">
        <f>W44*U44</f>
        <v>0</v>
      </c>
      <c r="Y44" s="4"/>
      <c r="Z44" s="586"/>
      <c r="AA44" s="583"/>
    </row>
    <row r="45" spans="1:27" ht="14.25">
      <c r="A45" s="18"/>
      <c r="B45" s="50" t="s">
        <v>47</v>
      </c>
      <c r="C45" s="584" t="s">
        <v>12</v>
      </c>
      <c r="D45" s="582"/>
      <c r="E45" s="583"/>
      <c r="F45" s="50" t="s">
        <v>46</v>
      </c>
      <c r="G45" s="50" t="s">
        <v>48</v>
      </c>
      <c r="H45" s="50" t="s">
        <v>49</v>
      </c>
      <c r="I45" s="8" t="s">
        <v>13</v>
      </c>
      <c r="J45" s="597" t="s">
        <v>51</v>
      </c>
      <c r="K45" s="583"/>
      <c r="M45" s="25"/>
      <c r="N45" s="24">
        <v>3</v>
      </c>
      <c r="O45" s="586"/>
      <c r="P45" s="582"/>
      <c r="Q45" s="583"/>
      <c r="R45" s="586"/>
      <c r="S45" s="582"/>
      <c r="T45" s="583"/>
      <c r="U45" s="4"/>
      <c r="V45" s="14"/>
      <c r="W45" s="4"/>
      <c r="X45" s="37">
        <f>W45*U45</f>
        <v>0</v>
      </c>
      <c r="Y45" s="4"/>
      <c r="Z45" s="586"/>
      <c r="AA45" s="583"/>
    </row>
    <row r="46" spans="1:27" ht="14.25">
      <c r="A46" s="53" t="s">
        <v>36</v>
      </c>
      <c r="B46" s="6">
        <v>1</v>
      </c>
      <c r="C46" s="585" t="s">
        <v>82</v>
      </c>
      <c r="D46" s="582"/>
      <c r="E46" s="583"/>
      <c r="F46" s="4">
        <v>15</v>
      </c>
      <c r="G46" s="4">
        <v>1200</v>
      </c>
      <c r="H46" s="4">
        <v>80</v>
      </c>
      <c r="I46" s="4">
        <v>5</v>
      </c>
      <c r="J46" s="585" t="s">
        <v>83</v>
      </c>
      <c r="K46" s="583"/>
      <c r="M46" s="25"/>
      <c r="N46" s="24">
        <v>4</v>
      </c>
      <c r="O46" s="586"/>
      <c r="P46" s="582"/>
      <c r="Q46" s="583"/>
      <c r="R46" s="586"/>
      <c r="S46" s="582"/>
      <c r="T46" s="583"/>
      <c r="U46" s="4"/>
      <c r="V46" s="14"/>
      <c r="W46" s="4"/>
      <c r="X46" s="37">
        <f>W46*U46</f>
        <v>0</v>
      </c>
      <c r="Y46" s="4"/>
      <c r="Z46" s="586"/>
      <c r="AA46" s="583"/>
    </row>
    <row r="47" spans="1:27" ht="14.25">
      <c r="A47" s="23"/>
      <c r="B47" s="6">
        <v>2</v>
      </c>
      <c r="C47" s="586"/>
      <c r="D47" s="582"/>
      <c r="E47" s="583"/>
      <c r="F47" s="4"/>
      <c r="G47" s="4"/>
      <c r="H47" s="4"/>
      <c r="I47" s="4"/>
      <c r="J47" s="586"/>
      <c r="K47" s="583"/>
      <c r="M47" s="25"/>
      <c r="N47" s="29">
        <v>5</v>
      </c>
      <c r="O47" s="586"/>
      <c r="P47" s="582"/>
      <c r="Q47" s="583"/>
      <c r="R47" s="586"/>
      <c r="S47" s="582"/>
      <c r="T47" s="583"/>
      <c r="U47" s="27"/>
      <c r="V47" s="30"/>
      <c r="W47" s="27"/>
      <c r="X47" s="40">
        <f>W47*U47</f>
        <v>0</v>
      </c>
      <c r="Y47" s="4"/>
      <c r="Z47" s="586"/>
      <c r="AA47" s="583"/>
    </row>
    <row r="48" spans="1:27" ht="14.25">
      <c r="A48" s="23"/>
      <c r="B48" s="6">
        <v>3</v>
      </c>
      <c r="C48" s="586"/>
      <c r="D48" s="582"/>
      <c r="E48" s="583"/>
      <c r="F48" s="4"/>
      <c r="G48" s="4"/>
      <c r="H48" s="4"/>
      <c r="I48" s="4"/>
      <c r="J48" s="586"/>
      <c r="K48" s="583"/>
      <c r="M48" s="69"/>
      <c r="N48" s="45"/>
      <c r="O48" s="593"/>
      <c r="P48" s="582"/>
      <c r="Q48" s="582"/>
      <c r="R48" s="593"/>
      <c r="S48" s="582"/>
      <c r="T48" s="582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93"/>
      <c r="AA48" s="583"/>
    </row>
    <row r="49" spans="1:27" ht="14.25">
      <c r="A49" s="23"/>
      <c r="B49" s="6">
        <v>4</v>
      </c>
      <c r="C49" s="586"/>
      <c r="D49" s="582"/>
      <c r="E49" s="583"/>
      <c r="F49" s="4"/>
      <c r="G49" s="4"/>
      <c r="H49" s="4"/>
      <c r="I49" s="4"/>
      <c r="J49" s="586"/>
      <c r="K49" s="58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7"/>
      <c r="D50" s="591"/>
      <c r="E50" s="588"/>
      <c r="F50" s="27"/>
      <c r="G50" s="27"/>
      <c r="H50" s="27"/>
      <c r="I50" s="27"/>
      <c r="J50" s="587"/>
      <c r="K50" s="588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89" t="s">
        <v>89</v>
      </c>
      <c r="D51" s="596"/>
      <c r="E51" s="590"/>
      <c r="F51" s="28">
        <v>18</v>
      </c>
      <c r="G51" s="28">
        <v>800</v>
      </c>
      <c r="H51" s="28">
        <v>44.44</v>
      </c>
      <c r="I51" s="28">
        <v>-15</v>
      </c>
      <c r="J51" s="589" t="s">
        <v>84</v>
      </c>
      <c r="K51" s="590"/>
      <c r="M51" s="8"/>
      <c r="N51" s="8" t="s">
        <v>18</v>
      </c>
      <c r="O51" s="592" t="s">
        <v>12</v>
      </c>
      <c r="P51" s="593"/>
      <c r="Q51" s="594"/>
      <c r="R51" s="598" t="s">
        <v>53</v>
      </c>
      <c r="S51" s="599"/>
      <c r="T51" s="600"/>
      <c r="U51" s="58" t="s">
        <v>54</v>
      </c>
      <c r="V51" s="39" t="s">
        <v>19</v>
      </c>
      <c r="W51" s="58" t="s">
        <v>57</v>
      </c>
      <c r="X51" s="8" t="s">
        <v>2</v>
      </c>
      <c r="Y51" s="592" t="s">
        <v>50</v>
      </c>
      <c r="Z51" s="593"/>
      <c r="AA51" s="594"/>
    </row>
    <row r="52" spans="1:27" ht="14.25">
      <c r="A52" s="23"/>
      <c r="B52" s="71" t="s">
        <v>102</v>
      </c>
      <c r="C52" s="586"/>
      <c r="D52" s="582"/>
      <c r="E52" s="583"/>
      <c r="F52" s="4"/>
      <c r="G52" s="4"/>
      <c r="H52" s="4"/>
      <c r="I52" s="4"/>
      <c r="J52" s="586"/>
      <c r="K52" s="583"/>
      <c r="M52" s="57" t="s">
        <v>42</v>
      </c>
      <c r="N52" s="24">
        <v>1</v>
      </c>
      <c r="O52" s="585" t="s">
        <v>89</v>
      </c>
      <c r="P52" s="582"/>
      <c r="Q52" s="583"/>
      <c r="R52" s="601" t="s">
        <v>93</v>
      </c>
      <c r="S52" s="602"/>
      <c r="T52" s="603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85" t="s">
        <v>97</v>
      </c>
      <c r="Z52" s="582"/>
      <c r="AA52" s="583"/>
    </row>
    <row r="53" spans="1:27" ht="14.25">
      <c r="A53" s="23"/>
      <c r="B53" s="71" t="s">
        <v>100</v>
      </c>
      <c r="C53" s="586"/>
      <c r="D53" s="582"/>
      <c r="E53" s="583"/>
      <c r="F53" s="4"/>
      <c r="G53" s="4"/>
      <c r="H53" s="4"/>
      <c r="I53" s="4"/>
      <c r="J53" s="586"/>
      <c r="K53" s="583"/>
      <c r="M53" s="25"/>
      <c r="N53" s="29">
        <v>2</v>
      </c>
      <c r="O53" s="587"/>
      <c r="P53" s="591"/>
      <c r="Q53" s="588"/>
      <c r="R53" s="587"/>
      <c r="S53" s="591"/>
      <c r="T53" s="588"/>
      <c r="U53" s="27"/>
      <c r="V53" s="30"/>
      <c r="W53" s="30"/>
      <c r="X53" s="41">
        <f>W53-V53</f>
        <v>0</v>
      </c>
      <c r="Y53" s="587"/>
      <c r="Z53" s="591"/>
      <c r="AA53" s="588"/>
    </row>
    <row r="54" spans="1:27" ht="14.25">
      <c r="A54" s="23"/>
      <c r="B54" s="71" t="s">
        <v>99</v>
      </c>
      <c r="C54" s="586"/>
      <c r="D54" s="582"/>
      <c r="E54" s="583"/>
      <c r="F54" s="4"/>
      <c r="G54" s="4"/>
      <c r="H54" s="4"/>
      <c r="I54" s="4"/>
      <c r="J54" s="586"/>
      <c r="K54" s="583"/>
      <c r="M54" s="57" t="s">
        <v>43</v>
      </c>
      <c r="N54" s="42">
        <v>1</v>
      </c>
      <c r="O54" s="589" t="s">
        <v>94</v>
      </c>
      <c r="P54" s="596"/>
      <c r="Q54" s="590"/>
      <c r="R54" s="589" t="s">
        <v>95</v>
      </c>
      <c r="S54" s="596"/>
      <c r="T54" s="59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89" t="s">
        <v>96</v>
      </c>
      <c r="Z54" s="596"/>
      <c r="AA54" s="590"/>
    </row>
    <row r="55" spans="1:27" ht="14.25">
      <c r="A55" s="20"/>
      <c r="B55" s="71" t="s">
        <v>103</v>
      </c>
      <c r="C55" s="586"/>
      <c r="D55" s="582"/>
      <c r="E55" s="583"/>
      <c r="F55" s="4"/>
      <c r="G55" s="4"/>
      <c r="H55" s="4"/>
      <c r="I55" s="4"/>
      <c r="J55" s="586"/>
      <c r="K55" s="583"/>
      <c r="M55" s="22"/>
      <c r="N55" s="24">
        <v>2</v>
      </c>
      <c r="O55" s="586"/>
      <c r="P55" s="582"/>
      <c r="Q55" s="583"/>
      <c r="R55" s="586"/>
      <c r="S55" s="582"/>
      <c r="T55" s="583"/>
      <c r="U55" s="4"/>
      <c r="V55" s="14"/>
      <c r="W55" s="14"/>
      <c r="X55" s="13">
        <f>W55-V55</f>
        <v>0</v>
      </c>
      <c r="Y55" s="586"/>
      <c r="Z55" s="582"/>
      <c r="AA55" s="583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2" ht="15.75" customHeight="1">
      <c r="A1" s="608" t="s">
        <v>363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119"/>
    </row>
    <row r="2" spans="1:12" s="120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</row>
    <row r="3" spans="1:12" ht="21.6" customHeight="1">
      <c r="A3" s="139" t="s">
        <v>306</v>
      </c>
      <c r="B3" s="140">
        <v>10</v>
      </c>
      <c r="C3" s="139" t="s">
        <v>20</v>
      </c>
      <c r="D3" s="609" t="s">
        <v>362</v>
      </c>
      <c r="E3" s="609"/>
      <c r="F3" s="130"/>
      <c r="G3" s="131"/>
      <c r="H3" s="130"/>
      <c r="I3" s="130"/>
      <c r="J3" s="130"/>
      <c r="K3" s="130"/>
    </row>
    <row r="4" spans="1:12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2" s="125" customFormat="1" ht="15.75" customHeight="1">
      <c r="A5" s="146" t="s">
        <v>178</v>
      </c>
      <c r="B5" s="141" t="s">
        <v>22</v>
      </c>
      <c r="C5" s="141" t="s">
        <v>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22</v>
      </c>
      <c r="J5" s="141" t="s">
        <v>67</v>
      </c>
      <c r="K5" s="141" t="s">
        <v>3</v>
      </c>
      <c r="L5" s="126" t="s">
        <v>60</v>
      </c>
    </row>
    <row r="6" spans="1:12" s="121" customFormat="1" ht="18" customHeight="1">
      <c r="A6" s="128" t="s">
        <v>24</v>
      </c>
      <c r="B6" s="142">
        <f>'（１）收支狀況'!H10/1000</f>
        <v>214701.764</v>
      </c>
      <c r="C6" s="271">
        <v>224463.48699999999</v>
      </c>
      <c r="D6" s="142">
        <f t="shared" ref="D6:D11" si="0">B6-C6</f>
        <v>-9761.7229999999981</v>
      </c>
      <c r="E6" s="142">
        <f t="shared" ref="E6:E11" si="1">B6</f>
        <v>214701.764</v>
      </c>
      <c r="F6" s="133"/>
      <c r="G6" s="128" t="s">
        <v>179</v>
      </c>
      <c r="H6" s="274">
        <v>266</v>
      </c>
      <c r="I6" s="144">
        <f>'（２）ＫＰＩ達成進度'!H6</f>
        <v>0</v>
      </c>
      <c r="J6" s="286">
        <v>330.21457859125206</v>
      </c>
      <c r="K6" s="144">
        <f t="shared" ref="K6:K11" si="2">I6</f>
        <v>0</v>
      </c>
      <c r="L6" s="122" t="s">
        <v>175</v>
      </c>
    </row>
    <row r="7" spans="1:12" s="121" customFormat="1" ht="18" customHeight="1">
      <c r="A7" s="128" t="s">
        <v>25</v>
      </c>
      <c r="B7" s="142">
        <f>'（１）收支狀況'!K10</f>
        <v>6333091</v>
      </c>
      <c r="C7" s="271">
        <v>6964636</v>
      </c>
      <c r="D7" s="142">
        <f t="shared" si="0"/>
        <v>-631545</v>
      </c>
      <c r="E7" s="142">
        <f t="shared" si="1"/>
        <v>6333091</v>
      </c>
      <c r="F7" s="133"/>
      <c r="G7" s="128" t="s">
        <v>180</v>
      </c>
      <c r="H7" s="252">
        <v>0.8</v>
      </c>
      <c r="I7" s="143">
        <f>'（２）ＫＰＩ達成進度'!K6</f>
        <v>0</v>
      </c>
      <c r="J7" s="272">
        <v>0.90222562456626254</v>
      </c>
      <c r="K7" s="143">
        <f t="shared" si="2"/>
        <v>0</v>
      </c>
      <c r="L7" s="122" t="s">
        <v>4</v>
      </c>
    </row>
    <row r="8" spans="1:12" s="121" customFormat="1" ht="18" customHeight="1">
      <c r="A8" s="128" t="s">
        <v>5</v>
      </c>
      <c r="B8" s="142">
        <f>'（１）收支狀況'!N10/1000</f>
        <v>144713.815</v>
      </c>
      <c r="C8" s="271">
        <v>150244.29199999999</v>
      </c>
      <c r="D8" s="142">
        <f>B8-C8</f>
        <v>-5530.4769999999844</v>
      </c>
      <c r="E8" s="142">
        <f t="shared" si="1"/>
        <v>144713.815</v>
      </c>
      <c r="F8" s="133"/>
      <c r="G8" s="128" t="s">
        <v>181</v>
      </c>
      <c r="H8" s="247">
        <v>2.5000000000000001E-3</v>
      </c>
      <c r="I8" s="247">
        <f>'（２）ＫＰＩ達成進度'!N6</f>
        <v>0</v>
      </c>
      <c r="J8" s="287">
        <v>2.4646256819628254E-3</v>
      </c>
      <c r="K8" s="247">
        <f t="shared" si="2"/>
        <v>0</v>
      </c>
      <c r="L8" s="122" t="s">
        <v>55</v>
      </c>
    </row>
    <row r="9" spans="1:12" s="121" customFormat="1" ht="18" customHeight="1">
      <c r="A9" s="128" t="s">
        <v>6</v>
      </c>
      <c r="B9" s="143">
        <f>'（１）收支狀況'!Q10</f>
        <v>0.67402247798951476</v>
      </c>
      <c r="C9" s="272">
        <v>0.66934847180735457</v>
      </c>
      <c r="D9" s="143">
        <f t="shared" si="0"/>
        <v>4.6740061821601842E-3</v>
      </c>
      <c r="E9" s="143">
        <f t="shared" si="1"/>
        <v>0.67402247798951476</v>
      </c>
      <c r="F9" s="133"/>
      <c r="G9" s="128" t="s">
        <v>182</v>
      </c>
      <c r="H9" s="247">
        <v>2.5999999999999999E-3</v>
      </c>
      <c r="I9" s="247">
        <f>'（２）ＫＰＩ達成進度'!Q6</f>
        <v>0</v>
      </c>
      <c r="J9" s="287">
        <v>2.3405370745029669E-3</v>
      </c>
      <c r="K9" s="247">
        <f t="shared" si="2"/>
        <v>0</v>
      </c>
      <c r="L9" s="122" t="s">
        <v>98</v>
      </c>
    </row>
    <row r="10" spans="1:12" s="121" customFormat="1" ht="18" customHeight="1">
      <c r="A10" s="128" t="s">
        <v>64</v>
      </c>
      <c r="B10" s="142">
        <f>'（１）收支狀況'!T10/1000</f>
        <v>26197.789007606942</v>
      </c>
      <c r="C10" s="271">
        <v>32105.786706827967</v>
      </c>
      <c r="D10" s="142">
        <f t="shared" si="0"/>
        <v>-5907.997699221025</v>
      </c>
      <c r="E10" s="142">
        <f t="shared" si="1"/>
        <v>26197.789007606942</v>
      </c>
      <c r="F10" s="133"/>
      <c r="G10" s="128" t="s">
        <v>183</v>
      </c>
      <c r="H10" s="249">
        <v>0.8</v>
      </c>
      <c r="I10" s="249">
        <f>'（２）ＫＰＩ達成進度'!T6</f>
        <v>0</v>
      </c>
      <c r="J10" s="288">
        <v>0.91666666666666707</v>
      </c>
      <c r="K10" s="249">
        <f t="shared" si="2"/>
        <v>0</v>
      </c>
      <c r="L10" s="122" t="s">
        <v>7</v>
      </c>
    </row>
    <row r="11" spans="1:12" s="121" customFormat="1" ht="18" customHeight="1">
      <c r="A11" s="128" t="s">
        <v>65</v>
      </c>
      <c r="B11" s="143">
        <f>'（１）收支狀況'!W10</f>
        <v>0.12201943998749326</v>
      </c>
      <c r="C11" s="272">
        <v>0.14303344894053066</v>
      </c>
      <c r="D11" s="143">
        <f t="shared" si="0"/>
        <v>-2.10140089530374E-2</v>
      </c>
      <c r="E11" s="143">
        <f t="shared" si="1"/>
        <v>0.12201943998749326</v>
      </c>
      <c r="F11" s="133"/>
      <c r="G11" s="128" t="s">
        <v>184</v>
      </c>
      <c r="H11" s="249">
        <v>1</v>
      </c>
      <c r="I11" s="143">
        <f>'（２）ＫＰＩ達成進度'!W6</f>
        <v>0</v>
      </c>
      <c r="J11" s="272">
        <v>0.84941935483870945</v>
      </c>
      <c r="K11" s="143">
        <f t="shared" si="2"/>
        <v>0</v>
      </c>
      <c r="L11" s="122" t="s">
        <v>62</v>
      </c>
    </row>
    <row r="12" spans="1:12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2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2" s="127" customFormat="1" ht="14.25">
      <c r="A14" s="145"/>
      <c r="B14" s="145" t="s">
        <v>22</v>
      </c>
      <c r="C14" s="145" t="s">
        <v>66</v>
      </c>
      <c r="D14" s="145" t="s">
        <v>67</v>
      </c>
      <c r="E14" s="145" t="s">
        <v>68</v>
      </c>
      <c r="F14" s="136"/>
      <c r="G14" s="145"/>
      <c r="H14" s="145" t="s">
        <v>22</v>
      </c>
      <c r="I14" s="145" t="s">
        <v>66</v>
      </c>
      <c r="J14" s="145" t="s">
        <v>67</v>
      </c>
      <c r="K14" s="145" t="s">
        <v>68</v>
      </c>
    </row>
    <row r="15" spans="1:12" s="121" customFormat="1" ht="18" customHeight="1">
      <c r="A15" s="128" t="s">
        <v>208</v>
      </c>
      <c r="B15" s="142">
        <f>'（３）業績構成比'!M50/1000</f>
        <v>33034.135510363347</v>
      </c>
      <c r="C15" s="143">
        <f>IFERROR(B15/$B$6,"")</f>
        <v>0.15386056870200351</v>
      </c>
      <c r="D15" s="272">
        <v>0.19061185820038584</v>
      </c>
      <c r="E15" s="143">
        <f>IFERROR(C15-D15,"")</f>
        <v>-3.6751289498382328E-2</v>
      </c>
      <c r="F15" s="133"/>
      <c r="G15" s="128" t="s">
        <v>213</v>
      </c>
      <c r="H15" s="142">
        <f>'（４）訂單數量構成比'!M50</f>
        <v>1812324</v>
      </c>
      <c r="I15" s="143">
        <f t="shared" ref="I15:I23" si="3">IFERROR(H15/$B$7,"")</f>
        <v>0.28616737071992177</v>
      </c>
      <c r="J15" s="272">
        <v>0.33067557299476957</v>
      </c>
      <c r="K15" s="143">
        <f t="shared" ref="K15:K23" si="4">IFERROR(I15-J15,"")</f>
        <v>-4.4508202274847808E-2</v>
      </c>
    </row>
    <row r="16" spans="1:12" s="121" customFormat="1" ht="18" customHeight="1">
      <c r="A16" s="128" t="s">
        <v>203</v>
      </c>
      <c r="B16" s="142">
        <f>'（３）業績構成比'!S50/1000</f>
        <v>4633.0215050365214</v>
      </c>
      <c r="C16" s="143">
        <f t="shared" ref="C16:C23" si="5">IFERROR(B16/$B$6,"")</f>
        <v>2.157887023711888E-2</v>
      </c>
      <c r="D16" s="272">
        <v>4.2789233591899609E-2</v>
      </c>
      <c r="E16" s="143">
        <f t="shared" ref="E16:E23" si="6">IFERROR(C16-D16,"")</f>
        <v>-2.1210363354780729E-2</v>
      </c>
      <c r="F16" s="133"/>
      <c r="G16" s="128" t="s">
        <v>232</v>
      </c>
      <c r="H16" s="142">
        <f>'（４）訂單數量構成比'!S51</f>
        <v>166042</v>
      </c>
      <c r="I16" s="143">
        <f t="shared" si="3"/>
        <v>2.6218161084374123E-2</v>
      </c>
      <c r="J16" s="272">
        <v>6.1681041191528174E-2</v>
      </c>
      <c r="K16" s="143">
        <f t="shared" si="4"/>
        <v>-3.5462880107154052E-2</v>
      </c>
    </row>
    <row r="17" spans="1:18" s="121" customFormat="1" ht="18" customHeight="1">
      <c r="A17" s="128" t="s">
        <v>199</v>
      </c>
      <c r="B17" s="142">
        <f>'（３）業績構成比'!U50/1000</f>
        <v>26881.770736046456</v>
      </c>
      <c r="C17" s="143">
        <f t="shared" si="5"/>
        <v>0.12520516941838661</v>
      </c>
      <c r="D17" s="272">
        <v>8.6938303169141445E-2</v>
      </c>
      <c r="E17" s="143">
        <f t="shared" si="6"/>
        <v>3.8266866249245163E-2</v>
      </c>
      <c r="F17" s="133"/>
      <c r="G17" s="128" t="s">
        <v>214</v>
      </c>
      <c r="H17" s="142">
        <f>'（４）訂單數量構成比'!U50</f>
        <v>815659</v>
      </c>
      <c r="I17" s="143">
        <f t="shared" si="3"/>
        <v>0.12879319119210508</v>
      </c>
      <c r="J17" s="272">
        <v>8.2530228428305513E-2</v>
      </c>
      <c r="K17" s="143">
        <f t="shared" si="4"/>
        <v>4.626296276379957E-2</v>
      </c>
    </row>
    <row r="18" spans="1:18" s="121" customFormat="1" ht="18" customHeight="1">
      <c r="A18" s="128" t="s">
        <v>201</v>
      </c>
      <c r="B18" s="142">
        <f>'（３）業績構成比'!W50/1000</f>
        <v>1770.6453759915594</v>
      </c>
      <c r="C18" s="143">
        <f t="shared" si="5"/>
        <v>8.2469996659718155E-3</v>
      </c>
      <c r="D18" s="272">
        <v>1.4659145993880142E-2</v>
      </c>
      <c r="E18" s="143">
        <f t="shared" si="6"/>
        <v>-6.412146327908326E-3</v>
      </c>
      <c r="F18" s="133"/>
      <c r="G18" s="128" t="s">
        <v>200</v>
      </c>
      <c r="H18" s="142">
        <f>'（４）訂單數量構成比'!W50</f>
        <v>58321</v>
      </c>
      <c r="I18" s="143">
        <f t="shared" si="3"/>
        <v>9.2089313101611833E-3</v>
      </c>
      <c r="J18" s="272">
        <v>1.6773740939224964E-2</v>
      </c>
      <c r="K18" s="143">
        <f t="shared" si="4"/>
        <v>-7.5648096290637807E-3</v>
      </c>
    </row>
    <row r="19" spans="1:18" s="121" customFormat="1" ht="18" customHeight="1">
      <c r="A19" s="128" t="s">
        <v>205</v>
      </c>
      <c r="B19" s="142">
        <f>'（３）業績構成比'!AC50/1000</f>
        <v>49774.963542214566</v>
      </c>
      <c r="C19" s="143">
        <f t="shared" si="5"/>
        <v>0.23183304419527065</v>
      </c>
      <c r="D19" s="272">
        <v>0.24409177848792188</v>
      </c>
      <c r="E19" s="143">
        <f t="shared" si="6"/>
        <v>-1.225873429265123E-2</v>
      </c>
      <c r="F19" s="133"/>
      <c r="G19" s="128" t="s">
        <v>204</v>
      </c>
      <c r="H19" s="142">
        <f>'（４）訂單數量構成比'!AC50</f>
        <v>1308751</v>
      </c>
      <c r="I19" s="143">
        <f t="shared" si="3"/>
        <v>0.20665280192563157</v>
      </c>
      <c r="J19" s="272">
        <v>0.19673059726308739</v>
      </c>
      <c r="K19" s="143">
        <f t="shared" si="4"/>
        <v>9.9222046625441762E-3</v>
      </c>
    </row>
    <row r="20" spans="1:18" s="121" customFormat="1" ht="18" customHeight="1">
      <c r="A20" s="128" t="s">
        <v>207</v>
      </c>
      <c r="B20" s="142">
        <f>'（３）業績構成比'!AE50/1000</f>
        <v>36564.201065194728</v>
      </c>
      <c r="C20" s="143">
        <f t="shared" si="5"/>
        <v>0.17030228529093375</v>
      </c>
      <c r="D20" s="272">
        <v>0.1397972381723295</v>
      </c>
      <c r="E20" s="143">
        <f t="shared" si="6"/>
        <v>3.0505047118604245E-2</v>
      </c>
      <c r="F20" s="133"/>
      <c r="G20" s="128" t="s">
        <v>206</v>
      </c>
      <c r="H20" s="142">
        <f>'（４）訂單數量構成比'!AE50</f>
        <v>620839</v>
      </c>
      <c r="I20" s="143">
        <f t="shared" si="3"/>
        <v>9.8030961500474259E-2</v>
      </c>
      <c r="J20" s="272">
        <v>7.9797709456746913E-2</v>
      </c>
      <c r="K20" s="143">
        <f t="shared" si="4"/>
        <v>1.8233252043727347E-2</v>
      </c>
    </row>
    <row r="21" spans="1:18" s="121" customFormat="1" ht="18" customHeight="1">
      <c r="A21" s="128" t="s">
        <v>209</v>
      </c>
      <c r="B21" s="142">
        <f>'（３）業績構成比'!AG50/1000</f>
        <v>19841.601201309753</v>
      </c>
      <c r="C21" s="143">
        <f>IFERROR(B21/$B$6,"")</f>
        <v>9.2414709742718995E-2</v>
      </c>
      <c r="D21" s="272">
        <v>0.13619626613806221</v>
      </c>
      <c r="E21" s="143">
        <f>IFERROR(C21-D21,"")</f>
        <v>-4.3781556395343216E-2</v>
      </c>
      <c r="F21" s="133"/>
      <c r="G21" s="128" t="s">
        <v>215</v>
      </c>
      <c r="H21" s="142">
        <f>'（４）訂單數量構成比'!AG50</f>
        <v>406577</v>
      </c>
      <c r="I21" s="143">
        <f>IFERROR(H21/$B$7,"")</f>
        <v>6.4198824870825316E-2</v>
      </c>
      <c r="J21" s="272">
        <v>9.0009011239065476E-2</v>
      </c>
      <c r="K21" s="143">
        <f>IFERROR(I21-J21,"")</f>
        <v>-2.5810186368240159E-2</v>
      </c>
    </row>
    <row r="22" spans="1:18" s="121" customFormat="1" ht="18" customHeight="1">
      <c r="A22" s="128" t="s">
        <v>210</v>
      </c>
      <c r="B22" s="142">
        <f>'（３）業績構成比'!AI50/1000</f>
        <v>28515.143671668146</v>
      </c>
      <c r="C22" s="143">
        <f t="shared" si="5"/>
        <v>0.13281280572835977</v>
      </c>
      <c r="D22" s="272">
        <v>6.8175373790099608E-2</v>
      </c>
      <c r="E22" s="143">
        <f t="shared" si="6"/>
        <v>6.4637431938260159E-2</v>
      </c>
      <c r="F22" s="133"/>
      <c r="G22" s="128" t="s">
        <v>216</v>
      </c>
      <c r="H22" s="142">
        <f>'（４）訂單數量構成比'!AI50</f>
        <v>762399</v>
      </c>
      <c r="I22" s="143">
        <f t="shared" si="3"/>
        <v>0.12038339572256265</v>
      </c>
      <c r="J22" s="272">
        <v>5.972113976954431E-2</v>
      </c>
      <c r="K22" s="143">
        <f t="shared" si="4"/>
        <v>6.0662255953018343E-2</v>
      </c>
    </row>
    <row r="23" spans="1:18" s="121" customFormat="1" ht="18" customHeight="1">
      <c r="A23" s="128" t="s">
        <v>212</v>
      </c>
      <c r="B23" s="142">
        <f>'（３）業績構成比'!AK50/1000</f>
        <v>18912.292194615842</v>
      </c>
      <c r="C23" s="143">
        <f t="shared" si="5"/>
        <v>8.8086338194295608E-2</v>
      </c>
      <c r="D23" s="272">
        <v>7.674080245627983E-2</v>
      </c>
      <c r="E23" s="143">
        <f t="shared" si="6"/>
        <v>1.1345535738015777E-2</v>
      </c>
      <c r="F23" s="133"/>
      <c r="G23" s="128" t="s">
        <v>211</v>
      </c>
      <c r="H23" s="142">
        <f>'（４）訂單數量構成比'!AK50</f>
        <v>638963</v>
      </c>
      <c r="I23" s="143">
        <f t="shared" si="3"/>
        <v>0.10089275521226523</v>
      </c>
      <c r="J23" s="272">
        <v>8.2080958717727678E-2</v>
      </c>
      <c r="K23" s="143">
        <f t="shared" si="4"/>
        <v>1.8811796494537555E-2</v>
      </c>
    </row>
    <row r="24" spans="1:18" s="121" customFormat="1" ht="15.75" customHeight="1">
      <c r="A24" s="133"/>
      <c r="B24" s="133"/>
      <c r="C24" s="137">
        <f>SUM(C15:C23)</f>
        <v>1.0243407911750595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1.0405463935383212</v>
      </c>
      <c r="J24" s="137">
        <f>SUM(J15:J23)</f>
        <v>1</v>
      </c>
      <c r="K24" s="133"/>
    </row>
    <row r="25" spans="1:18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8" s="121" customFormat="1" ht="15.75" customHeight="1">
      <c r="A26" s="132" t="s">
        <v>177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s="121" customFormat="1" ht="15.75" customHeight="1">
      <c r="A27" s="128" t="s">
        <v>167</v>
      </c>
      <c r="B27" s="128" t="s">
        <v>22</v>
      </c>
      <c r="C27" s="128" t="s">
        <v>1</v>
      </c>
      <c r="D27" s="128" t="s">
        <v>2</v>
      </c>
      <c r="E27" s="128" t="s">
        <v>3</v>
      </c>
      <c r="F27" s="133"/>
      <c r="G27" s="133"/>
      <c r="H27" s="133"/>
      <c r="I27" s="133"/>
      <c r="M27" s="135" t="s">
        <v>423</v>
      </c>
      <c r="N27" s="135" t="s">
        <v>424</v>
      </c>
      <c r="O27" s="135" t="s">
        <v>425</v>
      </c>
      <c r="P27" s="135" t="s">
        <v>426</v>
      </c>
      <c r="Q27" s="135" t="s">
        <v>427</v>
      </c>
      <c r="R27" s="133"/>
    </row>
    <row r="28" spans="1:18" s="121" customFormat="1" ht="18" customHeight="1">
      <c r="A28" s="128" t="s">
        <v>213</v>
      </c>
      <c r="B28" s="273">
        <f>'（５-1）品群別人時生產性（18℃-飯糰）'!$C$1</f>
        <v>813.32532324897454</v>
      </c>
      <c r="C28" s="302">
        <v>756.20246993670457</v>
      </c>
      <c r="D28" s="243">
        <f t="shared" ref="D28:D36" si="7">B28-C28</f>
        <v>57.122853312269967</v>
      </c>
      <c r="E28" s="273">
        <f>R28</f>
        <v>765.4264290884671</v>
      </c>
      <c r="F28" s="133"/>
      <c r="G28" s="147"/>
      <c r="H28" s="147"/>
      <c r="I28" s="147"/>
      <c r="M28" s="273">
        <v>717.52753492795955</v>
      </c>
      <c r="N28" s="273">
        <f>B28</f>
        <v>813.32532324897454</v>
      </c>
      <c r="O28" s="273"/>
      <c r="P28" s="273"/>
      <c r="Q28" s="273"/>
      <c r="R28" s="289">
        <f>AVERAGE(M28:Q28)</f>
        <v>765.4264290884671</v>
      </c>
    </row>
    <row r="29" spans="1:18" s="121" customFormat="1" ht="18" customHeight="1">
      <c r="A29" s="128" t="s">
        <v>202</v>
      </c>
      <c r="B29" s="273">
        <f>'（５-2）品群別人時生產性（18-壽司手卷)'!$C$1</f>
        <v>138.69721162321838</v>
      </c>
      <c r="C29" s="302">
        <v>198.82982221081653</v>
      </c>
      <c r="D29" s="243">
        <f t="shared" si="7"/>
        <v>-60.132610587598151</v>
      </c>
      <c r="E29" s="273">
        <f t="shared" ref="E29:E36" si="8">R29</f>
        <v>168.16496425476322</v>
      </c>
      <c r="F29" s="133"/>
      <c r="G29" s="148"/>
      <c r="H29" s="148"/>
      <c r="I29" s="148"/>
      <c r="M29" s="273">
        <v>197.63271688630809</v>
      </c>
      <c r="N29" s="273">
        <f t="shared" ref="N29:N36" si="9">B29</f>
        <v>138.69721162321838</v>
      </c>
      <c r="O29" s="273"/>
      <c r="P29" s="273"/>
      <c r="Q29" s="273"/>
      <c r="R29" s="289">
        <f t="shared" ref="R29:R36" si="10">AVERAGE(M29:Q29)</f>
        <v>168.16496425476322</v>
      </c>
    </row>
    <row r="30" spans="1:18" s="121" customFormat="1" ht="18" customHeight="1">
      <c r="A30" s="128" t="s">
        <v>214</v>
      </c>
      <c r="B30" s="273">
        <f>'（５-3）品群別人時生產性（4℃-飯糰)'!$C$1</f>
        <v>235.93955824211776</v>
      </c>
      <c r="C30" s="302">
        <v>253.36933201602551</v>
      </c>
      <c r="D30" s="243">
        <f t="shared" si="7"/>
        <v>-17.429773773907755</v>
      </c>
      <c r="E30" s="273">
        <f t="shared" si="8"/>
        <v>238.1990648102105</v>
      </c>
      <c r="F30" s="133"/>
      <c r="G30" s="133"/>
      <c r="H30" s="133"/>
      <c r="I30" s="133"/>
      <c r="M30" s="273">
        <v>240.45857137830325</v>
      </c>
      <c r="N30" s="273">
        <f t="shared" si="9"/>
        <v>235.93955824211776</v>
      </c>
      <c r="O30" s="273"/>
      <c r="P30" s="273"/>
      <c r="Q30" s="273"/>
      <c r="R30" s="289">
        <f t="shared" si="10"/>
        <v>238.1990648102105</v>
      </c>
    </row>
    <row r="31" spans="1:18" s="121" customFormat="1" ht="18" customHeight="1">
      <c r="A31" s="128" t="s">
        <v>200</v>
      </c>
      <c r="B31" s="273">
        <f>'（５-4）品群別人時生產性（4℃-壽司手卷)'!$C$1</f>
        <v>148.95719150355137</v>
      </c>
      <c r="C31" s="302">
        <v>112.99131142028241</v>
      </c>
      <c r="D31" s="243">
        <f t="shared" si="7"/>
        <v>35.965880083268956</v>
      </c>
      <c r="E31" s="273">
        <f t="shared" si="8"/>
        <v>127.91115720584449</v>
      </c>
      <c r="F31" s="133"/>
      <c r="G31" s="133"/>
      <c r="H31" s="133"/>
      <c r="I31" s="133"/>
      <c r="M31" s="273">
        <v>106.86512290813759</v>
      </c>
      <c r="N31" s="273">
        <f t="shared" si="9"/>
        <v>148.95719150355137</v>
      </c>
      <c r="O31" s="273"/>
      <c r="P31" s="273"/>
      <c r="Q31" s="273"/>
      <c r="R31" s="289">
        <f t="shared" si="10"/>
        <v>127.91115720584449</v>
      </c>
    </row>
    <row r="32" spans="1:18" s="121" customFormat="1" ht="18" customHeight="1">
      <c r="A32" s="128" t="s">
        <v>204</v>
      </c>
      <c r="B32" s="273">
        <f>'（５-5）品群別人時生產性(主食) '!$C$1</f>
        <v>90.057655678840774</v>
      </c>
      <c r="C32" s="302">
        <v>85.495684450909806</v>
      </c>
      <c r="D32" s="243">
        <f t="shared" si="7"/>
        <v>4.5619712279309681</v>
      </c>
      <c r="E32" s="273">
        <f t="shared" si="8"/>
        <v>89.684042041787023</v>
      </c>
      <c r="F32" s="133"/>
      <c r="G32" s="133"/>
      <c r="H32" s="133"/>
      <c r="I32" s="133"/>
      <c r="M32" s="273">
        <v>89.310428404733287</v>
      </c>
      <c r="N32" s="273">
        <f t="shared" si="9"/>
        <v>90.057655678840774</v>
      </c>
      <c r="O32" s="273"/>
      <c r="P32" s="273"/>
      <c r="Q32" s="273"/>
      <c r="R32" s="289">
        <f t="shared" si="10"/>
        <v>89.684042041787023</v>
      </c>
    </row>
    <row r="33" spans="1:18" s="121" customFormat="1" ht="18" customHeight="1">
      <c r="A33" s="128" t="s">
        <v>206</v>
      </c>
      <c r="B33" s="273">
        <f>'（５-6）品群別人時生產性(便當)'!$C$1</f>
        <v>72.054614646461346</v>
      </c>
      <c r="C33" s="302">
        <v>66.943613625537381</v>
      </c>
      <c r="D33" s="243">
        <f t="shared" si="7"/>
        <v>5.1110010209239647</v>
      </c>
      <c r="E33" s="273">
        <f t="shared" si="8"/>
        <v>68.863678552870553</v>
      </c>
      <c r="F33" s="133"/>
      <c r="G33" s="133"/>
      <c r="H33" s="133"/>
      <c r="I33" s="133"/>
      <c r="M33" s="273">
        <v>65.67274245927976</v>
      </c>
      <c r="N33" s="273">
        <f t="shared" si="9"/>
        <v>72.054614646461346</v>
      </c>
      <c r="O33" s="273"/>
      <c r="P33" s="273"/>
      <c r="Q33" s="273"/>
      <c r="R33" s="289">
        <f t="shared" si="10"/>
        <v>68.863678552870553</v>
      </c>
    </row>
    <row r="34" spans="1:18" s="121" customFormat="1" ht="18" customHeight="1">
      <c r="A34" s="128" t="s">
        <v>215</v>
      </c>
      <c r="B34" s="273">
        <f>'（５-7）品群別人時生產性(熱食義麵) '!$C$1</f>
        <v>79.434871024498577</v>
      </c>
      <c r="C34" s="302">
        <v>80.555861357885718</v>
      </c>
      <c r="D34" s="243">
        <f t="shared" si="7"/>
        <v>-1.1209903333871409</v>
      </c>
      <c r="E34" s="273">
        <f t="shared" si="8"/>
        <v>77.456720023225671</v>
      </c>
      <c r="F34" s="133"/>
      <c r="G34" s="133"/>
      <c r="H34" s="133"/>
      <c r="I34" s="133"/>
      <c r="M34" s="273">
        <v>75.478569021952779</v>
      </c>
      <c r="N34" s="273">
        <f t="shared" si="9"/>
        <v>79.434871024498577</v>
      </c>
      <c r="O34" s="273"/>
      <c r="P34" s="273"/>
      <c r="Q34" s="273"/>
      <c r="R34" s="289">
        <f t="shared" si="10"/>
        <v>77.456720023225671</v>
      </c>
    </row>
    <row r="35" spans="1:18" s="121" customFormat="1" ht="18" customHeight="1">
      <c r="A35" s="128" t="s">
        <v>216</v>
      </c>
      <c r="B35" s="273">
        <f>'（５-8）品群別人時生產性(季節調理麵) '!$C$1</f>
        <v>125.01769768827204</v>
      </c>
      <c r="C35" s="302">
        <v>121.13262609451999</v>
      </c>
      <c r="D35" s="243">
        <f t="shared" si="7"/>
        <v>3.8850715937520448</v>
      </c>
      <c r="E35" s="273">
        <f t="shared" si="8"/>
        <v>119.76163485743753</v>
      </c>
      <c r="F35" s="133"/>
      <c r="G35" s="133"/>
      <c r="H35" s="133"/>
      <c r="I35" s="133"/>
      <c r="M35" s="273">
        <v>114.50557202660302</v>
      </c>
      <c r="N35" s="273">
        <f t="shared" si="9"/>
        <v>125.01769768827204</v>
      </c>
      <c r="O35" s="273"/>
      <c r="P35" s="273"/>
      <c r="Q35" s="273"/>
      <c r="R35" s="289">
        <f t="shared" si="10"/>
        <v>119.76163485743753</v>
      </c>
    </row>
    <row r="36" spans="1:18" s="121" customFormat="1" ht="18" customHeight="1">
      <c r="A36" s="124" t="s">
        <v>211</v>
      </c>
      <c r="B36" s="273">
        <f>'（５-9）品群別人時生產性(微波小吃)'!$C$1</f>
        <v>159.65105865772426</v>
      </c>
      <c r="C36" s="302">
        <v>115.3662253913358</v>
      </c>
      <c r="D36" s="243">
        <f t="shared" si="7"/>
        <v>44.284833266388461</v>
      </c>
      <c r="E36" s="273">
        <f t="shared" si="8"/>
        <v>129.64970034979501</v>
      </c>
      <c r="F36" s="133"/>
      <c r="G36" s="133"/>
      <c r="H36" s="133"/>
      <c r="I36" s="133"/>
      <c r="M36" s="273">
        <v>99.648342041865732</v>
      </c>
      <c r="N36" s="273">
        <f t="shared" si="9"/>
        <v>159.65105865772426</v>
      </c>
      <c r="O36" s="273"/>
      <c r="P36" s="273"/>
      <c r="Q36" s="273"/>
      <c r="R36" s="289">
        <f t="shared" si="10"/>
        <v>129.64970034979501</v>
      </c>
    </row>
    <row r="37" spans="1:18" s="121" customFormat="1" ht="15.75" customHeight="1"/>
    <row r="38" spans="1:18" s="121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I32" sqref="I32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8" ht="15.75" customHeight="1">
      <c r="A1" s="608" t="s">
        <v>363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119"/>
    </row>
    <row r="2" spans="1:18" s="120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</row>
    <row r="3" spans="1:18" ht="21.6" customHeight="1">
      <c r="A3" s="139" t="s">
        <v>306</v>
      </c>
      <c r="B3" s="214">
        <v>8</v>
      </c>
      <c r="C3" s="216" t="s">
        <v>307</v>
      </c>
      <c r="D3" s="214" t="s">
        <v>752</v>
      </c>
      <c r="E3" s="139" t="s">
        <v>20</v>
      </c>
      <c r="F3" s="609" t="s">
        <v>362</v>
      </c>
      <c r="G3" s="609"/>
      <c r="H3" s="130"/>
      <c r="I3" s="131"/>
      <c r="J3" s="130"/>
      <c r="K3" s="130"/>
      <c r="L3" s="130"/>
      <c r="M3" s="130"/>
      <c r="N3" s="120"/>
    </row>
    <row r="4" spans="1:18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8" s="125" customFormat="1" ht="15.75" customHeight="1">
      <c r="A5" s="146" t="s">
        <v>178</v>
      </c>
      <c r="B5" s="146" t="s">
        <v>309</v>
      </c>
      <c r="C5" s="146" t="s">
        <v>311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308</v>
      </c>
      <c r="J5" s="141" t="s">
        <v>310</v>
      </c>
      <c r="K5" s="141" t="s">
        <v>3</v>
      </c>
      <c r="L5" s="126" t="s">
        <v>60</v>
      </c>
    </row>
    <row r="6" spans="1:18" s="121" customFormat="1" ht="18" customHeight="1">
      <c r="A6" s="128" t="s">
        <v>24</v>
      </c>
      <c r="B6" s="223">
        <f>'（１）收支狀況'!G26/1000</f>
        <v>56328.159</v>
      </c>
      <c r="C6" s="253">
        <v>54050.197</v>
      </c>
      <c r="D6" s="142">
        <f t="shared" ref="D6:D11" si="0">B6-C6</f>
        <v>2277.9619999999995</v>
      </c>
      <c r="E6" s="235">
        <f>'（１）收支狀況'!H10/1000</f>
        <v>214701.764</v>
      </c>
      <c r="F6" s="133"/>
      <c r="G6" s="128" t="s">
        <v>179</v>
      </c>
      <c r="H6" s="274">
        <v>366</v>
      </c>
      <c r="I6" s="237">
        <f>'（２）ＫＰＩ達成進度'!G26</f>
        <v>334.75260573491187</v>
      </c>
      <c r="J6" s="258">
        <v>338.58019892259688</v>
      </c>
      <c r="K6" s="259">
        <f>'（２）ＫＰＩ達成進度'!H10</f>
        <v>336.70238328894715</v>
      </c>
      <c r="L6" s="122" t="s">
        <v>175</v>
      </c>
    </row>
    <row r="7" spans="1:18" s="121" customFormat="1" ht="18" customHeight="1">
      <c r="A7" s="128" t="s">
        <v>25</v>
      </c>
      <c r="B7" s="223">
        <f>'（１）收支狀況'!J26</f>
        <v>1650500</v>
      </c>
      <c r="C7" s="253">
        <v>1606324</v>
      </c>
      <c r="D7" s="142">
        <f t="shared" si="0"/>
        <v>44176</v>
      </c>
      <c r="E7" s="235">
        <f>'（１）收支狀況'!K10</f>
        <v>6333091</v>
      </c>
      <c r="F7" s="133"/>
      <c r="G7" s="128" t="s">
        <v>180</v>
      </c>
      <c r="H7" s="252">
        <v>0.8</v>
      </c>
      <c r="I7" s="251">
        <f>'（２）ＫＰＩ達成進度'!J26</f>
        <v>0.91462460583309257</v>
      </c>
      <c r="J7" s="256">
        <v>0.92508251071747782</v>
      </c>
      <c r="K7" s="252">
        <f>'（２）ＫＰＩ達成進度'!K10</f>
        <v>0.80124840021166688</v>
      </c>
      <c r="L7" s="122" t="s">
        <v>4</v>
      </c>
    </row>
    <row r="8" spans="1:18" s="121" customFormat="1" ht="18" customHeight="1">
      <c r="A8" s="128" t="s">
        <v>5</v>
      </c>
      <c r="B8" s="223">
        <f>'（１）收支狀況'!M26/1000</f>
        <v>38281.107000000004</v>
      </c>
      <c r="C8" s="253">
        <v>36304.586000000003</v>
      </c>
      <c r="D8" s="142">
        <f>B8-C8</f>
        <v>1976.5210000000006</v>
      </c>
      <c r="E8" s="235">
        <f>'（１）收支狀況'!N10/1000</f>
        <v>144713.815</v>
      </c>
      <c r="F8" s="133"/>
      <c r="G8" s="128" t="s">
        <v>181</v>
      </c>
      <c r="H8" s="247">
        <v>2.5000000000000001E-3</v>
      </c>
      <c r="I8" s="236">
        <f>'（２）ＫＰＩ達成進度'!M26</f>
        <v>2.4125367863284926E-3</v>
      </c>
      <c r="J8" s="255">
        <v>2.4141756216058312E-3</v>
      </c>
      <c r="K8" s="247">
        <f>'（２）ＫＰＩ達成進度'!N10</f>
        <v>2.4155473737288041E-3</v>
      </c>
      <c r="L8" s="122" t="s">
        <v>55</v>
      </c>
    </row>
    <row r="9" spans="1:18" s="121" customFormat="1" ht="18" customHeight="1">
      <c r="A9" s="128" t="s">
        <v>6</v>
      </c>
      <c r="B9" s="224">
        <f>'（１）收支狀況'!P26</f>
        <v>0.67960870157322206</v>
      </c>
      <c r="C9" s="254">
        <v>0.67168276925984194</v>
      </c>
      <c r="D9" s="143">
        <f t="shared" si="0"/>
        <v>7.9259323133801241E-3</v>
      </c>
      <c r="E9" s="143">
        <f>'（１）收支狀況'!Q10</f>
        <v>0.67402247798951476</v>
      </c>
      <c r="F9" s="133"/>
      <c r="G9" s="128" t="s">
        <v>182</v>
      </c>
      <c r="H9" s="247">
        <v>2.5999999999999999E-3</v>
      </c>
      <c r="I9" s="236">
        <f>'（２）ＫＰＩ達成進度'!P26</f>
        <v>4.0034775594795817E-3</v>
      </c>
      <c r="J9" s="255">
        <v>4.0628327196311704E-3</v>
      </c>
      <c r="K9" s="247">
        <f>'（２）ＫＰＩ達成進度'!Q10</f>
        <v>4.0218581040081958E-3</v>
      </c>
      <c r="L9" s="122" t="s">
        <v>98</v>
      </c>
    </row>
    <row r="10" spans="1:18" s="121" customFormat="1" ht="18" customHeight="1">
      <c r="A10" s="128" t="s">
        <v>64</v>
      </c>
      <c r="B10" s="223">
        <f>'（１）收支狀況'!S26/1000</f>
        <v>6936.2628213190719</v>
      </c>
      <c r="C10" s="253">
        <f>6695281.28508643/1000</f>
        <v>6695.2812850864293</v>
      </c>
      <c r="D10" s="142">
        <f t="shared" si="0"/>
        <v>240.98153623264261</v>
      </c>
      <c r="E10" s="235">
        <f>'（１）收支狀況'!T10/1000</f>
        <v>26197.789007606942</v>
      </c>
      <c r="F10" s="133"/>
      <c r="G10" s="128" t="s">
        <v>183</v>
      </c>
      <c r="H10" s="249">
        <v>0.8</v>
      </c>
      <c r="I10" s="248">
        <v>0.91400000000000003</v>
      </c>
      <c r="J10" s="256">
        <v>0.91400000000000003</v>
      </c>
      <c r="K10" s="249">
        <v>0.91700000000000004</v>
      </c>
      <c r="L10" s="122" t="s">
        <v>7</v>
      </c>
    </row>
    <row r="11" spans="1:18" s="121" customFormat="1" ht="18" customHeight="1">
      <c r="A11" s="128" t="s">
        <v>65</v>
      </c>
      <c r="B11" s="224">
        <f>'（１）收支狀況'!V26</f>
        <v>0.12314023650797945</v>
      </c>
      <c r="C11" s="254">
        <v>0.12387154268996342</v>
      </c>
      <c r="D11" s="143">
        <f t="shared" si="0"/>
        <v>-7.3130618198397057E-4</v>
      </c>
      <c r="E11" s="143">
        <f>'（１）收支狀況'!W10</f>
        <v>0.12201943998749326</v>
      </c>
      <c r="F11" s="133"/>
      <c r="G11" s="128" t="s">
        <v>184</v>
      </c>
      <c r="H11" s="249">
        <v>1</v>
      </c>
      <c r="I11" s="248">
        <f>'（２）ＫＰＩ達成進度'!V26</f>
        <v>0.67657142857142871</v>
      </c>
      <c r="J11" s="256">
        <v>0.65971428571428581</v>
      </c>
      <c r="K11" s="249">
        <f>'（２）ＫＰＩ達成進度'!W10</f>
        <v>0.65503703703703708</v>
      </c>
      <c r="L11" s="122" t="s">
        <v>62</v>
      </c>
    </row>
    <row r="12" spans="1:18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8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8" s="127" customFormat="1" ht="14.25">
      <c r="A14" s="145"/>
      <c r="B14" s="217" t="s">
        <v>309</v>
      </c>
      <c r="C14" s="145" t="s">
        <v>66</v>
      </c>
      <c r="D14" s="217" t="s">
        <v>312</v>
      </c>
      <c r="E14" s="145" t="s">
        <v>68</v>
      </c>
      <c r="F14" s="136"/>
      <c r="G14" s="145"/>
      <c r="H14" s="217" t="s">
        <v>309</v>
      </c>
      <c r="I14" s="145" t="s">
        <v>66</v>
      </c>
      <c r="J14" s="217" t="s">
        <v>312</v>
      </c>
      <c r="K14" s="145" t="s">
        <v>68</v>
      </c>
      <c r="M14" s="121"/>
      <c r="N14" s="121"/>
      <c r="O14" s="121"/>
      <c r="P14" s="121"/>
      <c r="Q14" s="121"/>
      <c r="R14" s="121"/>
    </row>
    <row r="15" spans="1:18" s="121" customFormat="1" ht="18" customHeight="1">
      <c r="A15" s="128" t="s">
        <v>316</v>
      </c>
      <c r="B15" s="238">
        <f>SUM('（３）業績構成比'!I28:I49,'（３）業績構成比'!K28:K49)/1000</f>
        <v>8392.2535405237395</v>
      </c>
      <c r="C15" s="143">
        <f>IFERROR(B15/$B$6,"")</f>
        <v>0.14898859983199059</v>
      </c>
      <c r="D15" s="254">
        <v>0.15930807996795082</v>
      </c>
      <c r="E15" s="143">
        <f>IFERROR(C15-D15,"")</f>
        <v>-1.0319480135960235E-2</v>
      </c>
      <c r="F15" s="133"/>
      <c r="G15" s="128" t="s">
        <v>316</v>
      </c>
      <c r="H15" s="238">
        <f>SUM(,'（４）訂單數量構成比'!I28:I49,'（４）訂單數量構成比'!K28:K49)</f>
        <v>448756</v>
      </c>
      <c r="I15" s="143">
        <f t="shared" ref="I15:I23" si="1">IFERROR(H15/$B$7,"")</f>
        <v>0.27189094213874582</v>
      </c>
      <c r="J15" s="254">
        <v>0.28368747525405835</v>
      </c>
      <c r="K15" s="143">
        <f t="shared" ref="K15:K23" si="2">IFERROR(I15-J15,"")</f>
        <v>-1.1796533115312535E-2</v>
      </c>
    </row>
    <row r="16" spans="1:18" s="121" customFormat="1" ht="18" customHeight="1">
      <c r="A16" s="128" t="s">
        <v>203</v>
      </c>
      <c r="B16" s="238">
        <f>SUM('（３）業績構成比'!O28:O49,'（３）業績構成比'!Q28:Q49)/1000</f>
        <v>1090.9706323316182</v>
      </c>
      <c r="C16" s="143">
        <f t="shared" ref="C16:C23" si="3">IFERROR(B16/$B$6,"")</f>
        <v>1.9368121587847707E-2</v>
      </c>
      <c r="D16" s="254">
        <v>2.0629864767029854E-2</v>
      </c>
      <c r="E16" s="143">
        <f t="shared" ref="E16:E23" si="4">IFERROR(C16-D16,"")</f>
        <v>-1.2617431791821475E-3</v>
      </c>
      <c r="F16" s="133"/>
      <c r="G16" s="128" t="s">
        <v>232</v>
      </c>
      <c r="H16" s="238">
        <f>SUM('（４）訂單數量構成比'!O28:O49,'（４）訂單數量構成比'!Q28:Q49)</f>
        <v>37396</v>
      </c>
      <c r="I16" s="143">
        <f t="shared" si="1"/>
        <v>2.2657376552559831E-2</v>
      </c>
      <c r="J16" s="254">
        <v>2.3811510006698525E-2</v>
      </c>
      <c r="K16" s="143">
        <f t="shared" si="2"/>
        <v>-1.1541334541386936E-3</v>
      </c>
    </row>
    <row r="17" spans="1:11" s="121" customFormat="1" ht="18" customHeight="1">
      <c r="A17" s="128" t="s">
        <v>199</v>
      </c>
      <c r="B17" s="238">
        <f>SUM('（３）業績構成比'!U28:U49)/1000</f>
        <v>7473.5354035640066</v>
      </c>
      <c r="C17" s="143">
        <f t="shared" si="3"/>
        <v>0.13267849573361712</v>
      </c>
      <c r="D17" s="254">
        <v>0.11628065677714156</v>
      </c>
      <c r="E17" s="143">
        <f t="shared" si="4"/>
        <v>1.6397838956475563E-2</v>
      </c>
      <c r="F17" s="133"/>
      <c r="G17" s="128" t="s">
        <v>214</v>
      </c>
      <c r="H17" s="238">
        <f>SUM('（４）訂單數量構成比'!U28:U49)</f>
        <v>225244</v>
      </c>
      <c r="I17" s="143">
        <f t="shared" si="1"/>
        <v>0.13647016055740685</v>
      </c>
      <c r="J17" s="254">
        <v>0.11910673064711727</v>
      </c>
      <c r="K17" s="143">
        <f t="shared" si="2"/>
        <v>1.7363429910289579E-2</v>
      </c>
    </row>
    <row r="18" spans="1:11" s="121" customFormat="1" ht="18" customHeight="1">
      <c r="A18" s="128" t="s">
        <v>201</v>
      </c>
      <c r="B18" s="238">
        <f>SUM('（３）業績構成比'!W28:W49)/1000</f>
        <v>106.49306163332169</v>
      </c>
      <c r="C18" s="143">
        <f t="shared" si="3"/>
        <v>1.8905830320732067E-3</v>
      </c>
      <c r="D18" s="254">
        <v>9.4164499231576947E-3</v>
      </c>
      <c r="E18" s="143">
        <f t="shared" si="4"/>
        <v>-7.5258668910844883E-3</v>
      </c>
      <c r="F18" s="133"/>
      <c r="G18" s="128" t="s">
        <v>200</v>
      </c>
      <c r="H18" s="238">
        <f>SUM('（４）訂單數量構成比'!W28:W49)</f>
        <v>4091</v>
      </c>
      <c r="I18" s="143">
        <f t="shared" si="1"/>
        <v>2.4786428355043928E-3</v>
      </c>
      <c r="J18" s="254">
        <v>1.0148014970827804E-2</v>
      </c>
      <c r="K18" s="143">
        <f t="shared" si="2"/>
        <v>-7.6693721353234112E-3</v>
      </c>
    </row>
    <row r="19" spans="1:11" s="121" customFormat="1" ht="18" customHeight="1">
      <c r="A19" s="128" t="s">
        <v>205</v>
      </c>
      <c r="B19" s="238">
        <f>SUM('（３）業績構成比'!Y28:Y49,'（３）業績構成比'!AA28:AA49)/1000</f>
        <v>13566.625310910573</v>
      </c>
      <c r="C19" s="143">
        <f t="shared" si="3"/>
        <v>0.24084979079310179</v>
      </c>
      <c r="D19" s="254">
        <v>0.23517117213185018</v>
      </c>
      <c r="E19" s="143">
        <f t="shared" si="4"/>
        <v>5.6786186612516054E-3</v>
      </c>
      <c r="F19" s="133"/>
      <c r="G19" s="128" t="s">
        <v>204</v>
      </c>
      <c r="H19" s="238">
        <f>SUM('（４）訂單數量構成比'!Y28:Y49,'（４）訂單數量構成比'!AA28:AA49)</f>
        <v>339819</v>
      </c>
      <c r="I19" s="143">
        <f t="shared" si="1"/>
        <v>0.20588851863071797</v>
      </c>
      <c r="J19" s="254">
        <v>0.20121407636317457</v>
      </c>
      <c r="K19" s="143">
        <f t="shared" si="2"/>
        <v>4.674442267543405E-3</v>
      </c>
    </row>
    <row r="20" spans="1:11" s="121" customFormat="1" ht="18" customHeight="1">
      <c r="A20" s="128" t="s">
        <v>207</v>
      </c>
      <c r="B20" s="238">
        <f>SUM('（３）業績構成比'!AE28:AE49)/1000</f>
        <v>10232.968465878132</v>
      </c>
      <c r="C20" s="143">
        <f t="shared" si="3"/>
        <v>0.18166701428814905</v>
      </c>
      <c r="D20" s="254">
        <v>0.16043105110174385</v>
      </c>
      <c r="E20" s="143">
        <f t="shared" si="4"/>
        <v>2.1235963186405193E-2</v>
      </c>
      <c r="F20" s="133"/>
      <c r="G20" s="128" t="s">
        <v>206</v>
      </c>
      <c r="H20" s="238">
        <f>SUM('（４）訂單數量構成比'!AE28:AE49)</f>
        <v>170219</v>
      </c>
      <c r="I20" s="143">
        <f t="shared" si="1"/>
        <v>0.10313177824901545</v>
      </c>
      <c r="J20" s="254">
        <v>9.2044942365301141E-2</v>
      </c>
      <c r="K20" s="143">
        <f t="shared" si="2"/>
        <v>1.1086835883714313E-2</v>
      </c>
    </row>
    <row r="21" spans="1:11" s="121" customFormat="1" ht="18" customHeight="1">
      <c r="A21" s="128" t="s">
        <v>209</v>
      </c>
      <c r="B21" s="238">
        <f>SUM('（３）業績構成比'!AG28:AG49)/1000</f>
        <v>4697.043433746202</v>
      </c>
      <c r="C21" s="143">
        <f t="shared" si="3"/>
        <v>8.3387128518547932E-2</v>
      </c>
      <c r="D21" s="254">
        <v>9.3201885423740347E-2</v>
      </c>
      <c r="E21" s="143">
        <f t="shared" si="4"/>
        <v>-9.8147569051924149E-3</v>
      </c>
      <c r="F21" s="133"/>
      <c r="G21" s="128" t="s">
        <v>215</v>
      </c>
      <c r="H21" s="238">
        <f>SUM('（４）訂單數量構成比'!AG28:AG49)</f>
        <v>103243</v>
      </c>
      <c r="I21" s="143">
        <f t="shared" si="1"/>
        <v>6.2552559830354432E-2</v>
      </c>
      <c r="J21" s="254">
        <v>6.3381360173912604E-2</v>
      </c>
      <c r="K21" s="143">
        <f t="shared" si="2"/>
        <v>-8.2880034355817256E-4</v>
      </c>
    </row>
    <row r="22" spans="1:11" s="121" customFormat="1" ht="18" customHeight="1">
      <c r="A22" s="128" t="s">
        <v>210</v>
      </c>
      <c r="B22" s="238">
        <f>SUM('（３）業績構成比'!AI28:AI49)/1000</f>
        <v>6331.7326823740532</v>
      </c>
      <c r="C22" s="143">
        <f t="shared" si="3"/>
        <v>0.1124079464832865</v>
      </c>
      <c r="D22" s="254">
        <v>0.12079054159763335</v>
      </c>
      <c r="E22" s="143">
        <f t="shared" si="4"/>
        <v>-8.3825951143468441E-3</v>
      </c>
      <c r="F22" s="133"/>
      <c r="G22" s="128" t="s">
        <v>216</v>
      </c>
      <c r="H22" s="238">
        <f>SUM('（４）訂單數量構成比'!AI28:AI49)</f>
        <v>172145</v>
      </c>
      <c r="I22" s="143">
        <f t="shared" si="1"/>
        <v>0.10429869736443502</v>
      </c>
      <c r="J22" s="254">
        <v>0.11031896429362943</v>
      </c>
      <c r="K22" s="143">
        <f t="shared" si="2"/>
        <v>-6.0202669291944122E-3</v>
      </c>
    </row>
    <row r="23" spans="1:11" s="121" customFormat="1" ht="18" customHeight="1">
      <c r="A23" s="128" t="s">
        <v>212</v>
      </c>
      <c r="B23" s="238">
        <f>SUM('（３）業績構成比'!AK28:AK49)/1000</f>
        <v>4436.5364690383576</v>
      </c>
      <c r="C23" s="143">
        <f t="shared" si="3"/>
        <v>7.8762319731386171E-2</v>
      </c>
      <c r="D23" s="254">
        <v>8.4770298309752301E-2</v>
      </c>
      <c r="E23" s="143">
        <f t="shared" si="4"/>
        <v>-6.0079785783661299E-3</v>
      </c>
      <c r="F23" s="133"/>
      <c r="G23" s="128" t="s">
        <v>211</v>
      </c>
      <c r="H23" s="238">
        <f>SUM('（４）訂單數量構成比'!AK28:AK49)</f>
        <v>149587</v>
      </c>
      <c r="I23" s="143">
        <f t="shared" si="1"/>
        <v>9.0631323841260228E-2</v>
      </c>
      <c r="J23" s="254">
        <v>9.6286925925280334E-2</v>
      </c>
      <c r="K23" s="143">
        <f t="shared" si="2"/>
        <v>-5.655602084020106E-3</v>
      </c>
    </row>
    <row r="24" spans="1:11" s="121" customFormat="1" ht="15.75" customHeight="1">
      <c r="A24" s="133"/>
      <c r="B24" s="133"/>
      <c r="C24" s="137">
        <f>SUM(C15:C23)</f>
        <v>0.99999999999999989</v>
      </c>
      <c r="D24" s="137">
        <f>SUM(D15:D23)</f>
        <v>0.99999999999999978</v>
      </c>
      <c r="E24" s="133"/>
      <c r="F24" s="133"/>
      <c r="G24" s="133"/>
      <c r="H24" s="133"/>
      <c r="I24" s="137">
        <f>SUM(I15:I23)</f>
        <v>1</v>
      </c>
      <c r="J24" s="137">
        <f>SUM(J15:J23)</f>
        <v>0.99999999999999989</v>
      </c>
      <c r="K24" s="133"/>
    </row>
    <row r="25" spans="1:11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1" s="121" customFormat="1" ht="15.75" customHeight="1">
      <c r="A26" s="132" t="s">
        <v>444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7" spans="1:11" s="121" customFormat="1" ht="15.75" customHeight="1">
      <c r="A27" s="128" t="s">
        <v>167</v>
      </c>
      <c r="B27" s="218" t="s">
        <v>309</v>
      </c>
      <c r="C27" s="218" t="s">
        <v>311</v>
      </c>
      <c r="D27" s="128" t="s">
        <v>2</v>
      </c>
      <c r="E27" s="128" t="s">
        <v>364</v>
      </c>
      <c r="G27" s="133"/>
      <c r="H27" s="133"/>
      <c r="I27" s="133"/>
      <c r="J27" s="133"/>
      <c r="K27" s="133"/>
    </row>
    <row r="28" spans="1:11" s="121" customFormat="1" ht="18" customHeight="1">
      <c r="A28" s="128" t="s">
        <v>316</v>
      </c>
      <c r="B28" s="242">
        <f>'（５-1）品群別人時生產性（18℃-飯糰）'!L112</f>
        <v>812.63801505776371</v>
      </c>
      <c r="C28" s="257">
        <v>809.46173228216003</v>
      </c>
      <c r="D28" s="243">
        <f t="shared" ref="D28:D36" si="5">B28-C28</f>
        <v>3.1762827756036813</v>
      </c>
      <c r="E28" s="129">
        <f>'（５-1）品群別人時生產性（18℃-飯糰）'!C1</f>
        <v>813.32532324897454</v>
      </c>
      <c r="G28" s="147"/>
      <c r="H28" s="528"/>
      <c r="I28" s="147"/>
      <c r="J28" s="147"/>
      <c r="K28" s="133"/>
    </row>
    <row r="29" spans="1:11" s="121" customFormat="1" ht="18" customHeight="1">
      <c r="A29" s="128" t="s">
        <v>202</v>
      </c>
      <c r="B29" s="242">
        <f>'（５-2）品群別人時生產性（18-壽司手卷)'!L67</f>
        <v>134.92871190477553</v>
      </c>
      <c r="C29" s="257">
        <v>139.53764773687845</v>
      </c>
      <c r="D29" s="243">
        <f t="shared" si="5"/>
        <v>-4.6089358321029295</v>
      </c>
      <c r="E29" s="129">
        <f>'（５-2）品群別人時生產性（18-壽司手卷)'!C1</f>
        <v>138.69721162321838</v>
      </c>
      <c r="G29" s="148"/>
      <c r="H29" s="528"/>
      <c r="I29" s="149"/>
      <c r="J29" s="150"/>
      <c r="K29" s="133"/>
    </row>
    <row r="30" spans="1:11" s="121" customFormat="1" ht="18" customHeight="1">
      <c r="A30" s="128" t="s">
        <v>214</v>
      </c>
      <c r="B30" s="242">
        <f>'（５-3）品群別人時生產性（4℃-飯糰)'!L67</f>
        <v>232.55157262736651</v>
      </c>
      <c r="C30" s="257">
        <v>239.42922442491036</v>
      </c>
      <c r="D30" s="243">
        <f t="shared" si="5"/>
        <v>-6.877651797543848</v>
      </c>
      <c r="E30" s="129">
        <f>'（５-3）品群別人時生產性（4℃-飯糰)'!C1</f>
        <v>235.93955824211776</v>
      </c>
      <c r="G30" s="133"/>
      <c r="H30" s="528"/>
      <c r="I30" s="133"/>
      <c r="J30" s="133"/>
      <c r="K30" s="133"/>
    </row>
    <row r="31" spans="1:11" s="121" customFormat="1" ht="18" customHeight="1">
      <c r="A31" s="128" t="s">
        <v>200</v>
      </c>
      <c r="B31" s="242">
        <f>'（５-4）品群別人時生產性（4℃-壽司手卷)'!L67</f>
        <v>149.76730769230755</v>
      </c>
      <c r="C31" s="257">
        <v>147.65659340659343</v>
      </c>
      <c r="D31" s="243">
        <f t="shared" si="5"/>
        <v>2.1107142857141241</v>
      </c>
      <c r="E31" s="129">
        <f>'（５-4）品群別人時生產性（4℃-壽司手卷)'!C1</f>
        <v>148.95719150355137</v>
      </c>
      <c r="G31" s="133"/>
      <c r="H31" s="528"/>
      <c r="I31" s="133"/>
      <c r="J31" s="133"/>
      <c r="K31" s="133"/>
    </row>
    <row r="32" spans="1:11" s="121" customFormat="1" ht="18" customHeight="1">
      <c r="A32" s="128" t="s">
        <v>204</v>
      </c>
      <c r="B32" s="242">
        <f>'（５-5）品群別人時生產性(主食) '!L112</f>
        <v>89.622475930656734</v>
      </c>
      <c r="C32" s="257">
        <v>89.53221202442775</v>
      </c>
      <c r="D32" s="243">
        <f t="shared" si="5"/>
        <v>9.0263906228983615E-2</v>
      </c>
      <c r="E32" s="129">
        <f>'（５-5）品群別人時生產性(主食) '!C1</f>
        <v>90.057655678840774</v>
      </c>
      <c r="G32" s="133"/>
      <c r="H32" s="528"/>
      <c r="I32" s="133"/>
      <c r="J32" s="133"/>
      <c r="K32" s="133"/>
    </row>
    <row r="33" spans="1:11" s="121" customFormat="1" ht="18" customHeight="1">
      <c r="A33" s="128" t="s">
        <v>206</v>
      </c>
      <c r="B33" s="242">
        <f>'（５-6）品群別人時生產性(便當)'!L67</f>
        <v>71.694686003464312</v>
      </c>
      <c r="C33" s="257">
        <v>73.243043233558595</v>
      </c>
      <c r="D33" s="243">
        <f t="shared" si="5"/>
        <v>-1.5483572300942825</v>
      </c>
      <c r="E33" s="129">
        <f>'（５-6）品群別人時生產性(便當)'!C1</f>
        <v>72.054614646461346</v>
      </c>
      <c r="G33" s="133"/>
      <c r="H33" s="528"/>
      <c r="I33" s="133"/>
      <c r="J33" s="133"/>
      <c r="K33" s="133"/>
    </row>
    <row r="34" spans="1:11" s="121" customFormat="1" ht="18" customHeight="1">
      <c r="A34" s="128" t="s">
        <v>215</v>
      </c>
      <c r="B34" s="242">
        <f>'（５-7）品群別人時生產性(熱食義麵) '!L67</f>
        <v>81.016372046828806</v>
      </c>
      <c r="C34" s="257">
        <v>78.826599166932567</v>
      </c>
      <c r="D34" s="243">
        <f t="shared" si="5"/>
        <v>2.189772879896239</v>
      </c>
      <c r="E34" s="129">
        <f>'（５-7）品群別人時生產性(熱食義麵) '!C1</f>
        <v>79.434871024498577</v>
      </c>
      <c r="G34" s="133"/>
      <c r="H34" s="528"/>
      <c r="I34" s="133"/>
      <c r="J34" s="133"/>
      <c r="K34" s="133"/>
    </row>
    <row r="35" spans="1:11" s="121" customFormat="1" ht="18" customHeight="1">
      <c r="A35" s="128" t="s">
        <v>216</v>
      </c>
      <c r="B35" s="242">
        <f>'（５-8）品群別人時生產性(季節調理麵) '!L67</f>
        <v>125.03142903771315</v>
      </c>
      <c r="C35" s="257">
        <v>126.55085664206436</v>
      </c>
      <c r="D35" s="243">
        <f t="shared" si="5"/>
        <v>-1.5194276043512076</v>
      </c>
      <c r="E35" s="129">
        <f>'（５-8）品群別人時生產性(季節調理麵) '!C1</f>
        <v>125.01769768827204</v>
      </c>
      <c r="G35" s="133"/>
      <c r="H35" s="528"/>
      <c r="I35" s="133"/>
      <c r="J35" s="133"/>
      <c r="K35" s="133"/>
    </row>
    <row r="36" spans="1:11" s="121" customFormat="1" ht="18" customHeight="1">
      <c r="A36" s="124" t="s">
        <v>211</v>
      </c>
      <c r="B36" s="242">
        <f>'（５-9）品群別人時生產性(微波小吃)'!L67</f>
        <v>163.25433194217842</v>
      </c>
      <c r="C36" s="257">
        <v>162.34446135718014</v>
      </c>
      <c r="D36" s="243">
        <f t="shared" si="5"/>
        <v>0.90987058499828777</v>
      </c>
      <c r="E36" s="129">
        <f>'（５-9）品群別人時生產性(微波小吃)'!C1</f>
        <v>159.65105865772426</v>
      </c>
      <c r="G36" s="133"/>
      <c r="H36" s="528"/>
      <c r="I36" s="133"/>
      <c r="J36" s="133"/>
      <c r="K36" s="133"/>
    </row>
    <row r="37" spans="1:11" s="121" customFormat="1" ht="15.75" customHeight="1">
      <c r="D37" s="296"/>
    </row>
    <row r="38" spans="1:11" s="121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W58"/>
  <sheetViews>
    <sheetView zoomScale="60" zoomScaleNormal="6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9" sqref="F59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611" t="s">
        <v>121</v>
      </c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</row>
    <row r="3" spans="1:23" s="84" customFormat="1" ht="23.45" customHeight="1">
      <c r="B3" s="97"/>
      <c r="C3" s="615" t="s">
        <v>116</v>
      </c>
      <c r="D3" s="616" t="s">
        <v>105</v>
      </c>
      <c r="E3" s="616"/>
      <c r="F3" s="614" t="s">
        <v>333</v>
      </c>
      <c r="G3" s="614"/>
      <c r="H3" s="614"/>
      <c r="I3" s="612" t="s">
        <v>119</v>
      </c>
      <c r="J3" s="612"/>
      <c r="K3" s="612"/>
      <c r="L3" s="613" t="s">
        <v>120</v>
      </c>
      <c r="M3" s="613"/>
      <c r="N3" s="613"/>
      <c r="O3" s="610" t="s">
        <v>122</v>
      </c>
      <c r="P3" s="610"/>
      <c r="Q3" s="610"/>
      <c r="R3" s="617" t="s">
        <v>123</v>
      </c>
      <c r="S3" s="617"/>
      <c r="T3" s="617"/>
      <c r="U3" s="610" t="s">
        <v>124</v>
      </c>
      <c r="V3" s="610"/>
      <c r="W3" s="610"/>
    </row>
    <row r="4" spans="1:23" s="84" customFormat="1" ht="23.45" customHeight="1">
      <c r="A4" s="97"/>
      <c r="B4" s="97"/>
      <c r="C4" s="615"/>
      <c r="D4" s="616"/>
      <c r="E4" s="616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300" t="s">
        <v>452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00" t="s">
        <v>452</v>
      </c>
    </row>
    <row r="5" spans="1:23">
      <c r="A5" s="97"/>
      <c r="B5" s="97"/>
      <c r="C5" s="97"/>
      <c r="D5" s="299">
        <v>46231</v>
      </c>
      <c r="E5" s="299" t="s">
        <v>446</v>
      </c>
      <c r="F5" s="436">
        <v>8700275</v>
      </c>
      <c r="H5" s="316"/>
      <c r="I5" s="432">
        <v>256784</v>
      </c>
      <c r="K5" s="317"/>
      <c r="L5" s="429">
        <v>6236241</v>
      </c>
      <c r="M5" s="297"/>
      <c r="N5" s="316"/>
      <c r="O5" s="89">
        <f t="shared" ref="O5:O39" si="0">L5/F5</f>
        <v>0.71678665329544178</v>
      </c>
      <c r="P5" s="298"/>
      <c r="Q5" s="315"/>
      <c r="R5" s="429">
        <v>986497.00424745306</v>
      </c>
      <c r="S5" s="297"/>
      <c r="T5" s="316"/>
      <c r="U5" s="89">
        <f t="shared" ref="U5:U40" si="1">R5/F5</f>
        <v>0.11338687619040239</v>
      </c>
      <c r="V5" s="298"/>
      <c r="W5" s="315"/>
    </row>
    <row r="6" spans="1:23">
      <c r="A6" s="97"/>
      <c r="B6" s="97"/>
      <c r="C6" s="97"/>
      <c r="D6" s="299">
        <f t="shared" ref="D6" si="2">D5+1</f>
        <v>46232</v>
      </c>
      <c r="E6" s="299" t="s">
        <v>447</v>
      </c>
      <c r="F6" s="436">
        <v>8324343</v>
      </c>
      <c r="G6" s="297">
        <f>SUM(F5:F11)</f>
        <v>57089870</v>
      </c>
      <c r="H6" s="316"/>
      <c r="I6" s="432">
        <v>245995</v>
      </c>
      <c r="J6" s="87">
        <f>SUM(I5:I11)</f>
        <v>1682008</v>
      </c>
      <c r="K6" s="317"/>
      <c r="L6" s="429">
        <v>5957129</v>
      </c>
      <c r="M6" s="297">
        <f>SUM(L5:L11)</f>
        <v>38932153</v>
      </c>
      <c r="N6" s="316"/>
      <c r="O6" s="89">
        <f t="shared" si="0"/>
        <v>0.71562752760187798</v>
      </c>
      <c r="P6" s="89">
        <f>M6/G6</f>
        <v>0.68194502807590907</v>
      </c>
      <c r="Q6" s="315"/>
      <c r="R6" s="429">
        <v>998692.8327414114</v>
      </c>
      <c r="S6" s="297">
        <f>SUM(R5:R11)</f>
        <v>6795694.39648051</v>
      </c>
      <c r="T6" s="316"/>
      <c r="U6" s="89">
        <f t="shared" si="1"/>
        <v>0.11997257113761547</v>
      </c>
      <c r="V6" s="89">
        <f>S6/G6</f>
        <v>0.11903503014598754</v>
      </c>
      <c r="W6" s="315"/>
    </row>
    <row r="7" spans="1:23" ht="16.5" customHeight="1">
      <c r="A7" s="97"/>
      <c r="B7" s="97"/>
      <c r="C7" s="97"/>
      <c r="D7" s="299">
        <f>D6+1</f>
        <v>46233</v>
      </c>
      <c r="E7" s="299" t="s">
        <v>448</v>
      </c>
      <c r="F7" s="436">
        <v>7885992</v>
      </c>
      <c r="I7" s="432">
        <v>234341</v>
      </c>
      <c r="L7" s="429">
        <v>5662746</v>
      </c>
      <c r="M7" s="86"/>
      <c r="N7" s="86"/>
      <c r="O7" s="89">
        <f t="shared" si="0"/>
        <v>0.71807655904292067</v>
      </c>
      <c r="R7" s="429">
        <v>960954.77050450572</v>
      </c>
      <c r="S7" s="86"/>
      <c r="T7" s="86"/>
      <c r="U7" s="89">
        <f t="shared" si="1"/>
        <v>0.12185591495711709</v>
      </c>
      <c r="V7" s="89"/>
    </row>
    <row r="8" spans="1:23" ht="16.5" customHeight="1">
      <c r="A8" s="97"/>
      <c r="B8" s="97"/>
      <c r="C8" s="97"/>
      <c r="D8" s="299">
        <f t="shared" ref="D8:D11" si="3">D7+1</f>
        <v>46234</v>
      </c>
      <c r="E8" s="299" t="s">
        <v>449</v>
      </c>
      <c r="F8" s="436">
        <v>7084934</v>
      </c>
      <c r="G8" s="297"/>
      <c r="H8" s="316"/>
      <c r="I8" s="432">
        <v>211184</v>
      </c>
      <c r="K8" s="317"/>
      <c r="L8" s="429">
        <v>4712463</v>
      </c>
      <c r="M8" s="297"/>
      <c r="N8" s="316"/>
      <c r="O8" s="89">
        <f t="shared" si="0"/>
        <v>0.66513858844697782</v>
      </c>
      <c r="P8" s="298"/>
      <c r="Q8" s="315"/>
      <c r="R8" s="429">
        <v>999698.18725912366</v>
      </c>
      <c r="S8" s="297"/>
      <c r="T8" s="316"/>
      <c r="U8" s="89">
        <f t="shared" si="1"/>
        <v>0.14110197600416935</v>
      </c>
      <c r="V8" s="298"/>
      <c r="W8" s="315"/>
    </row>
    <row r="9" spans="1:23" ht="16.5" customHeight="1">
      <c r="A9" s="97"/>
      <c r="B9" s="97"/>
      <c r="C9" s="97"/>
      <c r="D9" s="299">
        <f t="shared" si="3"/>
        <v>46235</v>
      </c>
      <c r="E9" s="299" t="s">
        <v>450</v>
      </c>
      <c r="F9" s="436">
        <v>7328189</v>
      </c>
      <c r="G9" s="297"/>
      <c r="H9" s="316"/>
      <c r="I9" s="432">
        <v>217421</v>
      </c>
      <c r="K9" s="317"/>
      <c r="L9" s="429">
        <v>4864135</v>
      </c>
      <c r="M9" s="297"/>
      <c r="N9" s="316"/>
      <c r="O9" s="89">
        <f t="shared" si="0"/>
        <v>0.66375676173199138</v>
      </c>
      <c r="P9" s="298"/>
      <c r="Q9" s="315"/>
      <c r="R9" s="429">
        <v>906921.18743595888</v>
      </c>
      <c r="S9" s="297"/>
      <c r="T9" s="316"/>
      <c r="U9" s="89">
        <f t="shared" si="1"/>
        <v>0.12375788717184544</v>
      </c>
      <c r="V9" s="298"/>
      <c r="W9" s="315"/>
    </row>
    <row r="10" spans="1:23" ht="16.5" customHeight="1">
      <c r="A10" s="97"/>
      <c r="B10" s="97"/>
      <c r="C10" s="97"/>
      <c r="D10" s="299">
        <f t="shared" si="3"/>
        <v>46236</v>
      </c>
      <c r="E10" s="299" t="s">
        <v>451</v>
      </c>
      <c r="F10" s="436">
        <v>8762335</v>
      </c>
      <c r="H10" s="316">
        <f>SUM(F6:F36)</f>
        <v>214701764</v>
      </c>
      <c r="I10" s="432">
        <v>257215</v>
      </c>
      <c r="K10" s="317">
        <f>SUM(I6:I36)</f>
        <v>6333091</v>
      </c>
      <c r="L10" s="429">
        <v>5758898</v>
      </c>
      <c r="M10" s="86"/>
      <c r="N10" s="316">
        <f>SUM(L6:L36)</f>
        <v>144713815</v>
      </c>
      <c r="O10" s="89">
        <f t="shared" si="0"/>
        <v>0.65723326031246232</v>
      </c>
      <c r="P10" s="298"/>
      <c r="Q10" s="315">
        <f>N10/H10</f>
        <v>0.67402247798951476</v>
      </c>
      <c r="R10" s="429">
        <v>949244.87509915337</v>
      </c>
      <c r="S10" s="86"/>
      <c r="T10" s="316">
        <f>SUM(R6:R36)</f>
        <v>26197789.007606942</v>
      </c>
      <c r="U10" s="89">
        <f t="shared" si="1"/>
        <v>0.10833241083559957</v>
      </c>
      <c r="V10" s="298"/>
      <c r="W10" s="315">
        <f>T10/H10</f>
        <v>0.12201943998749326</v>
      </c>
    </row>
    <row r="11" spans="1:23" ht="16.5" customHeight="1">
      <c r="A11" s="97"/>
      <c r="B11" s="97"/>
      <c r="C11" s="97"/>
      <c r="D11" s="299">
        <f t="shared" si="3"/>
        <v>46237</v>
      </c>
      <c r="E11" s="299" t="s">
        <v>445</v>
      </c>
      <c r="F11" s="436">
        <v>9003802</v>
      </c>
      <c r="G11" s="297"/>
      <c r="H11" s="316"/>
      <c r="I11" s="432">
        <v>259068</v>
      </c>
      <c r="K11" s="317"/>
      <c r="L11" s="429">
        <v>5740541</v>
      </c>
      <c r="M11" s="297"/>
      <c r="N11" s="316"/>
      <c r="O11" s="89">
        <f t="shared" si="0"/>
        <v>0.63756855159631454</v>
      </c>
      <c r="Q11" s="315"/>
      <c r="R11" s="429">
        <v>993685.53919290344</v>
      </c>
      <c r="S11" s="297"/>
      <c r="T11" s="316"/>
      <c r="U11" s="89">
        <f t="shared" si="1"/>
        <v>0.11036288216832216</v>
      </c>
      <c r="V11" s="89"/>
      <c r="W11" s="315"/>
    </row>
    <row r="12" spans="1:23" ht="16.5" customHeight="1">
      <c r="A12" s="97"/>
      <c r="B12" s="97"/>
      <c r="C12" s="97"/>
      <c r="D12" s="355">
        <f t="shared" ref="D12:D34" si="4">D11+1</f>
        <v>46238</v>
      </c>
      <c r="E12" s="355" t="s">
        <v>446</v>
      </c>
      <c r="F12" s="229">
        <v>8602665</v>
      </c>
      <c r="G12" s="297">
        <f>SUM(F12:F18)</f>
        <v>55933813</v>
      </c>
      <c r="H12" s="316"/>
      <c r="I12" s="230">
        <v>252047</v>
      </c>
      <c r="J12" s="87">
        <f>SUM(I12:I18)</f>
        <v>1651043</v>
      </c>
      <c r="K12" s="317"/>
      <c r="L12" s="229">
        <v>5915078</v>
      </c>
      <c r="M12" s="297">
        <f>SUM(L12:L18)</f>
        <v>37432210</v>
      </c>
      <c r="N12" s="316"/>
      <c r="O12" s="89">
        <f t="shared" si="0"/>
        <v>0.68758669551819118</v>
      </c>
      <c r="P12" s="89">
        <f>M12/G12</f>
        <v>0.669223283597705</v>
      </c>
      <c r="Q12" s="315"/>
      <c r="R12" s="231">
        <v>980405.10259915318</v>
      </c>
      <c r="S12" s="297">
        <f>SUM(R12:R18)</f>
        <v>6757047.5089683775</v>
      </c>
      <c r="T12" s="316"/>
      <c r="U12" s="89">
        <f t="shared" si="1"/>
        <v>0.11396527734128356</v>
      </c>
      <c r="V12" s="89">
        <f>S12/G12</f>
        <v>0.12080434260700906</v>
      </c>
      <c r="W12" s="315"/>
    </row>
    <row r="13" spans="1:23" ht="16.5" customHeight="1">
      <c r="A13" s="97"/>
      <c r="B13" s="97"/>
      <c r="C13" s="97"/>
      <c r="D13" s="355">
        <f t="shared" si="4"/>
        <v>46239</v>
      </c>
      <c r="E13" s="355" t="s">
        <v>447</v>
      </c>
      <c r="F13" s="229">
        <v>8256703</v>
      </c>
      <c r="H13" s="316"/>
      <c r="I13" s="230">
        <v>243421</v>
      </c>
      <c r="K13" s="317"/>
      <c r="L13" s="229">
        <v>5540670</v>
      </c>
      <c r="M13" s="86"/>
      <c r="N13" s="316"/>
      <c r="O13" s="89">
        <f t="shared" si="0"/>
        <v>0.67105114474869687</v>
      </c>
      <c r="P13" s="298"/>
      <c r="Q13" s="315"/>
      <c r="R13" s="229">
        <v>970573.72400193091</v>
      </c>
      <c r="S13" s="86"/>
      <c r="T13" s="316"/>
      <c r="U13" s="89">
        <f t="shared" si="1"/>
        <v>0.11754979245371075</v>
      </c>
      <c r="V13" s="298"/>
      <c r="W13" s="315"/>
    </row>
    <row r="14" spans="1:23" ht="16.5" customHeight="1">
      <c r="A14" s="97"/>
      <c r="B14" s="97"/>
      <c r="C14" s="97"/>
      <c r="D14" s="355">
        <f t="shared" si="4"/>
        <v>46240</v>
      </c>
      <c r="E14" s="355" t="s">
        <v>448</v>
      </c>
      <c r="F14" s="229">
        <v>7670457</v>
      </c>
      <c r="G14" s="297"/>
      <c r="H14" s="316"/>
      <c r="I14" s="230">
        <v>227805</v>
      </c>
      <c r="K14" s="317"/>
      <c r="L14" s="229">
        <v>5186165</v>
      </c>
      <c r="M14" s="297"/>
      <c r="N14" s="316"/>
      <c r="O14" s="89">
        <f t="shared" si="0"/>
        <v>0.67612203549280048</v>
      </c>
      <c r="P14" s="298"/>
      <c r="Q14" s="315"/>
      <c r="R14" s="229">
        <v>954082.40942554187</v>
      </c>
      <c r="S14" s="297"/>
      <c r="T14" s="316"/>
      <c r="U14" s="89">
        <f t="shared" si="1"/>
        <v>0.12438403727777131</v>
      </c>
      <c r="V14" s="298"/>
      <c r="W14" s="315"/>
    </row>
    <row r="15" spans="1:23" ht="16.5" customHeight="1">
      <c r="A15" s="97"/>
      <c r="B15" s="97"/>
      <c r="C15" s="97"/>
      <c r="D15" s="355">
        <f t="shared" si="4"/>
        <v>46241</v>
      </c>
      <c r="E15" s="355" t="s">
        <v>449</v>
      </c>
      <c r="F15" s="229">
        <v>6794244</v>
      </c>
      <c r="G15" s="297"/>
      <c r="H15" s="316"/>
      <c r="I15" s="230">
        <v>203589</v>
      </c>
      <c r="K15" s="317"/>
      <c r="L15" s="229">
        <v>4527728</v>
      </c>
      <c r="M15" s="297"/>
      <c r="N15" s="316"/>
      <c r="O15" s="89">
        <f t="shared" si="0"/>
        <v>0.66640644639786262</v>
      </c>
      <c r="Q15" s="315"/>
      <c r="R15" s="229">
        <v>932954.23817554209</v>
      </c>
      <c r="S15" s="297"/>
      <c r="T15" s="316"/>
      <c r="U15" s="89">
        <f t="shared" si="1"/>
        <v>0.13731538610852687</v>
      </c>
      <c r="V15" s="89"/>
      <c r="W15" s="315"/>
    </row>
    <row r="16" spans="1:23" ht="16.5" customHeight="1">
      <c r="A16" s="97"/>
      <c r="B16" s="97"/>
      <c r="C16" s="97"/>
      <c r="D16" s="355">
        <f t="shared" si="4"/>
        <v>46242</v>
      </c>
      <c r="E16" s="355" t="s">
        <v>450</v>
      </c>
      <c r="F16" s="229">
        <v>7244290</v>
      </c>
      <c r="G16" s="297"/>
      <c r="H16" s="316"/>
      <c r="I16" s="230">
        <v>215322</v>
      </c>
      <c r="K16" s="317"/>
      <c r="L16" s="229">
        <v>4949860</v>
      </c>
      <c r="M16" s="297"/>
      <c r="N16" s="316"/>
      <c r="O16" s="89">
        <f t="shared" si="0"/>
        <v>0.6832774502401201</v>
      </c>
      <c r="P16" s="298"/>
      <c r="Q16" s="315"/>
      <c r="R16" s="229">
        <v>959236.67129706976</v>
      </c>
      <c r="S16" s="297"/>
      <c r="T16" s="316"/>
      <c r="U16" s="89">
        <f t="shared" si="1"/>
        <v>0.13241279287508778</v>
      </c>
      <c r="V16" s="298"/>
      <c r="W16" s="315"/>
    </row>
    <row r="17" spans="1:23" ht="16.5" customHeight="1">
      <c r="A17" s="97"/>
      <c r="B17" s="97"/>
      <c r="C17" s="97"/>
      <c r="D17" s="355">
        <f t="shared" si="4"/>
        <v>46243</v>
      </c>
      <c r="E17" s="355" t="s">
        <v>451</v>
      </c>
      <c r="F17" s="229">
        <v>8720178</v>
      </c>
      <c r="H17" s="316"/>
      <c r="I17" s="230">
        <v>255929</v>
      </c>
      <c r="K17" s="317"/>
      <c r="L17" s="229">
        <v>5531501</v>
      </c>
      <c r="M17" s="86"/>
      <c r="N17" s="316"/>
      <c r="O17" s="89">
        <f t="shared" si="0"/>
        <v>0.63433349640339909</v>
      </c>
      <c r="P17" s="298"/>
      <c r="Q17" s="315"/>
      <c r="R17" s="229">
        <v>975745.21914429206</v>
      </c>
      <c r="S17" s="86"/>
      <c r="T17" s="316"/>
      <c r="U17" s="89">
        <f t="shared" si="1"/>
        <v>0.11189510341925268</v>
      </c>
      <c r="V17" s="298"/>
      <c r="W17" s="315"/>
    </row>
    <row r="18" spans="1:23" ht="16.5" customHeight="1">
      <c r="A18" s="97"/>
      <c r="B18" s="97"/>
      <c r="C18" s="97"/>
      <c r="D18" s="355">
        <f t="shared" si="4"/>
        <v>46244</v>
      </c>
      <c r="E18" s="355" t="s">
        <v>445</v>
      </c>
      <c r="F18" s="229">
        <v>8645276</v>
      </c>
      <c r="G18" s="297"/>
      <c r="H18" s="316"/>
      <c r="I18" s="230">
        <v>252930</v>
      </c>
      <c r="K18" s="317"/>
      <c r="L18" s="229">
        <v>5781208</v>
      </c>
      <c r="M18" s="297"/>
      <c r="N18" s="316"/>
      <c r="O18" s="89">
        <f t="shared" si="0"/>
        <v>0.66871294797297387</v>
      </c>
      <c r="P18" s="298"/>
      <c r="Q18" s="315"/>
      <c r="R18" s="229">
        <v>984050.14432484761</v>
      </c>
      <c r="S18" s="297"/>
      <c r="T18" s="316"/>
      <c r="U18" s="89">
        <f t="shared" si="1"/>
        <v>0.11382518549145772</v>
      </c>
      <c r="V18" s="298"/>
      <c r="W18" s="315"/>
    </row>
    <row r="19" spans="1:23" ht="16.5" customHeight="1">
      <c r="A19" s="97"/>
      <c r="B19" s="97"/>
      <c r="C19" s="97"/>
      <c r="D19" s="299">
        <f t="shared" si="4"/>
        <v>46245</v>
      </c>
      <c r="E19" s="299" t="s">
        <v>446</v>
      </c>
      <c r="F19" s="229">
        <v>8196585</v>
      </c>
      <c r="G19" s="297">
        <f>SUM(F19:F25)</f>
        <v>54050197</v>
      </c>
      <c r="H19" s="316"/>
      <c r="I19" s="230">
        <v>242065</v>
      </c>
      <c r="J19" s="87">
        <f>SUM(I19:I25)</f>
        <v>1606324</v>
      </c>
      <c r="K19" s="317"/>
      <c r="L19" s="229">
        <v>5543864</v>
      </c>
      <c r="M19" s="297">
        <f>SUM(L19:L25)</f>
        <v>36304586</v>
      </c>
      <c r="N19" s="316"/>
      <c r="O19" s="89">
        <f t="shared" si="0"/>
        <v>0.67636265591096778</v>
      </c>
      <c r="P19" s="89">
        <f>M19/G19</f>
        <v>0.67168276925984194</v>
      </c>
      <c r="Q19" s="315"/>
      <c r="R19" s="229">
        <v>972820.53348109743</v>
      </c>
      <c r="S19" s="297">
        <f>SUM(R19:R25)</f>
        <v>6695281.2850864325</v>
      </c>
      <c r="T19" s="316"/>
      <c r="U19" s="89">
        <f t="shared" si="1"/>
        <v>0.1186860788341849</v>
      </c>
      <c r="V19" s="89">
        <f>S19/G19</f>
        <v>0.12387154268996342</v>
      </c>
      <c r="W19" s="315"/>
    </row>
    <row r="20" spans="1:23" ht="16.5" customHeight="1">
      <c r="A20" s="97"/>
      <c r="B20" s="97"/>
      <c r="C20" s="97"/>
      <c r="D20" s="299">
        <f t="shared" si="4"/>
        <v>46246</v>
      </c>
      <c r="E20" s="299" t="s">
        <v>447</v>
      </c>
      <c r="F20" s="229">
        <v>7757225</v>
      </c>
      <c r="G20" s="297"/>
      <c r="H20" s="316"/>
      <c r="I20" s="230">
        <v>232004</v>
      </c>
      <c r="K20" s="317"/>
      <c r="L20" s="229">
        <v>5241866</v>
      </c>
      <c r="M20" s="297"/>
      <c r="N20" s="316"/>
      <c r="O20" s="89">
        <f t="shared" si="0"/>
        <v>0.67573984253389585</v>
      </c>
      <c r="P20" s="298"/>
      <c r="Q20" s="315"/>
      <c r="R20" s="229">
        <v>961601.93626581982</v>
      </c>
      <c r="S20" s="297"/>
      <c r="T20" s="316"/>
      <c r="U20" s="89">
        <f t="shared" si="1"/>
        <v>0.1239621045239528</v>
      </c>
      <c r="V20" s="298"/>
      <c r="W20" s="315"/>
    </row>
    <row r="21" spans="1:23" ht="16.5" customHeight="1">
      <c r="A21" s="97"/>
      <c r="B21" s="97"/>
      <c r="C21" s="97"/>
      <c r="D21" s="299">
        <f t="shared" si="4"/>
        <v>46247</v>
      </c>
      <c r="E21" s="299" t="s">
        <v>448</v>
      </c>
      <c r="F21" s="229">
        <v>7394587</v>
      </c>
      <c r="H21" s="316"/>
      <c r="I21" s="230">
        <v>222698</v>
      </c>
      <c r="K21" s="317"/>
      <c r="L21" s="229">
        <v>5064204</v>
      </c>
      <c r="M21" s="86"/>
      <c r="N21" s="316"/>
      <c r="O21" s="89">
        <f t="shared" si="0"/>
        <v>0.68485285249872641</v>
      </c>
      <c r="P21" s="298"/>
      <c r="Q21" s="315"/>
      <c r="R21" s="229">
        <v>936596.00069290306</v>
      </c>
      <c r="S21" s="86"/>
      <c r="T21" s="316"/>
      <c r="U21" s="89">
        <f t="shared" si="1"/>
        <v>0.12665967696274358</v>
      </c>
      <c r="V21" s="298"/>
      <c r="W21" s="315"/>
    </row>
    <row r="22" spans="1:23" ht="16.5" customHeight="1">
      <c r="A22" s="97"/>
      <c r="B22" s="97"/>
      <c r="C22" s="97"/>
      <c r="D22" s="299">
        <f t="shared" si="4"/>
        <v>46248</v>
      </c>
      <c r="E22" s="299" t="s">
        <v>449</v>
      </c>
      <c r="F22" s="229">
        <v>6557542</v>
      </c>
      <c r="G22" s="297"/>
      <c r="H22" s="316"/>
      <c r="I22" s="230">
        <v>199003</v>
      </c>
      <c r="K22" s="317"/>
      <c r="L22" s="229">
        <v>4574891</v>
      </c>
      <c r="M22" s="297"/>
      <c r="N22" s="316"/>
      <c r="O22" s="89">
        <f t="shared" si="0"/>
        <v>0.69765332803053337</v>
      </c>
      <c r="Q22" s="315"/>
      <c r="R22" s="229">
        <v>925447.36320331972</v>
      </c>
      <c r="S22" s="297"/>
      <c r="T22" s="316"/>
      <c r="U22" s="89">
        <f t="shared" si="1"/>
        <v>0.1411271728344736</v>
      </c>
      <c r="V22" s="89"/>
      <c r="W22" s="315"/>
    </row>
    <row r="23" spans="1:23" ht="16.5" customHeight="1">
      <c r="A23" s="97"/>
      <c r="B23" s="97"/>
      <c r="C23" s="97"/>
      <c r="D23" s="299">
        <f t="shared" si="4"/>
        <v>46249</v>
      </c>
      <c r="E23" s="299" t="s">
        <v>450</v>
      </c>
      <c r="F23" s="229">
        <v>7004503</v>
      </c>
      <c r="G23" s="297"/>
      <c r="H23" s="316"/>
      <c r="I23" s="230">
        <v>209965</v>
      </c>
      <c r="K23" s="317"/>
      <c r="L23" s="229">
        <v>4696427</v>
      </c>
      <c r="M23" s="297"/>
      <c r="N23" s="316"/>
      <c r="O23" s="89">
        <f t="shared" si="0"/>
        <v>0.67048682825890715</v>
      </c>
      <c r="P23" s="298"/>
      <c r="Q23" s="315"/>
      <c r="R23" s="229">
        <v>929361.82546720852</v>
      </c>
      <c r="S23" s="297"/>
      <c r="T23" s="316"/>
      <c r="U23" s="89">
        <f t="shared" si="1"/>
        <v>0.13268062351707302</v>
      </c>
      <c r="V23" s="298"/>
      <c r="W23" s="315"/>
    </row>
    <row r="24" spans="1:23" ht="16.5" customHeight="1">
      <c r="A24" s="97"/>
      <c r="B24" s="97"/>
      <c r="C24" s="97"/>
      <c r="D24" s="299">
        <f t="shared" si="4"/>
        <v>46250</v>
      </c>
      <c r="E24" s="299" t="s">
        <v>451</v>
      </c>
      <c r="F24" s="229">
        <v>8582365</v>
      </c>
      <c r="G24" s="297"/>
      <c r="H24" s="316"/>
      <c r="I24" s="230">
        <v>250522</v>
      </c>
      <c r="K24" s="317"/>
      <c r="L24" s="229">
        <v>5489708</v>
      </c>
      <c r="M24" s="297"/>
      <c r="N24" s="316"/>
      <c r="O24" s="89">
        <f t="shared" si="0"/>
        <v>0.63964979350097551</v>
      </c>
      <c r="P24" s="298"/>
      <c r="Q24" s="315"/>
      <c r="R24" s="229">
        <v>978410.60504706984</v>
      </c>
      <c r="S24" s="297"/>
      <c r="T24" s="316"/>
      <c r="U24" s="89">
        <f t="shared" si="1"/>
        <v>0.11400244630088208</v>
      </c>
      <c r="V24" s="298"/>
      <c r="W24" s="315"/>
    </row>
    <row r="25" spans="1:23" ht="16.5" customHeight="1">
      <c r="A25" s="97"/>
      <c r="B25" s="97"/>
      <c r="C25" s="97"/>
      <c r="D25" s="299">
        <f t="shared" si="4"/>
        <v>46251</v>
      </c>
      <c r="E25" s="299" t="s">
        <v>445</v>
      </c>
      <c r="F25" s="229">
        <v>8557390</v>
      </c>
      <c r="H25" s="316"/>
      <c r="I25" s="230">
        <v>250067</v>
      </c>
      <c r="K25" s="317"/>
      <c r="L25" s="229">
        <v>5693626</v>
      </c>
      <c r="M25" s="86"/>
      <c r="N25" s="316"/>
      <c r="O25" s="89">
        <f t="shared" si="0"/>
        <v>0.66534609267545364</v>
      </c>
      <c r="P25" s="298"/>
      <c r="Q25" s="315"/>
      <c r="R25" s="229">
        <v>991043.02092901454</v>
      </c>
      <c r="S25" s="86"/>
      <c r="T25" s="316"/>
      <c r="U25" s="89">
        <f t="shared" si="1"/>
        <v>0.11581136548982979</v>
      </c>
      <c r="V25" s="298"/>
      <c r="W25" s="315"/>
    </row>
    <row r="26" spans="1:23" ht="16.5" customHeight="1">
      <c r="A26" s="97"/>
      <c r="B26" s="97"/>
      <c r="C26" s="97"/>
      <c r="D26" s="355">
        <f t="shared" si="4"/>
        <v>46252</v>
      </c>
      <c r="E26" s="355" t="s">
        <v>446</v>
      </c>
      <c r="F26" s="229">
        <v>9261715</v>
      </c>
      <c r="G26" s="297">
        <f>SUM(F26:F32)</f>
        <v>56328159</v>
      </c>
      <c r="H26" s="316"/>
      <c r="I26" s="230">
        <v>265246</v>
      </c>
      <c r="J26" s="87">
        <f>SUM(I26:I32)</f>
        <v>1650500</v>
      </c>
      <c r="K26" s="317"/>
      <c r="L26" s="229">
        <v>6234475</v>
      </c>
      <c r="M26" s="297">
        <f>SUM(L26:L32)</f>
        <v>38281107</v>
      </c>
      <c r="N26" s="316"/>
      <c r="O26" s="89">
        <f t="shared" si="0"/>
        <v>0.67314476854448668</v>
      </c>
      <c r="P26" s="89">
        <f>M26/G26</f>
        <v>0.67960870157322206</v>
      </c>
      <c r="Q26" s="315"/>
      <c r="R26" s="229">
        <v>1039908.8623838755</v>
      </c>
      <c r="S26" s="297">
        <f>SUM(R26:R32)</f>
        <v>6936262.8213190716</v>
      </c>
      <c r="T26" s="316"/>
      <c r="U26" s="89">
        <f t="shared" si="1"/>
        <v>0.11228037813556944</v>
      </c>
      <c r="V26" s="89">
        <f>S26/G26</f>
        <v>0.12314023650797945</v>
      </c>
      <c r="W26" s="315"/>
    </row>
    <row r="27" spans="1:23">
      <c r="A27" s="97"/>
      <c r="B27" s="97"/>
      <c r="C27" s="97"/>
      <c r="D27" s="355">
        <f t="shared" si="4"/>
        <v>46253</v>
      </c>
      <c r="E27" s="355" t="s">
        <v>447</v>
      </c>
      <c r="F27" s="229">
        <v>8223442</v>
      </c>
      <c r="G27" s="297"/>
      <c r="H27" s="316"/>
      <c r="I27" s="230">
        <v>242085</v>
      </c>
      <c r="K27" s="317"/>
      <c r="L27" s="229">
        <v>5718054</v>
      </c>
      <c r="M27" s="297"/>
      <c r="N27" s="316"/>
      <c r="O27" s="89">
        <f t="shared" si="0"/>
        <v>0.69533584598760467</v>
      </c>
      <c r="P27" s="298"/>
      <c r="Q27" s="315"/>
      <c r="R27" s="229">
        <v>1004968.3132831809</v>
      </c>
      <c r="S27" s="297"/>
      <c r="T27" s="316"/>
      <c r="U27" s="89">
        <f t="shared" si="1"/>
        <v>0.12220774625554372</v>
      </c>
      <c r="V27" s="298"/>
      <c r="W27" s="315"/>
    </row>
    <row r="28" spans="1:23">
      <c r="A28" s="97"/>
      <c r="B28" s="97"/>
      <c r="C28" s="97"/>
      <c r="D28" s="355">
        <f t="shared" si="4"/>
        <v>46254</v>
      </c>
      <c r="E28" s="355" t="s">
        <v>448</v>
      </c>
      <c r="F28" s="229">
        <v>7777327</v>
      </c>
      <c r="H28" s="316"/>
      <c r="I28" s="230">
        <v>229428</v>
      </c>
      <c r="K28" s="317"/>
      <c r="L28" s="229">
        <v>5378531</v>
      </c>
      <c r="M28" s="86"/>
      <c r="N28" s="316"/>
      <c r="O28" s="89">
        <f t="shared" si="0"/>
        <v>0.69156549544592893</v>
      </c>
      <c r="P28" s="298"/>
      <c r="Q28" s="315"/>
      <c r="R28" s="229">
        <v>981860.86619290325</v>
      </c>
      <c r="S28" s="86"/>
      <c r="T28" s="316"/>
      <c r="U28" s="89">
        <f t="shared" si="1"/>
        <v>0.1262465711153592</v>
      </c>
      <c r="V28" s="298"/>
      <c r="W28" s="315"/>
    </row>
    <row r="29" spans="1:23">
      <c r="A29" s="97"/>
      <c r="B29" s="97"/>
      <c r="C29" s="97"/>
      <c r="D29" s="355">
        <f t="shared" si="4"/>
        <v>46255</v>
      </c>
      <c r="E29" s="355" t="s">
        <v>449</v>
      </c>
      <c r="F29" s="229">
        <v>6482925</v>
      </c>
      <c r="G29" s="297"/>
      <c r="H29" s="316"/>
      <c r="I29" s="230">
        <v>195574</v>
      </c>
      <c r="K29" s="317"/>
      <c r="L29" s="229">
        <v>4514195</v>
      </c>
      <c r="M29" s="297"/>
      <c r="N29" s="316"/>
      <c r="O29" s="89">
        <f t="shared" si="0"/>
        <v>0.6963207194283445</v>
      </c>
      <c r="Q29" s="315"/>
      <c r="R29" s="229">
        <v>958320.0738630417</v>
      </c>
      <c r="S29" s="297"/>
      <c r="T29" s="316"/>
      <c r="U29" s="89">
        <f t="shared" si="1"/>
        <v>0.14782217500017997</v>
      </c>
      <c r="V29" s="89"/>
      <c r="W29" s="315"/>
    </row>
    <row r="30" spans="1:23">
      <c r="A30" s="97"/>
      <c r="B30" s="97"/>
      <c r="C30" s="97"/>
      <c r="D30" s="355">
        <f t="shared" si="4"/>
        <v>46256</v>
      </c>
      <c r="E30" s="355" t="s">
        <v>450</v>
      </c>
      <c r="F30" s="229">
        <v>7062658</v>
      </c>
      <c r="G30" s="297"/>
      <c r="H30" s="316"/>
      <c r="I30" s="230">
        <v>209261</v>
      </c>
      <c r="K30" s="317"/>
      <c r="L30" s="229">
        <v>4825315</v>
      </c>
      <c r="M30" s="297"/>
      <c r="N30" s="316"/>
      <c r="O30" s="89">
        <f t="shared" si="0"/>
        <v>0.68321515780602715</v>
      </c>
      <c r="P30" s="298"/>
      <c r="Q30" s="315"/>
      <c r="R30" s="229">
        <v>959377.92902970861</v>
      </c>
      <c r="S30" s="297"/>
      <c r="T30" s="316"/>
      <c r="U30" s="89">
        <f t="shared" si="1"/>
        <v>0.1358380837681378</v>
      </c>
      <c r="V30" s="298"/>
      <c r="W30" s="315"/>
    </row>
    <row r="31" spans="1:23">
      <c r="A31" s="97"/>
      <c r="B31" s="97"/>
      <c r="C31" s="97"/>
      <c r="D31" s="355">
        <f t="shared" si="4"/>
        <v>46257</v>
      </c>
      <c r="E31" s="355" t="s">
        <v>451</v>
      </c>
      <c r="F31" s="229">
        <v>8897810</v>
      </c>
      <c r="G31" s="297"/>
      <c r="H31" s="316"/>
      <c r="I31" s="230">
        <v>257066</v>
      </c>
      <c r="K31" s="317"/>
      <c r="L31" s="229">
        <v>5842339</v>
      </c>
      <c r="M31" s="297"/>
      <c r="N31" s="316"/>
      <c r="O31" s="89">
        <f t="shared" si="0"/>
        <v>0.656604153156788</v>
      </c>
      <c r="P31" s="298"/>
      <c r="Q31" s="315"/>
      <c r="R31" s="229">
        <v>998740.9622345696</v>
      </c>
      <c r="S31" s="297"/>
      <c r="T31" s="316"/>
      <c r="U31" s="89">
        <f t="shared" si="1"/>
        <v>0.11224570565505103</v>
      </c>
      <c r="V31" s="298"/>
      <c r="W31" s="315"/>
    </row>
    <row r="32" spans="1:23">
      <c r="A32" s="97"/>
      <c r="B32" s="97"/>
      <c r="C32" s="97"/>
      <c r="D32" s="355">
        <f t="shared" si="4"/>
        <v>46258</v>
      </c>
      <c r="E32" s="355" t="s">
        <v>445</v>
      </c>
      <c r="F32" s="229">
        <v>8622282</v>
      </c>
      <c r="H32" s="316"/>
      <c r="I32" s="230">
        <v>251840</v>
      </c>
      <c r="K32" s="317"/>
      <c r="L32" s="229">
        <v>5768198</v>
      </c>
      <c r="M32" s="86"/>
      <c r="N32" s="316"/>
      <c r="O32" s="89">
        <f t="shared" si="0"/>
        <v>0.66898739799974072</v>
      </c>
      <c r="P32" s="298"/>
      <c r="Q32" s="315"/>
      <c r="R32" s="229">
        <v>993085.81433179218</v>
      </c>
      <c r="S32" s="86"/>
      <c r="T32" s="316"/>
      <c r="U32" s="89">
        <f t="shared" si="1"/>
        <v>0.11517667994758142</v>
      </c>
      <c r="V32" s="298"/>
      <c r="W32" s="315"/>
    </row>
    <row r="33" spans="1:23" s="434" customFormat="1">
      <c r="A33" s="428"/>
      <c r="B33" s="428"/>
      <c r="C33" s="428"/>
      <c r="D33" s="299">
        <f t="shared" si="4"/>
        <v>46259</v>
      </c>
      <c r="E33" s="299" t="s">
        <v>446</v>
      </c>
      <c r="F33" s="436"/>
      <c r="G33" s="437">
        <f>SUM(F33:F39)</f>
        <v>0</v>
      </c>
      <c r="H33" s="438"/>
      <c r="I33" s="439"/>
      <c r="J33" s="336">
        <f>SUM(I33:I39)</f>
        <v>0</v>
      </c>
      <c r="K33" s="440"/>
      <c r="L33" s="229"/>
      <c r="M33" s="437">
        <f>SUM(L33:L39)</f>
        <v>0</v>
      </c>
      <c r="N33" s="438"/>
      <c r="O33" s="441" t="e">
        <f t="shared" si="0"/>
        <v>#DIV/0!</v>
      </c>
      <c r="P33" s="441" t="e">
        <f>M33/G33</f>
        <v>#DIV/0!</v>
      </c>
      <c r="Q33" s="442"/>
      <c r="R33" s="436"/>
      <c r="S33" s="437">
        <f>SUM(R33:R39)</f>
        <v>0</v>
      </c>
      <c r="T33" s="438"/>
      <c r="U33" s="441" t="e">
        <f t="shared" si="1"/>
        <v>#DIV/0!</v>
      </c>
      <c r="V33" s="441" t="e">
        <f>S33/G33</f>
        <v>#DIV/0!</v>
      </c>
      <c r="W33" s="433"/>
    </row>
    <row r="34" spans="1:23" s="434" customFormat="1">
      <c r="A34" s="428"/>
      <c r="B34" s="428"/>
      <c r="C34" s="428"/>
      <c r="D34" s="299">
        <f t="shared" si="4"/>
        <v>46260</v>
      </c>
      <c r="E34" s="299" t="s">
        <v>447</v>
      </c>
      <c r="F34" s="436"/>
      <c r="G34" s="443"/>
      <c r="H34" s="438"/>
      <c r="I34" s="439"/>
      <c r="J34" s="336"/>
      <c r="K34" s="440"/>
      <c r="L34" s="229"/>
      <c r="M34" s="437"/>
      <c r="N34" s="438"/>
      <c r="O34" s="441" t="e">
        <f t="shared" si="0"/>
        <v>#DIV/0!</v>
      </c>
      <c r="P34" s="441"/>
      <c r="Q34" s="442"/>
      <c r="R34" s="436"/>
      <c r="S34" s="437"/>
      <c r="T34" s="438"/>
      <c r="U34" s="441" t="e">
        <f t="shared" si="1"/>
        <v>#DIV/0!</v>
      </c>
      <c r="V34" s="441"/>
      <c r="W34" s="433"/>
    </row>
    <row r="35" spans="1:23" s="434" customFormat="1">
      <c r="A35" s="428"/>
      <c r="B35" s="428"/>
      <c r="D35" s="299">
        <f>D34+1</f>
        <v>46261</v>
      </c>
      <c r="E35" s="299" t="s">
        <v>448</v>
      </c>
      <c r="F35" s="436"/>
      <c r="G35" s="437"/>
      <c r="H35" s="443"/>
      <c r="I35" s="439"/>
      <c r="J35" s="336"/>
      <c r="K35" s="336"/>
      <c r="L35" s="229"/>
      <c r="M35" s="437"/>
      <c r="N35" s="443"/>
      <c r="O35" s="441" t="e">
        <f t="shared" si="0"/>
        <v>#DIV/0!</v>
      </c>
      <c r="P35" s="441"/>
      <c r="Q35" s="443"/>
      <c r="R35" s="436"/>
      <c r="S35" s="437"/>
      <c r="T35" s="443"/>
      <c r="U35" s="441" t="e">
        <f t="shared" si="1"/>
        <v>#DIV/0!</v>
      </c>
      <c r="V35" s="441"/>
      <c r="W35" s="435"/>
    </row>
    <row r="36" spans="1:23" s="434" customFormat="1">
      <c r="A36" s="428"/>
      <c r="B36" s="428"/>
      <c r="C36" s="428"/>
      <c r="D36" s="299">
        <f t="shared" ref="D36:D39" si="5">D35+1</f>
        <v>46262</v>
      </c>
      <c r="E36" s="299" t="s">
        <v>449</v>
      </c>
      <c r="F36" s="436"/>
      <c r="G36" s="437"/>
      <c r="H36" s="438"/>
      <c r="I36" s="439"/>
      <c r="J36" s="336"/>
      <c r="K36" s="440"/>
      <c r="L36" s="229"/>
      <c r="M36" s="437"/>
      <c r="N36" s="438"/>
      <c r="O36" s="441" t="e">
        <f t="shared" si="0"/>
        <v>#DIV/0!</v>
      </c>
      <c r="P36" s="441"/>
      <c r="Q36" s="442"/>
      <c r="R36" s="436"/>
      <c r="S36" s="437"/>
      <c r="T36" s="438"/>
      <c r="U36" s="441" t="e">
        <f t="shared" si="1"/>
        <v>#DIV/0!</v>
      </c>
      <c r="V36" s="441"/>
      <c r="W36" s="433"/>
    </row>
    <row r="37" spans="1:23" s="434" customFormat="1">
      <c r="A37" s="428"/>
      <c r="B37" s="428"/>
      <c r="D37" s="299">
        <f t="shared" si="5"/>
        <v>46263</v>
      </c>
      <c r="E37" s="299" t="s">
        <v>450</v>
      </c>
      <c r="F37" s="436"/>
      <c r="G37" s="437"/>
      <c r="H37" s="443"/>
      <c r="I37" s="439"/>
      <c r="J37" s="336"/>
      <c r="K37" s="336"/>
      <c r="L37" s="436"/>
      <c r="M37" s="437"/>
      <c r="N37" s="443"/>
      <c r="O37" s="441" t="e">
        <f t="shared" si="0"/>
        <v>#DIV/0!</v>
      </c>
      <c r="P37" s="441"/>
      <c r="Q37" s="443"/>
      <c r="R37" s="436"/>
      <c r="S37" s="437"/>
      <c r="T37" s="443"/>
      <c r="U37" s="441" t="e">
        <f t="shared" si="1"/>
        <v>#DIV/0!</v>
      </c>
      <c r="V37" s="441"/>
      <c r="W37" s="435"/>
    </row>
    <row r="38" spans="1:23" s="434" customFormat="1">
      <c r="A38" s="428"/>
      <c r="B38" s="428"/>
      <c r="D38" s="299">
        <f t="shared" si="5"/>
        <v>46264</v>
      </c>
      <c r="E38" s="299" t="s">
        <v>451</v>
      </c>
      <c r="F38" s="436"/>
      <c r="G38" s="437"/>
      <c r="H38" s="443"/>
      <c r="I38" s="439"/>
      <c r="J38" s="336"/>
      <c r="K38" s="336"/>
      <c r="L38" s="436"/>
      <c r="M38" s="437"/>
      <c r="N38" s="443"/>
      <c r="O38" s="441" t="e">
        <f t="shared" si="0"/>
        <v>#DIV/0!</v>
      </c>
      <c r="P38" s="441"/>
      <c r="Q38" s="443"/>
      <c r="R38" s="436"/>
      <c r="S38" s="437"/>
      <c r="T38" s="443"/>
      <c r="U38" s="441" t="e">
        <f t="shared" si="1"/>
        <v>#DIV/0!</v>
      </c>
      <c r="V38" s="441"/>
      <c r="W38" s="435"/>
    </row>
    <row r="39" spans="1:23" s="434" customFormat="1">
      <c r="A39" s="428"/>
      <c r="B39" s="428"/>
      <c r="D39" s="299">
        <f t="shared" si="5"/>
        <v>46265</v>
      </c>
      <c r="E39" s="299" t="s">
        <v>445</v>
      </c>
      <c r="F39" s="436"/>
      <c r="G39" s="437"/>
      <c r="H39" s="443"/>
      <c r="I39" s="439"/>
      <c r="J39" s="336"/>
      <c r="K39" s="336"/>
      <c r="L39" s="436"/>
      <c r="M39" s="437"/>
      <c r="N39" s="443"/>
      <c r="O39" s="441" t="e">
        <f t="shared" si="0"/>
        <v>#DIV/0!</v>
      </c>
      <c r="P39" s="441"/>
      <c r="Q39" s="443"/>
      <c r="R39" s="436"/>
      <c r="S39" s="437"/>
      <c r="T39" s="443"/>
      <c r="U39" s="441" t="e">
        <f t="shared" si="1"/>
        <v>#DIV/0!</v>
      </c>
      <c r="V39" s="441"/>
      <c r="W39" s="435"/>
    </row>
    <row r="40" spans="1:23">
      <c r="A40" s="97"/>
      <c r="B40" s="97"/>
      <c r="D40" s="355"/>
      <c r="E40" s="355"/>
      <c r="F40" s="229"/>
      <c r="G40" s="437">
        <f>SUM(F40:F46)</f>
        <v>0</v>
      </c>
      <c r="I40" s="230"/>
      <c r="J40" s="336">
        <f>SUM(I40:I46)</f>
        <v>0</v>
      </c>
      <c r="L40" s="229"/>
      <c r="M40" s="437">
        <f>SUM(L40:L46)</f>
        <v>0</v>
      </c>
      <c r="N40" s="86"/>
      <c r="O40" s="89" t="e">
        <f>L40/F40</f>
        <v>#DIV/0!</v>
      </c>
      <c r="P40" s="441" t="e">
        <f>M40/G40</f>
        <v>#DIV/0!</v>
      </c>
      <c r="Q40" s="86"/>
      <c r="R40" s="229"/>
      <c r="S40" s="437">
        <f>SUM(R40:R46)</f>
        <v>0</v>
      </c>
      <c r="T40" s="86"/>
      <c r="U40" s="89" t="e">
        <f t="shared" si="1"/>
        <v>#DIV/0!</v>
      </c>
      <c r="V40" s="441" t="e">
        <f>S40/G40</f>
        <v>#DIV/0!</v>
      </c>
      <c r="W40" s="86"/>
    </row>
    <row r="41" spans="1:23">
      <c r="A41" s="97"/>
      <c r="B41" s="97"/>
      <c r="D41" s="355"/>
      <c r="E41" s="355"/>
      <c r="F41" s="229"/>
      <c r="G41" s="297"/>
      <c r="I41" s="230"/>
      <c r="L41" s="229"/>
      <c r="M41" s="297"/>
      <c r="N41" s="86"/>
      <c r="O41" s="89" t="e">
        <f t="shared" ref="O41:O46" si="6">L41/F41</f>
        <v>#DIV/0!</v>
      </c>
      <c r="Q41" s="86"/>
      <c r="R41" s="229"/>
      <c r="S41" s="297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55"/>
      <c r="E42" s="355"/>
      <c r="F42" s="229"/>
      <c r="G42" s="297"/>
      <c r="I42" s="230"/>
      <c r="L42" s="229"/>
      <c r="M42" s="297"/>
      <c r="N42" s="86"/>
      <c r="O42" s="89" t="e">
        <f t="shared" si="6"/>
        <v>#DIV/0!</v>
      </c>
      <c r="Q42" s="86"/>
      <c r="R42" s="229"/>
      <c r="S42" s="297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55"/>
      <c r="E43" s="355"/>
      <c r="F43" s="229"/>
      <c r="G43" s="297"/>
      <c r="I43" s="230"/>
      <c r="L43" s="229"/>
      <c r="M43" s="297"/>
      <c r="N43" s="86"/>
      <c r="O43" s="89" t="e">
        <f t="shared" si="6"/>
        <v>#DIV/0!</v>
      </c>
      <c r="Q43" s="86"/>
      <c r="R43" s="229"/>
      <c r="S43" s="297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55"/>
      <c r="E44" s="355"/>
      <c r="F44" s="229"/>
      <c r="G44" s="297"/>
      <c r="I44" s="230"/>
      <c r="L44" s="229"/>
      <c r="M44" s="297"/>
      <c r="N44" s="86"/>
      <c r="O44" s="89" t="e">
        <f t="shared" si="6"/>
        <v>#DIV/0!</v>
      </c>
      <c r="Q44" s="86"/>
      <c r="R44" s="229"/>
      <c r="S44" s="297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55"/>
      <c r="E45" s="355"/>
      <c r="F45" s="229"/>
      <c r="G45" s="297"/>
      <c r="I45" s="230"/>
      <c r="L45" s="229"/>
      <c r="M45" s="297"/>
      <c r="N45" s="86"/>
      <c r="O45" s="89" t="e">
        <f t="shared" si="6"/>
        <v>#DIV/0!</v>
      </c>
      <c r="Q45" s="86"/>
      <c r="R45" s="229"/>
      <c r="S45" s="297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55"/>
      <c r="E46" s="355"/>
      <c r="F46" s="229"/>
      <c r="G46" s="297"/>
      <c r="I46" s="230"/>
      <c r="L46" s="229"/>
      <c r="M46" s="297"/>
      <c r="N46" s="86"/>
      <c r="O46" s="89" t="e">
        <f t="shared" si="6"/>
        <v>#DIV/0!</v>
      </c>
      <c r="Q46" s="86"/>
      <c r="R46" s="229"/>
      <c r="S46" s="297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F47" s="541"/>
      <c r="I47" s="542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P51" sqref="P51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315</v>
      </c>
      <c r="C1" s="83">
        <v>366</v>
      </c>
    </row>
    <row r="2" spans="2:23" ht="38.1" customHeight="1">
      <c r="B2" s="611" t="s">
        <v>126</v>
      </c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618"/>
      <c r="U2" s="618"/>
    </row>
    <row r="3" spans="2:23" s="72" customFormat="1" ht="23.45" customHeight="1">
      <c r="B3" s="97"/>
      <c r="C3" s="615" t="s">
        <v>116</v>
      </c>
      <c r="D3" s="616" t="s">
        <v>105</v>
      </c>
      <c r="E3" s="616"/>
      <c r="F3" s="619" t="s">
        <v>107</v>
      </c>
      <c r="G3" s="619"/>
      <c r="H3" s="619"/>
      <c r="I3" s="621" t="s">
        <v>108</v>
      </c>
      <c r="J3" s="621"/>
      <c r="K3" s="621"/>
      <c r="L3" s="620" t="s">
        <v>305</v>
      </c>
      <c r="M3" s="620"/>
      <c r="N3" s="620"/>
      <c r="O3" s="620" t="s">
        <v>106</v>
      </c>
      <c r="P3" s="620"/>
      <c r="Q3" s="620"/>
      <c r="R3" s="620" t="s">
        <v>109</v>
      </c>
      <c r="S3" s="620"/>
      <c r="T3" s="620"/>
      <c r="U3" s="620" t="s">
        <v>110</v>
      </c>
      <c r="V3" s="620"/>
      <c r="W3" s="620"/>
    </row>
    <row r="4" spans="2:23" ht="15.75">
      <c r="B4" s="97"/>
      <c r="C4" s="615"/>
      <c r="D4" s="616"/>
      <c r="E4" s="616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299">
        <v>46231</v>
      </c>
      <c r="E5" s="299" t="s">
        <v>446</v>
      </c>
      <c r="F5" s="444">
        <v>328.4248285461149</v>
      </c>
      <c r="G5" s="92"/>
      <c r="H5" s="92"/>
      <c r="I5" s="89">
        <f>F5/$C$1</f>
        <v>0.89733559712053246</v>
      </c>
      <c r="J5" s="213"/>
      <c r="K5" s="213"/>
      <c r="L5" s="447">
        <v>2.4388992301967454E-3</v>
      </c>
      <c r="M5" s="298"/>
      <c r="N5" s="298"/>
      <c r="O5" s="447">
        <v>4.0723096480537449E-3</v>
      </c>
      <c r="P5" s="298"/>
      <c r="Q5" s="298"/>
      <c r="R5" s="232">
        <v>0.91700000000000004</v>
      </c>
      <c r="S5" s="213"/>
      <c r="T5" s="298"/>
      <c r="U5" s="449">
        <v>0.628</v>
      </c>
      <c r="V5" s="213"/>
      <c r="W5" s="298"/>
    </row>
    <row r="6" spans="2:23" ht="14.45" customHeight="1">
      <c r="B6" s="97"/>
      <c r="C6" s="97"/>
      <c r="D6" s="299">
        <f t="shared" ref="D6" si="0">D5+1</f>
        <v>46232</v>
      </c>
      <c r="E6" s="299" t="s">
        <v>447</v>
      </c>
      <c r="F6" s="444">
        <v>328.50777581631075</v>
      </c>
      <c r="G6" s="93">
        <f>AVERAGE(F5:F11)</f>
        <v>334.52225648057777</v>
      </c>
      <c r="H6" s="92"/>
      <c r="I6" s="89">
        <f>F6/$C$1</f>
        <v>0.89756222900631355</v>
      </c>
      <c r="J6" s="213">
        <f>AVERAGE(I5:I11)</f>
        <v>0.91399523628573187</v>
      </c>
      <c r="K6" s="213"/>
      <c r="L6" s="447">
        <v>2.4210970163050711E-3</v>
      </c>
      <c r="M6" s="298">
        <f>AVERAGE(L5:L11)</f>
        <v>2.4198242433001622E-3</v>
      </c>
      <c r="N6" s="298"/>
      <c r="O6" s="447">
        <v>4.0365122693396035E-3</v>
      </c>
      <c r="P6" s="298">
        <f>AVERAGE(O5:O11)</f>
        <v>4.0222240714083606E-3</v>
      </c>
      <c r="Q6" s="298"/>
      <c r="R6" s="232">
        <v>0.91700000000000004</v>
      </c>
      <c r="S6" s="213">
        <f>AVERAGE(R5:R11)</f>
        <v>0.91699999999999993</v>
      </c>
      <c r="T6" s="298"/>
      <c r="U6" s="449">
        <v>0.63</v>
      </c>
      <c r="V6" s="213">
        <f>AVERAGE(U5:U11)</f>
        <v>0.63428571428571434</v>
      </c>
      <c r="W6" s="298"/>
    </row>
    <row r="7" spans="2:23" ht="14.45" customHeight="1">
      <c r="B7" s="97"/>
      <c r="C7" s="97"/>
      <c r="D7" s="299">
        <f>D6+1</f>
        <v>46233</v>
      </c>
      <c r="E7" s="299" t="s">
        <v>448</v>
      </c>
      <c r="F7" s="444">
        <v>338.97033023101329</v>
      </c>
      <c r="I7" s="89">
        <f t="shared" ref="I7:I40" si="1">F7/$C$1</f>
        <v>0.9261484432541347</v>
      </c>
      <c r="J7" s="213"/>
      <c r="L7" s="447">
        <v>2.4213998695408259E-3</v>
      </c>
      <c r="M7" s="298"/>
      <c r="O7" s="447">
        <v>3.9859059441865498E-3</v>
      </c>
      <c r="P7" s="298"/>
      <c r="R7" s="232">
        <v>0.91700000000000004</v>
      </c>
      <c r="S7" s="213"/>
      <c r="U7" s="449">
        <v>0.63200000000000001</v>
      </c>
      <c r="V7" s="213"/>
    </row>
    <row r="8" spans="2:23" ht="14.45" customHeight="1">
      <c r="B8" s="97"/>
      <c r="C8" s="97"/>
      <c r="D8" s="299">
        <f t="shared" ref="D8:D34" si="2">D7+1</f>
        <v>46234</v>
      </c>
      <c r="E8" s="299" t="s">
        <v>449</v>
      </c>
      <c r="F8" s="444">
        <v>340.37942666573224</v>
      </c>
      <c r="G8" s="92"/>
      <c r="H8" s="92"/>
      <c r="I8" s="89">
        <f t="shared" si="1"/>
        <v>0.92999843351292966</v>
      </c>
      <c r="J8" s="213"/>
      <c r="K8" s="213"/>
      <c r="L8" s="447">
        <v>2.4203802039652021E-3</v>
      </c>
      <c r="M8" s="298"/>
      <c r="N8" s="298"/>
      <c r="O8" s="447">
        <v>4.1277674793460881E-3</v>
      </c>
      <c r="P8" s="298"/>
      <c r="Q8" s="298"/>
      <c r="R8" s="232">
        <v>0.91700000000000004</v>
      </c>
      <c r="S8" s="213"/>
      <c r="T8" s="298"/>
      <c r="U8" s="449">
        <v>0.63400000000000001</v>
      </c>
      <c r="V8" s="213"/>
      <c r="W8" s="298"/>
    </row>
    <row r="9" spans="2:23" ht="14.45" customHeight="1">
      <c r="B9" s="97"/>
      <c r="C9" s="97"/>
      <c r="D9" s="299">
        <f t="shared" si="2"/>
        <v>46235</v>
      </c>
      <c r="E9" s="299" t="s">
        <v>450</v>
      </c>
      <c r="F9" s="444">
        <v>343.88787883985617</v>
      </c>
      <c r="G9" s="92"/>
      <c r="H9" s="92"/>
      <c r="I9" s="89">
        <f t="shared" si="1"/>
        <v>0.93958436841490756</v>
      </c>
      <c r="J9" s="213"/>
      <c r="K9" s="213"/>
      <c r="L9" s="447">
        <v>2.4074657463119455E-3</v>
      </c>
      <c r="M9" s="298"/>
      <c r="N9" s="298"/>
      <c r="O9" s="447">
        <v>4.0692649086942869E-3</v>
      </c>
      <c r="P9" s="298"/>
      <c r="Q9" s="298"/>
      <c r="R9" s="232">
        <v>0.91700000000000004</v>
      </c>
      <c r="S9" s="213"/>
      <c r="T9" s="298"/>
      <c r="U9" s="449">
        <v>0.63600000000000001</v>
      </c>
      <c r="V9" s="213"/>
      <c r="W9" s="298"/>
    </row>
    <row r="10" spans="2:23" ht="14.45" customHeight="1">
      <c r="B10" s="97"/>
      <c r="C10" s="97"/>
      <c r="D10" s="299">
        <f t="shared" si="2"/>
        <v>46236</v>
      </c>
      <c r="E10" s="299" t="s">
        <v>451</v>
      </c>
      <c r="F10" s="444">
        <v>332.5855552650176</v>
      </c>
      <c r="G10" s="92"/>
      <c r="H10" s="92">
        <f>AVERAGE(F6:F36)</f>
        <v>336.70238328894715</v>
      </c>
      <c r="I10" s="89">
        <f t="shared" si="1"/>
        <v>0.90870370290988411</v>
      </c>
      <c r="J10" s="213"/>
      <c r="K10" s="213">
        <f>AVERAGE(I6:I36)</f>
        <v>0.80124840021166688</v>
      </c>
      <c r="L10" s="447">
        <v>2.4088657874870131E-3</v>
      </c>
      <c r="M10" s="298"/>
      <c r="N10" s="298">
        <f>AVERAGE(L6:L36)</f>
        <v>2.4155473737288041E-3</v>
      </c>
      <c r="O10" s="447">
        <v>3.9230234296986338E-3</v>
      </c>
      <c r="P10" s="298"/>
      <c r="Q10" s="298">
        <f>AVERAGE(O6:O36)</f>
        <v>4.0218581040081958E-3</v>
      </c>
      <c r="R10" s="232">
        <v>0.91700000000000004</v>
      </c>
      <c r="S10" s="213"/>
      <c r="T10" s="213">
        <f>AVERAGE(R6:R36)</f>
        <v>0.91700000000000059</v>
      </c>
      <c r="U10" s="449">
        <v>0.64</v>
      </c>
      <c r="V10" s="213"/>
      <c r="W10" s="213">
        <f>AVERAGE(U6:U36)</f>
        <v>0.65503703703703708</v>
      </c>
    </row>
    <row r="11" spans="2:23" ht="14.45" customHeight="1">
      <c r="B11" s="97"/>
      <c r="C11" s="97"/>
      <c r="D11" s="299">
        <f t="shared" si="2"/>
        <v>46237</v>
      </c>
      <c r="E11" s="299" t="s">
        <v>445</v>
      </c>
      <c r="F11" s="444">
        <v>328.9</v>
      </c>
      <c r="G11" s="92"/>
      <c r="H11" s="92"/>
      <c r="I11" s="89">
        <f t="shared" si="1"/>
        <v>0.89863387978142073</v>
      </c>
      <c r="J11" s="213"/>
      <c r="K11" s="213"/>
      <c r="L11" s="447">
        <v>2.4206618492943325E-3</v>
      </c>
      <c r="M11" s="298"/>
      <c r="N11" s="298"/>
      <c r="O11" s="447">
        <v>3.9407848205396216E-3</v>
      </c>
      <c r="P11" s="298"/>
      <c r="Q11" s="298"/>
      <c r="R11" s="232">
        <v>0.91700000000000004</v>
      </c>
      <c r="S11" s="213"/>
      <c r="T11" s="298"/>
      <c r="U11" s="449">
        <v>0.64</v>
      </c>
      <c r="V11" s="213"/>
      <c r="W11" s="213"/>
    </row>
    <row r="12" spans="2:23" ht="14.45" customHeight="1">
      <c r="B12" s="97"/>
      <c r="C12" s="97"/>
      <c r="D12" s="355">
        <f t="shared" si="2"/>
        <v>46238</v>
      </c>
      <c r="E12" s="355" t="s">
        <v>446</v>
      </c>
      <c r="F12" s="228">
        <v>331.44501150401555</v>
      </c>
      <c r="G12" s="92">
        <f>AVERAGE(F12:F18)</f>
        <v>337.77196419729756</v>
      </c>
      <c r="H12" s="92"/>
      <c r="I12" s="89">
        <f t="shared" si="1"/>
        <v>0.90558746312572558</v>
      </c>
      <c r="J12" s="213">
        <f>AVERAGE(I12:I18)</f>
        <v>0.92287421911829903</v>
      </c>
      <c r="K12" s="213"/>
      <c r="L12" s="246">
        <v>2.4317094760751452E-3</v>
      </c>
      <c r="M12" s="298">
        <f>AVERAGE(L12:L18)</f>
        <v>2.4189888231761479E-3</v>
      </c>
      <c r="N12" s="298"/>
      <c r="O12" s="246">
        <v>3.9126941391727354E-3</v>
      </c>
      <c r="P12" s="298">
        <f>AVERAGE(O12:O18)</f>
        <v>4.006105428948744E-3</v>
      </c>
      <c r="Q12" s="298"/>
      <c r="R12" s="232">
        <v>0.91700000000000004</v>
      </c>
      <c r="S12" s="213">
        <f>AVERAGE(R12:R18)</f>
        <v>0.91699999999999993</v>
      </c>
      <c r="T12" s="298"/>
      <c r="U12" s="232">
        <v>0.64</v>
      </c>
      <c r="V12" s="213">
        <f>AVERAGE(U12:U18)</f>
        <v>0.64571428571428569</v>
      </c>
      <c r="W12" s="298"/>
    </row>
    <row r="13" spans="2:23" ht="14.45" customHeight="1">
      <c r="B13" s="97"/>
      <c r="C13" s="97"/>
      <c r="D13" s="355">
        <f t="shared" si="2"/>
        <v>46239</v>
      </c>
      <c r="E13" s="355" t="s">
        <v>447</v>
      </c>
      <c r="F13" s="228">
        <v>338.13524042719422</v>
      </c>
      <c r="G13" s="92"/>
      <c r="H13" s="92"/>
      <c r="I13" s="89">
        <f t="shared" si="1"/>
        <v>0.92386677712348142</v>
      </c>
      <c r="J13" s="213"/>
      <c r="K13" s="213"/>
      <c r="L13" s="246">
        <v>2.4327200578729787E-3</v>
      </c>
      <c r="M13" s="298"/>
      <c r="N13" s="298"/>
      <c r="O13" s="246">
        <v>4.0301267263417101E-3</v>
      </c>
      <c r="P13" s="298"/>
      <c r="Q13" s="298"/>
      <c r="R13" s="232">
        <v>0.91700000000000004</v>
      </c>
      <c r="S13" s="213"/>
      <c r="T13" s="298"/>
      <c r="U13" s="232">
        <v>0.64200000000000002</v>
      </c>
      <c r="V13" s="213"/>
      <c r="W13" s="298"/>
    </row>
    <row r="14" spans="2:23" ht="14.45" customHeight="1">
      <c r="B14" s="97"/>
      <c r="C14" s="97"/>
      <c r="D14" s="355">
        <f t="shared" si="2"/>
        <v>46240</v>
      </c>
      <c r="E14" s="355" t="s">
        <v>448</v>
      </c>
      <c r="F14" s="228">
        <v>343.38448265914514</v>
      </c>
      <c r="H14" s="92"/>
      <c r="I14" s="89">
        <f t="shared" si="1"/>
        <v>0.9382089690140577</v>
      </c>
      <c r="J14" s="213"/>
      <c r="K14" s="213"/>
      <c r="L14" s="246">
        <v>2.4072596978250453E-3</v>
      </c>
      <c r="M14" s="298"/>
      <c r="N14" s="298"/>
      <c r="O14" s="246">
        <v>4.0101691537886295E-3</v>
      </c>
      <c r="P14" s="298"/>
      <c r="Q14" s="298"/>
      <c r="R14" s="232">
        <v>0.91700000000000004</v>
      </c>
      <c r="S14" s="213"/>
      <c r="T14" s="298"/>
      <c r="U14" s="232">
        <v>0.64200000000000002</v>
      </c>
      <c r="V14" s="213"/>
      <c r="W14" s="298"/>
    </row>
    <row r="15" spans="2:23" ht="14.45" customHeight="1">
      <c r="B15" s="97"/>
      <c r="C15" s="97"/>
      <c r="D15" s="355">
        <f t="shared" si="2"/>
        <v>46241</v>
      </c>
      <c r="E15" s="355" t="s">
        <v>449</v>
      </c>
      <c r="F15" s="228">
        <v>338.97219891513311</v>
      </c>
      <c r="G15" s="92"/>
      <c r="H15" s="92"/>
      <c r="I15" s="89">
        <f t="shared" si="1"/>
        <v>0.92615354894845114</v>
      </c>
      <c r="J15" s="213"/>
      <c r="K15" s="213"/>
      <c r="L15" s="246">
        <v>2.417055083685542E-3</v>
      </c>
      <c r="M15" s="298"/>
      <c r="N15" s="298"/>
      <c r="O15" s="246">
        <v>4.0877170342113337E-3</v>
      </c>
      <c r="P15" s="298"/>
      <c r="Q15" s="298"/>
      <c r="R15" s="232">
        <v>0.91700000000000004</v>
      </c>
      <c r="S15" s="213"/>
      <c r="T15" s="298"/>
      <c r="U15" s="232">
        <v>0.64400000000000002</v>
      </c>
      <c r="V15" s="213"/>
      <c r="W15" s="298"/>
    </row>
    <row r="16" spans="2:23" ht="14.45" customHeight="1">
      <c r="B16" s="97"/>
      <c r="C16" s="97"/>
      <c r="D16" s="355">
        <f t="shared" si="2"/>
        <v>46242</v>
      </c>
      <c r="E16" s="355" t="s">
        <v>450</v>
      </c>
      <c r="F16" s="228">
        <v>334.99049588230508</v>
      </c>
      <c r="G16" s="92"/>
      <c r="H16" s="92"/>
      <c r="I16" s="89">
        <f t="shared" si="1"/>
        <v>0.91527457891340191</v>
      </c>
      <c r="J16" s="213"/>
      <c r="K16" s="213"/>
      <c r="L16" s="246">
        <v>2.4205796565294844E-3</v>
      </c>
      <c r="M16" s="298"/>
      <c r="N16" s="298"/>
      <c r="O16" s="246">
        <v>4.0921397465732146E-3</v>
      </c>
      <c r="P16" s="298"/>
      <c r="Q16" s="298"/>
      <c r="R16" s="232">
        <v>0.91700000000000004</v>
      </c>
      <c r="S16" s="213"/>
      <c r="T16" s="298"/>
      <c r="U16" s="232">
        <v>0.65</v>
      </c>
      <c r="V16" s="213"/>
      <c r="W16" s="298"/>
    </row>
    <row r="17" spans="2:23" ht="14.45" customHeight="1">
      <c r="B17" s="97"/>
      <c r="C17" s="97"/>
      <c r="D17" s="355">
        <f t="shared" si="2"/>
        <v>46243</v>
      </c>
      <c r="E17" s="355" t="s">
        <v>451</v>
      </c>
      <c r="F17" s="228">
        <v>333.17064781322705</v>
      </c>
      <c r="G17" s="92"/>
      <c r="H17" s="92"/>
      <c r="I17" s="89">
        <f t="shared" si="1"/>
        <v>0.91030231642958215</v>
      </c>
      <c r="J17" s="213"/>
      <c r="K17" s="213"/>
      <c r="L17" s="246">
        <v>2.422535984930585E-3</v>
      </c>
      <c r="M17" s="298"/>
      <c r="N17" s="298"/>
      <c r="O17" s="246">
        <v>3.9300850392660052E-3</v>
      </c>
      <c r="P17" s="298"/>
      <c r="Q17" s="298"/>
      <c r="R17" s="232">
        <v>0.91700000000000004</v>
      </c>
      <c r="S17" s="213"/>
      <c r="T17" s="298"/>
      <c r="U17" s="232">
        <v>0.65</v>
      </c>
      <c r="V17" s="213"/>
      <c r="W17" s="298"/>
    </row>
    <row r="18" spans="2:23" ht="14.45" customHeight="1">
      <c r="B18" s="97"/>
      <c r="C18" s="97"/>
      <c r="D18" s="355">
        <f t="shared" si="2"/>
        <v>46244</v>
      </c>
      <c r="E18" s="355" t="s">
        <v>445</v>
      </c>
      <c r="F18" s="228">
        <v>344.30567218006246</v>
      </c>
      <c r="G18" s="92"/>
      <c r="H18" s="92"/>
      <c r="I18" s="89">
        <f t="shared" si="1"/>
        <v>0.94072588027339465</v>
      </c>
      <c r="J18" s="213"/>
      <c r="K18" s="213"/>
      <c r="L18" s="246">
        <v>2.4010618053142549E-3</v>
      </c>
      <c r="M18" s="298"/>
      <c r="N18" s="298"/>
      <c r="O18" s="246">
        <v>3.9798061632875829E-3</v>
      </c>
      <c r="P18" s="298"/>
      <c r="Q18" s="298"/>
      <c r="R18" s="232">
        <v>0.91700000000000004</v>
      </c>
      <c r="S18" s="213"/>
      <c r="T18" s="298"/>
      <c r="U18" s="232">
        <v>0.65200000000000002</v>
      </c>
      <c r="V18" s="213"/>
      <c r="W18" s="298"/>
    </row>
    <row r="19" spans="2:23" ht="14.45" customHeight="1">
      <c r="B19" s="97"/>
      <c r="C19" s="97"/>
      <c r="D19" s="299">
        <f t="shared" si="2"/>
        <v>46245</v>
      </c>
      <c r="E19" s="299" t="s">
        <v>446</v>
      </c>
      <c r="F19" s="228">
        <v>336.14068218614904</v>
      </c>
      <c r="G19" s="92">
        <f>AVERAGE(F19:F25)</f>
        <v>338.58019892259688</v>
      </c>
      <c r="H19" s="92"/>
      <c r="I19" s="89">
        <f t="shared" si="1"/>
        <v>0.91841716444303012</v>
      </c>
      <c r="J19" s="213">
        <f>AVERAGE(I19:I25)</f>
        <v>0.92508251071747782</v>
      </c>
      <c r="K19" s="213"/>
      <c r="L19" s="246">
        <v>2.4016910701224999E-3</v>
      </c>
      <c r="M19" s="298">
        <f>AVERAGE(L19:L25)</f>
        <v>2.4141756216058312E-3</v>
      </c>
      <c r="N19" s="298"/>
      <c r="O19" s="246">
        <v>4.1310063262723299E-3</v>
      </c>
      <c r="P19" s="298">
        <f>AVERAGE(O19:O25)</f>
        <v>4.0628327196311704E-3</v>
      </c>
      <c r="Q19" s="298"/>
      <c r="R19" s="232">
        <v>0.91700000000000004</v>
      </c>
      <c r="S19" s="213">
        <f>AVERAGE(R19:R25)</f>
        <v>0.91699999999999993</v>
      </c>
      <c r="T19" s="298"/>
      <c r="U19" s="232">
        <v>0.65200000000000002</v>
      </c>
      <c r="V19" s="213">
        <f>AVERAGE(U19:U25)</f>
        <v>0.65971428571428581</v>
      </c>
      <c r="W19" s="298"/>
    </row>
    <row r="20" spans="2:23" ht="14.45" customHeight="1">
      <c r="B20" s="97"/>
      <c r="C20" s="97"/>
      <c r="D20" s="299">
        <f t="shared" si="2"/>
        <v>46246</v>
      </c>
      <c r="E20" s="299" t="s">
        <v>447</v>
      </c>
      <c r="F20" s="228">
        <v>335.43489578114105</v>
      </c>
      <c r="G20" s="92"/>
      <c r="H20" s="92"/>
      <c r="I20" s="89">
        <f t="shared" si="1"/>
        <v>0.9164887862872706</v>
      </c>
      <c r="J20" s="213"/>
      <c r="K20" s="213"/>
      <c r="L20" s="246">
        <v>2.4201691971033499E-3</v>
      </c>
      <c r="M20" s="298"/>
      <c r="N20" s="298"/>
      <c r="O20" s="246">
        <v>4.15357327577256E-3</v>
      </c>
      <c r="P20" s="298"/>
      <c r="Q20" s="298"/>
      <c r="R20" s="232">
        <v>0.91700000000000004</v>
      </c>
      <c r="S20" s="213"/>
      <c r="T20" s="298"/>
      <c r="U20" s="232">
        <v>0.65400000000000003</v>
      </c>
      <c r="V20" s="213"/>
      <c r="W20" s="298"/>
    </row>
    <row r="21" spans="2:23" ht="14.45" customHeight="1">
      <c r="B21" s="97"/>
      <c r="C21" s="97"/>
      <c r="D21" s="299">
        <f t="shared" si="2"/>
        <v>46247</v>
      </c>
      <c r="E21" s="299" t="s">
        <v>448</v>
      </c>
      <c r="F21" s="228">
        <v>334.13408422852507</v>
      </c>
      <c r="G21" s="92"/>
      <c r="H21" s="92"/>
      <c r="I21" s="89">
        <f t="shared" si="1"/>
        <v>0.91293465636209037</v>
      </c>
      <c r="J21" s="213"/>
      <c r="K21" s="213"/>
      <c r="L21" s="246">
        <v>2.4315083452260398E-3</v>
      </c>
      <c r="M21" s="298"/>
      <c r="N21" s="298"/>
      <c r="O21" s="246">
        <v>4.1547394258987704E-3</v>
      </c>
      <c r="P21" s="298"/>
      <c r="Q21" s="298"/>
      <c r="R21" s="232">
        <v>0.91700000000000004</v>
      </c>
      <c r="S21" s="213"/>
      <c r="T21" s="298"/>
      <c r="U21" s="232">
        <v>0.65600000000000003</v>
      </c>
      <c r="V21" s="213"/>
      <c r="W21" s="298"/>
    </row>
    <row r="22" spans="2:23" ht="14.45" customHeight="1">
      <c r="B22" s="97"/>
      <c r="C22" s="97"/>
      <c r="D22" s="299">
        <f t="shared" si="2"/>
        <v>46248</v>
      </c>
      <c r="E22" s="299" t="s">
        <v>449</v>
      </c>
      <c r="F22" s="228">
        <v>341.56336985956347</v>
      </c>
      <c r="G22" s="92"/>
      <c r="H22" s="92"/>
      <c r="I22" s="89">
        <f t="shared" si="1"/>
        <v>0.93323325098241383</v>
      </c>
      <c r="J22" s="213"/>
      <c r="K22" s="213"/>
      <c r="L22" s="246">
        <v>2.43889600707094E-3</v>
      </c>
      <c r="M22" s="298"/>
      <c r="N22" s="298"/>
      <c r="O22" s="246">
        <v>4.0932167139483703E-3</v>
      </c>
      <c r="P22" s="298"/>
      <c r="Q22" s="298"/>
      <c r="R22" s="232">
        <v>0.91700000000000004</v>
      </c>
      <c r="S22" s="213"/>
      <c r="T22" s="298"/>
      <c r="U22" s="232">
        <v>0.65800000000000003</v>
      </c>
      <c r="V22" s="213"/>
      <c r="W22" s="298"/>
    </row>
    <row r="23" spans="2:23" ht="14.45" customHeight="1">
      <c r="B23" s="97"/>
      <c r="C23" s="97"/>
      <c r="D23" s="299">
        <f t="shared" si="2"/>
        <v>46249</v>
      </c>
      <c r="E23" s="299" t="s">
        <v>450</v>
      </c>
      <c r="F23" s="228">
        <v>339.89372218622833</v>
      </c>
      <c r="G23" s="92"/>
      <c r="H23" s="92"/>
      <c r="I23" s="89">
        <f t="shared" si="1"/>
        <v>0.92867137209352002</v>
      </c>
      <c r="J23" s="213"/>
      <c r="K23" s="213"/>
      <c r="L23" s="246">
        <v>2.40830791278125E-3</v>
      </c>
      <c r="M23" s="298"/>
      <c r="N23" s="298"/>
      <c r="O23" s="246">
        <v>3.9812960319954198E-3</v>
      </c>
      <c r="P23" s="298"/>
      <c r="Q23" s="298"/>
      <c r="R23" s="232">
        <v>0.91700000000000004</v>
      </c>
      <c r="S23" s="213"/>
      <c r="T23" s="298"/>
      <c r="U23" s="232">
        <v>0.66500000000000004</v>
      </c>
      <c r="V23" s="213"/>
      <c r="W23" s="298"/>
    </row>
    <row r="24" spans="2:23" ht="14.45" customHeight="1">
      <c r="B24" s="97"/>
      <c r="C24" s="97"/>
      <c r="D24" s="299">
        <f t="shared" si="2"/>
        <v>46250</v>
      </c>
      <c r="E24" s="299" t="s">
        <v>451</v>
      </c>
      <c r="F24" s="228">
        <v>338.11098588846875</v>
      </c>
      <c r="G24" s="92"/>
      <c r="H24" s="92"/>
      <c r="I24" s="89">
        <f t="shared" si="1"/>
        <v>0.92380050789199109</v>
      </c>
      <c r="J24" s="213"/>
      <c r="K24" s="213"/>
      <c r="L24" s="246">
        <v>2.39908405200664E-3</v>
      </c>
      <c r="M24" s="298"/>
      <c r="N24" s="298"/>
      <c r="O24" s="246">
        <v>3.9273335083726902E-3</v>
      </c>
      <c r="P24" s="298"/>
      <c r="Q24" s="298"/>
      <c r="R24" s="232">
        <v>0.91700000000000004</v>
      </c>
      <c r="S24" s="213"/>
      <c r="T24" s="298"/>
      <c r="U24" s="232">
        <v>0.66500000000000004</v>
      </c>
      <c r="V24" s="213"/>
      <c r="W24" s="298"/>
    </row>
    <row r="25" spans="2:23" ht="14.45" customHeight="1">
      <c r="B25" s="97"/>
      <c r="C25" s="97"/>
      <c r="D25" s="299">
        <f t="shared" si="2"/>
        <v>46251</v>
      </c>
      <c r="E25" s="299" t="s">
        <v>445</v>
      </c>
      <c r="F25" s="228">
        <v>344.78365232810222</v>
      </c>
      <c r="G25" s="92"/>
      <c r="H25" s="92"/>
      <c r="I25" s="89">
        <f t="shared" si="1"/>
        <v>0.94203183696202797</v>
      </c>
      <c r="J25" s="213"/>
      <c r="K25" s="213"/>
      <c r="L25" s="246">
        <v>2.3995727669301001E-3</v>
      </c>
      <c r="M25" s="298"/>
      <c r="N25" s="298"/>
      <c r="O25" s="246">
        <v>3.9986637551580502E-3</v>
      </c>
      <c r="P25" s="298"/>
      <c r="Q25" s="298"/>
      <c r="R25" s="232">
        <v>0.91700000000000004</v>
      </c>
      <c r="S25" s="213"/>
      <c r="T25" s="298"/>
      <c r="U25" s="232">
        <v>0.66800000000000004</v>
      </c>
      <c r="V25" s="213"/>
      <c r="W25" s="298"/>
    </row>
    <row r="26" spans="2:23" ht="14.45" customHeight="1">
      <c r="B26" s="97"/>
      <c r="C26" s="97"/>
      <c r="D26" s="355">
        <f t="shared" si="2"/>
        <v>46252</v>
      </c>
      <c r="E26" s="355" t="s">
        <v>446</v>
      </c>
      <c r="F26" s="228">
        <v>330.29075633332843</v>
      </c>
      <c r="G26" s="92">
        <f>AVERAGE(F26:F32)</f>
        <v>334.75260573491187</v>
      </c>
      <c r="H26" s="92"/>
      <c r="I26" s="89">
        <f t="shared" si="1"/>
        <v>0.90243376047357493</v>
      </c>
      <c r="J26" s="213">
        <f>AVERAGE(I26:I32)</f>
        <v>0.91462460583309257</v>
      </c>
      <c r="K26" s="213"/>
      <c r="L26" s="246">
        <v>2.420717977178093E-3</v>
      </c>
      <c r="M26" s="298">
        <f>AVERAGE(L26:L32)</f>
        <v>2.4125367863284926E-3</v>
      </c>
      <c r="N26" s="298"/>
      <c r="O26" s="246">
        <v>3.9389033240603928E-3</v>
      </c>
      <c r="P26" s="298">
        <f>AVERAGE(O26:O32)</f>
        <v>4.0034775594795817E-3</v>
      </c>
      <c r="Q26" s="298"/>
      <c r="R26" s="232">
        <v>0.91700000000000004</v>
      </c>
      <c r="S26" s="213">
        <f>AVERAGE(R26:R32)</f>
        <v>0.91699999999999993</v>
      </c>
      <c r="T26" s="298"/>
      <c r="U26" s="232">
        <v>0.67</v>
      </c>
      <c r="V26" s="213">
        <f>AVERAGE(U26:U32)</f>
        <v>0.67657142857142871</v>
      </c>
      <c r="W26" s="298"/>
    </row>
    <row r="27" spans="2:23" ht="14.45" customHeight="1">
      <c r="B27" s="97"/>
      <c r="C27" s="97"/>
      <c r="D27" s="355">
        <f t="shared" si="2"/>
        <v>46253</v>
      </c>
      <c r="E27" s="355" t="s">
        <v>447</v>
      </c>
      <c r="F27" s="228">
        <v>333.11304331892092</v>
      </c>
      <c r="G27" s="92"/>
      <c r="H27" s="92"/>
      <c r="I27" s="89">
        <f t="shared" si="1"/>
        <v>0.9101449271008768</v>
      </c>
      <c r="J27" s="213"/>
      <c r="K27" s="213"/>
      <c r="L27" s="246">
        <v>2.3982787256236486E-3</v>
      </c>
      <c r="M27" s="298"/>
      <c r="N27" s="298"/>
      <c r="O27" s="246">
        <v>3.9493117295026758E-3</v>
      </c>
      <c r="P27" s="298"/>
      <c r="Q27" s="298"/>
      <c r="R27" s="232">
        <v>0.91700000000000004</v>
      </c>
      <c r="S27" s="213"/>
      <c r="T27" s="298"/>
      <c r="U27" s="232">
        <v>0.67200000000000004</v>
      </c>
      <c r="V27" s="213"/>
      <c r="W27" s="298"/>
    </row>
    <row r="28" spans="2:23" ht="14.45" customHeight="1">
      <c r="B28" s="97"/>
      <c r="C28" s="97"/>
      <c r="D28" s="355">
        <f t="shared" si="2"/>
        <v>46254</v>
      </c>
      <c r="E28" s="355" t="s">
        <v>448</v>
      </c>
      <c r="F28" s="228">
        <v>337.31652493174028</v>
      </c>
      <c r="G28" s="92"/>
      <c r="H28" s="92"/>
      <c r="I28" s="89">
        <f t="shared" si="1"/>
        <v>0.92162984954027394</v>
      </c>
      <c r="J28" s="213"/>
      <c r="K28" s="213"/>
      <c r="L28" s="246">
        <v>2.4192463554637738E-3</v>
      </c>
      <c r="M28" s="298"/>
      <c r="N28" s="298"/>
      <c r="O28" s="246">
        <v>4.0008581499131985E-3</v>
      </c>
      <c r="P28" s="298"/>
      <c r="Q28" s="298"/>
      <c r="R28" s="232">
        <v>0.91700000000000004</v>
      </c>
      <c r="S28" s="213"/>
      <c r="T28" s="298"/>
      <c r="U28" s="232">
        <v>0.67200000000000004</v>
      </c>
      <c r="V28" s="213"/>
      <c r="W28" s="298"/>
    </row>
    <row r="29" spans="2:23" ht="14.45" customHeight="1">
      <c r="B29" s="97"/>
      <c r="C29" s="97"/>
      <c r="D29" s="355">
        <f t="shared" si="2"/>
        <v>46255</v>
      </c>
      <c r="E29" s="355" t="s">
        <v>449</v>
      </c>
      <c r="F29" s="228">
        <v>346.32628923386972</v>
      </c>
      <c r="G29" s="92"/>
      <c r="H29" s="92"/>
      <c r="I29" s="89">
        <f t="shared" si="1"/>
        <v>0.94624669189581889</v>
      </c>
      <c r="J29" s="213"/>
      <c r="K29" s="213"/>
      <c r="L29" s="246">
        <v>2.3890973596023394E-3</v>
      </c>
      <c r="M29" s="298"/>
      <c r="N29" s="298"/>
      <c r="O29" s="246">
        <v>4.1835191091139897E-3</v>
      </c>
      <c r="P29" s="298"/>
      <c r="Q29" s="298"/>
      <c r="R29" s="232">
        <v>0.91700000000000004</v>
      </c>
      <c r="S29" s="213"/>
      <c r="T29" s="298"/>
      <c r="U29" s="232">
        <v>0.67600000000000005</v>
      </c>
      <c r="V29" s="213"/>
      <c r="W29" s="298"/>
    </row>
    <row r="30" spans="2:23" ht="14.45" customHeight="1">
      <c r="B30" s="97"/>
      <c r="C30" s="97"/>
      <c r="D30" s="355">
        <f t="shared" si="2"/>
        <v>46256</v>
      </c>
      <c r="E30" s="355" t="s">
        <v>450</v>
      </c>
      <c r="F30" s="228">
        <v>333.96577298418993</v>
      </c>
      <c r="G30" s="92"/>
      <c r="H30" s="92"/>
      <c r="I30" s="89">
        <f t="shared" si="1"/>
        <v>0.9124747895742894</v>
      </c>
      <c r="J30" s="213"/>
      <c r="K30" s="213"/>
      <c r="L30" s="246">
        <v>2.4294135437394797E-3</v>
      </c>
      <c r="M30" s="298"/>
      <c r="N30" s="298"/>
      <c r="O30" s="246">
        <v>4.0415533189035961E-3</v>
      </c>
      <c r="P30" s="298"/>
      <c r="Q30" s="298"/>
      <c r="R30" s="232">
        <v>0.91700000000000004</v>
      </c>
      <c r="S30" s="213"/>
      <c r="T30" s="298"/>
      <c r="U30" s="232">
        <v>0.68</v>
      </c>
      <c r="V30" s="213"/>
      <c r="W30" s="298"/>
    </row>
    <row r="31" spans="2:23" ht="14.45" customHeight="1">
      <c r="B31" s="97"/>
      <c r="C31" s="97"/>
      <c r="D31" s="355">
        <f t="shared" si="2"/>
        <v>46257</v>
      </c>
      <c r="E31" s="355" t="s">
        <v>451</v>
      </c>
      <c r="F31" s="228">
        <v>330.34998866208826</v>
      </c>
      <c r="G31" s="92"/>
      <c r="H31" s="92"/>
      <c r="I31" s="89">
        <f t="shared" si="1"/>
        <v>0.90259559743739959</v>
      </c>
      <c r="J31" s="213"/>
      <c r="K31" s="213"/>
      <c r="L31" s="246">
        <v>2.4198089192733942E-3</v>
      </c>
      <c r="M31" s="298"/>
      <c r="N31" s="298"/>
      <c r="O31" s="246">
        <v>3.9489191963608056E-3</v>
      </c>
      <c r="P31" s="298"/>
      <c r="Q31" s="298"/>
      <c r="R31" s="232">
        <v>0.91700000000000004</v>
      </c>
      <c r="S31" s="213"/>
      <c r="T31" s="298"/>
      <c r="U31" s="232">
        <v>0.68200000000000005</v>
      </c>
      <c r="V31" s="213"/>
      <c r="W31" s="298"/>
    </row>
    <row r="32" spans="2:23" ht="14.45" customHeight="1">
      <c r="B32" s="97"/>
      <c r="C32" s="97"/>
      <c r="D32" s="355">
        <f t="shared" si="2"/>
        <v>46258</v>
      </c>
      <c r="E32" s="355" t="s">
        <v>445</v>
      </c>
      <c r="F32" s="228">
        <v>331.90586468024532</v>
      </c>
      <c r="G32" s="92"/>
      <c r="H32" s="92"/>
      <c r="I32" s="89">
        <f t="shared" si="1"/>
        <v>0.90684662480941347</v>
      </c>
      <c r="J32" s="213"/>
      <c r="K32" s="213"/>
      <c r="L32" s="246">
        <v>2.4111946234187192E-3</v>
      </c>
      <c r="M32" s="298"/>
      <c r="N32" s="298"/>
      <c r="O32" s="246">
        <v>3.9612780885024202E-3</v>
      </c>
      <c r="P32" s="298"/>
      <c r="Q32" s="298"/>
      <c r="R32" s="232">
        <v>0.91700000000000004</v>
      </c>
      <c r="S32" s="213"/>
      <c r="T32" s="298"/>
      <c r="U32" s="232">
        <v>0.68400000000000005</v>
      </c>
      <c r="V32" s="213"/>
      <c r="W32" s="298"/>
    </row>
    <row r="33" spans="2:23" s="455" customFormat="1" ht="14.45" customHeight="1">
      <c r="B33" s="452"/>
      <c r="C33" s="452"/>
      <c r="D33" s="299">
        <f t="shared" si="2"/>
        <v>46259</v>
      </c>
      <c r="E33" s="299" t="s">
        <v>446</v>
      </c>
      <c r="F33" s="444"/>
      <c r="G33" s="445" t="e">
        <f>AVERAGE(F33:F39)</f>
        <v>#DIV/0!</v>
      </c>
      <c r="H33" s="445"/>
      <c r="I33" s="441">
        <f t="shared" si="1"/>
        <v>0</v>
      </c>
      <c r="J33" s="446">
        <f>AVERAGE(I33:I39)</f>
        <v>0</v>
      </c>
      <c r="K33" s="446"/>
      <c r="L33" s="447"/>
      <c r="M33" s="448" t="e">
        <f>AVERAGE(L33:L39)</f>
        <v>#DIV/0!</v>
      </c>
      <c r="N33" s="448"/>
      <c r="O33" s="447"/>
      <c r="P33" s="448" t="e">
        <f>AVERAGE(O33:O39)</f>
        <v>#DIV/0!</v>
      </c>
      <c r="Q33" s="448"/>
      <c r="R33" s="232"/>
      <c r="S33" s="213" t="e">
        <f>AVERAGE(R33:R39)</f>
        <v>#DIV/0!</v>
      </c>
      <c r="T33" s="448"/>
      <c r="U33" s="449"/>
      <c r="V33" s="446" t="e">
        <f>AVERAGE(U33:U39)</f>
        <v>#DIV/0!</v>
      </c>
      <c r="W33" s="454"/>
    </row>
    <row r="34" spans="2:23" s="455" customFormat="1" ht="14.45" customHeight="1">
      <c r="B34" s="452"/>
      <c r="C34" s="452"/>
      <c r="D34" s="299">
        <f t="shared" si="2"/>
        <v>46260</v>
      </c>
      <c r="E34" s="299" t="s">
        <v>447</v>
      </c>
      <c r="F34" s="444"/>
      <c r="G34" s="445"/>
      <c r="H34" s="445"/>
      <c r="I34" s="441">
        <f t="shared" si="1"/>
        <v>0</v>
      </c>
      <c r="J34" s="446"/>
      <c r="K34" s="446"/>
      <c r="L34" s="447"/>
      <c r="M34" s="448"/>
      <c r="N34" s="448"/>
      <c r="O34" s="447"/>
      <c r="P34" s="448"/>
      <c r="Q34" s="448"/>
      <c r="R34" s="232"/>
      <c r="S34" s="446"/>
      <c r="T34" s="448"/>
      <c r="U34" s="449"/>
      <c r="V34" s="446"/>
      <c r="W34" s="454"/>
    </row>
    <row r="35" spans="2:23" s="455" customFormat="1">
      <c r="B35" s="452"/>
      <c r="C35" s="434"/>
      <c r="D35" s="299">
        <f>D34+1</f>
        <v>46261</v>
      </c>
      <c r="E35" s="299" t="s">
        <v>448</v>
      </c>
      <c r="F35" s="444"/>
      <c r="G35" s="445"/>
      <c r="H35" s="450"/>
      <c r="I35" s="441">
        <f t="shared" si="1"/>
        <v>0</v>
      </c>
      <c r="J35" s="446"/>
      <c r="K35" s="451"/>
      <c r="L35" s="447"/>
      <c r="M35" s="448"/>
      <c r="N35" s="451"/>
      <c r="O35" s="447"/>
      <c r="P35" s="448"/>
      <c r="Q35" s="451"/>
      <c r="R35" s="232"/>
      <c r="S35" s="446"/>
      <c r="T35" s="451"/>
      <c r="U35" s="449"/>
      <c r="V35" s="446"/>
    </row>
    <row r="36" spans="2:23" s="455" customFormat="1">
      <c r="B36" s="452"/>
      <c r="C36" s="452"/>
      <c r="D36" s="299">
        <f t="shared" ref="D36:D39" si="3">D35+1</f>
        <v>46262</v>
      </c>
      <c r="E36" s="299" t="s">
        <v>449</v>
      </c>
      <c r="F36" s="444"/>
      <c r="G36" s="445"/>
      <c r="H36" s="445"/>
      <c r="I36" s="441">
        <f t="shared" si="1"/>
        <v>0</v>
      </c>
      <c r="J36" s="446"/>
      <c r="K36" s="446"/>
      <c r="L36" s="447"/>
      <c r="M36" s="446"/>
      <c r="N36" s="448"/>
      <c r="O36" s="447"/>
      <c r="P36" s="446"/>
      <c r="Q36" s="448"/>
      <c r="R36" s="232"/>
      <c r="S36" s="446"/>
      <c r="T36" s="446"/>
      <c r="U36" s="449"/>
      <c r="V36" s="446"/>
      <c r="W36" s="453"/>
    </row>
    <row r="37" spans="2:23" s="455" customFormat="1">
      <c r="B37" s="452"/>
      <c r="C37" s="434"/>
      <c r="D37" s="299">
        <f t="shared" si="3"/>
        <v>46263</v>
      </c>
      <c r="E37" s="299" t="s">
        <v>450</v>
      </c>
      <c r="F37" s="444"/>
      <c r="G37" s="445"/>
      <c r="H37" s="445"/>
      <c r="I37" s="441">
        <f t="shared" si="1"/>
        <v>0</v>
      </c>
      <c r="J37" s="446"/>
      <c r="K37" s="443"/>
      <c r="L37" s="447"/>
      <c r="M37" s="446"/>
      <c r="N37" s="441"/>
      <c r="O37" s="447"/>
      <c r="P37" s="446"/>
      <c r="Q37" s="441"/>
      <c r="R37" s="232"/>
      <c r="S37" s="446"/>
      <c r="T37" s="446"/>
      <c r="U37" s="449"/>
      <c r="V37" s="446"/>
      <c r="W37" s="453"/>
    </row>
    <row r="38" spans="2:23" s="455" customFormat="1">
      <c r="B38" s="452"/>
      <c r="C38" s="434"/>
      <c r="D38" s="299">
        <f t="shared" si="3"/>
        <v>46264</v>
      </c>
      <c r="E38" s="299" t="s">
        <v>451</v>
      </c>
      <c r="F38" s="444"/>
      <c r="G38" s="445"/>
      <c r="H38" s="445"/>
      <c r="I38" s="441">
        <f t="shared" si="1"/>
        <v>0</v>
      </c>
      <c r="J38" s="446"/>
      <c r="K38" s="443"/>
      <c r="L38" s="447"/>
      <c r="M38" s="446"/>
      <c r="N38" s="441"/>
      <c r="O38" s="447"/>
      <c r="P38" s="446"/>
      <c r="Q38" s="441"/>
      <c r="R38" s="232"/>
      <c r="S38" s="446"/>
      <c r="T38" s="446"/>
      <c r="U38" s="449"/>
      <c r="V38" s="446"/>
      <c r="W38" s="453"/>
    </row>
    <row r="39" spans="2:23" s="455" customFormat="1">
      <c r="B39" s="452"/>
      <c r="C39" s="434"/>
      <c r="D39" s="299">
        <f t="shared" si="3"/>
        <v>46265</v>
      </c>
      <c r="E39" s="299" t="s">
        <v>445</v>
      </c>
      <c r="F39" s="444"/>
      <c r="G39" s="445"/>
      <c r="H39" s="445"/>
      <c r="I39" s="441">
        <f t="shared" si="1"/>
        <v>0</v>
      </c>
      <c r="J39" s="446"/>
      <c r="K39" s="443"/>
      <c r="L39" s="447"/>
      <c r="M39" s="446"/>
      <c r="N39" s="441"/>
      <c r="O39" s="447"/>
      <c r="P39" s="446"/>
      <c r="Q39" s="441"/>
      <c r="R39" s="232"/>
      <c r="S39" s="446"/>
      <c r="T39" s="446"/>
      <c r="U39" s="449"/>
      <c r="V39" s="446"/>
      <c r="W39" s="453"/>
    </row>
    <row r="40" spans="2:23">
      <c r="B40" s="97"/>
      <c r="D40" s="355"/>
      <c r="E40" s="355"/>
      <c r="F40" s="228"/>
      <c r="G40" s="445" t="e">
        <f>AVERAGE(F40:F46)</f>
        <v>#DIV/0!</v>
      </c>
      <c r="H40" s="92"/>
      <c r="I40" s="89">
        <f t="shared" si="1"/>
        <v>0</v>
      </c>
      <c r="J40" s="446">
        <f>AVERAGE(I40:I46)</f>
        <v>0</v>
      </c>
      <c r="K40" s="86"/>
      <c r="L40" s="246"/>
      <c r="M40" s="448" t="e">
        <f>AVERAGE(L40:L46)</f>
        <v>#DIV/0!</v>
      </c>
      <c r="N40" s="89"/>
      <c r="O40" s="246"/>
      <c r="P40" s="448" t="e">
        <f>AVERAGE(O40:O46)</f>
        <v>#DIV/0!</v>
      </c>
      <c r="Q40" s="89"/>
      <c r="R40" s="232"/>
      <c r="S40" s="213" t="e">
        <f>AVERAGE(R40:R46)</f>
        <v>#DIV/0!</v>
      </c>
      <c r="T40" s="213"/>
      <c r="U40" s="232"/>
      <c r="V40" s="446" t="e">
        <f>AVERAGE(U40:U46)</f>
        <v>#DIV/0!</v>
      </c>
      <c r="W40" s="213"/>
    </row>
    <row r="41" spans="2:23">
      <c r="B41" s="97"/>
      <c r="D41" s="355"/>
      <c r="E41" s="355"/>
      <c r="F41" s="228"/>
      <c r="G41" s="92"/>
      <c r="H41" s="92"/>
      <c r="I41" s="89">
        <f t="shared" ref="I41:I45" si="4">F41/$C$1</f>
        <v>0</v>
      </c>
      <c r="J41" s="213"/>
      <c r="K41" s="86"/>
      <c r="L41" s="246"/>
      <c r="M41" s="213"/>
      <c r="N41" s="89"/>
      <c r="O41" s="246"/>
      <c r="P41" s="213"/>
      <c r="Q41" s="89"/>
      <c r="R41" s="232"/>
      <c r="S41" s="213"/>
      <c r="T41" s="213"/>
      <c r="U41" s="232"/>
      <c r="V41" s="213"/>
      <c r="W41" s="213"/>
    </row>
    <row r="42" spans="2:23">
      <c r="B42" s="97"/>
      <c r="D42" s="355"/>
      <c r="E42" s="355"/>
      <c r="F42" s="228"/>
      <c r="G42" s="92"/>
      <c r="H42" s="92"/>
      <c r="I42" s="89">
        <f t="shared" si="4"/>
        <v>0</v>
      </c>
      <c r="J42" s="213"/>
      <c r="K42" s="86"/>
      <c r="L42" s="246"/>
      <c r="M42" s="213"/>
      <c r="N42" s="89"/>
      <c r="O42" s="246"/>
      <c r="P42" s="213"/>
      <c r="Q42" s="89"/>
      <c r="R42" s="232"/>
      <c r="S42" s="213"/>
      <c r="T42" s="213"/>
      <c r="U42" s="232"/>
      <c r="V42" s="213"/>
      <c r="W42" s="213"/>
    </row>
    <row r="43" spans="2:23">
      <c r="B43" s="97"/>
      <c r="D43" s="355"/>
      <c r="E43" s="355"/>
      <c r="F43" s="228"/>
      <c r="G43" s="92"/>
      <c r="H43" s="92"/>
      <c r="I43" s="89">
        <f t="shared" si="4"/>
        <v>0</v>
      </c>
      <c r="J43" s="213"/>
      <c r="K43" s="86"/>
      <c r="L43" s="246"/>
      <c r="M43" s="213"/>
      <c r="N43" s="89"/>
      <c r="O43" s="246"/>
      <c r="P43" s="213"/>
      <c r="Q43" s="89"/>
      <c r="R43" s="232"/>
      <c r="S43" s="213"/>
      <c r="T43" s="213"/>
      <c r="U43" s="232"/>
      <c r="V43" s="213"/>
      <c r="W43" s="213"/>
    </row>
    <row r="44" spans="2:23">
      <c r="B44" s="97"/>
      <c r="D44" s="355"/>
      <c r="E44" s="355"/>
      <c r="F44" s="228"/>
      <c r="G44" s="92"/>
      <c r="H44" s="92"/>
      <c r="I44" s="89">
        <f t="shared" si="4"/>
        <v>0</v>
      </c>
      <c r="J44" s="213"/>
      <c r="K44" s="86"/>
      <c r="L44" s="246"/>
      <c r="M44" s="213"/>
      <c r="N44" s="89"/>
      <c r="O44" s="246"/>
      <c r="P44" s="213"/>
      <c r="Q44" s="89"/>
      <c r="R44" s="232"/>
      <c r="S44" s="213"/>
      <c r="T44" s="213"/>
      <c r="U44" s="232"/>
      <c r="V44" s="213"/>
      <c r="W44" s="213"/>
    </row>
    <row r="45" spans="2:23">
      <c r="B45" s="97"/>
      <c r="D45" s="355"/>
      <c r="E45" s="355"/>
      <c r="F45" s="228"/>
      <c r="G45" s="92"/>
      <c r="H45" s="92"/>
      <c r="I45" s="89">
        <f t="shared" si="4"/>
        <v>0</v>
      </c>
      <c r="J45" s="213"/>
      <c r="K45" s="86"/>
      <c r="L45" s="246"/>
      <c r="M45" s="213"/>
      <c r="N45" s="89"/>
      <c r="O45" s="246"/>
      <c r="P45" s="213"/>
      <c r="Q45" s="89"/>
      <c r="R45" s="232"/>
      <c r="S45" s="213"/>
      <c r="T45" s="213"/>
      <c r="U45" s="232"/>
      <c r="V45" s="213"/>
      <c r="W45" s="213"/>
    </row>
    <row r="46" spans="2:23">
      <c r="B46" s="97"/>
      <c r="D46" s="355"/>
      <c r="E46" s="355"/>
      <c r="F46" s="228"/>
      <c r="G46" s="92"/>
      <c r="H46" s="92"/>
      <c r="I46" s="89">
        <f t="shared" ref="I46" si="5">F46/$C$1</f>
        <v>0</v>
      </c>
      <c r="J46" s="213"/>
      <c r="K46" s="86"/>
      <c r="L46" s="246"/>
      <c r="M46" s="213"/>
      <c r="N46" s="89"/>
      <c r="O46" s="246"/>
      <c r="P46" s="213"/>
      <c r="Q46" s="89"/>
      <c r="R46" s="232"/>
      <c r="S46" s="213"/>
      <c r="T46" s="213"/>
      <c r="U46" s="232"/>
      <c r="V46" s="213"/>
      <c r="W46" s="213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T106"/>
  <sheetViews>
    <sheetView zoomScaleNormal="100" workbookViewId="0">
      <pane xSplit="5" ySplit="6" topLeftCell="I22" activePane="bottomRight" state="frozen"/>
      <selection pane="topRight" activeCell="F1" sqref="F1"/>
      <selection pane="bottomLeft" activeCell="A7" sqref="A7"/>
      <selection pane="bottomRight" activeCell="AP37" sqref="AP37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23" t="s">
        <v>300</v>
      </c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623"/>
      <c r="R2" s="623"/>
      <c r="S2" s="623"/>
      <c r="T2" s="623"/>
      <c r="U2" s="623"/>
      <c r="V2" s="623"/>
      <c r="W2" s="623"/>
      <c r="X2" s="623"/>
      <c r="Y2" s="623"/>
      <c r="Z2" s="623"/>
      <c r="AA2" s="623"/>
      <c r="AB2" s="623"/>
      <c r="AC2" s="623"/>
      <c r="AD2" s="623"/>
      <c r="AE2" s="623"/>
      <c r="AF2" s="623"/>
      <c r="AG2" s="623"/>
      <c r="AH2" s="623"/>
      <c r="AI2" s="623"/>
      <c r="AJ2" s="623"/>
      <c r="AK2" s="623"/>
      <c r="AL2" s="623"/>
    </row>
    <row r="3" spans="1:38" ht="25.35" customHeight="1">
      <c r="B3" s="97"/>
      <c r="C3" s="624" t="s">
        <v>139</v>
      </c>
      <c r="D3" s="625" t="s">
        <v>105</v>
      </c>
      <c r="E3" s="625"/>
      <c r="F3" s="626" t="s">
        <v>334</v>
      </c>
      <c r="G3" s="626"/>
      <c r="H3" s="626"/>
      <c r="I3" s="627" t="s">
        <v>111</v>
      </c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7"/>
      <c r="W3" s="627"/>
      <c r="X3" s="627"/>
      <c r="Y3" s="627"/>
      <c r="Z3" s="627"/>
      <c r="AA3" s="627"/>
      <c r="AB3" s="627"/>
      <c r="AC3" s="627"/>
      <c r="AD3" s="627"/>
      <c r="AE3" s="627"/>
      <c r="AF3" s="627"/>
      <c r="AG3" s="627"/>
      <c r="AH3" s="627"/>
      <c r="AI3" s="627"/>
      <c r="AJ3" s="627"/>
      <c r="AK3" s="627"/>
      <c r="AL3" s="627"/>
    </row>
    <row r="4" spans="1:38" ht="25.35" customHeight="1">
      <c r="B4" s="97"/>
      <c r="C4" s="624"/>
      <c r="D4" s="625"/>
      <c r="E4" s="625"/>
      <c r="F4" s="626"/>
      <c r="G4" s="626"/>
      <c r="H4" s="626"/>
      <c r="I4" s="622" t="s">
        <v>140</v>
      </c>
      <c r="J4" s="622"/>
      <c r="K4" s="622"/>
      <c r="L4" s="622"/>
      <c r="M4" s="622"/>
      <c r="N4" s="622"/>
      <c r="O4" s="622" t="s">
        <v>141</v>
      </c>
      <c r="P4" s="622"/>
      <c r="Q4" s="622"/>
      <c r="R4" s="622"/>
      <c r="S4" s="622"/>
      <c r="T4" s="622"/>
      <c r="U4" s="622" t="s">
        <v>324</v>
      </c>
      <c r="V4" s="622"/>
      <c r="W4" s="622" t="s">
        <v>143</v>
      </c>
      <c r="X4" s="622"/>
      <c r="Y4" s="622" t="s">
        <v>134</v>
      </c>
      <c r="Z4" s="622"/>
      <c r="AA4" s="622"/>
      <c r="AB4" s="622"/>
      <c r="AC4" s="622"/>
      <c r="AD4" s="622"/>
      <c r="AE4" s="622" t="s">
        <v>132</v>
      </c>
      <c r="AF4" s="622"/>
      <c r="AG4" s="622" t="s">
        <v>144</v>
      </c>
      <c r="AH4" s="622"/>
      <c r="AI4" s="622" t="s">
        <v>145</v>
      </c>
      <c r="AJ4" s="622"/>
      <c r="AK4" s="622" t="s">
        <v>138</v>
      </c>
      <c r="AL4" s="622"/>
    </row>
    <row r="5" spans="1:38" ht="25.35" customHeight="1">
      <c r="B5" s="97"/>
      <c r="C5" s="624"/>
      <c r="D5" s="625"/>
      <c r="E5" s="625"/>
      <c r="F5" s="629" t="s">
        <v>115</v>
      </c>
      <c r="G5" s="629" t="s">
        <v>117</v>
      </c>
      <c r="H5" s="629" t="s">
        <v>118</v>
      </c>
      <c r="I5" s="622" t="s">
        <v>129</v>
      </c>
      <c r="J5" s="622"/>
      <c r="K5" s="622" t="s">
        <v>130</v>
      </c>
      <c r="L5" s="622"/>
      <c r="M5" s="628" t="s">
        <v>146</v>
      </c>
      <c r="N5" s="622"/>
      <c r="O5" s="622" t="s">
        <v>129</v>
      </c>
      <c r="P5" s="622"/>
      <c r="Q5" s="622" t="s">
        <v>130</v>
      </c>
      <c r="R5" s="622"/>
      <c r="S5" s="628" t="s">
        <v>146</v>
      </c>
      <c r="T5" s="622"/>
      <c r="U5" s="622" t="s">
        <v>129</v>
      </c>
      <c r="V5" s="622"/>
      <c r="W5" s="622" t="s">
        <v>129</v>
      </c>
      <c r="X5" s="622"/>
      <c r="Y5" s="622" t="s">
        <v>129</v>
      </c>
      <c r="Z5" s="622"/>
      <c r="AA5" s="622" t="s">
        <v>130</v>
      </c>
      <c r="AB5" s="622"/>
      <c r="AC5" s="628" t="s">
        <v>146</v>
      </c>
      <c r="AD5" s="622"/>
      <c r="AE5" s="622" t="s">
        <v>129</v>
      </c>
      <c r="AF5" s="622"/>
      <c r="AG5" s="622" t="s">
        <v>129</v>
      </c>
      <c r="AH5" s="622"/>
      <c r="AI5" s="622" t="s">
        <v>129</v>
      </c>
      <c r="AJ5" s="622"/>
      <c r="AK5" s="622" t="s">
        <v>129</v>
      </c>
      <c r="AL5" s="622"/>
    </row>
    <row r="6" spans="1:38" s="80" customFormat="1" ht="23.45" customHeight="1">
      <c r="B6" s="97"/>
      <c r="C6" s="624"/>
      <c r="D6" s="625"/>
      <c r="E6" s="625"/>
      <c r="F6" s="629"/>
      <c r="G6" s="629"/>
      <c r="H6" s="629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299">
        <v>46231</v>
      </c>
      <c r="E7" s="299" t="s">
        <v>446</v>
      </c>
      <c r="F7" s="227">
        <f t="shared" ref="F7" si="0">SUM(M7,S7,U7,W7,AC7,AE7,AG7,AI7,AK7)</f>
        <v>8700275</v>
      </c>
      <c r="G7" s="297"/>
      <c r="I7" s="459">
        <v>603262.52868638129</v>
      </c>
      <c r="J7" s="338">
        <f t="shared" ref="J7:J13" si="1">I7/F7</f>
        <v>6.9338328809880292E-2</v>
      </c>
      <c r="K7" s="459">
        <v>751265.74826947367</v>
      </c>
      <c r="L7" s="338">
        <f t="shared" ref="L7:L13" si="2">K7/F7</f>
        <v>8.6349655415429244E-2</v>
      </c>
      <c r="M7" s="460">
        <f t="shared" ref="M7:M13" si="3">SUM(I7+K7)</f>
        <v>1354528.2769558551</v>
      </c>
      <c r="N7" s="338">
        <f t="shared" ref="N7:N13" si="4">M7/F7</f>
        <v>0.15568798422530955</v>
      </c>
      <c r="O7" s="459">
        <v>216344.63870068808</v>
      </c>
      <c r="P7" s="338">
        <f t="shared" ref="P7:P13" si="5">O7/F7</f>
        <v>2.4866413843319675E-2</v>
      </c>
      <c r="Q7" s="459"/>
      <c r="R7" s="338">
        <f t="shared" ref="R7:R13" si="6">Q7/$F7</f>
        <v>0</v>
      </c>
      <c r="S7" s="460">
        <f t="shared" ref="S7:S13" si="7">SUM(O7+Q7)</f>
        <v>216344.63870068808</v>
      </c>
      <c r="T7" s="338">
        <f t="shared" ref="T7:T13" si="8">S7/F7</f>
        <v>2.4866413843319675E-2</v>
      </c>
      <c r="U7" s="459">
        <v>1036644.3877259293</v>
      </c>
      <c r="V7" s="338">
        <f t="shared" ref="V7:V13" si="9">U7/F7</f>
        <v>0.11915076106513062</v>
      </c>
      <c r="W7" s="459">
        <v>92954.912885850805</v>
      </c>
      <c r="X7" s="338">
        <f t="shared" ref="X7:X13" si="10">W7/F7</f>
        <v>1.068413502858827E-2</v>
      </c>
      <c r="Y7" s="459">
        <v>673989.88000655465</v>
      </c>
      <c r="Z7" s="338">
        <f t="shared" ref="Z7:Z13" si="11">Y7/F7</f>
        <v>7.7467652460014733E-2</v>
      </c>
      <c r="AA7" s="459">
        <v>1229401.401895995</v>
      </c>
      <c r="AB7" s="338">
        <f t="shared" ref="AB7:AB13" si="12">AA7/$F7</f>
        <v>0.14130603939484615</v>
      </c>
      <c r="AC7" s="460">
        <f t="shared" ref="AC7:AC13" si="13">SUM(Y7+AA7)</f>
        <v>1903391.2819025498</v>
      </c>
      <c r="AD7" s="338">
        <f t="shared" ref="AD7:AD13" si="14">AC7/F7</f>
        <v>0.2187736918548609</v>
      </c>
      <c r="AE7" s="459">
        <v>1356521.9347200366</v>
      </c>
      <c r="AF7" s="338">
        <f t="shared" ref="AF7:AF13" si="15">AE7/F7</f>
        <v>0.15591713304694813</v>
      </c>
      <c r="AG7" s="459">
        <v>798520.5685431239</v>
      </c>
      <c r="AH7" s="338">
        <f t="shared" ref="AH7:AH13" si="16">AG7/F7</f>
        <v>9.1781072269913749E-2</v>
      </c>
      <c r="AI7" s="459">
        <v>1116518.0826606222</v>
      </c>
      <c r="AJ7" s="338">
        <f t="shared" ref="AJ7:AJ13" si="17">AI7/F7</f>
        <v>0.12833135534918405</v>
      </c>
      <c r="AK7" s="459">
        <v>824850.91590534337</v>
      </c>
      <c r="AL7" s="100">
        <f>AK7/F7</f>
        <v>9.4807453316744977E-2</v>
      </c>
    </row>
    <row r="8" spans="1:38" ht="14.25">
      <c r="B8" s="97"/>
      <c r="C8" s="340"/>
      <c r="D8" s="299">
        <f t="shared" ref="D8" si="18">D7+1</f>
        <v>46232</v>
      </c>
      <c r="E8" s="299" t="s">
        <v>447</v>
      </c>
      <c r="F8" s="227">
        <f>SUM(M8,S8,U8,W8,AC8,AE8,AG8,AI8,AK8)</f>
        <v>8324343.0000000009</v>
      </c>
      <c r="G8" s="297">
        <f>SUM(F7:F13)</f>
        <v>57089870</v>
      </c>
      <c r="H8" s="316"/>
      <c r="I8" s="459">
        <v>589000.29774245247</v>
      </c>
      <c r="J8" s="338">
        <f t="shared" si="1"/>
        <v>7.0756370531878901E-2</v>
      </c>
      <c r="K8" s="459">
        <v>729127.96946627158</v>
      </c>
      <c r="L8" s="338">
        <f t="shared" si="2"/>
        <v>8.7589851771637889E-2</v>
      </c>
      <c r="M8" s="460">
        <f t="shared" si="3"/>
        <v>1318128.267208724</v>
      </c>
      <c r="N8" s="338">
        <f t="shared" si="4"/>
        <v>0.1583462223035168</v>
      </c>
      <c r="O8" s="459">
        <v>216599.63008771063</v>
      </c>
      <c r="P8" s="338">
        <f t="shared" si="5"/>
        <v>2.6020027056514922E-2</v>
      </c>
      <c r="Q8" s="459"/>
      <c r="R8" s="338">
        <f t="shared" si="6"/>
        <v>0</v>
      </c>
      <c r="S8" s="460">
        <f t="shared" si="7"/>
        <v>216599.63008771063</v>
      </c>
      <c r="T8" s="338">
        <f t="shared" si="8"/>
        <v>2.6020027056514922E-2</v>
      </c>
      <c r="U8" s="459">
        <v>968615.47729784832</v>
      </c>
      <c r="V8" s="338">
        <f t="shared" si="9"/>
        <v>0.11635939044052464</v>
      </c>
      <c r="W8" s="459">
        <v>97229.993593751249</v>
      </c>
      <c r="X8" s="338">
        <f t="shared" si="10"/>
        <v>1.1680200298540225E-2</v>
      </c>
      <c r="Y8" s="459">
        <v>649741.1913785201</v>
      </c>
      <c r="Z8" s="338">
        <f t="shared" si="11"/>
        <v>7.8053149825580231E-2</v>
      </c>
      <c r="AA8" s="459">
        <v>1207425.2819815527</v>
      </c>
      <c r="AB8" s="338">
        <f t="shared" si="12"/>
        <v>0.14504751690091969</v>
      </c>
      <c r="AC8" s="460">
        <f t="shared" si="13"/>
        <v>1857166.4733600728</v>
      </c>
      <c r="AD8" s="338">
        <f t="shared" si="14"/>
        <v>0.22310066672649992</v>
      </c>
      <c r="AE8" s="459">
        <v>1297826.6808317655</v>
      </c>
      <c r="AF8" s="338">
        <f t="shared" si="15"/>
        <v>0.15590740084013421</v>
      </c>
      <c r="AG8" s="459">
        <v>753145.31434979057</v>
      </c>
      <c r="AH8" s="338">
        <f t="shared" si="16"/>
        <v>9.0475045820407746E-2</v>
      </c>
      <c r="AI8" s="459">
        <v>1089677.2920187039</v>
      </c>
      <c r="AJ8" s="338">
        <f t="shared" si="17"/>
        <v>0.1309024978930714</v>
      </c>
      <c r="AK8" s="459">
        <v>725953.87125163223</v>
      </c>
      <c r="AL8" s="100">
        <f>AK8/F8</f>
        <v>8.7208548620789916E-2</v>
      </c>
    </row>
    <row r="9" spans="1:38" ht="14.25">
      <c r="B9" s="97"/>
      <c r="C9" s="97"/>
      <c r="D9" s="299">
        <f>D8+1</f>
        <v>46233</v>
      </c>
      <c r="E9" s="299" t="s">
        <v>448</v>
      </c>
      <c r="F9" s="227">
        <f t="shared" ref="F9:F49" si="19">SUM(M9,S9,U9,W9,AC9,AE9,AG9,AI9,AK9)</f>
        <v>7885992.0000000019</v>
      </c>
      <c r="G9" s="86"/>
      <c r="H9" s="86"/>
      <c r="I9" s="233">
        <v>552671.7833564399</v>
      </c>
      <c r="J9" s="100">
        <f t="shared" si="1"/>
        <v>7.0082721787752225E-2</v>
      </c>
      <c r="K9" s="233">
        <v>678790.14300753491</v>
      </c>
      <c r="L9" s="100">
        <f t="shared" si="2"/>
        <v>8.6075428811940816E-2</v>
      </c>
      <c r="M9" s="226">
        <f t="shared" si="3"/>
        <v>1231461.9263639748</v>
      </c>
      <c r="N9" s="100">
        <f t="shared" si="4"/>
        <v>0.15615815059969304</v>
      </c>
      <c r="O9" s="233">
        <v>208171.90349129023</v>
      </c>
      <c r="P9" s="100">
        <f t="shared" si="5"/>
        <v>2.6397681292510845E-2</v>
      </c>
      <c r="Q9" s="233"/>
      <c r="R9" s="100">
        <f t="shared" si="6"/>
        <v>0</v>
      </c>
      <c r="S9" s="226">
        <f t="shared" si="7"/>
        <v>208171.90349129023</v>
      </c>
      <c r="T9" s="100">
        <f t="shared" si="8"/>
        <v>2.6397681292510845E-2</v>
      </c>
      <c r="U9" s="233">
        <v>899137.90517656144</v>
      </c>
      <c r="V9" s="100">
        <f t="shared" si="9"/>
        <v>0.11401709577901692</v>
      </c>
      <c r="W9" s="233">
        <v>93008.686002876071</v>
      </c>
      <c r="X9" s="100">
        <f t="shared" si="10"/>
        <v>1.1794164387039202E-2</v>
      </c>
      <c r="Y9" s="233">
        <v>618149.51097348158</v>
      </c>
      <c r="Z9" s="100">
        <f t="shared" si="11"/>
        <v>7.8385764400151742E-2</v>
      </c>
      <c r="AA9" s="233">
        <v>991952.74309342704</v>
      </c>
      <c r="AB9" s="100">
        <f t="shared" si="12"/>
        <v>0.1257866788469259</v>
      </c>
      <c r="AC9" s="226">
        <f t="shared" si="13"/>
        <v>1610102.2540669087</v>
      </c>
      <c r="AD9" s="100">
        <f t="shared" si="14"/>
        <v>0.20417244324707765</v>
      </c>
      <c r="AE9" s="233">
        <v>1287578.8253542988</v>
      </c>
      <c r="AF9" s="100">
        <f t="shared" si="15"/>
        <v>0.16327417341461906</v>
      </c>
      <c r="AG9" s="233">
        <v>720441.31359132275</v>
      </c>
      <c r="AH9" s="100">
        <f t="shared" si="16"/>
        <v>9.1357094147612949E-2</v>
      </c>
      <c r="AI9" s="233">
        <v>1133233.8965380767</v>
      </c>
      <c r="AJ9" s="100">
        <f t="shared" si="17"/>
        <v>0.14370213621039388</v>
      </c>
      <c r="AK9" s="233">
        <v>702855.28941469197</v>
      </c>
      <c r="AL9" s="100">
        <f>AK9/F9</f>
        <v>8.9127060922036414E-2</v>
      </c>
    </row>
    <row r="10" spans="1:38" ht="14.25">
      <c r="B10" s="97"/>
      <c r="C10" s="97"/>
      <c r="D10" s="299">
        <f t="shared" ref="D10:D36" si="20">D9+1</f>
        <v>46234</v>
      </c>
      <c r="E10" s="299" t="s">
        <v>449</v>
      </c>
      <c r="F10" s="227">
        <f t="shared" si="19"/>
        <v>7084934.0000000019</v>
      </c>
      <c r="G10" s="297"/>
      <c r="H10" s="316"/>
      <c r="I10" s="233">
        <v>481892.84793548757</v>
      </c>
      <c r="J10" s="100">
        <f t="shared" si="1"/>
        <v>6.8016561330774217E-2</v>
      </c>
      <c r="K10" s="233">
        <v>635062.51469062688</v>
      </c>
      <c r="L10" s="100">
        <f t="shared" si="2"/>
        <v>8.9635628883857871E-2</v>
      </c>
      <c r="M10" s="226">
        <f t="shared" si="3"/>
        <v>1116955.3626261144</v>
      </c>
      <c r="N10" s="100">
        <f t="shared" si="4"/>
        <v>0.15765219021463209</v>
      </c>
      <c r="O10" s="233">
        <v>179741.43536573189</v>
      </c>
      <c r="P10" s="100">
        <f t="shared" si="5"/>
        <v>2.5369528546875925E-2</v>
      </c>
      <c r="Q10" s="233"/>
      <c r="R10" s="100">
        <f t="shared" si="6"/>
        <v>0</v>
      </c>
      <c r="S10" s="226">
        <f t="shared" si="7"/>
        <v>179741.43536573189</v>
      </c>
      <c r="T10" s="100">
        <f t="shared" si="8"/>
        <v>2.5369528546875925E-2</v>
      </c>
      <c r="U10" s="233">
        <v>777229.11797457642</v>
      </c>
      <c r="V10" s="100">
        <f t="shared" si="9"/>
        <v>0.10970167371701363</v>
      </c>
      <c r="W10" s="233">
        <v>68175.968689468849</v>
      </c>
      <c r="X10" s="100">
        <f t="shared" si="10"/>
        <v>9.6226681419288914E-3</v>
      </c>
      <c r="Y10" s="233">
        <v>545390.29673808522</v>
      </c>
      <c r="Z10" s="100">
        <f t="shared" si="11"/>
        <v>7.6978881770540852E-2</v>
      </c>
      <c r="AA10" s="233">
        <v>961827.25912239193</v>
      </c>
      <c r="AB10" s="100">
        <f t="shared" si="12"/>
        <v>0.13575669993854447</v>
      </c>
      <c r="AC10" s="226">
        <f t="shared" si="13"/>
        <v>1507217.555860477</v>
      </c>
      <c r="AD10" s="100">
        <f t="shared" si="14"/>
        <v>0.21273558170908533</v>
      </c>
      <c r="AE10" s="233">
        <v>1019223.9560060934</v>
      </c>
      <c r="AF10" s="100">
        <f t="shared" si="15"/>
        <v>0.14385793234010269</v>
      </c>
      <c r="AG10" s="233">
        <v>668505.42792191531</v>
      </c>
      <c r="AH10" s="100">
        <f t="shared" si="16"/>
        <v>9.4355914666518437E-2</v>
      </c>
      <c r="AI10" s="233">
        <v>1151947.3692613298</v>
      </c>
      <c r="AJ10" s="100">
        <f t="shared" si="17"/>
        <v>0.16259112212778967</v>
      </c>
      <c r="AK10" s="233">
        <v>595937.80629429407</v>
      </c>
      <c r="AL10" s="100">
        <f t="shared" ref="AL10:AL13" si="21">AK10/F10</f>
        <v>8.4113388536053255E-2</v>
      </c>
    </row>
    <row r="11" spans="1:38" ht="14.25">
      <c r="B11" s="97"/>
      <c r="C11" s="97"/>
      <c r="D11" s="299">
        <f t="shared" si="20"/>
        <v>46235</v>
      </c>
      <c r="E11" s="299" t="s">
        <v>450</v>
      </c>
      <c r="F11" s="227">
        <f t="shared" si="19"/>
        <v>7328189</v>
      </c>
      <c r="G11" s="297"/>
      <c r="H11" s="316"/>
      <c r="I11" s="459">
        <v>442561.87370172853</v>
      </c>
      <c r="J11" s="338">
        <f t="shared" si="1"/>
        <v>6.0391711199278365E-2</v>
      </c>
      <c r="K11" s="459">
        <v>700935.50611930888</v>
      </c>
      <c r="L11" s="338">
        <f t="shared" si="2"/>
        <v>9.5649212393308758E-2</v>
      </c>
      <c r="M11" s="460">
        <f t="shared" si="3"/>
        <v>1143497.3798210374</v>
      </c>
      <c r="N11" s="338">
        <f t="shared" si="4"/>
        <v>0.15604092359258712</v>
      </c>
      <c r="O11" s="459">
        <v>170250.29403352088</v>
      </c>
      <c r="P11" s="338">
        <f t="shared" si="5"/>
        <v>2.323224660738429E-2</v>
      </c>
      <c r="Q11" s="459"/>
      <c r="R11" s="338">
        <f t="shared" si="6"/>
        <v>0</v>
      </c>
      <c r="S11" s="460">
        <f t="shared" si="7"/>
        <v>170250.29403352088</v>
      </c>
      <c r="T11" s="338">
        <f t="shared" si="8"/>
        <v>2.323224660738429E-2</v>
      </c>
      <c r="U11" s="459">
        <v>860675.31811010744</v>
      </c>
      <c r="V11" s="338">
        <f t="shared" si="9"/>
        <v>0.11744720532045604</v>
      </c>
      <c r="W11" s="459">
        <v>59406.392599075458</v>
      </c>
      <c r="X11" s="338">
        <f t="shared" si="10"/>
        <v>8.106558468821622E-3</v>
      </c>
      <c r="Y11" s="459">
        <v>558453.15219842771</v>
      </c>
      <c r="Z11" s="338">
        <f t="shared" si="11"/>
        <v>7.620616119459088E-2</v>
      </c>
      <c r="AA11" s="459">
        <v>1138552.5796951051</v>
      </c>
      <c r="AB11" s="338">
        <f t="shared" si="12"/>
        <v>0.15536615931918582</v>
      </c>
      <c r="AC11" s="460">
        <f t="shared" si="13"/>
        <v>1697005.7318935329</v>
      </c>
      <c r="AD11" s="338">
        <f t="shared" si="14"/>
        <v>0.23157232051377671</v>
      </c>
      <c r="AE11" s="459">
        <v>1063670.9237937981</v>
      </c>
      <c r="AF11" s="338">
        <f t="shared" si="15"/>
        <v>0.14514785628397386</v>
      </c>
      <c r="AG11" s="459">
        <v>648640.65947340068</v>
      </c>
      <c r="AH11" s="338">
        <f t="shared" si="16"/>
        <v>8.8513090952403201E-2</v>
      </c>
      <c r="AI11" s="459">
        <v>1100289.923135719</v>
      </c>
      <c r="AJ11" s="338">
        <f t="shared" si="17"/>
        <v>0.15014486159346041</v>
      </c>
      <c r="AK11" s="459">
        <v>584752.37713980768</v>
      </c>
      <c r="AL11" s="100">
        <f t="shared" si="21"/>
        <v>7.9794936667136676E-2</v>
      </c>
    </row>
    <row r="12" spans="1:38" ht="14.25">
      <c r="B12" s="97"/>
      <c r="C12" s="97"/>
      <c r="D12" s="299">
        <f t="shared" si="20"/>
        <v>46236</v>
      </c>
      <c r="E12" s="299" t="s">
        <v>451</v>
      </c>
      <c r="F12" s="227">
        <f t="shared" si="19"/>
        <v>8762334.9999999981</v>
      </c>
      <c r="G12" s="86"/>
      <c r="H12" s="316">
        <f>SUM(F8:F38)</f>
        <v>214701764</v>
      </c>
      <c r="I12" s="459">
        <v>549759.30938560737</v>
      </c>
      <c r="J12" s="338">
        <f t="shared" si="1"/>
        <v>6.2741188209034182E-2</v>
      </c>
      <c r="K12" s="459">
        <v>761938.17986743385</v>
      </c>
      <c r="L12" s="338">
        <f t="shared" si="2"/>
        <v>8.695606591935072E-2</v>
      </c>
      <c r="M12" s="460">
        <f t="shared" si="3"/>
        <v>1311697.4892530413</v>
      </c>
      <c r="N12" s="338">
        <f t="shared" si="4"/>
        <v>0.14969725412838492</v>
      </c>
      <c r="O12" s="459">
        <v>209121.52685138528</v>
      </c>
      <c r="P12" s="338">
        <f t="shared" si="5"/>
        <v>2.3865958885546528E-2</v>
      </c>
      <c r="Q12" s="459"/>
      <c r="R12" s="338">
        <f t="shared" si="6"/>
        <v>0</v>
      </c>
      <c r="S12" s="460">
        <f t="shared" si="7"/>
        <v>209121.52685138528</v>
      </c>
      <c r="T12" s="338">
        <f t="shared" si="8"/>
        <v>2.3865958885546528E-2</v>
      </c>
      <c r="U12" s="459">
        <v>1090851.5468825542</v>
      </c>
      <c r="V12" s="338">
        <f t="shared" si="9"/>
        <v>0.12449324830453919</v>
      </c>
      <c r="W12" s="459">
        <v>90558.670308332483</v>
      </c>
      <c r="X12" s="338">
        <f t="shared" si="10"/>
        <v>1.0334992933770793E-2</v>
      </c>
      <c r="Y12" s="459">
        <v>673626.51244151569</v>
      </c>
      <c r="Z12" s="338">
        <f t="shared" si="11"/>
        <v>7.6877511809525179E-2</v>
      </c>
      <c r="AA12" s="459">
        <v>1229421.5215187834</v>
      </c>
      <c r="AB12" s="338">
        <f t="shared" si="12"/>
        <v>0.14030752322512022</v>
      </c>
      <c r="AC12" s="460">
        <f t="shared" si="13"/>
        <v>1903048.0339602991</v>
      </c>
      <c r="AD12" s="338">
        <f t="shared" si="14"/>
        <v>0.2171850350346454</v>
      </c>
      <c r="AE12" s="459">
        <v>1447996.9775705107</v>
      </c>
      <c r="AF12" s="338">
        <f t="shared" si="15"/>
        <v>0.16525241018181924</v>
      </c>
      <c r="AG12" s="459">
        <v>847478.66301284195</v>
      </c>
      <c r="AH12" s="338">
        <f t="shared" si="16"/>
        <v>9.6718359091822234E-2</v>
      </c>
      <c r="AI12" s="459">
        <v>1126041.8777847243</v>
      </c>
      <c r="AJ12" s="338">
        <f t="shared" si="17"/>
        <v>0.12850933886740515</v>
      </c>
      <c r="AK12" s="459">
        <v>735540.21437630942</v>
      </c>
      <c r="AL12" s="100">
        <f t="shared" si="21"/>
        <v>8.3943402572066644E-2</v>
      </c>
    </row>
    <row r="13" spans="1:38" ht="14.25">
      <c r="B13" s="97"/>
      <c r="C13" s="97"/>
      <c r="D13" s="299">
        <f t="shared" si="20"/>
        <v>46237</v>
      </c>
      <c r="E13" s="299" t="s">
        <v>445</v>
      </c>
      <c r="F13" s="227">
        <f t="shared" si="19"/>
        <v>9003801.9999999981</v>
      </c>
      <c r="G13" s="297"/>
      <c r="H13" s="316"/>
      <c r="I13" s="459">
        <v>541341.37538015237</v>
      </c>
      <c r="J13" s="338">
        <f t="shared" si="1"/>
        <v>6.0123642810020979E-2</v>
      </c>
      <c r="K13" s="459">
        <v>756089.45314326044</v>
      </c>
      <c r="L13" s="338">
        <f t="shared" si="2"/>
        <v>8.3974464692055717E-2</v>
      </c>
      <c r="M13" s="460">
        <f t="shared" si="3"/>
        <v>1297430.8285234128</v>
      </c>
      <c r="N13" s="338">
        <f t="shared" si="4"/>
        <v>0.14409810750207669</v>
      </c>
      <c r="O13" s="459">
        <v>196703.24319839501</v>
      </c>
      <c r="P13" s="338">
        <f t="shared" si="5"/>
        <v>2.1846686899422606E-2</v>
      </c>
      <c r="Q13" s="459"/>
      <c r="R13" s="338">
        <f t="shared" si="6"/>
        <v>0</v>
      </c>
      <c r="S13" s="460">
        <f t="shared" si="7"/>
        <v>196703.24319839501</v>
      </c>
      <c r="T13" s="338">
        <f t="shared" si="8"/>
        <v>2.1846686899422606E-2</v>
      </c>
      <c r="U13" s="459">
        <v>1108468.4275197089</v>
      </c>
      <c r="V13" s="338">
        <f t="shared" si="9"/>
        <v>0.12311115099151548</v>
      </c>
      <c r="W13" s="459">
        <v>107704.82931148927</v>
      </c>
      <c r="X13" s="338">
        <f t="shared" si="10"/>
        <v>1.1962149913057761E-2</v>
      </c>
      <c r="Y13" s="459">
        <v>661628.09923867893</v>
      </c>
      <c r="Z13" s="338">
        <f t="shared" si="11"/>
        <v>7.3483190683078001E-2</v>
      </c>
      <c r="AA13" s="459">
        <v>1373313.3514609488</v>
      </c>
      <c r="AB13" s="338">
        <f t="shared" si="12"/>
        <v>0.15252593864913391</v>
      </c>
      <c r="AC13" s="460">
        <f t="shared" si="13"/>
        <v>2034941.4506996279</v>
      </c>
      <c r="AD13" s="338">
        <f t="shared" si="14"/>
        <v>0.2260091293322119</v>
      </c>
      <c r="AE13" s="459">
        <v>1435934.9498288645</v>
      </c>
      <c r="AF13" s="338">
        <f t="shared" si="15"/>
        <v>0.1594809559149418</v>
      </c>
      <c r="AG13" s="459">
        <v>849208.57257214142</v>
      </c>
      <c r="AH13" s="338">
        <f t="shared" si="16"/>
        <v>9.4316664512629392E-2</v>
      </c>
      <c r="AI13" s="459">
        <v>1147262.2184313778</v>
      </c>
      <c r="AJ13" s="338">
        <f t="shared" si="17"/>
        <v>0.12741975205933873</v>
      </c>
      <c r="AK13" s="459">
        <v>826147.47991498082</v>
      </c>
      <c r="AL13" s="100">
        <f t="shared" si="21"/>
        <v>9.1755402874805658E-2</v>
      </c>
    </row>
    <row r="14" spans="1:38" ht="14.25">
      <c r="B14" s="97"/>
      <c r="C14" s="97"/>
      <c r="D14" s="355">
        <f t="shared" si="20"/>
        <v>46238</v>
      </c>
      <c r="E14" s="355" t="s">
        <v>446</v>
      </c>
      <c r="F14" s="227">
        <f t="shared" si="19"/>
        <v>8602664.9999999981</v>
      </c>
      <c r="G14" s="297">
        <f>SUM(F14:F20)</f>
        <v>55933813</v>
      </c>
      <c r="H14" s="316"/>
      <c r="I14" s="233">
        <v>545710.36829903291</v>
      </c>
      <c r="J14" s="100">
        <f>I14/F14</f>
        <v>6.343503650311072E-2</v>
      </c>
      <c r="K14" s="233">
        <v>761590.6497593188</v>
      </c>
      <c r="L14" s="100">
        <f>K14/F14</f>
        <v>8.8529618410029792E-2</v>
      </c>
      <c r="M14" s="226">
        <f>SUM(I14+K14)</f>
        <v>1307301.0180583517</v>
      </c>
      <c r="N14" s="100">
        <f>M14/F14</f>
        <v>0.15196465491314051</v>
      </c>
      <c r="O14" s="233">
        <v>194223.35846307292</v>
      </c>
      <c r="P14" s="100">
        <f>O14/F14</f>
        <v>2.2577115168738171E-2</v>
      </c>
      <c r="Q14" s="233"/>
      <c r="R14" s="100">
        <f t="shared" ref="R14" si="22">Q14/$F14</f>
        <v>0</v>
      </c>
      <c r="S14" s="226">
        <f t="shared" ref="S14" si="23">SUM(O14+Q14)</f>
        <v>194223.35846307292</v>
      </c>
      <c r="T14" s="100">
        <f>S14/F14</f>
        <v>2.2577115168738171E-2</v>
      </c>
      <c r="U14" s="233">
        <v>1042176.6328655463</v>
      </c>
      <c r="V14" s="100">
        <f>U14/F14</f>
        <v>0.12114578829531854</v>
      </c>
      <c r="W14" s="233">
        <v>89021.024036744508</v>
      </c>
      <c r="X14" s="100">
        <f>W14/F14</f>
        <v>1.0348075164701232E-2</v>
      </c>
      <c r="Y14" s="233">
        <v>635571.74594870314</v>
      </c>
      <c r="Z14" s="100">
        <f t="shared" ref="Z14:Z16" si="24">Y14/F14</f>
        <v>7.3880796933125173E-2</v>
      </c>
      <c r="AA14" s="233">
        <v>1291946.1863754438</v>
      </c>
      <c r="AB14" s="100">
        <f t="shared" ref="AB14:AB40" si="25">AA14/$F14</f>
        <v>0.15017976247772569</v>
      </c>
      <c r="AC14" s="226">
        <f t="shared" ref="AC14:AC16" si="26">SUM(Y14+AA14)</f>
        <v>1927517.9323241469</v>
      </c>
      <c r="AD14" s="100">
        <f t="shared" ref="AD14:AD16" si="27">AC14/F14</f>
        <v>0.22406055941085085</v>
      </c>
      <c r="AE14" s="233">
        <v>1378620.4617523977</v>
      </c>
      <c r="AF14" s="100">
        <f t="shared" ref="AF14:AF16" si="28">AE14/F14</f>
        <v>0.16025504442546559</v>
      </c>
      <c r="AG14" s="233">
        <v>727150.52805696253</v>
      </c>
      <c r="AH14" s="100">
        <f t="shared" ref="AH14:AH16" si="29">AG14/F14</f>
        <v>8.4526193691950427E-2</v>
      </c>
      <c r="AI14" s="233">
        <v>1192584.8044813259</v>
      </c>
      <c r="AJ14" s="100">
        <f t="shared" ref="AJ14:AJ16" si="30">AI14/F14</f>
        <v>0.13862969259890118</v>
      </c>
      <c r="AK14" s="233">
        <v>744069.23996145069</v>
      </c>
      <c r="AL14" s="100">
        <f>AK14/F14</f>
        <v>8.6492876330933596E-2</v>
      </c>
    </row>
    <row r="15" spans="1:38" ht="14.25">
      <c r="B15" s="97"/>
      <c r="C15" s="97"/>
      <c r="D15" s="355">
        <f t="shared" si="20"/>
        <v>46239</v>
      </c>
      <c r="E15" s="355" t="s">
        <v>447</v>
      </c>
      <c r="F15" s="227">
        <f t="shared" si="19"/>
        <v>8256702.9999999981</v>
      </c>
      <c r="G15" s="86"/>
      <c r="H15" s="316"/>
      <c r="I15" s="233">
        <v>539647.32661284308</v>
      </c>
      <c r="J15" s="100">
        <f t="shared" ref="J15" si="31">I15/F15</f>
        <v>6.5358694216425511E-2</v>
      </c>
      <c r="K15" s="233">
        <v>742661.32009492803</v>
      </c>
      <c r="L15" s="100">
        <f t="shared" ref="L15" si="32">K15/F15</f>
        <v>8.9946473803760196E-2</v>
      </c>
      <c r="M15" s="226">
        <f t="shared" ref="M15" si="33">SUM(I15+K15)</f>
        <v>1282308.6467077711</v>
      </c>
      <c r="N15" s="100">
        <f t="shared" ref="N15" si="34">M15/F15</f>
        <v>0.15530516802018571</v>
      </c>
      <c r="O15" s="233">
        <v>194162.27292080858</v>
      </c>
      <c r="P15" s="100">
        <f t="shared" ref="P15" si="35">O15/F15</f>
        <v>2.3515714798123248E-2</v>
      </c>
      <c r="Q15" s="233"/>
      <c r="R15" s="100">
        <f t="shared" ref="R15" si="36">Q15/$F15</f>
        <v>0</v>
      </c>
      <c r="S15" s="226">
        <f t="shared" ref="S15" si="37">SUM(O15+Q15)</f>
        <v>194162.27292080858</v>
      </c>
      <c r="T15" s="100">
        <f t="shared" ref="T15" si="38">S15/F15</f>
        <v>2.3515714798123248E-2</v>
      </c>
      <c r="U15" s="233">
        <v>950293.12553100707</v>
      </c>
      <c r="V15" s="100">
        <f t="shared" ref="V15" si="39">U15/F15</f>
        <v>0.11509353376656606</v>
      </c>
      <c r="W15" s="233">
        <v>83443.375125266728</v>
      </c>
      <c r="X15" s="100">
        <f t="shared" ref="X15" si="40">W15/F15</f>
        <v>1.0106137416504717E-2</v>
      </c>
      <c r="Y15" s="233">
        <v>612187.82608543069</v>
      </c>
      <c r="Z15" s="100">
        <f t="shared" si="24"/>
        <v>7.4144343824094294E-2</v>
      </c>
      <c r="AA15" s="233">
        <v>1254469.3739935244</v>
      </c>
      <c r="AB15" s="100">
        <f t="shared" si="25"/>
        <v>0.1519334501911386</v>
      </c>
      <c r="AC15" s="226">
        <f t="shared" si="26"/>
        <v>1866657.2000789549</v>
      </c>
      <c r="AD15" s="100">
        <f t="shared" si="27"/>
        <v>0.22607779401523287</v>
      </c>
      <c r="AE15" s="233">
        <v>1285350.8860341609</v>
      </c>
      <c r="AF15" s="100">
        <f t="shared" si="28"/>
        <v>0.15567362493651052</v>
      </c>
      <c r="AG15" s="233">
        <v>707772.27371299767</v>
      </c>
      <c r="AH15" s="100">
        <f t="shared" si="29"/>
        <v>8.5720931673695641E-2</v>
      </c>
      <c r="AI15" s="233">
        <v>1153388.7714975856</v>
      </c>
      <c r="AJ15" s="100">
        <f t="shared" si="30"/>
        <v>0.13969120258989404</v>
      </c>
      <c r="AK15" s="233">
        <v>733326.44839144626</v>
      </c>
      <c r="AL15" s="100">
        <f t="shared" ref="AL15" si="41">AK15/F15</f>
        <v>8.8815892783287276E-2</v>
      </c>
    </row>
    <row r="16" spans="1:38" ht="14.25">
      <c r="B16" s="97"/>
      <c r="C16" s="97"/>
      <c r="D16" s="355">
        <f t="shared" si="20"/>
        <v>46240</v>
      </c>
      <c r="E16" s="355" t="s">
        <v>448</v>
      </c>
      <c r="F16" s="227">
        <f t="shared" si="19"/>
        <v>7670457</v>
      </c>
      <c r="G16" s="297"/>
      <c r="H16" s="316"/>
      <c r="I16" s="233">
        <v>516189.6481646793</v>
      </c>
      <c r="J16" s="100">
        <f t="shared" ref="J16:J41" si="42">I16/F16</f>
        <v>6.7295814077919902E-2</v>
      </c>
      <c r="K16" s="233">
        <v>687548.99250209238</v>
      </c>
      <c r="L16" s="100">
        <f t="shared" ref="L16:L41" si="43">K16/F16</f>
        <v>8.963598811675659E-2</v>
      </c>
      <c r="M16" s="226">
        <f t="shared" ref="M16:M41" si="44">SUM(I16+K16)</f>
        <v>1203738.6406667717</v>
      </c>
      <c r="N16" s="100">
        <f t="shared" ref="N16:N41" si="45">M16/F16</f>
        <v>0.15693180219467651</v>
      </c>
      <c r="O16" s="233">
        <v>180588.10167573666</v>
      </c>
      <c r="P16" s="100">
        <f t="shared" ref="P16:P41" si="46">O16/F16</f>
        <v>2.3543330166082236E-2</v>
      </c>
      <c r="Q16" s="233"/>
      <c r="R16" s="100">
        <f t="shared" ref="R16:R49" si="47">Q16/$F16</f>
        <v>0</v>
      </c>
      <c r="S16" s="226">
        <f t="shared" ref="S16:S49" si="48">SUM(O16+Q16)</f>
        <v>180588.10167573666</v>
      </c>
      <c r="T16" s="100">
        <f t="shared" ref="T16:T41" si="49">S16/F16</f>
        <v>2.3543330166082236E-2</v>
      </c>
      <c r="U16" s="233">
        <v>816108.9285928699</v>
      </c>
      <c r="V16" s="100">
        <f t="shared" ref="V16:V41" si="50">U16/F16</f>
        <v>0.10639638923637404</v>
      </c>
      <c r="W16" s="233">
        <v>80663.842454268277</v>
      </c>
      <c r="X16" s="100">
        <f t="shared" ref="X16:X41" si="51">W16/F16</f>
        <v>1.0516171651085232E-2</v>
      </c>
      <c r="Y16" s="233">
        <v>665517.29940751067</v>
      </c>
      <c r="Z16" s="100">
        <f t="shared" si="24"/>
        <v>8.6763709047258941E-2</v>
      </c>
      <c r="AA16" s="233">
        <v>1003844.2786868516</v>
      </c>
      <c r="AB16" s="100">
        <f t="shared" si="25"/>
        <v>0.13087150852769941</v>
      </c>
      <c r="AC16" s="226">
        <f t="shared" si="26"/>
        <v>1669361.5780943623</v>
      </c>
      <c r="AD16" s="100">
        <f t="shared" si="27"/>
        <v>0.21763521757495835</v>
      </c>
      <c r="AE16" s="233">
        <v>1225682.113112757</v>
      </c>
      <c r="AF16" s="100">
        <f t="shared" si="28"/>
        <v>0.15979257990922274</v>
      </c>
      <c r="AG16" s="233">
        <v>678802.89682138746</v>
      </c>
      <c r="AH16" s="100">
        <f t="shared" si="29"/>
        <v>8.8495756748442428E-2</v>
      </c>
      <c r="AI16" s="233">
        <v>1098123.7726116753</v>
      </c>
      <c r="AJ16" s="100">
        <f t="shared" si="30"/>
        <v>0.1431627571358102</v>
      </c>
      <c r="AK16" s="233">
        <v>717387.12597017165</v>
      </c>
      <c r="AL16" s="100">
        <f t="shared" ref="AL16:AL41" si="52">AK16/F16</f>
        <v>9.3525995383348298E-2</v>
      </c>
    </row>
    <row r="17" spans="2:38" ht="14.25">
      <c r="B17" s="97"/>
      <c r="C17" s="97"/>
      <c r="D17" s="355">
        <f t="shared" si="20"/>
        <v>46241</v>
      </c>
      <c r="E17" s="355" t="s">
        <v>449</v>
      </c>
      <c r="F17" s="227">
        <f t="shared" si="19"/>
        <v>6794244</v>
      </c>
      <c r="G17" s="297"/>
      <c r="H17" s="316"/>
      <c r="I17" s="233">
        <v>453906.03461421304</v>
      </c>
      <c r="J17" s="100">
        <f t="shared" si="42"/>
        <v>6.6807437974587464E-2</v>
      </c>
      <c r="K17" s="233">
        <v>650654.82504124625</v>
      </c>
      <c r="L17" s="100">
        <f t="shared" si="43"/>
        <v>9.5765595854556629E-2</v>
      </c>
      <c r="M17" s="226">
        <f t="shared" si="44"/>
        <v>1104560.8596554594</v>
      </c>
      <c r="N17" s="100">
        <f t="shared" si="45"/>
        <v>0.16257303382914412</v>
      </c>
      <c r="O17" s="233">
        <v>153605.82815790051</v>
      </c>
      <c r="P17" s="100">
        <f t="shared" si="46"/>
        <v>2.2608229577551309E-2</v>
      </c>
      <c r="Q17" s="233"/>
      <c r="R17" s="100">
        <f t="shared" si="47"/>
        <v>0</v>
      </c>
      <c r="S17" s="226">
        <f t="shared" si="48"/>
        <v>153605.82815790051</v>
      </c>
      <c r="T17" s="100">
        <f t="shared" si="49"/>
        <v>2.2608229577551309E-2</v>
      </c>
      <c r="U17" s="233">
        <v>727488.14641330577</v>
      </c>
      <c r="V17" s="100">
        <f t="shared" si="50"/>
        <v>0.10707418609241967</v>
      </c>
      <c r="W17" s="233">
        <v>59124.666526200075</v>
      </c>
      <c r="X17" s="100">
        <f t="shared" si="51"/>
        <v>8.7021700318975995E-3</v>
      </c>
      <c r="Y17" s="233">
        <v>577789.28891963279</v>
      </c>
      <c r="Z17" s="100">
        <f>Y17/F17</f>
        <v>8.5040997779831401E-2</v>
      </c>
      <c r="AA17" s="233">
        <v>1007153.2314657354</v>
      </c>
      <c r="AB17" s="100">
        <f t="shared" si="25"/>
        <v>0.14823624695635532</v>
      </c>
      <c r="AC17" s="226">
        <f>SUM(Y17+AA17)</f>
        <v>1584942.5203853683</v>
      </c>
      <c r="AD17" s="100">
        <f>AC17/F17</f>
        <v>0.23327724473618672</v>
      </c>
      <c r="AE17" s="233">
        <v>962068.6507382011</v>
      </c>
      <c r="AF17" s="100">
        <f>AE17/F17</f>
        <v>0.14160054462839444</v>
      </c>
      <c r="AG17" s="233">
        <v>565287.88277340017</v>
      </c>
      <c r="AH17" s="100">
        <f>AG17/F17</f>
        <v>8.3200998193971268E-2</v>
      </c>
      <c r="AI17" s="233">
        <v>1058744.7958752231</v>
      </c>
      <c r="AJ17" s="100">
        <f>AI17/F17</f>
        <v>0.15582966933116077</v>
      </c>
      <c r="AK17" s="233">
        <v>578420.64947494084</v>
      </c>
      <c r="AL17" s="100">
        <f t="shared" si="52"/>
        <v>8.513392357927399E-2</v>
      </c>
    </row>
    <row r="18" spans="2:38" ht="14.25">
      <c r="B18" s="97"/>
      <c r="C18" s="97"/>
      <c r="D18" s="355">
        <f t="shared" si="20"/>
        <v>46242</v>
      </c>
      <c r="E18" s="355" t="s">
        <v>450</v>
      </c>
      <c r="F18" s="227">
        <f t="shared" si="19"/>
        <v>7244290</v>
      </c>
      <c r="G18" s="297"/>
      <c r="H18" s="316"/>
      <c r="I18" s="233">
        <v>420799.90393474052</v>
      </c>
      <c r="J18" s="100">
        <f t="shared" si="42"/>
        <v>5.808711467027694E-2</v>
      </c>
      <c r="K18" s="233">
        <v>712217.2241268981</v>
      </c>
      <c r="L18" s="100">
        <f t="shared" si="43"/>
        <v>9.8314289478595981E-2</v>
      </c>
      <c r="M18" s="226">
        <f t="shared" si="44"/>
        <v>1133017.1280616387</v>
      </c>
      <c r="N18" s="100">
        <f t="shared" si="45"/>
        <v>0.15640140414887294</v>
      </c>
      <c r="O18" s="233">
        <v>144300.97533240216</v>
      </c>
      <c r="P18" s="100">
        <f t="shared" si="46"/>
        <v>1.9919270947518965E-2</v>
      </c>
      <c r="Q18" s="233"/>
      <c r="R18" s="100">
        <f t="shared" si="47"/>
        <v>0</v>
      </c>
      <c r="S18" s="226">
        <f t="shared" si="48"/>
        <v>144300.97533240216</v>
      </c>
      <c r="T18" s="100">
        <f t="shared" si="49"/>
        <v>1.9919270947518965E-2</v>
      </c>
      <c r="U18" s="233">
        <v>805649.38439046394</v>
      </c>
      <c r="V18" s="100">
        <f t="shared" si="50"/>
        <v>0.11121164177448224</v>
      </c>
      <c r="W18" s="233">
        <v>55255.722852396262</v>
      </c>
      <c r="X18" s="100">
        <f t="shared" si="51"/>
        <v>7.6274863171402942E-3</v>
      </c>
      <c r="Y18" s="233">
        <v>605343.31688375189</v>
      </c>
      <c r="Z18" s="100">
        <f t="shared" ref="Z18:Z40" si="53">Y18/F18</f>
        <v>8.3561441753954066E-2</v>
      </c>
      <c r="AA18" s="233">
        <v>1176136.4076813832</v>
      </c>
      <c r="AB18" s="100">
        <f t="shared" si="25"/>
        <v>0.16235357884366627</v>
      </c>
      <c r="AC18" s="226">
        <f t="shared" ref="AC18:AC40" si="54">SUM(Y18+AA18)</f>
        <v>1781479.7245651351</v>
      </c>
      <c r="AD18" s="100">
        <f t="shared" ref="AD18:AD40" si="55">AC18/F18</f>
        <v>0.24591502059762035</v>
      </c>
      <c r="AE18" s="233">
        <v>1048789.5288575522</v>
      </c>
      <c r="AF18" s="100">
        <f t="shared" ref="AF18:AF40" si="56">AE18/F18</f>
        <v>0.14477464718523861</v>
      </c>
      <c r="AG18" s="233">
        <v>590495.694705865</v>
      </c>
      <c r="AH18" s="100">
        <f t="shared" ref="AH18:AH40" si="57">AG18/F18</f>
        <v>8.1511879660514E-2</v>
      </c>
      <c r="AI18" s="233">
        <v>1103880.7103214585</v>
      </c>
      <c r="AJ18" s="100">
        <f t="shared" ref="AJ18:AJ40" si="58">AI18/F18</f>
        <v>0.1523794202498048</v>
      </c>
      <c r="AK18" s="233">
        <v>581421.13091308763</v>
      </c>
      <c r="AL18" s="100">
        <f t="shared" si="52"/>
        <v>8.0259229118807729E-2</v>
      </c>
    </row>
    <row r="19" spans="2:38" ht="14.25">
      <c r="B19" s="97"/>
      <c r="C19" s="97"/>
      <c r="D19" s="355">
        <f t="shared" si="20"/>
        <v>46243</v>
      </c>
      <c r="E19" s="355" t="s">
        <v>451</v>
      </c>
      <c r="F19" s="227">
        <f t="shared" si="19"/>
        <v>8720178</v>
      </c>
      <c r="G19" s="86"/>
      <c r="H19" s="316"/>
      <c r="I19" s="233">
        <v>526532.72721754736</v>
      </c>
      <c r="J19" s="100">
        <f t="shared" si="42"/>
        <v>6.0380960941112366E-2</v>
      </c>
      <c r="K19" s="233">
        <v>778285.1398201721</v>
      </c>
      <c r="L19" s="100">
        <f t="shared" si="43"/>
        <v>8.9251061138909335E-2</v>
      </c>
      <c r="M19" s="226">
        <f t="shared" si="44"/>
        <v>1304817.8670377196</v>
      </c>
      <c r="N19" s="100">
        <f t="shared" si="45"/>
        <v>0.14963202208002171</v>
      </c>
      <c r="O19" s="233">
        <v>184266.70590754595</v>
      </c>
      <c r="P19" s="100">
        <f t="shared" si="46"/>
        <v>2.1131071625779423E-2</v>
      </c>
      <c r="Q19" s="233"/>
      <c r="R19" s="100">
        <f t="shared" si="47"/>
        <v>0</v>
      </c>
      <c r="S19" s="226">
        <f t="shared" si="48"/>
        <v>184266.70590754595</v>
      </c>
      <c r="T19" s="100">
        <f t="shared" si="49"/>
        <v>2.1131071625779423E-2</v>
      </c>
      <c r="U19" s="233">
        <v>1035565.5220102324</v>
      </c>
      <c r="V19" s="100">
        <f t="shared" si="50"/>
        <v>0.1187550898628712</v>
      </c>
      <c r="W19" s="233">
        <v>79809.967265985382</v>
      </c>
      <c r="X19" s="100">
        <f t="shared" si="51"/>
        <v>9.1523323567460867E-3</v>
      </c>
      <c r="Y19" s="233">
        <v>744424.81460632733</v>
      </c>
      <c r="Z19" s="100">
        <f t="shared" si="53"/>
        <v>8.5368075583586403E-2</v>
      </c>
      <c r="AA19" s="233">
        <v>1306272.4675703112</v>
      </c>
      <c r="AB19" s="100">
        <f t="shared" si="25"/>
        <v>0.14979883066266667</v>
      </c>
      <c r="AC19" s="226">
        <f t="shared" si="54"/>
        <v>2050697.2821766385</v>
      </c>
      <c r="AD19" s="100">
        <f t="shared" si="55"/>
        <v>0.23516690624625305</v>
      </c>
      <c r="AE19" s="233">
        <v>1422385.0234778288</v>
      </c>
      <c r="AF19" s="100">
        <f t="shared" si="56"/>
        <v>0.16311421893885983</v>
      </c>
      <c r="AG19" s="233">
        <v>759621.13979889033</v>
      </c>
      <c r="AH19" s="100">
        <f t="shared" si="57"/>
        <v>8.7110737854077094E-2</v>
      </c>
      <c r="AI19" s="233">
        <v>1155854.4846003794</v>
      </c>
      <c r="AJ19" s="100">
        <f t="shared" si="58"/>
        <v>0.13254941408310467</v>
      </c>
      <c r="AK19" s="233">
        <v>727160.00772477989</v>
      </c>
      <c r="AL19" s="100">
        <f t="shared" si="52"/>
        <v>8.3388206952286964E-2</v>
      </c>
    </row>
    <row r="20" spans="2:38" ht="14.25">
      <c r="B20" s="97"/>
      <c r="C20" s="97"/>
      <c r="D20" s="355">
        <f t="shared" si="20"/>
        <v>46244</v>
      </c>
      <c r="E20" s="355" t="s">
        <v>445</v>
      </c>
      <c r="F20" s="227">
        <f t="shared" si="19"/>
        <v>8645276</v>
      </c>
      <c r="G20" s="297"/>
      <c r="H20" s="316"/>
      <c r="I20" s="233">
        <v>511268.50151495205</v>
      </c>
      <c r="J20" s="100">
        <f t="shared" si="42"/>
        <v>5.9138482278061691E-2</v>
      </c>
      <c r="K20" s="233">
        <v>765064.9483811378</v>
      </c>
      <c r="L20" s="100">
        <f t="shared" si="43"/>
        <v>8.8495144444334428E-2</v>
      </c>
      <c r="M20" s="226">
        <f t="shared" si="44"/>
        <v>1276333.4498960897</v>
      </c>
      <c r="N20" s="100">
        <f t="shared" si="45"/>
        <v>0.14763362672239611</v>
      </c>
      <c r="O20" s="233">
        <v>195267.34247807911</v>
      </c>
      <c r="P20" s="100">
        <f t="shared" si="46"/>
        <v>2.2586594398846156E-2</v>
      </c>
      <c r="Q20" s="233"/>
      <c r="R20" s="100">
        <f t="shared" si="47"/>
        <v>0</v>
      </c>
      <c r="S20" s="226">
        <f t="shared" si="48"/>
        <v>195267.34247807911</v>
      </c>
      <c r="T20" s="100">
        <f t="shared" si="49"/>
        <v>2.2586594398846156E-2</v>
      </c>
      <c r="U20" s="233">
        <v>1004339.0058978533</v>
      </c>
      <c r="V20" s="100">
        <f t="shared" si="50"/>
        <v>0.11617200028059871</v>
      </c>
      <c r="W20" s="233">
        <v>98833.289319224001</v>
      </c>
      <c r="X20" s="100">
        <f t="shared" si="51"/>
        <v>1.143205715112207E-2</v>
      </c>
      <c r="Y20" s="233">
        <v>775848.31227398617</v>
      </c>
      <c r="Z20" s="100">
        <f t="shared" si="53"/>
        <v>8.9742457299684386E-2</v>
      </c>
      <c r="AA20" s="233">
        <v>1231303.999117058</v>
      </c>
      <c r="AB20" s="100">
        <f t="shared" si="25"/>
        <v>0.14242506533244953</v>
      </c>
      <c r="AC20" s="226">
        <f t="shared" si="54"/>
        <v>2007152.3113910442</v>
      </c>
      <c r="AD20" s="100">
        <f t="shared" si="55"/>
        <v>0.23216752263213392</v>
      </c>
      <c r="AE20" s="233">
        <v>1428251.77027201</v>
      </c>
      <c r="AF20" s="100">
        <f t="shared" si="56"/>
        <v>0.16520603509616236</v>
      </c>
      <c r="AG20" s="233">
        <v>791906.56430491339</v>
      </c>
      <c r="AH20" s="100">
        <f t="shared" si="57"/>
        <v>9.1599917030400574E-2</v>
      </c>
      <c r="AI20" s="233">
        <v>1027110.4209871214</v>
      </c>
      <c r="AJ20" s="100">
        <f t="shared" si="58"/>
        <v>0.11880597230060919</v>
      </c>
      <c r="AK20" s="233">
        <v>816081.84545366431</v>
      </c>
      <c r="AL20" s="100">
        <f t="shared" si="52"/>
        <v>9.4396274387730864E-2</v>
      </c>
    </row>
    <row r="21" spans="2:38" ht="14.25">
      <c r="B21" s="97"/>
      <c r="C21" s="97"/>
      <c r="D21" s="299">
        <f t="shared" si="20"/>
        <v>46245</v>
      </c>
      <c r="E21" s="299" t="s">
        <v>446</v>
      </c>
      <c r="F21" s="227">
        <f t="shared" si="19"/>
        <v>8196584.9999999991</v>
      </c>
      <c r="G21" s="297">
        <f>SUM(F21:F27)</f>
        <v>54050197</v>
      </c>
      <c r="H21" s="316"/>
      <c r="I21" s="233">
        <v>557185.20641930855</v>
      </c>
      <c r="J21" s="100">
        <f t="shared" si="42"/>
        <v>6.7977725652733259E-2</v>
      </c>
      <c r="K21" s="233">
        <v>742104.81081139226</v>
      </c>
      <c r="L21" s="100">
        <f t="shared" si="43"/>
        <v>9.053829257079532E-2</v>
      </c>
      <c r="M21" s="226">
        <f t="shared" si="44"/>
        <v>1299290.0172307007</v>
      </c>
      <c r="N21" s="100">
        <f t="shared" si="45"/>
        <v>0.15851601822352857</v>
      </c>
      <c r="O21" s="233">
        <v>169721.32556733867</v>
      </c>
      <c r="P21" s="100">
        <f t="shared" si="46"/>
        <v>2.0706346065750395E-2</v>
      </c>
      <c r="Q21" s="233"/>
      <c r="R21" s="100">
        <f t="shared" si="47"/>
        <v>0</v>
      </c>
      <c r="S21" s="226">
        <f t="shared" si="48"/>
        <v>169721.32556733867</v>
      </c>
      <c r="T21" s="100">
        <f t="shared" si="49"/>
        <v>2.0706346065750395E-2</v>
      </c>
      <c r="U21" s="233">
        <v>922937.10214208532</v>
      </c>
      <c r="V21" s="100">
        <f t="shared" si="50"/>
        <v>0.11260019900264384</v>
      </c>
      <c r="W21" s="233">
        <v>77241.521521278817</v>
      </c>
      <c r="X21" s="100">
        <f t="shared" si="51"/>
        <v>9.4236223404355387E-3</v>
      </c>
      <c r="Y21" s="233">
        <v>729282.77016326226</v>
      </c>
      <c r="Z21" s="100">
        <f t="shared" si="53"/>
        <v>8.8973977597165452E-2</v>
      </c>
      <c r="AA21" s="233">
        <v>1231969.0766038878</v>
      </c>
      <c r="AB21" s="100">
        <f t="shared" si="25"/>
        <v>0.15030272688002236</v>
      </c>
      <c r="AC21" s="226">
        <f t="shared" si="54"/>
        <v>1961251.8467671501</v>
      </c>
      <c r="AD21" s="100">
        <f t="shared" si="55"/>
        <v>0.2392767044771878</v>
      </c>
      <c r="AE21" s="233">
        <v>1324889.3211907241</v>
      </c>
      <c r="AF21" s="100">
        <f t="shared" si="56"/>
        <v>0.16163918524491899</v>
      </c>
      <c r="AG21" s="233">
        <v>856819.68502538558</v>
      </c>
      <c r="AH21" s="100">
        <f t="shared" si="57"/>
        <v>0.10453373996919274</v>
      </c>
      <c r="AI21" s="233">
        <v>892612.17486687971</v>
      </c>
      <c r="AJ21" s="100">
        <f t="shared" si="58"/>
        <v>0.10890049634901362</v>
      </c>
      <c r="AK21" s="233">
        <v>691822.00568845647</v>
      </c>
      <c r="AL21" s="100">
        <f t="shared" si="52"/>
        <v>8.4403688327328585E-2</v>
      </c>
    </row>
    <row r="22" spans="2:38" ht="14.25">
      <c r="B22" s="97"/>
      <c r="C22" s="97"/>
      <c r="D22" s="299">
        <f t="shared" si="20"/>
        <v>46246</v>
      </c>
      <c r="E22" s="299" t="s">
        <v>447</v>
      </c>
      <c r="F22" s="227">
        <f t="shared" si="19"/>
        <v>7757224.9999999991</v>
      </c>
      <c r="G22" s="297"/>
      <c r="H22" s="316"/>
      <c r="I22" s="233">
        <v>525334.61148734402</v>
      </c>
      <c r="J22" s="100">
        <f t="shared" si="42"/>
        <v>6.7721976800639933E-2</v>
      </c>
      <c r="K22" s="233">
        <v>728093.82226509927</v>
      </c>
      <c r="L22" s="100">
        <f t="shared" si="43"/>
        <v>9.3860088145580334E-2</v>
      </c>
      <c r="M22" s="226">
        <f t="shared" si="44"/>
        <v>1253428.4337524432</v>
      </c>
      <c r="N22" s="100">
        <f t="shared" si="45"/>
        <v>0.16158206494622024</v>
      </c>
      <c r="O22" s="233">
        <v>169063.72538134531</v>
      </c>
      <c r="P22" s="100">
        <f t="shared" si="46"/>
        <v>2.1794356278352803E-2</v>
      </c>
      <c r="Q22" s="233"/>
      <c r="R22" s="100">
        <f t="shared" si="47"/>
        <v>0</v>
      </c>
      <c r="S22" s="226">
        <f t="shared" si="48"/>
        <v>169063.72538134531</v>
      </c>
      <c r="T22" s="100">
        <f t="shared" si="49"/>
        <v>2.1794356278352803E-2</v>
      </c>
      <c r="U22" s="233">
        <v>911226.31124357763</v>
      </c>
      <c r="V22" s="100">
        <f t="shared" si="50"/>
        <v>0.11746807798453412</v>
      </c>
      <c r="W22" s="233">
        <v>71585.419175926931</v>
      </c>
      <c r="X22" s="100">
        <f t="shared" si="51"/>
        <v>9.2282251934070417E-3</v>
      </c>
      <c r="Y22" s="233">
        <v>695821.01396516198</v>
      </c>
      <c r="Z22" s="100">
        <f t="shared" si="53"/>
        <v>8.9699733340874097E-2</v>
      </c>
      <c r="AA22" s="233">
        <v>1158049.3965381293</v>
      </c>
      <c r="AB22" s="100">
        <f t="shared" si="25"/>
        <v>0.14928655499075114</v>
      </c>
      <c r="AC22" s="226">
        <f t="shared" si="54"/>
        <v>1853870.4105032913</v>
      </c>
      <c r="AD22" s="100">
        <f t="shared" si="55"/>
        <v>0.23898628833162522</v>
      </c>
      <c r="AE22" s="233">
        <v>1232264.7946152694</v>
      </c>
      <c r="AF22" s="100">
        <f t="shared" si="56"/>
        <v>0.15885381623135458</v>
      </c>
      <c r="AG22" s="233">
        <v>670660.37522295036</v>
      </c>
      <c r="AH22" s="100">
        <f t="shared" si="57"/>
        <v>8.6456223098202056E-2</v>
      </c>
      <c r="AI22" s="233">
        <v>922022.87242667668</v>
      </c>
      <c r="AJ22" s="100">
        <f t="shared" si="58"/>
        <v>0.1188598851298856</v>
      </c>
      <c r="AK22" s="233">
        <v>673102.65767851868</v>
      </c>
      <c r="AL22" s="100">
        <f t="shared" si="52"/>
        <v>8.6771062806418373E-2</v>
      </c>
    </row>
    <row r="23" spans="2:38" ht="14.25">
      <c r="B23" s="97"/>
      <c r="C23" s="97"/>
      <c r="D23" s="299">
        <f t="shared" si="20"/>
        <v>46247</v>
      </c>
      <c r="E23" s="299" t="s">
        <v>448</v>
      </c>
      <c r="F23" s="227">
        <f t="shared" si="19"/>
        <v>7394587</v>
      </c>
      <c r="G23" s="86"/>
      <c r="H23" s="316"/>
      <c r="I23" s="233">
        <v>515539.28404717165</v>
      </c>
      <c r="J23" s="100">
        <f t="shared" si="42"/>
        <v>6.9718468935069888E-2</v>
      </c>
      <c r="K23" s="233">
        <v>676173.37644772325</v>
      </c>
      <c r="L23" s="100">
        <f t="shared" si="43"/>
        <v>9.1441668946179583E-2</v>
      </c>
      <c r="M23" s="226">
        <f t="shared" si="44"/>
        <v>1191712.660494895</v>
      </c>
      <c r="N23" s="100">
        <f t="shared" si="45"/>
        <v>0.16116013788124947</v>
      </c>
      <c r="O23" s="233">
        <v>164786.80814199598</v>
      </c>
      <c r="P23" s="100">
        <f t="shared" si="46"/>
        <v>2.2284788608477522E-2</v>
      </c>
      <c r="Q23" s="233"/>
      <c r="R23" s="100">
        <f t="shared" si="47"/>
        <v>0</v>
      </c>
      <c r="S23" s="226">
        <f t="shared" si="48"/>
        <v>164786.80814199598</v>
      </c>
      <c r="T23" s="100">
        <f t="shared" si="49"/>
        <v>2.2284788608477522E-2</v>
      </c>
      <c r="U23" s="233">
        <v>866438.88895211648</v>
      </c>
      <c r="V23" s="100">
        <f t="shared" si="50"/>
        <v>0.11717204611320639</v>
      </c>
      <c r="W23" s="233">
        <v>73722.284168142185</v>
      </c>
      <c r="X23" s="100">
        <f t="shared" si="51"/>
        <v>9.9697635808655965E-3</v>
      </c>
      <c r="Y23" s="233">
        <v>666400.4649100902</v>
      </c>
      <c r="Z23" s="100">
        <f t="shared" si="53"/>
        <v>9.0120038470044406E-2</v>
      </c>
      <c r="AA23" s="233">
        <v>943755.81161458418</v>
      </c>
      <c r="AB23" s="100">
        <f t="shared" si="25"/>
        <v>0.12762792724118119</v>
      </c>
      <c r="AC23" s="226">
        <f t="shared" si="54"/>
        <v>1610156.2765246744</v>
      </c>
      <c r="AD23" s="100">
        <f t="shared" si="55"/>
        <v>0.21774796571122557</v>
      </c>
      <c r="AE23" s="233">
        <v>1210510.6066866615</v>
      </c>
      <c r="AF23" s="100">
        <f t="shared" si="56"/>
        <v>0.16370226040841246</v>
      </c>
      <c r="AG23" s="233">
        <v>640668.32201642182</v>
      </c>
      <c r="AH23" s="100">
        <f t="shared" si="57"/>
        <v>8.6640176390706036E-2</v>
      </c>
      <c r="AI23" s="233">
        <v>967633.60689631163</v>
      </c>
      <c r="AJ23" s="100">
        <f t="shared" si="58"/>
        <v>0.13085701836983074</v>
      </c>
      <c r="AK23" s="233">
        <v>668957.54611878027</v>
      </c>
      <c r="AL23" s="100">
        <f t="shared" si="52"/>
        <v>9.0465842936026081E-2</v>
      </c>
    </row>
    <row r="24" spans="2:38" ht="14.25">
      <c r="B24" s="97"/>
      <c r="C24" s="97"/>
      <c r="D24" s="299">
        <f t="shared" si="20"/>
        <v>46248</v>
      </c>
      <c r="E24" s="299" t="s">
        <v>449</v>
      </c>
      <c r="F24" s="227">
        <f t="shared" si="19"/>
        <v>6557541.9999999981</v>
      </c>
      <c r="G24" s="297"/>
      <c r="H24" s="316"/>
      <c r="I24" s="233">
        <v>468721.6584029395</v>
      </c>
      <c r="J24" s="100">
        <f t="shared" si="42"/>
        <v>7.1478254870947014E-2</v>
      </c>
      <c r="K24" s="233">
        <v>636186.53413476073</v>
      </c>
      <c r="L24" s="100">
        <f t="shared" si="43"/>
        <v>9.7016006017919654E-2</v>
      </c>
      <c r="M24" s="226">
        <f t="shared" si="44"/>
        <v>1104908.1925377003</v>
      </c>
      <c r="N24" s="100">
        <f t="shared" si="45"/>
        <v>0.16849426088886668</v>
      </c>
      <c r="O24" s="233">
        <v>140095.19560217261</v>
      </c>
      <c r="P24" s="100">
        <f t="shared" si="46"/>
        <v>2.136397991841648E-2</v>
      </c>
      <c r="Q24" s="233"/>
      <c r="R24" s="100">
        <f t="shared" si="47"/>
        <v>0</v>
      </c>
      <c r="S24" s="226">
        <f t="shared" si="48"/>
        <v>140095.19560217261</v>
      </c>
      <c r="T24" s="100">
        <f t="shared" si="49"/>
        <v>2.136397991841648E-2</v>
      </c>
      <c r="U24" s="233">
        <v>718329.74665903731</v>
      </c>
      <c r="V24" s="100">
        <f t="shared" si="50"/>
        <v>0.10954253082314036</v>
      </c>
      <c r="W24" s="233">
        <v>55745.477372133661</v>
      </c>
      <c r="X24" s="100">
        <f t="shared" si="51"/>
        <v>8.5009714573133777E-3</v>
      </c>
      <c r="Y24" s="233">
        <v>594916.15721399791</v>
      </c>
      <c r="Z24" s="100">
        <f t="shared" si="53"/>
        <v>9.0722431852361465E-2</v>
      </c>
      <c r="AA24" s="233">
        <v>963259.44859425258</v>
      </c>
      <c r="AB24" s="100">
        <f t="shared" si="25"/>
        <v>0.1468933708078809</v>
      </c>
      <c r="AC24" s="226">
        <f t="shared" si="54"/>
        <v>1558175.6058082506</v>
      </c>
      <c r="AD24" s="100">
        <f t="shared" si="55"/>
        <v>0.23761580266024238</v>
      </c>
      <c r="AE24" s="233">
        <v>996204.05749167071</v>
      </c>
      <c r="AF24" s="100">
        <f t="shared" si="56"/>
        <v>0.15191729728786654</v>
      </c>
      <c r="AG24" s="233">
        <v>549036.55130994634</v>
      </c>
      <c r="AH24" s="100">
        <f t="shared" si="57"/>
        <v>8.3725967948043115E-2</v>
      </c>
      <c r="AI24" s="233">
        <v>891540.88786599529</v>
      </c>
      <c r="AJ24" s="100">
        <f t="shared" si="58"/>
        <v>0.13595656541216139</v>
      </c>
      <c r="AK24" s="233">
        <v>543506.28535309283</v>
      </c>
      <c r="AL24" s="100">
        <f t="shared" si="52"/>
        <v>8.288262360394992E-2</v>
      </c>
    </row>
    <row r="25" spans="2:38" ht="14.25">
      <c r="B25" s="97"/>
      <c r="C25" s="97"/>
      <c r="D25" s="299">
        <f t="shared" si="20"/>
        <v>46249</v>
      </c>
      <c r="E25" s="299" t="s">
        <v>450</v>
      </c>
      <c r="F25" s="227">
        <f t="shared" si="19"/>
        <v>7004503.0000000009</v>
      </c>
      <c r="G25" s="297"/>
      <c r="H25" s="316"/>
      <c r="I25" s="233">
        <v>441980.58236706938</v>
      </c>
      <c r="J25" s="100">
        <f t="shared" si="42"/>
        <v>6.3099492193388923E-2</v>
      </c>
      <c r="K25" s="233">
        <v>703452.40454097779</v>
      </c>
      <c r="L25" s="100">
        <f t="shared" si="43"/>
        <v>0.10042859636736221</v>
      </c>
      <c r="M25" s="226">
        <f t="shared" si="44"/>
        <v>1145432.9869080472</v>
      </c>
      <c r="N25" s="100">
        <f t="shared" si="45"/>
        <v>0.16352808856075116</v>
      </c>
      <c r="O25" s="233">
        <v>135119.46347130224</v>
      </c>
      <c r="P25" s="100">
        <f t="shared" si="46"/>
        <v>1.9290371275635435E-2</v>
      </c>
      <c r="Q25" s="233"/>
      <c r="R25" s="100">
        <f t="shared" si="47"/>
        <v>0</v>
      </c>
      <c r="S25" s="226">
        <f t="shared" si="48"/>
        <v>135119.46347130224</v>
      </c>
      <c r="T25" s="100">
        <f t="shared" si="49"/>
        <v>1.9290371275635435E-2</v>
      </c>
      <c r="U25" s="233">
        <v>790959.07407403842</v>
      </c>
      <c r="V25" s="100">
        <f t="shared" si="50"/>
        <v>0.1129215126432294</v>
      </c>
      <c r="W25" s="233">
        <v>58693.802781590588</v>
      </c>
      <c r="X25" s="100">
        <f t="shared" si="51"/>
        <v>8.3794385956563345E-3</v>
      </c>
      <c r="Y25" s="233">
        <v>614878.72480112314</v>
      </c>
      <c r="Z25" s="100">
        <f t="shared" si="53"/>
        <v>8.7783348054975924E-2</v>
      </c>
      <c r="AA25" s="233">
        <v>1150443.4807281184</v>
      </c>
      <c r="AB25" s="100">
        <f t="shared" si="25"/>
        <v>0.16424341323404648</v>
      </c>
      <c r="AC25" s="226">
        <f t="shared" si="54"/>
        <v>1765322.2055292416</v>
      </c>
      <c r="AD25" s="100">
        <f t="shared" si="55"/>
        <v>0.25202676128902241</v>
      </c>
      <c r="AE25" s="233">
        <v>1052066.482686939</v>
      </c>
      <c r="AF25" s="100">
        <f t="shared" si="56"/>
        <v>0.15019859120439222</v>
      </c>
      <c r="AG25" s="233">
        <v>586660.11842243199</v>
      </c>
      <c r="AH25" s="100">
        <f t="shared" si="57"/>
        <v>8.3754710137526084E-2</v>
      </c>
      <c r="AI25" s="233">
        <v>929427.1144296017</v>
      </c>
      <c r="AJ25" s="100">
        <f t="shared" si="58"/>
        <v>0.13268994451563537</v>
      </c>
      <c r="AK25" s="233">
        <v>540821.75169680791</v>
      </c>
      <c r="AL25" s="100">
        <f t="shared" si="52"/>
        <v>7.7210581778151544E-2</v>
      </c>
    </row>
    <row r="26" spans="2:38" ht="14.25">
      <c r="B26" s="97"/>
      <c r="C26" s="97"/>
      <c r="D26" s="299">
        <f t="shared" si="20"/>
        <v>46250</v>
      </c>
      <c r="E26" s="299" t="s">
        <v>451</v>
      </c>
      <c r="F26" s="227">
        <f t="shared" si="19"/>
        <v>8582365.0000000019</v>
      </c>
      <c r="G26" s="297"/>
      <c r="H26" s="316"/>
      <c r="I26" s="233">
        <v>550139.18799292459</v>
      </c>
      <c r="J26" s="100">
        <f t="shared" si="42"/>
        <v>6.4101117581566905E-2</v>
      </c>
      <c r="K26" s="233">
        <v>769755.44039754069</v>
      </c>
      <c r="L26" s="100">
        <f t="shared" si="43"/>
        <v>8.9690363949510479E-2</v>
      </c>
      <c r="M26" s="226">
        <f t="shared" si="44"/>
        <v>1319894.6283904654</v>
      </c>
      <c r="N26" s="100">
        <f t="shared" si="45"/>
        <v>0.15379148153107741</v>
      </c>
      <c r="O26" s="233">
        <v>171720.63850093773</v>
      </c>
      <c r="P26" s="100">
        <f t="shared" si="46"/>
        <v>2.0008545255408933E-2</v>
      </c>
      <c r="Q26" s="233"/>
      <c r="R26" s="100">
        <f t="shared" si="47"/>
        <v>0</v>
      </c>
      <c r="S26" s="226">
        <f t="shared" si="48"/>
        <v>171720.63850093773</v>
      </c>
      <c r="T26" s="100">
        <f t="shared" si="49"/>
        <v>2.0008545255408933E-2</v>
      </c>
      <c r="U26" s="233">
        <v>1033310.2602237635</v>
      </c>
      <c r="V26" s="100">
        <f t="shared" si="50"/>
        <v>0.12039924429032828</v>
      </c>
      <c r="W26" s="233">
        <v>77951.360244976502</v>
      </c>
      <c r="X26" s="100">
        <f t="shared" si="51"/>
        <v>9.0827365469746957E-3</v>
      </c>
      <c r="Y26" s="233">
        <v>712557.35590041301</v>
      </c>
      <c r="Z26" s="100">
        <f t="shared" si="53"/>
        <v>8.3025757573863712E-2</v>
      </c>
      <c r="AA26" s="233">
        <v>1267305.3991041486</v>
      </c>
      <c r="AB26" s="100">
        <f t="shared" si="25"/>
        <v>0.14766388974416123</v>
      </c>
      <c r="AC26" s="226">
        <f t="shared" si="54"/>
        <v>1979862.7550045615</v>
      </c>
      <c r="AD26" s="100">
        <f t="shared" si="55"/>
        <v>0.23068964731802494</v>
      </c>
      <c r="AE26" s="233">
        <v>1427193.4180609856</v>
      </c>
      <c r="AF26" s="100">
        <f t="shared" si="56"/>
        <v>0.16629372184252073</v>
      </c>
      <c r="AG26" s="233">
        <v>894739.49376995408</v>
      </c>
      <c r="AH26" s="100">
        <f t="shared" si="57"/>
        <v>0.10425325580652348</v>
      </c>
      <c r="AI26" s="233">
        <v>986025.155975134</v>
      </c>
      <c r="AJ26" s="100">
        <f t="shared" si="58"/>
        <v>0.11488967854141997</v>
      </c>
      <c r="AK26" s="233">
        <v>691667.2898292226</v>
      </c>
      <c r="AL26" s="100">
        <f t="shared" si="52"/>
        <v>8.0591688867721473E-2</v>
      </c>
    </row>
    <row r="27" spans="2:38" ht="14.25">
      <c r="B27" s="97"/>
      <c r="C27" s="97"/>
      <c r="D27" s="299">
        <f t="shared" si="20"/>
        <v>46251</v>
      </c>
      <c r="E27" s="299" t="s">
        <v>445</v>
      </c>
      <c r="F27" s="227">
        <f t="shared" si="19"/>
        <v>8557390</v>
      </c>
      <c r="G27" s="86"/>
      <c r="H27" s="316"/>
      <c r="I27" s="233">
        <v>537063.76080893981</v>
      </c>
      <c r="J27" s="100">
        <f t="shared" si="42"/>
        <v>6.2760229557019112E-2</v>
      </c>
      <c r="K27" s="233">
        <v>758902.42583630304</v>
      </c>
      <c r="L27" s="100">
        <f t="shared" si="43"/>
        <v>8.8683865739004886E-2</v>
      </c>
      <c r="M27" s="226">
        <f t="shared" si="44"/>
        <v>1295966.1866452429</v>
      </c>
      <c r="N27" s="100">
        <f t="shared" si="45"/>
        <v>0.15144409529602401</v>
      </c>
      <c r="O27" s="233">
        <v>164541.09807623015</v>
      </c>
      <c r="P27" s="100">
        <f t="shared" si="46"/>
        <v>1.9227953625606656E-2</v>
      </c>
      <c r="Q27" s="233"/>
      <c r="R27" s="100">
        <f t="shared" si="47"/>
        <v>0</v>
      </c>
      <c r="S27" s="226">
        <f t="shared" si="48"/>
        <v>164541.09807623015</v>
      </c>
      <c r="T27" s="100">
        <f t="shared" si="49"/>
        <v>1.9227953625606656E-2</v>
      </c>
      <c r="U27" s="233">
        <v>1041791.0227992666</v>
      </c>
      <c r="V27" s="100">
        <f t="shared" si="50"/>
        <v>0.12174167857246972</v>
      </c>
      <c r="W27" s="233">
        <v>94021.10812325959</v>
      </c>
      <c r="X27" s="100">
        <f t="shared" si="51"/>
        <v>1.0987124359560519E-2</v>
      </c>
      <c r="Y27" s="233">
        <v>768376.73140133405</v>
      </c>
      <c r="Z27" s="100">
        <f t="shared" si="53"/>
        <v>8.9791014713754322E-2</v>
      </c>
      <c r="AA27" s="233">
        <v>1214032.3509089111</v>
      </c>
      <c r="AB27" s="100">
        <f t="shared" si="25"/>
        <v>0.14186946614667686</v>
      </c>
      <c r="AC27" s="226">
        <f t="shared" si="54"/>
        <v>1982409.0823102451</v>
      </c>
      <c r="AD27" s="100">
        <f t="shared" si="55"/>
        <v>0.23166048086043117</v>
      </c>
      <c r="AE27" s="233">
        <v>1428201.2362340721</v>
      </c>
      <c r="AF27" s="100">
        <f t="shared" si="56"/>
        <v>0.16689682674671508</v>
      </c>
      <c r="AG27" s="233">
        <v>838995.72215750476</v>
      </c>
      <c r="AH27" s="100">
        <f t="shared" si="57"/>
        <v>9.8043413021669551E-2</v>
      </c>
      <c r="AI27" s="233">
        <v>939490.75662817794</v>
      </c>
      <c r="AJ27" s="100">
        <f t="shared" si="58"/>
        <v>0.10978706785926293</v>
      </c>
      <c r="AK27" s="233">
        <v>771973.78702600044</v>
      </c>
      <c r="AL27" s="100">
        <f t="shared" si="52"/>
        <v>9.021135965826034E-2</v>
      </c>
    </row>
    <row r="28" spans="2:38" ht="14.25">
      <c r="B28" s="97"/>
      <c r="C28" s="97"/>
      <c r="D28" s="355">
        <f t="shared" si="20"/>
        <v>46252</v>
      </c>
      <c r="E28" s="355" t="s">
        <v>446</v>
      </c>
      <c r="F28" s="227">
        <f t="shared" si="19"/>
        <v>9261715.0000000019</v>
      </c>
      <c r="G28" s="297">
        <f>SUM(F28:F34)</f>
        <v>56328159</v>
      </c>
      <c r="H28" s="316"/>
      <c r="I28" s="233">
        <v>547672.96125097154</v>
      </c>
      <c r="J28" s="100">
        <f t="shared" si="42"/>
        <v>5.9132996561756808E-2</v>
      </c>
      <c r="K28" s="233">
        <v>760774.90233397356</v>
      </c>
      <c r="L28" s="100">
        <f t="shared" si="43"/>
        <v>8.214190377634957E-2</v>
      </c>
      <c r="M28" s="226">
        <f t="shared" si="44"/>
        <v>1308447.863584945</v>
      </c>
      <c r="N28" s="100">
        <f t="shared" si="45"/>
        <v>0.14127490033810636</v>
      </c>
      <c r="O28" s="233">
        <v>166308.88577784077</v>
      </c>
      <c r="P28" s="100">
        <f t="shared" si="46"/>
        <v>1.7956597215293361E-2</v>
      </c>
      <c r="Q28" s="233"/>
      <c r="R28" s="100">
        <f t="shared" si="47"/>
        <v>0</v>
      </c>
      <c r="S28" s="226">
        <f t="shared" si="48"/>
        <v>166308.88577784077</v>
      </c>
      <c r="T28" s="100">
        <f t="shared" si="49"/>
        <v>1.7956597215293361E-2</v>
      </c>
      <c r="U28" s="233">
        <v>1290892.5461009499</v>
      </c>
      <c r="V28" s="100">
        <f t="shared" si="50"/>
        <v>0.13937942876680504</v>
      </c>
      <c r="W28" s="233">
        <v>70904.460050641719</v>
      </c>
      <c r="X28" s="100">
        <f t="shared" si="51"/>
        <v>7.6556512536438128E-3</v>
      </c>
      <c r="Y28" s="233">
        <v>927161.08870236517</v>
      </c>
      <c r="Z28" s="100">
        <f t="shared" si="53"/>
        <v>0.10010684724182994</v>
      </c>
      <c r="AA28" s="233">
        <v>1200618.2338726264</v>
      </c>
      <c r="AB28" s="100">
        <f t="shared" si="25"/>
        <v>0.12963238815625683</v>
      </c>
      <c r="AC28" s="226">
        <f t="shared" si="54"/>
        <v>2127779.3225749917</v>
      </c>
      <c r="AD28" s="100">
        <f t="shared" si="55"/>
        <v>0.22973923539808677</v>
      </c>
      <c r="AE28" s="233">
        <v>1818149.6010659523</v>
      </c>
      <c r="AF28" s="100">
        <f t="shared" si="56"/>
        <v>0.19630809208294059</v>
      </c>
      <c r="AG28" s="233">
        <v>838342.55615905544</v>
      </c>
      <c r="AH28" s="100">
        <f t="shared" si="57"/>
        <v>9.0516989149315788E-2</v>
      </c>
      <c r="AI28" s="233">
        <v>957191.73106714489</v>
      </c>
      <c r="AJ28" s="100">
        <f t="shared" si="58"/>
        <v>0.10334929665479284</v>
      </c>
      <c r="AK28" s="233">
        <v>683698.03361847962</v>
      </c>
      <c r="AL28" s="100">
        <f t="shared" si="52"/>
        <v>7.3819809141015408E-2</v>
      </c>
    </row>
    <row r="29" spans="2:38" ht="14.25">
      <c r="B29" s="97"/>
      <c r="C29" s="97"/>
      <c r="D29" s="355">
        <f t="shared" si="20"/>
        <v>46253</v>
      </c>
      <c r="E29" s="355" t="s">
        <v>447</v>
      </c>
      <c r="F29" s="227">
        <f t="shared" si="19"/>
        <v>8223442</v>
      </c>
      <c r="G29" s="297"/>
      <c r="H29" s="316"/>
      <c r="I29" s="233">
        <v>536921.38531845761</v>
      </c>
      <c r="J29" s="100">
        <f t="shared" si="42"/>
        <v>6.5291563474085129E-2</v>
      </c>
      <c r="K29" s="233">
        <v>734174.79775325512</v>
      </c>
      <c r="L29" s="100">
        <f t="shared" si="43"/>
        <v>8.9278284902265387E-2</v>
      </c>
      <c r="M29" s="226">
        <f t="shared" si="44"/>
        <v>1271096.1830717127</v>
      </c>
      <c r="N29" s="100">
        <f t="shared" si="45"/>
        <v>0.15456984837635052</v>
      </c>
      <c r="O29" s="233">
        <v>169345.93485707237</v>
      </c>
      <c r="P29" s="100">
        <f t="shared" si="46"/>
        <v>2.0593072202256958E-2</v>
      </c>
      <c r="Q29" s="233"/>
      <c r="R29" s="100">
        <f t="shared" si="47"/>
        <v>0</v>
      </c>
      <c r="S29" s="226">
        <f t="shared" si="48"/>
        <v>169345.93485707237</v>
      </c>
      <c r="T29" s="100">
        <f t="shared" si="49"/>
        <v>2.0593072202256958E-2</v>
      </c>
      <c r="U29" s="233">
        <v>1078929.215481411</v>
      </c>
      <c r="V29" s="100">
        <f t="shared" si="50"/>
        <v>0.1312016568586987</v>
      </c>
      <c r="W29" s="233">
        <v>13179.992736545579</v>
      </c>
      <c r="X29" s="100">
        <f t="shared" si="51"/>
        <v>1.6027343217773749E-3</v>
      </c>
      <c r="Y29" s="233">
        <v>787323.05323924019</v>
      </c>
      <c r="Z29" s="100">
        <f t="shared" si="53"/>
        <v>9.5741303123344237E-2</v>
      </c>
      <c r="AA29" s="233">
        <v>1117738.6389882588</v>
      </c>
      <c r="AB29" s="100">
        <f t="shared" si="25"/>
        <v>0.13592102175564183</v>
      </c>
      <c r="AC29" s="226">
        <f t="shared" si="54"/>
        <v>1905061.6922274991</v>
      </c>
      <c r="AD29" s="100">
        <f t="shared" si="55"/>
        <v>0.23166232487898608</v>
      </c>
      <c r="AE29" s="233">
        <v>1478032.6301820669</v>
      </c>
      <c r="AF29" s="100">
        <f t="shared" si="56"/>
        <v>0.17973406150150592</v>
      </c>
      <c r="AG29" s="233">
        <v>700840.20795134909</v>
      </c>
      <c r="AH29" s="100">
        <f t="shared" si="57"/>
        <v>8.5224679392321256E-2</v>
      </c>
      <c r="AI29" s="233">
        <v>968948.83349760785</v>
      </c>
      <c r="AJ29" s="100">
        <f t="shared" si="58"/>
        <v>0.11782764850747507</v>
      </c>
      <c r="AK29" s="233">
        <v>638007.30999473529</v>
      </c>
      <c r="AL29" s="100">
        <f t="shared" si="52"/>
        <v>7.7583973960628078E-2</v>
      </c>
    </row>
    <row r="30" spans="2:38" ht="14.25">
      <c r="B30" s="97"/>
      <c r="C30" s="97"/>
      <c r="D30" s="355">
        <f t="shared" si="20"/>
        <v>46254</v>
      </c>
      <c r="E30" s="355" t="s">
        <v>448</v>
      </c>
      <c r="F30" s="227">
        <f t="shared" si="19"/>
        <v>7777327.0000000009</v>
      </c>
      <c r="G30" s="86"/>
      <c r="H30" s="316"/>
      <c r="I30" s="233">
        <v>514709.43519779021</v>
      </c>
      <c r="J30" s="100">
        <f t="shared" si="42"/>
        <v>6.6180763030510376E-2</v>
      </c>
      <c r="K30" s="233">
        <v>677474.97306788492</v>
      </c>
      <c r="L30" s="100">
        <f t="shared" si="43"/>
        <v>8.7108973695960684E-2</v>
      </c>
      <c r="M30" s="226">
        <f t="shared" si="44"/>
        <v>1192184.4082656752</v>
      </c>
      <c r="N30" s="100">
        <f t="shared" si="45"/>
        <v>0.15328973672647106</v>
      </c>
      <c r="O30" s="233">
        <v>166139.85300091823</v>
      </c>
      <c r="P30" s="100">
        <f t="shared" si="46"/>
        <v>2.1362076327884658E-2</v>
      </c>
      <c r="Q30" s="233"/>
      <c r="R30" s="100">
        <f t="shared" si="47"/>
        <v>0</v>
      </c>
      <c r="S30" s="226">
        <f t="shared" si="48"/>
        <v>166139.85300091823</v>
      </c>
      <c r="T30" s="100">
        <f t="shared" si="49"/>
        <v>2.1362076327884658E-2</v>
      </c>
      <c r="U30" s="233">
        <v>985399.38013269915</v>
      </c>
      <c r="V30" s="100">
        <f t="shared" si="50"/>
        <v>0.12670154927685295</v>
      </c>
      <c r="W30" s="233">
        <v>13787.825533467647</v>
      </c>
      <c r="X30" s="100">
        <f t="shared" si="51"/>
        <v>1.7728231734974813E-3</v>
      </c>
      <c r="Y30" s="233">
        <v>776059.00055938913</v>
      </c>
      <c r="Z30" s="100">
        <f t="shared" si="53"/>
        <v>9.9784797599405173E-2</v>
      </c>
      <c r="AA30" s="233">
        <v>924565.22383378982</v>
      </c>
      <c r="AB30" s="100">
        <f t="shared" si="25"/>
        <v>0.11887956155550483</v>
      </c>
      <c r="AC30" s="226">
        <f t="shared" si="54"/>
        <v>1700624.2243931789</v>
      </c>
      <c r="AD30" s="100">
        <f t="shared" si="55"/>
        <v>0.21866435915491</v>
      </c>
      <c r="AE30" s="233">
        <v>1486508.6485361233</v>
      </c>
      <c r="AF30" s="100">
        <f t="shared" si="56"/>
        <v>0.19113361808448109</v>
      </c>
      <c r="AG30" s="233">
        <v>664555.13791375142</v>
      </c>
      <c r="AH30" s="100">
        <f t="shared" si="57"/>
        <v>8.5447755753840796E-2</v>
      </c>
      <c r="AI30" s="233">
        <v>934901.45773835189</v>
      </c>
      <c r="AJ30" s="100">
        <f t="shared" si="58"/>
        <v>0.12020858294094511</v>
      </c>
      <c r="AK30" s="233">
        <v>633226.06448583468</v>
      </c>
      <c r="AL30" s="100">
        <f t="shared" si="52"/>
        <v>8.1419498561116771E-2</v>
      </c>
    </row>
    <row r="31" spans="2:38" ht="14.25">
      <c r="B31" s="97"/>
      <c r="C31" s="97"/>
      <c r="D31" s="355">
        <f t="shared" si="20"/>
        <v>46255</v>
      </c>
      <c r="E31" s="355" t="s">
        <v>449</v>
      </c>
      <c r="F31" s="227">
        <f t="shared" si="19"/>
        <v>6482925.0000000009</v>
      </c>
      <c r="G31" s="297"/>
      <c r="H31" s="316"/>
      <c r="I31" s="233">
        <v>445853.00724219216</v>
      </c>
      <c r="J31" s="100">
        <f t="shared" si="42"/>
        <v>6.8773432862819187E-2</v>
      </c>
      <c r="K31" s="233">
        <v>633907.29496579152</v>
      </c>
      <c r="L31" s="100">
        <f t="shared" si="43"/>
        <v>9.7781062555218734E-2</v>
      </c>
      <c r="M31" s="226">
        <f t="shared" si="44"/>
        <v>1079760.3022079836</v>
      </c>
      <c r="N31" s="100">
        <f t="shared" si="45"/>
        <v>0.16655449541803791</v>
      </c>
      <c r="O31" s="233">
        <v>135854.27297741955</v>
      </c>
      <c r="P31" s="100">
        <f t="shared" si="46"/>
        <v>2.0955706409902866E-2</v>
      </c>
      <c r="Q31" s="233"/>
      <c r="R31" s="100">
        <f t="shared" si="47"/>
        <v>0</v>
      </c>
      <c r="S31" s="226">
        <f t="shared" si="48"/>
        <v>135854.27297741955</v>
      </c>
      <c r="T31" s="100">
        <f t="shared" si="49"/>
        <v>2.0955706409902866E-2</v>
      </c>
      <c r="U31" s="233">
        <v>794932.9866001542</v>
      </c>
      <c r="V31" s="100">
        <f t="shared" si="50"/>
        <v>0.12261949453374119</v>
      </c>
      <c r="W31" s="233">
        <v>8620.7833126667374</v>
      </c>
      <c r="X31" s="100">
        <f t="shared" si="51"/>
        <v>1.3297675528664509E-3</v>
      </c>
      <c r="Y31" s="233">
        <v>651243.63420782401</v>
      </c>
      <c r="Z31" s="100">
        <f t="shared" si="53"/>
        <v>0.10045521646599705</v>
      </c>
      <c r="AA31" s="233">
        <v>975139.83923482907</v>
      </c>
      <c r="AB31" s="100">
        <f t="shared" si="25"/>
        <v>0.15041664668877536</v>
      </c>
      <c r="AC31" s="226">
        <f t="shared" si="54"/>
        <v>1626383.4734426532</v>
      </c>
      <c r="AD31" s="100">
        <f t="shared" si="55"/>
        <v>0.25087186315477239</v>
      </c>
      <c r="AE31" s="233">
        <v>1018248.5955613209</v>
      </c>
      <c r="AF31" s="100">
        <f t="shared" si="56"/>
        <v>0.15706623099315831</v>
      </c>
      <c r="AG31" s="233">
        <v>463632.88920552388</v>
      </c>
      <c r="AH31" s="100">
        <f t="shared" si="57"/>
        <v>7.1516003841710932E-2</v>
      </c>
      <c r="AI31" s="233">
        <v>847372.21299289784</v>
      </c>
      <c r="AJ31" s="100">
        <f t="shared" si="58"/>
        <v>0.13070831653812096</v>
      </c>
      <c r="AK31" s="233">
        <v>508119.48369938019</v>
      </c>
      <c r="AL31" s="100">
        <f t="shared" si="52"/>
        <v>7.8378121557688876E-2</v>
      </c>
    </row>
    <row r="32" spans="2:38" ht="14.25">
      <c r="B32" s="97"/>
      <c r="C32" s="97"/>
      <c r="D32" s="355">
        <f t="shared" si="20"/>
        <v>46256</v>
      </c>
      <c r="E32" s="355" t="s">
        <v>450</v>
      </c>
      <c r="F32" s="227">
        <f t="shared" si="19"/>
        <v>7062658.0000000009</v>
      </c>
      <c r="G32" s="297"/>
      <c r="H32" s="316"/>
      <c r="I32" s="233">
        <v>409598.80639282544</v>
      </c>
      <c r="J32" s="100">
        <f t="shared" si="42"/>
        <v>5.7994993725142205E-2</v>
      </c>
      <c r="K32" s="233">
        <v>681760.06240234489</v>
      </c>
      <c r="L32" s="100">
        <f t="shared" si="43"/>
        <v>9.6530238672514632E-2</v>
      </c>
      <c r="M32" s="226">
        <f t="shared" si="44"/>
        <v>1091358.8687951704</v>
      </c>
      <c r="N32" s="100">
        <f t="shared" si="45"/>
        <v>0.15452523239765684</v>
      </c>
      <c r="O32" s="233">
        <v>127871.91540331917</v>
      </c>
      <c r="P32" s="100">
        <f t="shared" si="46"/>
        <v>1.8105352886026643E-2</v>
      </c>
      <c r="Q32" s="233"/>
      <c r="R32" s="100">
        <f t="shared" si="47"/>
        <v>0</v>
      </c>
      <c r="S32" s="226">
        <f t="shared" si="48"/>
        <v>127871.91540331917</v>
      </c>
      <c r="T32" s="100">
        <f t="shared" si="49"/>
        <v>1.8105352886026643E-2</v>
      </c>
      <c r="U32" s="233">
        <v>916893.36434709397</v>
      </c>
      <c r="V32" s="100">
        <f t="shared" si="50"/>
        <v>0.12982270475890151</v>
      </c>
      <c r="W32" s="233">
        <v>0</v>
      </c>
      <c r="X32" s="100">
        <f t="shared" si="51"/>
        <v>0</v>
      </c>
      <c r="Y32" s="233">
        <v>701403.04990242724</v>
      </c>
      <c r="Z32" s="100">
        <f t="shared" si="53"/>
        <v>9.931148441598435E-2</v>
      </c>
      <c r="AA32" s="233">
        <v>1140284.5982136596</v>
      </c>
      <c r="AB32" s="100">
        <f t="shared" si="25"/>
        <v>0.16145261432928784</v>
      </c>
      <c r="AC32" s="226">
        <f t="shared" si="54"/>
        <v>1841687.6481160868</v>
      </c>
      <c r="AD32" s="100">
        <f t="shared" si="55"/>
        <v>0.26076409874527218</v>
      </c>
      <c r="AE32" s="233">
        <v>1173064.9691446838</v>
      </c>
      <c r="AF32" s="100">
        <f t="shared" si="56"/>
        <v>0.16609397894456784</v>
      </c>
      <c r="AG32" s="233">
        <v>526504.97635460249</v>
      </c>
      <c r="AH32" s="100">
        <f t="shared" si="57"/>
        <v>7.4547709425346997E-2</v>
      </c>
      <c r="AI32" s="233">
        <v>864580.81336678716</v>
      </c>
      <c r="AJ32" s="100">
        <f t="shared" si="58"/>
        <v>0.12241578359971374</v>
      </c>
      <c r="AK32" s="233">
        <v>520695.44447225612</v>
      </c>
      <c r="AL32" s="100">
        <f t="shared" si="52"/>
        <v>7.3725139242514087E-2</v>
      </c>
    </row>
    <row r="33" spans="2:38" ht="14.25">
      <c r="B33" s="97"/>
      <c r="C33" s="97"/>
      <c r="D33" s="355">
        <f t="shared" si="20"/>
        <v>46257</v>
      </c>
      <c r="E33" s="355" t="s">
        <v>451</v>
      </c>
      <c r="F33" s="227">
        <f t="shared" si="19"/>
        <v>8897810</v>
      </c>
      <c r="G33" s="297"/>
      <c r="H33" s="316"/>
      <c r="I33" s="233">
        <v>509849.55880566064</v>
      </c>
      <c r="J33" s="100">
        <f t="shared" si="42"/>
        <v>5.7300567083997146E-2</v>
      </c>
      <c r="K33" s="233">
        <v>727987.97470949101</v>
      </c>
      <c r="L33" s="100">
        <f t="shared" si="43"/>
        <v>8.1816534035846017E-2</v>
      </c>
      <c r="M33" s="226">
        <f t="shared" si="44"/>
        <v>1237837.5335151516</v>
      </c>
      <c r="N33" s="100">
        <f t="shared" si="45"/>
        <v>0.13911710111984316</v>
      </c>
      <c r="O33" s="233">
        <v>165773.85742426105</v>
      </c>
      <c r="P33" s="100">
        <f t="shared" si="46"/>
        <v>1.863086056279703E-2</v>
      </c>
      <c r="Q33" s="233"/>
      <c r="R33" s="100">
        <f t="shared" si="47"/>
        <v>0</v>
      </c>
      <c r="S33" s="226">
        <f t="shared" si="48"/>
        <v>165773.85742426105</v>
      </c>
      <c r="T33" s="100">
        <f t="shared" si="49"/>
        <v>1.863086056279703E-2</v>
      </c>
      <c r="U33" s="233">
        <v>1243720.296094402</v>
      </c>
      <c r="V33" s="100">
        <f t="shared" si="50"/>
        <v>0.13977824836610378</v>
      </c>
      <c r="W33" s="233">
        <v>0</v>
      </c>
      <c r="X33" s="100">
        <f t="shared" si="51"/>
        <v>0</v>
      </c>
      <c r="Y33" s="233">
        <v>899504.52797177085</v>
      </c>
      <c r="Z33" s="100">
        <f t="shared" si="53"/>
        <v>0.10109280013528844</v>
      </c>
      <c r="AA33" s="233">
        <v>1270582.1949894684</v>
      </c>
      <c r="AB33" s="100">
        <f t="shared" si="25"/>
        <v>0.14279718211441561</v>
      </c>
      <c r="AC33" s="226">
        <f t="shared" si="54"/>
        <v>2170086.7229612395</v>
      </c>
      <c r="AD33" s="100">
        <f t="shared" si="55"/>
        <v>0.2438899822497041</v>
      </c>
      <c r="AE33" s="233">
        <v>1727884.1285792971</v>
      </c>
      <c r="AF33" s="100">
        <f t="shared" si="56"/>
        <v>0.19419206845047232</v>
      </c>
      <c r="AG33" s="233">
        <v>758869.38783299143</v>
      </c>
      <c r="AH33" s="100">
        <f t="shared" si="57"/>
        <v>8.528720975532085E-2</v>
      </c>
      <c r="AI33" s="233">
        <v>921097.71702422632</v>
      </c>
      <c r="AJ33" s="100">
        <f t="shared" si="58"/>
        <v>0.10351959830837322</v>
      </c>
      <c r="AK33" s="233">
        <v>672540.35656843043</v>
      </c>
      <c r="AL33" s="100">
        <f t="shared" si="52"/>
        <v>7.558493118738549E-2</v>
      </c>
    </row>
    <row r="34" spans="2:38" ht="14.25">
      <c r="B34" s="97"/>
      <c r="C34" s="97"/>
      <c r="D34" s="355">
        <f t="shared" si="20"/>
        <v>46258</v>
      </c>
      <c r="E34" s="355" t="s">
        <v>445</v>
      </c>
      <c r="F34" s="227">
        <f t="shared" si="19"/>
        <v>8622282</v>
      </c>
      <c r="G34" s="86"/>
      <c r="H34" s="316"/>
      <c r="I34" s="233">
        <v>499030.27286981081</v>
      </c>
      <c r="J34" s="100">
        <f t="shared" si="42"/>
        <v>5.7876821109517272E-2</v>
      </c>
      <c r="K34" s="233">
        <v>712538.10821328906</v>
      </c>
      <c r="L34" s="100">
        <f t="shared" si="43"/>
        <v>8.2639156108938336E-2</v>
      </c>
      <c r="M34" s="226">
        <f t="shared" si="44"/>
        <v>1211568.3810830999</v>
      </c>
      <c r="N34" s="100">
        <f t="shared" si="45"/>
        <v>0.1405159772184556</v>
      </c>
      <c r="O34" s="233">
        <v>159675.91289078677</v>
      </c>
      <c r="P34" s="100">
        <f t="shared" si="46"/>
        <v>1.8518985216533949E-2</v>
      </c>
      <c r="Q34" s="233"/>
      <c r="R34" s="100">
        <f t="shared" si="47"/>
        <v>0</v>
      </c>
      <c r="S34" s="226">
        <f t="shared" si="48"/>
        <v>159675.91289078677</v>
      </c>
      <c r="T34" s="100">
        <f t="shared" si="49"/>
        <v>1.8518985216533949E-2</v>
      </c>
      <c r="U34" s="233">
        <v>1162767.6148072975</v>
      </c>
      <c r="V34" s="100">
        <f t="shared" si="50"/>
        <v>0.13485613377146533</v>
      </c>
      <c r="W34" s="233">
        <v>0</v>
      </c>
      <c r="X34" s="100">
        <f t="shared" si="51"/>
        <v>0</v>
      </c>
      <c r="Y34" s="233">
        <v>902913.88976965018</v>
      </c>
      <c r="Z34" s="100">
        <f t="shared" si="53"/>
        <v>0.10471866841859849</v>
      </c>
      <c r="AA34" s="233">
        <v>1292088.3374252752</v>
      </c>
      <c r="AB34" s="100">
        <f t="shared" si="25"/>
        <v>0.14985456720451446</v>
      </c>
      <c r="AC34" s="226">
        <f t="shared" si="54"/>
        <v>2195002.2271949253</v>
      </c>
      <c r="AD34" s="100">
        <f t="shared" si="55"/>
        <v>0.2545732356231129</v>
      </c>
      <c r="AE34" s="233">
        <v>1531079.8928086848</v>
      </c>
      <c r="AF34" s="100">
        <f t="shared" si="56"/>
        <v>0.17757246780013514</v>
      </c>
      <c r="AG34" s="233">
        <v>744298.27832892851</v>
      </c>
      <c r="AH34" s="100">
        <f t="shared" si="57"/>
        <v>8.6322655455821157E-2</v>
      </c>
      <c r="AI34" s="233">
        <v>837639.91668703663</v>
      </c>
      <c r="AJ34" s="100">
        <f t="shared" si="58"/>
        <v>9.7148285881514501E-2</v>
      </c>
      <c r="AK34" s="233">
        <v>780249.77619924117</v>
      </c>
      <c r="AL34" s="100">
        <f t="shared" si="52"/>
        <v>9.0492259032961472E-2</v>
      </c>
    </row>
    <row r="35" spans="2:38" s="455" customFormat="1" ht="14.25">
      <c r="B35" s="428"/>
      <c r="C35" s="428"/>
      <c r="D35" s="299">
        <f t="shared" si="20"/>
        <v>46259</v>
      </c>
      <c r="E35" s="299" t="s">
        <v>446</v>
      </c>
      <c r="F35" s="456">
        <f t="shared" si="19"/>
        <v>0</v>
      </c>
      <c r="G35" s="430">
        <f>SUM(F35:F41)</f>
        <v>0</v>
      </c>
      <c r="H35" s="431"/>
      <c r="I35" s="459"/>
      <c r="J35" s="338" t="e">
        <f t="shared" si="42"/>
        <v>#DIV/0!</v>
      </c>
      <c r="K35" s="459"/>
      <c r="L35" s="338" t="e">
        <f t="shared" si="43"/>
        <v>#DIV/0!</v>
      </c>
      <c r="M35" s="460">
        <f t="shared" ref="M35:M36" si="59">SUM(I35+K35)</f>
        <v>0</v>
      </c>
      <c r="N35" s="338" t="e">
        <f t="shared" si="45"/>
        <v>#DIV/0!</v>
      </c>
      <c r="O35" s="459"/>
      <c r="P35" s="338" t="e">
        <f t="shared" si="46"/>
        <v>#DIV/0!</v>
      </c>
      <c r="Q35" s="459"/>
      <c r="R35" s="338" t="e">
        <f t="shared" si="47"/>
        <v>#DIV/0!</v>
      </c>
      <c r="S35" s="460">
        <f t="shared" si="48"/>
        <v>0</v>
      </c>
      <c r="T35" s="338" t="e">
        <f t="shared" si="49"/>
        <v>#DIV/0!</v>
      </c>
      <c r="U35" s="459"/>
      <c r="V35" s="338" t="e">
        <f t="shared" si="50"/>
        <v>#DIV/0!</v>
      </c>
      <c r="W35" s="459"/>
      <c r="X35" s="338" t="e">
        <f t="shared" si="51"/>
        <v>#DIV/0!</v>
      </c>
      <c r="Y35" s="459"/>
      <c r="Z35" s="338" t="e">
        <f t="shared" si="53"/>
        <v>#DIV/0!</v>
      </c>
      <c r="AA35" s="459"/>
      <c r="AB35" s="338" t="e">
        <f t="shared" si="25"/>
        <v>#DIV/0!</v>
      </c>
      <c r="AC35" s="460">
        <f t="shared" si="54"/>
        <v>0</v>
      </c>
      <c r="AD35" s="338" t="e">
        <f t="shared" si="55"/>
        <v>#DIV/0!</v>
      </c>
      <c r="AE35" s="459"/>
      <c r="AF35" s="338" t="e">
        <f t="shared" si="56"/>
        <v>#DIV/0!</v>
      </c>
      <c r="AG35" s="459"/>
      <c r="AH35" s="338" t="e">
        <f t="shared" si="57"/>
        <v>#DIV/0!</v>
      </c>
      <c r="AI35" s="459"/>
      <c r="AJ35" s="338" t="e">
        <f t="shared" si="58"/>
        <v>#DIV/0!</v>
      </c>
      <c r="AK35" s="459"/>
      <c r="AL35" s="338" t="e">
        <f t="shared" si="52"/>
        <v>#DIV/0!</v>
      </c>
    </row>
    <row r="36" spans="2:38" s="455" customFormat="1" ht="14.25">
      <c r="B36" s="428"/>
      <c r="C36" s="428"/>
      <c r="D36" s="299">
        <f t="shared" si="20"/>
        <v>46260</v>
      </c>
      <c r="E36" s="299" t="s">
        <v>447</v>
      </c>
      <c r="F36" s="456">
        <f t="shared" si="19"/>
        <v>0</v>
      </c>
      <c r="G36" s="430"/>
      <c r="H36" s="457"/>
      <c r="I36" s="459"/>
      <c r="J36" s="338" t="e">
        <f t="shared" si="42"/>
        <v>#DIV/0!</v>
      </c>
      <c r="K36" s="459"/>
      <c r="L36" s="338" t="e">
        <f t="shared" si="43"/>
        <v>#DIV/0!</v>
      </c>
      <c r="M36" s="460">
        <f t="shared" si="59"/>
        <v>0</v>
      </c>
      <c r="N36" s="338" t="e">
        <f t="shared" si="45"/>
        <v>#DIV/0!</v>
      </c>
      <c r="O36" s="459"/>
      <c r="P36" s="338" t="e">
        <f t="shared" si="46"/>
        <v>#DIV/0!</v>
      </c>
      <c r="Q36" s="459"/>
      <c r="R36" s="338" t="e">
        <f t="shared" si="47"/>
        <v>#DIV/0!</v>
      </c>
      <c r="S36" s="460">
        <f t="shared" si="48"/>
        <v>0</v>
      </c>
      <c r="T36" s="338" t="e">
        <f t="shared" si="49"/>
        <v>#DIV/0!</v>
      </c>
      <c r="U36" s="459"/>
      <c r="V36" s="338" t="e">
        <f t="shared" si="50"/>
        <v>#DIV/0!</v>
      </c>
      <c r="W36" s="459"/>
      <c r="X36" s="338" t="e">
        <f t="shared" si="51"/>
        <v>#DIV/0!</v>
      </c>
      <c r="Y36" s="459"/>
      <c r="Z36" s="338" t="e">
        <f t="shared" si="53"/>
        <v>#DIV/0!</v>
      </c>
      <c r="AA36" s="459"/>
      <c r="AB36" s="338" t="e">
        <f t="shared" si="25"/>
        <v>#DIV/0!</v>
      </c>
      <c r="AC36" s="460">
        <f t="shared" si="54"/>
        <v>0</v>
      </c>
      <c r="AD36" s="338" t="e">
        <f t="shared" si="55"/>
        <v>#DIV/0!</v>
      </c>
      <c r="AE36" s="459"/>
      <c r="AF36" s="338" t="e">
        <f t="shared" si="56"/>
        <v>#DIV/0!</v>
      </c>
      <c r="AG36" s="459"/>
      <c r="AH36" s="338" t="e">
        <f t="shared" si="57"/>
        <v>#DIV/0!</v>
      </c>
      <c r="AI36" s="459"/>
      <c r="AJ36" s="338" t="e">
        <f t="shared" si="58"/>
        <v>#DIV/0!</v>
      </c>
      <c r="AK36" s="459"/>
      <c r="AL36" s="338" t="e">
        <f t="shared" si="52"/>
        <v>#DIV/0!</v>
      </c>
    </row>
    <row r="37" spans="2:38" s="455" customFormat="1" ht="14.25">
      <c r="B37" s="428"/>
      <c r="C37" s="428"/>
      <c r="D37" s="299">
        <f>D36+1</f>
        <v>46261</v>
      </c>
      <c r="E37" s="299" t="s">
        <v>448</v>
      </c>
      <c r="F37" s="456">
        <f t="shared" si="19"/>
        <v>0</v>
      </c>
      <c r="G37" s="430"/>
      <c r="H37" s="457"/>
      <c r="I37" s="233"/>
      <c r="J37" s="100" t="e">
        <f t="shared" si="42"/>
        <v>#DIV/0!</v>
      </c>
      <c r="K37" s="233"/>
      <c r="L37" s="100" t="e">
        <f t="shared" si="43"/>
        <v>#DIV/0!</v>
      </c>
      <c r="M37" s="226">
        <f t="shared" ref="M37:M38" si="60">SUM(I37+K37)</f>
        <v>0</v>
      </c>
      <c r="N37" s="100" t="e">
        <f t="shared" si="45"/>
        <v>#DIV/0!</v>
      </c>
      <c r="O37" s="233"/>
      <c r="P37" s="100" t="e">
        <f t="shared" si="46"/>
        <v>#DIV/0!</v>
      </c>
      <c r="Q37" s="233"/>
      <c r="R37" s="100" t="e">
        <f t="shared" si="47"/>
        <v>#DIV/0!</v>
      </c>
      <c r="S37" s="226">
        <f t="shared" si="48"/>
        <v>0</v>
      </c>
      <c r="T37" s="100" t="e">
        <f t="shared" si="49"/>
        <v>#DIV/0!</v>
      </c>
      <c r="U37" s="233"/>
      <c r="V37" s="100" t="e">
        <f t="shared" si="50"/>
        <v>#DIV/0!</v>
      </c>
      <c r="W37" s="233"/>
      <c r="X37" s="100" t="e">
        <f t="shared" si="51"/>
        <v>#DIV/0!</v>
      </c>
      <c r="Y37" s="233"/>
      <c r="Z37" s="100" t="e">
        <f t="shared" si="53"/>
        <v>#DIV/0!</v>
      </c>
      <c r="AA37" s="233"/>
      <c r="AB37" s="100" t="e">
        <f t="shared" si="25"/>
        <v>#DIV/0!</v>
      </c>
      <c r="AC37" s="226">
        <f t="shared" si="54"/>
        <v>0</v>
      </c>
      <c r="AD37" s="100" t="e">
        <f t="shared" si="55"/>
        <v>#DIV/0!</v>
      </c>
      <c r="AE37" s="233"/>
      <c r="AF37" s="100" t="e">
        <f t="shared" si="56"/>
        <v>#DIV/0!</v>
      </c>
      <c r="AG37" s="233"/>
      <c r="AH37" s="100" t="e">
        <f t="shared" si="57"/>
        <v>#DIV/0!</v>
      </c>
      <c r="AI37" s="233"/>
      <c r="AJ37" s="100" t="e">
        <f t="shared" si="58"/>
        <v>#DIV/0!</v>
      </c>
      <c r="AK37" s="233"/>
      <c r="AL37" s="100" t="e">
        <f t="shared" si="52"/>
        <v>#DIV/0!</v>
      </c>
    </row>
    <row r="38" spans="2:38" s="455" customFormat="1" ht="14.25">
      <c r="B38" s="428"/>
      <c r="C38" s="428"/>
      <c r="D38" s="299">
        <f t="shared" ref="D38:D41" si="61">D37+1</f>
        <v>46262</v>
      </c>
      <c r="E38" s="299" t="s">
        <v>449</v>
      </c>
      <c r="F38" s="456">
        <f t="shared" si="19"/>
        <v>0</v>
      </c>
      <c r="G38" s="430"/>
      <c r="H38" s="457"/>
      <c r="I38" s="233"/>
      <c r="J38" s="100" t="e">
        <f t="shared" si="42"/>
        <v>#DIV/0!</v>
      </c>
      <c r="K38" s="233"/>
      <c r="L38" s="100" t="e">
        <f t="shared" si="43"/>
        <v>#DIV/0!</v>
      </c>
      <c r="M38" s="226">
        <f t="shared" si="60"/>
        <v>0</v>
      </c>
      <c r="N38" s="100" t="e">
        <f t="shared" si="45"/>
        <v>#DIV/0!</v>
      </c>
      <c r="O38" s="233"/>
      <c r="P38" s="100" t="e">
        <f t="shared" si="46"/>
        <v>#DIV/0!</v>
      </c>
      <c r="Q38" s="233"/>
      <c r="R38" s="100" t="e">
        <f t="shared" si="47"/>
        <v>#DIV/0!</v>
      </c>
      <c r="S38" s="226">
        <f t="shared" si="48"/>
        <v>0</v>
      </c>
      <c r="T38" s="100" t="e">
        <f t="shared" si="49"/>
        <v>#DIV/0!</v>
      </c>
      <c r="U38" s="233"/>
      <c r="V38" s="100" t="e">
        <f t="shared" si="50"/>
        <v>#DIV/0!</v>
      </c>
      <c r="W38" s="233"/>
      <c r="X38" s="100" t="e">
        <f t="shared" si="51"/>
        <v>#DIV/0!</v>
      </c>
      <c r="Y38" s="233"/>
      <c r="Z38" s="100" t="e">
        <f t="shared" si="53"/>
        <v>#DIV/0!</v>
      </c>
      <c r="AA38" s="233"/>
      <c r="AB38" s="100" t="e">
        <f t="shared" si="25"/>
        <v>#DIV/0!</v>
      </c>
      <c r="AC38" s="226">
        <f t="shared" si="54"/>
        <v>0</v>
      </c>
      <c r="AD38" s="100" t="e">
        <f t="shared" si="55"/>
        <v>#DIV/0!</v>
      </c>
      <c r="AE38" s="233"/>
      <c r="AF38" s="100" t="e">
        <f t="shared" si="56"/>
        <v>#DIV/0!</v>
      </c>
      <c r="AG38" s="233"/>
      <c r="AH38" s="100" t="e">
        <f t="shared" si="57"/>
        <v>#DIV/0!</v>
      </c>
      <c r="AI38" s="233"/>
      <c r="AJ38" s="100" t="e">
        <f t="shared" si="58"/>
        <v>#DIV/0!</v>
      </c>
      <c r="AK38" s="233"/>
      <c r="AL38" s="100" t="e">
        <f t="shared" si="52"/>
        <v>#DIV/0!</v>
      </c>
    </row>
    <row r="39" spans="2:38" s="455" customFormat="1" ht="14.25">
      <c r="B39" s="428"/>
      <c r="C39" s="434"/>
      <c r="D39" s="299">
        <f t="shared" si="61"/>
        <v>46263</v>
      </c>
      <c r="E39" s="299" t="s">
        <v>450</v>
      </c>
      <c r="F39" s="456">
        <f t="shared" si="19"/>
        <v>0</v>
      </c>
      <c r="G39" s="430"/>
      <c r="H39" s="458"/>
      <c r="I39" s="459"/>
      <c r="J39" s="338" t="e">
        <f t="shared" si="42"/>
        <v>#DIV/0!</v>
      </c>
      <c r="K39" s="459"/>
      <c r="L39" s="338" t="e">
        <f t="shared" si="43"/>
        <v>#DIV/0!</v>
      </c>
      <c r="M39" s="460">
        <f t="shared" si="44"/>
        <v>0</v>
      </c>
      <c r="N39" s="338" t="e">
        <f t="shared" si="45"/>
        <v>#DIV/0!</v>
      </c>
      <c r="O39" s="459"/>
      <c r="P39" s="338" t="e">
        <f t="shared" si="46"/>
        <v>#DIV/0!</v>
      </c>
      <c r="Q39" s="459"/>
      <c r="R39" s="338" t="e">
        <f t="shared" si="47"/>
        <v>#DIV/0!</v>
      </c>
      <c r="S39" s="460">
        <f t="shared" si="48"/>
        <v>0</v>
      </c>
      <c r="T39" s="338" t="e">
        <f t="shared" si="49"/>
        <v>#DIV/0!</v>
      </c>
      <c r="U39" s="459"/>
      <c r="V39" s="338" t="e">
        <f t="shared" si="50"/>
        <v>#DIV/0!</v>
      </c>
      <c r="W39" s="459"/>
      <c r="X39" s="338" t="e">
        <f t="shared" si="51"/>
        <v>#DIV/0!</v>
      </c>
      <c r="Y39" s="459"/>
      <c r="Z39" s="338" t="e">
        <f t="shared" si="53"/>
        <v>#DIV/0!</v>
      </c>
      <c r="AA39" s="459"/>
      <c r="AB39" s="338" t="e">
        <f t="shared" si="25"/>
        <v>#DIV/0!</v>
      </c>
      <c r="AC39" s="460">
        <f t="shared" si="54"/>
        <v>0</v>
      </c>
      <c r="AD39" s="338" t="e">
        <f t="shared" si="55"/>
        <v>#DIV/0!</v>
      </c>
      <c r="AE39" s="459"/>
      <c r="AF39" s="338" t="e">
        <f t="shared" si="56"/>
        <v>#DIV/0!</v>
      </c>
      <c r="AG39" s="459"/>
      <c r="AH39" s="338" t="e">
        <f t="shared" si="57"/>
        <v>#DIV/0!</v>
      </c>
      <c r="AI39" s="459"/>
      <c r="AJ39" s="338" t="e">
        <f t="shared" si="58"/>
        <v>#DIV/0!</v>
      </c>
      <c r="AK39" s="459"/>
      <c r="AL39" s="338" t="e">
        <f t="shared" si="52"/>
        <v>#DIV/0!</v>
      </c>
    </row>
    <row r="40" spans="2:38" s="455" customFormat="1" ht="14.25">
      <c r="B40" s="428"/>
      <c r="C40" s="434"/>
      <c r="D40" s="299">
        <f t="shared" si="61"/>
        <v>46264</v>
      </c>
      <c r="E40" s="299" t="s">
        <v>451</v>
      </c>
      <c r="F40" s="456">
        <f t="shared" si="19"/>
        <v>0</v>
      </c>
      <c r="G40" s="430"/>
      <c r="H40" s="458"/>
      <c r="I40" s="459"/>
      <c r="J40" s="338" t="e">
        <f t="shared" si="42"/>
        <v>#DIV/0!</v>
      </c>
      <c r="K40" s="459"/>
      <c r="L40" s="338" t="e">
        <f t="shared" si="43"/>
        <v>#DIV/0!</v>
      </c>
      <c r="M40" s="460">
        <f t="shared" si="44"/>
        <v>0</v>
      </c>
      <c r="N40" s="338" t="e">
        <f t="shared" si="45"/>
        <v>#DIV/0!</v>
      </c>
      <c r="O40" s="459"/>
      <c r="P40" s="338" t="e">
        <f t="shared" si="46"/>
        <v>#DIV/0!</v>
      </c>
      <c r="Q40" s="459"/>
      <c r="R40" s="338" t="e">
        <f t="shared" si="47"/>
        <v>#DIV/0!</v>
      </c>
      <c r="S40" s="460">
        <f t="shared" si="48"/>
        <v>0</v>
      </c>
      <c r="T40" s="338" t="e">
        <f t="shared" si="49"/>
        <v>#DIV/0!</v>
      </c>
      <c r="U40" s="459"/>
      <c r="V40" s="338" t="e">
        <f t="shared" si="50"/>
        <v>#DIV/0!</v>
      </c>
      <c r="W40" s="459"/>
      <c r="X40" s="338" t="e">
        <f t="shared" si="51"/>
        <v>#DIV/0!</v>
      </c>
      <c r="Y40" s="459"/>
      <c r="Z40" s="338" t="e">
        <f t="shared" si="53"/>
        <v>#DIV/0!</v>
      </c>
      <c r="AA40" s="459"/>
      <c r="AB40" s="338" t="e">
        <f t="shared" si="25"/>
        <v>#DIV/0!</v>
      </c>
      <c r="AC40" s="460">
        <f t="shared" si="54"/>
        <v>0</v>
      </c>
      <c r="AD40" s="338" t="e">
        <f t="shared" si="55"/>
        <v>#DIV/0!</v>
      </c>
      <c r="AE40" s="459"/>
      <c r="AF40" s="338" t="e">
        <f t="shared" si="56"/>
        <v>#DIV/0!</v>
      </c>
      <c r="AG40" s="459"/>
      <c r="AH40" s="338" t="e">
        <f t="shared" si="57"/>
        <v>#DIV/0!</v>
      </c>
      <c r="AI40" s="459"/>
      <c r="AJ40" s="338" t="e">
        <f t="shared" si="58"/>
        <v>#DIV/0!</v>
      </c>
      <c r="AK40" s="459"/>
      <c r="AL40" s="338" t="e">
        <f t="shared" si="52"/>
        <v>#DIV/0!</v>
      </c>
    </row>
    <row r="41" spans="2:38" s="455" customFormat="1" ht="14.25">
      <c r="B41" s="428"/>
      <c r="C41" s="434"/>
      <c r="D41" s="299">
        <f t="shared" si="61"/>
        <v>46265</v>
      </c>
      <c r="E41" s="299" t="s">
        <v>445</v>
      </c>
      <c r="F41" s="456">
        <f t="shared" si="19"/>
        <v>0</v>
      </c>
      <c r="G41" s="430"/>
      <c r="H41" s="458"/>
      <c r="I41" s="459"/>
      <c r="J41" s="338" t="e">
        <f t="shared" si="42"/>
        <v>#DIV/0!</v>
      </c>
      <c r="K41" s="459"/>
      <c r="L41" s="338" t="e">
        <f t="shared" si="43"/>
        <v>#DIV/0!</v>
      </c>
      <c r="M41" s="460">
        <f t="shared" si="44"/>
        <v>0</v>
      </c>
      <c r="N41" s="338" t="e">
        <f t="shared" si="45"/>
        <v>#DIV/0!</v>
      </c>
      <c r="O41" s="459"/>
      <c r="P41" s="338" t="e">
        <f t="shared" si="46"/>
        <v>#DIV/0!</v>
      </c>
      <c r="Q41" s="459"/>
      <c r="R41" s="338" t="e">
        <f t="shared" si="47"/>
        <v>#DIV/0!</v>
      </c>
      <c r="S41" s="460">
        <f t="shared" si="48"/>
        <v>0</v>
      </c>
      <c r="T41" s="338" t="e">
        <f t="shared" si="49"/>
        <v>#DIV/0!</v>
      </c>
      <c r="U41" s="459"/>
      <c r="V41" s="338" t="e">
        <f t="shared" si="50"/>
        <v>#DIV/0!</v>
      </c>
      <c r="W41" s="459"/>
      <c r="X41" s="338" t="e">
        <f t="shared" si="51"/>
        <v>#DIV/0!</v>
      </c>
      <c r="Y41" s="459"/>
      <c r="Z41" s="338" t="e">
        <f t="shared" ref="Z41" si="62">Y41/F41</f>
        <v>#DIV/0!</v>
      </c>
      <c r="AA41" s="459"/>
      <c r="AB41" s="338" t="e">
        <f t="shared" ref="AB41:AB49" si="63">AA41/$F41</f>
        <v>#DIV/0!</v>
      </c>
      <c r="AC41" s="460">
        <f t="shared" ref="AC41" si="64">SUM(Y41+AA41)</f>
        <v>0</v>
      </c>
      <c r="AD41" s="338" t="e">
        <f t="shared" ref="AD41" si="65">AC41/F41</f>
        <v>#DIV/0!</v>
      </c>
      <c r="AE41" s="459"/>
      <c r="AF41" s="338" t="e">
        <f t="shared" ref="AF41" si="66">AE41/F41</f>
        <v>#DIV/0!</v>
      </c>
      <c r="AG41" s="459"/>
      <c r="AH41" s="338" t="e">
        <f t="shared" ref="AH41" si="67">AG41/F41</f>
        <v>#DIV/0!</v>
      </c>
      <c r="AI41" s="459"/>
      <c r="AJ41" s="338" t="e">
        <f t="shared" ref="AJ41" si="68">AI41/F41</f>
        <v>#DIV/0!</v>
      </c>
      <c r="AK41" s="459"/>
      <c r="AL41" s="338" t="e">
        <f t="shared" si="52"/>
        <v>#DIV/0!</v>
      </c>
    </row>
    <row r="42" spans="2:38" ht="14.25">
      <c r="B42" s="97"/>
      <c r="C42" s="83"/>
      <c r="D42" s="355"/>
      <c r="E42" s="355"/>
      <c r="F42" s="227">
        <f t="shared" si="19"/>
        <v>0</v>
      </c>
      <c r="G42" s="297"/>
      <c r="H42" s="96"/>
      <c r="I42" s="233"/>
      <c r="J42" s="100" t="e">
        <f>I42/F42</f>
        <v>#DIV/0!</v>
      </c>
      <c r="K42" s="233"/>
      <c r="L42" s="100" t="e">
        <f>K42/F42</f>
        <v>#DIV/0!</v>
      </c>
      <c r="M42" s="226">
        <f>SUM(I42+K42)</f>
        <v>0</v>
      </c>
      <c r="N42" s="100" t="e">
        <f>M42/F42</f>
        <v>#DIV/0!</v>
      </c>
      <c r="O42" s="233"/>
      <c r="P42" s="100" t="e">
        <f>O42/F42</f>
        <v>#DIV/0!</v>
      </c>
      <c r="Q42" s="233"/>
      <c r="R42" s="100" t="e">
        <f t="shared" si="47"/>
        <v>#DIV/0!</v>
      </c>
      <c r="S42" s="226">
        <f t="shared" si="48"/>
        <v>0</v>
      </c>
      <c r="T42" s="100" t="e">
        <f>S42/F42</f>
        <v>#DIV/0!</v>
      </c>
      <c r="U42" s="233"/>
      <c r="V42" s="100" t="e">
        <f>U42/F42</f>
        <v>#DIV/0!</v>
      </c>
      <c r="W42" s="233"/>
      <c r="X42" s="100" t="e">
        <f>W42/F42</f>
        <v>#DIV/0!</v>
      </c>
      <c r="Y42" s="233"/>
      <c r="Z42" s="100" t="e">
        <f>Y42/F42</f>
        <v>#DIV/0!</v>
      </c>
      <c r="AA42" s="233"/>
      <c r="AB42" s="100" t="e">
        <f t="shared" si="63"/>
        <v>#DIV/0!</v>
      </c>
      <c r="AC42" s="226">
        <f>SUM(Y42+AA42)</f>
        <v>0</v>
      </c>
      <c r="AD42" s="100" t="e">
        <f>AC42/F42</f>
        <v>#DIV/0!</v>
      </c>
      <c r="AE42" s="233"/>
      <c r="AF42" s="100" t="e">
        <f>AE42/F42</f>
        <v>#DIV/0!</v>
      </c>
      <c r="AG42" s="233"/>
      <c r="AH42" s="100" t="e">
        <f>AG42/F42</f>
        <v>#DIV/0!</v>
      </c>
      <c r="AI42" s="233"/>
      <c r="AJ42" s="100" t="e">
        <f>AI42/F42</f>
        <v>#DIV/0!</v>
      </c>
      <c r="AK42" s="233"/>
      <c r="AL42" s="100" t="e">
        <f>AK42/F42</f>
        <v>#DIV/0!</v>
      </c>
    </row>
    <row r="43" spans="2:38" ht="14.25">
      <c r="B43" s="97"/>
      <c r="C43" s="83"/>
      <c r="D43" s="355"/>
      <c r="E43" s="355"/>
      <c r="F43" s="227">
        <f t="shared" si="19"/>
        <v>0</v>
      </c>
      <c r="G43" s="297"/>
      <c r="H43" s="96"/>
      <c r="I43" s="233"/>
      <c r="J43" s="100" t="e">
        <f>I43/F43</f>
        <v>#DIV/0!</v>
      </c>
      <c r="K43" s="233"/>
      <c r="L43" s="100" t="e">
        <f>K43/F43</f>
        <v>#DIV/0!</v>
      </c>
      <c r="M43" s="226">
        <f>SUM(I43+K43)</f>
        <v>0</v>
      </c>
      <c r="N43" s="100" t="e">
        <f>M43/F43</f>
        <v>#DIV/0!</v>
      </c>
      <c r="O43" s="233"/>
      <c r="P43" s="100" t="e">
        <f>O43/F43</f>
        <v>#DIV/0!</v>
      </c>
      <c r="Q43" s="233"/>
      <c r="R43" s="100" t="e">
        <f t="shared" si="47"/>
        <v>#DIV/0!</v>
      </c>
      <c r="S43" s="226">
        <f t="shared" si="48"/>
        <v>0</v>
      </c>
      <c r="T43" s="100" t="e">
        <f>S43/F43</f>
        <v>#DIV/0!</v>
      </c>
      <c r="U43" s="233"/>
      <c r="V43" s="100" t="e">
        <f>U43/F43</f>
        <v>#DIV/0!</v>
      </c>
      <c r="W43" s="233"/>
      <c r="X43" s="100" t="e">
        <f>W43/F43</f>
        <v>#DIV/0!</v>
      </c>
      <c r="Y43" s="233"/>
      <c r="Z43" s="100" t="e">
        <f>Y43/F43</f>
        <v>#DIV/0!</v>
      </c>
      <c r="AA43" s="233"/>
      <c r="AB43" s="100" t="e">
        <f t="shared" si="63"/>
        <v>#DIV/0!</v>
      </c>
      <c r="AC43" s="226">
        <f>SUM(Y43+AA43)</f>
        <v>0</v>
      </c>
      <c r="AD43" s="100" t="e">
        <f>AC43/F43</f>
        <v>#DIV/0!</v>
      </c>
      <c r="AE43" s="233"/>
      <c r="AF43" s="100" t="e">
        <f>AE43/F43</f>
        <v>#DIV/0!</v>
      </c>
      <c r="AG43" s="233"/>
      <c r="AH43" s="100" t="e">
        <f>AG43/F43</f>
        <v>#DIV/0!</v>
      </c>
      <c r="AI43" s="233"/>
      <c r="AJ43" s="100" t="e">
        <f>AI43/F43</f>
        <v>#DIV/0!</v>
      </c>
      <c r="AK43" s="233"/>
      <c r="AL43" s="100" t="e">
        <f>AK43/F43</f>
        <v>#DIV/0!</v>
      </c>
    </row>
    <row r="44" spans="2:38" ht="14.25">
      <c r="B44" s="97"/>
      <c r="C44" s="83"/>
      <c r="D44" s="355"/>
      <c r="E44" s="355"/>
      <c r="F44" s="227">
        <f t="shared" si="19"/>
        <v>0</v>
      </c>
      <c r="G44" s="227"/>
      <c r="H44" s="96"/>
      <c r="I44" s="233"/>
      <c r="J44" s="100" t="e">
        <f>I44/F44</f>
        <v>#DIV/0!</v>
      </c>
      <c r="K44" s="233"/>
      <c r="L44" s="100" t="e">
        <f>K44/F44</f>
        <v>#DIV/0!</v>
      </c>
      <c r="M44" s="226">
        <f>SUM(I44+K44)</f>
        <v>0</v>
      </c>
      <c r="N44" s="100" t="e">
        <f>M44/F44</f>
        <v>#DIV/0!</v>
      </c>
      <c r="O44" s="233"/>
      <c r="P44" s="100" t="e">
        <f>O44/F44</f>
        <v>#DIV/0!</v>
      </c>
      <c r="Q44" s="233"/>
      <c r="R44" s="100" t="e">
        <f t="shared" si="47"/>
        <v>#DIV/0!</v>
      </c>
      <c r="S44" s="226">
        <f t="shared" si="48"/>
        <v>0</v>
      </c>
      <c r="T44" s="100" t="e">
        <f>S44/F44</f>
        <v>#DIV/0!</v>
      </c>
      <c r="U44" s="233"/>
      <c r="V44" s="100" t="e">
        <f>U44/F44</f>
        <v>#DIV/0!</v>
      </c>
      <c r="W44" s="233"/>
      <c r="X44" s="100" t="e">
        <f>W44/F44</f>
        <v>#DIV/0!</v>
      </c>
      <c r="Y44" s="233"/>
      <c r="Z44" s="100" t="e">
        <f>Y44/F44</f>
        <v>#DIV/0!</v>
      </c>
      <c r="AA44" s="233"/>
      <c r="AB44" s="100" t="e">
        <f t="shared" si="63"/>
        <v>#DIV/0!</v>
      </c>
      <c r="AC44" s="226">
        <f>SUM(Y44+AA44)</f>
        <v>0</v>
      </c>
      <c r="AD44" s="100" t="e">
        <f>AC44/F44</f>
        <v>#DIV/0!</v>
      </c>
      <c r="AE44" s="233"/>
      <c r="AF44" s="100" t="e">
        <f>AE44/F44</f>
        <v>#DIV/0!</v>
      </c>
      <c r="AG44" s="233"/>
      <c r="AH44" s="100" t="e">
        <f>AG44/F44</f>
        <v>#DIV/0!</v>
      </c>
      <c r="AI44" s="233"/>
      <c r="AJ44" s="100" t="e">
        <f>AI44/F44</f>
        <v>#DIV/0!</v>
      </c>
      <c r="AK44" s="233"/>
      <c r="AL44" s="100" t="e">
        <f>AK44/F44</f>
        <v>#DIV/0!</v>
      </c>
    </row>
    <row r="45" spans="2:38" ht="14.25">
      <c r="B45" s="97"/>
      <c r="C45" s="83"/>
      <c r="D45" s="355"/>
      <c r="E45" s="355"/>
      <c r="F45" s="227">
        <f t="shared" ref="F45:F48" si="69">SUM(M45,S45,U45,W45,AC45,AE45,AG45,AI45,AK45)</f>
        <v>0</v>
      </c>
      <c r="G45" s="227"/>
      <c r="H45" s="96"/>
      <c r="I45" s="233"/>
      <c r="J45" s="100" t="e">
        <f t="shared" ref="J45:J48" si="70">I45/F45</f>
        <v>#DIV/0!</v>
      </c>
      <c r="K45" s="233"/>
      <c r="L45" s="100" t="e">
        <f t="shared" ref="L45:L48" si="71">K45/F45</f>
        <v>#DIV/0!</v>
      </c>
      <c r="M45" s="226">
        <f t="shared" ref="M45:M48" si="72">SUM(I45+K45)</f>
        <v>0</v>
      </c>
      <c r="N45" s="100" t="e">
        <f t="shared" ref="N45:N48" si="73">M45/F45</f>
        <v>#DIV/0!</v>
      </c>
      <c r="O45" s="233"/>
      <c r="P45" s="100" t="e">
        <f t="shared" ref="P45:P48" si="74">O45/F45</f>
        <v>#DIV/0!</v>
      </c>
      <c r="Q45" s="233"/>
      <c r="R45" s="100" t="e">
        <f t="shared" ref="R45:R48" si="75">Q45/$F45</f>
        <v>#DIV/0!</v>
      </c>
      <c r="S45" s="226">
        <f t="shared" ref="S45:S48" si="76">SUM(O45+Q45)</f>
        <v>0</v>
      </c>
      <c r="T45" s="100" t="e">
        <f t="shared" ref="T45:T48" si="77">S45/F45</f>
        <v>#DIV/0!</v>
      </c>
      <c r="U45" s="233"/>
      <c r="V45" s="100" t="e">
        <f t="shared" ref="V45:V48" si="78">U45/F45</f>
        <v>#DIV/0!</v>
      </c>
      <c r="W45" s="233"/>
      <c r="X45" s="100" t="e">
        <f t="shared" ref="X45:X48" si="79">W45/F45</f>
        <v>#DIV/0!</v>
      </c>
      <c r="Y45" s="233"/>
      <c r="Z45" s="100" t="e">
        <f t="shared" ref="Z45:Z48" si="80">Y45/F45</f>
        <v>#DIV/0!</v>
      </c>
      <c r="AA45" s="233"/>
      <c r="AB45" s="100" t="e">
        <f t="shared" ref="AB45:AB48" si="81">AA45/$F45</f>
        <v>#DIV/0!</v>
      </c>
      <c r="AC45" s="226">
        <f t="shared" ref="AC45:AC48" si="82">SUM(Y45+AA45)</f>
        <v>0</v>
      </c>
      <c r="AD45" s="100" t="e">
        <f t="shared" ref="AD45:AD48" si="83">AC45/F45</f>
        <v>#DIV/0!</v>
      </c>
      <c r="AE45" s="233"/>
      <c r="AF45" s="100" t="e">
        <f t="shared" ref="AF45:AF48" si="84">AE45/F45</f>
        <v>#DIV/0!</v>
      </c>
      <c r="AG45" s="233"/>
      <c r="AH45" s="100" t="e">
        <f t="shared" ref="AH45:AH48" si="85">AG45/F45</f>
        <v>#DIV/0!</v>
      </c>
      <c r="AI45" s="233"/>
      <c r="AJ45" s="100" t="e">
        <f t="shared" ref="AJ45:AJ48" si="86">AI45/F45</f>
        <v>#DIV/0!</v>
      </c>
      <c r="AK45" s="233"/>
      <c r="AL45" s="100" t="e">
        <f t="shared" ref="AL45:AL48" si="87">AK45/F45</f>
        <v>#DIV/0!</v>
      </c>
    </row>
    <row r="46" spans="2:38" ht="14.25">
      <c r="B46" s="97"/>
      <c r="C46" s="83"/>
      <c r="D46" s="355"/>
      <c r="E46" s="355"/>
      <c r="F46" s="227">
        <f t="shared" si="69"/>
        <v>0</v>
      </c>
      <c r="G46" s="227"/>
      <c r="H46" s="96"/>
      <c r="I46" s="233"/>
      <c r="J46" s="100" t="e">
        <f t="shared" si="70"/>
        <v>#DIV/0!</v>
      </c>
      <c r="K46" s="233"/>
      <c r="L46" s="100" t="e">
        <f t="shared" si="71"/>
        <v>#DIV/0!</v>
      </c>
      <c r="M46" s="226">
        <f t="shared" si="72"/>
        <v>0</v>
      </c>
      <c r="N46" s="100" t="e">
        <f t="shared" si="73"/>
        <v>#DIV/0!</v>
      </c>
      <c r="O46" s="233"/>
      <c r="P46" s="100" t="e">
        <f t="shared" si="74"/>
        <v>#DIV/0!</v>
      </c>
      <c r="Q46" s="233"/>
      <c r="R46" s="100" t="e">
        <f t="shared" si="75"/>
        <v>#DIV/0!</v>
      </c>
      <c r="S46" s="226">
        <f t="shared" si="76"/>
        <v>0</v>
      </c>
      <c r="T46" s="100" t="e">
        <f t="shared" si="77"/>
        <v>#DIV/0!</v>
      </c>
      <c r="U46" s="233"/>
      <c r="V46" s="100" t="e">
        <f t="shared" si="78"/>
        <v>#DIV/0!</v>
      </c>
      <c r="W46" s="233"/>
      <c r="X46" s="100" t="e">
        <f t="shared" si="79"/>
        <v>#DIV/0!</v>
      </c>
      <c r="Y46" s="233"/>
      <c r="Z46" s="100" t="e">
        <f t="shared" si="80"/>
        <v>#DIV/0!</v>
      </c>
      <c r="AA46" s="233"/>
      <c r="AB46" s="100" t="e">
        <f t="shared" si="81"/>
        <v>#DIV/0!</v>
      </c>
      <c r="AC46" s="226">
        <f t="shared" si="82"/>
        <v>0</v>
      </c>
      <c r="AD46" s="100" t="e">
        <f t="shared" si="83"/>
        <v>#DIV/0!</v>
      </c>
      <c r="AE46" s="233"/>
      <c r="AF46" s="100" t="e">
        <f t="shared" si="84"/>
        <v>#DIV/0!</v>
      </c>
      <c r="AG46" s="233"/>
      <c r="AH46" s="100" t="e">
        <f t="shared" si="85"/>
        <v>#DIV/0!</v>
      </c>
      <c r="AI46" s="233"/>
      <c r="AJ46" s="100" t="e">
        <f t="shared" si="86"/>
        <v>#DIV/0!</v>
      </c>
      <c r="AK46" s="233"/>
      <c r="AL46" s="100" t="e">
        <f t="shared" si="87"/>
        <v>#DIV/0!</v>
      </c>
    </row>
    <row r="47" spans="2:38" ht="14.25">
      <c r="B47" s="97"/>
      <c r="C47" s="83"/>
      <c r="D47" s="355"/>
      <c r="E47" s="355"/>
      <c r="F47" s="227">
        <f t="shared" si="69"/>
        <v>0</v>
      </c>
      <c r="G47" s="227"/>
      <c r="H47" s="96"/>
      <c r="I47" s="233"/>
      <c r="J47" s="100" t="e">
        <f t="shared" si="70"/>
        <v>#DIV/0!</v>
      </c>
      <c r="K47" s="233"/>
      <c r="L47" s="100" t="e">
        <f t="shared" si="71"/>
        <v>#DIV/0!</v>
      </c>
      <c r="M47" s="226">
        <f t="shared" si="72"/>
        <v>0</v>
      </c>
      <c r="N47" s="100" t="e">
        <f t="shared" si="73"/>
        <v>#DIV/0!</v>
      </c>
      <c r="O47" s="233"/>
      <c r="P47" s="100" t="e">
        <f t="shared" si="74"/>
        <v>#DIV/0!</v>
      </c>
      <c r="Q47" s="233"/>
      <c r="R47" s="100" t="e">
        <f t="shared" si="75"/>
        <v>#DIV/0!</v>
      </c>
      <c r="S47" s="226">
        <f t="shared" si="76"/>
        <v>0</v>
      </c>
      <c r="T47" s="100" t="e">
        <f t="shared" si="77"/>
        <v>#DIV/0!</v>
      </c>
      <c r="U47" s="233"/>
      <c r="V47" s="100" t="e">
        <f t="shared" si="78"/>
        <v>#DIV/0!</v>
      </c>
      <c r="W47" s="233"/>
      <c r="X47" s="100" t="e">
        <f t="shared" si="79"/>
        <v>#DIV/0!</v>
      </c>
      <c r="Y47" s="233"/>
      <c r="Z47" s="100" t="e">
        <f t="shared" si="80"/>
        <v>#DIV/0!</v>
      </c>
      <c r="AA47" s="233"/>
      <c r="AB47" s="100" t="e">
        <f t="shared" si="81"/>
        <v>#DIV/0!</v>
      </c>
      <c r="AC47" s="226">
        <f t="shared" si="82"/>
        <v>0</v>
      </c>
      <c r="AD47" s="100" t="e">
        <f t="shared" si="83"/>
        <v>#DIV/0!</v>
      </c>
      <c r="AE47" s="233"/>
      <c r="AF47" s="100" t="e">
        <f t="shared" si="84"/>
        <v>#DIV/0!</v>
      </c>
      <c r="AG47" s="233"/>
      <c r="AH47" s="100" t="e">
        <f t="shared" si="85"/>
        <v>#DIV/0!</v>
      </c>
      <c r="AI47" s="233"/>
      <c r="AJ47" s="100" t="e">
        <f t="shared" si="86"/>
        <v>#DIV/0!</v>
      </c>
      <c r="AK47" s="233"/>
      <c r="AL47" s="100" t="e">
        <f t="shared" si="87"/>
        <v>#DIV/0!</v>
      </c>
    </row>
    <row r="48" spans="2:38" ht="14.25">
      <c r="B48" s="97"/>
      <c r="C48" s="83"/>
      <c r="D48" s="355"/>
      <c r="E48" s="355"/>
      <c r="F48" s="227">
        <f t="shared" si="69"/>
        <v>0</v>
      </c>
      <c r="G48" s="227"/>
      <c r="H48" s="96"/>
      <c r="I48" s="233"/>
      <c r="J48" s="100" t="e">
        <f t="shared" si="70"/>
        <v>#DIV/0!</v>
      </c>
      <c r="K48" s="233"/>
      <c r="L48" s="100" t="e">
        <f t="shared" si="71"/>
        <v>#DIV/0!</v>
      </c>
      <c r="M48" s="226">
        <f t="shared" si="72"/>
        <v>0</v>
      </c>
      <c r="N48" s="100" t="e">
        <f t="shared" si="73"/>
        <v>#DIV/0!</v>
      </c>
      <c r="O48" s="233"/>
      <c r="P48" s="100" t="e">
        <f t="shared" si="74"/>
        <v>#DIV/0!</v>
      </c>
      <c r="Q48" s="233"/>
      <c r="R48" s="100" t="e">
        <f t="shared" si="75"/>
        <v>#DIV/0!</v>
      </c>
      <c r="S48" s="226">
        <f t="shared" si="76"/>
        <v>0</v>
      </c>
      <c r="T48" s="100" t="e">
        <f t="shared" si="77"/>
        <v>#DIV/0!</v>
      </c>
      <c r="U48" s="233"/>
      <c r="V48" s="100" t="e">
        <f t="shared" si="78"/>
        <v>#DIV/0!</v>
      </c>
      <c r="W48" s="233"/>
      <c r="X48" s="100" t="e">
        <f t="shared" si="79"/>
        <v>#DIV/0!</v>
      </c>
      <c r="Y48" s="233"/>
      <c r="Z48" s="100" t="e">
        <f t="shared" si="80"/>
        <v>#DIV/0!</v>
      </c>
      <c r="AA48" s="233"/>
      <c r="AB48" s="100" t="e">
        <f t="shared" si="81"/>
        <v>#DIV/0!</v>
      </c>
      <c r="AC48" s="226">
        <f t="shared" si="82"/>
        <v>0</v>
      </c>
      <c r="AD48" s="100" t="e">
        <f t="shared" si="83"/>
        <v>#DIV/0!</v>
      </c>
      <c r="AE48" s="233"/>
      <c r="AF48" s="100" t="e">
        <f t="shared" si="84"/>
        <v>#DIV/0!</v>
      </c>
      <c r="AG48" s="233"/>
      <c r="AH48" s="100" t="e">
        <f t="shared" si="85"/>
        <v>#DIV/0!</v>
      </c>
      <c r="AI48" s="233"/>
      <c r="AJ48" s="100" t="e">
        <f t="shared" si="86"/>
        <v>#DIV/0!</v>
      </c>
      <c r="AK48" s="233"/>
      <c r="AL48" s="100" t="e">
        <f t="shared" si="87"/>
        <v>#DIV/0!</v>
      </c>
    </row>
    <row r="49" spans="1:46" ht="14.25">
      <c r="B49" s="97"/>
      <c r="C49" s="83"/>
      <c r="D49" s="355"/>
      <c r="E49" s="355"/>
      <c r="F49" s="227">
        <f t="shared" si="19"/>
        <v>0</v>
      </c>
      <c r="G49" s="227"/>
      <c r="H49" s="96"/>
      <c r="I49" s="233"/>
      <c r="J49" s="100" t="e">
        <f>I49/F49</f>
        <v>#DIV/0!</v>
      </c>
      <c r="K49" s="233"/>
      <c r="L49" s="100" t="e">
        <f>K49/F49</f>
        <v>#DIV/0!</v>
      </c>
      <c r="M49" s="226">
        <f>SUM(I49+K49)</f>
        <v>0</v>
      </c>
      <c r="N49" s="100" t="e">
        <f>M49/F49</f>
        <v>#DIV/0!</v>
      </c>
      <c r="O49" s="233"/>
      <c r="P49" s="100" t="e">
        <f>O49/F49</f>
        <v>#DIV/0!</v>
      </c>
      <c r="Q49" s="233"/>
      <c r="R49" s="100" t="e">
        <f t="shared" si="47"/>
        <v>#DIV/0!</v>
      </c>
      <c r="S49" s="226">
        <f t="shared" si="48"/>
        <v>0</v>
      </c>
      <c r="T49" s="100" t="e">
        <f>S49/F49</f>
        <v>#DIV/0!</v>
      </c>
      <c r="U49" s="233"/>
      <c r="V49" s="100" t="e">
        <f>U49/F49</f>
        <v>#DIV/0!</v>
      </c>
      <c r="W49" s="233"/>
      <c r="X49" s="100" t="e">
        <f>W49/F49</f>
        <v>#DIV/0!</v>
      </c>
      <c r="Y49" s="233"/>
      <c r="Z49" s="100" t="e">
        <f>Y49/F49</f>
        <v>#DIV/0!</v>
      </c>
      <c r="AA49" s="233"/>
      <c r="AB49" s="100" t="e">
        <f t="shared" si="63"/>
        <v>#DIV/0!</v>
      </c>
      <c r="AC49" s="226">
        <f>SUM(Y49+AA49)</f>
        <v>0</v>
      </c>
      <c r="AD49" s="100" t="e">
        <f>AC49/F49</f>
        <v>#DIV/0!</v>
      </c>
      <c r="AE49" s="233"/>
      <c r="AF49" s="100" t="e">
        <f>AE49/F49</f>
        <v>#DIV/0!</v>
      </c>
      <c r="AG49" s="233"/>
      <c r="AH49" s="100" t="e">
        <f>AG49/F49</f>
        <v>#DIV/0!</v>
      </c>
      <c r="AI49" s="233"/>
      <c r="AJ49" s="100" t="e">
        <f>AI49/F49</f>
        <v>#DIV/0!</v>
      </c>
      <c r="AK49" s="233"/>
      <c r="AL49" s="100" t="e">
        <f>AK49/F49</f>
        <v>#DIV/0!</v>
      </c>
    </row>
    <row r="50" spans="1:46" ht="14.25">
      <c r="B50" s="97"/>
      <c r="C50" s="83"/>
      <c r="D50" s="355"/>
      <c r="E50" s="355"/>
      <c r="F50" s="96"/>
      <c r="G50" s="96"/>
      <c r="H50" s="96"/>
      <c r="I50" s="270">
        <f>SUM(I7:I49)</f>
        <v>14334144.245149666</v>
      </c>
      <c r="J50" s="266">
        <f>I50/$H$12</f>
        <v>6.6763048323858515E-2</v>
      </c>
      <c r="K50" s="270">
        <f>SUM(K7:K49)</f>
        <v>20054519.542169534</v>
      </c>
      <c r="L50" s="266">
        <f>K50/$H$12</f>
        <v>9.3406403229036969E-2</v>
      </c>
      <c r="M50" s="270">
        <f>SUM(M8:M49)</f>
        <v>33034135.510363344</v>
      </c>
      <c r="N50" s="266" t="e">
        <f>M50/$H$8</f>
        <v>#DIV/0!</v>
      </c>
      <c r="O50" s="270">
        <f>SUM(O7:O49)</f>
        <v>4849366.1437372081</v>
      </c>
      <c r="P50" s="266">
        <f>O50/$H$12</f>
        <v>2.258652212907393E-2</v>
      </c>
      <c r="Q50" s="270">
        <f>SUM(Q7:Q49)</f>
        <v>0</v>
      </c>
      <c r="R50" s="266">
        <f>Q50/$H$12</f>
        <v>0</v>
      </c>
      <c r="S50" s="270">
        <f>SUM(S8:S49)</f>
        <v>4633021.5050365217</v>
      </c>
      <c r="T50" s="266" t="e">
        <f>S50/$H$8</f>
        <v>#DIV/0!</v>
      </c>
      <c r="U50" s="270">
        <f>SUM(U7:U49)</f>
        <v>26881770.736046456</v>
      </c>
      <c r="V50" s="266">
        <f>U50/$H$12</f>
        <v>0.12520516941838658</v>
      </c>
      <c r="W50" s="270">
        <f>SUM(W7:W49)</f>
        <v>1770645.3759915594</v>
      </c>
      <c r="X50" s="266">
        <f>W50/$H$12</f>
        <v>8.2469996659718138E-3</v>
      </c>
      <c r="Y50" s="270">
        <f>SUM(Y7:Y49)</f>
        <v>19425502.709808655</v>
      </c>
      <c r="Z50" s="266">
        <f>Y50/$H$12</f>
        <v>9.0476679594531206E-2</v>
      </c>
      <c r="AA50" s="270">
        <f>SUM(AA7:AA49)</f>
        <v>32252852.11430845</v>
      </c>
      <c r="AB50" s="266">
        <f>AA50/$H$12</f>
        <v>0.15022164472905053</v>
      </c>
      <c r="AC50" s="270">
        <f>SUM(AC8:AC49)</f>
        <v>49774963.542214565</v>
      </c>
      <c r="AD50" s="266" t="e">
        <f>AC50/$H$8</f>
        <v>#DIV/0!</v>
      </c>
      <c r="AE50" s="270">
        <f>SUM(AE7:AE49)</f>
        <v>36564201.065194726</v>
      </c>
      <c r="AF50" s="266">
        <f>AE50/$H$12</f>
        <v>0.17030228529093375</v>
      </c>
      <c r="AG50" s="270">
        <f>SUM(AG7:AG49)</f>
        <v>19841601.201309752</v>
      </c>
      <c r="AH50" s="266">
        <f>AG50/$H$12</f>
        <v>9.2414709742718981E-2</v>
      </c>
      <c r="AI50" s="270">
        <f>SUM(AI7:AI49)</f>
        <v>28515143.671668146</v>
      </c>
      <c r="AJ50" s="266">
        <f>AI50/$H$12</f>
        <v>0.13281280572835977</v>
      </c>
      <c r="AK50" s="270">
        <f>SUM(AK7:AK49)</f>
        <v>18912292.194615841</v>
      </c>
      <c r="AL50" s="266">
        <f>AK50/$H$12</f>
        <v>8.8086338194295608E-2</v>
      </c>
    </row>
    <row r="51" spans="1:46" ht="14.25">
      <c r="B51" s="97"/>
      <c r="C51" s="83"/>
      <c r="D51" s="355"/>
      <c r="E51" s="355"/>
      <c r="F51" s="96"/>
      <c r="G51" s="96"/>
      <c r="H51" s="96"/>
      <c r="I51" s="267"/>
      <c r="J51" s="268"/>
      <c r="K51" s="267"/>
      <c r="L51" s="268"/>
      <c r="M51" s="269">
        <f>M50</f>
        <v>33034135.510363344</v>
      </c>
      <c r="N51" s="268"/>
      <c r="O51" s="267"/>
      <c r="P51" s="268"/>
      <c r="Q51" s="267"/>
      <c r="R51" s="268"/>
      <c r="S51" s="269">
        <f>S50</f>
        <v>4633021.5050365217</v>
      </c>
      <c r="T51" s="268"/>
      <c r="U51" s="269">
        <f>U50</f>
        <v>26881770.736046456</v>
      </c>
      <c r="V51" s="268"/>
      <c r="W51" s="269">
        <f>W50</f>
        <v>1770645.3759915594</v>
      </c>
      <c r="X51" s="268"/>
      <c r="Y51" s="267"/>
      <c r="Z51" s="268"/>
      <c r="AA51" s="267"/>
      <c r="AB51" s="268"/>
      <c r="AC51" s="269">
        <f>AC50</f>
        <v>49774963.542214565</v>
      </c>
      <c r="AD51" s="268"/>
      <c r="AE51" s="269">
        <f>AE50</f>
        <v>36564201.065194726</v>
      </c>
      <c r="AF51" s="268"/>
      <c r="AG51" s="269">
        <f>AG50</f>
        <v>19841601.201309752</v>
      </c>
      <c r="AH51" s="268"/>
      <c r="AI51" s="269">
        <f>AI50</f>
        <v>28515143.671668146</v>
      </c>
      <c r="AJ51" s="268"/>
      <c r="AK51" s="269">
        <f>AK50</f>
        <v>18912292.194615841</v>
      </c>
      <c r="AL51" s="268"/>
    </row>
    <row r="52" spans="1:46" ht="14.25">
      <c r="B52" s="97"/>
      <c r="C52" s="83"/>
      <c r="D52" s="355"/>
      <c r="E52" s="355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L106"/>
  <sheetViews>
    <sheetView zoomScale="70" zoomScaleNormal="70" workbookViewId="0">
      <pane xSplit="5" ySplit="6" topLeftCell="F10" activePane="bottomRight" state="frozen"/>
      <selection pane="topRight" activeCell="F1" sqref="F1"/>
      <selection pane="bottomLeft" activeCell="A7" sqref="A7"/>
      <selection pane="bottomRight" activeCell="W32" sqref="W32:W34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23" t="s">
        <v>301</v>
      </c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623"/>
      <c r="R2" s="623"/>
      <c r="S2" s="623"/>
      <c r="T2" s="623"/>
      <c r="U2" s="623"/>
      <c r="V2" s="623"/>
      <c r="W2" s="623"/>
      <c r="X2" s="623"/>
      <c r="Y2" s="623"/>
      <c r="Z2" s="623"/>
      <c r="AA2" s="623"/>
      <c r="AB2" s="623"/>
      <c r="AC2" s="623"/>
      <c r="AD2" s="623"/>
      <c r="AE2" s="623"/>
      <c r="AF2" s="623"/>
      <c r="AG2" s="623"/>
      <c r="AH2" s="623"/>
      <c r="AI2" s="623"/>
      <c r="AJ2" s="623"/>
      <c r="AK2" s="623"/>
      <c r="AL2" s="623"/>
    </row>
    <row r="3" spans="1:38" ht="25.35" customHeight="1">
      <c r="B3" s="97"/>
      <c r="C3" s="624" t="s">
        <v>139</v>
      </c>
      <c r="D3" s="625" t="s">
        <v>105</v>
      </c>
      <c r="E3" s="625"/>
      <c r="F3" s="633" t="s">
        <v>148</v>
      </c>
      <c r="G3" s="634"/>
      <c r="H3" s="634"/>
      <c r="I3" s="631" t="s">
        <v>299</v>
      </c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  <c r="X3" s="631"/>
      <c r="Y3" s="631"/>
      <c r="Z3" s="631"/>
      <c r="AA3" s="631"/>
      <c r="AB3" s="631"/>
      <c r="AC3" s="631"/>
      <c r="AD3" s="631"/>
      <c r="AE3" s="631"/>
      <c r="AF3" s="631"/>
      <c r="AG3" s="631"/>
      <c r="AH3" s="631"/>
      <c r="AI3" s="631"/>
      <c r="AJ3" s="631"/>
      <c r="AK3" s="631"/>
      <c r="AL3" s="631"/>
    </row>
    <row r="4" spans="1:38" ht="25.35" customHeight="1">
      <c r="B4" s="97"/>
      <c r="C4" s="624"/>
      <c r="D4" s="625"/>
      <c r="E4" s="625"/>
      <c r="F4" s="634"/>
      <c r="G4" s="634"/>
      <c r="H4" s="634"/>
      <c r="I4" s="632" t="s">
        <v>140</v>
      </c>
      <c r="J4" s="632"/>
      <c r="K4" s="632"/>
      <c r="L4" s="632"/>
      <c r="M4" s="632"/>
      <c r="N4" s="632"/>
      <c r="O4" s="632" t="s">
        <v>141</v>
      </c>
      <c r="P4" s="632"/>
      <c r="Q4" s="632"/>
      <c r="R4" s="632"/>
      <c r="S4" s="632"/>
      <c r="T4" s="632"/>
      <c r="U4" s="632" t="s">
        <v>142</v>
      </c>
      <c r="V4" s="632"/>
      <c r="W4" s="632" t="s">
        <v>143</v>
      </c>
      <c r="X4" s="632"/>
      <c r="Y4" s="632" t="s">
        <v>134</v>
      </c>
      <c r="Z4" s="632"/>
      <c r="AA4" s="632"/>
      <c r="AB4" s="632"/>
      <c r="AC4" s="632"/>
      <c r="AD4" s="632"/>
      <c r="AE4" s="632" t="s">
        <v>132</v>
      </c>
      <c r="AF4" s="632"/>
      <c r="AG4" s="632" t="s">
        <v>144</v>
      </c>
      <c r="AH4" s="632"/>
      <c r="AI4" s="632" t="s">
        <v>145</v>
      </c>
      <c r="AJ4" s="632"/>
      <c r="AK4" s="632" t="s">
        <v>138</v>
      </c>
      <c r="AL4" s="632"/>
    </row>
    <row r="5" spans="1:38" ht="25.35" customHeight="1">
      <c r="B5" s="97"/>
      <c r="C5" s="624"/>
      <c r="D5" s="625"/>
      <c r="E5" s="625"/>
      <c r="F5" s="630" t="s">
        <v>115</v>
      </c>
      <c r="G5" s="630" t="s">
        <v>117</v>
      </c>
      <c r="H5" s="630" t="s">
        <v>118</v>
      </c>
      <c r="I5" s="632" t="s">
        <v>129</v>
      </c>
      <c r="J5" s="632"/>
      <c r="K5" s="632" t="s">
        <v>130</v>
      </c>
      <c r="L5" s="632"/>
      <c r="M5" s="635" t="s">
        <v>146</v>
      </c>
      <c r="N5" s="632"/>
      <c r="O5" s="632" t="s">
        <v>129</v>
      </c>
      <c r="P5" s="632"/>
      <c r="Q5" s="632" t="s">
        <v>130</v>
      </c>
      <c r="R5" s="632"/>
      <c r="S5" s="635" t="s">
        <v>146</v>
      </c>
      <c r="T5" s="632"/>
      <c r="U5" s="632" t="s">
        <v>129</v>
      </c>
      <c r="V5" s="632"/>
      <c r="W5" s="632" t="s">
        <v>129</v>
      </c>
      <c r="X5" s="632"/>
      <c r="Y5" s="632" t="s">
        <v>129</v>
      </c>
      <c r="Z5" s="632"/>
      <c r="AA5" s="632" t="s">
        <v>130</v>
      </c>
      <c r="AB5" s="632"/>
      <c r="AC5" s="635" t="s">
        <v>146</v>
      </c>
      <c r="AD5" s="632"/>
      <c r="AE5" s="632" t="s">
        <v>129</v>
      </c>
      <c r="AF5" s="632"/>
      <c r="AG5" s="632" t="s">
        <v>129</v>
      </c>
      <c r="AH5" s="632"/>
      <c r="AI5" s="632" t="s">
        <v>129</v>
      </c>
      <c r="AJ5" s="632"/>
      <c r="AK5" s="632" t="s">
        <v>129</v>
      </c>
      <c r="AL5" s="632"/>
    </row>
    <row r="6" spans="1:38" s="80" customFormat="1" ht="23.45" customHeight="1">
      <c r="B6" s="97"/>
      <c r="C6" s="624"/>
      <c r="D6" s="625"/>
      <c r="E6" s="625"/>
      <c r="F6" s="630"/>
      <c r="G6" s="630"/>
      <c r="H6" s="630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299">
        <v>46231</v>
      </c>
      <c r="E7" s="299" t="s">
        <v>446</v>
      </c>
      <c r="F7" s="87">
        <f t="shared" ref="F7" si="0">SUM(M7,S7,U7,W7,AC7,AE7,AG7,AI7,AK7)</f>
        <v>256784</v>
      </c>
      <c r="G7" s="301"/>
      <c r="H7" s="87"/>
      <c r="I7" s="234">
        <v>30028</v>
      </c>
      <c r="J7" s="100">
        <f t="shared" ref="J7:J13" si="1">I7/F7</f>
        <v>0.11693875007788647</v>
      </c>
      <c r="K7" s="234">
        <v>39717</v>
      </c>
      <c r="L7" s="100">
        <f t="shared" ref="L7:L13" si="2">K7/F7</f>
        <v>0.15467085176646519</v>
      </c>
      <c r="M7" s="105">
        <f t="shared" ref="M7:M13" si="3">SUM(I7+K7)</f>
        <v>69745</v>
      </c>
      <c r="N7" s="100">
        <f t="shared" ref="N7:N13" si="4">M7/F7</f>
        <v>0.27160960184435168</v>
      </c>
      <c r="O7" s="234">
        <v>7391</v>
      </c>
      <c r="P7" s="100">
        <f t="shared" ref="P7:P13" si="5">O7/F7</f>
        <v>2.8782945977942551E-2</v>
      </c>
      <c r="Q7" s="234"/>
      <c r="R7" s="100">
        <f t="shared" ref="R7:R13" si="6">Q7/F7</f>
        <v>0</v>
      </c>
      <c r="S7" s="105">
        <f t="shared" ref="S7:S13" si="7">SUM(O7+Q7)</f>
        <v>7391</v>
      </c>
      <c r="T7" s="100">
        <f t="shared" ref="T7:T13" si="8">S7/F7</f>
        <v>2.8782945977942551E-2</v>
      </c>
      <c r="U7" s="234">
        <v>31644</v>
      </c>
      <c r="V7" s="100">
        <f t="shared" ref="V7:V13" si="9">U7/F7</f>
        <v>0.12323197707022245</v>
      </c>
      <c r="W7" s="234">
        <v>3097</v>
      </c>
      <c r="X7" s="100">
        <f t="shared" ref="X7:X13" si="10">W7/F7</f>
        <v>1.206072029409932E-2</v>
      </c>
      <c r="Y7" s="234">
        <v>25524</v>
      </c>
      <c r="Z7" s="100">
        <f t="shared" ref="Z7:Z13" si="11">Y7/F7</f>
        <v>9.9398716430930276E-2</v>
      </c>
      <c r="AA7" s="234">
        <v>23079</v>
      </c>
      <c r="AB7" s="100">
        <f t="shared" ref="AB7:AB13" si="12">AA7/F7</f>
        <v>8.9877095146115027E-2</v>
      </c>
      <c r="AC7" s="105">
        <f t="shared" ref="AC7:AC13" si="13">SUM(Y7+AA7)</f>
        <v>48603</v>
      </c>
      <c r="AD7" s="100">
        <f t="shared" ref="AD7:AD13" si="14">AC7/F7</f>
        <v>0.18927581157704529</v>
      </c>
      <c r="AE7" s="234">
        <v>23354</v>
      </c>
      <c r="AF7" s="100">
        <f t="shared" ref="AF7:AF13" si="15">AE7/F7</f>
        <v>9.0948034145429624E-2</v>
      </c>
      <c r="AG7" s="234">
        <v>15946</v>
      </c>
      <c r="AH7" s="100">
        <f t="shared" ref="AH7:AH13" si="16">AG7/F7</f>
        <v>6.2098884665711257E-2</v>
      </c>
      <c r="AI7" s="234">
        <v>29081</v>
      </c>
      <c r="AJ7" s="100">
        <f t="shared" ref="AJ7:AJ13" si="17">AI7/F7</f>
        <v>0.11325082559661039</v>
      </c>
      <c r="AK7" s="234">
        <v>27923</v>
      </c>
      <c r="AL7" s="100">
        <f t="shared" ref="AL7:AL13" si="18">AK7/F7</f>
        <v>0.10874119882858745</v>
      </c>
    </row>
    <row r="8" spans="1:38" ht="14.25">
      <c r="B8" s="97"/>
      <c r="C8" s="83"/>
      <c r="D8" s="299">
        <f t="shared" ref="D8" si="19">D7+1</f>
        <v>46232</v>
      </c>
      <c r="E8" s="299" t="s">
        <v>447</v>
      </c>
      <c r="F8" s="87">
        <f>SUM(M8,S8,U8,W8,AC8,AE8,AG8,AI8,AK8)</f>
        <v>245995</v>
      </c>
      <c r="G8" s="301">
        <f>SUM(F7:F13)</f>
        <v>1682008</v>
      </c>
      <c r="H8" s="314"/>
      <c r="I8" s="234">
        <v>29390</v>
      </c>
      <c r="J8" s="100">
        <f t="shared" si="1"/>
        <v>0.11947397304823269</v>
      </c>
      <c r="K8" s="234">
        <v>38551</v>
      </c>
      <c r="L8" s="100">
        <f t="shared" si="2"/>
        <v>0.15671456736925549</v>
      </c>
      <c r="M8" s="105">
        <f t="shared" si="3"/>
        <v>67941</v>
      </c>
      <c r="N8" s="100">
        <f t="shared" si="4"/>
        <v>0.27618854041748814</v>
      </c>
      <c r="O8" s="234">
        <v>7398</v>
      </c>
      <c r="P8" s="100">
        <f t="shared" si="5"/>
        <v>3.007378198743877E-2</v>
      </c>
      <c r="Q8" s="234"/>
      <c r="R8" s="100">
        <f t="shared" si="6"/>
        <v>0</v>
      </c>
      <c r="S8" s="105">
        <f t="shared" si="7"/>
        <v>7398</v>
      </c>
      <c r="T8" s="100">
        <f t="shared" si="8"/>
        <v>3.007378198743877E-2</v>
      </c>
      <c r="U8" s="234">
        <v>29389</v>
      </c>
      <c r="V8" s="100">
        <f t="shared" si="9"/>
        <v>0.11946990792495782</v>
      </c>
      <c r="W8" s="234">
        <v>3201</v>
      </c>
      <c r="X8" s="100">
        <f t="shared" si="10"/>
        <v>1.3012459602837456E-2</v>
      </c>
      <c r="Y8" s="234">
        <v>25111</v>
      </c>
      <c r="Z8" s="100">
        <f t="shared" si="11"/>
        <v>0.10207931055509259</v>
      </c>
      <c r="AA8" s="234">
        <v>22664</v>
      </c>
      <c r="AB8" s="100">
        <f t="shared" si="12"/>
        <v>9.213195390150207E-2</v>
      </c>
      <c r="AC8" s="105">
        <f t="shared" si="13"/>
        <v>47775</v>
      </c>
      <c r="AD8" s="100">
        <f t="shared" si="14"/>
        <v>0.19421126445659465</v>
      </c>
      <c r="AE8" s="234">
        <v>22289</v>
      </c>
      <c r="AF8" s="100">
        <f t="shared" si="15"/>
        <v>9.0607532673428318E-2</v>
      </c>
      <c r="AG8" s="234">
        <v>15045</v>
      </c>
      <c r="AH8" s="100">
        <f t="shared" si="16"/>
        <v>6.11597796703185E-2</v>
      </c>
      <c r="AI8" s="234">
        <v>28332</v>
      </c>
      <c r="AJ8" s="100">
        <f t="shared" si="17"/>
        <v>0.11517307262342731</v>
      </c>
      <c r="AK8" s="234">
        <v>24625</v>
      </c>
      <c r="AL8" s="100">
        <f t="shared" si="18"/>
        <v>0.10010366064350902</v>
      </c>
    </row>
    <row r="9" spans="1:38" ht="14.25">
      <c r="B9" s="97"/>
      <c r="C9" s="83"/>
      <c r="D9" s="299">
        <f>D8+1</f>
        <v>46233</v>
      </c>
      <c r="E9" s="299" t="s">
        <v>448</v>
      </c>
      <c r="F9" s="87">
        <f t="shared" ref="F9:F44" si="20">SUM(M9,S9,U9,W9,AC9,AE9,AG9,AI9,AK9)</f>
        <v>234341</v>
      </c>
      <c r="G9" s="301"/>
      <c r="I9" s="234">
        <v>27837</v>
      </c>
      <c r="J9" s="100">
        <f t="shared" si="1"/>
        <v>0.1187884322419039</v>
      </c>
      <c r="K9" s="234">
        <v>36010</v>
      </c>
      <c r="L9" s="100">
        <f t="shared" si="2"/>
        <v>0.15366495832995505</v>
      </c>
      <c r="M9" s="105">
        <f t="shared" si="3"/>
        <v>63847</v>
      </c>
      <c r="N9" s="100">
        <f t="shared" si="4"/>
        <v>0.27245339057185897</v>
      </c>
      <c r="O9" s="234">
        <v>7109</v>
      </c>
      <c r="P9" s="100">
        <f t="shared" si="5"/>
        <v>3.0336134095186075E-2</v>
      </c>
      <c r="Q9" s="234"/>
      <c r="R9" s="100">
        <f t="shared" si="6"/>
        <v>0</v>
      </c>
      <c r="S9" s="105">
        <f t="shared" si="7"/>
        <v>7109</v>
      </c>
      <c r="T9" s="100">
        <f t="shared" si="8"/>
        <v>3.0336134095186075E-2</v>
      </c>
      <c r="U9" s="234">
        <v>27396</v>
      </c>
      <c r="V9" s="100">
        <f t="shared" si="9"/>
        <v>0.11690655924486112</v>
      </c>
      <c r="W9" s="234">
        <v>3112</v>
      </c>
      <c r="X9" s="100">
        <f t="shared" si="10"/>
        <v>1.3279793121988896E-2</v>
      </c>
      <c r="Y9" s="234">
        <v>24399</v>
      </c>
      <c r="Z9" s="100">
        <f t="shared" si="11"/>
        <v>0.10411750397924392</v>
      </c>
      <c r="AA9" s="234">
        <v>18642</v>
      </c>
      <c r="AB9" s="100">
        <f t="shared" si="12"/>
        <v>7.9550740160705985E-2</v>
      </c>
      <c r="AC9" s="105">
        <f t="shared" si="13"/>
        <v>43041</v>
      </c>
      <c r="AD9" s="100">
        <f t="shared" si="14"/>
        <v>0.18366824413994989</v>
      </c>
      <c r="AE9" s="234">
        <v>22080</v>
      </c>
      <c r="AF9" s="100">
        <f t="shared" si="15"/>
        <v>9.4221668423365948E-2</v>
      </c>
      <c r="AG9" s="234">
        <v>14381</v>
      </c>
      <c r="AH9" s="100">
        <f t="shared" si="16"/>
        <v>6.1367835760707687E-2</v>
      </c>
      <c r="AI9" s="234">
        <v>29469</v>
      </c>
      <c r="AJ9" s="100">
        <f t="shared" si="17"/>
        <v>0.12575264251667442</v>
      </c>
      <c r="AK9" s="234">
        <v>23906</v>
      </c>
      <c r="AL9" s="100">
        <f t="shared" si="18"/>
        <v>0.10201373212540699</v>
      </c>
    </row>
    <row r="10" spans="1:38" ht="14.25">
      <c r="B10" s="97"/>
      <c r="C10" s="83"/>
      <c r="D10" s="299">
        <f t="shared" ref="D10:D36" si="21">D9+1</f>
        <v>46234</v>
      </c>
      <c r="E10" s="299" t="s">
        <v>449</v>
      </c>
      <c r="F10" s="87">
        <f t="shared" si="20"/>
        <v>211184</v>
      </c>
      <c r="G10" s="301"/>
      <c r="H10" s="341"/>
      <c r="I10" s="234">
        <v>24286</v>
      </c>
      <c r="J10" s="100">
        <f t="shared" si="1"/>
        <v>0.11499924236684597</v>
      </c>
      <c r="K10" s="234">
        <v>33754</v>
      </c>
      <c r="L10" s="100">
        <f t="shared" si="2"/>
        <v>0.15983218425638307</v>
      </c>
      <c r="M10" s="105">
        <f t="shared" si="3"/>
        <v>58040</v>
      </c>
      <c r="N10" s="100">
        <f t="shared" si="4"/>
        <v>0.27483142662322901</v>
      </c>
      <c r="O10" s="234">
        <v>6143</v>
      </c>
      <c r="P10" s="100">
        <f t="shared" si="5"/>
        <v>2.908837790741723E-2</v>
      </c>
      <c r="Q10" s="234"/>
      <c r="R10" s="100">
        <f t="shared" si="6"/>
        <v>0</v>
      </c>
      <c r="S10" s="105">
        <f t="shared" si="7"/>
        <v>6143</v>
      </c>
      <c r="T10" s="100">
        <f t="shared" si="8"/>
        <v>2.908837790741723E-2</v>
      </c>
      <c r="U10" s="234">
        <v>23700</v>
      </c>
      <c r="V10" s="100">
        <f t="shared" si="9"/>
        <v>0.11222441094022274</v>
      </c>
      <c r="W10" s="234">
        <v>2220</v>
      </c>
      <c r="X10" s="100">
        <f t="shared" si="10"/>
        <v>1.0512160012122131E-2</v>
      </c>
      <c r="Y10" s="234">
        <v>22188</v>
      </c>
      <c r="Z10" s="100">
        <f t="shared" si="11"/>
        <v>0.10506477763466929</v>
      </c>
      <c r="AA10" s="234">
        <v>18084</v>
      </c>
      <c r="AB10" s="100">
        <f t="shared" si="12"/>
        <v>8.5631487233881351E-2</v>
      </c>
      <c r="AC10" s="105">
        <f t="shared" si="13"/>
        <v>40272</v>
      </c>
      <c r="AD10" s="100">
        <f t="shared" si="14"/>
        <v>0.19069626486855065</v>
      </c>
      <c r="AE10" s="234">
        <v>17553</v>
      </c>
      <c r="AF10" s="100">
        <f t="shared" si="15"/>
        <v>8.3117092203954843E-2</v>
      </c>
      <c r="AG10" s="234">
        <v>13238</v>
      </c>
      <c r="AH10" s="100">
        <f t="shared" si="16"/>
        <v>6.2684673081294037E-2</v>
      </c>
      <c r="AI10" s="234">
        <v>29849</v>
      </c>
      <c r="AJ10" s="100">
        <f t="shared" si="17"/>
        <v>0.14134120009091597</v>
      </c>
      <c r="AK10" s="234">
        <v>20169</v>
      </c>
      <c r="AL10" s="100">
        <f t="shared" si="18"/>
        <v>9.5504394272293361E-2</v>
      </c>
    </row>
    <row r="11" spans="1:38" ht="14.25">
      <c r="B11" s="97"/>
      <c r="C11" s="83"/>
      <c r="D11" s="299">
        <f t="shared" si="21"/>
        <v>46235</v>
      </c>
      <c r="E11" s="299" t="s">
        <v>450</v>
      </c>
      <c r="F11" s="87">
        <f t="shared" si="20"/>
        <v>217421</v>
      </c>
      <c r="G11" s="301"/>
      <c r="H11" s="341"/>
      <c r="I11" s="234">
        <v>22696</v>
      </c>
      <c r="J11" s="100">
        <f t="shared" si="1"/>
        <v>0.10438734068926185</v>
      </c>
      <c r="K11" s="234">
        <v>37331</v>
      </c>
      <c r="L11" s="100">
        <f t="shared" si="2"/>
        <v>0.17169914589667051</v>
      </c>
      <c r="M11" s="105">
        <f t="shared" si="3"/>
        <v>60027</v>
      </c>
      <c r="N11" s="100">
        <f t="shared" si="4"/>
        <v>0.27608648658593238</v>
      </c>
      <c r="O11" s="234">
        <v>5815</v>
      </c>
      <c r="P11" s="100">
        <f t="shared" si="5"/>
        <v>2.6745346585656398E-2</v>
      </c>
      <c r="Q11" s="234"/>
      <c r="R11" s="100">
        <f t="shared" si="6"/>
        <v>0</v>
      </c>
      <c r="S11" s="105">
        <f t="shared" si="7"/>
        <v>5815</v>
      </c>
      <c r="T11" s="100">
        <f t="shared" si="8"/>
        <v>2.6745346585656398E-2</v>
      </c>
      <c r="U11" s="234">
        <v>25978</v>
      </c>
      <c r="V11" s="100">
        <f t="shared" si="9"/>
        <v>0.11948247869341048</v>
      </c>
      <c r="W11" s="234">
        <v>1960</v>
      </c>
      <c r="X11" s="100">
        <f t="shared" si="10"/>
        <v>9.0147685826116146E-3</v>
      </c>
      <c r="Y11" s="234">
        <v>22192</v>
      </c>
      <c r="Z11" s="100">
        <f t="shared" si="11"/>
        <v>0.10206925733944743</v>
      </c>
      <c r="AA11" s="234">
        <v>21440</v>
      </c>
      <c r="AB11" s="100">
        <f t="shared" si="12"/>
        <v>9.8610529801629099E-2</v>
      </c>
      <c r="AC11" s="105">
        <f t="shared" si="13"/>
        <v>43632</v>
      </c>
      <c r="AD11" s="100">
        <f t="shared" si="14"/>
        <v>0.20067978714107654</v>
      </c>
      <c r="AE11" s="234">
        <v>18444</v>
      </c>
      <c r="AF11" s="100">
        <f t="shared" si="15"/>
        <v>8.4830812111065634E-2</v>
      </c>
      <c r="AG11" s="234">
        <v>12888</v>
      </c>
      <c r="AH11" s="100">
        <f t="shared" si="16"/>
        <v>5.9276702802397191E-2</v>
      </c>
      <c r="AI11" s="234">
        <v>28926</v>
      </c>
      <c r="AJ11" s="100">
        <f t="shared" si="17"/>
        <v>0.13304142654113449</v>
      </c>
      <c r="AK11" s="234">
        <v>19751</v>
      </c>
      <c r="AL11" s="100">
        <f t="shared" si="18"/>
        <v>9.0842190956715307E-2</v>
      </c>
    </row>
    <row r="12" spans="1:38" ht="14.25">
      <c r="B12" s="97"/>
      <c r="C12" s="83"/>
      <c r="D12" s="299">
        <f t="shared" si="21"/>
        <v>46236</v>
      </c>
      <c r="E12" s="299" t="s">
        <v>451</v>
      </c>
      <c r="F12" s="87">
        <f t="shared" si="20"/>
        <v>257215</v>
      </c>
      <c r="G12" s="301"/>
      <c r="H12" s="341">
        <f>SUM(F8:F38)</f>
        <v>6333091</v>
      </c>
      <c r="I12" s="234">
        <v>27996</v>
      </c>
      <c r="J12" s="100">
        <f t="shared" si="1"/>
        <v>0.10884279688198589</v>
      </c>
      <c r="K12" s="234">
        <v>40549</v>
      </c>
      <c r="L12" s="100">
        <f t="shared" si="2"/>
        <v>0.15764632700270201</v>
      </c>
      <c r="M12" s="105">
        <f t="shared" si="3"/>
        <v>68545</v>
      </c>
      <c r="N12" s="100">
        <f t="shared" si="4"/>
        <v>0.26648912388468793</v>
      </c>
      <c r="O12" s="234">
        <v>7146</v>
      </c>
      <c r="P12" s="100">
        <f t="shared" si="5"/>
        <v>2.7782205547887955E-2</v>
      </c>
      <c r="Q12" s="234"/>
      <c r="R12" s="100">
        <f t="shared" si="6"/>
        <v>0</v>
      </c>
      <c r="S12" s="105">
        <f t="shared" si="7"/>
        <v>7146</v>
      </c>
      <c r="T12" s="100">
        <f t="shared" si="8"/>
        <v>2.7782205547887955E-2</v>
      </c>
      <c r="U12" s="234">
        <v>33083</v>
      </c>
      <c r="V12" s="100">
        <f t="shared" si="9"/>
        <v>0.12862002604824757</v>
      </c>
      <c r="W12" s="234">
        <v>2962</v>
      </c>
      <c r="X12" s="100">
        <f t="shared" si="10"/>
        <v>1.1515658107031083E-2</v>
      </c>
      <c r="Y12" s="234">
        <v>26131</v>
      </c>
      <c r="Z12" s="100">
        <f t="shared" si="11"/>
        <v>0.10159205334059056</v>
      </c>
      <c r="AA12" s="234">
        <v>23111</v>
      </c>
      <c r="AB12" s="100">
        <f t="shared" si="12"/>
        <v>8.9850902941119304E-2</v>
      </c>
      <c r="AC12" s="105">
        <f t="shared" si="13"/>
        <v>49242</v>
      </c>
      <c r="AD12" s="100">
        <f t="shared" si="14"/>
        <v>0.19144295628170985</v>
      </c>
      <c r="AE12" s="234">
        <v>24984</v>
      </c>
      <c r="AF12" s="100">
        <f t="shared" si="15"/>
        <v>9.7132748867678795E-2</v>
      </c>
      <c r="AG12" s="234">
        <v>16867</v>
      </c>
      <c r="AH12" s="100">
        <f t="shared" si="16"/>
        <v>6.5575491320490634E-2</v>
      </c>
      <c r="AI12" s="234">
        <v>29539</v>
      </c>
      <c r="AJ12" s="100">
        <f t="shared" si="17"/>
        <v>0.11484166942052369</v>
      </c>
      <c r="AK12" s="234">
        <v>24847</v>
      </c>
      <c r="AL12" s="100">
        <f t="shared" si="18"/>
        <v>9.6600120521742508E-2</v>
      </c>
    </row>
    <row r="13" spans="1:38" ht="14.25">
      <c r="B13" s="97"/>
      <c r="C13" s="83"/>
      <c r="D13" s="299">
        <f t="shared" si="21"/>
        <v>46237</v>
      </c>
      <c r="E13" s="299" t="s">
        <v>445</v>
      </c>
      <c r="F13" s="87">
        <f t="shared" si="20"/>
        <v>259068</v>
      </c>
      <c r="G13" s="301"/>
      <c r="H13" s="341"/>
      <c r="I13" s="234">
        <v>27701</v>
      </c>
      <c r="J13" s="100">
        <f t="shared" si="1"/>
        <v>0.10692559482452484</v>
      </c>
      <c r="K13" s="234">
        <v>40251</v>
      </c>
      <c r="L13" s="100">
        <f t="shared" si="2"/>
        <v>0.15536847468618278</v>
      </c>
      <c r="M13" s="105">
        <f t="shared" si="3"/>
        <v>67952</v>
      </c>
      <c r="N13" s="100">
        <f t="shared" si="4"/>
        <v>0.26229406951070761</v>
      </c>
      <c r="O13" s="234">
        <v>6720</v>
      </c>
      <c r="P13" s="100">
        <f t="shared" si="5"/>
        <v>2.5939135670943535E-2</v>
      </c>
      <c r="Q13" s="234"/>
      <c r="R13" s="100">
        <f t="shared" si="6"/>
        <v>0</v>
      </c>
      <c r="S13" s="105">
        <f t="shared" si="7"/>
        <v>6720</v>
      </c>
      <c r="T13" s="100">
        <f t="shared" si="8"/>
        <v>2.5939135670943535E-2</v>
      </c>
      <c r="U13" s="234">
        <v>33715</v>
      </c>
      <c r="V13" s="100">
        <f t="shared" si="9"/>
        <v>0.13013957725384842</v>
      </c>
      <c r="W13" s="234">
        <v>3580</v>
      </c>
      <c r="X13" s="100">
        <f t="shared" si="10"/>
        <v>1.381876572946099E-2</v>
      </c>
      <c r="Y13" s="234">
        <v>22253</v>
      </c>
      <c r="Z13" s="100">
        <f t="shared" si="11"/>
        <v>8.5896366977009891E-2</v>
      </c>
      <c r="AA13" s="234">
        <v>25488</v>
      </c>
      <c r="AB13" s="100">
        <f t="shared" si="12"/>
        <v>9.8383436009078701E-2</v>
      </c>
      <c r="AC13" s="105">
        <f t="shared" si="13"/>
        <v>47741</v>
      </c>
      <c r="AD13" s="100">
        <f t="shared" si="14"/>
        <v>0.18427980298608859</v>
      </c>
      <c r="AE13" s="234">
        <v>24663</v>
      </c>
      <c r="AF13" s="100">
        <f t="shared" si="15"/>
        <v>9.5198943906619107E-2</v>
      </c>
      <c r="AG13" s="234">
        <v>16950</v>
      </c>
      <c r="AH13" s="100">
        <f t="shared" si="16"/>
        <v>6.5426837741442395E-2</v>
      </c>
      <c r="AI13" s="234">
        <v>29944</v>
      </c>
      <c r="AJ13" s="100">
        <f t="shared" si="17"/>
        <v>0.11558355335278768</v>
      </c>
      <c r="AK13" s="234">
        <v>27803</v>
      </c>
      <c r="AL13" s="100">
        <f t="shared" si="18"/>
        <v>0.10731931384810166</v>
      </c>
    </row>
    <row r="14" spans="1:38" ht="14.25">
      <c r="B14" s="97"/>
      <c r="C14" s="83"/>
      <c r="D14" s="355">
        <f t="shared" si="21"/>
        <v>46238</v>
      </c>
      <c r="E14" s="355" t="s">
        <v>446</v>
      </c>
      <c r="F14" s="87">
        <f t="shared" si="20"/>
        <v>252047</v>
      </c>
      <c r="G14" s="301">
        <f>SUM(F14:F20)</f>
        <v>1651043</v>
      </c>
      <c r="H14" s="341"/>
      <c r="I14" s="234">
        <v>27868</v>
      </c>
      <c r="J14" s="100">
        <f>I14/F14</f>
        <v>0.11056668002396379</v>
      </c>
      <c r="K14" s="234">
        <v>40331</v>
      </c>
      <c r="L14" s="100">
        <f>K14/F14</f>
        <v>0.16001380694870401</v>
      </c>
      <c r="M14" s="105">
        <f>SUM(I14+K14)</f>
        <v>68199</v>
      </c>
      <c r="N14" s="100">
        <f>M14/F14</f>
        <v>0.27058048697266779</v>
      </c>
      <c r="O14" s="234">
        <v>6646</v>
      </c>
      <c r="P14" s="100">
        <f>O14/F14</f>
        <v>2.6368098013465742E-2</v>
      </c>
      <c r="Q14" s="234"/>
      <c r="R14" s="100">
        <f t="shared" ref="R14" si="22">Q14/F14</f>
        <v>0</v>
      </c>
      <c r="S14" s="105">
        <f t="shared" ref="S14" si="23">SUM(O14+Q14)</f>
        <v>6646</v>
      </c>
      <c r="T14" s="100">
        <f>S14/F14</f>
        <v>2.6368098013465742E-2</v>
      </c>
      <c r="U14" s="234">
        <v>31618</v>
      </c>
      <c r="V14" s="100">
        <f>U14/F14</f>
        <v>0.12544485750673484</v>
      </c>
      <c r="W14" s="234">
        <v>2898</v>
      </c>
      <c r="X14" s="100">
        <f>W14/F14</f>
        <v>1.1497855558685483E-2</v>
      </c>
      <c r="Y14" s="234">
        <v>23567</v>
      </c>
      <c r="Z14" s="100">
        <f>Y14/F14</f>
        <v>9.3502402329724218E-2</v>
      </c>
      <c r="AA14" s="234">
        <v>24059</v>
      </c>
      <c r="AB14" s="100">
        <f t="shared" ref="AB14" si="24">AA14/F14</f>
        <v>9.5454419215463784E-2</v>
      </c>
      <c r="AC14" s="105">
        <f>SUM(Y14+AA14)</f>
        <v>47626</v>
      </c>
      <c r="AD14" s="100">
        <f>AC14/F14</f>
        <v>0.188956821545188</v>
      </c>
      <c r="AE14" s="234">
        <v>23732</v>
      </c>
      <c r="AF14" s="100">
        <f>AE14/F14</f>
        <v>9.415704213896614E-2</v>
      </c>
      <c r="AG14" s="234">
        <v>14538</v>
      </c>
      <c r="AH14" s="100">
        <f>AG14/F14</f>
        <v>5.7679718465206885E-2</v>
      </c>
      <c r="AI14" s="234">
        <v>31623</v>
      </c>
      <c r="AJ14" s="100">
        <f>AI14/F14</f>
        <v>0.12546469507671187</v>
      </c>
      <c r="AK14" s="234">
        <v>25167</v>
      </c>
      <c r="AL14" s="100">
        <f>AK14/F14</f>
        <v>9.985042472237321E-2</v>
      </c>
    </row>
    <row r="15" spans="1:38" ht="14.25">
      <c r="B15" s="97"/>
      <c r="C15" s="83"/>
      <c r="D15" s="355">
        <f t="shared" si="21"/>
        <v>46239</v>
      </c>
      <c r="E15" s="355" t="s">
        <v>447</v>
      </c>
      <c r="F15" s="87">
        <f t="shared" si="20"/>
        <v>243421</v>
      </c>
      <c r="G15" s="301"/>
      <c r="H15" s="341"/>
      <c r="I15" s="234">
        <v>27618</v>
      </c>
      <c r="J15" s="100">
        <f t="shared" ref="J15:J48" si="25">I15/F15</f>
        <v>0.11345775426113605</v>
      </c>
      <c r="K15" s="234">
        <v>39341</v>
      </c>
      <c r="L15" s="100">
        <f t="shared" ref="L15:L48" si="26">K15/F15</f>
        <v>0.16161711602532239</v>
      </c>
      <c r="M15" s="105">
        <f t="shared" ref="M15:M48" si="27">SUM(I15+K15)</f>
        <v>66959</v>
      </c>
      <c r="N15" s="100">
        <f t="shared" ref="N15:N48" si="28">M15/F15</f>
        <v>0.27507487028645844</v>
      </c>
      <c r="O15" s="234">
        <v>6641</v>
      </c>
      <c r="P15" s="100">
        <f t="shared" ref="P15:P48" si="29">O15/F15</f>
        <v>2.7281951844746345E-2</v>
      </c>
      <c r="Q15" s="234"/>
      <c r="R15" s="100">
        <f t="shared" ref="R15:R48" si="30">Q15/F15</f>
        <v>0</v>
      </c>
      <c r="S15" s="105">
        <f t="shared" ref="S15:S48" si="31">SUM(O15+Q15)</f>
        <v>6641</v>
      </c>
      <c r="T15" s="100">
        <f t="shared" ref="T15:T48" si="32">S15/F15</f>
        <v>2.7281951844746345E-2</v>
      </c>
      <c r="U15" s="234">
        <v>28898</v>
      </c>
      <c r="V15" s="100">
        <f t="shared" ref="V15:V48" si="33">U15/F15</f>
        <v>0.11871613377646136</v>
      </c>
      <c r="W15" s="234">
        <v>2720</v>
      </c>
      <c r="X15" s="100">
        <f t="shared" ref="X15:X48" si="34">W15/F15</f>
        <v>1.1174056470066264E-2</v>
      </c>
      <c r="Y15" s="234">
        <v>23353</v>
      </c>
      <c r="Z15" s="100">
        <f t="shared" ref="Z15:Z48" si="35">Y15/F15</f>
        <v>9.5936669391712304E-2</v>
      </c>
      <c r="AA15" s="234">
        <v>23358</v>
      </c>
      <c r="AB15" s="100">
        <f t="shared" ref="AB15:AB48" si="36">AA15/F15</f>
        <v>9.5957209936694043E-2</v>
      </c>
      <c r="AC15" s="105">
        <f t="shared" ref="AC15:AC48" si="37">SUM(Y15+AA15)</f>
        <v>46711</v>
      </c>
      <c r="AD15" s="100">
        <f t="shared" ref="AD15:AD48" si="38">AC15/F15</f>
        <v>0.19189387932840635</v>
      </c>
      <c r="AE15" s="234">
        <v>22105</v>
      </c>
      <c r="AF15" s="100">
        <f t="shared" ref="AF15:AF48" si="39">AE15/F15</f>
        <v>9.0809749364270137E-2</v>
      </c>
      <c r="AG15" s="234">
        <v>14118</v>
      </c>
      <c r="AH15" s="100">
        <f t="shared" ref="AH15:AH48" si="40">AG15/F15</f>
        <v>5.7998282810439526E-2</v>
      </c>
      <c r="AI15" s="234">
        <v>30400</v>
      </c>
      <c r="AJ15" s="100">
        <f t="shared" ref="AJ15:AJ48" si="41">AI15/F15</f>
        <v>0.12488651348897589</v>
      </c>
      <c r="AK15" s="234">
        <v>24869</v>
      </c>
      <c r="AL15" s="100">
        <f t="shared" ref="AL15:AL48" si="42">AK15/F15</f>
        <v>0.1021645626301757</v>
      </c>
    </row>
    <row r="16" spans="1:38" ht="14.25">
      <c r="B16" s="97"/>
      <c r="C16" s="83"/>
      <c r="D16" s="355">
        <f t="shared" si="21"/>
        <v>46240</v>
      </c>
      <c r="E16" s="355" t="s">
        <v>448</v>
      </c>
      <c r="F16" s="87">
        <f t="shared" si="20"/>
        <v>227805</v>
      </c>
      <c r="G16" s="301"/>
      <c r="H16" s="341"/>
      <c r="I16" s="234">
        <v>26550</v>
      </c>
      <c r="J16" s="100">
        <f t="shared" si="25"/>
        <v>0.1165470468163561</v>
      </c>
      <c r="K16" s="234">
        <v>36408</v>
      </c>
      <c r="L16" s="100">
        <f t="shared" si="26"/>
        <v>0.15982089945347994</v>
      </c>
      <c r="M16" s="105">
        <f t="shared" si="27"/>
        <v>62958</v>
      </c>
      <c r="N16" s="100">
        <f t="shared" si="28"/>
        <v>0.27636794626983602</v>
      </c>
      <c r="O16" s="234">
        <v>6183</v>
      </c>
      <c r="P16" s="100">
        <f t="shared" si="29"/>
        <v>2.7141634292486994E-2</v>
      </c>
      <c r="Q16" s="234"/>
      <c r="R16" s="100">
        <f t="shared" si="30"/>
        <v>0</v>
      </c>
      <c r="S16" s="105">
        <f t="shared" si="31"/>
        <v>6183</v>
      </c>
      <c r="T16" s="100">
        <f t="shared" si="32"/>
        <v>2.7141634292486994E-2</v>
      </c>
      <c r="U16" s="234">
        <v>25083</v>
      </c>
      <c r="V16" s="100">
        <f t="shared" si="33"/>
        <v>0.11010732863633371</v>
      </c>
      <c r="W16" s="234">
        <v>2689</v>
      </c>
      <c r="X16" s="100">
        <f t="shared" si="34"/>
        <v>1.1803955137068984E-2</v>
      </c>
      <c r="Y16" s="234">
        <v>24270</v>
      </c>
      <c r="Z16" s="100">
        <f t="shared" si="35"/>
        <v>0.10653848686376506</v>
      </c>
      <c r="AA16" s="234">
        <v>18715</v>
      </c>
      <c r="AB16" s="100">
        <f t="shared" si="36"/>
        <v>8.2153596277518059E-2</v>
      </c>
      <c r="AC16" s="105">
        <f t="shared" si="37"/>
        <v>42985</v>
      </c>
      <c r="AD16" s="100">
        <f t="shared" si="38"/>
        <v>0.18869208314128311</v>
      </c>
      <c r="AE16" s="234">
        <v>20791</v>
      </c>
      <c r="AF16" s="100">
        <f t="shared" si="39"/>
        <v>9.1266653497508829E-2</v>
      </c>
      <c r="AG16" s="234">
        <v>13547</v>
      </c>
      <c r="AH16" s="100">
        <f t="shared" si="40"/>
        <v>5.9467527051645049E-2</v>
      </c>
      <c r="AI16" s="234">
        <v>29261</v>
      </c>
      <c r="AJ16" s="100">
        <f t="shared" si="41"/>
        <v>0.12844757577752902</v>
      </c>
      <c r="AK16" s="234">
        <v>24308</v>
      </c>
      <c r="AL16" s="100">
        <f t="shared" si="42"/>
        <v>0.10670529619630825</v>
      </c>
    </row>
    <row r="17" spans="2:38" ht="14.25">
      <c r="B17" s="97"/>
      <c r="C17" s="83"/>
      <c r="D17" s="355">
        <f t="shared" si="21"/>
        <v>46241</v>
      </c>
      <c r="E17" s="355" t="s">
        <v>449</v>
      </c>
      <c r="F17" s="87">
        <f t="shared" si="20"/>
        <v>203589</v>
      </c>
      <c r="G17" s="301"/>
      <c r="H17" s="341"/>
      <c r="I17" s="234">
        <v>23417</v>
      </c>
      <c r="J17" s="100">
        <f t="shared" si="25"/>
        <v>0.11502094906895756</v>
      </c>
      <c r="K17" s="234">
        <v>34508</v>
      </c>
      <c r="L17" s="100">
        <f t="shared" si="26"/>
        <v>0.16949835207206676</v>
      </c>
      <c r="M17" s="105">
        <f t="shared" si="27"/>
        <v>57925</v>
      </c>
      <c r="N17" s="100">
        <f t="shared" si="28"/>
        <v>0.28451930114102431</v>
      </c>
      <c r="O17" s="234">
        <v>5264</v>
      </c>
      <c r="P17" s="100">
        <f t="shared" si="29"/>
        <v>2.5856013831788555E-2</v>
      </c>
      <c r="Q17" s="234"/>
      <c r="R17" s="100">
        <f t="shared" si="30"/>
        <v>0</v>
      </c>
      <c r="S17" s="105">
        <f t="shared" si="31"/>
        <v>5264</v>
      </c>
      <c r="T17" s="100">
        <f t="shared" si="32"/>
        <v>2.5856013831788555E-2</v>
      </c>
      <c r="U17" s="234">
        <v>22140</v>
      </c>
      <c r="V17" s="100">
        <f t="shared" si="33"/>
        <v>0.10874850802351797</v>
      </c>
      <c r="W17" s="234">
        <v>1917</v>
      </c>
      <c r="X17" s="100">
        <f t="shared" si="34"/>
        <v>9.416029353255825E-3</v>
      </c>
      <c r="Y17" s="234">
        <v>21892</v>
      </c>
      <c r="Z17" s="100">
        <f t="shared" si="35"/>
        <v>0.10753036755423918</v>
      </c>
      <c r="AA17" s="234">
        <v>18830</v>
      </c>
      <c r="AB17" s="100">
        <f t="shared" si="36"/>
        <v>9.2490262244030869E-2</v>
      </c>
      <c r="AC17" s="105">
        <f t="shared" si="37"/>
        <v>40722</v>
      </c>
      <c r="AD17" s="100">
        <f t="shared" si="38"/>
        <v>0.20002062979827004</v>
      </c>
      <c r="AE17" s="234">
        <v>16434</v>
      </c>
      <c r="AF17" s="100">
        <f t="shared" si="39"/>
        <v>8.0721453516643824E-2</v>
      </c>
      <c r="AG17" s="234">
        <v>11252</v>
      </c>
      <c r="AH17" s="100">
        <f t="shared" si="40"/>
        <v>5.526821193679423E-2</v>
      </c>
      <c r="AI17" s="234">
        <v>28302</v>
      </c>
      <c r="AJ17" s="100">
        <f t="shared" si="41"/>
        <v>0.13901536919971119</v>
      </c>
      <c r="AK17" s="234">
        <v>19633</v>
      </c>
      <c r="AL17" s="100">
        <f t="shared" si="42"/>
        <v>9.6434483198994045E-2</v>
      </c>
    </row>
    <row r="18" spans="2:38" ht="14.25">
      <c r="B18" s="97"/>
      <c r="C18" s="83"/>
      <c r="D18" s="355">
        <f t="shared" si="21"/>
        <v>46242</v>
      </c>
      <c r="E18" s="355" t="s">
        <v>450</v>
      </c>
      <c r="F18" s="87">
        <f t="shared" si="20"/>
        <v>215322</v>
      </c>
      <c r="G18" s="301"/>
      <c r="H18" s="341"/>
      <c r="I18" s="234">
        <v>21959</v>
      </c>
      <c r="J18" s="100">
        <f t="shared" si="25"/>
        <v>0.10198214766721468</v>
      </c>
      <c r="K18" s="234">
        <v>37949</v>
      </c>
      <c r="L18" s="100">
        <f t="shared" si="26"/>
        <v>0.17624302207856141</v>
      </c>
      <c r="M18" s="105">
        <f t="shared" si="27"/>
        <v>59908</v>
      </c>
      <c r="N18" s="100">
        <f t="shared" si="28"/>
        <v>0.2782251697457761</v>
      </c>
      <c r="O18" s="234">
        <v>4950</v>
      </c>
      <c r="P18" s="100">
        <f t="shared" si="29"/>
        <v>2.2988826037283697E-2</v>
      </c>
      <c r="Q18" s="234"/>
      <c r="R18" s="100">
        <f t="shared" si="30"/>
        <v>0</v>
      </c>
      <c r="S18" s="105">
        <f t="shared" si="31"/>
        <v>4950</v>
      </c>
      <c r="T18" s="100">
        <f t="shared" si="32"/>
        <v>2.2988826037283697E-2</v>
      </c>
      <c r="U18" s="234">
        <v>24295</v>
      </c>
      <c r="V18" s="100">
        <f t="shared" si="33"/>
        <v>0.11283101587390049</v>
      </c>
      <c r="W18" s="234">
        <v>1771</v>
      </c>
      <c r="X18" s="100">
        <f t="shared" si="34"/>
        <v>8.2248910933392771E-3</v>
      </c>
      <c r="Y18" s="234">
        <v>23398</v>
      </c>
      <c r="Z18" s="100">
        <f t="shared" si="35"/>
        <v>0.10866516194350787</v>
      </c>
      <c r="AA18" s="234">
        <v>22034</v>
      </c>
      <c r="AB18" s="100">
        <f t="shared" si="36"/>
        <v>0.10233046321323414</v>
      </c>
      <c r="AC18" s="105">
        <f t="shared" si="37"/>
        <v>45432</v>
      </c>
      <c r="AD18" s="100">
        <f t="shared" si="38"/>
        <v>0.210995625156742</v>
      </c>
      <c r="AE18" s="234">
        <v>17998</v>
      </c>
      <c r="AF18" s="100">
        <f t="shared" si="39"/>
        <v>8.3586442630107463E-2</v>
      </c>
      <c r="AG18" s="234">
        <v>11760</v>
      </c>
      <c r="AH18" s="100">
        <f t="shared" si="40"/>
        <v>5.4615877615849753E-2</v>
      </c>
      <c r="AI18" s="234">
        <v>29557</v>
      </c>
      <c r="AJ18" s="100">
        <f t="shared" si="41"/>
        <v>0.13726883458262509</v>
      </c>
      <c r="AK18" s="234">
        <v>19651</v>
      </c>
      <c r="AL18" s="100">
        <f t="shared" si="42"/>
        <v>9.1263317264376143E-2</v>
      </c>
    </row>
    <row r="19" spans="2:38" ht="14.25">
      <c r="B19" s="97"/>
      <c r="C19" s="83"/>
      <c r="D19" s="355">
        <f t="shared" si="21"/>
        <v>46243</v>
      </c>
      <c r="E19" s="355" t="s">
        <v>451</v>
      </c>
      <c r="F19" s="87">
        <f t="shared" si="20"/>
        <v>255929</v>
      </c>
      <c r="G19" s="301"/>
      <c r="H19" s="341"/>
      <c r="I19" s="234">
        <v>27289</v>
      </c>
      <c r="J19" s="100">
        <f t="shared" si="25"/>
        <v>0.10662722864544463</v>
      </c>
      <c r="K19" s="234">
        <v>41319</v>
      </c>
      <c r="L19" s="100">
        <f t="shared" si="26"/>
        <v>0.16144712009971515</v>
      </c>
      <c r="M19" s="105">
        <f t="shared" si="27"/>
        <v>68608</v>
      </c>
      <c r="N19" s="100">
        <f t="shared" si="28"/>
        <v>0.26807434874515979</v>
      </c>
      <c r="O19" s="234">
        <v>6315</v>
      </c>
      <c r="P19" s="100">
        <f t="shared" si="29"/>
        <v>2.4674812154933595E-2</v>
      </c>
      <c r="Q19" s="234"/>
      <c r="R19" s="100">
        <f t="shared" si="30"/>
        <v>0</v>
      </c>
      <c r="S19" s="105">
        <f t="shared" si="31"/>
        <v>6315</v>
      </c>
      <c r="T19" s="100">
        <f t="shared" si="32"/>
        <v>2.4674812154933595E-2</v>
      </c>
      <c r="U19" s="234">
        <v>31418</v>
      </c>
      <c r="V19" s="100">
        <f t="shared" si="33"/>
        <v>0.12276060938775989</v>
      </c>
      <c r="W19" s="234">
        <v>2575</v>
      </c>
      <c r="X19" s="100">
        <f t="shared" si="34"/>
        <v>1.0061384212027555E-2</v>
      </c>
      <c r="Y19" s="234">
        <v>27726</v>
      </c>
      <c r="Z19" s="100">
        <f t="shared" si="35"/>
        <v>0.10833473346123339</v>
      </c>
      <c r="AA19" s="234">
        <v>24453</v>
      </c>
      <c r="AB19" s="100">
        <f t="shared" si="36"/>
        <v>9.5546030344353314E-2</v>
      </c>
      <c r="AC19" s="105">
        <f t="shared" si="37"/>
        <v>52179</v>
      </c>
      <c r="AD19" s="100">
        <f t="shared" si="38"/>
        <v>0.2038807638055867</v>
      </c>
      <c r="AE19" s="234">
        <v>24148</v>
      </c>
      <c r="AF19" s="100">
        <f t="shared" si="39"/>
        <v>9.4354293573608305E-2</v>
      </c>
      <c r="AG19" s="234">
        <v>15154</v>
      </c>
      <c r="AH19" s="100">
        <f t="shared" si="40"/>
        <v>5.9211734504491478E-2</v>
      </c>
      <c r="AI19" s="234">
        <v>30935</v>
      </c>
      <c r="AJ19" s="100">
        <f t="shared" si="41"/>
        <v>0.12087336722294073</v>
      </c>
      <c r="AK19" s="234">
        <v>24597</v>
      </c>
      <c r="AL19" s="100">
        <f t="shared" si="42"/>
        <v>9.6108686393491946E-2</v>
      </c>
    </row>
    <row r="20" spans="2:38" ht="14.25">
      <c r="B20" s="97"/>
      <c r="C20" s="83"/>
      <c r="D20" s="355">
        <f t="shared" si="21"/>
        <v>46244</v>
      </c>
      <c r="E20" s="355" t="s">
        <v>445</v>
      </c>
      <c r="F20" s="87">
        <f t="shared" si="20"/>
        <v>252930</v>
      </c>
      <c r="G20" s="301"/>
      <c r="H20" s="341"/>
      <c r="I20" s="234">
        <v>26584</v>
      </c>
      <c r="J20" s="100">
        <f t="shared" si="25"/>
        <v>0.10510417902186375</v>
      </c>
      <c r="K20" s="234">
        <v>40636</v>
      </c>
      <c r="L20" s="100">
        <f t="shared" si="26"/>
        <v>0.16066105246510892</v>
      </c>
      <c r="M20" s="105">
        <f t="shared" si="27"/>
        <v>67220</v>
      </c>
      <c r="N20" s="100">
        <f t="shared" si="28"/>
        <v>0.26576523148697268</v>
      </c>
      <c r="O20" s="234">
        <v>6676</v>
      </c>
      <c r="P20" s="100">
        <f t="shared" si="29"/>
        <v>2.6394654647530939E-2</v>
      </c>
      <c r="Q20" s="234"/>
      <c r="R20" s="100">
        <f t="shared" si="30"/>
        <v>0</v>
      </c>
      <c r="S20" s="105">
        <f t="shared" si="31"/>
        <v>6676</v>
      </c>
      <c r="T20" s="100">
        <f t="shared" si="32"/>
        <v>2.6394654647530939E-2</v>
      </c>
      <c r="U20" s="234">
        <v>30734</v>
      </c>
      <c r="V20" s="100">
        <f t="shared" si="33"/>
        <v>0.12151188075752184</v>
      </c>
      <c r="W20" s="234">
        <v>3227</v>
      </c>
      <c r="X20" s="100">
        <f t="shared" si="34"/>
        <v>1.2758470723124976E-2</v>
      </c>
      <c r="Y20" s="234">
        <v>26708</v>
      </c>
      <c r="Z20" s="100">
        <f t="shared" si="35"/>
        <v>0.10559443324239909</v>
      </c>
      <c r="AA20" s="234">
        <v>23048</v>
      </c>
      <c r="AB20" s="100">
        <f t="shared" si="36"/>
        <v>9.1124026410469294E-2</v>
      </c>
      <c r="AC20" s="105">
        <f t="shared" si="37"/>
        <v>49756</v>
      </c>
      <c r="AD20" s="100">
        <f t="shared" si="38"/>
        <v>0.19671845965286838</v>
      </c>
      <c r="AE20" s="234">
        <v>24191</v>
      </c>
      <c r="AF20" s="100">
        <f t="shared" si="39"/>
        <v>9.5643063298145731E-2</v>
      </c>
      <c r="AG20" s="234">
        <v>15839</v>
      </c>
      <c r="AH20" s="100">
        <f t="shared" si="40"/>
        <v>6.2622069347250231E-2</v>
      </c>
      <c r="AI20" s="234">
        <v>27828</v>
      </c>
      <c r="AJ20" s="100">
        <f t="shared" si="41"/>
        <v>0.11002253587949234</v>
      </c>
      <c r="AK20" s="234">
        <v>27459</v>
      </c>
      <c r="AL20" s="100">
        <f t="shared" si="42"/>
        <v>0.10856363420709288</v>
      </c>
    </row>
    <row r="21" spans="2:38" ht="14.25">
      <c r="B21" s="97"/>
      <c r="C21" s="83"/>
      <c r="D21" s="299">
        <f t="shared" si="21"/>
        <v>46245</v>
      </c>
      <c r="E21" s="299" t="s">
        <v>446</v>
      </c>
      <c r="F21" s="87">
        <f t="shared" si="20"/>
        <v>242065</v>
      </c>
      <c r="G21" s="301">
        <f>SUM(F21:F27)</f>
        <v>1606324</v>
      </c>
      <c r="H21" s="341"/>
      <c r="I21" s="234">
        <v>29088</v>
      </c>
      <c r="J21" s="100">
        <f t="shared" si="25"/>
        <v>0.12016607109660628</v>
      </c>
      <c r="K21" s="234">
        <v>39489</v>
      </c>
      <c r="L21" s="100">
        <f t="shared" si="26"/>
        <v>0.16313386900212754</v>
      </c>
      <c r="M21" s="105">
        <f t="shared" si="27"/>
        <v>68577</v>
      </c>
      <c r="N21" s="100">
        <f t="shared" si="28"/>
        <v>0.28329994009873383</v>
      </c>
      <c r="O21" s="234">
        <v>5820</v>
      </c>
      <c r="P21" s="100">
        <f t="shared" si="29"/>
        <v>2.4043128911655959E-2</v>
      </c>
      <c r="Q21" s="234"/>
      <c r="R21" s="100">
        <f t="shared" si="30"/>
        <v>0</v>
      </c>
      <c r="S21" s="105">
        <f t="shared" si="31"/>
        <v>5820</v>
      </c>
      <c r="T21" s="100">
        <f t="shared" si="32"/>
        <v>2.4043128911655959E-2</v>
      </c>
      <c r="U21" s="234">
        <v>28102</v>
      </c>
      <c r="V21" s="100">
        <f t="shared" si="33"/>
        <v>0.1160927849957656</v>
      </c>
      <c r="W21" s="234">
        <v>2481</v>
      </c>
      <c r="X21" s="100">
        <f t="shared" si="34"/>
        <v>1.0249313200999732E-2</v>
      </c>
      <c r="Y21" s="234">
        <v>26446</v>
      </c>
      <c r="Z21" s="100">
        <f t="shared" si="35"/>
        <v>0.10925164728482019</v>
      </c>
      <c r="AA21" s="234">
        <v>23062</v>
      </c>
      <c r="AB21" s="100">
        <f t="shared" si="36"/>
        <v>9.5271931092888271E-2</v>
      </c>
      <c r="AC21" s="105">
        <f t="shared" si="37"/>
        <v>49508</v>
      </c>
      <c r="AD21" s="100">
        <f t="shared" si="38"/>
        <v>0.20452357837770846</v>
      </c>
      <c r="AE21" s="234">
        <v>22552</v>
      </c>
      <c r="AF21" s="100">
        <f t="shared" si="39"/>
        <v>9.3165058971763776E-2</v>
      </c>
      <c r="AG21" s="234">
        <v>17519</v>
      </c>
      <c r="AH21" s="100">
        <f t="shared" si="40"/>
        <v>7.2373122921529337E-2</v>
      </c>
      <c r="AI21" s="234">
        <v>24167</v>
      </c>
      <c r="AJ21" s="100">
        <f t="shared" si="41"/>
        <v>9.9836820688657998E-2</v>
      </c>
      <c r="AK21" s="234">
        <v>23339</v>
      </c>
      <c r="AL21" s="100">
        <f t="shared" si="42"/>
        <v>9.6416251833185307E-2</v>
      </c>
    </row>
    <row r="22" spans="2:38" ht="14.25">
      <c r="B22" s="97"/>
      <c r="C22" s="83"/>
      <c r="D22" s="299">
        <f t="shared" si="21"/>
        <v>46246</v>
      </c>
      <c r="E22" s="299" t="s">
        <v>447</v>
      </c>
      <c r="F22" s="87">
        <f t="shared" si="20"/>
        <v>232004</v>
      </c>
      <c r="G22" s="301"/>
      <c r="H22" s="341"/>
      <c r="I22" s="234">
        <v>27414</v>
      </c>
      <c r="J22" s="100">
        <f t="shared" si="25"/>
        <v>0.118161755831796</v>
      </c>
      <c r="K22" s="234">
        <v>38675</v>
      </c>
      <c r="L22" s="100">
        <f t="shared" si="26"/>
        <v>0.16669971207392975</v>
      </c>
      <c r="M22" s="105">
        <f t="shared" si="27"/>
        <v>66089</v>
      </c>
      <c r="N22" s="100">
        <f t="shared" si="28"/>
        <v>0.28486146790572575</v>
      </c>
      <c r="O22" s="234">
        <v>5797</v>
      </c>
      <c r="P22" s="100">
        <f t="shared" si="29"/>
        <v>2.4986638161411012E-2</v>
      </c>
      <c r="Q22" s="234"/>
      <c r="R22" s="100">
        <f t="shared" si="30"/>
        <v>0</v>
      </c>
      <c r="S22" s="105">
        <f t="shared" si="31"/>
        <v>5797</v>
      </c>
      <c r="T22" s="100">
        <f t="shared" si="32"/>
        <v>2.4986638161411012E-2</v>
      </c>
      <c r="U22" s="234">
        <v>27769</v>
      </c>
      <c r="V22" s="100">
        <f t="shared" si="33"/>
        <v>0.11969190186376097</v>
      </c>
      <c r="W22" s="234">
        <v>2313</v>
      </c>
      <c r="X22" s="100">
        <f t="shared" si="34"/>
        <v>9.9696556955914551E-3</v>
      </c>
      <c r="Y22" s="234">
        <v>26150</v>
      </c>
      <c r="Z22" s="100">
        <f t="shared" si="35"/>
        <v>0.1127135739038982</v>
      </c>
      <c r="AA22" s="234">
        <v>21696</v>
      </c>
      <c r="AB22" s="100">
        <f t="shared" si="36"/>
        <v>9.3515629040878609E-2</v>
      </c>
      <c r="AC22" s="105">
        <f t="shared" si="37"/>
        <v>47846</v>
      </c>
      <c r="AD22" s="100">
        <f t="shared" si="38"/>
        <v>0.20622920294477681</v>
      </c>
      <c r="AE22" s="234">
        <v>20975</v>
      </c>
      <c r="AF22" s="100">
        <f t="shared" si="39"/>
        <v>9.0407924001310327E-2</v>
      </c>
      <c r="AG22" s="234">
        <v>13437</v>
      </c>
      <c r="AH22" s="100">
        <f t="shared" si="40"/>
        <v>5.791710487750211E-2</v>
      </c>
      <c r="AI22" s="234">
        <v>24998</v>
      </c>
      <c r="AJ22" s="100">
        <f t="shared" si="41"/>
        <v>0.10774814227340908</v>
      </c>
      <c r="AK22" s="234">
        <v>22780</v>
      </c>
      <c r="AL22" s="100">
        <f t="shared" si="42"/>
        <v>9.8187962276512469E-2</v>
      </c>
    </row>
    <row r="23" spans="2:38" ht="14.25">
      <c r="B23" s="97"/>
      <c r="C23" s="83"/>
      <c r="D23" s="299">
        <f t="shared" si="21"/>
        <v>46247</v>
      </c>
      <c r="E23" s="299" t="s">
        <v>448</v>
      </c>
      <c r="F23" s="87">
        <f t="shared" si="20"/>
        <v>222698</v>
      </c>
      <c r="G23" s="301"/>
      <c r="H23" s="341"/>
      <c r="I23" s="234">
        <v>26949</v>
      </c>
      <c r="J23" s="100">
        <f t="shared" si="25"/>
        <v>0.12101141456142399</v>
      </c>
      <c r="K23" s="234">
        <v>35937</v>
      </c>
      <c r="L23" s="100">
        <f t="shared" si="26"/>
        <v>0.1613710046789823</v>
      </c>
      <c r="M23" s="105">
        <f t="shared" si="27"/>
        <v>62886</v>
      </c>
      <c r="N23" s="100">
        <f t="shared" si="28"/>
        <v>0.2823824192404063</v>
      </c>
      <c r="O23" s="234">
        <v>5653</v>
      </c>
      <c r="P23" s="100">
        <f t="shared" si="29"/>
        <v>2.5384152529434482E-2</v>
      </c>
      <c r="Q23" s="234"/>
      <c r="R23" s="100">
        <f t="shared" si="30"/>
        <v>0</v>
      </c>
      <c r="S23" s="105">
        <f t="shared" si="31"/>
        <v>5653</v>
      </c>
      <c r="T23" s="100">
        <f t="shared" si="32"/>
        <v>2.5384152529434482E-2</v>
      </c>
      <c r="U23" s="234">
        <v>26507</v>
      </c>
      <c r="V23" s="100">
        <f t="shared" si="33"/>
        <v>0.1190266639125632</v>
      </c>
      <c r="W23" s="234">
        <v>2402</v>
      </c>
      <c r="X23" s="100">
        <f t="shared" si="34"/>
        <v>1.0785907372315872E-2</v>
      </c>
      <c r="Y23" s="234">
        <v>25221</v>
      </c>
      <c r="Z23" s="100">
        <f t="shared" si="35"/>
        <v>0.11325202740931666</v>
      </c>
      <c r="AA23" s="234">
        <v>17722</v>
      </c>
      <c r="AB23" s="100">
        <f t="shared" si="36"/>
        <v>7.9578622169934166E-2</v>
      </c>
      <c r="AC23" s="105">
        <f t="shared" si="37"/>
        <v>42943</v>
      </c>
      <c r="AD23" s="100">
        <f t="shared" si="38"/>
        <v>0.19283064957925083</v>
      </c>
      <c r="AE23" s="234">
        <v>20630</v>
      </c>
      <c r="AF23" s="100">
        <f t="shared" si="39"/>
        <v>9.263666490044814E-2</v>
      </c>
      <c r="AG23" s="234">
        <v>12822</v>
      </c>
      <c r="AH23" s="100">
        <f t="shared" si="40"/>
        <v>5.7575730361296464E-2</v>
      </c>
      <c r="AI23" s="234">
        <v>26209</v>
      </c>
      <c r="AJ23" s="100">
        <f t="shared" si="41"/>
        <v>0.11768852885971136</v>
      </c>
      <c r="AK23" s="234">
        <v>22646</v>
      </c>
      <c r="AL23" s="100">
        <f t="shared" si="42"/>
        <v>0.10168928324457337</v>
      </c>
    </row>
    <row r="24" spans="2:38" ht="14.25">
      <c r="B24" s="97"/>
      <c r="C24" s="83"/>
      <c r="D24" s="299">
        <f t="shared" si="21"/>
        <v>46248</v>
      </c>
      <c r="E24" s="299" t="s">
        <v>449</v>
      </c>
      <c r="F24" s="87">
        <f t="shared" si="20"/>
        <v>199003</v>
      </c>
      <c r="G24" s="301"/>
      <c r="H24" s="341"/>
      <c r="I24" s="234">
        <v>24617</v>
      </c>
      <c r="J24" s="100">
        <f t="shared" si="25"/>
        <v>0.12370165273890343</v>
      </c>
      <c r="K24" s="234">
        <v>33863</v>
      </c>
      <c r="L24" s="100">
        <f t="shared" si="26"/>
        <v>0.1701632638703939</v>
      </c>
      <c r="M24" s="105">
        <f t="shared" si="27"/>
        <v>58480</v>
      </c>
      <c r="N24" s="100">
        <f t="shared" si="28"/>
        <v>0.29386491660929737</v>
      </c>
      <c r="O24" s="234">
        <v>4806</v>
      </c>
      <c r="P24" s="100">
        <f t="shared" si="29"/>
        <v>2.4150389692617701E-2</v>
      </c>
      <c r="Q24" s="234"/>
      <c r="R24" s="100">
        <f t="shared" si="30"/>
        <v>0</v>
      </c>
      <c r="S24" s="105">
        <f t="shared" si="31"/>
        <v>4806</v>
      </c>
      <c r="T24" s="100">
        <f t="shared" si="32"/>
        <v>2.4150389692617701E-2</v>
      </c>
      <c r="U24" s="234">
        <v>21815</v>
      </c>
      <c r="V24" s="100">
        <f t="shared" si="33"/>
        <v>0.10962146299302021</v>
      </c>
      <c r="W24" s="234">
        <v>1779</v>
      </c>
      <c r="X24" s="100">
        <f t="shared" si="34"/>
        <v>8.939563725169972E-3</v>
      </c>
      <c r="Y24" s="234">
        <v>23187</v>
      </c>
      <c r="Z24" s="100">
        <f t="shared" si="35"/>
        <v>0.11651583141962683</v>
      </c>
      <c r="AA24" s="234">
        <v>18105</v>
      </c>
      <c r="AB24" s="100">
        <f t="shared" si="36"/>
        <v>9.0978527961890016E-2</v>
      </c>
      <c r="AC24" s="105">
        <f t="shared" si="37"/>
        <v>41292</v>
      </c>
      <c r="AD24" s="100">
        <f t="shared" si="38"/>
        <v>0.20749435938151686</v>
      </c>
      <c r="AE24" s="234">
        <v>17073</v>
      </c>
      <c r="AF24" s="100">
        <f t="shared" si="39"/>
        <v>8.5792676492314188E-2</v>
      </c>
      <c r="AG24" s="234">
        <v>11033</v>
      </c>
      <c r="AH24" s="100">
        <f t="shared" si="40"/>
        <v>5.5441375255649412E-2</v>
      </c>
      <c r="AI24" s="234">
        <v>24279</v>
      </c>
      <c r="AJ24" s="100">
        <f t="shared" si="41"/>
        <v>0.12200318588161987</v>
      </c>
      <c r="AK24" s="234">
        <v>18446</v>
      </c>
      <c r="AL24" s="100">
        <f t="shared" si="42"/>
        <v>9.2692069968794435E-2</v>
      </c>
    </row>
    <row r="25" spans="2:38" ht="14.25">
      <c r="B25" s="97"/>
      <c r="C25" s="83"/>
      <c r="D25" s="299">
        <f t="shared" si="21"/>
        <v>46249</v>
      </c>
      <c r="E25" s="299" t="s">
        <v>450</v>
      </c>
      <c r="F25" s="87">
        <f t="shared" si="20"/>
        <v>209965</v>
      </c>
      <c r="G25" s="301"/>
      <c r="H25" s="341"/>
      <c r="I25" s="234">
        <v>23420</v>
      </c>
      <c r="J25" s="100">
        <f t="shared" si="25"/>
        <v>0.11154239992379682</v>
      </c>
      <c r="K25" s="234">
        <v>37583</v>
      </c>
      <c r="L25" s="100">
        <f t="shared" si="26"/>
        <v>0.17899649941656942</v>
      </c>
      <c r="M25" s="105">
        <f t="shared" si="27"/>
        <v>61003</v>
      </c>
      <c r="N25" s="100">
        <f t="shared" si="28"/>
        <v>0.29053889934036625</v>
      </c>
      <c r="O25" s="234">
        <v>4639</v>
      </c>
      <c r="P25" s="100">
        <f t="shared" si="29"/>
        <v>2.2094158550234562E-2</v>
      </c>
      <c r="Q25" s="234"/>
      <c r="R25" s="100">
        <f t="shared" si="30"/>
        <v>0</v>
      </c>
      <c r="S25" s="105">
        <f t="shared" si="31"/>
        <v>4639</v>
      </c>
      <c r="T25" s="100">
        <f t="shared" si="32"/>
        <v>2.2094158550234562E-2</v>
      </c>
      <c r="U25" s="234">
        <v>23858</v>
      </c>
      <c r="V25" s="100">
        <f t="shared" si="33"/>
        <v>0.1136284618865049</v>
      </c>
      <c r="W25" s="234">
        <v>1830</v>
      </c>
      <c r="X25" s="100">
        <f t="shared" si="34"/>
        <v>8.715738337341938E-3</v>
      </c>
      <c r="Y25" s="234">
        <v>23599</v>
      </c>
      <c r="Z25" s="100">
        <f t="shared" si="35"/>
        <v>0.11239492296335103</v>
      </c>
      <c r="AA25" s="234">
        <v>21623</v>
      </c>
      <c r="AB25" s="100">
        <f t="shared" si="36"/>
        <v>0.10298383063843974</v>
      </c>
      <c r="AC25" s="105">
        <f t="shared" si="37"/>
        <v>45222</v>
      </c>
      <c r="AD25" s="100">
        <f t="shared" si="38"/>
        <v>0.21537875360179076</v>
      </c>
      <c r="AE25" s="234">
        <v>18096</v>
      </c>
      <c r="AF25" s="100">
        <f t="shared" si="39"/>
        <v>8.618579287024028E-2</v>
      </c>
      <c r="AG25" s="234">
        <v>11791</v>
      </c>
      <c r="AH25" s="100">
        <f t="shared" si="40"/>
        <v>5.6156978544043057E-2</v>
      </c>
      <c r="AI25" s="234">
        <v>25286</v>
      </c>
      <c r="AJ25" s="100">
        <f t="shared" si="41"/>
        <v>0.1204295954087586</v>
      </c>
      <c r="AK25" s="234">
        <v>18240</v>
      </c>
      <c r="AL25" s="100">
        <f t="shared" si="42"/>
        <v>8.6871621460719639E-2</v>
      </c>
    </row>
    <row r="26" spans="2:38" ht="14.25">
      <c r="B26" s="97"/>
      <c r="C26" s="83"/>
      <c r="D26" s="299">
        <f t="shared" si="21"/>
        <v>46250</v>
      </c>
      <c r="E26" s="299" t="s">
        <v>451</v>
      </c>
      <c r="F26" s="87">
        <f t="shared" si="20"/>
        <v>250522</v>
      </c>
      <c r="G26" s="301"/>
      <c r="H26" s="341"/>
      <c r="I26" s="234">
        <v>28958</v>
      </c>
      <c r="J26" s="100">
        <f t="shared" si="25"/>
        <v>0.11559064672962853</v>
      </c>
      <c r="K26" s="234">
        <v>41023</v>
      </c>
      <c r="L26" s="100">
        <f t="shared" si="26"/>
        <v>0.16375008981247155</v>
      </c>
      <c r="M26" s="105">
        <f t="shared" si="27"/>
        <v>69981</v>
      </c>
      <c r="N26" s="100">
        <f t="shared" si="28"/>
        <v>0.27934073654210012</v>
      </c>
      <c r="O26" s="234">
        <v>5890</v>
      </c>
      <c r="P26" s="100">
        <f t="shared" si="29"/>
        <v>2.3510909221545414E-2</v>
      </c>
      <c r="Q26" s="234"/>
      <c r="R26" s="100">
        <f t="shared" si="30"/>
        <v>0</v>
      </c>
      <c r="S26" s="105">
        <f t="shared" si="31"/>
        <v>5890</v>
      </c>
      <c r="T26" s="100">
        <f t="shared" si="32"/>
        <v>2.3510909221545414E-2</v>
      </c>
      <c r="U26" s="234">
        <v>31508</v>
      </c>
      <c r="V26" s="100">
        <f t="shared" si="33"/>
        <v>0.12576939350635871</v>
      </c>
      <c r="W26" s="234">
        <v>2470</v>
      </c>
      <c r="X26" s="100">
        <f t="shared" si="34"/>
        <v>9.8594135445190436E-3</v>
      </c>
      <c r="Y26" s="234">
        <v>24216</v>
      </c>
      <c r="Z26" s="100">
        <f t="shared" si="35"/>
        <v>9.6662169390313024E-2</v>
      </c>
      <c r="AA26" s="234">
        <v>23804</v>
      </c>
      <c r="AB26" s="100">
        <f t="shared" si="36"/>
        <v>9.5017603244425639E-2</v>
      </c>
      <c r="AC26" s="105">
        <f t="shared" si="37"/>
        <v>48020</v>
      </c>
      <c r="AD26" s="100">
        <f t="shared" si="38"/>
        <v>0.19167977263473868</v>
      </c>
      <c r="AE26" s="234">
        <v>24267</v>
      </c>
      <c r="AF26" s="100">
        <f t="shared" si="39"/>
        <v>9.686574432584763E-2</v>
      </c>
      <c r="AG26" s="234">
        <v>18290</v>
      </c>
      <c r="AH26" s="100">
        <f t="shared" si="40"/>
        <v>7.3007560214272599E-2</v>
      </c>
      <c r="AI26" s="234">
        <v>26781</v>
      </c>
      <c r="AJ26" s="100">
        <f t="shared" si="41"/>
        <v>0.1069007911480828</v>
      </c>
      <c r="AK26" s="234">
        <v>23315</v>
      </c>
      <c r="AL26" s="100">
        <f t="shared" si="42"/>
        <v>9.3065678862535028E-2</v>
      </c>
    </row>
    <row r="27" spans="2:38" ht="14.25">
      <c r="B27" s="97"/>
      <c r="C27" s="83"/>
      <c r="D27" s="299">
        <f t="shared" si="21"/>
        <v>46251</v>
      </c>
      <c r="E27" s="299" t="s">
        <v>445</v>
      </c>
      <c r="F27" s="87">
        <f t="shared" si="20"/>
        <v>250067</v>
      </c>
      <c r="G27" s="301"/>
      <c r="H27" s="341"/>
      <c r="I27" s="234">
        <v>28303</v>
      </c>
      <c r="J27" s="100">
        <f t="shared" si="25"/>
        <v>0.11318166731316007</v>
      </c>
      <c r="K27" s="234">
        <v>40375</v>
      </c>
      <c r="L27" s="100">
        <f t="shared" si="26"/>
        <v>0.16145672959646815</v>
      </c>
      <c r="M27" s="105">
        <f t="shared" si="27"/>
        <v>68678</v>
      </c>
      <c r="N27" s="100">
        <f t="shared" si="28"/>
        <v>0.27463839690962821</v>
      </c>
      <c r="O27" s="234">
        <v>5644</v>
      </c>
      <c r="P27" s="100">
        <f t="shared" si="29"/>
        <v>2.2569951253064179E-2</v>
      </c>
      <c r="Q27" s="234"/>
      <c r="R27" s="100">
        <f t="shared" si="30"/>
        <v>0</v>
      </c>
      <c r="S27" s="105">
        <f t="shared" si="31"/>
        <v>5644</v>
      </c>
      <c r="T27" s="100">
        <f t="shared" si="32"/>
        <v>2.2569951253064179E-2</v>
      </c>
      <c r="U27" s="234">
        <v>31765</v>
      </c>
      <c r="V27" s="100">
        <f t="shared" si="33"/>
        <v>0.12702595704351233</v>
      </c>
      <c r="W27" s="234">
        <v>3026</v>
      </c>
      <c r="X27" s="100">
        <f t="shared" si="34"/>
        <v>1.2100756997124771E-2</v>
      </c>
      <c r="Y27" s="234">
        <v>25579</v>
      </c>
      <c r="Z27" s="100">
        <f t="shared" si="35"/>
        <v>0.10228858665877545</v>
      </c>
      <c r="AA27" s="234">
        <v>22805</v>
      </c>
      <c r="AB27" s="100">
        <f t="shared" si="36"/>
        <v>9.1195559590029868E-2</v>
      </c>
      <c r="AC27" s="105">
        <f t="shared" si="37"/>
        <v>48384</v>
      </c>
      <c r="AD27" s="100">
        <f t="shared" si="38"/>
        <v>0.19348414624880533</v>
      </c>
      <c r="AE27" s="234">
        <v>24261</v>
      </c>
      <c r="AF27" s="100">
        <f t="shared" si="39"/>
        <v>9.7017999176220768E-2</v>
      </c>
      <c r="AG27" s="234">
        <v>16919</v>
      </c>
      <c r="AH27" s="100">
        <f t="shared" si="40"/>
        <v>6.7657867691458692E-2</v>
      </c>
      <c r="AI27" s="234">
        <v>25488</v>
      </c>
      <c r="AJ27" s="100">
        <f t="shared" si="41"/>
        <v>0.10192468418463851</v>
      </c>
      <c r="AK27" s="234">
        <v>25902</v>
      </c>
      <c r="AL27" s="100">
        <f t="shared" si="42"/>
        <v>0.10358024049554719</v>
      </c>
    </row>
    <row r="28" spans="2:38" ht="14.25">
      <c r="B28" s="97"/>
      <c r="C28" s="83"/>
      <c r="D28" s="355">
        <f t="shared" si="21"/>
        <v>46252</v>
      </c>
      <c r="E28" s="355" t="s">
        <v>446</v>
      </c>
      <c r="F28" s="87">
        <f t="shared" si="20"/>
        <v>265246</v>
      </c>
      <c r="G28" s="301">
        <f>SUM(F28:F34)</f>
        <v>1650500</v>
      </c>
      <c r="H28" s="341"/>
      <c r="I28" s="234">
        <v>28758</v>
      </c>
      <c r="J28" s="100">
        <f t="shared" si="25"/>
        <v>0.10842010812604148</v>
      </c>
      <c r="K28" s="234">
        <v>40302</v>
      </c>
      <c r="L28" s="100">
        <f t="shared" si="26"/>
        <v>0.15194197084970179</v>
      </c>
      <c r="M28" s="105">
        <f t="shared" si="27"/>
        <v>69060</v>
      </c>
      <c r="N28" s="100">
        <f t="shared" si="28"/>
        <v>0.26036207897574326</v>
      </c>
      <c r="O28" s="234">
        <v>5705</v>
      </c>
      <c r="P28" s="100">
        <f t="shared" si="29"/>
        <v>2.1508335658219163E-2</v>
      </c>
      <c r="Q28" s="234"/>
      <c r="R28" s="100">
        <f t="shared" si="30"/>
        <v>0</v>
      </c>
      <c r="S28" s="105">
        <f t="shared" si="31"/>
        <v>5705</v>
      </c>
      <c r="T28" s="100">
        <f t="shared" si="32"/>
        <v>2.1508335658219163E-2</v>
      </c>
      <c r="U28" s="234">
        <v>38922</v>
      </c>
      <c r="V28" s="100">
        <f t="shared" si="33"/>
        <v>0.14673925337234114</v>
      </c>
      <c r="W28" s="234">
        <v>2271</v>
      </c>
      <c r="X28" s="100">
        <f t="shared" si="34"/>
        <v>8.5618633268739214E-3</v>
      </c>
      <c r="Y28" s="234">
        <v>29026</v>
      </c>
      <c r="Z28" s="100">
        <f t="shared" si="35"/>
        <v>0.10943049094048543</v>
      </c>
      <c r="AA28" s="234">
        <v>22545</v>
      </c>
      <c r="AB28" s="100">
        <f t="shared" si="36"/>
        <v>8.4996569222533042E-2</v>
      </c>
      <c r="AC28" s="105">
        <f t="shared" si="37"/>
        <v>51571</v>
      </c>
      <c r="AD28" s="100">
        <f t="shared" si="38"/>
        <v>0.19442706016301847</v>
      </c>
      <c r="AE28" s="234">
        <v>29689</v>
      </c>
      <c r="AF28" s="100">
        <f t="shared" si="39"/>
        <v>0.11193005738069566</v>
      </c>
      <c r="AG28" s="234">
        <v>18929</v>
      </c>
      <c r="AH28" s="100">
        <f t="shared" si="40"/>
        <v>7.1363941397796768E-2</v>
      </c>
      <c r="AI28" s="234">
        <v>25985</v>
      </c>
      <c r="AJ28" s="100">
        <f t="shared" si="41"/>
        <v>9.796566206464942E-2</v>
      </c>
      <c r="AK28" s="234">
        <v>23114</v>
      </c>
      <c r="AL28" s="100">
        <f t="shared" si="42"/>
        <v>8.7141747660662183E-2</v>
      </c>
    </row>
    <row r="29" spans="2:38" ht="14.25">
      <c r="B29" s="97"/>
      <c r="C29" s="83"/>
      <c r="D29" s="355">
        <f t="shared" si="21"/>
        <v>46253</v>
      </c>
      <c r="E29" s="355" t="s">
        <v>447</v>
      </c>
      <c r="F29" s="87">
        <f t="shared" si="20"/>
        <v>242085</v>
      </c>
      <c r="G29" s="301"/>
      <c r="H29" s="341"/>
      <c r="I29" s="234">
        <v>28274</v>
      </c>
      <c r="J29" s="100">
        <f t="shared" si="25"/>
        <v>0.11679368816737923</v>
      </c>
      <c r="K29" s="234">
        <v>38933</v>
      </c>
      <c r="L29" s="100">
        <f t="shared" si="26"/>
        <v>0.16082367763388891</v>
      </c>
      <c r="M29" s="105">
        <f t="shared" si="27"/>
        <v>67207</v>
      </c>
      <c r="N29" s="100">
        <f t="shared" si="28"/>
        <v>0.27761736580126817</v>
      </c>
      <c r="O29" s="234">
        <v>5811</v>
      </c>
      <c r="P29" s="100">
        <f t="shared" si="29"/>
        <v>2.4003965549290539E-2</v>
      </c>
      <c r="Q29" s="234"/>
      <c r="R29" s="100">
        <f t="shared" si="30"/>
        <v>0</v>
      </c>
      <c r="S29" s="105">
        <f t="shared" si="31"/>
        <v>5811</v>
      </c>
      <c r="T29" s="100">
        <f t="shared" si="32"/>
        <v>2.4003965549290539E-2</v>
      </c>
      <c r="U29" s="234">
        <v>32531</v>
      </c>
      <c r="V29" s="100">
        <f t="shared" si="33"/>
        <v>0.13437842080261064</v>
      </c>
      <c r="W29" s="234">
        <v>674</v>
      </c>
      <c r="X29" s="100">
        <f t="shared" si="34"/>
        <v>2.7841460643988681E-3</v>
      </c>
      <c r="Y29" s="234">
        <v>26881</v>
      </c>
      <c r="Z29" s="100">
        <f t="shared" si="35"/>
        <v>0.1110395109155875</v>
      </c>
      <c r="AA29" s="234">
        <v>21000</v>
      </c>
      <c r="AB29" s="100">
        <f t="shared" si="36"/>
        <v>8.6746390730528533E-2</v>
      </c>
      <c r="AC29" s="105">
        <f t="shared" si="37"/>
        <v>47881</v>
      </c>
      <c r="AD29" s="100">
        <f t="shared" si="38"/>
        <v>0.19778590164611604</v>
      </c>
      <c r="AE29" s="234">
        <v>24525</v>
      </c>
      <c r="AF29" s="100">
        <f t="shared" si="39"/>
        <v>0.1013073920317244</v>
      </c>
      <c r="AG29" s="234">
        <v>15494</v>
      </c>
      <c r="AH29" s="100">
        <f t="shared" si="40"/>
        <v>6.4002313237086148E-2</v>
      </c>
      <c r="AI29" s="234">
        <v>26294</v>
      </c>
      <c r="AJ29" s="100">
        <f t="shared" si="41"/>
        <v>0.10861474275564367</v>
      </c>
      <c r="AK29" s="234">
        <v>21668</v>
      </c>
      <c r="AL29" s="100">
        <f t="shared" si="42"/>
        <v>8.9505752111861542E-2</v>
      </c>
    </row>
    <row r="30" spans="2:38" ht="14.25">
      <c r="B30" s="97"/>
      <c r="C30" s="83"/>
      <c r="D30" s="355">
        <f t="shared" si="21"/>
        <v>46254</v>
      </c>
      <c r="E30" s="355" t="s">
        <v>448</v>
      </c>
      <c r="F30" s="87">
        <f t="shared" si="20"/>
        <v>229428</v>
      </c>
      <c r="G30" s="301"/>
      <c r="H30" s="341"/>
      <c r="I30" s="234">
        <v>27145</v>
      </c>
      <c r="J30" s="100">
        <f t="shared" si="25"/>
        <v>0.11831598584305315</v>
      </c>
      <c r="K30" s="234">
        <v>35918</v>
      </c>
      <c r="L30" s="100">
        <f t="shared" si="26"/>
        <v>0.15655456177973046</v>
      </c>
      <c r="M30" s="105">
        <f t="shared" si="27"/>
        <v>63063</v>
      </c>
      <c r="N30" s="100">
        <f t="shared" si="28"/>
        <v>0.27487054762278362</v>
      </c>
      <c r="O30" s="234">
        <v>5699</v>
      </c>
      <c r="P30" s="100">
        <f t="shared" si="29"/>
        <v>2.4840036961486827E-2</v>
      </c>
      <c r="Q30" s="234"/>
      <c r="R30" s="100">
        <f t="shared" si="30"/>
        <v>0</v>
      </c>
      <c r="S30" s="105">
        <f t="shared" si="31"/>
        <v>5699</v>
      </c>
      <c r="T30" s="100">
        <f t="shared" si="32"/>
        <v>2.4840036961486827E-2</v>
      </c>
      <c r="U30" s="234">
        <v>29937</v>
      </c>
      <c r="V30" s="100">
        <f t="shared" si="33"/>
        <v>0.13048538103457294</v>
      </c>
      <c r="W30" s="234">
        <v>705</v>
      </c>
      <c r="X30" s="100">
        <f t="shared" si="34"/>
        <v>3.0728594591767351E-3</v>
      </c>
      <c r="Y30" s="234">
        <v>26516</v>
      </c>
      <c r="Z30" s="100">
        <f t="shared" si="35"/>
        <v>0.11557438499224157</v>
      </c>
      <c r="AA30" s="234">
        <v>17393</v>
      </c>
      <c r="AB30" s="100">
        <f t="shared" si="36"/>
        <v>7.5810275990724763E-2</v>
      </c>
      <c r="AC30" s="105">
        <f t="shared" si="37"/>
        <v>43909</v>
      </c>
      <c r="AD30" s="100">
        <f t="shared" si="38"/>
        <v>0.19138466098296633</v>
      </c>
      <c r="AE30" s="234">
        <v>24693</v>
      </c>
      <c r="AF30" s="100">
        <f t="shared" si="39"/>
        <v>0.10762853705737747</v>
      </c>
      <c r="AG30" s="234">
        <v>14604</v>
      </c>
      <c r="AH30" s="100">
        <f t="shared" si="40"/>
        <v>6.365395679690361E-2</v>
      </c>
      <c r="AI30" s="234">
        <v>25371</v>
      </c>
      <c r="AJ30" s="100">
        <f t="shared" si="41"/>
        <v>0.11058371253726659</v>
      </c>
      <c r="AK30" s="234">
        <v>21447</v>
      </c>
      <c r="AL30" s="100">
        <f t="shared" si="42"/>
        <v>9.3480307547465877E-2</v>
      </c>
    </row>
    <row r="31" spans="2:38" ht="14.25">
      <c r="B31" s="97"/>
      <c r="C31" s="83"/>
      <c r="D31" s="355">
        <f t="shared" si="21"/>
        <v>46255</v>
      </c>
      <c r="E31" s="355" t="s">
        <v>449</v>
      </c>
      <c r="F31" s="87">
        <f t="shared" si="20"/>
        <v>195574</v>
      </c>
      <c r="G31" s="301"/>
      <c r="H31" s="341"/>
      <c r="I31" s="234">
        <v>23557</v>
      </c>
      <c r="J31" s="100">
        <f t="shared" si="25"/>
        <v>0.120450571139313</v>
      </c>
      <c r="K31" s="234">
        <v>33765</v>
      </c>
      <c r="L31" s="100">
        <f t="shared" si="26"/>
        <v>0.17264564819454528</v>
      </c>
      <c r="M31" s="105">
        <f t="shared" si="27"/>
        <v>57322</v>
      </c>
      <c r="N31" s="100">
        <f t="shared" si="28"/>
        <v>0.29309621933385827</v>
      </c>
      <c r="O31" s="234">
        <v>4665</v>
      </c>
      <c r="P31" s="100">
        <f t="shared" si="29"/>
        <v>2.3852863877611544E-2</v>
      </c>
      <c r="Q31" s="234"/>
      <c r="R31" s="100">
        <f t="shared" si="30"/>
        <v>0</v>
      </c>
      <c r="S31" s="105">
        <f t="shared" si="31"/>
        <v>4665</v>
      </c>
      <c r="T31" s="100">
        <f t="shared" si="32"/>
        <v>2.3852863877611544E-2</v>
      </c>
      <c r="U31" s="234">
        <v>23953</v>
      </c>
      <c r="V31" s="100">
        <f t="shared" si="33"/>
        <v>0.12247538016300735</v>
      </c>
      <c r="W31" s="234">
        <v>441</v>
      </c>
      <c r="X31" s="100">
        <f t="shared" si="34"/>
        <v>2.2549009582050784E-3</v>
      </c>
      <c r="Y31" s="234">
        <v>23288</v>
      </c>
      <c r="Z31" s="100">
        <f t="shared" si="35"/>
        <v>0.11907513268634889</v>
      </c>
      <c r="AA31" s="234">
        <v>18338</v>
      </c>
      <c r="AB31" s="100">
        <f t="shared" si="36"/>
        <v>9.3765019890169443E-2</v>
      </c>
      <c r="AC31" s="105">
        <f t="shared" si="37"/>
        <v>41626</v>
      </c>
      <c r="AD31" s="100">
        <f t="shared" si="38"/>
        <v>0.21284015257651834</v>
      </c>
      <c r="AE31" s="234">
        <v>17167</v>
      </c>
      <c r="AF31" s="100">
        <f t="shared" si="39"/>
        <v>8.7777516438790434E-2</v>
      </c>
      <c r="AG31" s="234">
        <v>10103</v>
      </c>
      <c r="AH31" s="100">
        <f t="shared" si="40"/>
        <v>5.1658195874707269E-2</v>
      </c>
      <c r="AI31" s="234">
        <v>23045</v>
      </c>
      <c r="AJ31" s="100">
        <f t="shared" si="41"/>
        <v>0.117832636239991</v>
      </c>
      <c r="AK31" s="234">
        <v>17252</v>
      </c>
      <c r="AL31" s="100">
        <f t="shared" si="42"/>
        <v>8.821213453731068E-2</v>
      </c>
    </row>
    <row r="32" spans="2:38" s="455" customFormat="1" ht="14.25">
      <c r="B32" s="428"/>
      <c r="C32" s="434"/>
      <c r="D32" s="355">
        <f t="shared" si="21"/>
        <v>46256</v>
      </c>
      <c r="E32" s="355" t="s">
        <v>450</v>
      </c>
      <c r="F32" s="336">
        <f t="shared" si="20"/>
        <v>209261</v>
      </c>
      <c r="G32" s="337"/>
      <c r="H32" s="461"/>
      <c r="I32" s="234">
        <v>21890</v>
      </c>
      <c r="J32" s="100">
        <f t="shared" si="25"/>
        <v>0.10460620947046989</v>
      </c>
      <c r="K32" s="234">
        <v>36396</v>
      </c>
      <c r="L32" s="100">
        <f t="shared" si="26"/>
        <v>0.17392634078973149</v>
      </c>
      <c r="M32" s="105">
        <f t="shared" si="27"/>
        <v>58286</v>
      </c>
      <c r="N32" s="100">
        <f t="shared" si="28"/>
        <v>0.27853255026020135</v>
      </c>
      <c r="O32" s="234">
        <v>4396</v>
      </c>
      <c r="P32" s="100">
        <f t="shared" si="29"/>
        <v>2.1007258877669514E-2</v>
      </c>
      <c r="Q32" s="234"/>
      <c r="R32" s="100">
        <f t="shared" si="30"/>
        <v>0</v>
      </c>
      <c r="S32" s="105">
        <f t="shared" si="31"/>
        <v>4396</v>
      </c>
      <c r="T32" s="100">
        <f t="shared" si="32"/>
        <v>2.1007258877669514E-2</v>
      </c>
      <c r="U32" s="234">
        <v>27489</v>
      </c>
      <c r="V32" s="100">
        <f t="shared" si="33"/>
        <v>0.13136227008377099</v>
      </c>
      <c r="W32" s="234">
        <v>0</v>
      </c>
      <c r="X32" s="100">
        <f t="shared" si="34"/>
        <v>0</v>
      </c>
      <c r="Y32" s="234">
        <v>25185</v>
      </c>
      <c r="Z32" s="100">
        <f t="shared" si="35"/>
        <v>0.12035209618610253</v>
      </c>
      <c r="AA32" s="234">
        <v>21459</v>
      </c>
      <c r="AB32" s="100">
        <f t="shared" si="36"/>
        <v>0.1025465805859668</v>
      </c>
      <c r="AC32" s="105">
        <f t="shared" si="37"/>
        <v>46644</v>
      </c>
      <c r="AD32" s="100">
        <f t="shared" si="38"/>
        <v>0.22289867677206934</v>
      </c>
      <c r="AE32" s="234">
        <v>19771</v>
      </c>
      <c r="AF32" s="100">
        <f t="shared" si="39"/>
        <v>9.448009901510554E-2</v>
      </c>
      <c r="AG32" s="234">
        <v>11560</v>
      </c>
      <c r="AH32" s="100">
        <f t="shared" si="40"/>
        <v>5.5242018340732384E-2</v>
      </c>
      <c r="AI32" s="234">
        <v>23529</v>
      </c>
      <c r="AJ32" s="100">
        <f t="shared" si="41"/>
        <v>0.11243853369715331</v>
      </c>
      <c r="AK32" s="234">
        <v>17586</v>
      </c>
      <c r="AL32" s="100">
        <f t="shared" si="42"/>
        <v>8.4038592953297561E-2</v>
      </c>
    </row>
    <row r="33" spans="2:38" s="455" customFormat="1" ht="14.25">
      <c r="B33" s="428"/>
      <c r="C33" s="434"/>
      <c r="D33" s="355">
        <f t="shared" si="21"/>
        <v>46257</v>
      </c>
      <c r="E33" s="355" t="s">
        <v>451</v>
      </c>
      <c r="F33" s="336">
        <f t="shared" si="20"/>
        <v>257066</v>
      </c>
      <c r="G33" s="337"/>
      <c r="H33" s="461"/>
      <c r="I33" s="234">
        <v>27043</v>
      </c>
      <c r="J33" s="100">
        <f t="shared" si="25"/>
        <v>0.10519866493429703</v>
      </c>
      <c r="K33" s="234">
        <v>38878</v>
      </c>
      <c r="L33" s="100">
        <f t="shared" si="26"/>
        <v>0.15123742540826091</v>
      </c>
      <c r="M33" s="105">
        <f t="shared" si="27"/>
        <v>65921</v>
      </c>
      <c r="N33" s="100">
        <f t="shared" si="28"/>
        <v>0.25643609034255793</v>
      </c>
      <c r="O33" s="234">
        <v>5691</v>
      </c>
      <c r="P33" s="100">
        <f t="shared" si="29"/>
        <v>2.213828355363992E-2</v>
      </c>
      <c r="Q33" s="234"/>
      <c r="R33" s="100">
        <f t="shared" si="30"/>
        <v>0</v>
      </c>
      <c r="S33" s="105">
        <f t="shared" si="31"/>
        <v>5691</v>
      </c>
      <c r="T33" s="100">
        <f t="shared" si="32"/>
        <v>2.213828355363992E-2</v>
      </c>
      <c r="U33" s="234">
        <v>37510</v>
      </c>
      <c r="V33" s="100">
        <f t="shared" si="33"/>
        <v>0.14591583484397003</v>
      </c>
      <c r="W33" s="234">
        <v>0</v>
      </c>
      <c r="X33" s="100">
        <f t="shared" si="34"/>
        <v>0</v>
      </c>
      <c r="Y33" s="234">
        <v>30866</v>
      </c>
      <c r="Z33" s="100">
        <f t="shared" si="35"/>
        <v>0.12007033213260408</v>
      </c>
      <c r="AA33" s="234">
        <v>23899</v>
      </c>
      <c r="AB33" s="100">
        <f t="shared" si="36"/>
        <v>9.2968342760225003E-2</v>
      </c>
      <c r="AC33" s="105">
        <f t="shared" si="37"/>
        <v>54765</v>
      </c>
      <c r="AD33" s="100">
        <f t="shared" si="38"/>
        <v>0.21303867489282907</v>
      </c>
      <c r="AE33" s="234">
        <v>28722</v>
      </c>
      <c r="AF33" s="100">
        <f t="shared" si="39"/>
        <v>0.11173006154061603</v>
      </c>
      <c r="AG33" s="234">
        <v>16760</v>
      </c>
      <c r="AH33" s="100">
        <f t="shared" si="40"/>
        <v>6.5197264515727479E-2</v>
      </c>
      <c r="AI33" s="234">
        <v>25044</v>
      </c>
      <c r="AJ33" s="100">
        <f t="shared" si="41"/>
        <v>9.7422451821711151E-2</v>
      </c>
      <c r="AK33" s="234">
        <v>22653</v>
      </c>
      <c r="AL33" s="100">
        <f t="shared" si="42"/>
        <v>8.8121338488948361E-2</v>
      </c>
    </row>
    <row r="34" spans="2:38" s="455" customFormat="1" ht="14.25">
      <c r="B34" s="428"/>
      <c r="C34" s="434"/>
      <c r="D34" s="355">
        <f t="shared" si="21"/>
        <v>46258</v>
      </c>
      <c r="E34" s="355" t="s">
        <v>445</v>
      </c>
      <c r="F34" s="336">
        <f t="shared" si="20"/>
        <v>251840</v>
      </c>
      <c r="G34" s="337"/>
      <c r="H34" s="461"/>
      <c r="I34" s="234">
        <v>26275</v>
      </c>
      <c r="J34" s="100">
        <f t="shared" si="25"/>
        <v>0.10433211562897078</v>
      </c>
      <c r="K34" s="234">
        <v>41622</v>
      </c>
      <c r="L34" s="100">
        <f t="shared" si="26"/>
        <v>0.16527160101651842</v>
      </c>
      <c r="M34" s="105">
        <f t="shared" si="27"/>
        <v>67897</v>
      </c>
      <c r="N34" s="100">
        <f t="shared" si="28"/>
        <v>0.26960371664548921</v>
      </c>
      <c r="O34" s="234">
        <v>5429</v>
      </c>
      <c r="P34" s="100">
        <f t="shared" si="29"/>
        <v>2.1557337992376111E-2</v>
      </c>
      <c r="Q34" s="234"/>
      <c r="R34" s="100">
        <f t="shared" si="30"/>
        <v>0</v>
      </c>
      <c r="S34" s="105">
        <f t="shared" si="31"/>
        <v>5429</v>
      </c>
      <c r="T34" s="100">
        <f t="shared" si="32"/>
        <v>2.1557337992376111E-2</v>
      </c>
      <c r="U34" s="234">
        <v>34902</v>
      </c>
      <c r="V34" s="100">
        <f t="shared" si="33"/>
        <v>0.13858799237611183</v>
      </c>
      <c r="W34" s="234">
        <v>0</v>
      </c>
      <c r="X34" s="100">
        <f t="shared" si="34"/>
        <v>0</v>
      </c>
      <c r="Y34" s="234">
        <v>29351</v>
      </c>
      <c r="Z34" s="100">
        <f t="shared" si="35"/>
        <v>0.11654621982210928</v>
      </c>
      <c r="AA34" s="234">
        <v>24072</v>
      </c>
      <c r="AB34" s="100">
        <f t="shared" si="36"/>
        <v>9.5584498094027956E-2</v>
      </c>
      <c r="AC34" s="105">
        <f t="shared" si="37"/>
        <v>53423</v>
      </c>
      <c r="AD34" s="100">
        <f t="shared" si="38"/>
        <v>0.21213071791613722</v>
      </c>
      <c r="AE34" s="234">
        <v>25652</v>
      </c>
      <c r="AF34" s="100">
        <f t="shared" si="39"/>
        <v>0.10185832274459974</v>
      </c>
      <c r="AG34" s="234">
        <v>15793</v>
      </c>
      <c r="AH34" s="100">
        <f t="shared" si="40"/>
        <v>6.2710451080050827E-2</v>
      </c>
      <c r="AI34" s="234">
        <v>22877</v>
      </c>
      <c r="AJ34" s="100">
        <f t="shared" si="41"/>
        <v>9.0839421855146124E-2</v>
      </c>
      <c r="AK34" s="234">
        <v>25867</v>
      </c>
      <c r="AL34" s="100">
        <f t="shared" si="42"/>
        <v>0.10271203939008895</v>
      </c>
    </row>
    <row r="35" spans="2:38" s="455" customFormat="1" ht="14.25">
      <c r="B35" s="428"/>
      <c r="C35" s="434"/>
      <c r="D35" s="299">
        <f t="shared" si="21"/>
        <v>46259</v>
      </c>
      <c r="E35" s="299" t="s">
        <v>446</v>
      </c>
      <c r="F35" s="336">
        <f t="shared" si="20"/>
        <v>0</v>
      </c>
      <c r="G35" s="337">
        <f>SUM(F35:F41)</f>
        <v>0</v>
      </c>
      <c r="H35" s="461"/>
      <c r="I35" s="234"/>
      <c r="J35" s="100" t="e">
        <f t="shared" si="25"/>
        <v>#DIV/0!</v>
      </c>
      <c r="K35" s="234"/>
      <c r="L35" s="100" t="e">
        <f t="shared" si="26"/>
        <v>#DIV/0!</v>
      </c>
      <c r="M35" s="105">
        <f t="shared" ref="M35:M36" si="43">SUM(I35+K35)</f>
        <v>0</v>
      </c>
      <c r="N35" s="100" t="e">
        <f t="shared" si="28"/>
        <v>#DIV/0!</v>
      </c>
      <c r="O35" s="234"/>
      <c r="P35" s="100" t="e">
        <f t="shared" si="29"/>
        <v>#DIV/0!</v>
      </c>
      <c r="Q35" s="234"/>
      <c r="R35" s="100" t="e">
        <f t="shared" si="30"/>
        <v>#DIV/0!</v>
      </c>
      <c r="S35" s="105">
        <f t="shared" si="31"/>
        <v>0</v>
      </c>
      <c r="T35" s="100" t="e">
        <f t="shared" si="32"/>
        <v>#DIV/0!</v>
      </c>
      <c r="U35" s="234"/>
      <c r="V35" s="100" t="e">
        <f t="shared" si="33"/>
        <v>#DIV/0!</v>
      </c>
      <c r="W35" s="234"/>
      <c r="X35" s="100" t="e">
        <f t="shared" si="34"/>
        <v>#DIV/0!</v>
      </c>
      <c r="Y35" s="234"/>
      <c r="Z35" s="100" t="e">
        <f t="shared" si="35"/>
        <v>#DIV/0!</v>
      </c>
      <c r="AA35" s="234"/>
      <c r="AB35" s="100" t="e">
        <f t="shared" si="36"/>
        <v>#DIV/0!</v>
      </c>
      <c r="AC35" s="105">
        <f t="shared" si="37"/>
        <v>0</v>
      </c>
      <c r="AD35" s="100" t="e">
        <f t="shared" si="38"/>
        <v>#DIV/0!</v>
      </c>
      <c r="AE35" s="234"/>
      <c r="AF35" s="100" t="e">
        <f t="shared" si="39"/>
        <v>#DIV/0!</v>
      </c>
      <c r="AG35" s="234"/>
      <c r="AH35" s="100" t="e">
        <f t="shared" si="40"/>
        <v>#DIV/0!</v>
      </c>
      <c r="AI35" s="234"/>
      <c r="AJ35" s="100" t="e">
        <f t="shared" si="41"/>
        <v>#DIV/0!</v>
      </c>
      <c r="AK35" s="234"/>
      <c r="AL35" s="100" t="e">
        <f t="shared" si="42"/>
        <v>#DIV/0!</v>
      </c>
    </row>
    <row r="36" spans="2:38" s="455" customFormat="1" ht="14.25">
      <c r="B36" s="428"/>
      <c r="C36" s="434"/>
      <c r="D36" s="299">
        <f t="shared" si="21"/>
        <v>46260</v>
      </c>
      <c r="E36" s="299" t="s">
        <v>447</v>
      </c>
      <c r="F36" s="336">
        <f t="shared" si="20"/>
        <v>0</v>
      </c>
      <c r="G36" s="337"/>
      <c r="H36" s="461"/>
      <c r="I36" s="234"/>
      <c r="J36" s="100" t="e">
        <f t="shared" si="25"/>
        <v>#DIV/0!</v>
      </c>
      <c r="K36" s="234"/>
      <c r="L36" s="100" t="e">
        <f t="shared" si="26"/>
        <v>#DIV/0!</v>
      </c>
      <c r="M36" s="105">
        <f t="shared" si="43"/>
        <v>0</v>
      </c>
      <c r="N36" s="100" t="e">
        <f t="shared" si="28"/>
        <v>#DIV/0!</v>
      </c>
      <c r="O36" s="234"/>
      <c r="P36" s="100" t="e">
        <f t="shared" si="29"/>
        <v>#DIV/0!</v>
      </c>
      <c r="Q36" s="234"/>
      <c r="R36" s="100" t="e">
        <f t="shared" si="30"/>
        <v>#DIV/0!</v>
      </c>
      <c r="S36" s="105">
        <f t="shared" si="31"/>
        <v>0</v>
      </c>
      <c r="T36" s="100" t="e">
        <f t="shared" si="32"/>
        <v>#DIV/0!</v>
      </c>
      <c r="U36" s="234"/>
      <c r="V36" s="100" t="e">
        <f t="shared" si="33"/>
        <v>#DIV/0!</v>
      </c>
      <c r="W36" s="234"/>
      <c r="X36" s="100" t="e">
        <f t="shared" si="34"/>
        <v>#DIV/0!</v>
      </c>
      <c r="Y36" s="234"/>
      <c r="Z36" s="100" t="e">
        <f t="shared" si="35"/>
        <v>#DIV/0!</v>
      </c>
      <c r="AA36" s="234"/>
      <c r="AB36" s="100" t="e">
        <f t="shared" si="36"/>
        <v>#DIV/0!</v>
      </c>
      <c r="AC36" s="105">
        <f t="shared" si="37"/>
        <v>0</v>
      </c>
      <c r="AD36" s="100" t="e">
        <f t="shared" si="38"/>
        <v>#DIV/0!</v>
      </c>
      <c r="AE36" s="234"/>
      <c r="AF36" s="100" t="e">
        <f t="shared" si="39"/>
        <v>#DIV/0!</v>
      </c>
      <c r="AG36" s="234"/>
      <c r="AH36" s="100" t="e">
        <f t="shared" si="40"/>
        <v>#DIV/0!</v>
      </c>
      <c r="AI36" s="234"/>
      <c r="AJ36" s="100" t="e">
        <f t="shared" si="41"/>
        <v>#DIV/0!</v>
      </c>
      <c r="AK36" s="234"/>
      <c r="AL36" s="100" t="e">
        <f t="shared" si="42"/>
        <v>#DIV/0!</v>
      </c>
    </row>
    <row r="37" spans="2:38" s="455" customFormat="1" ht="14.25">
      <c r="B37" s="428"/>
      <c r="C37" s="434"/>
      <c r="D37" s="299">
        <f>D36+1</f>
        <v>46261</v>
      </c>
      <c r="E37" s="299" t="s">
        <v>448</v>
      </c>
      <c r="F37" s="336">
        <f t="shared" si="20"/>
        <v>0</v>
      </c>
      <c r="G37" s="337"/>
      <c r="H37" s="461"/>
      <c r="I37" s="234"/>
      <c r="J37" s="100" t="e">
        <f t="shared" si="25"/>
        <v>#DIV/0!</v>
      </c>
      <c r="K37" s="234"/>
      <c r="L37" s="100" t="e">
        <f t="shared" si="26"/>
        <v>#DIV/0!</v>
      </c>
      <c r="M37" s="105">
        <f t="shared" ref="M37:M38" si="44">SUM(I37+K37)</f>
        <v>0</v>
      </c>
      <c r="N37" s="100" t="e">
        <f t="shared" si="28"/>
        <v>#DIV/0!</v>
      </c>
      <c r="O37" s="234"/>
      <c r="P37" s="100" t="e">
        <f t="shared" si="29"/>
        <v>#DIV/0!</v>
      </c>
      <c r="Q37" s="234"/>
      <c r="R37" s="100" t="e">
        <f t="shared" si="30"/>
        <v>#DIV/0!</v>
      </c>
      <c r="S37" s="105">
        <f t="shared" si="31"/>
        <v>0</v>
      </c>
      <c r="T37" s="100" t="e">
        <f t="shared" si="32"/>
        <v>#DIV/0!</v>
      </c>
      <c r="U37" s="234"/>
      <c r="V37" s="100" t="e">
        <f t="shared" si="33"/>
        <v>#DIV/0!</v>
      </c>
      <c r="W37" s="234"/>
      <c r="X37" s="100" t="e">
        <f t="shared" si="34"/>
        <v>#DIV/0!</v>
      </c>
      <c r="Y37" s="234"/>
      <c r="Z37" s="100" t="e">
        <f t="shared" si="35"/>
        <v>#DIV/0!</v>
      </c>
      <c r="AA37" s="234"/>
      <c r="AB37" s="100" t="e">
        <f t="shared" si="36"/>
        <v>#DIV/0!</v>
      </c>
      <c r="AC37" s="105">
        <f t="shared" si="37"/>
        <v>0</v>
      </c>
      <c r="AD37" s="100" t="e">
        <f t="shared" si="38"/>
        <v>#DIV/0!</v>
      </c>
      <c r="AE37" s="234"/>
      <c r="AF37" s="100" t="e">
        <f t="shared" si="39"/>
        <v>#DIV/0!</v>
      </c>
      <c r="AG37" s="234"/>
      <c r="AH37" s="100" t="e">
        <f t="shared" si="40"/>
        <v>#DIV/0!</v>
      </c>
      <c r="AI37" s="234"/>
      <c r="AJ37" s="100" t="e">
        <f t="shared" si="41"/>
        <v>#DIV/0!</v>
      </c>
      <c r="AK37" s="234"/>
      <c r="AL37" s="100" t="e">
        <f t="shared" si="42"/>
        <v>#DIV/0!</v>
      </c>
    </row>
    <row r="38" spans="2:38" s="455" customFormat="1" ht="14.25">
      <c r="B38" s="428"/>
      <c r="C38" s="434"/>
      <c r="D38" s="299">
        <f t="shared" ref="D38:D41" si="45">D37+1</f>
        <v>46262</v>
      </c>
      <c r="E38" s="299" t="s">
        <v>449</v>
      </c>
      <c r="F38" s="336">
        <f t="shared" si="20"/>
        <v>0</v>
      </c>
      <c r="G38" s="337"/>
      <c r="H38" s="461"/>
      <c r="I38" s="234"/>
      <c r="J38" s="100" t="e">
        <f t="shared" si="25"/>
        <v>#DIV/0!</v>
      </c>
      <c r="K38" s="234"/>
      <c r="L38" s="100" t="e">
        <f t="shared" si="26"/>
        <v>#DIV/0!</v>
      </c>
      <c r="M38" s="105">
        <f t="shared" si="44"/>
        <v>0</v>
      </c>
      <c r="N38" s="100" t="e">
        <f t="shared" si="28"/>
        <v>#DIV/0!</v>
      </c>
      <c r="O38" s="234"/>
      <c r="P38" s="100" t="e">
        <f t="shared" si="29"/>
        <v>#DIV/0!</v>
      </c>
      <c r="Q38" s="234"/>
      <c r="R38" s="100" t="e">
        <f t="shared" si="30"/>
        <v>#DIV/0!</v>
      </c>
      <c r="S38" s="105">
        <f t="shared" si="31"/>
        <v>0</v>
      </c>
      <c r="T38" s="100" t="e">
        <f t="shared" si="32"/>
        <v>#DIV/0!</v>
      </c>
      <c r="U38" s="234"/>
      <c r="V38" s="100" t="e">
        <f t="shared" si="33"/>
        <v>#DIV/0!</v>
      </c>
      <c r="W38" s="234"/>
      <c r="X38" s="100" t="e">
        <f t="shared" si="34"/>
        <v>#DIV/0!</v>
      </c>
      <c r="Y38" s="234"/>
      <c r="Z38" s="100" t="e">
        <f t="shared" si="35"/>
        <v>#DIV/0!</v>
      </c>
      <c r="AA38" s="234"/>
      <c r="AB38" s="100" t="e">
        <f t="shared" si="36"/>
        <v>#DIV/0!</v>
      </c>
      <c r="AC38" s="105">
        <f t="shared" si="37"/>
        <v>0</v>
      </c>
      <c r="AD38" s="100" t="e">
        <f t="shared" si="38"/>
        <v>#DIV/0!</v>
      </c>
      <c r="AE38" s="234"/>
      <c r="AF38" s="100" t="e">
        <f t="shared" si="39"/>
        <v>#DIV/0!</v>
      </c>
      <c r="AG38" s="234"/>
      <c r="AH38" s="100" t="e">
        <f t="shared" si="40"/>
        <v>#DIV/0!</v>
      </c>
      <c r="AI38" s="234"/>
      <c r="AJ38" s="100" t="e">
        <f t="shared" si="41"/>
        <v>#DIV/0!</v>
      </c>
      <c r="AK38" s="234"/>
      <c r="AL38" s="100" t="e">
        <f t="shared" si="42"/>
        <v>#DIV/0!</v>
      </c>
    </row>
    <row r="39" spans="2:38" s="339" customFormat="1" ht="14.25">
      <c r="B39" s="334"/>
      <c r="C39" s="335"/>
      <c r="D39" s="299">
        <f t="shared" si="45"/>
        <v>46263</v>
      </c>
      <c r="E39" s="299" t="s">
        <v>450</v>
      </c>
      <c r="F39" s="336">
        <f t="shared" si="20"/>
        <v>0</v>
      </c>
      <c r="G39" s="337"/>
      <c r="H39" s="341"/>
      <c r="I39" s="234"/>
      <c r="J39" s="100" t="e">
        <f t="shared" si="25"/>
        <v>#DIV/0!</v>
      </c>
      <c r="K39" s="234"/>
      <c r="L39" s="100" t="e">
        <f t="shared" si="26"/>
        <v>#DIV/0!</v>
      </c>
      <c r="M39" s="105">
        <f t="shared" si="27"/>
        <v>0</v>
      </c>
      <c r="N39" s="100" t="e">
        <f t="shared" si="28"/>
        <v>#DIV/0!</v>
      </c>
      <c r="O39" s="234"/>
      <c r="P39" s="100" t="e">
        <f t="shared" si="29"/>
        <v>#DIV/0!</v>
      </c>
      <c r="Q39" s="234"/>
      <c r="R39" s="100" t="e">
        <f t="shared" si="30"/>
        <v>#DIV/0!</v>
      </c>
      <c r="S39" s="105">
        <f t="shared" si="31"/>
        <v>0</v>
      </c>
      <c r="T39" s="100" t="e">
        <f t="shared" si="32"/>
        <v>#DIV/0!</v>
      </c>
      <c r="U39" s="234"/>
      <c r="V39" s="100" t="e">
        <f t="shared" si="33"/>
        <v>#DIV/0!</v>
      </c>
      <c r="W39" s="234"/>
      <c r="X39" s="100" t="e">
        <f t="shared" si="34"/>
        <v>#DIV/0!</v>
      </c>
      <c r="Y39" s="234"/>
      <c r="Z39" s="100" t="e">
        <f t="shared" si="35"/>
        <v>#DIV/0!</v>
      </c>
      <c r="AA39" s="234"/>
      <c r="AB39" s="100" t="e">
        <f t="shared" si="36"/>
        <v>#DIV/0!</v>
      </c>
      <c r="AC39" s="105">
        <f t="shared" si="37"/>
        <v>0</v>
      </c>
      <c r="AD39" s="100" t="e">
        <f t="shared" si="38"/>
        <v>#DIV/0!</v>
      </c>
      <c r="AE39" s="234"/>
      <c r="AF39" s="100" t="e">
        <f t="shared" si="39"/>
        <v>#DIV/0!</v>
      </c>
      <c r="AG39" s="234"/>
      <c r="AH39" s="100" t="e">
        <f t="shared" si="40"/>
        <v>#DIV/0!</v>
      </c>
      <c r="AI39" s="234"/>
      <c r="AJ39" s="100" t="e">
        <f t="shared" si="41"/>
        <v>#DIV/0!</v>
      </c>
      <c r="AK39" s="234"/>
      <c r="AL39" s="100" t="e">
        <f t="shared" si="42"/>
        <v>#DIV/0!</v>
      </c>
    </row>
    <row r="40" spans="2:38" ht="14.25">
      <c r="B40" s="97"/>
      <c r="C40" s="83"/>
      <c r="D40" s="299">
        <f t="shared" si="45"/>
        <v>46264</v>
      </c>
      <c r="E40" s="299" t="s">
        <v>451</v>
      </c>
      <c r="F40" s="87">
        <f t="shared" si="20"/>
        <v>0</v>
      </c>
      <c r="G40" s="301"/>
      <c r="H40" s="87"/>
      <c r="I40" s="234"/>
      <c r="J40" s="100" t="e">
        <f t="shared" si="25"/>
        <v>#DIV/0!</v>
      </c>
      <c r="K40" s="234"/>
      <c r="L40" s="100" t="e">
        <f t="shared" si="26"/>
        <v>#DIV/0!</v>
      </c>
      <c r="M40" s="105">
        <f t="shared" si="27"/>
        <v>0</v>
      </c>
      <c r="N40" s="100" t="e">
        <f t="shared" si="28"/>
        <v>#DIV/0!</v>
      </c>
      <c r="O40" s="234"/>
      <c r="P40" s="100" t="e">
        <f t="shared" si="29"/>
        <v>#DIV/0!</v>
      </c>
      <c r="Q40" s="234"/>
      <c r="R40" s="100" t="e">
        <f t="shared" si="30"/>
        <v>#DIV/0!</v>
      </c>
      <c r="S40" s="105">
        <f t="shared" si="31"/>
        <v>0</v>
      </c>
      <c r="T40" s="100" t="e">
        <f t="shared" si="32"/>
        <v>#DIV/0!</v>
      </c>
      <c r="U40" s="234"/>
      <c r="V40" s="100" t="e">
        <f t="shared" si="33"/>
        <v>#DIV/0!</v>
      </c>
      <c r="W40" s="234"/>
      <c r="X40" s="100" t="e">
        <f t="shared" si="34"/>
        <v>#DIV/0!</v>
      </c>
      <c r="Y40" s="234"/>
      <c r="Z40" s="100" t="e">
        <f t="shared" si="35"/>
        <v>#DIV/0!</v>
      </c>
      <c r="AA40" s="234"/>
      <c r="AB40" s="100" t="e">
        <f t="shared" si="36"/>
        <v>#DIV/0!</v>
      </c>
      <c r="AC40" s="105">
        <f t="shared" si="37"/>
        <v>0</v>
      </c>
      <c r="AD40" s="100" t="e">
        <f t="shared" si="38"/>
        <v>#DIV/0!</v>
      </c>
      <c r="AE40" s="234"/>
      <c r="AF40" s="100" t="e">
        <f t="shared" si="39"/>
        <v>#DIV/0!</v>
      </c>
      <c r="AG40" s="234"/>
      <c r="AH40" s="100" t="e">
        <f t="shared" si="40"/>
        <v>#DIV/0!</v>
      </c>
      <c r="AI40" s="234"/>
      <c r="AJ40" s="100" t="e">
        <f t="shared" si="41"/>
        <v>#DIV/0!</v>
      </c>
      <c r="AK40" s="234"/>
      <c r="AL40" s="100" t="e">
        <f t="shared" si="42"/>
        <v>#DIV/0!</v>
      </c>
    </row>
    <row r="41" spans="2:38" ht="14.25">
      <c r="B41" s="97"/>
      <c r="C41" s="83"/>
      <c r="D41" s="299">
        <f t="shared" si="45"/>
        <v>46265</v>
      </c>
      <c r="E41" s="299" t="s">
        <v>445</v>
      </c>
      <c r="F41" s="87">
        <f t="shared" si="20"/>
        <v>0</v>
      </c>
      <c r="G41" s="301"/>
      <c r="H41" s="87"/>
      <c r="I41" s="234"/>
      <c r="J41" s="100" t="e">
        <f t="shared" si="25"/>
        <v>#DIV/0!</v>
      </c>
      <c r="K41" s="234"/>
      <c r="L41" s="100" t="e">
        <f t="shared" si="26"/>
        <v>#DIV/0!</v>
      </c>
      <c r="M41" s="105">
        <f t="shared" si="27"/>
        <v>0</v>
      </c>
      <c r="N41" s="100" t="e">
        <f t="shared" si="28"/>
        <v>#DIV/0!</v>
      </c>
      <c r="O41" s="234"/>
      <c r="P41" s="100" t="e">
        <f t="shared" si="29"/>
        <v>#DIV/0!</v>
      </c>
      <c r="Q41" s="234"/>
      <c r="R41" s="100" t="e">
        <f t="shared" si="30"/>
        <v>#DIV/0!</v>
      </c>
      <c r="S41" s="105">
        <f t="shared" si="31"/>
        <v>0</v>
      </c>
      <c r="T41" s="100" t="e">
        <f t="shared" si="32"/>
        <v>#DIV/0!</v>
      </c>
      <c r="U41" s="234"/>
      <c r="V41" s="100" t="e">
        <f t="shared" si="33"/>
        <v>#DIV/0!</v>
      </c>
      <c r="W41" s="234"/>
      <c r="X41" s="100" t="e">
        <f t="shared" si="34"/>
        <v>#DIV/0!</v>
      </c>
      <c r="Y41" s="234"/>
      <c r="Z41" s="100" t="e">
        <f t="shared" si="35"/>
        <v>#DIV/0!</v>
      </c>
      <c r="AA41" s="234"/>
      <c r="AB41" s="100" t="e">
        <f t="shared" si="36"/>
        <v>#DIV/0!</v>
      </c>
      <c r="AC41" s="105">
        <f t="shared" si="37"/>
        <v>0</v>
      </c>
      <c r="AD41" s="100" t="e">
        <f t="shared" si="38"/>
        <v>#DIV/0!</v>
      </c>
      <c r="AE41" s="234"/>
      <c r="AF41" s="100" t="e">
        <f t="shared" si="39"/>
        <v>#DIV/0!</v>
      </c>
      <c r="AG41" s="234"/>
      <c r="AH41" s="100" t="e">
        <f t="shared" si="40"/>
        <v>#DIV/0!</v>
      </c>
      <c r="AI41" s="234"/>
      <c r="AJ41" s="100" t="e">
        <f t="shared" si="41"/>
        <v>#DIV/0!</v>
      </c>
      <c r="AK41" s="234"/>
      <c r="AL41" s="100" t="e">
        <f t="shared" si="42"/>
        <v>#DIV/0!</v>
      </c>
    </row>
    <row r="42" spans="2:38" ht="14.25">
      <c r="B42" s="97"/>
      <c r="C42" s="83"/>
      <c r="D42" s="355"/>
      <c r="E42" s="355"/>
      <c r="F42" s="87">
        <f t="shared" si="20"/>
        <v>0</v>
      </c>
      <c r="G42" s="301"/>
      <c r="H42" s="87"/>
      <c r="I42" s="234"/>
      <c r="J42" s="100" t="e">
        <f t="shared" si="25"/>
        <v>#DIV/0!</v>
      </c>
      <c r="K42" s="234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34"/>
      <c r="P42" s="100" t="e">
        <f t="shared" si="29"/>
        <v>#DIV/0!</v>
      </c>
      <c r="Q42" s="234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34"/>
      <c r="V42" s="100" t="e">
        <f t="shared" si="33"/>
        <v>#DIV/0!</v>
      </c>
      <c r="W42" s="234"/>
      <c r="X42" s="100" t="e">
        <f t="shared" si="34"/>
        <v>#DIV/0!</v>
      </c>
      <c r="Y42" s="234"/>
      <c r="Z42" s="100" t="e">
        <f t="shared" si="35"/>
        <v>#DIV/0!</v>
      </c>
      <c r="AA42" s="234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34"/>
      <c r="AF42" s="100" t="e">
        <f t="shared" si="39"/>
        <v>#DIV/0!</v>
      </c>
      <c r="AG42" s="234"/>
      <c r="AH42" s="100" t="e">
        <f t="shared" si="40"/>
        <v>#DIV/0!</v>
      </c>
      <c r="AI42" s="234"/>
      <c r="AJ42" s="100" t="e">
        <f t="shared" si="41"/>
        <v>#DIV/0!</v>
      </c>
      <c r="AK42" s="234"/>
      <c r="AL42" s="100" t="e">
        <f t="shared" si="42"/>
        <v>#DIV/0!</v>
      </c>
    </row>
    <row r="43" spans="2:38" ht="14.25">
      <c r="B43" s="97"/>
      <c r="C43" s="83"/>
      <c r="D43" s="355"/>
      <c r="E43" s="355"/>
      <c r="F43" s="87">
        <f t="shared" ref="F43" si="46">SUM(M43,S43,U43,W43,AC43,AE43,AG43,AI43,AK43)</f>
        <v>0</v>
      </c>
      <c r="G43" s="301"/>
      <c r="H43" s="87"/>
      <c r="I43" s="234"/>
      <c r="J43" s="100" t="e">
        <f t="shared" si="25"/>
        <v>#DIV/0!</v>
      </c>
      <c r="K43" s="234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34"/>
      <c r="P43" s="100" t="e">
        <f t="shared" si="29"/>
        <v>#DIV/0!</v>
      </c>
      <c r="Q43" s="234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34"/>
      <c r="V43" s="100" t="e">
        <f t="shared" si="33"/>
        <v>#DIV/0!</v>
      </c>
      <c r="W43" s="234"/>
      <c r="X43" s="100" t="e">
        <f t="shared" si="34"/>
        <v>#DIV/0!</v>
      </c>
      <c r="Y43" s="234"/>
      <c r="Z43" s="100" t="e">
        <f t="shared" si="35"/>
        <v>#DIV/0!</v>
      </c>
      <c r="AA43" s="234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34"/>
      <c r="AF43" s="100" t="e">
        <f t="shared" si="39"/>
        <v>#DIV/0!</v>
      </c>
      <c r="AG43" s="234"/>
      <c r="AH43" s="100" t="e">
        <f t="shared" si="40"/>
        <v>#DIV/0!</v>
      </c>
      <c r="AI43" s="234"/>
      <c r="AJ43" s="100" t="e">
        <f t="shared" si="41"/>
        <v>#DIV/0!</v>
      </c>
      <c r="AK43" s="234"/>
      <c r="AL43" s="100" t="e">
        <f t="shared" si="42"/>
        <v>#DIV/0!</v>
      </c>
    </row>
    <row r="44" spans="2:38" ht="14.25">
      <c r="B44" s="97"/>
      <c r="C44" s="83"/>
      <c r="D44" s="355"/>
      <c r="E44" s="355"/>
      <c r="F44" s="87">
        <f t="shared" si="20"/>
        <v>0</v>
      </c>
      <c r="G44" s="301"/>
      <c r="H44" s="87"/>
      <c r="I44" s="234"/>
      <c r="J44" s="100" t="e">
        <f t="shared" si="25"/>
        <v>#DIV/0!</v>
      </c>
      <c r="K44" s="234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34"/>
      <c r="P44" s="100" t="e">
        <f t="shared" si="29"/>
        <v>#DIV/0!</v>
      </c>
      <c r="Q44" s="234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34"/>
      <c r="V44" s="100" t="e">
        <f t="shared" si="33"/>
        <v>#DIV/0!</v>
      </c>
      <c r="W44" s="234"/>
      <c r="X44" s="100" t="e">
        <f t="shared" si="34"/>
        <v>#DIV/0!</v>
      </c>
      <c r="Y44" s="234"/>
      <c r="Z44" s="100" t="e">
        <f t="shared" si="35"/>
        <v>#DIV/0!</v>
      </c>
      <c r="AA44" s="234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34"/>
      <c r="AF44" s="100" t="e">
        <f t="shared" si="39"/>
        <v>#DIV/0!</v>
      </c>
      <c r="AG44" s="234"/>
      <c r="AH44" s="100" t="e">
        <f t="shared" si="40"/>
        <v>#DIV/0!</v>
      </c>
      <c r="AI44" s="234"/>
      <c r="AJ44" s="100" t="e">
        <f t="shared" si="41"/>
        <v>#DIV/0!</v>
      </c>
      <c r="AK44" s="234"/>
      <c r="AL44" s="100" t="e">
        <f t="shared" si="42"/>
        <v>#DIV/0!</v>
      </c>
    </row>
    <row r="45" spans="2:38" ht="14.25">
      <c r="B45" s="97"/>
      <c r="C45" s="83"/>
      <c r="D45" s="355"/>
      <c r="E45" s="355"/>
      <c r="F45" s="87">
        <f t="shared" ref="F45:F48" si="47">SUM(M45,S45,U45,W45,AC45,AE45,AG45,AI45,AK45)</f>
        <v>0</v>
      </c>
      <c r="G45" s="301"/>
      <c r="H45" s="87"/>
      <c r="I45" s="234"/>
      <c r="J45" s="100" t="e">
        <f t="shared" si="25"/>
        <v>#DIV/0!</v>
      </c>
      <c r="K45" s="234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34"/>
      <c r="P45" s="100" t="e">
        <f t="shared" si="29"/>
        <v>#DIV/0!</v>
      </c>
      <c r="Q45" s="234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34"/>
      <c r="V45" s="100" t="e">
        <f t="shared" si="33"/>
        <v>#DIV/0!</v>
      </c>
      <c r="W45" s="234"/>
      <c r="X45" s="100" t="e">
        <f t="shared" si="34"/>
        <v>#DIV/0!</v>
      </c>
      <c r="Y45" s="234"/>
      <c r="Z45" s="100" t="e">
        <f t="shared" si="35"/>
        <v>#DIV/0!</v>
      </c>
      <c r="AA45" s="234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34"/>
      <c r="AF45" s="100" t="e">
        <f t="shared" si="39"/>
        <v>#DIV/0!</v>
      </c>
      <c r="AG45" s="234"/>
      <c r="AH45" s="100" t="e">
        <f t="shared" si="40"/>
        <v>#DIV/0!</v>
      </c>
      <c r="AI45" s="234"/>
      <c r="AJ45" s="100" t="e">
        <f t="shared" si="41"/>
        <v>#DIV/0!</v>
      </c>
      <c r="AK45" s="234"/>
      <c r="AL45" s="100" t="e">
        <f t="shared" si="42"/>
        <v>#DIV/0!</v>
      </c>
    </row>
    <row r="46" spans="2:38" ht="14.25">
      <c r="B46" s="97"/>
      <c r="C46" s="83"/>
      <c r="D46" s="355"/>
      <c r="E46" s="355"/>
      <c r="F46" s="87">
        <f t="shared" si="47"/>
        <v>0</v>
      </c>
      <c r="G46" s="301"/>
      <c r="H46" s="87"/>
      <c r="I46" s="234"/>
      <c r="J46" s="100" t="e">
        <f t="shared" si="25"/>
        <v>#DIV/0!</v>
      </c>
      <c r="K46" s="234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34"/>
      <c r="P46" s="100" t="e">
        <f t="shared" si="29"/>
        <v>#DIV/0!</v>
      </c>
      <c r="Q46" s="234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34"/>
      <c r="V46" s="100" t="e">
        <f t="shared" si="33"/>
        <v>#DIV/0!</v>
      </c>
      <c r="W46" s="234"/>
      <c r="X46" s="100" t="e">
        <f t="shared" si="34"/>
        <v>#DIV/0!</v>
      </c>
      <c r="Y46" s="234"/>
      <c r="Z46" s="100" t="e">
        <f t="shared" si="35"/>
        <v>#DIV/0!</v>
      </c>
      <c r="AA46" s="234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34"/>
      <c r="AF46" s="100" t="e">
        <f t="shared" si="39"/>
        <v>#DIV/0!</v>
      </c>
      <c r="AG46" s="234"/>
      <c r="AH46" s="100" t="e">
        <f t="shared" si="40"/>
        <v>#DIV/0!</v>
      </c>
      <c r="AI46" s="234"/>
      <c r="AJ46" s="100" t="e">
        <f t="shared" si="41"/>
        <v>#DIV/0!</v>
      </c>
      <c r="AK46" s="234"/>
      <c r="AL46" s="100" t="e">
        <f t="shared" si="42"/>
        <v>#DIV/0!</v>
      </c>
    </row>
    <row r="47" spans="2:38" ht="14.25">
      <c r="B47" s="97"/>
      <c r="C47" s="83"/>
      <c r="D47" s="355"/>
      <c r="E47" s="355"/>
      <c r="F47" s="87">
        <f t="shared" si="47"/>
        <v>0</v>
      </c>
      <c r="G47" s="301"/>
      <c r="H47" s="87"/>
      <c r="I47" s="234"/>
      <c r="J47" s="100" t="e">
        <f t="shared" si="25"/>
        <v>#DIV/0!</v>
      </c>
      <c r="K47" s="234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34"/>
      <c r="P47" s="100" t="e">
        <f t="shared" si="29"/>
        <v>#DIV/0!</v>
      </c>
      <c r="Q47" s="234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34"/>
      <c r="V47" s="100" t="e">
        <f t="shared" si="33"/>
        <v>#DIV/0!</v>
      </c>
      <c r="W47" s="234"/>
      <c r="X47" s="100" t="e">
        <f t="shared" si="34"/>
        <v>#DIV/0!</v>
      </c>
      <c r="Y47" s="234"/>
      <c r="Z47" s="100" t="e">
        <f t="shared" si="35"/>
        <v>#DIV/0!</v>
      </c>
      <c r="AA47" s="234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34"/>
      <c r="AF47" s="100" t="e">
        <f t="shared" si="39"/>
        <v>#DIV/0!</v>
      </c>
      <c r="AG47" s="234"/>
      <c r="AH47" s="100" t="e">
        <f t="shared" si="40"/>
        <v>#DIV/0!</v>
      </c>
      <c r="AI47" s="234"/>
      <c r="AJ47" s="100" t="e">
        <f t="shared" si="41"/>
        <v>#DIV/0!</v>
      </c>
      <c r="AK47" s="234"/>
      <c r="AL47" s="100" t="e">
        <f t="shared" si="42"/>
        <v>#DIV/0!</v>
      </c>
    </row>
    <row r="48" spans="2:38" ht="14.25">
      <c r="B48" s="97"/>
      <c r="C48" s="83"/>
      <c r="D48" s="355"/>
      <c r="E48" s="355"/>
      <c r="F48" s="87">
        <f t="shared" si="47"/>
        <v>0</v>
      </c>
      <c r="G48" s="301"/>
      <c r="H48" s="87"/>
      <c r="I48" s="234"/>
      <c r="J48" s="100" t="e">
        <f t="shared" si="25"/>
        <v>#DIV/0!</v>
      </c>
      <c r="K48" s="234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34"/>
      <c r="P48" s="100" t="e">
        <f t="shared" si="29"/>
        <v>#DIV/0!</v>
      </c>
      <c r="Q48" s="234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34"/>
      <c r="V48" s="100" t="e">
        <f t="shared" si="33"/>
        <v>#DIV/0!</v>
      </c>
      <c r="W48" s="234"/>
      <c r="X48" s="100" t="e">
        <f t="shared" si="34"/>
        <v>#DIV/0!</v>
      </c>
      <c r="Y48" s="234"/>
      <c r="Z48" s="100" t="e">
        <f t="shared" si="35"/>
        <v>#DIV/0!</v>
      </c>
      <c r="AA48" s="234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34"/>
      <c r="AF48" s="100" t="e">
        <f t="shared" si="39"/>
        <v>#DIV/0!</v>
      </c>
      <c r="AG48" s="234"/>
      <c r="AH48" s="100" t="e">
        <f t="shared" si="40"/>
        <v>#DIV/0!</v>
      </c>
      <c r="AI48" s="234"/>
      <c r="AJ48" s="100" t="e">
        <f t="shared" si="41"/>
        <v>#DIV/0!</v>
      </c>
      <c r="AK48" s="234"/>
      <c r="AL48" s="100" t="e">
        <f t="shared" si="42"/>
        <v>#DIV/0!</v>
      </c>
    </row>
    <row r="49" spans="2:38" ht="14.25">
      <c r="B49" s="97"/>
      <c r="C49" s="83"/>
      <c r="D49" s="355"/>
      <c r="E49" s="355"/>
      <c r="F49" s="87"/>
      <c r="G49" s="301"/>
      <c r="H49" s="87"/>
      <c r="I49" s="234"/>
      <c r="J49" s="100" t="e">
        <f>I49/F49</f>
        <v>#DIV/0!</v>
      </c>
      <c r="K49" s="234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34"/>
      <c r="P49" s="100" t="e">
        <f>O49/F49</f>
        <v>#DIV/0!</v>
      </c>
      <c r="Q49" s="234"/>
      <c r="R49" s="100" t="e">
        <f t="shared" ref="R49" si="48">Q49/F49</f>
        <v>#DIV/0!</v>
      </c>
      <c r="S49" s="105">
        <f t="shared" ref="S49" si="49">SUM(O49+Q49)</f>
        <v>0</v>
      </c>
      <c r="T49" s="100" t="e">
        <f>S49/F49</f>
        <v>#DIV/0!</v>
      </c>
      <c r="U49" s="234"/>
      <c r="V49" s="100" t="e">
        <f>U49/F49</f>
        <v>#DIV/0!</v>
      </c>
      <c r="W49" s="234"/>
      <c r="X49" s="100" t="e">
        <f>W49/F49</f>
        <v>#DIV/0!</v>
      </c>
      <c r="Y49" s="234"/>
      <c r="Z49" s="100" t="e">
        <f>Y49/F49</f>
        <v>#DIV/0!</v>
      </c>
      <c r="AA49" s="234"/>
      <c r="AB49" s="100" t="e">
        <f t="shared" ref="AB49" si="50">AA49/F49</f>
        <v>#DIV/0!</v>
      </c>
      <c r="AC49" s="105">
        <f>SUM(Y49+AA49)</f>
        <v>0</v>
      </c>
      <c r="AD49" s="100" t="e">
        <f>AC49/F49</f>
        <v>#DIV/0!</v>
      </c>
      <c r="AE49" s="234"/>
      <c r="AF49" s="100" t="e">
        <f>AE49/F49</f>
        <v>#DIV/0!</v>
      </c>
      <c r="AG49" s="234"/>
      <c r="AH49" s="100" t="e">
        <f>AG49/F49</f>
        <v>#DIV/0!</v>
      </c>
      <c r="AI49" s="234"/>
      <c r="AJ49" s="100" t="e">
        <f>AI49/F49</f>
        <v>#DIV/0!</v>
      </c>
      <c r="AK49" s="234"/>
      <c r="AL49" s="100" t="e">
        <f>AK49/F49</f>
        <v>#DIV/0!</v>
      </c>
    </row>
    <row r="50" spans="2:38" ht="14.25">
      <c r="B50" s="97"/>
      <c r="C50" s="83"/>
      <c r="D50" s="355"/>
      <c r="E50" s="355"/>
      <c r="F50" s="87"/>
      <c r="G50" s="87"/>
      <c r="H50" s="87"/>
      <c r="I50" s="264">
        <f>SUM(I7:I44)</f>
        <v>742910</v>
      </c>
      <c r="J50" s="263">
        <f>I50/$H$12</f>
        <v>0.11730606744794919</v>
      </c>
      <c r="K50" s="264">
        <f>SUM(K7:K44)</f>
        <v>1069414</v>
      </c>
      <c r="L50" s="263">
        <f>K50/$H$12</f>
        <v>0.16886130327197257</v>
      </c>
      <c r="M50" s="264">
        <f>SUM(M7:M44)</f>
        <v>1812324</v>
      </c>
      <c r="N50" s="263">
        <f>M50/$H$12</f>
        <v>0.28616737071992177</v>
      </c>
      <c r="O50" s="264">
        <f>SUM(O7:O44)</f>
        <v>166042</v>
      </c>
      <c r="P50" s="263">
        <f>O50/$H$12</f>
        <v>2.6218161084374123E-2</v>
      </c>
      <c r="Q50" s="264">
        <f>SUM(Q7:Q44)</f>
        <v>0</v>
      </c>
      <c r="R50" s="263">
        <f>Q50/$H$12</f>
        <v>0</v>
      </c>
      <c r="S50" s="264">
        <f>SUM(S7:S44)</f>
        <v>166042</v>
      </c>
      <c r="T50" s="263">
        <f>S50/$H$12</f>
        <v>2.6218161084374123E-2</v>
      </c>
      <c r="U50" s="264">
        <f>SUM(U7:U44)</f>
        <v>815659</v>
      </c>
      <c r="V50" s="263">
        <f>U50/$H$12</f>
        <v>0.12879319119210508</v>
      </c>
      <c r="W50" s="264">
        <f>SUM(W7:W44)</f>
        <v>58321</v>
      </c>
      <c r="X50" s="263">
        <f>W50/$H$12</f>
        <v>9.2089313101611833E-3</v>
      </c>
      <c r="Y50" s="264">
        <f>SUM(Y7:Y44)</f>
        <v>704223</v>
      </c>
      <c r="Z50" s="263">
        <f>Y50/$H$12</f>
        <v>0.11119736002530202</v>
      </c>
      <c r="AA50" s="264">
        <f>SUM(AA7:AA44)</f>
        <v>604528</v>
      </c>
      <c r="AB50" s="263">
        <f>AA50/$H$12</f>
        <v>9.5455441900329549E-2</v>
      </c>
      <c r="AC50" s="264">
        <f>SUM(AC7:AC44)</f>
        <v>1308751</v>
      </c>
      <c r="AD50" s="263">
        <f>AC50/$H$12</f>
        <v>0.20665280192563157</v>
      </c>
      <c r="AE50" s="264">
        <f>SUM(AE7:AE44)</f>
        <v>620839</v>
      </c>
      <c r="AF50" s="263">
        <f>AE50/$H$12</f>
        <v>9.8030961500474259E-2</v>
      </c>
      <c r="AG50" s="264">
        <f>SUM(AG7:AG44)</f>
        <v>406577</v>
      </c>
      <c r="AH50" s="263">
        <f>AG50/$H$12</f>
        <v>6.4198824870825316E-2</v>
      </c>
      <c r="AI50" s="264">
        <f>SUM(AI7:AI44)</f>
        <v>762399</v>
      </c>
      <c r="AJ50" s="263">
        <f>AI50/$H$12</f>
        <v>0.12038339572256265</v>
      </c>
      <c r="AK50" s="264">
        <f>SUM(AK7:AK44)</f>
        <v>638963</v>
      </c>
      <c r="AL50" s="263">
        <f>AK50/$H$12</f>
        <v>0.10089275521226523</v>
      </c>
    </row>
    <row r="51" spans="2:38" ht="14.25">
      <c r="B51" s="97"/>
      <c r="C51" s="83"/>
      <c r="D51" s="355"/>
      <c r="E51" s="355"/>
      <c r="F51" s="87"/>
      <c r="G51" s="87"/>
      <c r="H51" s="87"/>
      <c r="M51" s="265">
        <f>M50</f>
        <v>1812324</v>
      </c>
      <c r="S51" s="265">
        <f>S50</f>
        <v>166042</v>
      </c>
      <c r="U51" s="265">
        <f>U50</f>
        <v>815659</v>
      </c>
      <c r="W51" s="265">
        <f>W50</f>
        <v>58321</v>
      </c>
      <c r="Y51" s="265"/>
      <c r="AA51" s="265"/>
      <c r="AC51" s="265">
        <f>AC50</f>
        <v>1308751</v>
      </c>
      <c r="AE51" s="265">
        <f>AE50</f>
        <v>620839</v>
      </c>
      <c r="AG51" s="265">
        <f>AG50</f>
        <v>406577</v>
      </c>
      <c r="AI51" s="265">
        <f>AI50</f>
        <v>762399</v>
      </c>
      <c r="AK51" s="265">
        <f>AK50</f>
        <v>638963</v>
      </c>
    </row>
    <row r="52" spans="2:38" ht="14.25">
      <c r="B52" s="97"/>
      <c r="C52" s="83"/>
      <c r="D52" s="355"/>
      <c r="E52" s="355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81" zoomScale="55" zoomScaleNormal="55" workbookViewId="0">
      <pane xSplit="15" topLeftCell="P1" activePane="topRight" state="frozen"/>
      <selection activeCell="T87" activeCellId="6" sqref="AW87:AX101 AR87:AS101 AM87:AN101 AH87:AI101 AC87:AD101 X87:Y101 S87:T101"/>
      <selection pane="topRight" activeCell="T112" sqref="S112:T1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AVERAGE(L7,L42,L77,L112,L147,L182)</f>
        <v>813.32532324897454</v>
      </c>
    </row>
    <row r="2" spans="1:53" ht="15.75">
      <c r="A2" s="81"/>
      <c r="B2" s="669" t="s">
        <v>162</v>
      </c>
      <c r="C2" s="670"/>
      <c r="D2" s="670"/>
      <c r="E2" s="670"/>
      <c r="F2" s="670"/>
      <c r="G2" s="670"/>
      <c r="H2" s="671"/>
      <c r="I2" s="207"/>
      <c r="J2" s="207"/>
      <c r="K2" s="207"/>
      <c r="L2" s="207"/>
      <c r="M2" s="206"/>
      <c r="N2" s="643" t="s">
        <v>156</v>
      </c>
      <c r="O2" s="643" t="s">
        <v>105</v>
      </c>
      <c r="P2" s="668">
        <v>46231</v>
      </c>
      <c r="Q2" s="647"/>
      <c r="R2" s="647"/>
      <c r="S2" s="647"/>
      <c r="T2" s="647"/>
      <c r="U2" s="665">
        <f>P2+1</f>
        <v>46232</v>
      </c>
      <c r="V2" s="666"/>
      <c r="W2" s="666"/>
      <c r="X2" s="666"/>
      <c r="Y2" s="667"/>
      <c r="Z2" s="665">
        <f>U2+1</f>
        <v>46233</v>
      </c>
      <c r="AA2" s="666"/>
      <c r="AB2" s="666"/>
      <c r="AC2" s="666"/>
      <c r="AD2" s="667"/>
      <c r="AE2" s="665">
        <f>Z2+1</f>
        <v>46234</v>
      </c>
      <c r="AF2" s="666"/>
      <c r="AG2" s="666"/>
      <c r="AH2" s="666"/>
      <c r="AI2" s="667"/>
      <c r="AJ2" s="665">
        <f>AE2+1</f>
        <v>46235</v>
      </c>
      <c r="AK2" s="666"/>
      <c r="AL2" s="666"/>
      <c r="AM2" s="666"/>
      <c r="AN2" s="667"/>
      <c r="AO2" s="665">
        <f>AJ2+1</f>
        <v>46236</v>
      </c>
      <c r="AP2" s="666"/>
      <c r="AQ2" s="666"/>
      <c r="AR2" s="666"/>
      <c r="AS2" s="667"/>
      <c r="AT2" s="665">
        <f>AO2+1</f>
        <v>46237</v>
      </c>
      <c r="AU2" s="666"/>
      <c r="AV2" s="666"/>
      <c r="AW2" s="666"/>
      <c r="AX2" s="667"/>
    </row>
    <row r="3" spans="1:53" ht="15.75">
      <c r="A3" s="81"/>
      <c r="B3" s="672"/>
      <c r="C3" s="672"/>
      <c r="D3" s="672"/>
      <c r="E3" s="672"/>
      <c r="F3" s="672"/>
      <c r="G3" s="672"/>
      <c r="H3" s="672"/>
      <c r="I3" s="204"/>
      <c r="J3" s="204"/>
      <c r="K3" s="204"/>
      <c r="L3" s="204"/>
      <c r="M3" s="205"/>
      <c r="N3" s="645"/>
      <c r="O3" s="645"/>
      <c r="P3" s="668" t="s">
        <v>158</v>
      </c>
      <c r="Q3" s="647"/>
      <c r="R3" s="647"/>
      <c r="S3" s="647"/>
      <c r="T3" s="647"/>
      <c r="U3" s="668" t="s">
        <v>114</v>
      </c>
      <c r="V3" s="647"/>
      <c r="W3" s="647"/>
      <c r="X3" s="647"/>
      <c r="Y3" s="647"/>
      <c r="Z3" s="668" t="s">
        <v>159</v>
      </c>
      <c r="AA3" s="647"/>
      <c r="AB3" s="647"/>
      <c r="AC3" s="647"/>
      <c r="AD3" s="647"/>
      <c r="AE3" s="668" t="s">
        <v>157</v>
      </c>
      <c r="AF3" s="647"/>
      <c r="AG3" s="647"/>
      <c r="AH3" s="647"/>
      <c r="AI3" s="647"/>
      <c r="AJ3" s="668" t="s">
        <v>160</v>
      </c>
      <c r="AK3" s="647"/>
      <c r="AL3" s="647"/>
      <c r="AM3" s="647"/>
      <c r="AN3" s="647"/>
      <c r="AO3" s="668" t="s">
        <v>115</v>
      </c>
      <c r="AP3" s="647"/>
      <c r="AQ3" s="647"/>
      <c r="AR3" s="647"/>
      <c r="AS3" s="647"/>
      <c r="AT3" s="668" t="s">
        <v>161</v>
      </c>
      <c r="AU3" s="647"/>
      <c r="AV3" s="647"/>
      <c r="AW3" s="647"/>
      <c r="AX3" s="647"/>
    </row>
    <row r="4" spans="1:53" ht="14.25">
      <c r="A4" s="81"/>
      <c r="B4" s="641" t="s">
        <v>154</v>
      </c>
      <c r="C4" s="641" t="s">
        <v>379</v>
      </c>
      <c r="D4" s="641"/>
      <c r="E4" s="641" t="s">
        <v>370</v>
      </c>
      <c r="F4" s="641"/>
      <c r="G4" s="641"/>
      <c r="H4" s="673" t="s">
        <v>366</v>
      </c>
      <c r="I4" s="688" t="s">
        <v>371</v>
      </c>
      <c r="J4" s="688"/>
      <c r="K4" s="688"/>
      <c r="L4" s="689" t="s">
        <v>366</v>
      </c>
      <c r="M4" s="677" t="s">
        <v>367</v>
      </c>
      <c r="N4" s="641"/>
      <c r="O4" s="641" t="s">
        <v>372</v>
      </c>
      <c r="P4" s="659" t="s">
        <v>368</v>
      </c>
      <c r="Q4" s="660"/>
      <c r="R4" s="660"/>
      <c r="S4" s="661"/>
      <c r="T4" s="641" t="s">
        <v>366</v>
      </c>
      <c r="U4" s="659" t="s">
        <v>368</v>
      </c>
      <c r="V4" s="660"/>
      <c r="W4" s="660"/>
      <c r="X4" s="661"/>
      <c r="Y4" s="641" t="s">
        <v>366</v>
      </c>
      <c r="Z4" s="659" t="s">
        <v>368</v>
      </c>
      <c r="AA4" s="660"/>
      <c r="AB4" s="660"/>
      <c r="AC4" s="661"/>
      <c r="AD4" s="641" t="s">
        <v>366</v>
      </c>
      <c r="AE4" s="659" t="s">
        <v>368</v>
      </c>
      <c r="AF4" s="660"/>
      <c r="AG4" s="660"/>
      <c r="AH4" s="661"/>
      <c r="AI4" s="641" t="s">
        <v>366</v>
      </c>
      <c r="AJ4" s="659" t="s">
        <v>368</v>
      </c>
      <c r="AK4" s="660"/>
      <c r="AL4" s="660"/>
      <c r="AM4" s="661"/>
      <c r="AN4" s="641" t="s">
        <v>366</v>
      </c>
      <c r="AO4" s="659" t="s">
        <v>368</v>
      </c>
      <c r="AP4" s="660"/>
      <c r="AQ4" s="660"/>
      <c r="AR4" s="661"/>
      <c r="AS4" s="641" t="s">
        <v>366</v>
      </c>
      <c r="AT4" s="659" t="s">
        <v>368</v>
      </c>
      <c r="AU4" s="660"/>
      <c r="AV4" s="660"/>
      <c r="AW4" s="661"/>
      <c r="AX4" s="641" t="s">
        <v>366</v>
      </c>
      <c r="BA4" s="641" t="s">
        <v>366</v>
      </c>
    </row>
    <row r="5" spans="1:53" ht="14.25">
      <c r="A5" s="81"/>
      <c r="B5" s="641"/>
      <c r="C5" s="641"/>
      <c r="D5" s="641"/>
      <c r="E5" s="641" t="s">
        <v>373</v>
      </c>
      <c r="F5" s="641"/>
      <c r="G5" s="641"/>
      <c r="H5" s="674"/>
      <c r="I5" s="688" t="s">
        <v>373</v>
      </c>
      <c r="J5" s="688"/>
      <c r="K5" s="688"/>
      <c r="L5" s="690"/>
      <c r="M5" s="678"/>
      <c r="N5" s="641"/>
      <c r="O5" s="641"/>
      <c r="P5" s="659" t="s">
        <v>374</v>
      </c>
      <c r="Q5" s="660"/>
      <c r="R5" s="660"/>
      <c r="S5" s="661"/>
      <c r="T5" s="641"/>
      <c r="U5" s="659" t="s">
        <v>374</v>
      </c>
      <c r="V5" s="660"/>
      <c r="W5" s="660"/>
      <c r="X5" s="661"/>
      <c r="Y5" s="641"/>
      <c r="Z5" s="659" t="s">
        <v>374</v>
      </c>
      <c r="AA5" s="660"/>
      <c r="AB5" s="660"/>
      <c r="AC5" s="661"/>
      <c r="AD5" s="641"/>
      <c r="AE5" s="659" t="s">
        <v>374</v>
      </c>
      <c r="AF5" s="660"/>
      <c r="AG5" s="660"/>
      <c r="AH5" s="661"/>
      <c r="AI5" s="641"/>
      <c r="AJ5" s="659" t="s">
        <v>374</v>
      </c>
      <c r="AK5" s="660"/>
      <c r="AL5" s="660"/>
      <c r="AM5" s="661"/>
      <c r="AN5" s="641"/>
      <c r="AO5" s="659" t="s">
        <v>374</v>
      </c>
      <c r="AP5" s="660"/>
      <c r="AQ5" s="660"/>
      <c r="AR5" s="661"/>
      <c r="AS5" s="641"/>
      <c r="AT5" s="659" t="s">
        <v>374</v>
      </c>
      <c r="AU5" s="660"/>
      <c r="AV5" s="660"/>
      <c r="AW5" s="661"/>
      <c r="AX5" s="641"/>
      <c r="BA5" s="641"/>
    </row>
    <row r="6" spans="1:53" ht="14.25">
      <c r="A6" s="79"/>
      <c r="B6" s="641"/>
      <c r="C6" s="641"/>
      <c r="D6" s="641"/>
      <c r="E6" s="533" t="s">
        <v>375</v>
      </c>
      <c r="F6" s="533" t="s">
        <v>376</v>
      </c>
      <c r="G6" s="533" t="s">
        <v>377</v>
      </c>
      <c r="H6" s="675"/>
      <c r="I6" s="532" t="s">
        <v>375</v>
      </c>
      <c r="J6" s="532" t="s">
        <v>376</v>
      </c>
      <c r="K6" s="532" t="s">
        <v>377</v>
      </c>
      <c r="L6" s="691"/>
      <c r="M6" s="679"/>
      <c r="N6" s="641"/>
      <c r="O6" s="641"/>
      <c r="P6" s="533" t="s">
        <v>375</v>
      </c>
      <c r="Q6" s="533" t="s">
        <v>376</v>
      </c>
      <c r="R6" s="533" t="s">
        <v>377</v>
      </c>
      <c r="S6" s="533" t="s">
        <v>367</v>
      </c>
      <c r="T6" s="641"/>
      <c r="U6" s="533" t="s">
        <v>375</v>
      </c>
      <c r="V6" s="533" t="s">
        <v>376</v>
      </c>
      <c r="W6" s="533" t="s">
        <v>377</v>
      </c>
      <c r="X6" s="533" t="s">
        <v>367</v>
      </c>
      <c r="Y6" s="641"/>
      <c r="Z6" s="533" t="s">
        <v>375</v>
      </c>
      <c r="AA6" s="533" t="s">
        <v>376</v>
      </c>
      <c r="AB6" s="533" t="s">
        <v>377</v>
      </c>
      <c r="AC6" s="533" t="s">
        <v>367</v>
      </c>
      <c r="AD6" s="641"/>
      <c r="AE6" s="533" t="s">
        <v>375</v>
      </c>
      <c r="AF6" s="533" t="s">
        <v>376</v>
      </c>
      <c r="AG6" s="533" t="s">
        <v>377</v>
      </c>
      <c r="AH6" s="533" t="s">
        <v>367</v>
      </c>
      <c r="AI6" s="641"/>
      <c r="AJ6" s="533" t="s">
        <v>375</v>
      </c>
      <c r="AK6" s="533" t="s">
        <v>376</v>
      </c>
      <c r="AL6" s="533" t="s">
        <v>377</v>
      </c>
      <c r="AM6" s="533" t="s">
        <v>367</v>
      </c>
      <c r="AN6" s="641"/>
      <c r="AO6" s="533" t="s">
        <v>375</v>
      </c>
      <c r="AP6" s="533" t="s">
        <v>376</v>
      </c>
      <c r="AQ6" s="533" t="s">
        <v>377</v>
      </c>
      <c r="AR6" s="533" t="s">
        <v>367</v>
      </c>
      <c r="AS6" s="641"/>
      <c r="AT6" s="533" t="s">
        <v>375</v>
      </c>
      <c r="AU6" s="533" t="s">
        <v>376</v>
      </c>
      <c r="AV6" s="533" t="s">
        <v>377</v>
      </c>
      <c r="AW6" s="533" t="s">
        <v>367</v>
      </c>
      <c r="AX6" s="641"/>
      <c r="AZ6" s="373" t="s">
        <v>367</v>
      </c>
      <c r="BA6" s="641"/>
    </row>
    <row r="7" spans="1:53" ht="14.25">
      <c r="A7" s="81"/>
      <c r="B7" s="646" t="s">
        <v>483</v>
      </c>
      <c r="C7" s="534">
        <v>1</v>
      </c>
      <c r="D7" s="201" t="s">
        <v>335</v>
      </c>
      <c r="E7" s="201">
        <v>3</v>
      </c>
      <c r="F7" s="201">
        <v>3200</v>
      </c>
      <c r="G7" s="538">
        <v>1066.6666666666667</v>
      </c>
      <c r="H7" s="636">
        <f>AVERAGE(G7:G36)</f>
        <v>788.83333333333314</v>
      </c>
      <c r="I7" s="538">
        <f>IFERROR(AVERAGE(P7,U7,Z7,AE7,AJ7,AO7,AT7),"-")</f>
        <v>3</v>
      </c>
      <c r="J7" s="538">
        <f>IFERROR(AVERAGE(Q7,V7,AA7,AF7,AK7,AP7,AU7),"-")</f>
        <v>3197.8048643597563</v>
      </c>
      <c r="K7" s="199">
        <f>IFERROR(AVERAGE(R7,W7,AB7,AG7,AL7,AQ7,AV7),"-")</f>
        <v>1065.9349547865856</v>
      </c>
      <c r="L7" s="656">
        <f>IFERROR(AVERAGE(K7:K36),"-")</f>
        <v>815.40222183653134</v>
      </c>
      <c r="M7" s="563">
        <f>RANK(K7, K$7:$K$36)</f>
        <v>1</v>
      </c>
      <c r="N7" s="641"/>
      <c r="O7" s="641"/>
      <c r="P7" s="534">
        <v>3</v>
      </c>
      <c r="Q7" s="535">
        <v>3185.7692307692273</v>
      </c>
      <c r="R7" s="535">
        <v>1061.9230769230758</v>
      </c>
      <c r="S7" s="562">
        <f t="shared" ref="S7:S14" si="0">RANK(R7, R$7:R$36)</f>
        <v>3</v>
      </c>
      <c r="T7" s="636">
        <f t="shared" ref="T7" si="1">AVERAGE(R7:R36)</f>
        <v>802.26077676269006</v>
      </c>
      <c r="U7" s="534">
        <v>3</v>
      </c>
      <c r="V7" s="535">
        <v>3207.0588235294081</v>
      </c>
      <c r="W7" s="535">
        <v>1069.0196078431361</v>
      </c>
      <c r="X7" s="562">
        <f t="shared" ref="X7:X14" si="2">RANK(W7, W$7:W$36)</f>
        <v>1</v>
      </c>
      <c r="Y7" s="636">
        <f t="shared" ref="Y7" si="3">AVERAGE(W7:W36)</f>
        <v>797.98193862942946</v>
      </c>
      <c r="Z7" s="534">
        <v>3</v>
      </c>
      <c r="AA7" s="535">
        <v>3223.7500000000009</v>
      </c>
      <c r="AB7" s="535">
        <v>1074.5833333333337</v>
      </c>
      <c r="AC7" s="562">
        <f t="shared" ref="AC7:AC14" si="4">RANK(AB7, AB$7:AB$36)</f>
        <v>8</v>
      </c>
      <c r="AD7" s="636">
        <f t="shared" ref="AD7" si="5">AVERAGE(AB7:AB36)</f>
        <v>834.76588562817187</v>
      </c>
      <c r="AE7" s="534">
        <v>3</v>
      </c>
      <c r="AF7" s="535">
        <v>3224.6511627906975</v>
      </c>
      <c r="AG7" s="535">
        <v>1074.8837209302326</v>
      </c>
      <c r="AH7" s="562">
        <f t="shared" ref="AH7:AH14" si="6">RANK(AG7, AG$7:AG$36)</f>
        <v>5</v>
      </c>
      <c r="AI7" s="636">
        <f t="shared" ref="AI7" si="7">AVERAGE(AG7:AG36)</f>
        <v>839.42651295619999</v>
      </c>
      <c r="AJ7" s="534">
        <v>3</v>
      </c>
      <c r="AK7" s="535">
        <v>3200.9302325581389</v>
      </c>
      <c r="AL7" s="535">
        <v>1066.9767441860463</v>
      </c>
      <c r="AM7" s="562">
        <f t="shared" ref="AM7:AM14" si="8">RANK(AL7, AL$7:AL$36)</f>
        <v>2</v>
      </c>
      <c r="AN7" s="636">
        <f t="shared" ref="AN7" si="9">AVERAGE(AL7:AL36)</f>
        <v>837.06649693079487</v>
      </c>
      <c r="AO7" s="534">
        <v>3</v>
      </c>
      <c r="AP7" s="535">
        <v>3151.1538461538426</v>
      </c>
      <c r="AQ7" s="535">
        <v>1050.3846153846141</v>
      </c>
      <c r="AR7" s="562">
        <f t="shared" ref="AR7:AR14" si="10">RANK(AQ7, AQ$7:AQ$36)</f>
        <v>5</v>
      </c>
      <c r="AS7" s="636">
        <f t="shared" ref="AS7" si="11">AVERAGE(AQ7:AQ36)</f>
        <v>797.74841586806156</v>
      </c>
      <c r="AT7" s="534">
        <v>3</v>
      </c>
      <c r="AU7" s="535">
        <v>3191.3207547169782</v>
      </c>
      <c r="AV7" s="535">
        <v>1063.7735849056594</v>
      </c>
      <c r="AW7" s="562">
        <f t="shared" ref="AW7:AW14" si="12">RANK(AV7, AV$7:AV$36)</f>
        <v>3</v>
      </c>
      <c r="AX7" s="636">
        <f t="shared" ref="AX7" si="13">AVERAGE(AV7:AV36)</f>
        <v>798.56552608037146</v>
      </c>
      <c r="AZ7" s="372" t="e">
        <f>RANK(AY7, AY$7:AY$36)</f>
        <v>#N/A</v>
      </c>
      <c r="BA7" s="642" t="e">
        <f>AVERAGE(AY7:AY36)</f>
        <v>#DIV/0!</v>
      </c>
    </row>
    <row r="8" spans="1:53" ht="15" customHeight="1">
      <c r="A8" s="81"/>
      <c r="B8" s="676"/>
      <c r="C8" s="534">
        <v>2</v>
      </c>
      <c r="D8" s="532" t="s">
        <v>336</v>
      </c>
      <c r="E8" s="201">
        <v>3</v>
      </c>
      <c r="F8" s="201">
        <v>3200</v>
      </c>
      <c r="G8" s="538">
        <v>1066.6666666666667</v>
      </c>
      <c r="H8" s="637"/>
      <c r="I8" s="538">
        <f t="shared" ref="I8:I36" si="14">IFERROR(AVERAGE(P8,U8,Z8,AE8,AJ8,AO8,AT8),"-")</f>
        <v>3</v>
      </c>
      <c r="J8" s="538">
        <f t="shared" ref="J8:J36" si="15">IFERROR(AVERAGE(Q8,V8,AA8,AF8,AK8,AP8,AU8),"-")</f>
        <v>3166.1456043955982</v>
      </c>
      <c r="K8" s="199">
        <f t="shared" ref="K8:K36" si="16">IFERROR(AVERAGE(R8,W8,AB8,AG8,AL8,AQ8,AV8),"-")</f>
        <v>1055.3818681318662</v>
      </c>
      <c r="L8" s="657"/>
      <c r="M8" s="563">
        <f>RANK(K8, K$7:$K$36)</f>
        <v>4</v>
      </c>
      <c r="N8" s="641"/>
      <c r="O8" s="641"/>
      <c r="P8" s="534">
        <v>3</v>
      </c>
      <c r="Q8" s="535">
        <v>3101.2499999999959</v>
      </c>
      <c r="R8" s="535">
        <v>1033.7499999999986</v>
      </c>
      <c r="S8" s="562">
        <f t="shared" si="0"/>
        <v>8</v>
      </c>
      <c r="T8" s="637"/>
      <c r="U8" s="534">
        <v>3</v>
      </c>
      <c r="V8" s="535">
        <v>3203.9999999999945</v>
      </c>
      <c r="W8" s="535">
        <v>1067.9999999999982</v>
      </c>
      <c r="X8" s="562">
        <f t="shared" si="2"/>
        <v>2</v>
      </c>
      <c r="Y8" s="637"/>
      <c r="Z8" s="534">
        <v>3</v>
      </c>
      <c r="AA8" s="535">
        <v>3359.9999999999927</v>
      </c>
      <c r="AB8" s="535">
        <v>1119.9999999999975</v>
      </c>
      <c r="AC8" s="562">
        <f t="shared" si="4"/>
        <v>1</v>
      </c>
      <c r="AD8" s="637"/>
      <c r="AE8" s="534">
        <v>3</v>
      </c>
      <c r="AF8" s="535">
        <v>3230.7692307692223</v>
      </c>
      <c r="AG8" s="535">
        <v>1076.9230769230742</v>
      </c>
      <c r="AH8" s="562">
        <f t="shared" si="6"/>
        <v>4</v>
      </c>
      <c r="AI8" s="637"/>
      <c r="AJ8" s="534">
        <v>3</v>
      </c>
      <c r="AK8" s="535">
        <v>3059.9999999999918</v>
      </c>
      <c r="AL8" s="535">
        <v>1019.9999999999973</v>
      </c>
      <c r="AM8" s="562">
        <f t="shared" si="8"/>
        <v>7</v>
      </c>
      <c r="AN8" s="637"/>
      <c r="AO8" s="534">
        <v>3</v>
      </c>
      <c r="AP8" s="535">
        <v>3014.9999999999964</v>
      </c>
      <c r="AQ8" s="535">
        <v>1004.9999999999987</v>
      </c>
      <c r="AR8" s="562">
        <f t="shared" si="10"/>
        <v>8</v>
      </c>
      <c r="AS8" s="637"/>
      <c r="AT8" s="534">
        <v>3</v>
      </c>
      <c r="AU8" s="535">
        <v>3191.9999999999941</v>
      </c>
      <c r="AV8" s="535">
        <v>1063.999999999998</v>
      </c>
      <c r="AW8" s="562">
        <f t="shared" si="12"/>
        <v>2</v>
      </c>
      <c r="AX8" s="637"/>
      <c r="AZ8" s="372" t="e">
        <f t="shared" ref="AZ8:AZ36" si="17">RANK(AY8, AY$7:AY$36)</f>
        <v>#N/A</v>
      </c>
      <c r="BA8" s="642"/>
    </row>
    <row r="9" spans="1:53" ht="14.25">
      <c r="A9" s="81"/>
      <c r="B9" s="676"/>
      <c r="C9" s="534">
        <v>3</v>
      </c>
      <c r="D9" s="201" t="s">
        <v>328</v>
      </c>
      <c r="E9" s="201">
        <v>4</v>
      </c>
      <c r="F9" s="201">
        <v>3200</v>
      </c>
      <c r="G9" s="538">
        <v>800</v>
      </c>
      <c r="H9" s="637"/>
      <c r="I9" s="538">
        <f t="shared" si="14"/>
        <v>4</v>
      </c>
      <c r="J9" s="538">
        <f t="shared" si="15"/>
        <v>3031.0238095238169</v>
      </c>
      <c r="K9" s="199">
        <f t="shared" si="16"/>
        <v>757.75595238095423</v>
      </c>
      <c r="L9" s="657"/>
      <c r="M9" s="563">
        <f>RANK(K9, K$7:$K$36)</f>
        <v>18</v>
      </c>
      <c r="N9" s="641"/>
      <c r="O9" s="641"/>
      <c r="P9" s="534">
        <v>4</v>
      </c>
      <c r="Q9" s="535">
        <v>3120.0000000000109</v>
      </c>
      <c r="R9" s="535">
        <v>780.00000000000273</v>
      </c>
      <c r="S9" s="562">
        <f t="shared" si="0"/>
        <v>16</v>
      </c>
      <c r="T9" s="637"/>
      <c r="U9" s="534">
        <v>4</v>
      </c>
      <c r="V9" s="535">
        <v>2990.0000000000109</v>
      </c>
      <c r="W9" s="535">
        <v>747.50000000000273</v>
      </c>
      <c r="X9" s="562">
        <f t="shared" si="2"/>
        <v>16</v>
      </c>
      <c r="Y9" s="637"/>
      <c r="Z9" s="534">
        <v>4</v>
      </c>
      <c r="AA9" s="535">
        <v>2590.0000000000009</v>
      </c>
      <c r="AB9" s="535">
        <v>647.50000000000023</v>
      </c>
      <c r="AC9" s="562">
        <f t="shared" si="4"/>
        <v>22</v>
      </c>
      <c r="AD9" s="637"/>
      <c r="AE9" s="534">
        <v>4</v>
      </c>
      <c r="AF9" s="535">
        <v>3360.0000000000505</v>
      </c>
      <c r="AG9" s="535">
        <v>840.00000000001262</v>
      </c>
      <c r="AH9" s="562">
        <f t="shared" si="6"/>
        <v>15</v>
      </c>
      <c r="AI9" s="637"/>
      <c r="AJ9" s="534">
        <v>4</v>
      </c>
      <c r="AK9" s="535">
        <v>2932.50000000001</v>
      </c>
      <c r="AL9" s="535">
        <v>733.1250000000025</v>
      </c>
      <c r="AM9" s="562">
        <f t="shared" si="8"/>
        <v>18</v>
      </c>
      <c r="AN9" s="637"/>
      <c r="AO9" s="534">
        <v>4</v>
      </c>
      <c r="AP9" s="535">
        <v>3017.9999999999868</v>
      </c>
      <c r="AQ9" s="535">
        <v>754.4999999999967</v>
      </c>
      <c r="AR9" s="562">
        <f t="shared" si="10"/>
        <v>16</v>
      </c>
      <c r="AS9" s="637"/>
      <c r="AT9" s="534">
        <v>4</v>
      </c>
      <c r="AU9" s="535">
        <v>3206.6666666666497</v>
      </c>
      <c r="AV9" s="535">
        <v>801.66666666666242</v>
      </c>
      <c r="AW9" s="562">
        <f t="shared" si="12"/>
        <v>11</v>
      </c>
      <c r="AX9" s="637"/>
      <c r="AZ9" s="372" t="e">
        <f t="shared" si="17"/>
        <v>#N/A</v>
      </c>
      <c r="BA9" s="642"/>
    </row>
    <row r="10" spans="1:53" ht="14.25">
      <c r="A10" s="81"/>
      <c r="B10" s="676"/>
      <c r="C10" s="534">
        <v>4</v>
      </c>
      <c r="D10" s="201" t="s">
        <v>337</v>
      </c>
      <c r="E10" s="201">
        <v>3</v>
      </c>
      <c r="F10" s="201">
        <v>3200</v>
      </c>
      <c r="G10" s="538">
        <v>1066.6666666666667</v>
      </c>
      <c r="H10" s="637"/>
      <c r="I10" s="538">
        <f t="shared" si="14"/>
        <v>3</v>
      </c>
      <c r="J10" s="538">
        <f t="shared" si="15"/>
        <v>3190.7310030409303</v>
      </c>
      <c r="K10" s="199">
        <f t="shared" si="16"/>
        <v>1063.5770010136434</v>
      </c>
      <c r="L10" s="657"/>
      <c r="M10" s="563">
        <f>RANK(K10, K$7:$K$36)</f>
        <v>2</v>
      </c>
      <c r="N10" s="641"/>
      <c r="O10" s="641"/>
      <c r="P10" s="534">
        <v>3</v>
      </c>
      <c r="Q10" s="535">
        <v>3181.5384615384633</v>
      </c>
      <c r="R10" s="535">
        <v>1060.512820512821</v>
      </c>
      <c r="S10" s="562">
        <f t="shared" si="0"/>
        <v>5</v>
      </c>
      <c r="T10" s="637"/>
      <c r="U10" s="534">
        <v>3</v>
      </c>
      <c r="V10" s="535">
        <v>3200.5263157894715</v>
      </c>
      <c r="W10" s="535">
        <v>1066.8421052631572</v>
      </c>
      <c r="X10" s="562">
        <f t="shared" si="2"/>
        <v>3</v>
      </c>
      <c r="Y10" s="637"/>
      <c r="Z10" s="534">
        <v>3</v>
      </c>
      <c r="AA10" s="535">
        <v>3229.5999999999976</v>
      </c>
      <c r="AB10" s="535">
        <v>1076.5333333333326</v>
      </c>
      <c r="AC10" s="562">
        <f t="shared" si="4"/>
        <v>7</v>
      </c>
      <c r="AD10" s="637"/>
      <c r="AE10" s="534">
        <v>3</v>
      </c>
      <c r="AF10" s="535">
        <v>3220.9090909090942</v>
      </c>
      <c r="AG10" s="535">
        <v>1073.6363636363646</v>
      </c>
      <c r="AH10" s="562">
        <f t="shared" si="6"/>
        <v>6</v>
      </c>
      <c r="AI10" s="637"/>
      <c r="AJ10" s="534">
        <v>3</v>
      </c>
      <c r="AK10" s="535">
        <v>3155.4545454545455</v>
      </c>
      <c r="AL10" s="535">
        <v>1051.8181818181818</v>
      </c>
      <c r="AM10" s="562">
        <f t="shared" si="8"/>
        <v>3</v>
      </c>
      <c r="AN10" s="637"/>
      <c r="AO10" s="534">
        <v>3</v>
      </c>
      <c r="AP10" s="535">
        <v>3171.6455696202547</v>
      </c>
      <c r="AQ10" s="535">
        <v>1057.2151898734182</v>
      </c>
      <c r="AR10" s="562">
        <f t="shared" si="10"/>
        <v>3</v>
      </c>
      <c r="AS10" s="637"/>
      <c r="AT10" s="534">
        <v>3</v>
      </c>
      <c r="AU10" s="535">
        <v>3175.4430379746855</v>
      </c>
      <c r="AV10" s="535">
        <v>1058.4810126582286</v>
      </c>
      <c r="AW10" s="562">
        <f t="shared" si="12"/>
        <v>4</v>
      </c>
      <c r="AX10" s="637"/>
      <c r="AZ10" s="372" t="e">
        <f t="shared" si="17"/>
        <v>#N/A</v>
      </c>
      <c r="BA10" s="642"/>
    </row>
    <row r="11" spans="1:53" ht="14.25">
      <c r="A11" s="81"/>
      <c r="B11" s="676"/>
      <c r="C11" s="534">
        <v>5</v>
      </c>
      <c r="D11" s="201" t="s">
        <v>563</v>
      </c>
      <c r="E11" s="201">
        <v>4</v>
      </c>
      <c r="F11" s="201">
        <v>3200</v>
      </c>
      <c r="G11" s="538">
        <v>800</v>
      </c>
      <c r="H11" s="637"/>
      <c r="I11" s="538">
        <f t="shared" si="14"/>
        <v>4</v>
      </c>
      <c r="J11" s="538">
        <f t="shared" si="15"/>
        <v>3190.5821709250472</v>
      </c>
      <c r="K11" s="199">
        <f t="shared" si="16"/>
        <v>797.6455427312618</v>
      </c>
      <c r="L11" s="657"/>
      <c r="M11" s="563">
        <f>RANK(K11, K$7:$K$36)</f>
        <v>15</v>
      </c>
      <c r="N11" s="641"/>
      <c r="O11" s="641"/>
      <c r="P11" s="534">
        <v>4</v>
      </c>
      <c r="Q11" s="535">
        <v>3152.9999999999864</v>
      </c>
      <c r="R11" s="535">
        <v>788.24999999999659</v>
      </c>
      <c r="S11" s="562">
        <f t="shared" si="0"/>
        <v>14</v>
      </c>
      <c r="T11" s="637"/>
      <c r="U11" s="534">
        <v>4</v>
      </c>
      <c r="V11" s="535">
        <v>3138.9473684210375</v>
      </c>
      <c r="W11" s="535">
        <v>784.73684210525937</v>
      </c>
      <c r="X11" s="562">
        <f t="shared" si="2"/>
        <v>13</v>
      </c>
      <c r="Y11" s="637"/>
      <c r="Z11" s="534">
        <v>4</v>
      </c>
      <c r="AA11" s="535">
        <v>3311.2500000000118</v>
      </c>
      <c r="AB11" s="535">
        <v>827.81250000000296</v>
      </c>
      <c r="AC11" s="562">
        <f t="shared" si="4"/>
        <v>14</v>
      </c>
      <c r="AD11" s="637"/>
      <c r="AE11" s="534">
        <v>4</v>
      </c>
      <c r="AF11" s="535">
        <v>3343.9999999999941</v>
      </c>
      <c r="AG11" s="535">
        <v>835.99999999999852</v>
      </c>
      <c r="AH11" s="562">
        <f t="shared" si="6"/>
        <v>16</v>
      </c>
      <c r="AI11" s="637"/>
      <c r="AJ11" s="534">
        <v>4</v>
      </c>
      <c r="AK11" s="535">
        <v>3129.2307692307804</v>
      </c>
      <c r="AL11" s="535">
        <v>782.30769230769511</v>
      </c>
      <c r="AM11" s="562">
        <f t="shared" si="8"/>
        <v>14</v>
      </c>
      <c r="AN11" s="637"/>
      <c r="AO11" s="534">
        <v>4</v>
      </c>
      <c r="AP11" s="535">
        <v>3119.9999999999964</v>
      </c>
      <c r="AQ11" s="535">
        <v>779.99999999999909</v>
      </c>
      <c r="AR11" s="562">
        <f t="shared" si="10"/>
        <v>15</v>
      </c>
      <c r="AS11" s="637"/>
      <c r="AT11" s="534">
        <v>4</v>
      </c>
      <c r="AU11" s="535">
        <v>3137.6470588235252</v>
      </c>
      <c r="AV11" s="535">
        <v>784.4117647058813</v>
      </c>
      <c r="AW11" s="562">
        <f t="shared" si="12"/>
        <v>14</v>
      </c>
      <c r="AX11" s="637"/>
      <c r="AZ11" s="372" t="e">
        <f t="shared" si="17"/>
        <v>#N/A</v>
      </c>
      <c r="BA11" s="642"/>
    </row>
    <row r="12" spans="1:53" ht="14.25">
      <c r="A12" s="81"/>
      <c r="B12" s="676"/>
      <c r="C12" s="534">
        <v>6</v>
      </c>
      <c r="D12" s="201" t="s">
        <v>564</v>
      </c>
      <c r="E12" s="201">
        <v>4</v>
      </c>
      <c r="F12" s="201">
        <v>3200</v>
      </c>
      <c r="G12" s="538">
        <v>800</v>
      </c>
      <c r="H12" s="637"/>
      <c r="I12" s="538">
        <f t="shared" si="14"/>
        <v>4</v>
      </c>
      <c r="J12" s="538">
        <f t="shared" si="15"/>
        <v>3152.7380952380963</v>
      </c>
      <c r="K12" s="199">
        <f t="shared" si="16"/>
        <v>788.18452380952408</v>
      </c>
      <c r="L12" s="657"/>
      <c r="M12" s="563">
        <f>RANK(K12, K$7:$K$36)</f>
        <v>17</v>
      </c>
      <c r="N12" s="641"/>
      <c r="O12" s="641"/>
      <c r="P12" s="534">
        <v>4</v>
      </c>
      <c r="Q12" s="535">
        <v>3172.5000000000109</v>
      </c>
      <c r="R12" s="535">
        <v>793.12500000000273</v>
      </c>
      <c r="S12" s="562">
        <f t="shared" si="0"/>
        <v>11</v>
      </c>
      <c r="T12" s="637"/>
      <c r="U12" s="534">
        <v>4</v>
      </c>
      <c r="V12" s="535">
        <v>2906.666666666677</v>
      </c>
      <c r="W12" s="535">
        <v>726.66666666666924</v>
      </c>
      <c r="X12" s="562">
        <f t="shared" si="2"/>
        <v>17</v>
      </c>
      <c r="Y12" s="637"/>
      <c r="Z12" s="534">
        <v>4</v>
      </c>
      <c r="AA12" s="535">
        <v>3320.0000000000118</v>
      </c>
      <c r="AB12" s="535">
        <v>830.00000000000296</v>
      </c>
      <c r="AC12" s="562">
        <f t="shared" si="4"/>
        <v>13</v>
      </c>
      <c r="AD12" s="637"/>
      <c r="AE12" s="534">
        <v>4</v>
      </c>
      <c r="AF12" s="535">
        <v>3870.0000000000136</v>
      </c>
      <c r="AG12" s="535">
        <v>967.50000000000341</v>
      </c>
      <c r="AH12" s="562">
        <f t="shared" si="6"/>
        <v>9</v>
      </c>
      <c r="AI12" s="637"/>
      <c r="AJ12" s="534">
        <v>4</v>
      </c>
      <c r="AK12" s="535">
        <v>2760.00000000001</v>
      </c>
      <c r="AL12" s="535">
        <v>690.0000000000025</v>
      </c>
      <c r="AM12" s="562">
        <f t="shared" si="8"/>
        <v>20</v>
      </c>
      <c r="AN12" s="637"/>
      <c r="AO12" s="534">
        <v>4</v>
      </c>
      <c r="AP12" s="535">
        <v>2939.9999999999768</v>
      </c>
      <c r="AQ12" s="535">
        <v>734.9999999999942</v>
      </c>
      <c r="AR12" s="562">
        <f t="shared" si="10"/>
        <v>17</v>
      </c>
      <c r="AS12" s="637"/>
      <c r="AT12" s="534">
        <v>4</v>
      </c>
      <c r="AU12" s="535">
        <v>3099.9999999999695</v>
      </c>
      <c r="AV12" s="535">
        <v>774.99999999999238</v>
      </c>
      <c r="AW12" s="562">
        <f t="shared" si="12"/>
        <v>15</v>
      </c>
      <c r="AX12" s="637"/>
      <c r="AZ12" s="372" t="e">
        <f t="shared" si="17"/>
        <v>#N/A</v>
      </c>
      <c r="BA12" s="642"/>
    </row>
    <row r="13" spans="1:53" ht="14.25">
      <c r="A13" s="81"/>
      <c r="B13" s="676"/>
      <c r="C13" s="534">
        <v>7</v>
      </c>
      <c r="D13" s="201" t="s">
        <v>338</v>
      </c>
      <c r="E13" s="201">
        <v>4</v>
      </c>
      <c r="F13" s="201">
        <v>2800</v>
      </c>
      <c r="G13" s="538">
        <v>700</v>
      </c>
      <c r="H13" s="637"/>
      <c r="I13" s="538">
        <f t="shared" si="14"/>
        <v>4</v>
      </c>
      <c r="J13" s="538">
        <f t="shared" si="15"/>
        <v>3241.9183673469315</v>
      </c>
      <c r="K13" s="199">
        <f t="shared" si="16"/>
        <v>810.47959183673288</v>
      </c>
      <c r="L13" s="657"/>
      <c r="M13" s="563">
        <f>RANK(K13, K$7:$K$36)</f>
        <v>12</v>
      </c>
      <c r="N13" s="641"/>
      <c r="O13" s="641"/>
      <c r="P13" s="534">
        <v>4</v>
      </c>
      <c r="Q13" s="535">
        <v>3126.6666666666642</v>
      </c>
      <c r="R13" s="535">
        <v>781.66666666666606</v>
      </c>
      <c r="S13" s="562">
        <f t="shared" si="0"/>
        <v>15</v>
      </c>
      <c r="T13" s="637"/>
      <c r="U13" s="534">
        <v>4</v>
      </c>
      <c r="V13" s="535">
        <v>3073.3333333333308</v>
      </c>
      <c r="W13" s="535">
        <v>768.33333333333269</v>
      </c>
      <c r="X13" s="562">
        <f t="shared" si="2"/>
        <v>15</v>
      </c>
      <c r="Y13" s="637"/>
      <c r="Z13" s="534">
        <v>4</v>
      </c>
      <c r="AA13" s="535">
        <v>3514.2857142857069</v>
      </c>
      <c r="AB13" s="535">
        <v>878.57142857142674</v>
      </c>
      <c r="AC13" s="562">
        <f t="shared" si="4"/>
        <v>12</v>
      </c>
      <c r="AD13" s="637"/>
      <c r="AE13" s="534">
        <v>4</v>
      </c>
      <c r="AF13" s="535">
        <v>3851.9999999999832</v>
      </c>
      <c r="AG13" s="535">
        <v>962.99999999999579</v>
      </c>
      <c r="AH13" s="562">
        <f t="shared" si="6"/>
        <v>10</v>
      </c>
      <c r="AI13" s="637"/>
      <c r="AJ13" s="534">
        <v>4</v>
      </c>
      <c r="AK13" s="535">
        <v>3049.9999999999905</v>
      </c>
      <c r="AL13" s="535">
        <v>762.49999999999761</v>
      </c>
      <c r="AM13" s="562">
        <f t="shared" si="8"/>
        <v>16</v>
      </c>
      <c r="AN13" s="637"/>
      <c r="AO13" s="534">
        <v>4</v>
      </c>
      <c r="AP13" s="535">
        <v>2879.9999999999964</v>
      </c>
      <c r="AQ13" s="535">
        <v>719.99999999999909</v>
      </c>
      <c r="AR13" s="562">
        <f t="shared" si="10"/>
        <v>18</v>
      </c>
      <c r="AS13" s="637"/>
      <c r="AT13" s="534">
        <v>4</v>
      </c>
      <c r="AU13" s="535">
        <v>3197.1428571428501</v>
      </c>
      <c r="AV13" s="535">
        <v>799.28571428571252</v>
      </c>
      <c r="AW13" s="562">
        <f t="shared" si="12"/>
        <v>13</v>
      </c>
      <c r="AX13" s="637"/>
      <c r="AZ13" s="372" t="e">
        <f t="shared" si="17"/>
        <v>#N/A</v>
      </c>
      <c r="BA13" s="642"/>
    </row>
    <row r="14" spans="1:53" ht="14.25">
      <c r="A14" s="81"/>
      <c r="B14" s="676"/>
      <c r="C14" s="534">
        <v>8</v>
      </c>
      <c r="D14" s="201" t="s">
        <v>339</v>
      </c>
      <c r="E14" s="201">
        <v>3</v>
      </c>
      <c r="F14" s="201">
        <v>3200</v>
      </c>
      <c r="G14" s="538">
        <v>1066.6666666666667</v>
      </c>
      <c r="H14" s="637"/>
      <c r="I14" s="538">
        <f t="shared" si="14"/>
        <v>3</v>
      </c>
      <c r="J14" s="538">
        <f t="shared" si="15"/>
        <v>3189.9130434782592</v>
      </c>
      <c r="K14" s="199">
        <f t="shared" si="16"/>
        <v>1063.3043478260865</v>
      </c>
      <c r="L14" s="657"/>
      <c r="M14" s="563">
        <f>RANK(K14, K$7:$K$36)</f>
        <v>3</v>
      </c>
      <c r="N14" s="641"/>
      <c r="O14" s="641"/>
      <c r="P14" s="534">
        <v>3</v>
      </c>
      <c r="Q14" s="535">
        <v>3192.0000000000009</v>
      </c>
      <c r="R14" s="535">
        <v>1064.0000000000002</v>
      </c>
      <c r="S14" s="562">
        <f t="shared" si="0"/>
        <v>2</v>
      </c>
      <c r="T14" s="637"/>
      <c r="U14" s="534">
        <v>3</v>
      </c>
      <c r="V14" s="535">
        <v>3177.6000000000008</v>
      </c>
      <c r="W14" s="535">
        <v>1059.2000000000003</v>
      </c>
      <c r="X14" s="562">
        <f t="shared" si="2"/>
        <v>4</v>
      </c>
      <c r="Y14" s="637"/>
      <c r="Z14" s="534">
        <v>3</v>
      </c>
      <c r="AA14" s="535">
        <v>3297.391304347826</v>
      </c>
      <c r="AB14" s="535">
        <v>1099.1304347826087</v>
      </c>
      <c r="AC14" s="562">
        <f t="shared" si="4"/>
        <v>2</v>
      </c>
      <c r="AD14" s="637"/>
      <c r="AE14" s="534">
        <v>3</v>
      </c>
      <c r="AF14" s="535">
        <v>3254.9999999999918</v>
      </c>
      <c r="AG14" s="535">
        <v>1084.9999999999973</v>
      </c>
      <c r="AH14" s="562">
        <f t="shared" si="6"/>
        <v>2</v>
      </c>
      <c r="AI14" s="637"/>
      <c r="AJ14" s="534">
        <v>3</v>
      </c>
      <c r="AK14" s="535">
        <v>3116.9999999999923</v>
      </c>
      <c r="AL14" s="535">
        <v>1038.9999999999975</v>
      </c>
      <c r="AM14" s="562">
        <f t="shared" si="8"/>
        <v>4</v>
      </c>
      <c r="AN14" s="637"/>
      <c r="AO14" s="534">
        <v>3</v>
      </c>
      <c r="AP14" s="535">
        <v>3163.2000000000007</v>
      </c>
      <c r="AQ14" s="535">
        <v>1054.4000000000003</v>
      </c>
      <c r="AR14" s="562">
        <f t="shared" si="10"/>
        <v>4</v>
      </c>
      <c r="AS14" s="637"/>
      <c r="AT14" s="534">
        <v>3</v>
      </c>
      <c r="AU14" s="535">
        <v>3127.2000000000007</v>
      </c>
      <c r="AV14" s="535">
        <v>1042.4000000000003</v>
      </c>
      <c r="AW14" s="562">
        <f t="shared" si="12"/>
        <v>6</v>
      </c>
      <c r="AX14" s="637"/>
      <c r="AZ14" s="372" t="e">
        <f t="shared" si="17"/>
        <v>#N/A</v>
      </c>
      <c r="BA14" s="642"/>
    </row>
    <row r="15" spans="1:53" ht="14.25">
      <c r="A15" s="81"/>
      <c r="B15" s="676"/>
      <c r="C15" s="534">
        <v>9</v>
      </c>
      <c r="D15" s="201" t="s">
        <v>340</v>
      </c>
      <c r="E15" s="201">
        <v>3</v>
      </c>
      <c r="F15" s="201">
        <v>2800</v>
      </c>
      <c r="G15" s="538">
        <v>933.33333333333337</v>
      </c>
      <c r="H15" s="637"/>
      <c r="I15" s="538">
        <f t="shared" si="14"/>
        <v>3</v>
      </c>
      <c r="J15" s="538">
        <f t="shared" si="15"/>
        <v>3156.930323644609</v>
      </c>
      <c r="K15" s="199">
        <f t="shared" si="16"/>
        <v>1052.3101078815364</v>
      </c>
      <c r="L15" s="657"/>
      <c r="M15" s="563">
        <f>RANK(K15, K$7:$K$36)</f>
        <v>6</v>
      </c>
      <c r="N15" s="641"/>
      <c r="O15" s="641"/>
      <c r="P15" s="534">
        <v>3</v>
      </c>
      <c r="Q15" s="535">
        <v>3156.4285714285738</v>
      </c>
      <c r="R15" s="535">
        <v>1052.142857142858</v>
      </c>
      <c r="S15" s="534">
        <f>RANK(R15, R$7:R$36)</f>
        <v>6</v>
      </c>
      <c r="T15" s="637"/>
      <c r="U15" s="534">
        <v>3</v>
      </c>
      <c r="V15" s="535">
        <v>3094.2857142857165</v>
      </c>
      <c r="W15" s="535">
        <v>1031.4285714285722</v>
      </c>
      <c r="X15" s="562">
        <f>RANK(W15, W$7:W$36)</f>
        <v>8</v>
      </c>
      <c r="Y15" s="637"/>
      <c r="Z15" s="534">
        <v>3</v>
      </c>
      <c r="AA15" s="535">
        <v>3287.9999999999905</v>
      </c>
      <c r="AB15" s="535">
        <v>1095.9999999999968</v>
      </c>
      <c r="AC15" s="562">
        <f>RANK(AB15, AB$7:AB$36)</f>
        <v>3</v>
      </c>
      <c r="AD15" s="637"/>
      <c r="AE15" s="534">
        <v>3</v>
      </c>
      <c r="AF15" s="535">
        <v>3237.272727272727</v>
      </c>
      <c r="AG15" s="535">
        <v>1079.090909090909</v>
      </c>
      <c r="AH15" s="562">
        <f>RANK(AG15, AG$7:AG$36)</f>
        <v>3</v>
      </c>
      <c r="AI15" s="637"/>
      <c r="AJ15" s="534">
        <v>3</v>
      </c>
      <c r="AK15" s="535">
        <v>3073.6363636363635</v>
      </c>
      <c r="AL15" s="535">
        <v>1024.5454545454545</v>
      </c>
      <c r="AM15" s="562">
        <f>RANK(AL15, AL$7:AL$36)</f>
        <v>6</v>
      </c>
      <c r="AN15" s="637"/>
      <c r="AO15" s="534">
        <v>3</v>
      </c>
      <c r="AP15" s="535">
        <v>3104.4444444444462</v>
      </c>
      <c r="AQ15" s="535">
        <v>1034.8148148148155</v>
      </c>
      <c r="AR15" s="562">
        <f>RANK(AQ15, AQ$7:AQ$36)</f>
        <v>6</v>
      </c>
      <c r="AS15" s="637"/>
      <c r="AT15" s="534">
        <v>3</v>
      </c>
      <c r="AU15" s="535">
        <v>3144.4444444444462</v>
      </c>
      <c r="AV15" s="535">
        <v>1048.1481481481487</v>
      </c>
      <c r="AW15" s="562">
        <f>RANK(AV15, AV$7:AV$36)</f>
        <v>5</v>
      </c>
      <c r="AX15" s="637"/>
      <c r="AZ15" s="372" t="e">
        <f t="shared" si="17"/>
        <v>#N/A</v>
      </c>
      <c r="BA15" s="642"/>
    </row>
    <row r="16" spans="1:53" ht="14.25">
      <c r="A16" s="81"/>
      <c r="B16" s="676"/>
      <c r="C16" s="534">
        <v>10</v>
      </c>
      <c r="D16" s="201" t="s">
        <v>341</v>
      </c>
      <c r="E16" s="201">
        <v>4</v>
      </c>
      <c r="F16" s="201">
        <v>2800</v>
      </c>
      <c r="G16" s="538">
        <v>700</v>
      </c>
      <c r="H16" s="637"/>
      <c r="I16" s="538">
        <f t="shared" si="14"/>
        <v>4</v>
      </c>
      <c r="J16" s="538">
        <f t="shared" si="15"/>
        <v>3196.6829122205195</v>
      </c>
      <c r="K16" s="199">
        <f t="shared" si="16"/>
        <v>799.17072805512987</v>
      </c>
      <c r="L16" s="657"/>
      <c r="M16" s="563">
        <f>RANK(K16, K$7:$K$36)</f>
        <v>14</v>
      </c>
      <c r="N16" s="641"/>
      <c r="O16" s="641"/>
      <c r="P16" s="534">
        <v>4</v>
      </c>
      <c r="Q16" s="535">
        <v>3163.2000000000007</v>
      </c>
      <c r="R16" s="535">
        <v>790.80000000000018</v>
      </c>
      <c r="S16" s="562">
        <f t="shared" ref="S16:S36" si="18">RANK(R16, R$7:R$36)</f>
        <v>12</v>
      </c>
      <c r="T16" s="637"/>
      <c r="U16" s="534">
        <v>4</v>
      </c>
      <c r="V16" s="535">
        <v>3165.3061224489802</v>
      </c>
      <c r="W16" s="535">
        <v>791.32653061224505</v>
      </c>
      <c r="X16" s="562">
        <f t="shared" ref="X16:X36" si="19">RANK(W16, W$7:W$36)</f>
        <v>11</v>
      </c>
      <c r="Y16" s="637"/>
      <c r="Z16" s="534">
        <v>4</v>
      </c>
      <c r="AA16" s="535">
        <v>3252.7659574468094</v>
      </c>
      <c r="AB16" s="535">
        <v>813.19148936170234</v>
      </c>
      <c r="AC16" s="562">
        <f t="shared" ref="AC16:AC36" si="20">RANK(AB16, AB$7:AB$36)</f>
        <v>16</v>
      </c>
      <c r="AD16" s="637"/>
      <c r="AE16" s="534">
        <v>4</v>
      </c>
      <c r="AF16" s="535">
        <v>3252.8571428571358</v>
      </c>
      <c r="AG16" s="535">
        <v>813.21428571428396</v>
      </c>
      <c r="AH16" s="562">
        <f t="shared" ref="AH16:AH36" si="21">RANK(AG16, AG$7:AG$36)</f>
        <v>17</v>
      </c>
      <c r="AI16" s="637"/>
      <c r="AJ16" s="534">
        <v>4</v>
      </c>
      <c r="AK16" s="535">
        <v>3164.6511627907093</v>
      </c>
      <c r="AL16" s="535">
        <v>791.16279069767734</v>
      </c>
      <c r="AM16" s="562">
        <f t="shared" ref="AM16:AM36" si="22">RANK(AL16, AL$7:AL$36)</f>
        <v>13</v>
      </c>
      <c r="AN16" s="637"/>
      <c r="AO16" s="534">
        <v>4</v>
      </c>
      <c r="AP16" s="535">
        <v>3180.0000000000009</v>
      </c>
      <c r="AQ16" s="535">
        <v>795.00000000000023</v>
      </c>
      <c r="AR16" s="562">
        <f t="shared" ref="AR16:AR36" si="23">RANK(AQ16, AQ$7:AQ$36)</f>
        <v>12</v>
      </c>
      <c r="AS16" s="637"/>
      <c r="AT16" s="534">
        <v>4</v>
      </c>
      <c r="AU16" s="535">
        <v>3198.0000000000009</v>
      </c>
      <c r="AV16" s="535">
        <v>799.50000000000023</v>
      </c>
      <c r="AW16" s="562">
        <f t="shared" ref="AW16:AW36" si="24">RANK(AV16, AV$7:AV$36)</f>
        <v>12</v>
      </c>
      <c r="AX16" s="637"/>
      <c r="AZ16" s="372" t="e">
        <f t="shared" si="17"/>
        <v>#N/A</v>
      </c>
      <c r="BA16" s="642"/>
    </row>
    <row r="17" spans="2:53">
      <c r="B17" s="676"/>
      <c r="C17" s="534">
        <v>11</v>
      </c>
      <c r="D17" s="201" t="s">
        <v>565</v>
      </c>
      <c r="E17" s="201">
        <v>4</v>
      </c>
      <c r="F17" s="201">
        <v>2800</v>
      </c>
      <c r="G17" s="538">
        <v>700</v>
      </c>
      <c r="H17" s="637"/>
      <c r="I17" s="538">
        <f t="shared" si="14"/>
        <v>4</v>
      </c>
      <c r="J17" s="538">
        <f t="shared" si="15"/>
        <v>3336.2499029034157</v>
      </c>
      <c r="K17" s="199">
        <f t="shared" si="16"/>
        <v>834.06247572585391</v>
      </c>
      <c r="L17" s="657"/>
      <c r="M17" s="563">
        <f>RANK(K17, K$7:$K$36)</f>
        <v>11</v>
      </c>
      <c r="N17" s="641"/>
      <c r="O17" s="641"/>
      <c r="P17" s="534">
        <v>4</v>
      </c>
      <c r="Q17" s="535">
        <v>2786.9999999999991</v>
      </c>
      <c r="R17" s="535">
        <v>696.74999999999977</v>
      </c>
      <c r="S17" s="562">
        <f t="shared" si="18"/>
        <v>20</v>
      </c>
      <c r="T17" s="637"/>
      <c r="U17" s="534">
        <v>4</v>
      </c>
      <c r="V17" s="535">
        <v>2784.4067796610157</v>
      </c>
      <c r="W17" s="535">
        <v>696.10169491525392</v>
      </c>
      <c r="X17" s="562">
        <f t="shared" si="19"/>
        <v>19</v>
      </c>
      <c r="Y17" s="637"/>
      <c r="Z17" s="534">
        <v>4</v>
      </c>
      <c r="AA17" s="535">
        <v>2831.3793103448261</v>
      </c>
      <c r="AB17" s="535">
        <v>707.84482758620652</v>
      </c>
      <c r="AC17" s="562">
        <f t="shared" si="20"/>
        <v>20</v>
      </c>
      <c r="AD17" s="637"/>
      <c r="AE17" s="534">
        <v>4</v>
      </c>
      <c r="AF17" s="535">
        <v>2806.153846153843</v>
      </c>
      <c r="AG17" s="535">
        <v>701.53846153846075</v>
      </c>
      <c r="AH17" s="562">
        <f t="shared" si="21"/>
        <v>20</v>
      </c>
      <c r="AI17" s="637"/>
      <c r="AJ17" s="534">
        <v>4</v>
      </c>
      <c r="AK17" s="535">
        <v>6605.454545454546</v>
      </c>
      <c r="AL17" s="535">
        <v>1651.3636363636365</v>
      </c>
      <c r="AM17" s="562">
        <f t="shared" si="22"/>
        <v>1</v>
      </c>
      <c r="AN17" s="637"/>
      <c r="AO17" s="534">
        <v>4</v>
      </c>
      <c r="AP17" s="535">
        <v>2775.483870967741</v>
      </c>
      <c r="AQ17" s="535">
        <v>693.87096774193526</v>
      </c>
      <c r="AR17" s="562">
        <f t="shared" si="23"/>
        <v>20</v>
      </c>
      <c r="AS17" s="637"/>
      <c r="AT17" s="534">
        <v>4</v>
      </c>
      <c r="AU17" s="535">
        <v>2763.8709677419347</v>
      </c>
      <c r="AV17" s="535">
        <v>690.96774193548367</v>
      </c>
      <c r="AW17" s="562">
        <f t="shared" si="24"/>
        <v>19</v>
      </c>
      <c r="AX17" s="637"/>
      <c r="AZ17" s="372" t="e">
        <f t="shared" si="17"/>
        <v>#N/A</v>
      </c>
      <c r="BA17" s="642"/>
    </row>
    <row r="18" spans="2:53">
      <c r="B18" s="676"/>
      <c r="C18" s="534">
        <v>12</v>
      </c>
      <c r="D18" s="532" t="s">
        <v>569</v>
      </c>
      <c r="E18" s="201">
        <v>3</v>
      </c>
      <c r="F18" s="201">
        <v>2800</v>
      </c>
      <c r="G18" s="538">
        <v>933.33333333333337</v>
      </c>
      <c r="H18" s="637"/>
      <c r="I18" s="538">
        <f t="shared" si="14"/>
        <v>3</v>
      </c>
      <c r="J18" s="538">
        <f t="shared" si="15"/>
        <v>2794.4458398744109</v>
      </c>
      <c r="K18" s="199">
        <f t="shared" si="16"/>
        <v>931.48194662480375</v>
      </c>
      <c r="L18" s="657"/>
      <c r="M18" s="563">
        <f>RANK(K18, K$7:$K$36)</f>
        <v>10</v>
      </c>
      <c r="N18" s="641"/>
      <c r="O18" s="641"/>
      <c r="P18" s="534">
        <v>3</v>
      </c>
      <c r="Q18" s="535">
        <v>2773.1249999999964</v>
      </c>
      <c r="R18" s="535">
        <v>924.37499999999875</v>
      </c>
      <c r="S18" s="562">
        <f t="shared" si="18"/>
        <v>10</v>
      </c>
      <c r="T18" s="637"/>
      <c r="U18" s="534">
        <v>3</v>
      </c>
      <c r="V18" s="535">
        <v>2716.8749999999964</v>
      </c>
      <c r="W18" s="535">
        <v>905.62499999999875</v>
      </c>
      <c r="X18" s="562">
        <f t="shared" si="19"/>
        <v>10</v>
      </c>
      <c r="Y18" s="637"/>
      <c r="Z18" s="534">
        <v>3</v>
      </c>
      <c r="AA18" s="535">
        <v>2901.4285714285693</v>
      </c>
      <c r="AB18" s="535">
        <v>967.14285714285643</v>
      </c>
      <c r="AC18" s="562">
        <f t="shared" si="20"/>
        <v>10</v>
      </c>
      <c r="AD18" s="637"/>
      <c r="AE18" s="534">
        <v>3</v>
      </c>
      <c r="AF18" s="535">
        <v>2877.6923076923094</v>
      </c>
      <c r="AG18" s="535">
        <v>959.23076923076985</v>
      </c>
      <c r="AH18" s="562">
        <f t="shared" si="21"/>
        <v>11</v>
      </c>
      <c r="AI18" s="637"/>
      <c r="AJ18" s="534">
        <v>3</v>
      </c>
      <c r="AK18" s="535">
        <v>2730.0000000000018</v>
      </c>
      <c r="AL18" s="535">
        <v>910.00000000000057</v>
      </c>
      <c r="AM18" s="562">
        <f t="shared" si="22"/>
        <v>12</v>
      </c>
      <c r="AN18" s="637"/>
      <c r="AO18" s="534">
        <v>3</v>
      </c>
      <c r="AP18" s="535">
        <v>2802.0000000000027</v>
      </c>
      <c r="AQ18" s="535">
        <v>934.00000000000091</v>
      </c>
      <c r="AR18" s="562">
        <f t="shared" si="23"/>
        <v>10</v>
      </c>
      <c r="AS18" s="637"/>
      <c r="AT18" s="534">
        <v>3</v>
      </c>
      <c r="AU18" s="535">
        <v>2760.0000000000027</v>
      </c>
      <c r="AV18" s="535">
        <v>920.00000000000091</v>
      </c>
      <c r="AW18" s="562">
        <f t="shared" si="24"/>
        <v>10</v>
      </c>
      <c r="AX18" s="637"/>
      <c r="AZ18" s="372" t="e">
        <f t="shared" si="17"/>
        <v>#N/A</v>
      </c>
      <c r="BA18" s="642"/>
    </row>
    <row r="19" spans="2:53">
      <c r="B19" s="676"/>
      <c r="C19" s="534">
        <v>13</v>
      </c>
      <c r="D19" s="201" t="s">
        <v>570</v>
      </c>
      <c r="E19" s="201">
        <v>4</v>
      </c>
      <c r="F19" s="201">
        <v>2800</v>
      </c>
      <c r="G19" s="538">
        <v>700</v>
      </c>
      <c r="H19" s="637"/>
      <c r="I19" s="538">
        <f t="shared" si="14"/>
        <v>4</v>
      </c>
      <c r="J19" s="538">
        <f t="shared" si="15"/>
        <v>2744.5510204081697</v>
      </c>
      <c r="K19" s="199">
        <f t="shared" si="16"/>
        <v>686.13775510204243</v>
      </c>
      <c r="L19" s="657"/>
      <c r="M19" s="563">
        <f>RANK(K19, K$7:$K$36)</f>
        <v>21</v>
      </c>
      <c r="N19" s="641"/>
      <c r="O19" s="641"/>
      <c r="P19" s="534">
        <v>4</v>
      </c>
      <c r="Q19" s="535">
        <v>2631.4285714285807</v>
      </c>
      <c r="R19" s="535">
        <v>657.85714285714516</v>
      </c>
      <c r="S19" s="562">
        <f t="shared" si="18"/>
        <v>21</v>
      </c>
      <c r="T19" s="637"/>
      <c r="U19" s="534">
        <v>4</v>
      </c>
      <c r="V19" s="535">
        <v>2631.4285714285807</v>
      </c>
      <c r="W19" s="535">
        <v>657.85714285714516</v>
      </c>
      <c r="X19" s="562">
        <f t="shared" si="19"/>
        <v>21</v>
      </c>
      <c r="Y19" s="637"/>
      <c r="Z19" s="534">
        <v>4</v>
      </c>
      <c r="AA19" s="535">
        <v>2940.00000000001</v>
      </c>
      <c r="AB19" s="535">
        <v>735.0000000000025</v>
      </c>
      <c r="AC19" s="562">
        <f t="shared" si="20"/>
        <v>18</v>
      </c>
      <c r="AD19" s="637"/>
      <c r="AE19" s="534">
        <v>4</v>
      </c>
      <c r="AF19" s="535">
        <v>2897.9999999999873</v>
      </c>
      <c r="AG19" s="535">
        <v>724.49999999999682</v>
      </c>
      <c r="AH19" s="562">
        <f t="shared" si="21"/>
        <v>19</v>
      </c>
      <c r="AI19" s="637"/>
      <c r="AJ19" s="534">
        <v>4</v>
      </c>
      <c r="AK19" s="535">
        <v>2586.0000000000091</v>
      </c>
      <c r="AL19" s="535">
        <v>646.50000000000227</v>
      </c>
      <c r="AM19" s="562">
        <f t="shared" si="22"/>
        <v>22</v>
      </c>
      <c r="AN19" s="637"/>
      <c r="AO19" s="534">
        <v>4</v>
      </c>
      <c r="AP19" s="535">
        <v>2790.00000000001</v>
      </c>
      <c r="AQ19" s="535">
        <v>697.5000000000025</v>
      </c>
      <c r="AR19" s="562">
        <f t="shared" si="23"/>
        <v>19</v>
      </c>
      <c r="AS19" s="637"/>
      <c r="AT19" s="534">
        <v>4</v>
      </c>
      <c r="AU19" s="535">
        <v>2735.0000000000095</v>
      </c>
      <c r="AV19" s="535">
        <v>683.75000000000239</v>
      </c>
      <c r="AW19" s="562">
        <f t="shared" si="24"/>
        <v>20</v>
      </c>
      <c r="AX19" s="637"/>
      <c r="AZ19" s="372" t="e">
        <f t="shared" si="17"/>
        <v>#N/A</v>
      </c>
      <c r="BA19" s="642"/>
    </row>
    <row r="20" spans="2:53">
      <c r="B20" s="676"/>
      <c r="C20" s="534">
        <v>14</v>
      </c>
      <c r="D20" s="201" t="s">
        <v>590</v>
      </c>
      <c r="E20" s="201">
        <v>4</v>
      </c>
      <c r="F20" s="201">
        <v>3200</v>
      </c>
      <c r="G20" s="538">
        <v>800</v>
      </c>
      <c r="H20" s="637"/>
      <c r="I20" s="538">
        <f t="shared" si="14"/>
        <v>4</v>
      </c>
      <c r="J20" s="538">
        <f t="shared" si="15"/>
        <v>3001.8571428571531</v>
      </c>
      <c r="K20" s="199">
        <f t="shared" si="16"/>
        <v>750.46428571428828</v>
      </c>
      <c r="L20" s="657"/>
      <c r="M20" s="563">
        <f>RANK(K20, K$7:$K$36)</f>
        <v>19</v>
      </c>
      <c r="N20" s="641"/>
      <c r="O20" s="641"/>
      <c r="P20" s="534">
        <v>4</v>
      </c>
      <c r="Q20" s="535">
        <v>2810.00000000001</v>
      </c>
      <c r="R20" s="535">
        <v>702.5000000000025</v>
      </c>
      <c r="S20" s="562">
        <f t="shared" si="18"/>
        <v>19</v>
      </c>
      <c r="T20" s="637"/>
      <c r="U20" s="534">
        <v>4</v>
      </c>
      <c r="V20" s="535">
        <v>2650.0000000000091</v>
      </c>
      <c r="W20" s="535">
        <v>662.50000000000227</v>
      </c>
      <c r="X20" s="562">
        <f t="shared" si="19"/>
        <v>20</v>
      </c>
      <c r="Y20" s="637"/>
      <c r="Z20" s="534">
        <v>4</v>
      </c>
      <c r="AA20" s="535">
        <v>3569.9999999999768</v>
      </c>
      <c r="AB20" s="535">
        <v>892.4999999999942</v>
      </c>
      <c r="AC20" s="562">
        <f t="shared" si="20"/>
        <v>11</v>
      </c>
      <c r="AD20" s="637"/>
      <c r="AE20" s="534">
        <v>4</v>
      </c>
      <c r="AF20" s="535">
        <v>3560.0000000000127</v>
      </c>
      <c r="AG20" s="535">
        <v>890.00000000000318</v>
      </c>
      <c r="AH20" s="562">
        <f t="shared" si="21"/>
        <v>13</v>
      </c>
      <c r="AI20" s="637"/>
      <c r="AJ20" s="534">
        <v>4</v>
      </c>
      <c r="AK20" s="535">
        <v>2840.0000000000859</v>
      </c>
      <c r="AL20" s="535">
        <v>710.00000000002149</v>
      </c>
      <c r="AM20" s="562">
        <f t="shared" si="22"/>
        <v>19</v>
      </c>
      <c r="AN20" s="637"/>
      <c r="AO20" s="534">
        <v>4</v>
      </c>
      <c r="AP20" s="535">
        <v>2567.9999999999682</v>
      </c>
      <c r="AQ20" s="535">
        <v>641.99999999999204</v>
      </c>
      <c r="AR20" s="562">
        <f t="shared" si="23"/>
        <v>21</v>
      </c>
      <c r="AS20" s="637"/>
      <c r="AT20" s="534">
        <v>4</v>
      </c>
      <c r="AU20" s="535">
        <v>3015.0000000000105</v>
      </c>
      <c r="AV20" s="535">
        <v>753.75000000000261</v>
      </c>
      <c r="AW20" s="562">
        <f t="shared" si="24"/>
        <v>17</v>
      </c>
      <c r="AX20" s="637"/>
      <c r="AZ20" s="372" t="e">
        <f t="shared" si="17"/>
        <v>#N/A</v>
      </c>
      <c r="BA20" s="642"/>
    </row>
    <row r="21" spans="2:53">
      <c r="B21" s="676"/>
      <c r="C21" s="534">
        <v>15</v>
      </c>
      <c r="D21" s="532" t="s">
        <v>602</v>
      </c>
      <c r="E21" s="201">
        <v>3</v>
      </c>
      <c r="F21" s="201">
        <v>3200</v>
      </c>
      <c r="G21" s="538">
        <v>1066.6666666666667</v>
      </c>
      <c r="H21" s="637"/>
      <c r="I21" s="538">
        <f t="shared" si="14"/>
        <v>3</v>
      </c>
      <c r="J21" s="538">
        <f t="shared" si="15"/>
        <v>3156.9631647125238</v>
      </c>
      <c r="K21" s="199">
        <f t="shared" si="16"/>
        <v>1052.3210549041746</v>
      </c>
      <c r="L21" s="657"/>
      <c r="M21" s="563">
        <f>RANK(K21, K$7:$K$36)</f>
        <v>5</v>
      </c>
      <c r="N21" s="641"/>
      <c r="O21" s="641"/>
      <c r="P21" s="534">
        <v>3</v>
      </c>
      <c r="Q21" s="535">
        <v>3182.608695652174</v>
      </c>
      <c r="R21" s="535">
        <v>1060.8695652173913</v>
      </c>
      <c r="S21" s="562">
        <f t="shared" si="18"/>
        <v>4</v>
      </c>
      <c r="T21" s="637"/>
      <c r="U21" s="534">
        <v>3</v>
      </c>
      <c r="V21" s="535">
        <v>3120</v>
      </c>
      <c r="W21" s="535">
        <v>1040</v>
      </c>
      <c r="X21" s="562">
        <f t="shared" si="19"/>
        <v>6</v>
      </c>
      <c r="Y21" s="637"/>
      <c r="Z21" s="534">
        <v>3</v>
      </c>
      <c r="AA21" s="535">
        <v>3278.181818181818</v>
      </c>
      <c r="AB21" s="535">
        <v>1092.7272727272727</v>
      </c>
      <c r="AC21" s="562">
        <f t="shared" si="20"/>
        <v>4</v>
      </c>
      <c r="AD21" s="637"/>
      <c r="AE21" s="534">
        <v>3</v>
      </c>
      <c r="AF21" s="535">
        <v>3257.6470588235252</v>
      </c>
      <c r="AG21" s="535">
        <v>1085.882352941175</v>
      </c>
      <c r="AH21" s="562">
        <f t="shared" si="21"/>
        <v>1</v>
      </c>
      <c r="AI21" s="637"/>
      <c r="AJ21" s="534">
        <v>3</v>
      </c>
      <c r="AK21" s="535">
        <v>3116.4705882352901</v>
      </c>
      <c r="AL21" s="535">
        <v>1038.8235294117633</v>
      </c>
      <c r="AM21" s="562">
        <f t="shared" si="22"/>
        <v>5</v>
      </c>
      <c r="AN21" s="637"/>
      <c r="AO21" s="534">
        <v>3</v>
      </c>
      <c r="AP21" s="535">
        <v>3075.6521739130435</v>
      </c>
      <c r="AQ21" s="535">
        <v>1025.2173913043478</v>
      </c>
      <c r="AR21" s="562">
        <f t="shared" si="23"/>
        <v>7</v>
      </c>
      <c r="AS21" s="637"/>
      <c r="AT21" s="534">
        <v>3</v>
      </c>
      <c r="AU21" s="535">
        <v>3068.181818181818</v>
      </c>
      <c r="AV21" s="535">
        <v>1022.7272727272726</v>
      </c>
      <c r="AW21" s="562">
        <f t="shared" si="24"/>
        <v>8</v>
      </c>
      <c r="AX21" s="637"/>
      <c r="AZ21" s="372" t="e">
        <f t="shared" si="17"/>
        <v>#N/A</v>
      </c>
      <c r="BA21" s="642"/>
    </row>
    <row r="22" spans="2:53">
      <c r="B22" s="676"/>
      <c r="C22" s="534">
        <v>16</v>
      </c>
      <c r="D22" s="201" t="s">
        <v>607</v>
      </c>
      <c r="E22" s="201">
        <v>3</v>
      </c>
      <c r="F22" s="201">
        <v>3200</v>
      </c>
      <c r="G22" s="538">
        <v>1066.6666666666667</v>
      </c>
      <c r="H22" s="637"/>
      <c r="I22" s="538">
        <f t="shared" si="14"/>
        <v>3</v>
      </c>
      <c r="J22" s="538">
        <f t="shared" si="15"/>
        <v>3140.1523833309525</v>
      </c>
      <c r="K22" s="199">
        <f t="shared" si="16"/>
        <v>1046.7174611103176</v>
      </c>
      <c r="L22" s="657"/>
      <c r="M22" s="563">
        <f>RANK(K22, K$7:$K$36)</f>
        <v>7</v>
      </c>
      <c r="N22" s="641"/>
      <c r="O22" s="641"/>
      <c r="P22" s="534">
        <v>3</v>
      </c>
      <c r="Q22" s="535">
        <v>3105.0000000000109</v>
      </c>
      <c r="R22" s="535">
        <v>1035.0000000000036</v>
      </c>
      <c r="S22" s="562">
        <f t="shared" si="18"/>
        <v>7</v>
      </c>
      <c r="T22" s="637"/>
      <c r="U22" s="534">
        <v>3</v>
      </c>
      <c r="V22" s="535">
        <v>3108.74999999998</v>
      </c>
      <c r="W22" s="535">
        <v>1036.2499999999934</v>
      </c>
      <c r="X22" s="562">
        <f t="shared" si="19"/>
        <v>7</v>
      </c>
      <c r="Y22" s="637"/>
      <c r="Z22" s="534">
        <v>3</v>
      </c>
      <c r="AA22" s="535">
        <v>3261.4285714285834</v>
      </c>
      <c r="AB22" s="535">
        <v>1087.1428571428612</v>
      </c>
      <c r="AC22" s="562">
        <f t="shared" si="20"/>
        <v>5</v>
      </c>
      <c r="AD22" s="637"/>
      <c r="AE22" s="534">
        <v>3</v>
      </c>
      <c r="AF22" s="535">
        <v>3207.2727272727152</v>
      </c>
      <c r="AG22" s="535">
        <v>1069.0909090909051</v>
      </c>
      <c r="AH22" s="562">
        <f t="shared" si="21"/>
        <v>7</v>
      </c>
      <c r="AI22" s="637"/>
      <c r="AJ22" s="534">
        <v>3</v>
      </c>
      <c r="AK22" s="535">
        <v>2994.0000000000105</v>
      </c>
      <c r="AL22" s="535">
        <v>998.00000000000352</v>
      </c>
      <c r="AM22" s="562">
        <f t="shared" si="22"/>
        <v>9</v>
      </c>
      <c r="AN22" s="637"/>
      <c r="AO22" s="534">
        <v>3</v>
      </c>
      <c r="AP22" s="535">
        <v>3198.4615384615304</v>
      </c>
      <c r="AQ22" s="535">
        <v>1066.1538461538435</v>
      </c>
      <c r="AR22" s="562">
        <f t="shared" si="23"/>
        <v>2</v>
      </c>
      <c r="AS22" s="637"/>
      <c r="AT22" s="534">
        <v>3</v>
      </c>
      <c r="AU22" s="535">
        <v>3106.153846153838</v>
      </c>
      <c r="AV22" s="535">
        <v>1035.3846153846127</v>
      </c>
      <c r="AW22" s="562">
        <f t="shared" si="24"/>
        <v>7</v>
      </c>
      <c r="AX22" s="637"/>
      <c r="AZ22" s="372" t="e">
        <f t="shared" si="17"/>
        <v>#N/A</v>
      </c>
      <c r="BA22" s="642"/>
    </row>
    <row r="23" spans="2:53">
      <c r="B23" s="676"/>
      <c r="C23" s="534">
        <v>17</v>
      </c>
      <c r="D23" s="201" t="s">
        <v>614</v>
      </c>
      <c r="E23" s="201">
        <v>3</v>
      </c>
      <c r="F23" s="201">
        <v>3200</v>
      </c>
      <c r="G23" s="538">
        <v>1066.6666666666667</v>
      </c>
      <c r="H23" s="637"/>
      <c r="I23" s="538">
        <f t="shared" si="14"/>
        <v>3</v>
      </c>
      <c r="J23" s="538">
        <f t="shared" si="15"/>
        <v>3010.5680868838745</v>
      </c>
      <c r="K23" s="199">
        <f t="shared" si="16"/>
        <v>1003.5226956279579</v>
      </c>
      <c r="L23" s="657"/>
      <c r="M23" s="563">
        <f>RANK(K23, K$7:$K$36)</f>
        <v>9</v>
      </c>
      <c r="N23" s="641"/>
      <c r="O23" s="641"/>
      <c r="P23" s="534">
        <v>3</v>
      </c>
      <c r="Q23" s="535">
        <v>2935.555555555557</v>
      </c>
      <c r="R23" s="535">
        <v>978.51851851851904</v>
      </c>
      <c r="S23" s="562">
        <f t="shared" si="18"/>
        <v>9</v>
      </c>
      <c r="T23" s="637"/>
      <c r="U23" s="534">
        <v>3</v>
      </c>
      <c r="V23" s="535">
        <v>2999.9999999999923</v>
      </c>
      <c r="W23" s="535">
        <v>999.99999999999739</v>
      </c>
      <c r="X23" s="562">
        <f t="shared" si="19"/>
        <v>9</v>
      </c>
      <c r="Y23" s="637"/>
      <c r="Z23" s="534">
        <v>3</v>
      </c>
      <c r="AA23" s="535">
        <v>3250.0000000000009</v>
      </c>
      <c r="AB23" s="535">
        <v>1083.3333333333337</v>
      </c>
      <c r="AC23" s="562">
        <f t="shared" si="20"/>
        <v>6</v>
      </c>
      <c r="AD23" s="637"/>
      <c r="AE23" s="534">
        <v>3</v>
      </c>
      <c r="AF23" s="535">
        <v>3088.4210526315769</v>
      </c>
      <c r="AG23" s="535">
        <v>1029.4736842105256</v>
      </c>
      <c r="AH23" s="562">
        <f t="shared" si="21"/>
        <v>8</v>
      </c>
      <c r="AI23" s="637"/>
      <c r="AJ23" s="534">
        <v>3</v>
      </c>
      <c r="AK23" s="535">
        <v>2939.9999999999977</v>
      </c>
      <c r="AL23" s="535">
        <v>979.9999999999992</v>
      </c>
      <c r="AM23" s="562">
        <f t="shared" si="22"/>
        <v>10</v>
      </c>
      <c r="AN23" s="637"/>
      <c r="AO23" s="534">
        <v>3</v>
      </c>
      <c r="AP23" s="535">
        <v>2982.5000000000009</v>
      </c>
      <c r="AQ23" s="535">
        <v>994.16666666666697</v>
      </c>
      <c r="AR23" s="562">
        <f t="shared" si="23"/>
        <v>9</v>
      </c>
      <c r="AS23" s="637"/>
      <c r="AT23" s="534">
        <v>3</v>
      </c>
      <c r="AU23" s="535">
        <v>2877.4999999999914</v>
      </c>
      <c r="AV23" s="535">
        <v>959.16666666666379</v>
      </c>
      <c r="AW23" s="562">
        <f t="shared" si="24"/>
        <v>9</v>
      </c>
      <c r="AX23" s="637"/>
      <c r="AZ23" s="372" t="e">
        <f t="shared" si="17"/>
        <v>#N/A</v>
      </c>
      <c r="BA23" s="642"/>
    </row>
    <row r="24" spans="2:53">
      <c r="B24" s="676"/>
      <c r="C24" s="534">
        <v>18</v>
      </c>
      <c r="D24" s="532" t="s">
        <v>712</v>
      </c>
      <c r="E24" s="201">
        <v>4</v>
      </c>
      <c r="F24" s="201">
        <v>3200</v>
      </c>
      <c r="G24" s="538">
        <v>800</v>
      </c>
      <c r="H24" s="637"/>
      <c r="I24" s="538">
        <f t="shared" si="14"/>
        <v>4</v>
      </c>
      <c r="J24" s="538">
        <f t="shared" si="15"/>
        <v>3165.4610237467373</v>
      </c>
      <c r="K24" s="199">
        <f t="shared" si="16"/>
        <v>791.36525593668432</v>
      </c>
      <c r="L24" s="657"/>
      <c r="M24" s="563">
        <f>RANK(K24, K$7:$K$36)</f>
        <v>16</v>
      </c>
      <c r="N24" s="641"/>
      <c r="O24" s="641"/>
      <c r="P24" s="534">
        <v>4</v>
      </c>
      <c r="Q24" s="535">
        <v>3161.5384615384601</v>
      </c>
      <c r="R24" s="535">
        <v>790.38461538461502</v>
      </c>
      <c r="S24" s="562">
        <f t="shared" si="18"/>
        <v>13</v>
      </c>
      <c r="T24" s="637"/>
      <c r="U24" s="534">
        <v>4</v>
      </c>
      <c r="V24" s="535">
        <v>3158.9189189189165</v>
      </c>
      <c r="W24" s="535">
        <v>789.72972972972912</v>
      </c>
      <c r="X24" s="562">
        <f t="shared" si="19"/>
        <v>12</v>
      </c>
      <c r="Y24" s="637"/>
      <c r="Z24" s="534">
        <v>4</v>
      </c>
      <c r="AA24" s="535">
        <v>3291.9999999999941</v>
      </c>
      <c r="AB24" s="535">
        <v>822.99999999999852</v>
      </c>
      <c r="AC24" s="562">
        <f t="shared" si="20"/>
        <v>15</v>
      </c>
      <c r="AD24" s="637"/>
      <c r="AE24" s="534">
        <v>4</v>
      </c>
      <c r="AF24" s="535">
        <v>3214.6153846153866</v>
      </c>
      <c r="AG24" s="535">
        <v>803.65384615384664</v>
      </c>
      <c r="AH24" s="562">
        <f t="shared" si="21"/>
        <v>18</v>
      </c>
      <c r="AI24" s="637"/>
      <c r="AJ24" s="534">
        <v>4</v>
      </c>
      <c r="AK24" s="535">
        <v>3079.090909090909</v>
      </c>
      <c r="AL24" s="535">
        <v>769.77272727272725</v>
      </c>
      <c r="AM24" s="562">
        <f t="shared" si="22"/>
        <v>15</v>
      </c>
      <c r="AN24" s="637"/>
      <c r="AO24" s="534">
        <v>4</v>
      </c>
      <c r="AP24" s="535">
        <v>3154.2857142857165</v>
      </c>
      <c r="AQ24" s="535">
        <v>788.57142857142912</v>
      </c>
      <c r="AR24" s="562">
        <f t="shared" si="23"/>
        <v>14</v>
      </c>
      <c r="AS24" s="637"/>
      <c r="AT24" s="534">
        <v>4</v>
      </c>
      <c r="AU24" s="535">
        <v>3097.7777777777792</v>
      </c>
      <c r="AV24" s="535">
        <v>774.4444444444448</v>
      </c>
      <c r="AW24" s="562">
        <f t="shared" si="24"/>
        <v>16</v>
      </c>
      <c r="AX24" s="637"/>
      <c r="AZ24" s="372" t="e">
        <f t="shared" si="17"/>
        <v>#N/A</v>
      </c>
      <c r="BA24" s="642"/>
    </row>
    <row r="25" spans="2:53">
      <c r="B25" s="676"/>
      <c r="C25" s="534">
        <v>19</v>
      </c>
      <c r="D25" s="532" t="s">
        <v>566</v>
      </c>
      <c r="E25" s="201">
        <v>4</v>
      </c>
      <c r="F25" s="201">
        <v>2800</v>
      </c>
      <c r="G25" s="538">
        <v>700</v>
      </c>
      <c r="H25" s="637"/>
      <c r="I25" s="538">
        <f t="shared" si="14"/>
        <v>4</v>
      </c>
      <c r="J25" s="538">
        <f t="shared" si="15"/>
        <v>2912.3142857142943</v>
      </c>
      <c r="K25" s="199">
        <f t="shared" si="16"/>
        <v>728.07857142857358</v>
      </c>
      <c r="L25" s="657"/>
      <c r="M25" s="563">
        <f>RANK(K25, K$7:$K$36)</f>
        <v>20</v>
      </c>
      <c r="N25" s="641"/>
      <c r="O25" s="641"/>
      <c r="P25" s="534">
        <v>4</v>
      </c>
      <c r="Q25" s="535">
        <v>3057.0000000000109</v>
      </c>
      <c r="R25" s="535">
        <v>764.25000000000273</v>
      </c>
      <c r="S25" s="562">
        <f t="shared" si="18"/>
        <v>17</v>
      </c>
      <c r="T25" s="637"/>
      <c r="U25" s="534">
        <v>4</v>
      </c>
      <c r="V25" s="535">
        <v>3111.0000000000114</v>
      </c>
      <c r="W25" s="535">
        <v>777.75000000000284</v>
      </c>
      <c r="X25" s="562">
        <f t="shared" si="19"/>
        <v>14</v>
      </c>
      <c r="Y25" s="637"/>
      <c r="Z25" s="534">
        <v>4</v>
      </c>
      <c r="AA25" s="535">
        <v>2901.0000000000105</v>
      </c>
      <c r="AB25" s="535">
        <v>725.25000000000261</v>
      </c>
      <c r="AC25" s="562">
        <f t="shared" si="20"/>
        <v>19</v>
      </c>
      <c r="AD25" s="637"/>
      <c r="AE25" s="534">
        <v>4</v>
      </c>
      <c r="AF25" s="535">
        <v>2733.0000000000095</v>
      </c>
      <c r="AG25" s="535">
        <v>683.25000000000239</v>
      </c>
      <c r="AH25" s="562">
        <f t="shared" si="21"/>
        <v>21</v>
      </c>
      <c r="AI25" s="637"/>
      <c r="AJ25" s="534">
        <v>4</v>
      </c>
      <c r="AK25" s="535">
        <v>2952.0000000000105</v>
      </c>
      <c r="AL25" s="535">
        <v>738.00000000000261</v>
      </c>
      <c r="AM25" s="562">
        <f t="shared" si="22"/>
        <v>17</v>
      </c>
      <c r="AN25" s="637"/>
      <c r="AO25" s="534">
        <v>4</v>
      </c>
      <c r="AP25" s="535">
        <v>3165.0000000000109</v>
      </c>
      <c r="AQ25" s="535">
        <v>791.25000000000273</v>
      </c>
      <c r="AR25" s="562">
        <f t="shared" si="23"/>
        <v>13</v>
      </c>
      <c r="AS25" s="637"/>
      <c r="AT25" s="534">
        <v>4</v>
      </c>
      <c r="AU25" s="535">
        <v>2467.199999999993</v>
      </c>
      <c r="AV25" s="535">
        <v>616.79999999999825</v>
      </c>
      <c r="AW25" s="562">
        <f t="shared" si="24"/>
        <v>21</v>
      </c>
      <c r="AX25" s="637"/>
      <c r="AZ25" s="372" t="e">
        <f t="shared" si="17"/>
        <v>#N/A</v>
      </c>
      <c r="BA25" s="642"/>
    </row>
    <row r="26" spans="2:53">
      <c r="B26" s="676"/>
      <c r="C26" s="534">
        <v>20</v>
      </c>
      <c r="D26" s="532" t="s">
        <v>567</v>
      </c>
      <c r="E26" s="201">
        <v>3</v>
      </c>
      <c r="F26" s="201">
        <v>2800</v>
      </c>
      <c r="G26" s="538">
        <v>933.33333333333337</v>
      </c>
      <c r="H26" s="637"/>
      <c r="I26" s="538">
        <f t="shared" si="14"/>
        <v>3</v>
      </c>
      <c r="J26" s="538">
        <f t="shared" si="15"/>
        <v>3108.8571428571295</v>
      </c>
      <c r="K26" s="199">
        <f t="shared" si="16"/>
        <v>1036.2857142857097</v>
      </c>
      <c r="L26" s="657"/>
      <c r="M26" s="563">
        <f>RANK(K26, K$7:$K$36)</f>
        <v>8</v>
      </c>
      <c r="N26" s="641"/>
      <c r="O26" s="641"/>
      <c r="P26" s="534">
        <v>3</v>
      </c>
      <c r="Q26" s="535">
        <v>3206.9999999999854</v>
      </c>
      <c r="R26" s="535">
        <v>1068.9999999999952</v>
      </c>
      <c r="S26" s="562">
        <f t="shared" si="18"/>
        <v>1</v>
      </c>
      <c r="T26" s="637"/>
      <c r="U26" s="534">
        <v>3</v>
      </c>
      <c r="V26" s="535">
        <v>3173.9999999999859</v>
      </c>
      <c r="W26" s="535">
        <v>1057.9999999999952</v>
      </c>
      <c r="X26" s="562">
        <f t="shared" si="19"/>
        <v>5</v>
      </c>
      <c r="Y26" s="637"/>
      <c r="Z26" s="534">
        <v>3</v>
      </c>
      <c r="AA26" s="535">
        <v>2990.9999999999868</v>
      </c>
      <c r="AB26" s="535">
        <v>996.99999999999557</v>
      </c>
      <c r="AC26" s="562">
        <f t="shared" si="20"/>
        <v>9</v>
      </c>
      <c r="AD26" s="637"/>
      <c r="AE26" s="534">
        <v>3</v>
      </c>
      <c r="AF26" s="535">
        <v>2834.9999999999873</v>
      </c>
      <c r="AG26" s="535">
        <v>944.99999999999579</v>
      </c>
      <c r="AH26" s="562">
        <f t="shared" si="21"/>
        <v>12</v>
      </c>
      <c r="AI26" s="637"/>
      <c r="AJ26" s="534">
        <v>3</v>
      </c>
      <c r="AK26" s="535">
        <v>3023.9999999999868</v>
      </c>
      <c r="AL26" s="535">
        <v>1007.9999999999956</v>
      </c>
      <c r="AM26" s="562">
        <f t="shared" si="22"/>
        <v>8</v>
      </c>
      <c r="AN26" s="637"/>
      <c r="AO26" s="534">
        <v>3</v>
      </c>
      <c r="AP26" s="535">
        <v>3290.9999999999854</v>
      </c>
      <c r="AQ26" s="535">
        <v>1096.9999999999952</v>
      </c>
      <c r="AR26" s="562">
        <f t="shared" si="23"/>
        <v>1</v>
      </c>
      <c r="AS26" s="637"/>
      <c r="AT26" s="534">
        <v>3</v>
      </c>
      <c r="AU26" s="535">
        <v>3239.9999999999854</v>
      </c>
      <c r="AV26" s="535">
        <v>1079.9999999999952</v>
      </c>
      <c r="AW26" s="562">
        <f t="shared" si="24"/>
        <v>1</v>
      </c>
      <c r="AX26" s="637"/>
      <c r="AZ26" s="372" t="e">
        <f t="shared" si="17"/>
        <v>#N/A</v>
      </c>
      <c r="BA26" s="642"/>
    </row>
    <row r="27" spans="2:53">
      <c r="B27" s="676"/>
      <c r="C27" s="534">
        <v>21</v>
      </c>
      <c r="D27" s="532" t="s">
        <v>568</v>
      </c>
      <c r="E27" s="201">
        <v>4</v>
      </c>
      <c r="F27" s="201">
        <v>2200</v>
      </c>
      <c r="G27" s="538">
        <v>550</v>
      </c>
      <c r="H27" s="637"/>
      <c r="I27" s="538">
        <f t="shared" si="14"/>
        <v>3</v>
      </c>
      <c r="J27" s="538">
        <f t="shared" si="15"/>
        <v>2400.6367346938773</v>
      </c>
      <c r="K27" s="199">
        <f t="shared" si="16"/>
        <v>800.21224489795895</v>
      </c>
      <c r="L27" s="657"/>
      <c r="M27" s="563">
        <f>RANK(K27, K$7:$K$36)</f>
        <v>13</v>
      </c>
      <c r="N27" s="641"/>
      <c r="O27" s="641"/>
      <c r="P27" s="534">
        <v>3</v>
      </c>
      <c r="Q27" s="535">
        <v>2185.7142857142835</v>
      </c>
      <c r="R27" s="535">
        <v>728.57142857142787</v>
      </c>
      <c r="S27" s="562">
        <f t="shared" si="18"/>
        <v>18</v>
      </c>
      <c r="T27" s="637"/>
      <c r="U27" s="534">
        <v>3</v>
      </c>
      <c r="V27" s="535">
        <v>2115.4285714285693</v>
      </c>
      <c r="W27" s="535">
        <v>705.14285714285643</v>
      </c>
      <c r="X27" s="562">
        <f t="shared" si="19"/>
        <v>18</v>
      </c>
      <c r="Y27" s="637"/>
      <c r="Z27" s="534">
        <v>3</v>
      </c>
      <c r="AA27" s="535">
        <v>2348.0000000000086</v>
      </c>
      <c r="AB27" s="535">
        <v>782.66666666666958</v>
      </c>
      <c r="AC27" s="562">
        <f t="shared" si="20"/>
        <v>17</v>
      </c>
      <c r="AD27" s="637"/>
      <c r="AE27" s="534">
        <v>3</v>
      </c>
      <c r="AF27" s="535">
        <v>2632.7999999999925</v>
      </c>
      <c r="AG27" s="535">
        <v>877.59999999999752</v>
      </c>
      <c r="AH27" s="562">
        <f t="shared" si="21"/>
        <v>14</v>
      </c>
      <c r="AI27" s="637"/>
      <c r="AJ27" s="534">
        <v>3</v>
      </c>
      <c r="AK27" s="535">
        <v>2848.7999999999915</v>
      </c>
      <c r="AL27" s="535">
        <v>949.59999999999718</v>
      </c>
      <c r="AM27" s="562">
        <f t="shared" si="22"/>
        <v>11</v>
      </c>
      <c r="AN27" s="637"/>
      <c r="AO27" s="534">
        <v>3</v>
      </c>
      <c r="AP27" s="535">
        <v>2548.0000000000091</v>
      </c>
      <c r="AQ27" s="535">
        <v>849.33333333333633</v>
      </c>
      <c r="AR27" s="562">
        <f t="shared" si="23"/>
        <v>11</v>
      </c>
      <c r="AS27" s="637"/>
      <c r="AT27" s="534">
        <v>3</v>
      </c>
      <c r="AU27" s="535">
        <v>2125.7142857142835</v>
      </c>
      <c r="AV27" s="535">
        <v>708.57142857142787</v>
      </c>
      <c r="AW27" s="562">
        <f t="shared" si="24"/>
        <v>18</v>
      </c>
      <c r="AX27" s="637"/>
      <c r="AZ27" s="372" t="e">
        <f t="shared" si="17"/>
        <v>#N/A</v>
      </c>
      <c r="BA27" s="642"/>
    </row>
    <row r="28" spans="2:53">
      <c r="B28" s="676"/>
      <c r="C28" s="534">
        <v>22</v>
      </c>
      <c r="D28" s="532" t="s">
        <v>631</v>
      </c>
      <c r="E28" s="201">
        <v>4</v>
      </c>
      <c r="F28" s="201">
        <v>2200</v>
      </c>
      <c r="G28" s="538">
        <v>550</v>
      </c>
      <c r="H28" s="637"/>
      <c r="I28" s="538">
        <f t="shared" si="14"/>
        <v>4</v>
      </c>
      <c r="J28" s="538">
        <f t="shared" si="15"/>
        <v>2426.6648526077156</v>
      </c>
      <c r="K28" s="199">
        <f t="shared" si="16"/>
        <v>606.6662131519289</v>
      </c>
      <c r="L28" s="657"/>
      <c r="M28" s="563">
        <f>RANK(K28, K$7:$K$36)</f>
        <v>22</v>
      </c>
      <c r="N28" s="641"/>
      <c r="O28" s="641"/>
      <c r="P28" s="534">
        <v>4</v>
      </c>
      <c r="Q28" s="535">
        <v>2244.0000000000082</v>
      </c>
      <c r="R28" s="535">
        <v>561.00000000000205</v>
      </c>
      <c r="S28" s="562">
        <f t="shared" si="18"/>
        <v>22</v>
      </c>
      <c r="T28" s="637"/>
      <c r="U28" s="534">
        <v>4</v>
      </c>
      <c r="V28" s="535">
        <v>2520.0000000000091</v>
      </c>
      <c r="W28" s="535">
        <v>630.00000000000227</v>
      </c>
      <c r="X28" s="562">
        <f t="shared" si="19"/>
        <v>22</v>
      </c>
      <c r="Y28" s="637"/>
      <c r="Z28" s="534">
        <v>4</v>
      </c>
      <c r="AA28" s="535">
        <v>2678.4000000000096</v>
      </c>
      <c r="AB28" s="535">
        <v>669.60000000000241</v>
      </c>
      <c r="AC28" s="562">
        <f t="shared" si="20"/>
        <v>21</v>
      </c>
      <c r="AD28" s="637"/>
      <c r="AE28" s="534">
        <v>4</v>
      </c>
      <c r="AF28" s="535">
        <v>2311.111111111119</v>
      </c>
      <c r="AG28" s="535">
        <v>577.77777777777976</v>
      </c>
      <c r="AH28" s="562">
        <f t="shared" si="21"/>
        <v>22</v>
      </c>
      <c r="AI28" s="637"/>
      <c r="AJ28" s="534">
        <v>4</v>
      </c>
      <c r="AK28" s="535">
        <v>2687.9999999999923</v>
      </c>
      <c r="AL28" s="535">
        <v>671.99999999999807</v>
      </c>
      <c r="AM28" s="562">
        <f t="shared" si="22"/>
        <v>21</v>
      </c>
      <c r="AN28" s="637"/>
      <c r="AO28" s="534">
        <v>4</v>
      </c>
      <c r="AP28" s="535">
        <v>2117.1428571428646</v>
      </c>
      <c r="AQ28" s="535">
        <v>529.28571428571615</v>
      </c>
      <c r="AR28" s="562">
        <f t="shared" si="23"/>
        <v>22</v>
      </c>
      <c r="AS28" s="637"/>
      <c r="AT28" s="534">
        <v>4</v>
      </c>
      <c r="AU28" s="535">
        <v>2428.0000000000086</v>
      </c>
      <c r="AV28" s="535">
        <v>607.00000000000216</v>
      </c>
      <c r="AW28" s="562">
        <f t="shared" si="24"/>
        <v>22</v>
      </c>
      <c r="AX28" s="637"/>
      <c r="AZ28" s="372" t="e">
        <f t="shared" si="17"/>
        <v>#N/A</v>
      </c>
      <c r="BA28" s="642"/>
    </row>
    <row r="29" spans="2:53">
      <c r="B29" s="676"/>
      <c r="C29" s="534">
        <v>23</v>
      </c>
      <c r="D29" s="201" t="s">
        <v>634</v>
      </c>
      <c r="E29" s="201">
        <v>5</v>
      </c>
      <c r="F29" s="201">
        <v>2200</v>
      </c>
      <c r="G29" s="538">
        <v>333.33333333333331</v>
      </c>
      <c r="H29" s="637"/>
      <c r="I29" s="538">
        <f t="shared" si="14"/>
        <v>5</v>
      </c>
      <c r="J29" s="538">
        <f t="shared" si="15"/>
        <v>1892.4489795918437</v>
      </c>
      <c r="K29" s="199">
        <f t="shared" si="16"/>
        <v>378.48979591836866</v>
      </c>
      <c r="L29" s="657"/>
      <c r="M29" s="563">
        <f>RANK(K29, K$7:$K$36)</f>
        <v>23</v>
      </c>
      <c r="N29" s="641"/>
      <c r="O29" s="641"/>
      <c r="P29" s="534">
        <v>5</v>
      </c>
      <c r="Q29" s="535">
        <v>1935.0000000000068</v>
      </c>
      <c r="R29" s="535">
        <v>387.00000000000136</v>
      </c>
      <c r="S29" s="562">
        <f t="shared" si="18"/>
        <v>23</v>
      </c>
      <c r="T29" s="637"/>
      <c r="U29" s="534">
        <v>5</v>
      </c>
      <c r="V29" s="535">
        <v>1916.0000000000068</v>
      </c>
      <c r="W29" s="535">
        <v>383.20000000000135</v>
      </c>
      <c r="X29" s="562">
        <f t="shared" si="19"/>
        <v>23</v>
      </c>
      <c r="Y29" s="637"/>
      <c r="Z29" s="534">
        <v>5</v>
      </c>
      <c r="AA29" s="535">
        <v>1877.1428571428639</v>
      </c>
      <c r="AB29" s="535">
        <v>375.42857142857281</v>
      </c>
      <c r="AC29" s="562">
        <f t="shared" si="20"/>
        <v>23</v>
      </c>
      <c r="AD29" s="637"/>
      <c r="AE29" s="534">
        <v>5</v>
      </c>
      <c r="AF29" s="535">
        <v>1815.0000000000064</v>
      </c>
      <c r="AG29" s="535">
        <v>363.00000000000125</v>
      </c>
      <c r="AH29" s="562">
        <f t="shared" si="21"/>
        <v>23</v>
      </c>
      <c r="AI29" s="637"/>
      <c r="AJ29" s="534">
        <v>5</v>
      </c>
      <c r="AK29" s="535">
        <v>1940.000000000007</v>
      </c>
      <c r="AL29" s="535">
        <v>388.00000000000142</v>
      </c>
      <c r="AM29" s="562">
        <f t="shared" si="22"/>
        <v>24</v>
      </c>
      <c r="AN29" s="637"/>
      <c r="AO29" s="534">
        <v>5</v>
      </c>
      <c r="AP29" s="535">
        <v>1844.0000000000064</v>
      </c>
      <c r="AQ29" s="535">
        <v>368.80000000000126</v>
      </c>
      <c r="AR29" s="562">
        <f t="shared" si="23"/>
        <v>23</v>
      </c>
      <c r="AS29" s="637"/>
      <c r="AT29" s="534">
        <v>5</v>
      </c>
      <c r="AU29" s="535">
        <v>1920.0000000000068</v>
      </c>
      <c r="AV29" s="535">
        <v>384.00000000000136</v>
      </c>
      <c r="AW29" s="562">
        <f t="shared" si="24"/>
        <v>23</v>
      </c>
      <c r="AX29" s="637"/>
      <c r="AZ29" s="372" t="e">
        <f t="shared" si="17"/>
        <v>#N/A</v>
      </c>
      <c r="BA29" s="642"/>
    </row>
    <row r="30" spans="2:53">
      <c r="B30" s="676"/>
      <c r="C30" s="534">
        <v>24</v>
      </c>
      <c r="D30" s="532" t="s">
        <v>635</v>
      </c>
      <c r="E30" s="201">
        <v>5</v>
      </c>
      <c r="F30" s="201">
        <v>2200</v>
      </c>
      <c r="G30" s="538">
        <v>333.33333333333331</v>
      </c>
      <c r="H30" s="637"/>
      <c r="I30" s="538">
        <f t="shared" si="14"/>
        <v>5</v>
      </c>
      <c r="J30" s="538">
        <f t="shared" si="15"/>
        <v>1851.8766233766303</v>
      </c>
      <c r="K30" s="199">
        <f t="shared" si="16"/>
        <v>370.375324675326</v>
      </c>
      <c r="L30" s="657"/>
      <c r="M30" s="563">
        <f>RANK(K30, K$7:$K$36)</f>
        <v>24</v>
      </c>
      <c r="N30" s="641"/>
      <c r="O30" s="641"/>
      <c r="P30" s="534">
        <v>5</v>
      </c>
      <c r="Q30" s="535">
        <v>1900.0000000000066</v>
      </c>
      <c r="R30" s="535">
        <v>380.00000000000131</v>
      </c>
      <c r="S30" s="562">
        <f t="shared" si="18"/>
        <v>24</v>
      </c>
      <c r="T30" s="637"/>
      <c r="U30" s="534">
        <v>5</v>
      </c>
      <c r="V30" s="535">
        <v>1903.6363636363703</v>
      </c>
      <c r="W30" s="535">
        <v>380.72727272727406</v>
      </c>
      <c r="X30" s="562">
        <f t="shared" si="19"/>
        <v>24</v>
      </c>
      <c r="Y30" s="637"/>
      <c r="Z30" s="534">
        <v>5</v>
      </c>
      <c r="AA30" s="535">
        <v>1758.0000000000061</v>
      </c>
      <c r="AB30" s="535">
        <v>351.60000000000122</v>
      </c>
      <c r="AC30" s="562">
        <f t="shared" si="20"/>
        <v>24</v>
      </c>
      <c r="AD30" s="637"/>
      <c r="AE30" s="534">
        <v>5</v>
      </c>
      <c r="AF30" s="535">
        <v>1755.0000000000061</v>
      </c>
      <c r="AG30" s="535">
        <v>351.00000000000125</v>
      </c>
      <c r="AH30" s="562">
        <f t="shared" si="21"/>
        <v>24</v>
      </c>
      <c r="AI30" s="637"/>
      <c r="AJ30" s="534">
        <v>5</v>
      </c>
      <c r="AK30" s="535">
        <v>1942.5000000000068</v>
      </c>
      <c r="AL30" s="535">
        <v>388.50000000000136</v>
      </c>
      <c r="AM30" s="562">
        <f t="shared" si="22"/>
        <v>23</v>
      </c>
      <c r="AN30" s="637"/>
      <c r="AO30" s="534">
        <v>5</v>
      </c>
      <c r="AP30" s="535">
        <v>1824.0000000000066</v>
      </c>
      <c r="AQ30" s="535">
        <v>364.80000000000132</v>
      </c>
      <c r="AR30" s="562">
        <f t="shared" si="23"/>
        <v>24</v>
      </c>
      <c r="AS30" s="637"/>
      <c r="AT30" s="534">
        <v>5</v>
      </c>
      <c r="AU30" s="535">
        <v>1880.0000000000068</v>
      </c>
      <c r="AV30" s="535">
        <v>376.00000000000136</v>
      </c>
      <c r="AW30" s="562">
        <f t="shared" si="24"/>
        <v>24</v>
      </c>
      <c r="AX30" s="637"/>
      <c r="AZ30" s="372" t="e">
        <f t="shared" si="17"/>
        <v>#N/A</v>
      </c>
      <c r="BA30" s="642"/>
    </row>
    <row r="31" spans="2:53">
      <c r="B31" s="676"/>
      <c r="C31" s="534">
        <v>25</v>
      </c>
      <c r="D31" s="201" t="s">
        <v>594</v>
      </c>
      <c r="E31" s="201">
        <v>8</v>
      </c>
      <c r="F31" s="201">
        <v>1500</v>
      </c>
      <c r="G31" s="538">
        <v>187.5</v>
      </c>
      <c r="H31" s="637"/>
      <c r="I31" s="538">
        <f t="shared" si="14"/>
        <v>12</v>
      </c>
      <c r="J31" s="538">
        <f t="shared" si="15"/>
        <v>1381.5615882716727</v>
      </c>
      <c r="K31" s="199">
        <f t="shared" si="16"/>
        <v>115.13013235597275</v>
      </c>
      <c r="L31" s="657"/>
      <c r="M31" s="563">
        <f>RANK(K31, K$7:$K$36)</f>
        <v>25</v>
      </c>
      <c r="N31" s="641"/>
      <c r="O31" s="641"/>
      <c r="P31" s="534">
        <v>12</v>
      </c>
      <c r="Q31" s="535">
        <v>1371.2727272727282</v>
      </c>
      <c r="R31" s="535">
        <v>114.27272727272735</v>
      </c>
      <c r="S31" s="562">
        <f t="shared" si="18"/>
        <v>25</v>
      </c>
      <c r="T31" s="637"/>
      <c r="U31" s="534">
        <v>12</v>
      </c>
      <c r="V31" s="535">
        <v>1363.3333333333342</v>
      </c>
      <c r="W31" s="535">
        <v>113.61111111111119</v>
      </c>
      <c r="X31" s="562">
        <f t="shared" si="19"/>
        <v>25</v>
      </c>
      <c r="Y31" s="637"/>
      <c r="Z31" s="534">
        <v>12</v>
      </c>
      <c r="AA31" s="535">
        <v>1387.0588235294124</v>
      </c>
      <c r="AB31" s="535">
        <v>115.58823529411769</v>
      </c>
      <c r="AC31" s="562">
        <f t="shared" si="20"/>
        <v>25</v>
      </c>
      <c r="AD31" s="637"/>
      <c r="AE31" s="534">
        <v>12</v>
      </c>
      <c r="AF31" s="535">
        <v>1385.0000000000005</v>
      </c>
      <c r="AG31" s="535">
        <v>115.4166666666667</v>
      </c>
      <c r="AH31" s="562">
        <f t="shared" si="21"/>
        <v>25</v>
      </c>
      <c r="AI31" s="637"/>
      <c r="AJ31" s="534">
        <v>12</v>
      </c>
      <c r="AK31" s="535">
        <v>1400.0000000000005</v>
      </c>
      <c r="AL31" s="535">
        <v>116.6666666666667</v>
      </c>
      <c r="AM31" s="562">
        <f t="shared" si="22"/>
        <v>25</v>
      </c>
      <c r="AN31" s="637"/>
      <c r="AO31" s="534">
        <v>12</v>
      </c>
      <c r="AP31" s="535">
        <v>1385.357142857144</v>
      </c>
      <c r="AQ31" s="535">
        <v>115.44642857142867</v>
      </c>
      <c r="AR31" s="562">
        <f t="shared" si="23"/>
        <v>25</v>
      </c>
      <c r="AS31" s="637"/>
      <c r="AT31" s="534">
        <v>12</v>
      </c>
      <c r="AU31" s="535">
        <v>1378.9090909090919</v>
      </c>
      <c r="AV31" s="535">
        <v>114.90909090909099</v>
      </c>
      <c r="AW31" s="562">
        <f t="shared" si="24"/>
        <v>25</v>
      </c>
      <c r="AX31" s="637"/>
      <c r="AZ31" s="372" t="e">
        <f t="shared" si="17"/>
        <v>#N/A</v>
      </c>
      <c r="BA31" s="642"/>
    </row>
    <row r="32" spans="2:53">
      <c r="B32" s="676"/>
      <c r="C32" s="534">
        <v>26</v>
      </c>
      <c r="D32" s="201"/>
      <c r="E32" s="201"/>
      <c r="F32" s="201"/>
      <c r="G32" s="538"/>
      <c r="H32" s="637"/>
      <c r="I32" s="538" t="str">
        <f t="shared" si="14"/>
        <v>-</v>
      </c>
      <c r="J32" s="538" t="str">
        <f t="shared" si="15"/>
        <v>-</v>
      </c>
      <c r="K32" s="199" t="str">
        <f t="shared" si="16"/>
        <v>-</v>
      </c>
      <c r="L32" s="657"/>
      <c r="M32" s="563" t="e">
        <f>RANK(K32, K$7:$K$36)</f>
        <v>#VALUE!</v>
      </c>
      <c r="N32" s="641"/>
      <c r="O32" s="641"/>
      <c r="P32" s="534"/>
      <c r="Q32" s="535"/>
      <c r="R32" s="535"/>
      <c r="S32" s="562" t="e">
        <f t="shared" si="18"/>
        <v>#N/A</v>
      </c>
      <c r="T32" s="637"/>
      <c r="U32" s="534"/>
      <c r="V32" s="535"/>
      <c r="W32" s="535"/>
      <c r="X32" s="562" t="e">
        <f t="shared" si="19"/>
        <v>#N/A</v>
      </c>
      <c r="Y32" s="637"/>
      <c r="Z32" s="534"/>
      <c r="AA32" s="535"/>
      <c r="AB32" s="535"/>
      <c r="AC32" s="562" t="e">
        <f t="shared" si="20"/>
        <v>#N/A</v>
      </c>
      <c r="AD32" s="637"/>
      <c r="AE32" s="534"/>
      <c r="AF32" s="535"/>
      <c r="AG32" s="535"/>
      <c r="AH32" s="562" t="e">
        <f t="shared" si="21"/>
        <v>#N/A</v>
      </c>
      <c r="AI32" s="637"/>
      <c r="AJ32" s="534"/>
      <c r="AK32" s="535"/>
      <c r="AL32" s="535"/>
      <c r="AM32" s="562" t="e">
        <f t="shared" si="22"/>
        <v>#N/A</v>
      </c>
      <c r="AN32" s="637"/>
      <c r="AO32" s="534"/>
      <c r="AP32" s="535"/>
      <c r="AQ32" s="535"/>
      <c r="AR32" s="562" t="e">
        <f t="shared" si="23"/>
        <v>#N/A</v>
      </c>
      <c r="AS32" s="637"/>
      <c r="AT32" s="534"/>
      <c r="AU32" s="535"/>
      <c r="AV32" s="535"/>
      <c r="AW32" s="562" t="e">
        <f t="shared" si="24"/>
        <v>#N/A</v>
      </c>
      <c r="AX32" s="637"/>
      <c r="AZ32" s="372" t="e">
        <f t="shared" si="17"/>
        <v>#N/A</v>
      </c>
      <c r="BA32" s="642"/>
    </row>
    <row r="33" spans="2:53">
      <c r="B33" s="676"/>
      <c r="C33" s="534">
        <v>27</v>
      </c>
      <c r="D33" s="201"/>
      <c r="E33" s="201"/>
      <c r="F33" s="201"/>
      <c r="G33" s="538"/>
      <c r="H33" s="637"/>
      <c r="I33" s="538" t="str">
        <f t="shared" si="14"/>
        <v>-</v>
      </c>
      <c r="J33" s="538" t="str">
        <f t="shared" si="15"/>
        <v>-</v>
      </c>
      <c r="K33" s="199" t="str">
        <f t="shared" si="16"/>
        <v>-</v>
      </c>
      <c r="L33" s="657"/>
      <c r="M33" s="563" t="e">
        <f>RANK(K33, K$7:$K$36)</f>
        <v>#VALUE!</v>
      </c>
      <c r="N33" s="641"/>
      <c r="O33" s="641"/>
      <c r="P33" s="534"/>
      <c r="Q33" s="535"/>
      <c r="R33" s="535"/>
      <c r="S33" s="562" t="e">
        <f t="shared" si="18"/>
        <v>#N/A</v>
      </c>
      <c r="T33" s="637"/>
      <c r="U33" s="534"/>
      <c r="V33" s="535"/>
      <c r="W33" s="535"/>
      <c r="X33" s="562" t="e">
        <f t="shared" si="19"/>
        <v>#N/A</v>
      </c>
      <c r="Y33" s="637"/>
      <c r="Z33" s="534"/>
      <c r="AA33" s="535"/>
      <c r="AB33" s="535"/>
      <c r="AC33" s="562" t="e">
        <f t="shared" si="20"/>
        <v>#N/A</v>
      </c>
      <c r="AD33" s="637"/>
      <c r="AE33" s="534"/>
      <c r="AF33" s="535"/>
      <c r="AG33" s="535"/>
      <c r="AH33" s="562" t="e">
        <f t="shared" si="21"/>
        <v>#N/A</v>
      </c>
      <c r="AI33" s="637"/>
      <c r="AJ33" s="534"/>
      <c r="AK33" s="535"/>
      <c r="AL33" s="535"/>
      <c r="AM33" s="562" t="e">
        <f t="shared" si="22"/>
        <v>#N/A</v>
      </c>
      <c r="AN33" s="637"/>
      <c r="AO33" s="534"/>
      <c r="AP33" s="535"/>
      <c r="AQ33" s="535"/>
      <c r="AR33" s="562" t="e">
        <f t="shared" si="23"/>
        <v>#N/A</v>
      </c>
      <c r="AS33" s="637"/>
      <c r="AT33" s="534"/>
      <c r="AU33" s="535"/>
      <c r="AV33" s="535"/>
      <c r="AW33" s="562" t="e">
        <f t="shared" si="24"/>
        <v>#N/A</v>
      </c>
      <c r="AX33" s="637"/>
      <c r="AZ33" s="372" t="e">
        <f t="shared" si="17"/>
        <v>#N/A</v>
      </c>
      <c r="BA33" s="642"/>
    </row>
    <row r="34" spans="2:53">
      <c r="B34" s="676"/>
      <c r="C34" s="534">
        <v>28</v>
      </c>
      <c r="D34" s="201"/>
      <c r="E34" s="201"/>
      <c r="F34" s="201"/>
      <c r="G34" s="201"/>
      <c r="H34" s="637"/>
      <c r="I34" s="538" t="str">
        <f t="shared" si="14"/>
        <v>-</v>
      </c>
      <c r="J34" s="538" t="str">
        <f t="shared" si="15"/>
        <v>-</v>
      </c>
      <c r="K34" s="199" t="str">
        <f t="shared" si="16"/>
        <v>-</v>
      </c>
      <c r="L34" s="657"/>
      <c r="M34" s="563" t="e">
        <f>RANK(K34, K$7:$K$36)</f>
        <v>#VALUE!</v>
      </c>
      <c r="N34" s="641"/>
      <c r="O34" s="641"/>
      <c r="P34" s="534"/>
      <c r="Q34" s="535"/>
      <c r="R34" s="535"/>
      <c r="S34" s="562" t="e">
        <f t="shared" si="18"/>
        <v>#N/A</v>
      </c>
      <c r="T34" s="637"/>
      <c r="U34" s="534"/>
      <c r="V34" s="535"/>
      <c r="W34" s="535"/>
      <c r="X34" s="562" t="e">
        <f t="shared" si="19"/>
        <v>#N/A</v>
      </c>
      <c r="Y34" s="637"/>
      <c r="Z34" s="534"/>
      <c r="AA34" s="535"/>
      <c r="AB34" s="535"/>
      <c r="AC34" s="562" t="e">
        <f t="shared" si="20"/>
        <v>#N/A</v>
      </c>
      <c r="AD34" s="637"/>
      <c r="AE34" s="534"/>
      <c r="AF34" s="535"/>
      <c r="AG34" s="535"/>
      <c r="AH34" s="562" t="e">
        <f t="shared" si="21"/>
        <v>#N/A</v>
      </c>
      <c r="AI34" s="637"/>
      <c r="AJ34" s="534"/>
      <c r="AK34" s="535"/>
      <c r="AL34" s="535"/>
      <c r="AM34" s="562" t="e">
        <f t="shared" si="22"/>
        <v>#N/A</v>
      </c>
      <c r="AN34" s="637"/>
      <c r="AO34" s="534"/>
      <c r="AP34" s="535"/>
      <c r="AQ34" s="535"/>
      <c r="AR34" s="562" t="e">
        <f t="shared" si="23"/>
        <v>#N/A</v>
      </c>
      <c r="AS34" s="637"/>
      <c r="AT34" s="534"/>
      <c r="AU34" s="535"/>
      <c r="AV34" s="535"/>
      <c r="AW34" s="562" t="e">
        <f t="shared" si="24"/>
        <v>#N/A</v>
      </c>
      <c r="AX34" s="637"/>
      <c r="AZ34" s="372" t="e">
        <f t="shared" si="17"/>
        <v>#N/A</v>
      </c>
      <c r="BA34" s="642"/>
    </row>
    <row r="35" spans="2:53">
      <c r="B35" s="676"/>
      <c r="C35" s="534">
        <v>29</v>
      </c>
      <c r="D35" s="201"/>
      <c r="E35" s="201"/>
      <c r="F35" s="201"/>
      <c r="G35" s="201"/>
      <c r="H35" s="637"/>
      <c r="I35" s="538" t="str">
        <f t="shared" si="14"/>
        <v>-</v>
      </c>
      <c r="J35" s="538" t="str">
        <f t="shared" si="15"/>
        <v>-</v>
      </c>
      <c r="K35" s="199" t="str">
        <f t="shared" si="16"/>
        <v>-</v>
      </c>
      <c r="L35" s="657"/>
      <c r="M35" s="563" t="e">
        <f>RANK(K35, K$7:$K$36)</f>
        <v>#VALUE!</v>
      </c>
      <c r="N35" s="641"/>
      <c r="O35" s="641"/>
      <c r="P35" s="534"/>
      <c r="Q35" s="535"/>
      <c r="R35" s="535"/>
      <c r="S35" s="562" t="e">
        <f t="shared" si="18"/>
        <v>#N/A</v>
      </c>
      <c r="T35" s="637"/>
      <c r="U35" s="534"/>
      <c r="V35" s="535"/>
      <c r="W35" s="535"/>
      <c r="X35" s="562" t="e">
        <f t="shared" si="19"/>
        <v>#N/A</v>
      </c>
      <c r="Y35" s="637"/>
      <c r="Z35" s="534"/>
      <c r="AA35" s="535"/>
      <c r="AB35" s="535"/>
      <c r="AC35" s="562" t="e">
        <f t="shared" si="20"/>
        <v>#N/A</v>
      </c>
      <c r="AD35" s="637"/>
      <c r="AE35" s="534"/>
      <c r="AF35" s="535"/>
      <c r="AG35" s="535"/>
      <c r="AH35" s="562" t="e">
        <f t="shared" si="21"/>
        <v>#N/A</v>
      </c>
      <c r="AI35" s="637"/>
      <c r="AJ35" s="534"/>
      <c r="AK35" s="535"/>
      <c r="AL35" s="535"/>
      <c r="AM35" s="562" t="e">
        <f t="shared" si="22"/>
        <v>#N/A</v>
      </c>
      <c r="AN35" s="637"/>
      <c r="AO35" s="534"/>
      <c r="AP35" s="535"/>
      <c r="AQ35" s="535"/>
      <c r="AR35" s="562" t="e">
        <f t="shared" si="23"/>
        <v>#N/A</v>
      </c>
      <c r="AS35" s="637"/>
      <c r="AT35" s="534"/>
      <c r="AU35" s="535"/>
      <c r="AV35" s="535"/>
      <c r="AW35" s="562" t="e">
        <f t="shared" si="24"/>
        <v>#N/A</v>
      </c>
      <c r="AX35" s="637"/>
      <c r="AZ35" s="372" t="e">
        <f t="shared" si="17"/>
        <v>#N/A</v>
      </c>
      <c r="BA35" s="642"/>
    </row>
    <row r="36" spans="2:53">
      <c r="B36" s="676"/>
      <c r="C36" s="534">
        <v>30</v>
      </c>
      <c r="D36" s="201"/>
      <c r="E36" s="201"/>
      <c r="F36" s="201"/>
      <c r="G36" s="201"/>
      <c r="H36" s="638"/>
      <c r="I36" s="538" t="str">
        <f t="shared" si="14"/>
        <v>-</v>
      </c>
      <c r="J36" s="538" t="str">
        <f t="shared" si="15"/>
        <v>-</v>
      </c>
      <c r="K36" s="199" t="str">
        <f t="shared" si="16"/>
        <v>-</v>
      </c>
      <c r="L36" s="658"/>
      <c r="M36" s="563" t="e">
        <f>RANK(K36, K$7:$K$36)</f>
        <v>#VALUE!</v>
      </c>
      <c r="N36" s="641"/>
      <c r="O36" s="641"/>
      <c r="P36" s="534"/>
      <c r="Q36" s="535"/>
      <c r="R36" s="535"/>
      <c r="S36" s="562" t="e">
        <f t="shared" si="18"/>
        <v>#N/A</v>
      </c>
      <c r="T36" s="638"/>
      <c r="U36" s="534"/>
      <c r="V36" s="535"/>
      <c r="W36" s="535"/>
      <c r="X36" s="562" t="e">
        <f t="shared" si="19"/>
        <v>#N/A</v>
      </c>
      <c r="Y36" s="638"/>
      <c r="Z36" s="534"/>
      <c r="AA36" s="535"/>
      <c r="AB36" s="535"/>
      <c r="AC36" s="562" t="e">
        <f t="shared" si="20"/>
        <v>#N/A</v>
      </c>
      <c r="AD36" s="638"/>
      <c r="AE36" s="534"/>
      <c r="AF36" s="535"/>
      <c r="AG36" s="535"/>
      <c r="AH36" s="562" t="e">
        <f t="shared" si="21"/>
        <v>#N/A</v>
      </c>
      <c r="AI36" s="638"/>
      <c r="AJ36" s="534"/>
      <c r="AK36" s="535"/>
      <c r="AL36" s="535"/>
      <c r="AM36" s="562" t="e">
        <f t="shared" si="22"/>
        <v>#N/A</v>
      </c>
      <c r="AN36" s="638"/>
      <c r="AO36" s="534"/>
      <c r="AP36" s="535"/>
      <c r="AQ36" s="535"/>
      <c r="AR36" s="562" t="e">
        <f t="shared" si="23"/>
        <v>#N/A</v>
      </c>
      <c r="AS36" s="638"/>
      <c r="AT36" s="534"/>
      <c r="AU36" s="535"/>
      <c r="AV36" s="535"/>
      <c r="AW36" s="562" t="e">
        <f t="shared" si="24"/>
        <v>#N/A</v>
      </c>
      <c r="AX36" s="638"/>
      <c r="AZ36" s="372" t="e">
        <f t="shared" si="17"/>
        <v>#N/A</v>
      </c>
      <c r="BA36" s="642"/>
    </row>
    <row r="37" spans="2:53" ht="15.75">
      <c r="B37" s="680" t="s">
        <v>162</v>
      </c>
      <c r="C37" s="681"/>
      <c r="D37" s="681"/>
      <c r="E37" s="681"/>
      <c r="F37" s="681"/>
      <c r="G37" s="681"/>
      <c r="H37" s="681"/>
      <c r="I37" s="202"/>
      <c r="J37" s="202"/>
      <c r="K37" s="202"/>
      <c r="L37" s="202"/>
      <c r="M37" s="203"/>
      <c r="N37" s="643" t="s">
        <v>156</v>
      </c>
      <c r="O37" s="643" t="s">
        <v>155</v>
      </c>
      <c r="P37" s="668">
        <f>P2+7</f>
        <v>46238</v>
      </c>
      <c r="Q37" s="647"/>
      <c r="R37" s="647"/>
      <c r="S37" s="647"/>
      <c r="T37" s="647"/>
      <c r="U37" s="668">
        <f>P37+1</f>
        <v>46239</v>
      </c>
      <c r="V37" s="647"/>
      <c r="W37" s="647"/>
      <c r="X37" s="647"/>
      <c r="Y37" s="647"/>
      <c r="Z37" s="668">
        <f>U37+1</f>
        <v>46240</v>
      </c>
      <c r="AA37" s="647"/>
      <c r="AB37" s="647"/>
      <c r="AC37" s="647"/>
      <c r="AD37" s="647"/>
      <c r="AE37" s="668">
        <f>Z37+1</f>
        <v>46241</v>
      </c>
      <c r="AF37" s="647"/>
      <c r="AG37" s="647"/>
      <c r="AH37" s="647"/>
      <c r="AI37" s="647"/>
      <c r="AJ37" s="668">
        <f>AE37+1</f>
        <v>46242</v>
      </c>
      <c r="AK37" s="647"/>
      <c r="AL37" s="647"/>
      <c r="AM37" s="647"/>
      <c r="AN37" s="647"/>
      <c r="AO37" s="668">
        <f>AJ37+1</f>
        <v>46243</v>
      </c>
      <c r="AP37" s="647"/>
      <c r="AQ37" s="647"/>
      <c r="AR37" s="647"/>
      <c r="AS37" s="647"/>
      <c r="AT37" s="668">
        <f>AO37+1</f>
        <v>46244</v>
      </c>
      <c r="AU37" s="647"/>
      <c r="AV37" s="647"/>
      <c r="AW37" s="647"/>
      <c r="AX37" s="647"/>
    </row>
    <row r="38" spans="2:53" ht="15.75">
      <c r="B38" s="672"/>
      <c r="C38" s="672"/>
      <c r="D38" s="672"/>
      <c r="E38" s="672"/>
      <c r="F38" s="672"/>
      <c r="G38" s="672"/>
      <c r="H38" s="672"/>
      <c r="I38" s="204"/>
      <c r="J38" s="204"/>
      <c r="K38" s="204"/>
      <c r="L38" s="204"/>
      <c r="M38" s="205"/>
      <c r="N38" s="645"/>
      <c r="O38" s="645"/>
      <c r="P38" s="668" t="s">
        <v>317</v>
      </c>
      <c r="Q38" s="647"/>
      <c r="R38" s="647"/>
      <c r="S38" s="647"/>
      <c r="T38" s="647"/>
      <c r="U38" s="668" t="s">
        <v>318</v>
      </c>
      <c r="V38" s="647"/>
      <c r="W38" s="647"/>
      <c r="X38" s="647"/>
      <c r="Y38" s="647"/>
      <c r="Z38" s="668" t="s">
        <v>319</v>
      </c>
      <c r="AA38" s="647"/>
      <c r="AB38" s="647"/>
      <c r="AC38" s="647"/>
      <c r="AD38" s="647"/>
      <c r="AE38" s="668" t="s">
        <v>320</v>
      </c>
      <c r="AF38" s="647"/>
      <c r="AG38" s="647"/>
      <c r="AH38" s="647"/>
      <c r="AI38" s="647"/>
      <c r="AJ38" s="668" t="s">
        <v>321</v>
      </c>
      <c r="AK38" s="647"/>
      <c r="AL38" s="647"/>
      <c r="AM38" s="647"/>
      <c r="AN38" s="647"/>
      <c r="AO38" s="668" t="s">
        <v>322</v>
      </c>
      <c r="AP38" s="647"/>
      <c r="AQ38" s="647"/>
      <c r="AR38" s="647"/>
      <c r="AS38" s="647"/>
      <c r="AT38" s="668" t="s">
        <v>323</v>
      </c>
      <c r="AU38" s="647"/>
      <c r="AV38" s="647"/>
      <c r="AW38" s="647"/>
      <c r="AX38" s="647"/>
    </row>
    <row r="39" spans="2:53">
      <c r="B39" s="643" t="s">
        <v>429</v>
      </c>
      <c r="C39" s="673" t="s">
        <v>430</v>
      </c>
      <c r="D39" s="685"/>
      <c r="E39" s="659" t="s">
        <v>431</v>
      </c>
      <c r="F39" s="660"/>
      <c r="G39" s="661"/>
      <c r="H39" s="643" t="s">
        <v>366</v>
      </c>
      <c r="I39" s="692" t="s">
        <v>371</v>
      </c>
      <c r="J39" s="693"/>
      <c r="K39" s="694"/>
      <c r="L39" s="677" t="s">
        <v>366</v>
      </c>
      <c r="M39" s="677" t="s">
        <v>367</v>
      </c>
      <c r="N39" s="643"/>
      <c r="O39" s="643" t="s">
        <v>432</v>
      </c>
      <c r="P39" s="659" t="s">
        <v>433</v>
      </c>
      <c r="Q39" s="660"/>
      <c r="R39" s="660"/>
      <c r="S39" s="661"/>
      <c r="T39" s="643" t="s">
        <v>366</v>
      </c>
      <c r="U39" s="659" t="s">
        <v>368</v>
      </c>
      <c r="V39" s="660"/>
      <c r="W39" s="660"/>
      <c r="X39" s="661"/>
      <c r="Y39" s="643" t="s">
        <v>366</v>
      </c>
      <c r="Z39" s="659" t="s">
        <v>368</v>
      </c>
      <c r="AA39" s="660"/>
      <c r="AB39" s="660"/>
      <c r="AC39" s="661"/>
      <c r="AD39" s="643" t="s">
        <v>434</v>
      </c>
      <c r="AE39" s="659" t="s">
        <v>368</v>
      </c>
      <c r="AF39" s="660"/>
      <c r="AG39" s="660"/>
      <c r="AH39" s="661"/>
      <c r="AI39" s="643" t="s">
        <v>366</v>
      </c>
      <c r="AJ39" s="659" t="s">
        <v>368</v>
      </c>
      <c r="AK39" s="660"/>
      <c r="AL39" s="660"/>
      <c r="AM39" s="661"/>
      <c r="AN39" s="643" t="s">
        <v>434</v>
      </c>
      <c r="AO39" s="659" t="s">
        <v>433</v>
      </c>
      <c r="AP39" s="660"/>
      <c r="AQ39" s="660"/>
      <c r="AR39" s="661"/>
      <c r="AS39" s="643" t="s">
        <v>434</v>
      </c>
      <c r="AT39" s="659" t="s">
        <v>433</v>
      </c>
      <c r="AU39" s="660"/>
      <c r="AV39" s="660"/>
      <c r="AW39" s="661"/>
      <c r="AX39" s="643" t="s">
        <v>434</v>
      </c>
      <c r="BA39" s="643" t="s">
        <v>366</v>
      </c>
    </row>
    <row r="40" spans="2:53">
      <c r="B40" s="644"/>
      <c r="C40" s="674"/>
      <c r="D40" s="686"/>
      <c r="E40" s="659" t="s">
        <v>373</v>
      </c>
      <c r="F40" s="660"/>
      <c r="G40" s="661"/>
      <c r="H40" s="644"/>
      <c r="I40" s="692" t="s">
        <v>373</v>
      </c>
      <c r="J40" s="693"/>
      <c r="K40" s="694"/>
      <c r="L40" s="678"/>
      <c r="M40" s="678"/>
      <c r="N40" s="644"/>
      <c r="O40" s="644"/>
      <c r="P40" s="659" t="s">
        <v>374</v>
      </c>
      <c r="Q40" s="660"/>
      <c r="R40" s="660"/>
      <c r="S40" s="661"/>
      <c r="T40" s="644"/>
      <c r="U40" s="659" t="s">
        <v>435</v>
      </c>
      <c r="V40" s="660"/>
      <c r="W40" s="660"/>
      <c r="X40" s="661"/>
      <c r="Y40" s="644"/>
      <c r="Z40" s="659" t="s">
        <v>435</v>
      </c>
      <c r="AA40" s="660"/>
      <c r="AB40" s="660"/>
      <c r="AC40" s="661"/>
      <c r="AD40" s="644"/>
      <c r="AE40" s="659" t="s">
        <v>374</v>
      </c>
      <c r="AF40" s="660"/>
      <c r="AG40" s="660"/>
      <c r="AH40" s="661"/>
      <c r="AI40" s="644"/>
      <c r="AJ40" s="659" t="s">
        <v>374</v>
      </c>
      <c r="AK40" s="660"/>
      <c r="AL40" s="660"/>
      <c r="AM40" s="661"/>
      <c r="AN40" s="644"/>
      <c r="AO40" s="659" t="s">
        <v>374</v>
      </c>
      <c r="AP40" s="660"/>
      <c r="AQ40" s="660"/>
      <c r="AR40" s="661"/>
      <c r="AS40" s="644"/>
      <c r="AT40" s="659" t="s">
        <v>374</v>
      </c>
      <c r="AU40" s="660"/>
      <c r="AV40" s="660"/>
      <c r="AW40" s="661"/>
      <c r="AX40" s="644"/>
      <c r="BA40" s="644"/>
    </row>
    <row r="41" spans="2:53">
      <c r="B41" s="645"/>
      <c r="C41" s="675"/>
      <c r="D41" s="687"/>
      <c r="E41" s="291" t="s">
        <v>375</v>
      </c>
      <c r="F41" s="291" t="s">
        <v>376</v>
      </c>
      <c r="G41" s="291" t="s">
        <v>436</v>
      </c>
      <c r="H41" s="645"/>
      <c r="I41" s="290" t="s">
        <v>375</v>
      </c>
      <c r="J41" s="290" t="s">
        <v>376</v>
      </c>
      <c r="K41" s="290" t="s">
        <v>377</v>
      </c>
      <c r="L41" s="679"/>
      <c r="M41" s="679"/>
      <c r="N41" s="644"/>
      <c r="O41" s="644"/>
      <c r="P41" s="291" t="s">
        <v>375</v>
      </c>
      <c r="Q41" s="291" t="s">
        <v>437</v>
      </c>
      <c r="R41" s="291" t="s">
        <v>377</v>
      </c>
      <c r="S41" s="291" t="s">
        <v>367</v>
      </c>
      <c r="T41" s="645"/>
      <c r="U41" s="291" t="s">
        <v>375</v>
      </c>
      <c r="V41" s="291" t="s">
        <v>376</v>
      </c>
      <c r="W41" s="291" t="s">
        <v>377</v>
      </c>
      <c r="X41" s="291" t="s">
        <v>438</v>
      </c>
      <c r="Y41" s="645"/>
      <c r="Z41" s="291" t="s">
        <v>439</v>
      </c>
      <c r="AA41" s="291" t="s">
        <v>376</v>
      </c>
      <c r="AB41" s="291" t="s">
        <v>377</v>
      </c>
      <c r="AC41" s="291" t="s">
        <v>438</v>
      </c>
      <c r="AD41" s="645"/>
      <c r="AE41" s="291" t="s">
        <v>375</v>
      </c>
      <c r="AF41" s="291" t="s">
        <v>376</v>
      </c>
      <c r="AG41" s="291" t="s">
        <v>377</v>
      </c>
      <c r="AH41" s="291" t="s">
        <v>438</v>
      </c>
      <c r="AI41" s="645"/>
      <c r="AJ41" s="291" t="s">
        <v>439</v>
      </c>
      <c r="AK41" s="291" t="s">
        <v>376</v>
      </c>
      <c r="AL41" s="291" t="s">
        <v>377</v>
      </c>
      <c r="AM41" s="291" t="s">
        <v>367</v>
      </c>
      <c r="AN41" s="645"/>
      <c r="AO41" s="291" t="s">
        <v>439</v>
      </c>
      <c r="AP41" s="291" t="s">
        <v>376</v>
      </c>
      <c r="AQ41" s="291" t="s">
        <v>377</v>
      </c>
      <c r="AR41" s="291" t="s">
        <v>438</v>
      </c>
      <c r="AS41" s="645"/>
      <c r="AT41" s="291" t="s">
        <v>439</v>
      </c>
      <c r="AU41" s="291" t="s">
        <v>376</v>
      </c>
      <c r="AV41" s="291" t="s">
        <v>377</v>
      </c>
      <c r="AW41" s="291" t="s">
        <v>438</v>
      </c>
      <c r="AX41" s="645"/>
      <c r="AZ41" s="373" t="s">
        <v>367</v>
      </c>
      <c r="BA41" s="645"/>
    </row>
    <row r="42" spans="2:53">
      <c r="B42" s="682" t="s">
        <v>150</v>
      </c>
      <c r="C42" s="292">
        <v>1</v>
      </c>
      <c r="D42" s="201" t="s">
        <v>335</v>
      </c>
      <c r="E42" s="201">
        <v>3</v>
      </c>
      <c r="F42" s="201">
        <v>3200</v>
      </c>
      <c r="G42" s="538">
        <v>1066.6666666666667</v>
      </c>
      <c r="H42" s="636">
        <f>AVERAGE(G42:G71)</f>
        <v>788.83333333333314</v>
      </c>
      <c r="I42" s="363">
        <f>IFERROR(AVERAGE(P42,U42,Z42,AE42,AJ42,AO42,AT42),"-")</f>
        <v>3</v>
      </c>
      <c r="J42" s="363">
        <f>IFERROR(AVERAGE(Q42,V42,AA42,AF42,AK42,AP42,AU42),"-")</f>
        <v>3213.9942917302587</v>
      </c>
      <c r="K42" s="199">
        <f>IFERROR(AVERAGE(R42,W42,AB42,AG42,AL42,AQ42,AV42),"-")</f>
        <v>1071.3314305767531</v>
      </c>
      <c r="L42" s="656">
        <f>IFERROR(AVERAGE(K42:K71),"-")</f>
        <v>815.79932381944275</v>
      </c>
      <c r="M42" s="198">
        <f>RANK(K42, K$42:$K$71)</f>
        <v>6</v>
      </c>
      <c r="N42" s="644"/>
      <c r="O42" s="644"/>
      <c r="P42" s="556">
        <v>3</v>
      </c>
      <c r="Q42" s="557">
        <v>3181.1538461538426</v>
      </c>
      <c r="R42" s="557">
        <v>1060.3846153846141</v>
      </c>
      <c r="S42" s="556">
        <f t="shared" ref="S42:S71" si="25">RANK(R42, R$42:R$71)</f>
        <v>4</v>
      </c>
      <c r="T42" s="636">
        <f t="shared" ref="T42" si="26">AVERAGE(R42:R71)</f>
        <v>790.88989376904692</v>
      </c>
      <c r="U42" s="556">
        <v>3</v>
      </c>
      <c r="V42" s="557">
        <v>3308.399999999996</v>
      </c>
      <c r="W42" s="557">
        <v>1102.7999999999986</v>
      </c>
      <c r="X42" s="556">
        <f t="shared" ref="X42:X71" si="27">RANK(W42, W$42:W$71)</f>
        <v>4</v>
      </c>
      <c r="Y42" s="636">
        <f t="shared" ref="Y42" si="28">AVERAGE(W42:W71)</f>
        <v>834.25137369252434</v>
      </c>
      <c r="Z42" s="556">
        <v>3</v>
      </c>
      <c r="AA42" s="557">
        <v>3248.7500000000009</v>
      </c>
      <c r="AB42" s="557">
        <v>1082.916666666667</v>
      </c>
      <c r="AC42" s="556">
        <f t="shared" ref="AC42:AC71" si="29">RANK(AB42, AB$42:AB$71)</f>
        <v>6</v>
      </c>
      <c r="AD42" s="636">
        <f t="shared" ref="AD42" si="30">AVERAGE(AB42:AB71)</f>
        <v>831.51486825458608</v>
      </c>
      <c r="AE42" s="556">
        <v>3</v>
      </c>
      <c r="AF42" s="557">
        <v>3239.9999999999995</v>
      </c>
      <c r="AG42" s="557">
        <v>1079.9999999999998</v>
      </c>
      <c r="AH42" s="556">
        <f t="shared" ref="AH42:AH71" si="31">RANK(AG42, AG$42:AG$71)</f>
        <v>5</v>
      </c>
      <c r="AI42" s="636">
        <f t="shared" ref="AI42" si="32">AVERAGE(AG42:AG71)</f>
        <v>823.29097372638205</v>
      </c>
      <c r="AJ42" s="556">
        <v>3</v>
      </c>
      <c r="AK42" s="557">
        <v>3154.8837209302319</v>
      </c>
      <c r="AL42" s="557">
        <v>1051.627906976744</v>
      </c>
      <c r="AM42" s="556">
        <f t="shared" ref="AM42:AM71" si="33">RANK(AL42, AL$42:AL$71)</f>
        <v>4</v>
      </c>
      <c r="AN42" s="636">
        <f t="shared" ref="AN42" si="34">AVERAGE(AL42:AL71)</f>
        <v>793.25191320881163</v>
      </c>
      <c r="AO42" s="556">
        <v>3</v>
      </c>
      <c r="AP42" s="557">
        <v>3148.3018867924497</v>
      </c>
      <c r="AQ42" s="557">
        <v>1049.4339622641498</v>
      </c>
      <c r="AR42" s="556">
        <f t="shared" ref="AR42:AR71" si="35">RANK(AQ42, AQ$42:AQ$71)</f>
        <v>4</v>
      </c>
      <c r="AS42" s="636">
        <f t="shared" ref="AS42" si="36">AVERAGE(AQ42:AQ71)</f>
        <v>798.18218319465711</v>
      </c>
      <c r="AT42" s="556">
        <v>3</v>
      </c>
      <c r="AU42" s="557">
        <v>3216.4705882352905</v>
      </c>
      <c r="AV42" s="557">
        <v>1072.1568627450968</v>
      </c>
      <c r="AW42" s="556">
        <f t="shared" ref="AW42:AW71" si="37">RANK(AV42, AV$42:AV$71)</f>
        <v>6</v>
      </c>
      <c r="AX42" s="636">
        <f t="shared" ref="AX42" si="38">AVERAGE(AV42:AV71)</f>
        <v>842.52679953828863</v>
      </c>
      <c r="AZ42" s="372" t="e">
        <f t="shared" ref="AZ42:AZ71" si="39">RANK(AY42, AY$42:AY$71)</f>
        <v>#N/A</v>
      </c>
      <c r="BA42" s="636" t="e">
        <f t="shared" ref="BA42" si="40">AVERAGE(AY42:AY71)</f>
        <v>#DIV/0!</v>
      </c>
    </row>
    <row r="43" spans="2:53">
      <c r="B43" s="683"/>
      <c r="C43" s="292">
        <v>2</v>
      </c>
      <c r="D43" s="532" t="s">
        <v>336</v>
      </c>
      <c r="E43" s="201">
        <v>3</v>
      </c>
      <c r="F43" s="201">
        <v>3200</v>
      </c>
      <c r="G43" s="538">
        <v>1066.6666666666667</v>
      </c>
      <c r="H43" s="637"/>
      <c r="I43" s="363">
        <f t="shared" ref="I43:I71" si="41">IFERROR(AVERAGE(P43,U43,Z43,AE43,AJ43,AO43,AT43),"-")</f>
        <v>3</v>
      </c>
      <c r="J43" s="363">
        <f t="shared" ref="J43:J71" si="42">IFERROR(AVERAGE(Q43,V43,AA43,AF43,AK43,AP43,AU43),"-")</f>
        <v>3222.965855572992</v>
      </c>
      <c r="K43" s="199">
        <f t="shared" ref="K43:K71" si="43">IFERROR(AVERAGE(R43,W43,AB43,AG43,AL43,AQ43,AV43),"-")</f>
        <v>1074.3219518576641</v>
      </c>
      <c r="L43" s="657"/>
      <c r="M43" s="198">
        <f>RANK(K43, K$42:$K$71)</f>
        <v>5</v>
      </c>
      <c r="N43" s="644"/>
      <c r="O43" s="644"/>
      <c r="P43" s="556">
        <v>3</v>
      </c>
      <c r="Q43" s="557">
        <v>3063.7499999999959</v>
      </c>
      <c r="R43" s="557">
        <v>1021.2499999999986</v>
      </c>
      <c r="S43" s="556">
        <f t="shared" si="25"/>
        <v>7</v>
      </c>
      <c r="T43" s="637"/>
      <c r="U43" s="556">
        <v>3</v>
      </c>
      <c r="V43" s="557">
        <v>3267.9999999999941</v>
      </c>
      <c r="W43" s="557">
        <v>1089.3333333333314</v>
      </c>
      <c r="X43" s="556">
        <f t="shared" si="27"/>
        <v>5</v>
      </c>
      <c r="Y43" s="637"/>
      <c r="Z43" s="556">
        <v>3</v>
      </c>
      <c r="AA43" s="557">
        <v>3419.9999999999927</v>
      </c>
      <c r="AB43" s="557">
        <v>1139.9999999999975</v>
      </c>
      <c r="AC43" s="556">
        <f t="shared" si="29"/>
        <v>1</v>
      </c>
      <c r="AD43" s="637"/>
      <c r="AE43" s="556">
        <v>3</v>
      </c>
      <c r="AF43" s="557">
        <v>3227.1428571428501</v>
      </c>
      <c r="AG43" s="557">
        <v>1075.7142857142833</v>
      </c>
      <c r="AH43" s="556">
        <f t="shared" si="31"/>
        <v>6</v>
      </c>
      <c r="AI43" s="637"/>
      <c r="AJ43" s="556">
        <v>3</v>
      </c>
      <c r="AK43" s="557">
        <v>3046.1538461538385</v>
      </c>
      <c r="AL43" s="557">
        <v>1015.3846153846129</v>
      </c>
      <c r="AM43" s="556">
        <f t="shared" si="33"/>
        <v>7</v>
      </c>
      <c r="AN43" s="637"/>
      <c r="AO43" s="556">
        <v>3</v>
      </c>
      <c r="AP43" s="557">
        <v>3119.9999999999959</v>
      </c>
      <c r="AQ43" s="557">
        <v>1039.9999999999986</v>
      </c>
      <c r="AR43" s="556">
        <f t="shared" si="35"/>
        <v>6</v>
      </c>
      <c r="AS43" s="637"/>
      <c r="AT43" s="556">
        <v>3</v>
      </c>
      <c r="AU43" s="557">
        <v>3415.714285714278</v>
      </c>
      <c r="AV43" s="557">
        <v>1138.5714285714259</v>
      </c>
      <c r="AW43" s="556">
        <f t="shared" si="37"/>
        <v>1</v>
      </c>
      <c r="AX43" s="637"/>
      <c r="AZ43" s="372" t="e">
        <f t="shared" si="39"/>
        <v>#N/A</v>
      </c>
      <c r="BA43" s="637"/>
    </row>
    <row r="44" spans="2:53">
      <c r="B44" s="683"/>
      <c r="C44" s="292">
        <v>3</v>
      </c>
      <c r="D44" s="201" t="s">
        <v>328</v>
      </c>
      <c r="E44" s="201">
        <v>4</v>
      </c>
      <c r="F44" s="201">
        <v>3200</v>
      </c>
      <c r="G44" s="538">
        <v>800</v>
      </c>
      <c r="H44" s="637"/>
      <c r="I44" s="363">
        <f t="shared" si="41"/>
        <v>4</v>
      </c>
      <c r="J44" s="363">
        <f t="shared" si="42"/>
        <v>3187.0238095237969</v>
      </c>
      <c r="K44" s="199">
        <f t="shared" si="43"/>
        <v>796.75595238094922</v>
      </c>
      <c r="L44" s="657"/>
      <c r="M44" s="198">
        <f>RANK(K44, K$42:$K$71)</f>
        <v>15</v>
      </c>
      <c r="N44" s="644"/>
      <c r="O44" s="644"/>
      <c r="P44" s="556">
        <v>4</v>
      </c>
      <c r="Q44" s="557">
        <v>3209.9999999999859</v>
      </c>
      <c r="R44" s="557">
        <v>802.49999999999648</v>
      </c>
      <c r="S44" s="556">
        <f t="shared" si="25"/>
        <v>11</v>
      </c>
      <c r="T44" s="637"/>
      <c r="U44" s="556">
        <v>4</v>
      </c>
      <c r="V44" s="557">
        <v>3566.6666666666479</v>
      </c>
      <c r="W44" s="557">
        <v>891.66666666666197</v>
      </c>
      <c r="X44" s="556">
        <f t="shared" si="27"/>
        <v>13</v>
      </c>
      <c r="Y44" s="637"/>
      <c r="Z44" s="556">
        <v>4</v>
      </c>
      <c r="AA44" s="557">
        <v>3233.3333333333162</v>
      </c>
      <c r="AB44" s="557">
        <v>808.33333333332905</v>
      </c>
      <c r="AC44" s="556">
        <f t="shared" si="29"/>
        <v>14</v>
      </c>
      <c r="AD44" s="637"/>
      <c r="AE44" s="556">
        <v>4</v>
      </c>
      <c r="AF44" s="557">
        <v>3300.0000000000118</v>
      </c>
      <c r="AG44" s="557">
        <v>825.00000000000296</v>
      </c>
      <c r="AH44" s="556">
        <f t="shared" si="31"/>
        <v>12</v>
      </c>
      <c r="AI44" s="637"/>
      <c r="AJ44" s="556">
        <v>4</v>
      </c>
      <c r="AK44" s="557">
        <v>2812.4999999999541</v>
      </c>
      <c r="AL44" s="557">
        <v>703.12499999998852</v>
      </c>
      <c r="AM44" s="556">
        <f t="shared" si="33"/>
        <v>18</v>
      </c>
      <c r="AN44" s="637"/>
      <c r="AO44" s="556">
        <v>4</v>
      </c>
      <c r="AP44" s="557">
        <v>3106.6666666666779</v>
      </c>
      <c r="AQ44" s="557">
        <v>776.66666666666947</v>
      </c>
      <c r="AR44" s="556">
        <f t="shared" si="35"/>
        <v>14</v>
      </c>
      <c r="AS44" s="637"/>
      <c r="AT44" s="556">
        <v>4</v>
      </c>
      <c r="AU44" s="557">
        <v>3079.9999999999836</v>
      </c>
      <c r="AV44" s="557">
        <v>769.99999999999591</v>
      </c>
      <c r="AW44" s="556">
        <f t="shared" si="37"/>
        <v>17</v>
      </c>
      <c r="AX44" s="637"/>
      <c r="AZ44" s="372" t="e">
        <f t="shared" si="39"/>
        <v>#N/A</v>
      </c>
      <c r="BA44" s="637"/>
    </row>
    <row r="45" spans="2:53">
      <c r="B45" s="683"/>
      <c r="C45" s="292">
        <v>4</v>
      </c>
      <c r="D45" s="201" t="s">
        <v>337</v>
      </c>
      <c r="E45" s="201">
        <v>3</v>
      </c>
      <c r="F45" s="201">
        <v>3200</v>
      </c>
      <c r="G45" s="538">
        <v>1066.6666666666667</v>
      </c>
      <c r="H45" s="637"/>
      <c r="I45" s="363">
        <f t="shared" si="41"/>
        <v>3</v>
      </c>
      <c r="J45" s="363">
        <f t="shared" si="42"/>
        <v>3177.3325404753987</v>
      </c>
      <c r="K45" s="199">
        <f t="shared" si="43"/>
        <v>1059.1108468251327</v>
      </c>
      <c r="L45" s="657"/>
      <c r="M45" s="198">
        <f>RANK(K45, K$42:$K$71)</f>
        <v>7</v>
      </c>
      <c r="N45" s="644"/>
      <c r="O45" s="644"/>
      <c r="P45" s="556">
        <v>3</v>
      </c>
      <c r="Q45" s="557">
        <v>3187.6923076923058</v>
      </c>
      <c r="R45" s="557">
        <v>1062.5641025641019</v>
      </c>
      <c r="S45" s="556">
        <f t="shared" si="25"/>
        <v>2</v>
      </c>
      <c r="T45" s="637"/>
      <c r="U45" s="556">
        <v>3</v>
      </c>
      <c r="V45" s="557">
        <v>3229.0909090909076</v>
      </c>
      <c r="W45" s="557">
        <v>1076.3636363636358</v>
      </c>
      <c r="X45" s="556">
        <f t="shared" si="27"/>
        <v>6</v>
      </c>
      <c r="Y45" s="637"/>
      <c r="Z45" s="556">
        <v>3</v>
      </c>
      <c r="AA45" s="557">
        <v>3210.0000000000014</v>
      </c>
      <c r="AB45" s="557">
        <v>1070.0000000000005</v>
      </c>
      <c r="AC45" s="556">
        <f t="shared" si="29"/>
        <v>7</v>
      </c>
      <c r="AD45" s="637"/>
      <c r="AE45" s="556">
        <v>3</v>
      </c>
      <c r="AF45" s="557">
        <v>3106.2857142857183</v>
      </c>
      <c r="AG45" s="557">
        <v>1035.4285714285727</v>
      </c>
      <c r="AH45" s="556">
        <f t="shared" si="31"/>
        <v>7</v>
      </c>
      <c r="AI45" s="637"/>
      <c r="AJ45" s="556">
        <v>3</v>
      </c>
      <c r="AK45" s="557">
        <v>3048.8571428571463</v>
      </c>
      <c r="AL45" s="557">
        <v>1016.2857142857155</v>
      </c>
      <c r="AM45" s="556">
        <f t="shared" si="33"/>
        <v>6</v>
      </c>
      <c r="AN45" s="637"/>
      <c r="AO45" s="556">
        <v>3</v>
      </c>
      <c r="AP45" s="557">
        <v>3175.555555555557</v>
      </c>
      <c r="AQ45" s="557">
        <v>1058.5185185185189</v>
      </c>
      <c r="AR45" s="556">
        <f t="shared" si="35"/>
        <v>1</v>
      </c>
      <c r="AS45" s="637"/>
      <c r="AT45" s="556">
        <v>3</v>
      </c>
      <c r="AU45" s="557">
        <v>3283.846153846152</v>
      </c>
      <c r="AV45" s="557">
        <v>1094.6153846153841</v>
      </c>
      <c r="AW45" s="556">
        <f t="shared" si="37"/>
        <v>4</v>
      </c>
      <c r="AX45" s="637"/>
      <c r="AZ45" s="372" t="e">
        <f t="shared" si="39"/>
        <v>#N/A</v>
      </c>
      <c r="BA45" s="637"/>
    </row>
    <row r="46" spans="2:53">
      <c r="B46" s="683"/>
      <c r="C46" s="292">
        <v>5</v>
      </c>
      <c r="D46" s="201" t="s">
        <v>563</v>
      </c>
      <c r="E46" s="201">
        <v>4</v>
      </c>
      <c r="F46" s="201">
        <v>3200</v>
      </c>
      <c r="G46" s="538">
        <v>800</v>
      </c>
      <c r="H46" s="637"/>
      <c r="I46" s="363">
        <f t="shared" si="41"/>
        <v>4</v>
      </c>
      <c r="J46" s="363">
        <f t="shared" si="42"/>
        <v>3211.5275263951698</v>
      </c>
      <c r="K46" s="199">
        <f t="shared" si="43"/>
        <v>802.88188159879246</v>
      </c>
      <c r="L46" s="657"/>
      <c r="M46" s="198">
        <f>RANK(K46, K$42:$K$71)</f>
        <v>13</v>
      </c>
      <c r="N46" s="644"/>
      <c r="O46" s="644"/>
      <c r="P46" s="556">
        <v>4</v>
      </c>
      <c r="Q46" s="557">
        <v>3136.6666666666501</v>
      </c>
      <c r="R46" s="557">
        <v>784.16666666666254</v>
      </c>
      <c r="S46" s="556">
        <f t="shared" si="25"/>
        <v>14</v>
      </c>
      <c r="T46" s="637"/>
      <c r="U46" s="556">
        <v>4</v>
      </c>
      <c r="V46" s="557">
        <v>3321.176470588247</v>
      </c>
      <c r="W46" s="557">
        <v>830.29411764706174</v>
      </c>
      <c r="X46" s="556">
        <f t="shared" si="27"/>
        <v>15</v>
      </c>
      <c r="Y46" s="637"/>
      <c r="Z46" s="556">
        <v>4</v>
      </c>
      <c r="AA46" s="557">
        <v>3272.0000000000032</v>
      </c>
      <c r="AB46" s="557">
        <v>818.0000000000008</v>
      </c>
      <c r="AC46" s="556">
        <f t="shared" si="29"/>
        <v>12</v>
      </c>
      <c r="AD46" s="637"/>
      <c r="AE46" s="556">
        <v>4</v>
      </c>
      <c r="AF46" s="557">
        <v>3224.0000000000114</v>
      </c>
      <c r="AG46" s="557">
        <v>806.00000000000284</v>
      </c>
      <c r="AH46" s="556">
        <f t="shared" si="31"/>
        <v>15</v>
      </c>
      <c r="AI46" s="637"/>
      <c r="AJ46" s="556">
        <v>4</v>
      </c>
      <c r="AK46" s="557">
        <v>3096.9230769230685</v>
      </c>
      <c r="AL46" s="557">
        <v>774.23076923076712</v>
      </c>
      <c r="AM46" s="556">
        <f t="shared" si="33"/>
        <v>14</v>
      </c>
      <c r="AN46" s="637"/>
      <c r="AO46" s="556">
        <v>4</v>
      </c>
      <c r="AP46" s="557">
        <v>3201.1764705882315</v>
      </c>
      <c r="AQ46" s="557">
        <v>800.29411764705787</v>
      </c>
      <c r="AR46" s="556">
        <f t="shared" si="35"/>
        <v>12</v>
      </c>
      <c r="AS46" s="637"/>
      <c r="AT46" s="556">
        <v>4</v>
      </c>
      <c r="AU46" s="557">
        <v>3228.7499999999791</v>
      </c>
      <c r="AV46" s="557">
        <v>807.18749999999477</v>
      </c>
      <c r="AW46" s="556">
        <f t="shared" si="37"/>
        <v>16</v>
      </c>
      <c r="AX46" s="637"/>
      <c r="AZ46" s="372" t="e">
        <f t="shared" si="39"/>
        <v>#N/A</v>
      </c>
      <c r="BA46" s="637"/>
    </row>
    <row r="47" spans="2:53">
      <c r="B47" s="683"/>
      <c r="C47" s="292">
        <v>6</v>
      </c>
      <c r="D47" s="201" t="s">
        <v>564</v>
      </c>
      <c r="E47" s="201">
        <v>4</v>
      </c>
      <c r="F47" s="201">
        <v>3200</v>
      </c>
      <c r="G47" s="538">
        <v>800</v>
      </c>
      <c r="H47" s="637"/>
      <c r="I47" s="363">
        <f t="shared" si="41"/>
        <v>4</v>
      </c>
      <c r="J47" s="363">
        <f t="shared" si="42"/>
        <v>3182.3673469387818</v>
      </c>
      <c r="K47" s="199">
        <f t="shared" si="43"/>
        <v>795.59183673469545</v>
      </c>
      <c r="L47" s="657"/>
      <c r="M47" s="198">
        <f>RANK(K47, K$42:$K$71)</f>
        <v>16</v>
      </c>
      <c r="N47" s="644"/>
      <c r="O47" s="644"/>
      <c r="P47" s="556">
        <v>4</v>
      </c>
      <c r="Q47" s="557">
        <v>3068.5714285714043</v>
      </c>
      <c r="R47" s="557">
        <v>767.14285714285108</v>
      </c>
      <c r="S47" s="556">
        <f t="shared" si="25"/>
        <v>15</v>
      </c>
      <c r="T47" s="637"/>
      <c r="U47" s="556">
        <v>4</v>
      </c>
      <c r="V47" s="557">
        <v>3580.0000000000127</v>
      </c>
      <c r="W47" s="557">
        <v>895.00000000000318</v>
      </c>
      <c r="X47" s="556">
        <f t="shared" si="27"/>
        <v>12</v>
      </c>
      <c r="Y47" s="637"/>
      <c r="Z47" s="556">
        <v>4</v>
      </c>
      <c r="AA47" s="557">
        <v>3200.0000000000114</v>
      </c>
      <c r="AB47" s="557">
        <v>800.00000000000284</v>
      </c>
      <c r="AC47" s="556">
        <f t="shared" si="29"/>
        <v>16</v>
      </c>
      <c r="AD47" s="637"/>
      <c r="AE47" s="556">
        <v>4</v>
      </c>
      <c r="AF47" s="557">
        <v>3180.0000000000109</v>
      </c>
      <c r="AG47" s="557">
        <v>795.00000000000273</v>
      </c>
      <c r="AH47" s="556">
        <f t="shared" si="31"/>
        <v>17</v>
      </c>
      <c r="AI47" s="637"/>
      <c r="AJ47" s="556">
        <v>4</v>
      </c>
      <c r="AK47" s="557">
        <v>2796.00000000001</v>
      </c>
      <c r="AL47" s="557">
        <v>699.0000000000025</v>
      </c>
      <c r="AM47" s="556">
        <f t="shared" si="33"/>
        <v>19</v>
      </c>
      <c r="AN47" s="637"/>
      <c r="AO47" s="556">
        <v>4</v>
      </c>
      <c r="AP47" s="557">
        <v>3020.0000000000109</v>
      </c>
      <c r="AQ47" s="557">
        <v>755.00000000000273</v>
      </c>
      <c r="AR47" s="556">
        <f t="shared" si="35"/>
        <v>17</v>
      </c>
      <c r="AS47" s="637"/>
      <c r="AT47" s="556">
        <v>4</v>
      </c>
      <c r="AU47" s="557">
        <v>3432.0000000000123</v>
      </c>
      <c r="AV47" s="557">
        <v>858.00000000000307</v>
      </c>
      <c r="AW47" s="556">
        <f t="shared" si="37"/>
        <v>12</v>
      </c>
      <c r="AX47" s="637"/>
      <c r="AZ47" s="372" t="e">
        <f t="shared" si="39"/>
        <v>#N/A</v>
      </c>
      <c r="BA47" s="637"/>
    </row>
    <row r="48" spans="2:53">
      <c r="B48" s="683"/>
      <c r="C48" s="292">
        <v>7</v>
      </c>
      <c r="D48" s="201" t="s">
        <v>338</v>
      </c>
      <c r="E48" s="201">
        <v>4</v>
      </c>
      <c r="F48" s="201">
        <v>2800</v>
      </c>
      <c r="G48" s="538">
        <v>700</v>
      </c>
      <c r="H48" s="637"/>
      <c r="I48" s="363">
        <f t="shared" si="41"/>
        <v>4</v>
      </c>
      <c r="J48" s="363">
        <f t="shared" si="42"/>
        <v>3230.6802721088361</v>
      </c>
      <c r="K48" s="199">
        <f t="shared" si="43"/>
        <v>807.67006802720903</v>
      </c>
      <c r="L48" s="657"/>
      <c r="M48" s="198">
        <f>RANK(K48, K$42:$K$71)</f>
        <v>12</v>
      </c>
      <c r="N48" s="644"/>
      <c r="O48" s="644"/>
      <c r="P48" s="556">
        <v>4</v>
      </c>
      <c r="Q48" s="557">
        <v>2873.3333333333312</v>
      </c>
      <c r="R48" s="557">
        <v>718.3333333333328</v>
      </c>
      <c r="S48" s="556">
        <f t="shared" si="25"/>
        <v>17</v>
      </c>
      <c r="T48" s="637"/>
      <c r="U48" s="556">
        <v>4</v>
      </c>
      <c r="V48" s="557">
        <v>3694.2857142857065</v>
      </c>
      <c r="W48" s="557">
        <v>923.57142857142662</v>
      </c>
      <c r="X48" s="556">
        <f t="shared" si="27"/>
        <v>11</v>
      </c>
      <c r="Y48" s="637"/>
      <c r="Z48" s="556">
        <v>4</v>
      </c>
      <c r="AA48" s="557">
        <v>3291.4285714285643</v>
      </c>
      <c r="AB48" s="557">
        <v>822.85714285714107</v>
      </c>
      <c r="AC48" s="556">
        <f t="shared" si="29"/>
        <v>11</v>
      </c>
      <c r="AD48" s="637"/>
      <c r="AE48" s="556">
        <v>4</v>
      </c>
      <c r="AF48" s="557">
        <v>3219.99999999999</v>
      </c>
      <c r="AG48" s="557">
        <v>804.9999999999975</v>
      </c>
      <c r="AH48" s="556">
        <f t="shared" si="31"/>
        <v>16</v>
      </c>
      <c r="AI48" s="637"/>
      <c r="AJ48" s="556">
        <v>4</v>
      </c>
      <c r="AK48" s="557">
        <v>2819.9999999999909</v>
      </c>
      <c r="AL48" s="557">
        <v>704.99999999999773</v>
      </c>
      <c r="AM48" s="556">
        <f t="shared" si="33"/>
        <v>17</v>
      </c>
      <c r="AN48" s="637"/>
      <c r="AO48" s="556">
        <v>4</v>
      </c>
      <c r="AP48" s="557">
        <v>3085.714285714279</v>
      </c>
      <c r="AQ48" s="557">
        <v>771.42857142856974</v>
      </c>
      <c r="AR48" s="556">
        <f t="shared" si="35"/>
        <v>15</v>
      </c>
      <c r="AS48" s="637"/>
      <c r="AT48" s="556">
        <v>4</v>
      </c>
      <c r="AU48" s="557">
        <v>3629.9999999999891</v>
      </c>
      <c r="AV48" s="557">
        <v>907.49999999999727</v>
      </c>
      <c r="AW48" s="556">
        <f t="shared" si="37"/>
        <v>11</v>
      </c>
      <c r="AX48" s="637"/>
      <c r="AZ48" s="372" t="e">
        <f t="shared" si="39"/>
        <v>#N/A</v>
      </c>
      <c r="BA48" s="637"/>
    </row>
    <row r="49" spans="2:53">
      <c r="B49" s="683"/>
      <c r="C49" s="292">
        <v>8</v>
      </c>
      <c r="D49" s="201" t="s">
        <v>339</v>
      </c>
      <c r="E49" s="201">
        <v>3</v>
      </c>
      <c r="F49" s="201">
        <v>3200</v>
      </c>
      <c r="G49" s="538">
        <v>1066.6666666666667</v>
      </c>
      <c r="H49" s="637"/>
      <c r="I49" s="363">
        <f t="shared" si="41"/>
        <v>3</v>
      </c>
      <c r="J49" s="363">
        <f t="shared" si="42"/>
        <v>3236.3203535594826</v>
      </c>
      <c r="K49" s="199">
        <f t="shared" si="43"/>
        <v>1078.7734511864942</v>
      </c>
      <c r="L49" s="657"/>
      <c r="M49" s="198">
        <f>RANK(K49, K$42:$K$71)</f>
        <v>3</v>
      </c>
      <c r="N49" s="644"/>
      <c r="O49" s="644"/>
      <c r="P49" s="556">
        <v>3</v>
      </c>
      <c r="Q49" s="557">
        <v>3085.3846153846171</v>
      </c>
      <c r="R49" s="557">
        <v>1028.461538461539</v>
      </c>
      <c r="S49" s="556">
        <f t="shared" si="25"/>
        <v>6</v>
      </c>
      <c r="T49" s="637"/>
      <c r="U49" s="556">
        <v>3</v>
      </c>
      <c r="V49" s="557">
        <v>3342.5000000000009</v>
      </c>
      <c r="W49" s="557">
        <v>1114.166666666667</v>
      </c>
      <c r="X49" s="556">
        <f t="shared" si="27"/>
        <v>1</v>
      </c>
      <c r="Y49" s="637"/>
      <c r="Z49" s="556">
        <v>3</v>
      </c>
      <c r="AA49" s="557">
        <v>3310.4347826086955</v>
      </c>
      <c r="AB49" s="557">
        <v>1103.4782608695652</v>
      </c>
      <c r="AC49" s="556">
        <f t="shared" si="29"/>
        <v>2</v>
      </c>
      <c r="AD49" s="637"/>
      <c r="AE49" s="556">
        <v>3</v>
      </c>
      <c r="AF49" s="557">
        <v>3359.9999999999914</v>
      </c>
      <c r="AG49" s="557">
        <v>1119.999999999997</v>
      </c>
      <c r="AH49" s="556">
        <f t="shared" si="31"/>
        <v>2</v>
      </c>
      <c r="AI49" s="637"/>
      <c r="AJ49" s="556">
        <v>3</v>
      </c>
      <c r="AK49" s="557">
        <v>3173.9999999999923</v>
      </c>
      <c r="AL49" s="557">
        <v>1057.9999999999975</v>
      </c>
      <c r="AM49" s="556">
        <f t="shared" si="33"/>
        <v>3</v>
      </c>
      <c r="AN49" s="637"/>
      <c r="AO49" s="556">
        <v>3</v>
      </c>
      <c r="AP49" s="557">
        <v>3096.9230769230785</v>
      </c>
      <c r="AQ49" s="557">
        <v>1032.3076923076928</v>
      </c>
      <c r="AR49" s="556">
        <f t="shared" si="35"/>
        <v>7</v>
      </c>
      <c r="AS49" s="637"/>
      <c r="AT49" s="556">
        <v>3</v>
      </c>
      <c r="AU49" s="557">
        <v>3285.0000000000009</v>
      </c>
      <c r="AV49" s="557">
        <v>1095.0000000000002</v>
      </c>
      <c r="AW49" s="556">
        <f t="shared" si="37"/>
        <v>3</v>
      </c>
      <c r="AX49" s="637"/>
      <c r="AZ49" s="372" t="e">
        <f t="shared" si="39"/>
        <v>#N/A</v>
      </c>
      <c r="BA49" s="637"/>
    </row>
    <row r="50" spans="2:53">
      <c r="B50" s="683"/>
      <c r="C50" s="292">
        <v>9</v>
      </c>
      <c r="D50" s="201" t="s">
        <v>340</v>
      </c>
      <c r="E50" s="201">
        <v>3</v>
      </c>
      <c r="F50" s="201">
        <v>2800</v>
      </c>
      <c r="G50" s="538">
        <v>933.33333333333337</v>
      </c>
      <c r="H50" s="637"/>
      <c r="I50" s="363">
        <f t="shared" si="41"/>
        <v>3</v>
      </c>
      <c r="J50" s="363">
        <f t="shared" si="42"/>
        <v>3245.9755355755342</v>
      </c>
      <c r="K50" s="199">
        <f t="shared" si="43"/>
        <v>1081.9918451918447</v>
      </c>
      <c r="L50" s="657"/>
      <c r="M50" s="198">
        <f>RANK(K50, K$42:$K$71)</f>
        <v>2</v>
      </c>
      <c r="N50" s="644"/>
      <c r="O50" s="644"/>
      <c r="P50" s="556">
        <v>3</v>
      </c>
      <c r="Q50" s="557">
        <v>3186.6666666666683</v>
      </c>
      <c r="R50" s="557">
        <v>1062.2222222222229</v>
      </c>
      <c r="S50" s="556">
        <f t="shared" si="25"/>
        <v>3</v>
      </c>
      <c r="T50" s="637"/>
      <c r="U50" s="556">
        <v>3</v>
      </c>
      <c r="V50" s="557">
        <v>3309.2307692307709</v>
      </c>
      <c r="W50" s="557">
        <v>1103.0769230769235</v>
      </c>
      <c r="X50" s="556">
        <f t="shared" si="27"/>
        <v>3</v>
      </c>
      <c r="Y50" s="637"/>
      <c r="Z50" s="556">
        <v>3</v>
      </c>
      <c r="AA50" s="557">
        <v>3256.7999999999906</v>
      </c>
      <c r="AB50" s="557">
        <v>1085.599999999997</v>
      </c>
      <c r="AC50" s="556">
        <f t="shared" si="29"/>
        <v>5</v>
      </c>
      <c r="AD50" s="637"/>
      <c r="AE50" s="556">
        <v>3</v>
      </c>
      <c r="AF50" s="557">
        <v>3340.909090909091</v>
      </c>
      <c r="AG50" s="557">
        <v>1113.6363636363637</v>
      </c>
      <c r="AH50" s="556">
        <f t="shared" si="31"/>
        <v>3</v>
      </c>
      <c r="AI50" s="637"/>
      <c r="AJ50" s="556">
        <v>3</v>
      </c>
      <c r="AK50" s="557">
        <v>3275.9999999999909</v>
      </c>
      <c r="AL50" s="557">
        <v>1091.999999999997</v>
      </c>
      <c r="AM50" s="556">
        <f t="shared" si="33"/>
        <v>2</v>
      </c>
      <c r="AN50" s="637"/>
      <c r="AO50" s="556">
        <v>3</v>
      </c>
      <c r="AP50" s="557">
        <v>3142.2222222222235</v>
      </c>
      <c r="AQ50" s="557">
        <v>1047.4074074074078</v>
      </c>
      <c r="AR50" s="556">
        <f t="shared" si="35"/>
        <v>5</v>
      </c>
      <c r="AS50" s="637"/>
      <c r="AT50" s="556">
        <v>3</v>
      </c>
      <c r="AU50" s="557">
        <v>3210.0000000000018</v>
      </c>
      <c r="AV50" s="557">
        <v>1070.0000000000007</v>
      </c>
      <c r="AW50" s="556">
        <f t="shared" si="37"/>
        <v>7</v>
      </c>
      <c r="AX50" s="637"/>
      <c r="AZ50" s="372" t="e">
        <f t="shared" si="39"/>
        <v>#N/A</v>
      </c>
      <c r="BA50" s="637"/>
    </row>
    <row r="51" spans="2:53">
      <c r="B51" s="683"/>
      <c r="C51" s="292">
        <v>10</v>
      </c>
      <c r="D51" s="201" t="s">
        <v>341</v>
      </c>
      <c r="E51" s="201">
        <v>4</v>
      </c>
      <c r="F51" s="201">
        <v>2800</v>
      </c>
      <c r="G51" s="538">
        <v>700</v>
      </c>
      <c r="H51" s="637"/>
      <c r="I51" s="363">
        <f t="shared" si="41"/>
        <v>4</v>
      </c>
      <c r="J51" s="363">
        <f t="shared" si="42"/>
        <v>3238.5380787791828</v>
      </c>
      <c r="K51" s="199">
        <f t="shared" si="43"/>
        <v>809.6345196947957</v>
      </c>
      <c r="L51" s="657"/>
      <c r="M51" s="198">
        <f>RANK(K51, K$42:$K$71)</f>
        <v>11</v>
      </c>
      <c r="N51" s="644"/>
      <c r="O51" s="644"/>
      <c r="P51" s="556">
        <v>4</v>
      </c>
      <c r="Q51" s="557">
        <v>3189.6000000000013</v>
      </c>
      <c r="R51" s="557">
        <v>797.40000000000032</v>
      </c>
      <c r="S51" s="556">
        <f t="shared" si="25"/>
        <v>12</v>
      </c>
      <c r="T51" s="637"/>
      <c r="U51" s="556">
        <v>4</v>
      </c>
      <c r="V51" s="557">
        <v>3189.5999999999958</v>
      </c>
      <c r="W51" s="557">
        <v>797.39999999999895</v>
      </c>
      <c r="X51" s="556">
        <f t="shared" si="27"/>
        <v>17</v>
      </c>
      <c r="Y51" s="637"/>
      <c r="Z51" s="556">
        <v>4</v>
      </c>
      <c r="AA51" s="557">
        <v>3246.249999999995</v>
      </c>
      <c r="AB51" s="557">
        <v>811.56249999999875</v>
      </c>
      <c r="AC51" s="556">
        <f t="shared" si="29"/>
        <v>13</v>
      </c>
      <c r="AD51" s="637"/>
      <c r="AE51" s="556">
        <v>4</v>
      </c>
      <c r="AF51" s="557">
        <v>3235.9090909090969</v>
      </c>
      <c r="AG51" s="557">
        <v>808.97727272727423</v>
      </c>
      <c r="AH51" s="556">
        <f t="shared" si="31"/>
        <v>14</v>
      </c>
      <c r="AI51" s="637"/>
      <c r="AJ51" s="556">
        <v>4</v>
      </c>
      <c r="AK51" s="557">
        <v>3384.8780487804866</v>
      </c>
      <c r="AL51" s="557">
        <v>846.21951219512164</v>
      </c>
      <c r="AM51" s="556">
        <f t="shared" si="33"/>
        <v>11</v>
      </c>
      <c r="AN51" s="637"/>
      <c r="AO51" s="556">
        <v>4</v>
      </c>
      <c r="AP51" s="557">
        <v>3183.5294117647072</v>
      </c>
      <c r="AQ51" s="557">
        <v>795.8823529411768</v>
      </c>
      <c r="AR51" s="556">
        <f t="shared" si="35"/>
        <v>13</v>
      </c>
      <c r="AS51" s="637"/>
      <c r="AT51" s="556">
        <v>4</v>
      </c>
      <c r="AU51" s="557">
        <v>3239.9999999999959</v>
      </c>
      <c r="AV51" s="557">
        <v>809.99999999999898</v>
      </c>
      <c r="AW51" s="556">
        <f t="shared" si="37"/>
        <v>15</v>
      </c>
      <c r="AX51" s="637"/>
      <c r="AZ51" s="372" t="e">
        <f t="shared" si="39"/>
        <v>#N/A</v>
      </c>
      <c r="BA51" s="637"/>
    </row>
    <row r="52" spans="2:53">
      <c r="B52" s="683"/>
      <c r="C52" s="292">
        <v>11</v>
      </c>
      <c r="D52" s="201" t="s">
        <v>565</v>
      </c>
      <c r="E52" s="201">
        <v>4</v>
      </c>
      <c r="F52" s="201">
        <v>2800</v>
      </c>
      <c r="G52" s="538">
        <v>700</v>
      </c>
      <c r="H52" s="637"/>
      <c r="I52" s="363">
        <f t="shared" si="41"/>
        <v>4</v>
      </c>
      <c r="J52" s="363">
        <f t="shared" si="42"/>
        <v>2821.1170628027385</v>
      </c>
      <c r="K52" s="199">
        <f t="shared" si="43"/>
        <v>705.27926570068462</v>
      </c>
      <c r="L52" s="657"/>
      <c r="M52" s="198">
        <f>RANK(K52, K$42:$K$71)</f>
        <v>20</v>
      </c>
      <c r="N52" s="644"/>
      <c r="O52" s="644"/>
      <c r="P52" s="556">
        <v>4</v>
      </c>
      <c r="Q52" s="557">
        <v>2774.754098360655</v>
      </c>
      <c r="R52" s="557">
        <v>693.68852459016375</v>
      </c>
      <c r="S52" s="556">
        <f t="shared" si="25"/>
        <v>19</v>
      </c>
      <c r="T52" s="637"/>
      <c r="U52" s="556">
        <v>4</v>
      </c>
      <c r="V52" s="557">
        <v>2801.9999999999986</v>
      </c>
      <c r="W52" s="557">
        <v>700.49999999999966</v>
      </c>
      <c r="X52" s="556">
        <f t="shared" si="27"/>
        <v>20</v>
      </c>
      <c r="Y52" s="637"/>
      <c r="Z52" s="556">
        <v>4</v>
      </c>
      <c r="AA52" s="557">
        <v>2831.1864406779646</v>
      </c>
      <c r="AB52" s="557">
        <v>707.79661016949115</v>
      </c>
      <c r="AC52" s="556">
        <f t="shared" si="29"/>
        <v>21</v>
      </c>
      <c r="AD52" s="637"/>
      <c r="AE52" s="556">
        <v>4</v>
      </c>
      <c r="AF52" s="557">
        <v>2867.5471698113183</v>
      </c>
      <c r="AG52" s="557">
        <v>716.88679245282958</v>
      </c>
      <c r="AH52" s="556">
        <f t="shared" si="31"/>
        <v>20</v>
      </c>
      <c r="AI52" s="637"/>
      <c r="AJ52" s="556">
        <v>4</v>
      </c>
      <c r="AK52" s="557">
        <v>2885.7692307692278</v>
      </c>
      <c r="AL52" s="557">
        <v>721.44230769230694</v>
      </c>
      <c r="AM52" s="556">
        <f t="shared" si="33"/>
        <v>16</v>
      </c>
      <c r="AN52" s="637"/>
      <c r="AO52" s="556">
        <v>4</v>
      </c>
      <c r="AP52" s="557">
        <v>2766.5624999999995</v>
      </c>
      <c r="AQ52" s="557">
        <v>691.64062499999989</v>
      </c>
      <c r="AR52" s="556">
        <f t="shared" si="35"/>
        <v>20</v>
      </c>
      <c r="AS52" s="637"/>
      <c r="AT52" s="556">
        <v>4</v>
      </c>
      <c r="AU52" s="557">
        <v>2820.0000000000027</v>
      </c>
      <c r="AV52" s="557">
        <v>705.00000000000068</v>
      </c>
      <c r="AW52" s="556">
        <f t="shared" si="37"/>
        <v>20</v>
      </c>
      <c r="AX52" s="637"/>
      <c r="AZ52" s="372" t="e">
        <f t="shared" si="39"/>
        <v>#N/A</v>
      </c>
      <c r="BA52" s="637"/>
    </row>
    <row r="53" spans="2:53">
      <c r="B53" s="683"/>
      <c r="C53" s="292">
        <v>12</v>
      </c>
      <c r="D53" s="532" t="s">
        <v>569</v>
      </c>
      <c r="E53" s="201">
        <v>3</v>
      </c>
      <c r="F53" s="201">
        <v>2800</v>
      </c>
      <c r="G53" s="538">
        <v>933.33333333333337</v>
      </c>
      <c r="H53" s="637"/>
      <c r="I53" s="363">
        <f t="shared" si="41"/>
        <v>3</v>
      </c>
      <c r="J53" s="363">
        <f t="shared" si="42"/>
        <v>2798.9977844735913</v>
      </c>
      <c r="K53" s="199">
        <f t="shared" si="43"/>
        <v>932.9992614911971</v>
      </c>
      <c r="L53" s="657"/>
      <c r="M53" s="198">
        <f>RANK(K53, K$42:$K$71)</f>
        <v>10</v>
      </c>
      <c r="N53" s="644"/>
      <c r="O53" s="644"/>
      <c r="P53" s="556">
        <v>3</v>
      </c>
      <c r="Q53" s="557">
        <v>2802.580645161293</v>
      </c>
      <c r="R53" s="557">
        <v>934.19354838709762</v>
      </c>
      <c r="S53" s="556">
        <f t="shared" si="25"/>
        <v>10</v>
      </c>
      <c r="T53" s="637"/>
      <c r="U53" s="556">
        <v>3</v>
      </c>
      <c r="V53" s="557">
        <v>2820.0000000000027</v>
      </c>
      <c r="W53" s="557">
        <v>940.00000000000091</v>
      </c>
      <c r="X53" s="556">
        <f t="shared" si="27"/>
        <v>10</v>
      </c>
      <c r="Y53" s="637"/>
      <c r="Z53" s="556">
        <v>3</v>
      </c>
      <c r="AA53" s="557">
        <v>2817.9999999999986</v>
      </c>
      <c r="AB53" s="557">
        <v>939.33333333333292</v>
      </c>
      <c r="AC53" s="556">
        <f t="shared" si="29"/>
        <v>10</v>
      </c>
      <c r="AD53" s="637"/>
      <c r="AE53" s="556">
        <v>3</v>
      </c>
      <c r="AF53" s="557">
        <v>2863.8461538461552</v>
      </c>
      <c r="AG53" s="557">
        <v>954.6153846153851</v>
      </c>
      <c r="AH53" s="556">
        <f t="shared" si="31"/>
        <v>9</v>
      </c>
      <c r="AI53" s="637"/>
      <c r="AJ53" s="556">
        <v>3</v>
      </c>
      <c r="AK53" s="557">
        <v>2732.3076923076937</v>
      </c>
      <c r="AL53" s="557">
        <v>910.76923076923129</v>
      </c>
      <c r="AM53" s="556">
        <f t="shared" si="33"/>
        <v>10</v>
      </c>
      <c r="AN53" s="637"/>
      <c r="AO53" s="556">
        <v>3</v>
      </c>
      <c r="AP53" s="557">
        <v>2726.2499999999964</v>
      </c>
      <c r="AQ53" s="557">
        <v>908.74999999999875</v>
      </c>
      <c r="AR53" s="556">
        <f t="shared" si="35"/>
        <v>9</v>
      </c>
      <c r="AS53" s="637"/>
      <c r="AT53" s="556">
        <v>3</v>
      </c>
      <c r="AU53" s="557">
        <v>2829.9999999999986</v>
      </c>
      <c r="AV53" s="557">
        <v>943.33333333333292</v>
      </c>
      <c r="AW53" s="556">
        <f t="shared" si="37"/>
        <v>10</v>
      </c>
      <c r="AX53" s="637"/>
      <c r="AZ53" s="372" t="e">
        <f t="shared" si="39"/>
        <v>#N/A</v>
      </c>
      <c r="BA53" s="637"/>
    </row>
    <row r="54" spans="2:53">
      <c r="B54" s="683"/>
      <c r="C54" s="292">
        <v>13</v>
      </c>
      <c r="D54" s="201" t="s">
        <v>570</v>
      </c>
      <c r="E54" s="201">
        <v>4</v>
      </c>
      <c r="F54" s="201">
        <v>2800</v>
      </c>
      <c r="G54" s="538">
        <v>700</v>
      </c>
      <c r="H54" s="637"/>
      <c r="I54" s="363">
        <f t="shared" si="41"/>
        <v>4</v>
      </c>
      <c r="J54" s="363">
        <f t="shared" si="42"/>
        <v>2794.8021978022011</v>
      </c>
      <c r="K54" s="199">
        <f t="shared" si="43"/>
        <v>698.70054945055028</v>
      </c>
      <c r="L54" s="657"/>
      <c r="M54" s="198">
        <f>RANK(K54, K$42:$K$71)</f>
        <v>21</v>
      </c>
      <c r="N54" s="644"/>
      <c r="O54" s="644"/>
      <c r="P54" s="556">
        <v>4</v>
      </c>
      <c r="Q54" s="557">
        <v>2778.4615384615481</v>
      </c>
      <c r="R54" s="557">
        <v>694.61538461538703</v>
      </c>
      <c r="S54" s="556">
        <f t="shared" si="25"/>
        <v>18</v>
      </c>
      <c r="T54" s="637"/>
      <c r="U54" s="556">
        <v>4</v>
      </c>
      <c r="V54" s="557">
        <v>2890.00000000001</v>
      </c>
      <c r="W54" s="557">
        <v>722.5000000000025</v>
      </c>
      <c r="X54" s="556">
        <f t="shared" si="27"/>
        <v>18</v>
      </c>
      <c r="Y54" s="637"/>
      <c r="Z54" s="556">
        <v>4</v>
      </c>
      <c r="AA54" s="557">
        <v>2875.00000000001</v>
      </c>
      <c r="AB54" s="557">
        <v>718.7500000000025</v>
      </c>
      <c r="AC54" s="556">
        <f t="shared" si="29"/>
        <v>20</v>
      </c>
      <c r="AD54" s="637"/>
      <c r="AE54" s="556">
        <v>4</v>
      </c>
      <c r="AF54" s="557">
        <v>2831.9999999999873</v>
      </c>
      <c r="AG54" s="557">
        <v>707.99999999999682</v>
      </c>
      <c r="AH54" s="556">
        <f t="shared" si="31"/>
        <v>21</v>
      </c>
      <c r="AI54" s="637"/>
      <c r="AJ54" s="556">
        <v>4</v>
      </c>
      <c r="AK54" s="557">
        <v>2651.9999999999882</v>
      </c>
      <c r="AL54" s="557">
        <v>662.99999999999704</v>
      </c>
      <c r="AM54" s="556">
        <f t="shared" si="33"/>
        <v>20</v>
      </c>
      <c r="AN54" s="637"/>
      <c r="AO54" s="556">
        <v>4</v>
      </c>
      <c r="AP54" s="557">
        <v>2686.1538461538557</v>
      </c>
      <c r="AQ54" s="557">
        <v>671.53846153846393</v>
      </c>
      <c r="AR54" s="556">
        <f t="shared" si="35"/>
        <v>21</v>
      </c>
      <c r="AS54" s="637"/>
      <c r="AT54" s="556">
        <v>4</v>
      </c>
      <c r="AU54" s="557">
        <v>2850.00000000001</v>
      </c>
      <c r="AV54" s="557">
        <v>712.5000000000025</v>
      </c>
      <c r="AW54" s="556">
        <f t="shared" si="37"/>
        <v>19</v>
      </c>
      <c r="AX54" s="637"/>
      <c r="AZ54" s="372" t="e">
        <f t="shared" si="39"/>
        <v>#N/A</v>
      </c>
      <c r="BA54" s="637"/>
    </row>
    <row r="55" spans="2:53">
      <c r="B55" s="683"/>
      <c r="C55" s="292">
        <v>14</v>
      </c>
      <c r="D55" s="201" t="s">
        <v>590</v>
      </c>
      <c r="E55" s="201">
        <v>4</v>
      </c>
      <c r="F55" s="201">
        <v>3200</v>
      </c>
      <c r="G55" s="538">
        <v>800</v>
      </c>
      <c r="H55" s="637"/>
      <c r="I55" s="363">
        <f t="shared" si="41"/>
        <v>4</v>
      </c>
      <c r="J55" s="363">
        <f t="shared" si="42"/>
        <v>3038.8333333333371</v>
      </c>
      <c r="K55" s="199">
        <f t="shared" si="43"/>
        <v>759.70833333333428</v>
      </c>
      <c r="L55" s="657"/>
      <c r="M55" s="198">
        <f>RANK(K55, K$42:$K$71)</f>
        <v>18</v>
      </c>
      <c r="N55" s="644"/>
      <c r="O55" s="644"/>
      <c r="P55" s="556">
        <v>4</v>
      </c>
      <c r="Q55" s="557">
        <v>2687.9999999999663</v>
      </c>
      <c r="R55" s="557">
        <v>671.99999999999159</v>
      </c>
      <c r="S55" s="556">
        <f t="shared" si="25"/>
        <v>21</v>
      </c>
      <c r="T55" s="637"/>
      <c r="U55" s="556">
        <v>4</v>
      </c>
      <c r="V55" s="557">
        <v>3360.0000000000118</v>
      </c>
      <c r="W55" s="557">
        <v>840.00000000000296</v>
      </c>
      <c r="X55" s="556">
        <f t="shared" si="27"/>
        <v>14</v>
      </c>
      <c r="Y55" s="637"/>
      <c r="Z55" s="556">
        <v>4</v>
      </c>
      <c r="AA55" s="557">
        <v>3150.0000000000109</v>
      </c>
      <c r="AB55" s="557">
        <v>787.50000000000273</v>
      </c>
      <c r="AC55" s="556">
        <f t="shared" si="29"/>
        <v>18</v>
      </c>
      <c r="AD55" s="637"/>
      <c r="AE55" s="556">
        <v>4</v>
      </c>
      <c r="AF55" s="557">
        <v>3440.0000000000123</v>
      </c>
      <c r="AG55" s="557">
        <v>860.00000000000307</v>
      </c>
      <c r="AH55" s="556">
        <f t="shared" si="31"/>
        <v>11</v>
      </c>
      <c r="AI55" s="637"/>
      <c r="AJ55" s="556">
        <v>4</v>
      </c>
      <c r="AK55" s="557">
        <v>2580.0000000000095</v>
      </c>
      <c r="AL55" s="557">
        <v>645.00000000000239</v>
      </c>
      <c r="AM55" s="556">
        <f t="shared" si="33"/>
        <v>21</v>
      </c>
      <c r="AN55" s="637"/>
      <c r="AO55" s="556">
        <v>4</v>
      </c>
      <c r="AP55" s="557">
        <v>3015.0000000000105</v>
      </c>
      <c r="AQ55" s="557">
        <v>753.75000000000261</v>
      </c>
      <c r="AR55" s="556">
        <f t="shared" si="35"/>
        <v>18</v>
      </c>
      <c r="AS55" s="637"/>
      <c r="AT55" s="556" t="s">
        <v>585</v>
      </c>
      <c r="AU55" s="557" t="s">
        <v>585</v>
      </c>
      <c r="AV55" s="557" t="s">
        <v>585</v>
      </c>
      <c r="AW55" s="556" t="e">
        <f t="shared" si="37"/>
        <v>#VALUE!</v>
      </c>
      <c r="AX55" s="637"/>
      <c r="AZ55" s="372" t="e">
        <f t="shared" si="39"/>
        <v>#N/A</v>
      </c>
      <c r="BA55" s="637"/>
    </row>
    <row r="56" spans="2:53">
      <c r="B56" s="683"/>
      <c r="C56" s="292">
        <v>15</v>
      </c>
      <c r="D56" s="532" t="s">
        <v>602</v>
      </c>
      <c r="E56" s="201">
        <v>3</v>
      </c>
      <c r="F56" s="201">
        <v>3200</v>
      </c>
      <c r="G56" s="538">
        <v>1066.6666666666667</v>
      </c>
      <c r="H56" s="637"/>
      <c r="I56" s="363">
        <f t="shared" si="41"/>
        <v>3</v>
      </c>
      <c r="J56" s="363">
        <f t="shared" si="42"/>
        <v>3232.4999999999932</v>
      </c>
      <c r="K56" s="199">
        <f t="shared" si="43"/>
        <v>1077.499999999998</v>
      </c>
      <c r="L56" s="657"/>
      <c r="M56" s="198">
        <f>RANK(K56, K$42:$K$71)</f>
        <v>4</v>
      </c>
      <c r="N56" s="644"/>
      <c r="O56" s="644"/>
      <c r="P56" s="556">
        <v>3</v>
      </c>
      <c r="Q56" s="557">
        <v>3188.5714285714398</v>
      </c>
      <c r="R56" s="557">
        <v>1062.8571428571465</v>
      </c>
      <c r="S56" s="556">
        <f t="shared" si="25"/>
        <v>1</v>
      </c>
      <c r="T56" s="637"/>
      <c r="U56" s="556">
        <v>3</v>
      </c>
      <c r="V56" s="557">
        <v>3188.5714285714275</v>
      </c>
      <c r="W56" s="557">
        <v>1062.8571428571424</v>
      </c>
      <c r="X56" s="556">
        <f t="shared" si="27"/>
        <v>7</v>
      </c>
      <c r="Y56" s="637"/>
      <c r="Z56" s="556">
        <v>3</v>
      </c>
      <c r="AA56" s="557">
        <v>3287.9999999999991</v>
      </c>
      <c r="AB56" s="557">
        <v>1095.9999999999998</v>
      </c>
      <c r="AC56" s="556">
        <f t="shared" si="29"/>
        <v>3</v>
      </c>
      <c r="AD56" s="637"/>
      <c r="AE56" s="556">
        <v>3</v>
      </c>
      <c r="AF56" s="557">
        <v>3389.9999999999782</v>
      </c>
      <c r="AG56" s="557">
        <v>1129.9999999999927</v>
      </c>
      <c r="AH56" s="556">
        <f t="shared" si="31"/>
        <v>1</v>
      </c>
      <c r="AI56" s="637"/>
      <c r="AJ56" s="556">
        <v>3</v>
      </c>
      <c r="AK56" s="557">
        <v>3142.49999999998</v>
      </c>
      <c r="AL56" s="557">
        <v>1047.4999999999934</v>
      </c>
      <c r="AM56" s="556">
        <f t="shared" si="33"/>
        <v>5</v>
      </c>
      <c r="AN56" s="637"/>
      <c r="AO56" s="556">
        <v>3</v>
      </c>
      <c r="AP56" s="557">
        <v>3162.8571428571299</v>
      </c>
      <c r="AQ56" s="557">
        <v>1054.2857142857099</v>
      </c>
      <c r="AR56" s="556">
        <f t="shared" si="35"/>
        <v>3</v>
      </c>
      <c r="AS56" s="637"/>
      <c r="AT56" s="556">
        <v>3</v>
      </c>
      <c r="AU56" s="557">
        <v>3266.9999999999991</v>
      </c>
      <c r="AV56" s="557">
        <v>1088.9999999999998</v>
      </c>
      <c r="AW56" s="556">
        <f t="shared" si="37"/>
        <v>5</v>
      </c>
      <c r="AX56" s="637"/>
      <c r="AZ56" s="372" t="e">
        <f t="shared" si="39"/>
        <v>#N/A</v>
      </c>
      <c r="BA56" s="637"/>
    </row>
    <row r="57" spans="2:53">
      <c r="B57" s="683"/>
      <c r="C57" s="292">
        <v>16</v>
      </c>
      <c r="D57" s="201" t="s">
        <v>607</v>
      </c>
      <c r="E57" s="201">
        <v>3</v>
      </c>
      <c r="F57" s="201">
        <v>3200</v>
      </c>
      <c r="G57" s="538">
        <v>1066.6666666666667</v>
      </c>
      <c r="H57" s="637"/>
      <c r="I57" s="363">
        <f t="shared" si="41"/>
        <v>3</v>
      </c>
      <c r="J57" s="363">
        <f t="shared" si="42"/>
        <v>3267.2077922078083</v>
      </c>
      <c r="K57" s="199">
        <f t="shared" si="43"/>
        <v>1089.0692640692691</v>
      </c>
      <c r="L57" s="657"/>
      <c r="M57" s="198">
        <f>RANK(K57, K$42:$K$71)</f>
        <v>1</v>
      </c>
      <c r="N57" s="644"/>
      <c r="O57" s="644"/>
      <c r="P57" s="556">
        <v>3</v>
      </c>
      <c r="Q57" s="557">
        <v>3060.00000000003</v>
      </c>
      <c r="R57" s="557">
        <v>1020.00000000001</v>
      </c>
      <c r="S57" s="556">
        <f t="shared" si="25"/>
        <v>8</v>
      </c>
      <c r="T57" s="637"/>
      <c r="U57" s="556">
        <v>3</v>
      </c>
      <c r="V57" s="557">
        <v>3315.0000000000118</v>
      </c>
      <c r="W57" s="557">
        <v>1105.0000000000039</v>
      </c>
      <c r="X57" s="556">
        <f t="shared" si="27"/>
        <v>2</v>
      </c>
      <c r="Y57" s="637"/>
      <c r="Z57" s="556">
        <v>3</v>
      </c>
      <c r="AA57" s="557">
        <v>3260.0000000000118</v>
      </c>
      <c r="AB57" s="557">
        <v>1086.6666666666706</v>
      </c>
      <c r="AC57" s="556">
        <f t="shared" si="29"/>
        <v>4</v>
      </c>
      <c r="AD57" s="637"/>
      <c r="AE57" s="556">
        <v>3</v>
      </c>
      <c r="AF57" s="557">
        <v>3320.0000000000414</v>
      </c>
      <c r="AG57" s="557">
        <v>1106.6666666666804</v>
      </c>
      <c r="AH57" s="556">
        <f t="shared" si="31"/>
        <v>4</v>
      </c>
      <c r="AI57" s="637"/>
      <c r="AJ57" s="556">
        <v>3</v>
      </c>
      <c r="AK57" s="557">
        <v>3375.0000000000118</v>
      </c>
      <c r="AL57" s="557">
        <v>1125.0000000000039</v>
      </c>
      <c r="AM57" s="556">
        <f t="shared" si="33"/>
        <v>1</v>
      </c>
      <c r="AN57" s="637"/>
      <c r="AO57" s="556">
        <v>3</v>
      </c>
      <c r="AP57" s="557">
        <v>3174.99999999999</v>
      </c>
      <c r="AQ57" s="557">
        <v>1058.3333333333301</v>
      </c>
      <c r="AR57" s="556">
        <f t="shared" si="35"/>
        <v>2</v>
      </c>
      <c r="AS57" s="637"/>
      <c r="AT57" s="556">
        <v>3</v>
      </c>
      <c r="AU57" s="557">
        <v>3365.4545454545578</v>
      </c>
      <c r="AV57" s="557">
        <v>1121.8181818181858</v>
      </c>
      <c r="AW57" s="556">
        <f t="shared" si="37"/>
        <v>2</v>
      </c>
      <c r="AX57" s="637"/>
      <c r="AZ57" s="372" t="e">
        <f t="shared" si="39"/>
        <v>#N/A</v>
      </c>
      <c r="BA57" s="637"/>
    </row>
    <row r="58" spans="2:53">
      <c r="B58" s="683"/>
      <c r="C58" s="292">
        <v>17</v>
      </c>
      <c r="D58" s="201" t="s">
        <v>614</v>
      </c>
      <c r="E58" s="201">
        <v>3</v>
      </c>
      <c r="F58" s="201">
        <v>3200</v>
      </c>
      <c r="G58" s="538">
        <v>1066.6666666666667</v>
      </c>
      <c r="H58" s="637"/>
      <c r="I58" s="363">
        <f t="shared" si="41"/>
        <v>3</v>
      </c>
      <c r="J58" s="363">
        <f t="shared" si="42"/>
        <v>2999.216855121495</v>
      </c>
      <c r="K58" s="199">
        <f t="shared" si="43"/>
        <v>999.73895170716503</v>
      </c>
      <c r="L58" s="657"/>
      <c r="M58" s="198">
        <f>RANK(K58, K$42:$K$71)</f>
        <v>9</v>
      </c>
      <c r="N58" s="644"/>
      <c r="O58" s="644"/>
      <c r="P58" s="556">
        <v>3</v>
      </c>
      <c r="Q58" s="557">
        <v>2903.4782608695555</v>
      </c>
      <c r="R58" s="557">
        <v>967.82608695651845</v>
      </c>
      <c r="S58" s="556">
        <f t="shared" si="25"/>
        <v>9</v>
      </c>
      <c r="T58" s="637"/>
      <c r="U58" s="556">
        <v>3</v>
      </c>
      <c r="V58" s="557">
        <v>3137.1428571428564</v>
      </c>
      <c r="W58" s="557">
        <v>1045.7142857142856</v>
      </c>
      <c r="X58" s="556">
        <f t="shared" si="27"/>
        <v>8</v>
      </c>
      <c r="Y58" s="637"/>
      <c r="Z58" s="556">
        <v>3</v>
      </c>
      <c r="AA58" s="557">
        <v>3097.142857142856</v>
      </c>
      <c r="AB58" s="557">
        <v>1032.3809523809521</v>
      </c>
      <c r="AC58" s="556">
        <f t="shared" si="29"/>
        <v>8</v>
      </c>
      <c r="AD58" s="637"/>
      <c r="AE58" s="556">
        <v>3</v>
      </c>
      <c r="AF58" s="557">
        <v>3035.2941176470699</v>
      </c>
      <c r="AG58" s="557">
        <v>1011.7647058823567</v>
      </c>
      <c r="AH58" s="556">
        <f t="shared" si="31"/>
        <v>8</v>
      </c>
      <c r="AI58" s="637"/>
      <c r="AJ58" s="556">
        <v>3</v>
      </c>
      <c r="AK58" s="557">
        <v>2798.8235294117612</v>
      </c>
      <c r="AL58" s="557">
        <v>932.94117647058704</v>
      </c>
      <c r="AM58" s="556">
        <f t="shared" si="33"/>
        <v>9</v>
      </c>
      <c r="AN58" s="637"/>
      <c r="AO58" s="556">
        <v>3</v>
      </c>
      <c r="AP58" s="557">
        <v>2923.6363636363531</v>
      </c>
      <c r="AQ58" s="557">
        <v>974.54545454545098</v>
      </c>
      <c r="AR58" s="556">
        <f t="shared" si="35"/>
        <v>8</v>
      </c>
      <c r="AS58" s="637"/>
      <c r="AT58" s="556">
        <v>3</v>
      </c>
      <c r="AU58" s="557">
        <v>3099.0000000000109</v>
      </c>
      <c r="AV58" s="557">
        <v>1033.0000000000036</v>
      </c>
      <c r="AW58" s="556">
        <f t="shared" si="37"/>
        <v>9</v>
      </c>
      <c r="AX58" s="637"/>
      <c r="AZ58" s="372" t="e">
        <f t="shared" si="39"/>
        <v>#N/A</v>
      </c>
      <c r="BA58" s="637"/>
    </row>
    <row r="59" spans="2:53">
      <c r="B59" s="683"/>
      <c r="C59" s="292">
        <v>18</v>
      </c>
      <c r="D59" s="532" t="s">
        <v>712</v>
      </c>
      <c r="E59" s="201">
        <v>4</v>
      </c>
      <c r="F59" s="201">
        <v>3200</v>
      </c>
      <c r="G59" s="538">
        <v>800</v>
      </c>
      <c r="H59" s="637"/>
      <c r="I59" s="363">
        <f t="shared" si="41"/>
        <v>4</v>
      </c>
      <c r="J59" s="363">
        <f t="shared" si="42"/>
        <v>3196.5171948121924</v>
      </c>
      <c r="K59" s="199">
        <f t="shared" si="43"/>
        <v>799.12929870304811</v>
      </c>
      <c r="L59" s="657"/>
      <c r="M59" s="198">
        <f>RANK(K59, K$42:$K$71)</f>
        <v>14</v>
      </c>
      <c r="N59" s="644"/>
      <c r="O59" s="644"/>
      <c r="P59" s="556">
        <v>4</v>
      </c>
      <c r="Q59" s="557">
        <v>3156.0000000000009</v>
      </c>
      <c r="R59" s="557">
        <v>789.00000000000023</v>
      </c>
      <c r="S59" s="556">
        <f t="shared" si="25"/>
        <v>13</v>
      </c>
      <c r="T59" s="637"/>
      <c r="U59" s="556">
        <v>4</v>
      </c>
      <c r="V59" s="557">
        <v>3287.5000000000009</v>
      </c>
      <c r="W59" s="557">
        <v>821.87500000000023</v>
      </c>
      <c r="X59" s="556">
        <f t="shared" si="27"/>
        <v>16</v>
      </c>
      <c r="Y59" s="637"/>
      <c r="Z59" s="556">
        <v>4</v>
      </c>
      <c r="AA59" s="557">
        <v>3208.695652173913</v>
      </c>
      <c r="AB59" s="557">
        <v>802.17391304347825</v>
      </c>
      <c r="AC59" s="556">
        <f t="shared" si="29"/>
        <v>15</v>
      </c>
      <c r="AD59" s="637"/>
      <c r="AE59" s="556">
        <v>4</v>
      </c>
      <c r="AF59" s="557">
        <v>3290.5263157894851</v>
      </c>
      <c r="AG59" s="557">
        <v>822.63157894737128</v>
      </c>
      <c r="AH59" s="556">
        <f t="shared" si="31"/>
        <v>13</v>
      </c>
      <c r="AI59" s="637"/>
      <c r="AJ59" s="556">
        <v>4</v>
      </c>
      <c r="AK59" s="557">
        <v>3102.3529411764816</v>
      </c>
      <c r="AL59" s="557">
        <v>775.58823529412041</v>
      </c>
      <c r="AM59" s="556">
        <f t="shared" si="33"/>
        <v>13</v>
      </c>
      <c r="AN59" s="637"/>
      <c r="AO59" s="556">
        <v>4</v>
      </c>
      <c r="AP59" s="557">
        <v>3084.5454545454545</v>
      </c>
      <c r="AQ59" s="557">
        <v>771.13636363636363</v>
      </c>
      <c r="AR59" s="556">
        <f t="shared" si="35"/>
        <v>16</v>
      </c>
      <c r="AS59" s="637"/>
      <c r="AT59" s="556">
        <v>4</v>
      </c>
      <c r="AU59" s="557">
        <v>3246.0000000000118</v>
      </c>
      <c r="AV59" s="557">
        <v>811.50000000000296</v>
      </c>
      <c r="AW59" s="556">
        <f t="shared" si="37"/>
        <v>14</v>
      </c>
      <c r="AX59" s="637"/>
      <c r="AZ59" s="372" t="e">
        <f t="shared" si="39"/>
        <v>#N/A</v>
      </c>
      <c r="BA59" s="637"/>
    </row>
    <row r="60" spans="2:53">
      <c r="B60" s="683"/>
      <c r="C60" s="292">
        <v>19</v>
      </c>
      <c r="D60" s="532" t="s">
        <v>566</v>
      </c>
      <c r="E60" s="201">
        <v>4</v>
      </c>
      <c r="F60" s="201">
        <v>2800</v>
      </c>
      <c r="G60" s="538">
        <v>700</v>
      </c>
      <c r="H60" s="637"/>
      <c r="I60" s="363">
        <f t="shared" si="41"/>
        <v>4</v>
      </c>
      <c r="J60" s="363">
        <f t="shared" si="42"/>
        <v>2916.6857142857161</v>
      </c>
      <c r="K60" s="199">
        <f t="shared" si="43"/>
        <v>729.17142857142903</v>
      </c>
      <c r="L60" s="657"/>
      <c r="M60" s="198">
        <f>RANK(K60, K$42:$K$71)</f>
        <v>19</v>
      </c>
      <c r="N60" s="644"/>
      <c r="O60" s="644"/>
      <c r="P60" s="556">
        <v>4</v>
      </c>
      <c r="Q60" s="557">
        <v>2747.9999999999923</v>
      </c>
      <c r="R60" s="557">
        <v>686.99999999999807</v>
      </c>
      <c r="S60" s="556">
        <f t="shared" si="25"/>
        <v>20</v>
      </c>
      <c r="T60" s="637"/>
      <c r="U60" s="556">
        <v>4</v>
      </c>
      <c r="V60" s="557">
        <v>2500.7999999999929</v>
      </c>
      <c r="W60" s="557">
        <v>625.19999999999823</v>
      </c>
      <c r="X60" s="556">
        <f t="shared" si="27"/>
        <v>21</v>
      </c>
      <c r="Y60" s="637"/>
      <c r="Z60" s="556">
        <v>4</v>
      </c>
      <c r="AA60" s="557">
        <v>2967.0000000000105</v>
      </c>
      <c r="AB60" s="557">
        <v>741.75000000000261</v>
      </c>
      <c r="AC60" s="556">
        <f t="shared" si="29"/>
        <v>19</v>
      </c>
      <c r="AD60" s="637"/>
      <c r="AE60" s="556">
        <v>4</v>
      </c>
      <c r="AF60" s="557">
        <v>2871.0000000000105</v>
      </c>
      <c r="AG60" s="557">
        <v>717.75000000000261</v>
      </c>
      <c r="AH60" s="556">
        <f t="shared" si="31"/>
        <v>19</v>
      </c>
      <c r="AI60" s="637"/>
      <c r="AJ60" s="556">
        <v>4</v>
      </c>
      <c r="AK60" s="557">
        <v>3030.0000000000105</v>
      </c>
      <c r="AL60" s="557">
        <v>757.50000000000261</v>
      </c>
      <c r="AM60" s="556">
        <f t="shared" si="33"/>
        <v>15</v>
      </c>
      <c r="AN60" s="637"/>
      <c r="AO60" s="556">
        <v>4</v>
      </c>
      <c r="AP60" s="557">
        <v>3221.9999999999854</v>
      </c>
      <c r="AQ60" s="557">
        <v>805.49999999999636</v>
      </c>
      <c r="AR60" s="556">
        <f t="shared" si="35"/>
        <v>11</v>
      </c>
      <c r="AS60" s="637"/>
      <c r="AT60" s="556">
        <v>4</v>
      </c>
      <c r="AU60" s="557">
        <v>3078.0000000000109</v>
      </c>
      <c r="AV60" s="557">
        <v>769.50000000000273</v>
      </c>
      <c r="AW60" s="556">
        <f t="shared" si="37"/>
        <v>18</v>
      </c>
      <c r="AX60" s="637"/>
      <c r="AZ60" s="372" t="e">
        <f t="shared" si="39"/>
        <v>#N/A</v>
      </c>
      <c r="BA60" s="637"/>
    </row>
    <row r="61" spans="2:53">
      <c r="B61" s="683"/>
      <c r="C61" s="292">
        <v>20</v>
      </c>
      <c r="D61" s="532" t="s">
        <v>567</v>
      </c>
      <c r="E61" s="201">
        <v>3</v>
      </c>
      <c r="F61" s="201">
        <v>2800</v>
      </c>
      <c r="G61" s="538">
        <v>933.33333333333337</v>
      </c>
      <c r="H61" s="637"/>
      <c r="I61" s="363">
        <f t="shared" si="41"/>
        <v>3</v>
      </c>
      <c r="J61" s="363">
        <f t="shared" si="42"/>
        <v>3010.2857142857015</v>
      </c>
      <c r="K61" s="199">
        <f t="shared" si="43"/>
        <v>1003.4285714285671</v>
      </c>
      <c r="L61" s="657"/>
      <c r="M61" s="198">
        <f>RANK(K61, K$42:$K$71)</f>
        <v>8</v>
      </c>
      <c r="N61" s="644"/>
      <c r="O61" s="644"/>
      <c r="P61" s="556">
        <v>3</v>
      </c>
      <c r="Q61" s="557">
        <v>3167.9999999999859</v>
      </c>
      <c r="R61" s="557">
        <v>1055.9999999999952</v>
      </c>
      <c r="S61" s="556">
        <f t="shared" si="25"/>
        <v>5</v>
      </c>
      <c r="T61" s="637"/>
      <c r="U61" s="556">
        <v>3</v>
      </c>
      <c r="V61" s="557">
        <v>3110.9999999999859</v>
      </c>
      <c r="W61" s="557">
        <v>1036.9999999999952</v>
      </c>
      <c r="X61" s="556">
        <f t="shared" si="27"/>
        <v>9</v>
      </c>
      <c r="Y61" s="637"/>
      <c r="Z61" s="556">
        <v>3</v>
      </c>
      <c r="AA61" s="557">
        <v>3008.9999999999868</v>
      </c>
      <c r="AB61" s="557">
        <v>1002.9999999999956</v>
      </c>
      <c r="AC61" s="556">
        <f t="shared" si="29"/>
        <v>9</v>
      </c>
      <c r="AD61" s="637"/>
      <c r="AE61" s="556">
        <v>3</v>
      </c>
      <c r="AF61" s="557">
        <v>2834.9999999999873</v>
      </c>
      <c r="AG61" s="557">
        <v>944.99999999999579</v>
      </c>
      <c r="AH61" s="556">
        <f t="shared" si="31"/>
        <v>10</v>
      </c>
      <c r="AI61" s="637"/>
      <c r="AJ61" s="556">
        <v>3</v>
      </c>
      <c r="AK61" s="557">
        <v>3035.9999999999864</v>
      </c>
      <c r="AL61" s="557">
        <v>1011.9999999999955</v>
      </c>
      <c r="AM61" s="556">
        <f t="shared" si="33"/>
        <v>8</v>
      </c>
      <c r="AN61" s="637"/>
      <c r="AO61" s="556">
        <v>3</v>
      </c>
      <c r="AP61" s="557">
        <v>2723.9999999999923</v>
      </c>
      <c r="AQ61" s="557">
        <v>907.99999999999739</v>
      </c>
      <c r="AR61" s="556">
        <f t="shared" si="35"/>
        <v>10</v>
      </c>
      <c r="AS61" s="637"/>
      <c r="AT61" s="556">
        <v>3</v>
      </c>
      <c r="AU61" s="557">
        <v>3188.9999999999859</v>
      </c>
      <c r="AV61" s="557">
        <v>1062.9999999999952</v>
      </c>
      <c r="AW61" s="556">
        <f t="shared" si="37"/>
        <v>8</v>
      </c>
      <c r="AX61" s="637"/>
      <c r="AZ61" s="372" t="e">
        <f t="shared" si="39"/>
        <v>#N/A</v>
      </c>
      <c r="BA61" s="637"/>
    </row>
    <row r="62" spans="2:53">
      <c r="B62" s="683"/>
      <c r="C62" s="292">
        <v>21</v>
      </c>
      <c r="D62" s="532" t="s">
        <v>568</v>
      </c>
      <c r="E62" s="201">
        <v>4</v>
      </c>
      <c r="F62" s="201">
        <v>2200</v>
      </c>
      <c r="G62" s="538">
        <v>550</v>
      </c>
      <c r="H62" s="637"/>
      <c r="I62" s="363">
        <f t="shared" si="41"/>
        <v>3</v>
      </c>
      <c r="J62" s="363">
        <f t="shared" si="42"/>
        <v>2302.979591836739</v>
      </c>
      <c r="K62" s="199">
        <f t="shared" si="43"/>
        <v>767.65986394557956</v>
      </c>
      <c r="L62" s="657"/>
      <c r="M62" s="198">
        <f>RANK(K62, K$42:$K$71)</f>
        <v>17</v>
      </c>
      <c r="N62" s="644"/>
      <c r="O62" s="644"/>
      <c r="P62" s="556">
        <v>3</v>
      </c>
      <c r="Q62" s="557">
        <v>2221.7142857142835</v>
      </c>
      <c r="R62" s="557">
        <v>740.57142857142787</v>
      </c>
      <c r="S62" s="556">
        <f t="shared" si="25"/>
        <v>16</v>
      </c>
      <c r="T62" s="637"/>
      <c r="U62" s="556">
        <v>3</v>
      </c>
      <c r="V62" s="557">
        <v>2146.2857142857124</v>
      </c>
      <c r="W62" s="557">
        <v>715.42857142857076</v>
      </c>
      <c r="X62" s="556">
        <f t="shared" si="27"/>
        <v>19</v>
      </c>
      <c r="Y62" s="637"/>
      <c r="Z62" s="556">
        <v>3</v>
      </c>
      <c r="AA62" s="557">
        <v>2384.0000000000086</v>
      </c>
      <c r="AB62" s="557">
        <v>794.66666666666958</v>
      </c>
      <c r="AC62" s="556">
        <f t="shared" si="29"/>
        <v>17</v>
      </c>
      <c r="AD62" s="637"/>
      <c r="AE62" s="556">
        <v>3</v>
      </c>
      <c r="AF62" s="557">
        <v>2224.0000000000077</v>
      </c>
      <c r="AG62" s="557">
        <v>741.33333333333587</v>
      </c>
      <c r="AH62" s="556">
        <f t="shared" si="31"/>
        <v>18</v>
      </c>
      <c r="AI62" s="637"/>
      <c r="AJ62" s="556">
        <v>3</v>
      </c>
      <c r="AK62" s="557">
        <v>2370.0000000000086</v>
      </c>
      <c r="AL62" s="557">
        <v>790.00000000000284</v>
      </c>
      <c r="AM62" s="556">
        <f t="shared" si="33"/>
        <v>12</v>
      </c>
      <c r="AN62" s="637"/>
      <c r="AO62" s="556">
        <v>3</v>
      </c>
      <c r="AP62" s="557">
        <v>2226.8571428571408</v>
      </c>
      <c r="AQ62" s="557">
        <v>742.28571428571365</v>
      </c>
      <c r="AR62" s="556">
        <f t="shared" si="35"/>
        <v>19</v>
      </c>
      <c r="AS62" s="637"/>
      <c r="AT62" s="556">
        <v>3</v>
      </c>
      <c r="AU62" s="557">
        <v>2548.0000000000091</v>
      </c>
      <c r="AV62" s="557">
        <v>849.33333333333633</v>
      </c>
      <c r="AW62" s="556">
        <f t="shared" si="37"/>
        <v>13</v>
      </c>
      <c r="AX62" s="637"/>
      <c r="AZ62" s="372" t="e">
        <f t="shared" si="39"/>
        <v>#N/A</v>
      </c>
      <c r="BA62" s="637"/>
    </row>
    <row r="63" spans="2:53">
      <c r="B63" s="683"/>
      <c r="C63" s="292">
        <v>22</v>
      </c>
      <c r="D63" s="532" t="s">
        <v>631</v>
      </c>
      <c r="E63" s="201">
        <v>4</v>
      </c>
      <c r="F63" s="201">
        <v>2200</v>
      </c>
      <c r="G63" s="538">
        <v>550</v>
      </c>
      <c r="H63" s="637"/>
      <c r="I63" s="363">
        <f t="shared" si="41"/>
        <v>4</v>
      </c>
      <c r="J63" s="363">
        <f t="shared" si="42"/>
        <v>2285.7823129251733</v>
      </c>
      <c r="K63" s="199">
        <f t="shared" si="43"/>
        <v>571.44557823129333</v>
      </c>
      <c r="L63" s="657"/>
      <c r="M63" s="198">
        <f>RANK(K63, K$42:$K$71)</f>
        <v>22</v>
      </c>
      <c r="N63" s="644"/>
      <c r="O63" s="644"/>
      <c r="P63" s="556">
        <v>4</v>
      </c>
      <c r="Q63" s="557">
        <v>2033.1428571428551</v>
      </c>
      <c r="R63" s="557">
        <v>508.28571428571377</v>
      </c>
      <c r="S63" s="556">
        <f t="shared" si="25"/>
        <v>22</v>
      </c>
      <c r="T63" s="637"/>
      <c r="U63" s="556">
        <v>4</v>
      </c>
      <c r="V63" s="557">
        <v>2250.0000000000082</v>
      </c>
      <c r="W63" s="557">
        <v>562.50000000000205</v>
      </c>
      <c r="X63" s="556">
        <f t="shared" si="27"/>
        <v>22</v>
      </c>
      <c r="Y63" s="637"/>
      <c r="Z63" s="556">
        <v>4</v>
      </c>
      <c r="AA63" s="557">
        <v>2512.7999999999929</v>
      </c>
      <c r="AB63" s="557">
        <v>628.19999999999823</v>
      </c>
      <c r="AC63" s="556">
        <f t="shared" si="29"/>
        <v>22</v>
      </c>
      <c r="AD63" s="637"/>
      <c r="AE63" s="556">
        <v>4</v>
      </c>
      <c r="AF63" s="557">
        <v>2019.9999999999964</v>
      </c>
      <c r="AG63" s="557">
        <v>504.99999999999909</v>
      </c>
      <c r="AH63" s="556">
        <f t="shared" si="31"/>
        <v>22</v>
      </c>
      <c r="AI63" s="637"/>
      <c r="AJ63" s="556">
        <v>4</v>
      </c>
      <c r="AK63" s="557">
        <v>2443.2000000000089</v>
      </c>
      <c r="AL63" s="557">
        <v>610.80000000000223</v>
      </c>
      <c r="AM63" s="556">
        <f t="shared" si="33"/>
        <v>22</v>
      </c>
      <c r="AN63" s="637"/>
      <c r="AO63" s="556">
        <v>4</v>
      </c>
      <c r="AP63" s="557">
        <v>2288.0000000000082</v>
      </c>
      <c r="AQ63" s="557">
        <v>572.00000000000205</v>
      </c>
      <c r="AR63" s="556">
        <f t="shared" si="35"/>
        <v>22</v>
      </c>
      <c r="AS63" s="637"/>
      <c r="AT63" s="556">
        <v>4</v>
      </c>
      <c r="AU63" s="557">
        <v>2453.3333333333421</v>
      </c>
      <c r="AV63" s="557">
        <v>613.33333333333553</v>
      </c>
      <c r="AW63" s="556">
        <f t="shared" si="37"/>
        <v>21</v>
      </c>
      <c r="AX63" s="637"/>
      <c r="AZ63" s="372" t="e">
        <f t="shared" si="39"/>
        <v>#N/A</v>
      </c>
      <c r="BA63" s="637"/>
    </row>
    <row r="64" spans="2:53">
      <c r="B64" s="683"/>
      <c r="C64" s="292">
        <v>23</v>
      </c>
      <c r="D64" s="201" t="s">
        <v>634</v>
      </c>
      <c r="E64" s="201">
        <v>5</v>
      </c>
      <c r="F64" s="201">
        <v>2200</v>
      </c>
      <c r="G64" s="538">
        <v>333.33333333333331</v>
      </c>
      <c r="H64" s="637"/>
      <c r="I64" s="363">
        <f t="shared" si="41"/>
        <v>5</v>
      </c>
      <c r="J64" s="363">
        <f t="shared" si="42"/>
        <v>1920.965748537184</v>
      </c>
      <c r="K64" s="199">
        <f t="shared" si="43"/>
        <v>384.19314970743682</v>
      </c>
      <c r="L64" s="657"/>
      <c r="M64" s="198">
        <f>RANK(K64, K$42:$K$71)</f>
        <v>23</v>
      </c>
      <c r="N64" s="644"/>
      <c r="O64" s="644"/>
      <c r="P64" s="556">
        <v>5</v>
      </c>
      <c r="Q64" s="557">
        <v>1838.5714285714353</v>
      </c>
      <c r="R64" s="557">
        <v>367.71428571428703</v>
      </c>
      <c r="S64" s="556">
        <f t="shared" si="25"/>
        <v>23</v>
      </c>
      <c r="T64" s="637"/>
      <c r="U64" s="556">
        <v>5</v>
      </c>
      <c r="V64" s="557">
        <v>1878.4615384615452</v>
      </c>
      <c r="W64" s="557">
        <v>375.69230769230904</v>
      </c>
      <c r="X64" s="556">
        <f t="shared" si="27"/>
        <v>23</v>
      </c>
      <c r="Y64" s="637"/>
      <c r="Z64" s="556">
        <v>5</v>
      </c>
      <c r="AA64" s="557">
        <v>1930.0000000000066</v>
      </c>
      <c r="AB64" s="557">
        <v>386.00000000000131</v>
      </c>
      <c r="AC64" s="556">
        <f t="shared" si="29"/>
        <v>24</v>
      </c>
      <c r="AD64" s="637"/>
      <c r="AE64" s="556">
        <v>5</v>
      </c>
      <c r="AF64" s="557">
        <v>1962.000000000007</v>
      </c>
      <c r="AG64" s="557">
        <v>392.4000000000014</v>
      </c>
      <c r="AH64" s="556">
        <f t="shared" si="31"/>
        <v>23</v>
      </c>
      <c r="AI64" s="637"/>
      <c r="AJ64" s="556">
        <v>5</v>
      </c>
      <c r="AK64" s="557">
        <v>1865.4545454545521</v>
      </c>
      <c r="AL64" s="557">
        <v>373.09090909091043</v>
      </c>
      <c r="AM64" s="556">
        <f t="shared" si="33"/>
        <v>24</v>
      </c>
      <c r="AN64" s="637"/>
      <c r="AO64" s="556">
        <v>5</v>
      </c>
      <c r="AP64" s="557">
        <v>1965.0000000000068</v>
      </c>
      <c r="AQ64" s="557">
        <v>393.00000000000136</v>
      </c>
      <c r="AR64" s="556">
        <f t="shared" si="35"/>
        <v>24</v>
      </c>
      <c r="AS64" s="637"/>
      <c r="AT64" s="556">
        <v>5</v>
      </c>
      <c r="AU64" s="557">
        <v>2007.2727272727345</v>
      </c>
      <c r="AV64" s="557">
        <v>401.45454545454692</v>
      </c>
      <c r="AW64" s="556">
        <f t="shared" si="37"/>
        <v>22</v>
      </c>
      <c r="AX64" s="637"/>
      <c r="AZ64" s="372" t="e">
        <f t="shared" si="39"/>
        <v>#N/A</v>
      </c>
      <c r="BA64" s="637"/>
    </row>
    <row r="65" spans="2:53">
      <c r="B65" s="683"/>
      <c r="C65" s="292">
        <v>24</v>
      </c>
      <c r="D65" s="532" t="s">
        <v>635</v>
      </c>
      <c r="E65" s="201">
        <v>5</v>
      </c>
      <c r="F65" s="201">
        <v>2200</v>
      </c>
      <c r="G65" s="538">
        <v>333.33333333333331</v>
      </c>
      <c r="H65" s="637"/>
      <c r="I65" s="363">
        <f t="shared" si="41"/>
        <v>5</v>
      </c>
      <c r="J65" s="363">
        <f t="shared" si="42"/>
        <v>1889.8639455782381</v>
      </c>
      <c r="K65" s="199">
        <f t="shared" si="43"/>
        <v>377.97278911564763</v>
      </c>
      <c r="L65" s="657"/>
      <c r="M65" s="198">
        <f>RANK(K65, K$42:$K$71)</f>
        <v>24</v>
      </c>
      <c r="N65" s="644"/>
      <c r="O65" s="644"/>
      <c r="P65" s="556">
        <v>5</v>
      </c>
      <c r="Q65" s="557">
        <v>1793.3333333333399</v>
      </c>
      <c r="R65" s="557">
        <v>358.66666666666799</v>
      </c>
      <c r="S65" s="556">
        <f t="shared" si="25"/>
        <v>24</v>
      </c>
      <c r="T65" s="637"/>
      <c r="U65" s="556">
        <v>5</v>
      </c>
      <c r="V65" s="557">
        <v>1820.0000000000066</v>
      </c>
      <c r="W65" s="557">
        <v>364.00000000000131</v>
      </c>
      <c r="X65" s="556">
        <f t="shared" si="27"/>
        <v>24</v>
      </c>
      <c r="Y65" s="637"/>
      <c r="Z65" s="556">
        <v>5</v>
      </c>
      <c r="AA65" s="557">
        <v>1980.0000000000068</v>
      </c>
      <c r="AB65" s="557">
        <v>396.00000000000136</v>
      </c>
      <c r="AC65" s="556">
        <f t="shared" si="29"/>
        <v>23</v>
      </c>
      <c r="AD65" s="637"/>
      <c r="AE65" s="556">
        <v>5</v>
      </c>
      <c r="AF65" s="557">
        <v>1910.0000000000068</v>
      </c>
      <c r="AG65" s="557">
        <v>382.00000000000136</v>
      </c>
      <c r="AH65" s="556">
        <f t="shared" si="31"/>
        <v>24</v>
      </c>
      <c r="AI65" s="637"/>
      <c r="AJ65" s="556">
        <v>5</v>
      </c>
      <c r="AK65" s="557">
        <v>1920.0000000000068</v>
      </c>
      <c r="AL65" s="557">
        <v>384.00000000000136</v>
      </c>
      <c r="AM65" s="556">
        <f t="shared" si="33"/>
        <v>23</v>
      </c>
      <c r="AN65" s="637"/>
      <c r="AO65" s="556">
        <v>5</v>
      </c>
      <c r="AP65" s="557">
        <v>1997.1428571428644</v>
      </c>
      <c r="AQ65" s="557">
        <v>399.42857142857287</v>
      </c>
      <c r="AR65" s="556">
        <f t="shared" si="35"/>
        <v>23</v>
      </c>
      <c r="AS65" s="637"/>
      <c r="AT65" s="556">
        <v>5</v>
      </c>
      <c r="AU65" s="557">
        <v>1808.571428571435</v>
      </c>
      <c r="AV65" s="557">
        <v>361.71428571428703</v>
      </c>
      <c r="AW65" s="556">
        <f t="shared" si="37"/>
        <v>23</v>
      </c>
      <c r="AX65" s="637"/>
      <c r="AZ65" s="372" t="e">
        <f t="shared" si="39"/>
        <v>#N/A</v>
      </c>
      <c r="BA65" s="637"/>
    </row>
    <row r="66" spans="2:53">
      <c r="B66" s="683"/>
      <c r="C66" s="292">
        <v>25</v>
      </c>
      <c r="D66" s="201" t="s">
        <v>594</v>
      </c>
      <c r="E66" s="201">
        <v>8</v>
      </c>
      <c r="F66" s="201">
        <v>1500</v>
      </c>
      <c r="G66" s="538">
        <v>187.5</v>
      </c>
      <c r="H66" s="637"/>
      <c r="I66" s="363">
        <f t="shared" si="41"/>
        <v>12</v>
      </c>
      <c r="J66" s="363">
        <f t="shared" si="42"/>
        <v>1451.0760714784496</v>
      </c>
      <c r="K66" s="199">
        <f t="shared" si="43"/>
        <v>120.92300595653748</v>
      </c>
      <c r="L66" s="657"/>
      <c r="M66" s="198">
        <f>RANK(K66, K$42:$K$71)</f>
        <v>25</v>
      </c>
      <c r="N66" s="644"/>
      <c r="O66" s="644"/>
      <c r="P66" s="556">
        <v>12</v>
      </c>
      <c r="Q66" s="557">
        <v>1384.8387096774206</v>
      </c>
      <c r="R66" s="557">
        <v>115.40322580645172</v>
      </c>
      <c r="S66" s="556">
        <f t="shared" si="25"/>
        <v>25</v>
      </c>
      <c r="T66" s="637"/>
      <c r="U66" s="556">
        <v>12</v>
      </c>
      <c r="V66" s="557">
        <v>1372.131147540985</v>
      </c>
      <c r="W66" s="557">
        <v>114.34426229508209</v>
      </c>
      <c r="X66" s="556">
        <f t="shared" si="27"/>
        <v>25</v>
      </c>
      <c r="Y66" s="637"/>
      <c r="Z66" s="556">
        <v>12</v>
      </c>
      <c r="AA66" s="557">
        <v>1498.8679245283029</v>
      </c>
      <c r="AB66" s="557">
        <v>124.90566037735857</v>
      </c>
      <c r="AC66" s="556">
        <f t="shared" si="29"/>
        <v>25</v>
      </c>
      <c r="AD66" s="637"/>
      <c r="AE66" s="556">
        <v>12</v>
      </c>
      <c r="AF66" s="557">
        <v>1481.6326530612248</v>
      </c>
      <c r="AG66" s="557">
        <v>123.46938775510206</v>
      </c>
      <c r="AH66" s="556">
        <f t="shared" si="31"/>
        <v>25</v>
      </c>
      <c r="AI66" s="637"/>
      <c r="AJ66" s="556">
        <v>12</v>
      </c>
      <c r="AK66" s="557">
        <v>1461.5094339622649</v>
      </c>
      <c r="AL66" s="557">
        <v>121.79245283018874</v>
      </c>
      <c r="AM66" s="556">
        <f t="shared" si="33"/>
        <v>25</v>
      </c>
      <c r="AN66" s="637"/>
      <c r="AO66" s="556">
        <v>12</v>
      </c>
      <c r="AP66" s="557">
        <v>1481.0526315789484</v>
      </c>
      <c r="AQ66" s="557">
        <v>123.42105263157903</v>
      </c>
      <c r="AR66" s="556">
        <f t="shared" si="35"/>
        <v>25</v>
      </c>
      <c r="AS66" s="637"/>
      <c r="AT66" s="556">
        <v>12</v>
      </c>
      <c r="AU66" s="557">
        <v>1477.5000000000011</v>
      </c>
      <c r="AV66" s="557">
        <v>123.1250000000001</v>
      </c>
      <c r="AW66" s="556">
        <f t="shared" si="37"/>
        <v>24</v>
      </c>
      <c r="AX66" s="637"/>
      <c r="AZ66" s="372" t="e">
        <f t="shared" si="39"/>
        <v>#N/A</v>
      </c>
      <c r="BA66" s="637"/>
    </row>
    <row r="67" spans="2:53">
      <c r="B67" s="683"/>
      <c r="C67" s="292">
        <v>26</v>
      </c>
      <c r="D67" s="201"/>
      <c r="E67" s="201"/>
      <c r="F67" s="201"/>
      <c r="G67" s="538"/>
      <c r="H67" s="637"/>
      <c r="I67" s="363" t="str">
        <f t="shared" si="41"/>
        <v>-</v>
      </c>
      <c r="J67" s="363" t="str">
        <f t="shared" si="42"/>
        <v>-</v>
      </c>
      <c r="K67" s="199" t="str">
        <f t="shared" si="43"/>
        <v>-</v>
      </c>
      <c r="L67" s="657"/>
      <c r="M67" s="198" t="e">
        <f>RANK(K67, K$42:$K$71)</f>
        <v>#VALUE!</v>
      </c>
      <c r="N67" s="644"/>
      <c r="O67" s="644"/>
      <c r="P67" s="556"/>
      <c r="Q67" s="557"/>
      <c r="R67" s="557"/>
      <c r="S67" s="556" t="e">
        <f t="shared" si="25"/>
        <v>#N/A</v>
      </c>
      <c r="T67" s="637"/>
      <c r="U67" s="556"/>
      <c r="V67" s="557"/>
      <c r="W67" s="557"/>
      <c r="X67" s="556" t="e">
        <f t="shared" si="27"/>
        <v>#N/A</v>
      </c>
      <c r="Y67" s="637"/>
      <c r="Z67" s="556"/>
      <c r="AA67" s="557"/>
      <c r="AB67" s="557"/>
      <c r="AC67" s="556" t="e">
        <f t="shared" si="29"/>
        <v>#N/A</v>
      </c>
      <c r="AD67" s="637"/>
      <c r="AE67" s="556"/>
      <c r="AF67" s="557"/>
      <c r="AG67" s="557"/>
      <c r="AH67" s="556" t="e">
        <f t="shared" si="31"/>
        <v>#N/A</v>
      </c>
      <c r="AI67" s="637"/>
      <c r="AJ67" s="556"/>
      <c r="AK67" s="557"/>
      <c r="AL67" s="557"/>
      <c r="AM67" s="556" t="e">
        <f t="shared" si="33"/>
        <v>#N/A</v>
      </c>
      <c r="AN67" s="637"/>
      <c r="AO67" s="556"/>
      <c r="AP67" s="557"/>
      <c r="AQ67" s="557"/>
      <c r="AR67" s="556" t="e">
        <f t="shared" si="35"/>
        <v>#N/A</v>
      </c>
      <c r="AS67" s="637"/>
      <c r="AT67" s="556"/>
      <c r="AU67" s="557"/>
      <c r="AV67" s="557"/>
      <c r="AW67" s="556" t="e">
        <f t="shared" si="37"/>
        <v>#N/A</v>
      </c>
      <c r="AX67" s="637"/>
      <c r="AZ67" s="372" t="e">
        <f t="shared" si="39"/>
        <v>#N/A</v>
      </c>
      <c r="BA67" s="637"/>
    </row>
    <row r="68" spans="2:53">
      <c r="B68" s="683"/>
      <c r="C68" s="292">
        <v>27</v>
      </c>
      <c r="D68" s="201"/>
      <c r="E68" s="201"/>
      <c r="F68" s="201"/>
      <c r="G68" s="538"/>
      <c r="H68" s="637"/>
      <c r="I68" s="363" t="str">
        <f t="shared" si="41"/>
        <v>-</v>
      </c>
      <c r="J68" s="363" t="str">
        <f t="shared" si="42"/>
        <v>-</v>
      </c>
      <c r="K68" s="199" t="str">
        <f t="shared" si="43"/>
        <v>-</v>
      </c>
      <c r="L68" s="657"/>
      <c r="M68" s="198" t="e">
        <f>RANK(K68, K$42:$K$71)</f>
        <v>#VALUE!</v>
      </c>
      <c r="N68" s="644"/>
      <c r="O68" s="644"/>
      <c r="P68" s="556"/>
      <c r="Q68" s="557"/>
      <c r="R68" s="557"/>
      <c r="S68" s="556" t="e">
        <f t="shared" si="25"/>
        <v>#N/A</v>
      </c>
      <c r="T68" s="637"/>
      <c r="U68" s="556"/>
      <c r="V68" s="557"/>
      <c r="W68" s="557"/>
      <c r="X68" s="556" t="e">
        <f t="shared" si="27"/>
        <v>#N/A</v>
      </c>
      <c r="Y68" s="637"/>
      <c r="Z68" s="556"/>
      <c r="AA68" s="557"/>
      <c r="AB68" s="557"/>
      <c r="AC68" s="556" t="e">
        <f t="shared" si="29"/>
        <v>#N/A</v>
      </c>
      <c r="AD68" s="637"/>
      <c r="AE68" s="556"/>
      <c r="AF68" s="557"/>
      <c r="AG68" s="557"/>
      <c r="AH68" s="556" t="e">
        <f t="shared" si="31"/>
        <v>#N/A</v>
      </c>
      <c r="AI68" s="637"/>
      <c r="AJ68" s="556"/>
      <c r="AK68" s="557"/>
      <c r="AL68" s="557"/>
      <c r="AM68" s="556" t="e">
        <f t="shared" si="33"/>
        <v>#N/A</v>
      </c>
      <c r="AN68" s="637"/>
      <c r="AO68" s="556"/>
      <c r="AP68" s="557"/>
      <c r="AQ68" s="557"/>
      <c r="AR68" s="556" t="e">
        <f t="shared" si="35"/>
        <v>#N/A</v>
      </c>
      <c r="AS68" s="637"/>
      <c r="AT68" s="556"/>
      <c r="AU68" s="557"/>
      <c r="AV68" s="557"/>
      <c r="AW68" s="556" t="e">
        <f t="shared" si="37"/>
        <v>#N/A</v>
      </c>
      <c r="AX68" s="637"/>
      <c r="AZ68" s="372" t="e">
        <f t="shared" si="39"/>
        <v>#N/A</v>
      </c>
      <c r="BA68" s="637"/>
    </row>
    <row r="69" spans="2:53">
      <c r="B69" s="683"/>
      <c r="C69" s="292">
        <v>28</v>
      </c>
      <c r="D69" s="201"/>
      <c r="E69" s="201"/>
      <c r="F69" s="201"/>
      <c r="G69" s="201"/>
      <c r="H69" s="637"/>
      <c r="I69" s="363" t="str">
        <f t="shared" si="41"/>
        <v>-</v>
      </c>
      <c r="J69" s="363" t="str">
        <f t="shared" si="42"/>
        <v>-</v>
      </c>
      <c r="K69" s="199" t="str">
        <f t="shared" si="43"/>
        <v>-</v>
      </c>
      <c r="L69" s="657"/>
      <c r="M69" s="198" t="e">
        <f>RANK(K69, K$42:$K$71)</f>
        <v>#VALUE!</v>
      </c>
      <c r="N69" s="644"/>
      <c r="O69" s="644"/>
      <c r="P69" s="556"/>
      <c r="Q69" s="557"/>
      <c r="R69" s="557"/>
      <c r="S69" s="556" t="e">
        <f t="shared" si="25"/>
        <v>#N/A</v>
      </c>
      <c r="T69" s="637"/>
      <c r="U69" s="556"/>
      <c r="V69" s="557"/>
      <c r="W69" s="557"/>
      <c r="X69" s="556" t="e">
        <f t="shared" si="27"/>
        <v>#N/A</v>
      </c>
      <c r="Y69" s="637"/>
      <c r="Z69" s="556"/>
      <c r="AA69" s="557"/>
      <c r="AB69" s="557"/>
      <c r="AC69" s="556" t="e">
        <f t="shared" si="29"/>
        <v>#N/A</v>
      </c>
      <c r="AD69" s="637"/>
      <c r="AE69" s="556"/>
      <c r="AF69" s="557"/>
      <c r="AG69" s="557"/>
      <c r="AH69" s="556" t="e">
        <f t="shared" si="31"/>
        <v>#N/A</v>
      </c>
      <c r="AI69" s="637"/>
      <c r="AJ69" s="556"/>
      <c r="AK69" s="557"/>
      <c r="AL69" s="557"/>
      <c r="AM69" s="556" t="e">
        <f t="shared" si="33"/>
        <v>#N/A</v>
      </c>
      <c r="AN69" s="637"/>
      <c r="AO69" s="556"/>
      <c r="AP69" s="557"/>
      <c r="AQ69" s="557"/>
      <c r="AR69" s="556" t="e">
        <f t="shared" si="35"/>
        <v>#N/A</v>
      </c>
      <c r="AS69" s="637"/>
      <c r="AT69" s="556"/>
      <c r="AU69" s="557"/>
      <c r="AV69" s="557"/>
      <c r="AW69" s="556" t="e">
        <f t="shared" si="37"/>
        <v>#N/A</v>
      </c>
      <c r="AX69" s="637"/>
      <c r="AZ69" s="372" t="e">
        <f t="shared" si="39"/>
        <v>#N/A</v>
      </c>
      <c r="BA69" s="637"/>
    </row>
    <row r="70" spans="2:53">
      <c r="B70" s="683"/>
      <c r="C70" s="292">
        <v>29</v>
      </c>
      <c r="D70" s="201"/>
      <c r="E70" s="201"/>
      <c r="F70" s="201"/>
      <c r="G70" s="201"/>
      <c r="H70" s="637"/>
      <c r="I70" s="363" t="str">
        <f t="shared" si="41"/>
        <v>-</v>
      </c>
      <c r="J70" s="363" t="str">
        <f t="shared" si="42"/>
        <v>-</v>
      </c>
      <c r="K70" s="199" t="str">
        <f t="shared" si="43"/>
        <v>-</v>
      </c>
      <c r="L70" s="657"/>
      <c r="M70" s="198" t="e">
        <f>RANK(K70, K$42:$K$71)</f>
        <v>#VALUE!</v>
      </c>
      <c r="N70" s="644"/>
      <c r="O70" s="644"/>
      <c r="P70" s="556"/>
      <c r="Q70" s="557"/>
      <c r="R70" s="557"/>
      <c r="S70" s="556" t="e">
        <f t="shared" si="25"/>
        <v>#N/A</v>
      </c>
      <c r="T70" s="637"/>
      <c r="U70" s="556"/>
      <c r="V70" s="557"/>
      <c r="W70" s="557"/>
      <c r="X70" s="556" t="e">
        <f t="shared" si="27"/>
        <v>#N/A</v>
      </c>
      <c r="Y70" s="637"/>
      <c r="Z70" s="556"/>
      <c r="AA70" s="557"/>
      <c r="AB70" s="557"/>
      <c r="AC70" s="556" t="e">
        <f t="shared" si="29"/>
        <v>#N/A</v>
      </c>
      <c r="AD70" s="637"/>
      <c r="AE70" s="556"/>
      <c r="AF70" s="557"/>
      <c r="AG70" s="557"/>
      <c r="AH70" s="556" t="e">
        <f t="shared" si="31"/>
        <v>#N/A</v>
      </c>
      <c r="AI70" s="637"/>
      <c r="AJ70" s="556"/>
      <c r="AK70" s="557"/>
      <c r="AL70" s="557"/>
      <c r="AM70" s="556" t="e">
        <f t="shared" si="33"/>
        <v>#N/A</v>
      </c>
      <c r="AN70" s="637"/>
      <c r="AO70" s="556"/>
      <c r="AP70" s="557"/>
      <c r="AQ70" s="557"/>
      <c r="AR70" s="556" t="e">
        <f t="shared" si="35"/>
        <v>#N/A</v>
      </c>
      <c r="AS70" s="637"/>
      <c r="AT70" s="556"/>
      <c r="AU70" s="557"/>
      <c r="AV70" s="557"/>
      <c r="AW70" s="556" t="e">
        <f t="shared" si="37"/>
        <v>#N/A</v>
      </c>
      <c r="AX70" s="637"/>
      <c r="AZ70" s="372" t="e">
        <f t="shared" si="39"/>
        <v>#N/A</v>
      </c>
      <c r="BA70" s="637"/>
    </row>
    <row r="71" spans="2:53">
      <c r="B71" s="684"/>
      <c r="C71" s="292">
        <v>30</v>
      </c>
      <c r="D71" s="201"/>
      <c r="E71" s="201"/>
      <c r="F71" s="201"/>
      <c r="G71" s="201"/>
      <c r="H71" s="638"/>
      <c r="I71" s="363" t="str">
        <f t="shared" si="41"/>
        <v>-</v>
      </c>
      <c r="J71" s="363" t="str">
        <f t="shared" si="42"/>
        <v>-</v>
      </c>
      <c r="K71" s="199" t="str">
        <f t="shared" si="43"/>
        <v>-</v>
      </c>
      <c r="L71" s="658"/>
      <c r="M71" s="198" t="e">
        <f>RANK(K71, K$42:$K$71)</f>
        <v>#VALUE!</v>
      </c>
      <c r="N71" s="645"/>
      <c r="O71" s="645"/>
      <c r="P71" s="556"/>
      <c r="Q71" s="557"/>
      <c r="R71" s="557"/>
      <c r="S71" s="556" t="e">
        <f t="shared" si="25"/>
        <v>#N/A</v>
      </c>
      <c r="T71" s="638"/>
      <c r="U71" s="556"/>
      <c r="V71" s="557"/>
      <c r="W71" s="557"/>
      <c r="X71" s="556" t="e">
        <f t="shared" si="27"/>
        <v>#N/A</v>
      </c>
      <c r="Y71" s="638"/>
      <c r="Z71" s="556"/>
      <c r="AA71" s="557"/>
      <c r="AB71" s="557"/>
      <c r="AC71" s="556" t="e">
        <f t="shared" si="29"/>
        <v>#N/A</v>
      </c>
      <c r="AD71" s="638"/>
      <c r="AE71" s="556"/>
      <c r="AF71" s="557"/>
      <c r="AG71" s="557"/>
      <c r="AH71" s="556" t="e">
        <f t="shared" si="31"/>
        <v>#N/A</v>
      </c>
      <c r="AI71" s="638"/>
      <c r="AJ71" s="556"/>
      <c r="AK71" s="557"/>
      <c r="AL71" s="557"/>
      <c r="AM71" s="556" t="e">
        <f t="shared" si="33"/>
        <v>#N/A</v>
      </c>
      <c r="AN71" s="638"/>
      <c r="AO71" s="556"/>
      <c r="AP71" s="557"/>
      <c r="AQ71" s="557"/>
      <c r="AR71" s="556" t="e">
        <f t="shared" si="35"/>
        <v>#N/A</v>
      </c>
      <c r="AS71" s="638"/>
      <c r="AT71" s="556"/>
      <c r="AU71" s="557"/>
      <c r="AV71" s="557"/>
      <c r="AW71" s="556" t="e">
        <f t="shared" si="37"/>
        <v>#N/A</v>
      </c>
      <c r="AX71" s="638"/>
      <c r="AZ71" s="372" t="e">
        <f t="shared" si="39"/>
        <v>#N/A</v>
      </c>
      <c r="BA71" s="638"/>
    </row>
    <row r="72" spans="2:53" ht="15.75">
      <c r="B72" s="680" t="s">
        <v>162</v>
      </c>
      <c r="C72" s="681"/>
      <c r="D72" s="681"/>
      <c r="E72" s="681"/>
      <c r="F72" s="681"/>
      <c r="G72" s="681"/>
      <c r="H72" s="681"/>
      <c r="I72" s="207"/>
      <c r="J72" s="202"/>
      <c r="K72" s="207"/>
      <c r="L72" s="207"/>
      <c r="M72" s="203"/>
      <c r="N72" s="643" t="s">
        <v>156</v>
      </c>
      <c r="O72" s="643" t="s">
        <v>155</v>
      </c>
      <c r="P72" s="668">
        <f>P37+7</f>
        <v>46245</v>
      </c>
      <c r="Q72" s="647"/>
      <c r="R72" s="647"/>
      <c r="S72" s="647"/>
      <c r="T72" s="647"/>
      <c r="U72" s="665">
        <f>P72+1</f>
        <v>46246</v>
      </c>
      <c r="V72" s="666"/>
      <c r="W72" s="666"/>
      <c r="X72" s="666"/>
      <c r="Y72" s="667"/>
      <c r="Z72" s="665">
        <f>U72+1</f>
        <v>46247</v>
      </c>
      <c r="AA72" s="666"/>
      <c r="AB72" s="666"/>
      <c r="AC72" s="666"/>
      <c r="AD72" s="667"/>
      <c r="AE72" s="665">
        <f>Z72+1</f>
        <v>46248</v>
      </c>
      <c r="AF72" s="666"/>
      <c r="AG72" s="666"/>
      <c r="AH72" s="666"/>
      <c r="AI72" s="667"/>
      <c r="AJ72" s="665">
        <f>AE72+1</f>
        <v>46249</v>
      </c>
      <c r="AK72" s="666"/>
      <c r="AL72" s="666"/>
      <c r="AM72" s="666"/>
      <c r="AN72" s="667"/>
      <c r="AO72" s="665">
        <f>AJ72+1</f>
        <v>46250</v>
      </c>
      <c r="AP72" s="666"/>
      <c r="AQ72" s="666"/>
      <c r="AR72" s="666"/>
      <c r="AS72" s="667"/>
      <c r="AT72" s="665">
        <f>AO72+1</f>
        <v>46251</v>
      </c>
      <c r="AU72" s="666"/>
      <c r="AV72" s="666"/>
      <c r="AW72" s="666"/>
      <c r="AX72" s="667"/>
    </row>
    <row r="73" spans="2:53" ht="15.75">
      <c r="B73" s="672"/>
      <c r="C73" s="672"/>
      <c r="D73" s="672"/>
      <c r="E73" s="672"/>
      <c r="F73" s="672"/>
      <c r="G73" s="672"/>
      <c r="H73" s="672"/>
      <c r="I73" s="204"/>
      <c r="J73" s="204"/>
      <c r="K73" s="204"/>
      <c r="L73" s="204"/>
      <c r="M73" s="205"/>
      <c r="N73" s="645"/>
      <c r="O73" s="645"/>
      <c r="P73" s="668" t="s">
        <v>317</v>
      </c>
      <c r="Q73" s="647"/>
      <c r="R73" s="647"/>
      <c r="S73" s="647"/>
      <c r="T73" s="647"/>
      <c r="U73" s="668" t="s">
        <v>318</v>
      </c>
      <c r="V73" s="647"/>
      <c r="W73" s="647"/>
      <c r="X73" s="647"/>
      <c r="Y73" s="647"/>
      <c r="Z73" s="668" t="s">
        <v>319</v>
      </c>
      <c r="AA73" s="647"/>
      <c r="AB73" s="647"/>
      <c r="AC73" s="647"/>
      <c r="AD73" s="647"/>
      <c r="AE73" s="668" t="s">
        <v>320</v>
      </c>
      <c r="AF73" s="647"/>
      <c r="AG73" s="647"/>
      <c r="AH73" s="647"/>
      <c r="AI73" s="647"/>
      <c r="AJ73" s="668" t="s">
        <v>321</v>
      </c>
      <c r="AK73" s="647"/>
      <c r="AL73" s="647"/>
      <c r="AM73" s="647"/>
      <c r="AN73" s="647"/>
      <c r="AO73" s="668" t="s">
        <v>322</v>
      </c>
      <c r="AP73" s="647"/>
      <c r="AQ73" s="647"/>
      <c r="AR73" s="647"/>
      <c r="AS73" s="647"/>
      <c r="AT73" s="668" t="s">
        <v>323</v>
      </c>
      <c r="AU73" s="647"/>
      <c r="AV73" s="647"/>
      <c r="AW73" s="647"/>
      <c r="AX73" s="647"/>
    </row>
    <row r="74" spans="2:53">
      <c r="B74" s="643" t="s">
        <v>453</v>
      </c>
      <c r="C74" s="673" t="s">
        <v>454</v>
      </c>
      <c r="D74" s="685"/>
      <c r="E74" s="659" t="s">
        <v>455</v>
      </c>
      <c r="F74" s="660"/>
      <c r="G74" s="661"/>
      <c r="H74" s="643" t="s">
        <v>456</v>
      </c>
      <c r="I74" s="692" t="s">
        <v>457</v>
      </c>
      <c r="J74" s="693"/>
      <c r="K74" s="694"/>
      <c r="L74" s="677" t="s">
        <v>456</v>
      </c>
      <c r="M74" s="677" t="s">
        <v>458</v>
      </c>
      <c r="N74" s="643"/>
      <c r="O74" s="643" t="s">
        <v>459</v>
      </c>
      <c r="P74" s="659" t="s">
        <v>460</v>
      </c>
      <c r="Q74" s="660"/>
      <c r="R74" s="660"/>
      <c r="S74" s="661"/>
      <c r="T74" s="643" t="s">
        <v>456</v>
      </c>
      <c r="U74" s="659" t="s">
        <v>460</v>
      </c>
      <c r="V74" s="660"/>
      <c r="W74" s="660"/>
      <c r="X74" s="661"/>
      <c r="Y74" s="643" t="s">
        <v>456</v>
      </c>
      <c r="Z74" s="659" t="s">
        <v>460</v>
      </c>
      <c r="AA74" s="660"/>
      <c r="AB74" s="660"/>
      <c r="AC74" s="661"/>
      <c r="AD74" s="643" t="s">
        <v>456</v>
      </c>
      <c r="AE74" s="659" t="s">
        <v>460</v>
      </c>
      <c r="AF74" s="660"/>
      <c r="AG74" s="660"/>
      <c r="AH74" s="661"/>
      <c r="AI74" s="643" t="s">
        <v>456</v>
      </c>
      <c r="AJ74" s="659" t="s">
        <v>460</v>
      </c>
      <c r="AK74" s="660"/>
      <c r="AL74" s="660"/>
      <c r="AM74" s="661"/>
      <c r="AN74" s="643" t="s">
        <v>456</v>
      </c>
      <c r="AO74" s="659" t="s">
        <v>460</v>
      </c>
      <c r="AP74" s="660"/>
      <c r="AQ74" s="660"/>
      <c r="AR74" s="661"/>
      <c r="AS74" s="643" t="s">
        <v>456</v>
      </c>
      <c r="AT74" s="659" t="s">
        <v>460</v>
      </c>
      <c r="AU74" s="660"/>
      <c r="AV74" s="660"/>
      <c r="AW74" s="661"/>
      <c r="AX74" s="643" t="s">
        <v>456</v>
      </c>
      <c r="BA74" s="643" t="s">
        <v>366</v>
      </c>
    </row>
    <row r="75" spans="2:53">
      <c r="B75" s="644"/>
      <c r="C75" s="674"/>
      <c r="D75" s="686"/>
      <c r="E75" s="659" t="s">
        <v>461</v>
      </c>
      <c r="F75" s="660"/>
      <c r="G75" s="661"/>
      <c r="H75" s="644"/>
      <c r="I75" s="692" t="s">
        <v>461</v>
      </c>
      <c r="J75" s="693"/>
      <c r="K75" s="694"/>
      <c r="L75" s="678"/>
      <c r="M75" s="678"/>
      <c r="N75" s="644"/>
      <c r="O75" s="644"/>
      <c r="P75" s="659" t="s">
        <v>462</v>
      </c>
      <c r="Q75" s="660"/>
      <c r="R75" s="660"/>
      <c r="S75" s="661"/>
      <c r="T75" s="644"/>
      <c r="U75" s="659" t="s">
        <v>462</v>
      </c>
      <c r="V75" s="660"/>
      <c r="W75" s="660"/>
      <c r="X75" s="661"/>
      <c r="Y75" s="644"/>
      <c r="Z75" s="659" t="s">
        <v>462</v>
      </c>
      <c r="AA75" s="660"/>
      <c r="AB75" s="660"/>
      <c r="AC75" s="661"/>
      <c r="AD75" s="644"/>
      <c r="AE75" s="659" t="s">
        <v>462</v>
      </c>
      <c r="AF75" s="660"/>
      <c r="AG75" s="660"/>
      <c r="AH75" s="661"/>
      <c r="AI75" s="644"/>
      <c r="AJ75" s="659" t="s">
        <v>462</v>
      </c>
      <c r="AK75" s="660"/>
      <c r="AL75" s="660"/>
      <c r="AM75" s="661"/>
      <c r="AN75" s="644"/>
      <c r="AO75" s="659" t="s">
        <v>462</v>
      </c>
      <c r="AP75" s="660"/>
      <c r="AQ75" s="660"/>
      <c r="AR75" s="661"/>
      <c r="AS75" s="644"/>
      <c r="AT75" s="659" t="s">
        <v>462</v>
      </c>
      <c r="AU75" s="660"/>
      <c r="AV75" s="660"/>
      <c r="AW75" s="661"/>
      <c r="AX75" s="644"/>
      <c r="BA75" s="644"/>
    </row>
    <row r="76" spans="2:53">
      <c r="B76" s="645"/>
      <c r="C76" s="675"/>
      <c r="D76" s="687"/>
      <c r="E76" s="294" t="s">
        <v>463</v>
      </c>
      <c r="F76" s="294" t="s">
        <v>464</v>
      </c>
      <c r="G76" s="294" t="s">
        <v>465</v>
      </c>
      <c r="H76" s="645"/>
      <c r="I76" s="293" t="s">
        <v>463</v>
      </c>
      <c r="J76" s="293" t="s">
        <v>464</v>
      </c>
      <c r="K76" s="293" t="s">
        <v>465</v>
      </c>
      <c r="L76" s="679"/>
      <c r="M76" s="679"/>
      <c r="N76" s="644"/>
      <c r="O76" s="644"/>
      <c r="P76" s="294" t="s">
        <v>463</v>
      </c>
      <c r="Q76" s="294" t="s">
        <v>464</v>
      </c>
      <c r="R76" s="294" t="s">
        <v>465</v>
      </c>
      <c r="S76" s="294" t="s">
        <v>458</v>
      </c>
      <c r="T76" s="645"/>
      <c r="U76" s="294" t="s">
        <v>463</v>
      </c>
      <c r="V76" s="294" t="s">
        <v>464</v>
      </c>
      <c r="W76" s="294" t="s">
        <v>465</v>
      </c>
      <c r="X76" s="294" t="s">
        <v>458</v>
      </c>
      <c r="Y76" s="645"/>
      <c r="Z76" s="294" t="s">
        <v>463</v>
      </c>
      <c r="AA76" s="294" t="s">
        <v>464</v>
      </c>
      <c r="AB76" s="294" t="s">
        <v>465</v>
      </c>
      <c r="AC76" s="294" t="s">
        <v>458</v>
      </c>
      <c r="AD76" s="645"/>
      <c r="AE76" s="294" t="s">
        <v>463</v>
      </c>
      <c r="AF76" s="294" t="s">
        <v>464</v>
      </c>
      <c r="AG76" s="294" t="s">
        <v>465</v>
      </c>
      <c r="AH76" s="294" t="s">
        <v>458</v>
      </c>
      <c r="AI76" s="645"/>
      <c r="AJ76" s="294" t="s">
        <v>463</v>
      </c>
      <c r="AK76" s="294" t="s">
        <v>464</v>
      </c>
      <c r="AL76" s="294" t="s">
        <v>465</v>
      </c>
      <c r="AM76" s="294" t="s">
        <v>458</v>
      </c>
      <c r="AN76" s="645"/>
      <c r="AO76" s="294" t="s">
        <v>463</v>
      </c>
      <c r="AP76" s="294" t="s">
        <v>464</v>
      </c>
      <c r="AQ76" s="294" t="s">
        <v>465</v>
      </c>
      <c r="AR76" s="294" t="s">
        <v>458</v>
      </c>
      <c r="AS76" s="645"/>
      <c r="AT76" s="294" t="s">
        <v>463</v>
      </c>
      <c r="AU76" s="294" t="s">
        <v>464</v>
      </c>
      <c r="AV76" s="294" t="s">
        <v>465</v>
      </c>
      <c r="AW76" s="294" t="s">
        <v>458</v>
      </c>
      <c r="AX76" s="645"/>
      <c r="AZ76" s="373" t="s">
        <v>367</v>
      </c>
      <c r="BA76" s="645"/>
    </row>
    <row r="77" spans="2:53">
      <c r="B77" s="682" t="s">
        <v>150</v>
      </c>
      <c r="C77" s="295">
        <v>1</v>
      </c>
      <c r="D77" s="201" t="s">
        <v>335</v>
      </c>
      <c r="E77" s="201">
        <v>3</v>
      </c>
      <c r="F77" s="201">
        <v>3200</v>
      </c>
      <c r="G77" s="538">
        <v>1066.6666666666667</v>
      </c>
      <c r="H77" s="636">
        <f>AVERAGE(G77:G106)</f>
        <v>788.36805555555532</v>
      </c>
      <c r="I77" s="363">
        <f>IFERROR(AVERAGE(P77,U77,Z77,AE77,AJ77,AO77,AT77),"-")</f>
        <v>3</v>
      </c>
      <c r="J77" s="363">
        <f>IFERROR(AVERAGE(Q77,V77,AA77,AF77,AK77,AP77,AU77),"-")</f>
        <v>3212.8038486820983</v>
      </c>
      <c r="K77" s="199">
        <f>IFERROR(AVERAGE(R77,W77,AB77,AG77,AL77,AQ77,AV77),"-")</f>
        <v>1070.9346162273662</v>
      </c>
      <c r="L77" s="695">
        <f>IFERROR(AVERAGE(K77:K106),"-")</f>
        <v>809.46173228216003</v>
      </c>
      <c r="M77" s="198">
        <f>RANK(K77, K$77:$K$106)</f>
        <v>6</v>
      </c>
      <c r="N77" s="644"/>
      <c r="O77" s="644"/>
      <c r="P77" s="562">
        <v>3</v>
      </c>
      <c r="Q77" s="566">
        <v>3208.2352941176482</v>
      </c>
      <c r="R77" s="566">
        <v>1069.4117647058827</v>
      </c>
      <c r="S77" s="562">
        <f t="shared" ref="S77:S106" si="44">RANK(R77, R$77:R$106)</f>
        <v>1</v>
      </c>
      <c r="T77" s="636">
        <f t="shared" ref="T77" si="45">AVERAGE(R77:R106)</f>
        <v>803.4026886199091</v>
      </c>
      <c r="U77" s="562">
        <v>3</v>
      </c>
      <c r="V77" s="566">
        <v>3182.3529411764721</v>
      </c>
      <c r="W77" s="566">
        <v>1060.7843137254906</v>
      </c>
      <c r="X77" s="562">
        <f t="shared" ref="X77:X106" si="46">RANK(W77, W$77:W$106)</f>
        <v>4</v>
      </c>
      <c r="Y77" s="636">
        <f t="shared" ref="Y77" si="47">AVERAGE(W77:W106)</f>
        <v>799.29468079731021</v>
      </c>
      <c r="Z77" s="562">
        <v>3</v>
      </c>
      <c r="AA77" s="566">
        <v>3156.0000000000009</v>
      </c>
      <c r="AB77" s="566">
        <v>1052.0000000000002</v>
      </c>
      <c r="AC77" s="562">
        <f t="shared" ref="AC77:AC106" si="48">RANK(AB77, AB$77:AB$106)</f>
        <v>3</v>
      </c>
      <c r="AD77" s="636">
        <f t="shared" ref="AD77" si="49">AVERAGE(AB77:AB106)</f>
        <v>785.21048132964188</v>
      </c>
      <c r="AE77" s="562">
        <v>3</v>
      </c>
      <c r="AF77" s="566">
        <v>3301.3953488372085</v>
      </c>
      <c r="AG77" s="566">
        <v>1100.4651162790694</v>
      </c>
      <c r="AH77" s="562">
        <f t="shared" ref="AH77:AH106" si="50">RANK(AG77, AG$77:AG$106)</f>
        <v>3</v>
      </c>
      <c r="AI77" s="636">
        <f t="shared" ref="AI77" si="51">AVERAGE(AG77:AG106)</f>
        <v>817.893835942397</v>
      </c>
      <c r="AJ77" s="562">
        <v>3</v>
      </c>
      <c r="AK77" s="566">
        <v>3143.181818181818</v>
      </c>
      <c r="AL77" s="566">
        <v>1047.7272727272727</v>
      </c>
      <c r="AM77" s="562">
        <f t="shared" ref="AM77:AM106" si="52">RANK(AL77, AL$77:AL$106)</f>
        <v>7</v>
      </c>
      <c r="AN77" s="636">
        <f t="shared" ref="AN77" si="53">AVERAGE(AL77:AL106)</f>
        <v>821.01874184952794</v>
      </c>
      <c r="AO77" s="562">
        <v>3</v>
      </c>
      <c r="AP77" s="566">
        <v>3198.4615384615399</v>
      </c>
      <c r="AQ77" s="566">
        <v>1066.1538461538466</v>
      </c>
      <c r="AR77" s="562">
        <f t="shared" ref="AR77:AR106" si="54">RANK(AQ77, AQ$77:AQ$106)</f>
        <v>3</v>
      </c>
      <c r="AS77" s="636">
        <f t="shared" ref="AS77" si="55">AVERAGE(AQ77:AQ106)</f>
        <v>802.06951024788486</v>
      </c>
      <c r="AT77" s="562">
        <v>3</v>
      </c>
      <c r="AU77" s="566">
        <v>3300.0000000000009</v>
      </c>
      <c r="AV77" s="566">
        <v>1100.0000000000002</v>
      </c>
      <c r="AW77" s="562">
        <f t="shared" ref="AW77:AW106" si="56">RANK(AV77, AV$77:AV$106)</f>
        <v>4</v>
      </c>
      <c r="AX77" s="636">
        <f t="shared" ref="AX77" si="57">AVERAGE(AV77:AV106)</f>
        <v>837.34218718844897</v>
      </c>
      <c r="AZ77" s="372" t="e">
        <f t="shared" ref="AZ77:AZ106" si="58">RANK(AY77, AY$77:AY$106)</f>
        <v>#N/A</v>
      </c>
      <c r="BA77" s="636" t="e">
        <f t="shared" ref="BA77" si="59">AVERAGE(AY77:AY106)</f>
        <v>#DIV/0!</v>
      </c>
    </row>
    <row r="78" spans="2:53">
      <c r="B78" s="683"/>
      <c r="C78" s="295">
        <v>2</v>
      </c>
      <c r="D78" s="532" t="s">
        <v>336</v>
      </c>
      <c r="E78" s="201">
        <v>3</v>
      </c>
      <c r="F78" s="201">
        <v>3200</v>
      </c>
      <c r="G78" s="538">
        <v>1066.6666666666667</v>
      </c>
      <c r="H78" s="637"/>
      <c r="I78" s="363">
        <f t="shared" ref="I78:I106" si="60">IFERROR(AVERAGE(P78,U78,Z78,AE78,AJ78,AO78,AT78),"-")</f>
        <v>3</v>
      </c>
      <c r="J78" s="363">
        <f t="shared" ref="J78:J106" si="61">IFERROR(AVERAGE(Q78,V78,AA78,AF78,AK78,AP78,AU78),"-")</f>
        <v>3219.2481203007483</v>
      </c>
      <c r="K78" s="199">
        <f t="shared" ref="K78:K106" si="62">IFERROR(AVERAGE(R78,W78,AB78,AG78,AL78,AQ78,AV78),"-")</f>
        <v>1073.0827067669161</v>
      </c>
      <c r="L78" s="696"/>
      <c r="M78" s="198">
        <f>RANK(K78, K$77:$K$106)</f>
        <v>3</v>
      </c>
      <c r="N78" s="644"/>
      <c r="O78" s="644"/>
      <c r="P78" s="562">
        <v>3</v>
      </c>
      <c r="Q78" s="566">
        <v>3123.9999999999945</v>
      </c>
      <c r="R78" s="566">
        <v>1041.3333333333314</v>
      </c>
      <c r="S78" s="562">
        <f t="shared" si="44"/>
        <v>7</v>
      </c>
      <c r="T78" s="637"/>
      <c r="U78" s="562">
        <v>3</v>
      </c>
      <c r="V78" s="566">
        <v>3139.9999999999945</v>
      </c>
      <c r="W78" s="566">
        <v>1046.6666666666649</v>
      </c>
      <c r="X78" s="562">
        <f t="shared" si="46"/>
        <v>6</v>
      </c>
      <c r="Y78" s="637"/>
      <c r="Z78" s="562">
        <v>3</v>
      </c>
      <c r="AA78" s="566">
        <v>3094.7368421052479</v>
      </c>
      <c r="AB78" s="566">
        <v>1031.578947368416</v>
      </c>
      <c r="AC78" s="562">
        <f t="shared" si="48"/>
        <v>5</v>
      </c>
      <c r="AD78" s="637"/>
      <c r="AE78" s="562">
        <v>3</v>
      </c>
      <c r="AF78" s="566">
        <v>3444.9999999999891</v>
      </c>
      <c r="AG78" s="566">
        <v>1148.3333333333296</v>
      </c>
      <c r="AH78" s="562">
        <f t="shared" si="50"/>
        <v>2</v>
      </c>
      <c r="AI78" s="637"/>
      <c r="AJ78" s="562">
        <v>3</v>
      </c>
      <c r="AK78" s="566">
        <v>3415.0000000000123</v>
      </c>
      <c r="AL78" s="566">
        <v>1138.3333333333374</v>
      </c>
      <c r="AM78" s="562">
        <f t="shared" si="52"/>
        <v>2</v>
      </c>
      <c r="AN78" s="637"/>
      <c r="AO78" s="562">
        <v>3</v>
      </c>
      <c r="AP78" s="566">
        <v>3167.9999999999941</v>
      </c>
      <c r="AQ78" s="566">
        <v>1055.999999999998</v>
      </c>
      <c r="AR78" s="562">
        <f t="shared" si="54"/>
        <v>5</v>
      </c>
      <c r="AS78" s="637"/>
      <c r="AT78" s="562">
        <v>3</v>
      </c>
      <c r="AU78" s="566">
        <v>3148.0000000000032</v>
      </c>
      <c r="AV78" s="566">
        <v>1049.3333333333344</v>
      </c>
      <c r="AW78" s="562">
        <f t="shared" si="56"/>
        <v>9</v>
      </c>
      <c r="AX78" s="637"/>
      <c r="AZ78" s="372" t="e">
        <f t="shared" si="58"/>
        <v>#N/A</v>
      </c>
      <c r="BA78" s="637"/>
    </row>
    <row r="79" spans="2:53">
      <c r="B79" s="683"/>
      <c r="C79" s="295">
        <v>3</v>
      </c>
      <c r="D79" s="201" t="s">
        <v>328</v>
      </c>
      <c r="E79" s="201">
        <v>4</v>
      </c>
      <c r="F79" s="201">
        <v>3200</v>
      </c>
      <c r="G79" s="538">
        <v>800</v>
      </c>
      <c r="H79" s="637"/>
      <c r="I79" s="363">
        <f t="shared" si="60"/>
        <v>4</v>
      </c>
      <c r="J79" s="363">
        <f t="shared" si="61"/>
        <v>3245.5442176870615</v>
      </c>
      <c r="K79" s="199">
        <f t="shared" si="62"/>
        <v>811.38605442176538</v>
      </c>
      <c r="L79" s="696"/>
      <c r="M79" s="198">
        <f>RANK(K79, K$77:$K$106)</f>
        <v>11</v>
      </c>
      <c r="N79" s="644"/>
      <c r="O79" s="644"/>
      <c r="P79" s="562">
        <v>4</v>
      </c>
      <c r="Q79" s="566">
        <v>3120.0000000000387</v>
      </c>
      <c r="R79" s="566">
        <v>780.00000000000966</v>
      </c>
      <c r="S79" s="562">
        <f t="shared" si="44"/>
        <v>14</v>
      </c>
      <c r="T79" s="637"/>
      <c r="U79" s="562">
        <v>4</v>
      </c>
      <c r="V79" s="566">
        <v>3059.9999999999836</v>
      </c>
      <c r="W79" s="566">
        <v>764.99999999999591</v>
      </c>
      <c r="X79" s="562">
        <f t="shared" si="46"/>
        <v>15</v>
      </c>
      <c r="Y79" s="637"/>
      <c r="Z79" s="562">
        <v>4</v>
      </c>
      <c r="AA79" s="566">
        <v>2926.6666666666511</v>
      </c>
      <c r="AB79" s="566">
        <v>731.66666666666276</v>
      </c>
      <c r="AC79" s="562">
        <f t="shared" si="48"/>
        <v>16</v>
      </c>
      <c r="AD79" s="637"/>
      <c r="AE79" s="562">
        <v>4</v>
      </c>
      <c r="AF79" s="566">
        <v>3248.571428571403</v>
      </c>
      <c r="AG79" s="566">
        <v>812.14285714285074</v>
      </c>
      <c r="AH79" s="562">
        <f t="shared" si="50"/>
        <v>14</v>
      </c>
      <c r="AI79" s="637"/>
      <c r="AJ79" s="562">
        <v>4</v>
      </c>
      <c r="AK79" s="566">
        <v>3409.9999999999668</v>
      </c>
      <c r="AL79" s="566">
        <v>852.4999999999917</v>
      </c>
      <c r="AM79" s="562">
        <f t="shared" si="52"/>
        <v>11</v>
      </c>
      <c r="AN79" s="637"/>
      <c r="AO79" s="562">
        <v>4</v>
      </c>
      <c r="AP79" s="566">
        <v>3284.9999999999459</v>
      </c>
      <c r="AQ79" s="566">
        <v>821.24999999998647</v>
      </c>
      <c r="AR79" s="562">
        <f t="shared" si="54"/>
        <v>11</v>
      </c>
      <c r="AS79" s="637"/>
      <c r="AT79" s="562">
        <v>4</v>
      </c>
      <c r="AU79" s="566">
        <v>3668.5714285714416</v>
      </c>
      <c r="AV79" s="566">
        <v>917.14285714286041</v>
      </c>
      <c r="AW79" s="562">
        <f t="shared" si="56"/>
        <v>11</v>
      </c>
      <c r="AX79" s="637"/>
      <c r="AZ79" s="372" t="e">
        <f t="shared" si="58"/>
        <v>#N/A</v>
      </c>
      <c r="BA79" s="637"/>
    </row>
    <row r="80" spans="2:53">
      <c r="B80" s="683"/>
      <c r="C80" s="295">
        <v>4</v>
      </c>
      <c r="D80" s="201" t="s">
        <v>337</v>
      </c>
      <c r="E80" s="201">
        <v>3</v>
      </c>
      <c r="F80" s="201">
        <v>3200</v>
      </c>
      <c r="G80" s="538">
        <v>1066.6666666666667</v>
      </c>
      <c r="H80" s="637"/>
      <c r="I80" s="363">
        <f t="shared" si="60"/>
        <v>3</v>
      </c>
      <c r="J80" s="363">
        <f t="shared" si="61"/>
        <v>3212.9472395018606</v>
      </c>
      <c r="K80" s="199">
        <f t="shared" si="62"/>
        <v>1070.9824131672869</v>
      </c>
      <c r="L80" s="696"/>
      <c r="M80" s="198">
        <f>RANK(K80, K$77:$K$106)</f>
        <v>5</v>
      </c>
      <c r="N80" s="644"/>
      <c r="O80" s="644"/>
      <c r="P80" s="562">
        <v>3</v>
      </c>
      <c r="Q80" s="566">
        <v>3206.9230769230785</v>
      </c>
      <c r="R80" s="566">
        <v>1068.9743589743596</v>
      </c>
      <c r="S80" s="562">
        <f t="shared" si="44"/>
        <v>2</v>
      </c>
      <c r="T80" s="637"/>
      <c r="U80" s="562">
        <v>3</v>
      </c>
      <c r="V80" s="566">
        <v>3185.3846153846139</v>
      </c>
      <c r="W80" s="566">
        <v>1061.7948717948714</v>
      </c>
      <c r="X80" s="562">
        <f t="shared" si="46"/>
        <v>3</v>
      </c>
      <c r="Y80" s="637"/>
      <c r="Z80" s="562">
        <v>3</v>
      </c>
      <c r="AA80" s="566">
        <v>3180.7792207792218</v>
      </c>
      <c r="AB80" s="566">
        <v>1060.2597402597405</v>
      </c>
      <c r="AC80" s="562">
        <f t="shared" si="48"/>
        <v>1</v>
      </c>
      <c r="AD80" s="637"/>
      <c r="AE80" s="562">
        <v>3</v>
      </c>
      <c r="AF80" s="566">
        <v>3208.2352941176432</v>
      </c>
      <c r="AG80" s="566">
        <v>1069.4117647058811</v>
      </c>
      <c r="AH80" s="562">
        <f t="shared" si="50"/>
        <v>6</v>
      </c>
      <c r="AI80" s="637"/>
      <c r="AJ80" s="562">
        <v>3</v>
      </c>
      <c r="AK80" s="566">
        <v>3242.7272727272684</v>
      </c>
      <c r="AL80" s="566">
        <v>1080.9090909090894</v>
      </c>
      <c r="AM80" s="562">
        <f t="shared" si="52"/>
        <v>5</v>
      </c>
      <c r="AN80" s="637"/>
      <c r="AO80" s="562">
        <v>3</v>
      </c>
      <c r="AP80" s="566">
        <v>3188.8888888888905</v>
      </c>
      <c r="AQ80" s="566">
        <v>1062.9629629629635</v>
      </c>
      <c r="AR80" s="562">
        <f t="shared" si="54"/>
        <v>4</v>
      </c>
      <c r="AS80" s="637"/>
      <c r="AT80" s="562">
        <v>3</v>
      </c>
      <c r="AU80" s="566">
        <v>3277.6923076923094</v>
      </c>
      <c r="AV80" s="566">
        <v>1092.5641025641032</v>
      </c>
      <c r="AW80" s="562">
        <f t="shared" si="56"/>
        <v>5</v>
      </c>
      <c r="AX80" s="637"/>
      <c r="AZ80" s="372" t="e">
        <f t="shared" si="58"/>
        <v>#N/A</v>
      </c>
      <c r="BA80" s="637"/>
    </row>
    <row r="81" spans="2:53">
      <c r="B81" s="683"/>
      <c r="C81" s="295">
        <v>5</v>
      </c>
      <c r="D81" s="201" t="s">
        <v>563</v>
      </c>
      <c r="E81" s="201">
        <v>4</v>
      </c>
      <c r="F81" s="201">
        <v>3200</v>
      </c>
      <c r="G81" s="538">
        <v>800</v>
      </c>
      <c r="H81" s="637"/>
      <c r="I81" s="363">
        <f t="shared" si="60"/>
        <v>4</v>
      </c>
      <c r="J81" s="363">
        <f t="shared" si="61"/>
        <v>3206.4234001292812</v>
      </c>
      <c r="K81" s="199">
        <f t="shared" si="62"/>
        <v>801.60585003232029</v>
      </c>
      <c r="L81" s="696"/>
      <c r="M81" s="198">
        <f>RANK(K81, K$77:$K$106)</f>
        <v>12</v>
      </c>
      <c r="N81" s="644"/>
      <c r="O81" s="644"/>
      <c r="P81" s="562">
        <v>4</v>
      </c>
      <c r="Q81" s="566">
        <v>3070.5882352941285</v>
      </c>
      <c r="R81" s="566">
        <v>767.64705882353212</v>
      </c>
      <c r="S81" s="562">
        <f t="shared" si="44"/>
        <v>16</v>
      </c>
      <c r="T81" s="637"/>
      <c r="U81" s="562">
        <v>4</v>
      </c>
      <c r="V81" s="566">
        <v>3123.5294117647018</v>
      </c>
      <c r="W81" s="566">
        <v>780.88235294117544</v>
      </c>
      <c r="X81" s="562">
        <f t="shared" si="46"/>
        <v>13</v>
      </c>
      <c r="Y81" s="637"/>
      <c r="Z81" s="562">
        <v>4</v>
      </c>
      <c r="AA81" s="566">
        <v>3146.2500000000109</v>
      </c>
      <c r="AB81" s="566">
        <v>786.56250000000273</v>
      </c>
      <c r="AC81" s="562">
        <f t="shared" si="48"/>
        <v>13</v>
      </c>
      <c r="AD81" s="637"/>
      <c r="AE81" s="562">
        <v>4</v>
      </c>
      <c r="AF81" s="566">
        <v>3493.8461538461447</v>
      </c>
      <c r="AG81" s="566">
        <v>873.46153846153618</v>
      </c>
      <c r="AH81" s="562">
        <f t="shared" si="50"/>
        <v>12</v>
      </c>
      <c r="AI81" s="637"/>
      <c r="AJ81" s="562">
        <v>4</v>
      </c>
      <c r="AK81" s="566">
        <v>3114.9999999999905</v>
      </c>
      <c r="AL81" s="566">
        <v>778.74999999999761</v>
      </c>
      <c r="AM81" s="562">
        <f t="shared" si="52"/>
        <v>15</v>
      </c>
      <c r="AN81" s="637"/>
      <c r="AO81" s="562">
        <v>4</v>
      </c>
      <c r="AP81" s="566">
        <v>3183.7499999999795</v>
      </c>
      <c r="AQ81" s="566">
        <v>795.93749999999488</v>
      </c>
      <c r="AR81" s="562">
        <f t="shared" si="54"/>
        <v>13</v>
      </c>
      <c r="AS81" s="637"/>
      <c r="AT81" s="562">
        <v>4</v>
      </c>
      <c r="AU81" s="566">
        <v>3312.0000000000118</v>
      </c>
      <c r="AV81" s="566">
        <v>828.00000000000296</v>
      </c>
      <c r="AW81" s="562">
        <f t="shared" si="56"/>
        <v>13</v>
      </c>
      <c r="AX81" s="637"/>
      <c r="AZ81" s="372" t="e">
        <f t="shared" si="58"/>
        <v>#N/A</v>
      </c>
      <c r="BA81" s="637"/>
    </row>
    <row r="82" spans="2:53">
      <c r="B82" s="683"/>
      <c r="C82" s="295">
        <v>6</v>
      </c>
      <c r="D82" s="201" t="s">
        <v>564</v>
      </c>
      <c r="E82" s="201">
        <v>4</v>
      </c>
      <c r="F82" s="201">
        <v>3200</v>
      </c>
      <c r="G82" s="538">
        <v>800</v>
      </c>
      <c r="H82" s="637"/>
      <c r="I82" s="363">
        <f t="shared" si="60"/>
        <v>4</v>
      </c>
      <c r="J82" s="363">
        <f t="shared" si="61"/>
        <v>3006.8571428571513</v>
      </c>
      <c r="K82" s="199">
        <f t="shared" si="62"/>
        <v>751.71428571428783</v>
      </c>
      <c r="L82" s="696"/>
      <c r="M82" s="198">
        <f>RANK(K82, K$77:$K$106)</f>
        <v>16</v>
      </c>
      <c r="N82" s="644"/>
      <c r="O82" s="644"/>
      <c r="P82" s="562">
        <v>4</v>
      </c>
      <c r="Q82" s="566">
        <v>3300.0000000000118</v>
      </c>
      <c r="R82" s="566">
        <v>825.00000000000296</v>
      </c>
      <c r="S82" s="562">
        <f t="shared" si="44"/>
        <v>11</v>
      </c>
      <c r="T82" s="637"/>
      <c r="U82" s="562">
        <v>4</v>
      </c>
      <c r="V82" s="566">
        <v>2819.9999999999723</v>
      </c>
      <c r="W82" s="566">
        <v>704.99999999999307</v>
      </c>
      <c r="X82" s="562">
        <f t="shared" si="46"/>
        <v>17</v>
      </c>
      <c r="Y82" s="637"/>
      <c r="Z82" s="562">
        <v>4</v>
      </c>
      <c r="AA82" s="566">
        <v>3168.0000000000618</v>
      </c>
      <c r="AB82" s="566">
        <v>792.00000000001546</v>
      </c>
      <c r="AC82" s="562">
        <f t="shared" si="48"/>
        <v>11</v>
      </c>
      <c r="AD82" s="637"/>
      <c r="AE82" s="562">
        <v>4</v>
      </c>
      <c r="AF82" s="566">
        <v>2628.0000000000091</v>
      </c>
      <c r="AG82" s="566">
        <v>657.00000000000227</v>
      </c>
      <c r="AH82" s="562">
        <f t="shared" si="50"/>
        <v>20</v>
      </c>
      <c r="AI82" s="637"/>
      <c r="AJ82" s="562">
        <v>4</v>
      </c>
      <c r="AK82" s="566">
        <v>2819.9999999999818</v>
      </c>
      <c r="AL82" s="566">
        <v>704.99999999999545</v>
      </c>
      <c r="AM82" s="562">
        <f t="shared" si="52"/>
        <v>19</v>
      </c>
      <c r="AN82" s="637"/>
      <c r="AO82" s="562">
        <v>4</v>
      </c>
      <c r="AP82" s="566">
        <v>3252.0000000000118</v>
      </c>
      <c r="AQ82" s="566">
        <v>813.00000000000296</v>
      </c>
      <c r="AR82" s="562">
        <f t="shared" si="54"/>
        <v>12</v>
      </c>
      <c r="AS82" s="637"/>
      <c r="AT82" s="562">
        <v>4</v>
      </c>
      <c r="AU82" s="566">
        <v>3060.0000000000109</v>
      </c>
      <c r="AV82" s="566">
        <v>765.00000000000273</v>
      </c>
      <c r="AW82" s="562">
        <f t="shared" si="56"/>
        <v>17</v>
      </c>
      <c r="AX82" s="637"/>
      <c r="AZ82" s="372" t="e">
        <f t="shared" si="58"/>
        <v>#N/A</v>
      </c>
      <c r="BA82" s="637"/>
    </row>
    <row r="83" spans="2:53">
      <c r="B83" s="683"/>
      <c r="C83" s="295">
        <v>7</v>
      </c>
      <c r="D83" s="201" t="s">
        <v>338</v>
      </c>
      <c r="E83" s="201">
        <v>4</v>
      </c>
      <c r="F83" s="201">
        <v>2800</v>
      </c>
      <c r="G83" s="538">
        <v>700</v>
      </c>
      <c r="H83" s="637"/>
      <c r="I83" s="363">
        <f t="shared" si="60"/>
        <v>4</v>
      </c>
      <c r="J83" s="363">
        <f t="shared" si="61"/>
        <v>3123.5102040816369</v>
      </c>
      <c r="K83" s="199">
        <f t="shared" si="62"/>
        <v>780.87755102040921</v>
      </c>
      <c r="L83" s="696"/>
      <c r="M83" s="198">
        <f>RANK(K83, K$77:$K$106)</f>
        <v>14</v>
      </c>
      <c r="N83" s="644"/>
      <c r="O83" s="644"/>
      <c r="P83" s="562">
        <v>4</v>
      </c>
      <c r="Q83" s="566">
        <v>3034.2857142857079</v>
      </c>
      <c r="R83" s="566">
        <v>758.57142857142696</v>
      </c>
      <c r="S83" s="562">
        <f t="shared" si="44"/>
        <v>17</v>
      </c>
      <c r="T83" s="637"/>
      <c r="U83" s="562">
        <v>4</v>
      </c>
      <c r="V83" s="566">
        <v>2965.7142857142794</v>
      </c>
      <c r="W83" s="566">
        <v>741.42857142856985</v>
      </c>
      <c r="X83" s="562">
        <f t="shared" si="46"/>
        <v>16</v>
      </c>
      <c r="Y83" s="637"/>
      <c r="Z83" s="562">
        <v>4</v>
      </c>
      <c r="AA83" s="566">
        <v>2931.428571428582</v>
      </c>
      <c r="AB83" s="566">
        <v>732.8571428571455</v>
      </c>
      <c r="AC83" s="562">
        <f t="shared" si="48"/>
        <v>15</v>
      </c>
      <c r="AD83" s="637"/>
      <c r="AE83" s="562">
        <v>4</v>
      </c>
      <c r="AF83" s="566">
        <v>3528.0000000000127</v>
      </c>
      <c r="AG83" s="566">
        <v>882.00000000000318</v>
      </c>
      <c r="AH83" s="562">
        <f t="shared" si="50"/>
        <v>11</v>
      </c>
      <c r="AI83" s="637"/>
      <c r="AJ83" s="562">
        <v>4</v>
      </c>
      <c r="AK83" s="566">
        <v>3288.0000000000118</v>
      </c>
      <c r="AL83" s="566">
        <v>822.00000000000296</v>
      </c>
      <c r="AM83" s="562">
        <f t="shared" si="52"/>
        <v>12</v>
      </c>
      <c r="AN83" s="637"/>
      <c r="AO83" s="562">
        <v>4</v>
      </c>
      <c r="AP83" s="566">
        <v>2897.1428571428505</v>
      </c>
      <c r="AQ83" s="566">
        <v>724.28571428571263</v>
      </c>
      <c r="AR83" s="562">
        <f t="shared" si="54"/>
        <v>16</v>
      </c>
      <c r="AS83" s="637"/>
      <c r="AT83" s="562">
        <v>4</v>
      </c>
      <c r="AU83" s="566">
        <v>3220.0000000000114</v>
      </c>
      <c r="AV83" s="566">
        <v>805.00000000000284</v>
      </c>
      <c r="AW83" s="562">
        <f t="shared" si="56"/>
        <v>15</v>
      </c>
      <c r="AX83" s="637"/>
      <c r="AZ83" s="372" t="e">
        <f t="shared" si="58"/>
        <v>#N/A</v>
      </c>
      <c r="BA83" s="637"/>
    </row>
    <row r="84" spans="2:53">
      <c r="B84" s="683"/>
      <c r="C84" s="295">
        <v>8</v>
      </c>
      <c r="D84" s="201" t="s">
        <v>339</v>
      </c>
      <c r="E84" s="201">
        <v>3</v>
      </c>
      <c r="F84" s="201">
        <v>3200</v>
      </c>
      <c r="G84" s="538">
        <v>1066.6666666666667</v>
      </c>
      <c r="H84" s="637"/>
      <c r="I84" s="363">
        <f t="shared" si="60"/>
        <v>3</v>
      </c>
      <c r="J84" s="363">
        <f t="shared" si="61"/>
        <v>3239.5904761904744</v>
      </c>
      <c r="K84" s="199">
        <f t="shared" si="62"/>
        <v>1079.8634920634913</v>
      </c>
      <c r="L84" s="696"/>
      <c r="M84" s="198">
        <f>RANK(K84, K$77:$K$106)</f>
        <v>1</v>
      </c>
      <c r="N84" s="644"/>
      <c r="O84" s="644"/>
      <c r="P84" s="562">
        <v>3</v>
      </c>
      <c r="Q84" s="566">
        <v>3175.0000000000009</v>
      </c>
      <c r="R84" s="566">
        <v>1058.3333333333337</v>
      </c>
      <c r="S84" s="562">
        <f t="shared" si="44"/>
        <v>5</v>
      </c>
      <c r="T84" s="637"/>
      <c r="U84" s="562">
        <v>3</v>
      </c>
      <c r="V84" s="566">
        <v>3167.5000000000009</v>
      </c>
      <c r="W84" s="566">
        <v>1055.8333333333337</v>
      </c>
      <c r="X84" s="562">
        <f t="shared" si="46"/>
        <v>5</v>
      </c>
      <c r="Y84" s="637"/>
      <c r="Z84" s="562">
        <v>3</v>
      </c>
      <c r="AA84" s="566">
        <v>3157.5000000000009</v>
      </c>
      <c r="AB84" s="566">
        <v>1052.5000000000002</v>
      </c>
      <c r="AC84" s="562">
        <f t="shared" si="48"/>
        <v>2</v>
      </c>
      <c r="AD84" s="637"/>
      <c r="AE84" s="562">
        <v>3</v>
      </c>
      <c r="AF84" s="566">
        <v>3633.3333333333303</v>
      </c>
      <c r="AG84" s="566">
        <v>1211.1111111111102</v>
      </c>
      <c r="AH84" s="562">
        <f t="shared" si="50"/>
        <v>1</v>
      </c>
      <c r="AI84" s="637"/>
      <c r="AJ84" s="562">
        <v>3</v>
      </c>
      <c r="AK84" s="566">
        <v>3212.9999999999923</v>
      </c>
      <c r="AL84" s="566">
        <v>1070.9999999999975</v>
      </c>
      <c r="AM84" s="562">
        <f t="shared" si="52"/>
        <v>6</v>
      </c>
      <c r="AN84" s="637"/>
      <c r="AO84" s="562">
        <v>3</v>
      </c>
      <c r="AP84" s="566">
        <v>3100.7999999999961</v>
      </c>
      <c r="AQ84" s="566">
        <v>1033.5999999999988</v>
      </c>
      <c r="AR84" s="562">
        <f t="shared" si="54"/>
        <v>7</v>
      </c>
      <c r="AS84" s="637"/>
      <c r="AT84" s="562">
        <v>3</v>
      </c>
      <c r="AU84" s="566">
        <v>3229.999999999995</v>
      </c>
      <c r="AV84" s="566">
        <v>1076.6666666666649</v>
      </c>
      <c r="AW84" s="562">
        <f t="shared" si="56"/>
        <v>6</v>
      </c>
      <c r="AX84" s="637"/>
      <c r="AZ84" s="372" t="e">
        <f t="shared" si="58"/>
        <v>#N/A</v>
      </c>
      <c r="BA84" s="637"/>
    </row>
    <row r="85" spans="2:53">
      <c r="B85" s="683"/>
      <c r="C85" s="295">
        <v>9</v>
      </c>
      <c r="D85" s="201" t="s">
        <v>340</v>
      </c>
      <c r="E85" s="201">
        <v>3</v>
      </c>
      <c r="F85" s="201">
        <v>2800</v>
      </c>
      <c r="G85" s="538">
        <v>933.33333333333337</v>
      </c>
      <c r="H85" s="637"/>
      <c r="I85" s="363">
        <f t="shared" si="60"/>
        <v>3</v>
      </c>
      <c r="J85" s="363">
        <f t="shared" si="61"/>
        <v>3216.4040213754483</v>
      </c>
      <c r="K85" s="199">
        <f t="shared" si="62"/>
        <v>1072.1346737918161</v>
      </c>
      <c r="L85" s="696"/>
      <c r="M85" s="198">
        <f>RANK(K85, K$77:$K$106)</f>
        <v>4</v>
      </c>
      <c r="N85" s="644"/>
      <c r="O85" s="644"/>
      <c r="P85" s="562">
        <v>3</v>
      </c>
      <c r="Q85" s="566">
        <v>3200.7692307692323</v>
      </c>
      <c r="R85" s="566">
        <v>1066.9230769230774</v>
      </c>
      <c r="S85" s="562">
        <f t="shared" si="44"/>
        <v>3</v>
      </c>
      <c r="T85" s="637"/>
      <c r="U85" s="562">
        <v>3</v>
      </c>
      <c r="V85" s="566">
        <v>3200.0000000000018</v>
      </c>
      <c r="W85" s="566">
        <v>1066.6666666666672</v>
      </c>
      <c r="X85" s="562">
        <f t="shared" si="46"/>
        <v>2</v>
      </c>
      <c r="Y85" s="637"/>
      <c r="Z85" s="562">
        <v>3</v>
      </c>
      <c r="AA85" s="566">
        <v>3092.3076923076842</v>
      </c>
      <c r="AB85" s="566">
        <v>1030.769230769228</v>
      </c>
      <c r="AC85" s="562">
        <f t="shared" si="48"/>
        <v>6</v>
      </c>
      <c r="AD85" s="637"/>
      <c r="AE85" s="562">
        <v>3</v>
      </c>
      <c r="AF85" s="566">
        <v>3289.090909090909</v>
      </c>
      <c r="AG85" s="566">
        <v>1096.3636363636363</v>
      </c>
      <c r="AH85" s="562">
        <f t="shared" si="50"/>
        <v>5</v>
      </c>
      <c r="AI85" s="637"/>
      <c r="AJ85" s="562">
        <v>3</v>
      </c>
      <c r="AK85" s="566">
        <v>3268.5714285714275</v>
      </c>
      <c r="AL85" s="566">
        <v>1089.5238095238092</v>
      </c>
      <c r="AM85" s="562">
        <f t="shared" si="52"/>
        <v>4</v>
      </c>
      <c r="AN85" s="637"/>
      <c r="AO85" s="562">
        <v>3</v>
      </c>
      <c r="AP85" s="566">
        <v>3108.8888888888814</v>
      </c>
      <c r="AQ85" s="566">
        <v>1036.2962962962938</v>
      </c>
      <c r="AR85" s="562">
        <f t="shared" si="54"/>
        <v>6</v>
      </c>
      <c r="AS85" s="637"/>
      <c r="AT85" s="562">
        <v>3</v>
      </c>
      <c r="AU85" s="566">
        <v>3355.2000000000007</v>
      </c>
      <c r="AV85" s="566">
        <v>1118.4000000000003</v>
      </c>
      <c r="AW85" s="562">
        <f t="shared" si="56"/>
        <v>2</v>
      </c>
      <c r="AX85" s="637"/>
      <c r="AZ85" s="372" t="e">
        <f t="shared" si="58"/>
        <v>#N/A</v>
      </c>
      <c r="BA85" s="637"/>
    </row>
    <row r="86" spans="2:53">
      <c r="B86" s="683"/>
      <c r="C86" s="295">
        <v>10</v>
      </c>
      <c r="D86" s="201" t="s">
        <v>341</v>
      </c>
      <c r="E86" s="201">
        <v>4</v>
      </c>
      <c r="F86" s="201">
        <v>2800</v>
      </c>
      <c r="G86" s="538">
        <v>700</v>
      </c>
      <c r="H86" s="637"/>
      <c r="I86" s="363">
        <f t="shared" si="60"/>
        <v>4</v>
      </c>
      <c r="J86" s="363">
        <f t="shared" si="61"/>
        <v>3196.9636147431115</v>
      </c>
      <c r="K86" s="199">
        <f t="shared" si="62"/>
        <v>799.24090368577788</v>
      </c>
      <c r="L86" s="696"/>
      <c r="M86" s="198">
        <f>RANK(K86, K$77:$K$106)</f>
        <v>13</v>
      </c>
      <c r="N86" s="644"/>
      <c r="O86" s="644"/>
      <c r="P86" s="562">
        <v>4</v>
      </c>
      <c r="Q86" s="566">
        <v>3199.2000000000007</v>
      </c>
      <c r="R86" s="566">
        <v>799.80000000000018</v>
      </c>
      <c r="S86" s="562">
        <f t="shared" si="44"/>
        <v>12</v>
      </c>
      <c r="T86" s="637"/>
      <c r="U86" s="562">
        <v>4</v>
      </c>
      <c r="V86" s="566">
        <v>3164.400000000001</v>
      </c>
      <c r="W86" s="566">
        <v>791.10000000000025</v>
      </c>
      <c r="X86" s="562">
        <f t="shared" si="46"/>
        <v>11</v>
      </c>
      <c r="Y86" s="637"/>
      <c r="Z86" s="562">
        <v>4</v>
      </c>
      <c r="AA86" s="566">
        <v>3153.061224489792</v>
      </c>
      <c r="AB86" s="566">
        <v>788.26530612244801</v>
      </c>
      <c r="AC86" s="562">
        <f t="shared" si="48"/>
        <v>12</v>
      </c>
      <c r="AD86" s="637"/>
      <c r="AE86" s="562">
        <v>4</v>
      </c>
      <c r="AF86" s="566">
        <v>3273.4883720930229</v>
      </c>
      <c r="AG86" s="566">
        <v>818.37209302325573</v>
      </c>
      <c r="AH86" s="562">
        <f t="shared" si="50"/>
        <v>13</v>
      </c>
      <c r="AI86" s="637"/>
      <c r="AJ86" s="562">
        <v>4</v>
      </c>
      <c r="AK86" s="566">
        <v>3227.4418604651219</v>
      </c>
      <c r="AL86" s="566">
        <v>806.86046511628047</v>
      </c>
      <c r="AM86" s="562">
        <f t="shared" si="52"/>
        <v>13</v>
      </c>
      <c r="AN86" s="637"/>
      <c r="AO86" s="562">
        <v>4</v>
      </c>
      <c r="AP86" s="566">
        <v>3151.1538461538426</v>
      </c>
      <c r="AQ86" s="566">
        <v>787.78846153846064</v>
      </c>
      <c r="AR86" s="562">
        <f t="shared" si="54"/>
        <v>14</v>
      </c>
      <c r="AS86" s="637"/>
      <c r="AT86" s="562">
        <v>4</v>
      </c>
      <c r="AU86" s="566">
        <v>3209.9999999999959</v>
      </c>
      <c r="AV86" s="566">
        <v>802.49999999999898</v>
      </c>
      <c r="AW86" s="562">
        <f t="shared" si="56"/>
        <v>16</v>
      </c>
      <c r="AX86" s="637"/>
      <c r="AZ86" s="372" t="e">
        <f t="shared" si="58"/>
        <v>#N/A</v>
      </c>
      <c r="BA86" s="637"/>
    </row>
    <row r="87" spans="2:53">
      <c r="B87" s="683"/>
      <c r="C87" s="295">
        <v>11</v>
      </c>
      <c r="D87" s="201" t="s">
        <v>565</v>
      </c>
      <c r="E87" s="201">
        <v>4</v>
      </c>
      <c r="F87" s="201">
        <v>2800</v>
      </c>
      <c r="G87" s="538">
        <v>700</v>
      </c>
      <c r="H87" s="637"/>
      <c r="I87" s="363">
        <f t="shared" si="60"/>
        <v>4</v>
      </c>
      <c r="J87" s="363">
        <f t="shared" si="61"/>
        <v>2826.202165481579</v>
      </c>
      <c r="K87" s="199">
        <f t="shared" si="62"/>
        <v>706.55054137039474</v>
      </c>
      <c r="L87" s="696"/>
      <c r="M87" s="198">
        <f>RANK(K87, K$77:$K$106)</f>
        <v>18</v>
      </c>
      <c r="N87" s="644"/>
      <c r="O87" s="644"/>
      <c r="P87" s="562">
        <v>4</v>
      </c>
      <c r="Q87" s="566">
        <v>2797.3770491803307</v>
      </c>
      <c r="R87" s="566">
        <v>699.34426229508267</v>
      </c>
      <c r="S87" s="562">
        <f t="shared" si="44"/>
        <v>18</v>
      </c>
      <c r="T87" s="637"/>
      <c r="U87" s="562">
        <v>4</v>
      </c>
      <c r="V87" s="566">
        <v>2782.6229508196743</v>
      </c>
      <c r="W87" s="566">
        <v>695.65573770491858</v>
      </c>
      <c r="X87" s="562">
        <f t="shared" si="46"/>
        <v>19</v>
      </c>
      <c r="Y87" s="637"/>
      <c r="Z87" s="562">
        <v>4</v>
      </c>
      <c r="AA87" s="566">
        <v>2776.0000000000027</v>
      </c>
      <c r="AB87" s="566">
        <v>694.00000000000068</v>
      </c>
      <c r="AC87" s="562">
        <f t="shared" si="48"/>
        <v>17</v>
      </c>
      <c r="AD87" s="637"/>
      <c r="AE87" s="562">
        <v>4</v>
      </c>
      <c r="AF87" s="566">
        <v>2910.5882352941162</v>
      </c>
      <c r="AG87" s="566">
        <v>727.64705882352905</v>
      </c>
      <c r="AH87" s="562">
        <f t="shared" si="50"/>
        <v>17</v>
      </c>
      <c r="AI87" s="637"/>
      <c r="AJ87" s="562">
        <v>4</v>
      </c>
      <c r="AK87" s="566">
        <v>2888.0769230769247</v>
      </c>
      <c r="AL87" s="566">
        <v>722.01923076923117</v>
      </c>
      <c r="AM87" s="562">
        <f t="shared" si="52"/>
        <v>17</v>
      </c>
      <c r="AN87" s="637"/>
      <c r="AO87" s="562">
        <v>4</v>
      </c>
      <c r="AP87" s="566">
        <v>2778.7499999999995</v>
      </c>
      <c r="AQ87" s="566">
        <v>694.68749999999989</v>
      </c>
      <c r="AR87" s="562">
        <f t="shared" si="54"/>
        <v>20</v>
      </c>
      <c r="AS87" s="637"/>
      <c r="AT87" s="562">
        <v>4</v>
      </c>
      <c r="AU87" s="566">
        <v>2850.0000000000027</v>
      </c>
      <c r="AV87" s="566">
        <v>712.50000000000068</v>
      </c>
      <c r="AW87" s="562">
        <f t="shared" si="56"/>
        <v>18</v>
      </c>
      <c r="AX87" s="637"/>
      <c r="AZ87" s="372" t="e">
        <f t="shared" si="58"/>
        <v>#N/A</v>
      </c>
      <c r="BA87" s="637"/>
    </row>
    <row r="88" spans="2:53">
      <c r="B88" s="683"/>
      <c r="C88" s="295">
        <v>12</v>
      </c>
      <c r="D88" s="532" t="s">
        <v>569</v>
      </c>
      <c r="E88" s="201">
        <v>3</v>
      </c>
      <c r="F88" s="201">
        <v>2800</v>
      </c>
      <c r="G88" s="538">
        <v>933.33333333333337</v>
      </c>
      <c r="H88" s="637"/>
      <c r="I88" s="363">
        <f t="shared" si="60"/>
        <v>3</v>
      </c>
      <c r="J88" s="363">
        <f t="shared" si="61"/>
        <v>2808.0728110599089</v>
      </c>
      <c r="K88" s="199">
        <f t="shared" si="62"/>
        <v>936.024270353303</v>
      </c>
      <c r="L88" s="696"/>
      <c r="M88" s="198">
        <f>RANK(K88, K$77:$K$106)</f>
        <v>10</v>
      </c>
      <c r="N88" s="644"/>
      <c r="O88" s="644"/>
      <c r="P88" s="562">
        <v>3</v>
      </c>
      <c r="Q88" s="566">
        <v>2798.0000000000027</v>
      </c>
      <c r="R88" s="566">
        <v>932.66666666666754</v>
      </c>
      <c r="S88" s="562">
        <f t="shared" si="44"/>
        <v>10</v>
      </c>
      <c r="T88" s="637"/>
      <c r="U88" s="562">
        <v>3</v>
      </c>
      <c r="V88" s="566">
        <v>2742.580645161293</v>
      </c>
      <c r="W88" s="566">
        <v>914.19354838709762</v>
      </c>
      <c r="X88" s="562">
        <f t="shared" si="46"/>
        <v>10</v>
      </c>
      <c r="Y88" s="637"/>
      <c r="Z88" s="562">
        <v>3</v>
      </c>
      <c r="AA88" s="566">
        <v>2746.0000000000027</v>
      </c>
      <c r="AB88" s="566">
        <v>915.33333333333428</v>
      </c>
      <c r="AC88" s="562">
        <f t="shared" si="48"/>
        <v>10</v>
      </c>
      <c r="AD88" s="637"/>
      <c r="AE88" s="562">
        <v>3</v>
      </c>
      <c r="AF88" s="566">
        <v>2896.8000000000011</v>
      </c>
      <c r="AG88" s="566">
        <v>965.60000000000036</v>
      </c>
      <c r="AH88" s="562">
        <f t="shared" si="50"/>
        <v>8</v>
      </c>
      <c r="AI88" s="637"/>
      <c r="AJ88" s="562">
        <v>3</v>
      </c>
      <c r="AK88" s="566">
        <v>2884.9999999999959</v>
      </c>
      <c r="AL88" s="566">
        <v>961.66666666666526</v>
      </c>
      <c r="AM88" s="562">
        <f t="shared" si="52"/>
        <v>10</v>
      </c>
      <c r="AN88" s="637"/>
      <c r="AO88" s="562">
        <v>3</v>
      </c>
      <c r="AP88" s="566">
        <v>2756.1290322580671</v>
      </c>
      <c r="AQ88" s="566">
        <v>918.70967741935567</v>
      </c>
      <c r="AR88" s="562">
        <f t="shared" si="54"/>
        <v>10</v>
      </c>
      <c r="AS88" s="637"/>
      <c r="AT88" s="562">
        <v>3</v>
      </c>
      <c r="AU88" s="566">
        <v>2831.9999999999986</v>
      </c>
      <c r="AV88" s="566">
        <v>943.99999999999955</v>
      </c>
      <c r="AW88" s="562">
        <f t="shared" si="56"/>
        <v>10</v>
      </c>
      <c r="AX88" s="637"/>
      <c r="AZ88" s="372" t="e">
        <f t="shared" si="58"/>
        <v>#N/A</v>
      </c>
      <c r="BA88" s="637"/>
    </row>
    <row r="89" spans="2:53">
      <c r="B89" s="683"/>
      <c r="C89" s="295">
        <v>13</v>
      </c>
      <c r="D89" s="201" t="s">
        <v>742</v>
      </c>
      <c r="E89" s="201">
        <v>4</v>
      </c>
      <c r="F89" s="201">
        <v>2800</v>
      </c>
      <c r="G89" s="538">
        <v>700</v>
      </c>
      <c r="H89" s="637"/>
      <c r="I89" s="363">
        <f t="shared" si="60"/>
        <v>4</v>
      </c>
      <c r="J89" s="363">
        <f t="shared" si="61"/>
        <v>2817.2238008401137</v>
      </c>
      <c r="K89" s="199">
        <f t="shared" si="62"/>
        <v>704.30595021002841</v>
      </c>
      <c r="L89" s="696"/>
      <c r="M89" s="198">
        <f>RANK(K89, K$77:$K$106)</f>
        <v>19</v>
      </c>
      <c r="N89" s="644"/>
      <c r="O89" s="644"/>
      <c r="P89" s="562">
        <v>4</v>
      </c>
      <c r="Q89" s="566">
        <v>2789.2682926829311</v>
      </c>
      <c r="R89" s="566">
        <v>697.31707317073278</v>
      </c>
      <c r="S89" s="562">
        <f t="shared" si="44"/>
        <v>19</v>
      </c>
      <c r="T89" s="637"/>
      <c r="U89" s="562">
        <v>4</v>
      </c>
      <c r="V89" s="566">
        <v>2818.7499999999959</v>
      </c>
      <c r="W89" s="566">
        <v>704.68749999999898</v>
      </c>
      <c r="X89" s="562">
        <f t="shared" si="46"/>
        <v>18</v>
      </c>
      <c r="Y89" s="637"/>
      <c r="Z89" s="562">
        <v>4</v>
      </c>
      <c r="AA89" s="566">
        <v>2761.2500000000055</v>
      </c>
      <c r="AB89" s="566">
        <v>690.31250000000136</v>
      </c>
      <c r="AC89" s="562">
        <f t="shared" si="48"/>
        <v>18</v>
      </c>
      <c r="AD89" s="637"/>
      <c r="AE89" s="562">
        <v>4</v>
      </c>
      <c r="AF89" s="566">
        <v>2863.3846153846148</v>
      </c>
      <c r="AG89" s="566">
        <v>715.8461538461537</v>
      </c>
      <c r="AH89" s="562">
        <f t="shared" si="50"/>
        <v>18</v>
      </c>
      <c r="AI89" s="637"/>
      <c r="AJ89" s="562">
        <v>4</v>
      </c>
      <c r="AK89" s="566">
        <v>2874.8275862068986</v>
      </c>
      <c r="AL89" s="566">
        <v>718.70689655172464</v>
      </c>
      <c r="AM89" s="562">
        <f t="shared" si="52"/>
        <v>18</v>
      </c>
      <c r="AN89" s="637"/>
      <c r="AO89" s="562">
        <v>4</v>
      </c>
      <c r="AP89" s="566">
        <v>2788.8607594936725</v>
      </c>
      <c r="AQ89" s="566">
        <v>697.21518987341813</v>
      </c>
      <c r="AR89" s="562">
        <f t="shared" si="54"/>
        <v>18</v>
      </c>
      <c r="AS89" s="637"/>
      <c r="AT89" s="562">
        <v>4</v>
      </c>
      <c r="AU89" s="566">
        <v>2824.2253521126768</v>
      </c>
      <c r="AV89" s="566">
        <v>706.05633802816919</v>
      </c>
      <c r="AW89" s="562">
        <f t="shared" si="56"/>
        <v>19</v>
      </c>
      <c r="AX89" s="637"/>
      <c r="AZ89" s="372" t="e">
        <f t="shared" si="58"/>
        <v>#N/A</v>
      </c>
      <c r="BA89" s="637"/>
    </row>
    <row r="90" spans="2:53">
      <c r="B90" s="683"/>
      <c r="C90" s="295">
        <v>14</v>
      </c>
      <c r="D90" s="201" t="s">
        <v>602</v>
      </c>
      <c r="E90" s="201">
        <v>3</v>
      </c>
      <c r="F90" s="201">
        <v>3200</v>
      </c>
      <c r="G90" s="538">
        <v>1066.6666666666667</v>
      </c>
      <c r="H90" s="637"/>
      <c r="I90" s="363">
        <f t="shared" si="60"/>
        <v>3</v>
      </c>
      <c r="J90" s="363">
        <f t="shared" si="61"/>
        <v>3234.8571428571408</v>
      </c>
      <c r="K90" s="199">
        <f t="shared" si="62"/>
        <v>1078.2857142857135</v>
      </c>
      <c r="L90" s="696"/>
      <c r="M90" s="198">
        <f>RANK(K90, K$77:$K$106)</f>
        <v>2</v>
      </c>
      <c r="N90" s="644"/>
      <c r="O90" s="644"/>
      <c r="P90" s="562">
        <v>3</v>
      </c>
      <c r="Q90" s="566">
        <v>3162.0000000000114</v>
      </c>
      <c r="R90" s="566">
        <v>1054.0000000000039</v>
      </c>
      <c r="S90" s="562">
        <f t="shared" si="44"/>
        <v>6</v>
      </c>
      <c r="T90" s="637"/>
      <c r="U90" s="562">
        <v>3</v>
      </c>
      <c r="V90" s="566">
        <v>3200.9999999999854</v>
      </c>
      <c r="W90" s="566">
        <v>1066.9999999999952</v>
      </c>
      <c r="X90" s="562">
        <f t="shared" si="46"/>
        <v>1</v>
      </c>
      <c r="Y90" s="637"/>
      <c r="Z90" s="562">
        <v>3</v>
      </c>
      <c r="AA90" s="566">
        <v>3059.9999999999864</v>
      </c>
      <c r="AB90" s="566">
        <v>1019.9999999999955</v>
      </c>
      <c r="AC90" s="562">
        <f t="shared" si="48"/>
        <v>7</v>
      </c>
      <c r="AD90" s="637"/>
      <c r="AE90" s="562">
        <v>3</v>
      </c>
      <c r="AF90" s="566">
        <v>3295.9999999999941</v>
      </c>
      <c r="AG90" s="566">
        <v>1098.6666666666647</v>
      </c>
      <c r="AH90" s="562">
        <f t="shared" si="50"/>
        <v>4</v>
      </c>
      <c r="AI90" s="637"/>
      <c r="AJ90" s="562">
        <v>3</v>
      </c>
      <c r="AK90" s="566">
        <v>3450.0000000000123</v>
      </c>
      <c r="AL90" s="566">
        <v>1150.0000000000041</v>
      </c>
      <c r="AM90" s="562">
        <f t="shared" si="52"/>
        <v>1</v>
      </c>
      <c r="AN90" s="637"/>
      <c r="AO90" s="562">
        <v>3</v>
      </c>
      <c r="AP90" s="566">
        <v>3074.9999999999986</v>
      </c>
      <c r="AQ90" s="566">
        <v>1024.9999999999995</v>
      </c>
      <c r="AR90" s="562">
        <f t="shared" si="54"/>
        <v>8</v>
      </c>
      <c r="AS90" s="637"/>
      <c r="AT90" s="562">
        <v>3</v>
      </c>
      <c r="AU90" s="566">
        <v>3399.9999999999973</v>
      </c>
      <c r="AV90" s="566">
        <v>1133.3333333333323</v>
      </c>
      <c r="AW90" s="562">
        <f t="shared" si="56"/>
        <v>1</v>
      </c>
      <c r="AX90" s="637"/>
      <c r="AZ90" s="372" t="e">
        <f t="shared" si="58"/>
        <v>#N/A</v>
      </c>
      <c r="BA90" s="637"/>
    </row>
    <row r="91" spans="2:53">
      <c r="B91" s="683"/>
      <c r="C91" s="295">
        <v>15</v>
      </c>
      <c r="D91" s="532" t="s">
        <v>607</v>
      </c>
      <c r="E91" s="201">
        <v>3</v>
      </c>
      <c r="F91" s="201">
        <v>3200</v>
      </c>
      <c r="G91" s="538">
        <v>1066.6666666666667</v>
      </c>
      <c r="H91" s="637"/>
      <c r="I91" s="363">
        <f t="shared" si="60"/>
        <v>3</v>
      </c>
      <c r="J91" s="363">
        <f t="shared" si="61"/>
        <v>3120.3828076685168</v>
      </c>
      <c r="K91" s="199">
        <f t="shared" si="62"/>
        <v>1040.1276025561724</v>
      </c>
      <c r="L91" s="696"/>
      <c r="M91" s="198">
        <f>RANK(K91, K$77:$K$106)</f>
        <v>7</v>
      </c>
      <c r="N91" s="644"/>
      <c r="O91" s="644"/>
      <c r="P91" s="562">
        <v>3</v>
      </c>
      <c r="Q91" s="566">
        <v>2940.00000000001</v>
      </c>
      <c r="R91" s="566">
        <v>980.0000000000033</v>
      </c>
      <c r="S91" s="562">
        <f t="shared" si="44"/>
        <v>8</v>
      </c>
      <c r="T91" s="637"/>
      <c r="U91" s="562">
        <v>3</v>
      </c>
      <c r="V91" s="566">
        <v>2985.0000000000105</v>
      </c>
      <c r="W91" s="566">
        <v>995.00000000000352</v>
      </c>
      <c r="X91" s="562">
        <f t="shared" si="46"/>
        <v>8</v>
      </c>
      <c r="Y91" s="637"/>
      <c r="Z91" s="562">
        <v>3</v>
      </c>
      <c r="AA91" s="566">
        <v>3152.7272727272607</v>
      </c>
      <c r="AB91" s="566">
        <v>1050.9090909090869</v>
      </c>
      <c r="AC91" s="562">
        <f t="shared" si="48"/>
        <v>4</v>
      </c>
      <c r="AD91" s="637"/>
      <c r="AE91" s="562">
        <v>3</v>
      </c>
      <c r="AF91" s="566">
        <v>2866.6666666666515</v>
      </c>
      <c r="AG91" s="566">
        <v>955.55555555555054</v>
      </c>
      <c r="AH91" s="562">
        <f t="shared" si="50"/>
        <v>9</v>
      </c>
      <c r="AI91" s="637"/>
      <c r="AJ91" s="562">
        <v>3</v>
      </c>
      <c r="AK91" s="566">
        <v>3394.2857142856878</v>
      </c>
      <c r="AL91" s="566">
        <v>1131.4285714285627</v>
      </c>
      <c r="AM91" s="562">
        <f t="shared" si="52"/>
        <v>3</v>
      </c>
      <c r="AN91" s="637"/>
      <c r="AO91" s="562">
        <v>3</v>
      </c>
      <c r="AP91" s="566">
        <v>3276.0000000000118</v>
      </c>
      <c r="AQ91" s="566">
        <v>1092.0000000000039</v>
      </c>
      <c r="AR91" s="562">
        <f t="shared" si="54"/>
        <v>1</v>
      </c>
      <c r="AS91" s="637"/>
      <c r="AT91" s="562">
        <v>3</v>
      </c>
      <c r="AU91" s="566">
        <v>3227.9999999999859</v>
      </c>
      <c r="AV91" s="566">
        <v>1075.9999999999952</v>
      </c>
      <c r="AW91" s="562">
        <f t="shared" si="56"/>
        <v>7</v>
      </c>
      <c r="AX91" s="637"/>
      <c r="AZ91" s="372" t="e">
        <f t="shared" si="58"/>
        <v>#N/A</v>
      </c>
      <c r="BA91" s="637"/>
    </row>
    <row r="92" spans="2:53">
      <c r="B92" s="683"/>
      <c r="C92" s="295">
        <v>16</v>
      </c>
      <c r="D92" s="201" t="s">
        <v>614</v>
      </c>
      <c r="E92" s="201">
        <v>3</v>
      </c>
      <c r="F92" s="201">
        <v>3200</v>
      </c>
      <c r="G92" s="538">
        <v>1066.6666666666667</v>
      </c>
      <c r="H92" s="637"/>
      <c r="I92" s="363">
        <f t="shared" si="60"/>
        <v>3</v>
      </c>
      <c r="J92" s="363">
        <f t="shared" si="61"/>
        <v>3018.3637454982045</v>
      </c>
      <c r="K92" s="199">
        <f t="shared" si="62"/>
        <v>1006.1212484994015</v>
      </c>
      <c r="L92" s="696"/>
      <c r="M92" s="198">
        <f>RANK(K92, K$77:$K$106)</f>
        <v>9</v>
      </c>
      <c r="N92" s="644"/>
      <c r="O92" s="644"/>
      <c r="P92" s="562">
        <v>3</v>
      </c>
      <c r="Q92" s="566">
        <v>2933.9999999999991</v>
      </c>
      <c r="R92" s="566">
        <v>977.99999999999966</v>
      </c>
      <c r="S92" s="562">
        <f t="shared" si="44"/>
        <v>9</v>
      </c>
      <c r="T92" s="637"/>
      <c r="U92" s="562">
        <v>3</v>
      </c>
      <c r="V92" s="566">
        <v>2946.0000000000105</v>
      </c>
      <c r="W92" s="566">
        <v>982.00000000000352</v>
      </c>
      <c r="X92" s="562">
        <f t="shared" si="46"/>
        <v>9</v>
      </c>
      <c r="Y92" s="637"/>
      <c r="Z92" s="562">
        <v>3</v>
      </c>
      <c r="AA92" s="566">
        <v>2898.0000000000105</v>
      </c>
      <c r="AB92" s="566">
        <v>966.00000000000352</v>
      </c>
      <c r="AC92" s="562">
        <f t="shared" si="48"/>
        <v>9</v>
      </c>
      <c r="AD92" s="637"/>
      <c r="AE92" s="562">
        <v>3</v>
      </c>
      <c r="AF92" s="566">
        <v>3072.0000000000109</v>
      </c>
      <c r="AG92" s="566">
        <v>1024.0000000000036</v>
      </c>
      <c r="AH92" s="562">
        <f t="shared" si="50"/>
        <v>7</v>
      </c>
      <c r="AI92" s="637"/>
      <c r="AJ92" s="562">
        <v>3</v>
      </c>
      <c r="AK92" s="566">
        <v>3081.4285714285825</v>
      </c>
      <c r="AL92" s="566">
        <v>1027.1428571428607</v>
      </c>
      <c r="AM92" s="562">
        <f t="shared" si="52"/>
        <v>8</v>
      </c>
      <c r="AN92" s="637"/>
      <c r="AO92" s="562">
        <v>3</v>
      </c>
      <c r="AP92" s="566">
        <v>2882.9999999999991</v>
      </c>
      <c r="AQ92" s="566">
        <v>960.99999999999966</v>
      </c>
      <c r="AR92" s="562">
        <f t="shared" si="54"/>
        <v>9</v>
      </c>
      <c r="AS92" s="637"/>
      <c r="AT92" s="562">
        <v>3</v>
      </c>
      <c r="AU92" s="566">
        <v>3314.1176470588193</v>
      </c>
      <c r="AV92" s="566">
        <v>1104.7058823529399</v>
      </c>
      <c r="AW92" s="562">
        <f t="shared" si="56"/>
        <v>3</v>
      </c>
      <c r="AX92" s="637"/>
      <c r="AZ92" s="372" t="e">
        <f t="shared" si="58"/>
        <v>#N/A</v>
      </c>
      <c r="BA92" s="637"/>
    </row>
    <row r="93" spans="2:53">
      <c r="B93" s="683"/>
      <c r="C93" s="295">
        <v>17</v>
      </c>
      <c r="D93" s="201" t="s">
        <v>712</v>
      </c>
      <c r="E93" s="201">
        <v>4</v>
      </c>
      <c r="F93" s="201">
        <v>3200</v>
      </c>
      <c r="G93" s="538">
        <v>800</v>
      </c>
      <c r="H93" s="637"/>
      <c r="I93" s="363">
        <f t="shared" si="60"/>
        <v>4</v>
      </c>
      <c r="J93" s="363">
        <f t="shared" si="61"/>
        <v>3106.385290958488</v>
      </c>
      <c r="K93" s="199">
        <f t="shared" si="62"/>
        <v>776.596322739622</v>
      </c>
      <c r="L93" s="696"/>
      <c r="M93" s="198">
        <f>RANK(K93, K$77:$K$106)</f>
        <v>15</v>
      </c>
      <c r="N93" s="644"/>
      <c r="O93" s="644"/>
      <c r="P93" s="562">
        <v>4</v>
      </c>
      <c r="Q93" s="566">
        <v>3170.5263157894715</v>
      </c>
      <c r="R93" s="566">
        <v>792.63157894736787</v>
      </c>
      <c r="S93" s="562">
        <f t="shared" si="44"/>
        <v>13</v>
      </c>
      <c r="T93" s="637"/>
      <c r="U93" s="562">
        <v>4</v>
      </c>
      <c r="V93" s="566">
        <v>3145.2631578947212</v>
      </c>
      <c r="W93" s="566">
        <v>786.3157894736803</v>
      </c>
      <c r="X93" s="562">
        <f t="shared" si="46"/>
        <v>12</v>
      </c>
      <c r="Y93" s="637"/>
      <c r="Z93" s="562">
        <v>4</v>
      </c>
      <c r="AA93" s="566">
        <v>2697.1428571428464</v>
      </c>
      <c r="AB93" s="566">
        <v>674.28571428571161</v>
      </c>
      <c r="AC93" s="562">
        <f t="shared" si="48"/>
        <v>20</v>
      </c>
      <c r="AD93" s="637"/>
      <c r="AE93" s="562">
        <v>4</v>
      </c>
      <c r="AF93" s="566">
        <v>3040.0000000000109</v>
      </c>
      <c r="AG93" s="566">
        <v>760.00000000000273</v>
      </c>
      <c r="AH93" s="562">
        <f t="shared" si="50"/>
        <v>15</v>
      </c>
      <c r="AI93" s="637"/>
      <c r="AJ93" s="562">
        <v>4</v>
      </c>
      <c r="AK93" s="566">
        <v>3199.99999999999</v>
      </c>
      <c r="AL93" s="566">
        <v>799.9999999999975</v>
      </c>
      <c r="AM93" s="562">
        <f t="shared" si="52"/>
        <v>14</v>
      </c>
      <c r="AN93" s="637"/>
      <c r="AO93" s="562">
        <v>4</v>
      </c>
      <c r="AP93" s="566">
        <v>3091.7647058823641</v>
      </c>
      <c r="AQ93" s="566">
        <v>772.94117647059102</v>
      </c>
      <c r="AR93" s="562">
        <f t="shared" si="54"/>
        <v>15</v>
      </c>
      <c r="AS93" s="637"/>
      <c r="AT93" s="562">
        <v>4</v>
      </c>
      <c r="AU93" s="566">
        <v>3400.0000000000123</v>
      </c>
      <c r="AV93" s="566">
        <v>850.00000000000307</v>
      </c>
      <c r="AW93" s="562">
        <f t="shared" si="56"/>
        <v>12</v>
      </c>
      <c r="AX93" s="637"/>
      <c r="AZ93" s="372" t="e">
        <f t="shared" si="58"/>
        <v>#N/A</v>
      </c>
      <c r="BA93" s="637"/>
    </row>
    <row r="94" spans="2:53">
      <c r="B94" s="683"/>
      <c r="C94" s="295">
        <v>18</v>
      </c>
      <c r="D94" s="532" t="s">
        <v>566</v>
      </c>
      <c r="E94" s="201">
        <v>4</v>
      </c>
      <c r="F94" s="201">
        <v>2800</v>
      </c>
      <c r="G94" s="538">
        <v>700</v>
      </c>
      <c r="H94" s="637"/>
      <c r="I94" s="363">
        <f t="shared" si="60"/>
        <v>4</v>
      </c>
      <c r="J94" s="363">
        <f t="shared" si="61"/>
        <v>2799.7957247721229</v>
      </c>
      <c r="K94" s="199">
        <f t="shared" si="62"/>
        <v>699.94893119303072</v>
      </c>
      <c r="L94" s="696"/>
      <c r="M94" s="198">
        <f>RANK(K94, K$77:$K$106)</f>
        <v>20</v>
      </c>
      <c r="N94" s="644"/>
      <c r="O94" s="644"/>
      <c r="P94" s="562">
        <v>4</v>
      </c>
      <c r="Q94" s="566">
        <v>3099.0000000000109</v>
      </c>
      <c r="R94" s="566">
        <v>774.75000000000273</v>
      </c>
      <c r="S94" s="562">
        <f t="shared" si="44"/>
        <v>15</v>
      </c>
      <c r="T94" s="637"/>
      <c r="U94" s="562">
        <v>4</v>
      </c>
      <c r="V94" s="566">
        <v>3069.0000000000109</v>
      </c>
      <c r="W94" s="566">
        <v>767.25000000000273</v>
      </c>
      <c r="X94" s="562">
        <f t="shared" si="46"/>
        <v>14</v>
      </c>
      <c r="Y94" s="637"/>
      <c r="Z94" s="562">
        <v>4</v>
      </c>
      <c r="AA94" s="566">
        <v>2711.4285714285602</v>
      </c>
      <c r="AB94" s="566">
        <v>677.85714285714005</v>
      </c>
      <c r="AC94" s="562">
        <f t="shared" si="48"/>
        <v>19</v>
      </c>
      <c r="AD94" s="637"/>
      <c r="AE94" s="562">
        <v>4</v>
      </c>
      <c r="AF94" s="566">
        <v>2679.9999999999891</v>
      </c>
      <c r="AG94" s="566">
        <v>669.99999999999727</v>
      </c>
      <c r="AH94" s="562">
        <f t="shared" si="50"/>
        <v>19</v>
      </c>
      <c r="AI94" s="637"/>
      <c r="AJ94" s="562">
        <v>4</v>
      </c>
      <c r="AK94" s="566">
        <v>2735.4545454545355</v>
      </c>
      <c r="AL94" s="566">
        <v>683.86363636363387</v>
      </c>
      <c r="AM94" s="562">
        <f t="shared" si="52"/>
        <v>20</v>
      </c>
      <c r="AN94" s="637"/>
      <c r="AO94" s="562">
        <v>4</v>
      </c>
      <c r="AP94" s="566">
        <v>2786.0869565217295</v>
      </c>
      <c r="AQ94" s="566">
        <v>696.52173913043237</v>
      </c>
      <c r="AR94" s="562">
        <f t="shared" si="54"/>
        <v>19</v>
      </c>
      <c r="AS94" s="637"/>
      <c r="AT94" s="562">
        <v>4</v>
      </c>
      <c r="AU94" s="566">
        <v>2517.6000000000254</v>
      </c>
      <c r="AV94" s="566">
        <v>629.40000000000634</v>
      </c>
      <c r="AW94" s="562">
        <f t="shared" si="56"/>
        <v>20</v>
      </c>
      <c r="AX94" s="637"/>
      <c r="AZ94" s="372" t="e">
        <f t="shared" si="58"/>
        <v>#N/A</v>
      </c>
      <c r="BA94" s="637"/>
    </row>
    <row r="95" spans="2:53">
      <c r="B95" s="683"/>
      <c r="C95" s="295">
        <v>19</v>
      </c>
      <c r="D95" s="532" t="s">
        <v>567</v>
      </c>
      <c r="E95" s="201">
        <v>3</v>
      </c>
      <c r="F95" s="201">
        <v>2800</v>
      </c>
      <c r="G95" s="538">
        <v>933.33333333333337</v>
      </c>
      <c r="H95" s="637"/>
      <c r="I95" s="363">
        <f t="shared" si="60"/>
        <v>3</v>
      </c>
      <c r="J95" s="363">
        <f t="shared" si="61"/>
        <v>3079.7142857142721</v>
      </c>
      <c r="K95" s="199">
        <f t="shared" si="62"/>
        <v>1026.5714285714241</v>
      </c>
      <c r="L95" s="696"/>
      <c r="M95" s="198">
        <f>RANK(K95, K$77:$K$106)</f>
        <v>8</v>
      </c>
      <c r="N95" s="644"/>
      <c r="O95" s="644"/>
      <c r="P95" s="562">
        <v>3</v>
      </c>
      <c r="Q95" s="566">
        <v>3179.9999999999859</v>
      </c>
      <c r="R95" s="566">
        <v>1059.9999999999952</v>
      </c>
      <c r="S95" s="562">
        <f t="shared" si="44"/>
        <v>4</v>
      </c>
      <c r="T95" s="637"/>
      <c r="U95" s="562">
        <v>3</v>
      </c>
      <c r="V95" s="566">
        <v>3131.9999999999859</v>
      </c>
      <c r="W95" s="566">
        <v>1043.9999999999952</v>
      </c>
      <c r="X95" s="562">
        <f t="shared" si="46"/>
        <v>7</v>
      </c>
      <c r="Y95" s="637"/>
      <c r="Z95" s="562">
        <v>3</v>
      </c>
      <c r="AA95" s="566">
        <v>2927.9999999999873</v>
      </c>
      <c r="AB95" s="566">
        <v>975.99999999999579</v>
      </c>
      <c r="AC95" s="562">
        <f t="shared" si="48"/>
        <v>8</v>
      </c>
      <c r="AD95" s="637"/>
      <c r="AE95" s="562">
        <v>3</v>
      </c>
      <c r="AF95" s="566">
        <v>2816.9999999999873</v>
      </c>
      <c r="AG95" s="566">
        <v>938.99999999999579</v>
      </c>
      <c r="AH95" s="562">
        <f t="shared" si="50"/>
        <v>10</v>
      </c>
      <c r="AI95" s="637"/>
      <c r="AJ95" s="562">
        <v>3</v>
      </c>
      <c r="AK95" s="566">
        <v>3011.9999999999864</v>
      </c>
      <c r="AL95" s="566">
        <v>1003.9999999999955</v>
      </c>
      <c r="AM95" s="562">
        <f t="shared" si="52"/>
        <v>9</v>
      </c>
      <c r="AN95" s="637"/>
      <c r="AO95" s="562">
        <v>3</v>
      </c>
      <c r="AP95" s="566">
        <v>3272.9999999999854</v>
      </c>
      <c r="AQ95" s="566">
        <v>1090.9999999999952</v>
      </c>
      <c r="AR95" s="562">
        <f t="shared" si="54"/>
        <v>2</v>
      </c>
      <c r="AS95" s="637"/>
      <c r="AT95" s="562">
        <v>3</v>
      </c>
      <c r="AU95" s="566">
        <v>3215.9999999999854</v>
      </c>
      <c r="AV95" s="566">
        <v>1071.9999999999952</v>
      </c>
      <c r="AW95" s="562">
        <f t="shared" si="56"/>
        <v>8</v>
      </c>
      <c r="AX95" s="637"/>
      <c r="AZ95" s="372" t="e">
        <f t="shared" si="58"/>
        <v>#N/A</v>
      </c>
      <c r="BA95" s="637"/>
    </row>
    <row r="96" spans="2:53">
      <c r="B96" s="683"/>
      <c r="C96" s="295">
        <v>20</v>
      </c>
      <c r="D96" s="532" t="s">
        <v>568</v>
      </c>
      <c r="E96" s="201">
        <v>4</v>
      </c>
      <c r="F96" s="201">
        <v>2200</v>
      </c>
      <c r="G96" s="538">
        <v>550</v>
      </c>
      <c r="H96" s="637"/>
      <c r="I96" s="363">
        <f t="shared" si="60"/>
        <v>3</v>
      </c>
      <c r="J96" s="363">
        <f t="shared" si="61"/>
        <v>2208.260204081635</v>
      </c>
      <c r="K96" s="199">
        <f t="shared" si="62"/>
        <v>736.08673469387838</v>
      </c>
      <c r="L96" s="696"/>
      <c r="M96" s="198">
        <f>RANK(K96, K$77:$K$106)</f>
        <v>17</v>
      </c>
      <c r="N96" s="644"/>
      <c r="O96" s="644"/>
      <c r="P96" s="562">
        <v>3</v>
      </c>
      <c r="Q96" s="566">
        <v>2060.5714285714262</v>
      </c>
      <c r="R96" s="566">
        <v>686.85714285714209</v>
      </c>
      <c r="S96" s="562">
        <f t="shared" si="44"/>
        <v>20</v>
      </c>
      <c r="T96" s="637"/>
      <c r="U96" s="562">
        <v>3</v>
      </c>
      <c r="V96" s="566">
        <v>2082.8571428571408</v>
      </c>
      <c r="W96" s="566">
        <v>694.28571428571365</v>
      </c>
      <c r="X96" s="562">
        <f t="shared" si="46"/>
        <v>20</v>
      </c>
      <c r="Y96" s="637"/>
      <c r="Z96" s="562">
        <v>3</v>
      </c>
      <c r="AA96" s="566">
        <v>2328.0000000000082</v>
      </c>
      <c r="AB96" s="566">
        <v>776.00000000000273</v>
      </c>
      <c r="AC96" s="562">
        <f t="shared" si="48"/>
        <v>14</v>
      </c>
      <c r="AD96" s="637"/>
      <c r="AE96" s="562">
        <v>3</v>
      </c>
      <c r="AF96" s="566">
        <v>2186.0000000000077</v>
      </c>
      <c r="AG96" s="566">
        <v>728.66666666666924</v>
      </c>
      <c r="AH96" s="562">
        <f t="shared" si="50"/>
        <v>16</v>
      </c>
      <c r="AI96" s="637"/>
      <c r="AJ96" s="562">
        <v>3</v>
      </c>
      <c r="AK96" s="566">
        <v>2171.2499999999968</v>
      </c>
      <c r="AL96" s="566">
        <v>723.74999999999898</v>
      </c>
      <c r="AM96" s="562">
        <f t="shared" si="52"/>
        <v>16</v>
      </c>
      <c r="AN96" s="637"/>
      <c r="AO96" s="562">
        <v>3</v>
      </c>
      <c r="AP96" s="566">
        <v>2165.1428571428546</v>
      </c>
      <c r="AQ96" s="566">
        <v>721.71428571428487</v>
      </c>
      <c r="AR96" s="562">
        <f t="shared" si="54"/>
        <v>17</v>
      </c>
      <c r="AS96" s="637"/>
      <c r="AT96" s="562">
        <v>3</v>
      </c>
      <c r="AU96" s="566">
        <v>2464.0000000000086</v>
      </c>
      <c r="AV96" s="566">
        <v>821.33333333333621</v>
      </c>
      <c r="AW96" s="562">
        <f t="shared" si="56"/>
        <v>14</v>
      </c>
      <c r="AX96" s="637"/>
      <c r="AZ96" s="372" t="e">
        <f t="shared" si="58"/>
        <v>#N/A</v>
      </c>
      <c r="BA96" s="637"/>
    </row>
    <row r="97" spans="2:53">
      <c r="B97" s="683"/>
      <c r="C97" s="295">
        <v>21</v>
      </c>
      <c r="D97" s="532" t="s">
        <v>631</v>
      </c>
      <c r="E97" s="201">
        <v>4</v>
      </c>
      <c r="F97" s="201">
        <v>2200</v>
      </c>
      <c r="G97" s="538">
        <v>550</v>
      </c>
      <c r="H97" s="637"/>
      <c r="I97" s="363">
        <f t="shared" si="60"/>
        <v>4</v>
      </c>
      <c r="J97" s="363">
        <f t="shared" si="61"/>
        <v>2255.4095238095215</v>
      </c>
      <c r="K97" s="199">
        <f t="shared" si="62"/>
        <v>563.85238095238037</v>
      </c>
      <c r="L97" s="696"/>
      <c r="M97" s="198">
        <f>RANK(K97, K$77:$K$106)</f>
        <v>21</v>
      </c>
      <c r="N97" s="644"/>
      <c r="O97" s="644"/>
      <c r="P97" s="562">
        <v>4</v>
      </c>
      <c r="Q97" s="566">
        <v>2180.0000000000077</v>
      </c>
      <c r="R97" s="566">
        <v>545.00000000000193</v>
      </c>
      <c r="S97" s="562">
        <f t="shared" si="44"/>
        <v>21</v>
      </c>
      <c r="T97" s="637"/>
      <c r="U97" s="562">
        <v>4</v>
      </c>
      <c r="V97" s="566">
        <v>2539.1999999999925</v>
      </c>
      <c r="W97" s="566">
        <v>634.79999999999814</v>
      </c>
      <c r="X97" s="562">
        <f t="shared" si="46"/>
        <v>21</v>
      </c>
      <c r="Y97" s="637"/>
      <c r="Z97" s="562">
        <v>4</v>
      </c>
      <c r="AA97" s="566">
        <v>2188.8888888888837</v>
      </c>
      <c r="AB97" s="566">
        <v>547.22222222222092</v>
      </c>
      <c r="AC97" s="562">
        <f t="shared" si="48"/>
        <v>21</v>
      </c>
      <c r="AD97" s="637"/>
      <c r="AE97" s="562">
        <v>4</v>
      </c>
      <c r="AF97" s="566">
        <v>2087.9999999999936</v>
      </c>
      <c r="AG97" s="566">
        <v>521.99999999999841</v>
      </c>
      <c r="AH97" s="562">
        <f t="shared" si="50"/>
        <v>21</v>
      </c>
      <c r="AI97" s="637"/>
      <c r="AJ97" s="562">
        <v>4</v>
      </c>
      <c r="AK97" s="566">
        <v>2137.7777777777728</v>
      </c>
      <c r="AL97" s="566">
        <v>534.44444444444321</v>
      </c>
      <c r="AM97" s="562">
        <f t="shared" si="52"/>
        <v>21</v>
      </c>
      <c r="AN97" s="637"/>
      <c r="AO97" s="562">
        <v>4</v>
      </c>
      <c r="AP97" s="566">
        <v>2146.0000000000077</v>
      </c>
      <c r="AQ97" s="566">
        <v>536.50000000000193</v>
      </c>
      <c r="AR97" s="562">
        <f t="shared" si="54"/>
        <v>21</v>
      </c>
      <c r="AS97" s="637"/>
      <c r="AT97" s="562">
        <v>4</v>
      </c>
      <c r="AU97" s="566">
        <v>2507.9999999999932</v>
      </c>
      <c r="AV97" s="566">
        <v>626.99999999999829</v>
      </c>
      <c r="AW97" s="562">
        <f t="shared" si="56"/>
        <v>21</v>
      </c>
      <c r="AX97" s="637"/>
      <c r="AZ97" s="372" t="e">
        <f t="shared" si="58"/>
        <v>#N/A</v>
      </c>
      <c r="BA97" s="637"/>
    </row>
    <row r="98" spans="2:53">
      <c r="B98" s="683"/>
      <c r="C98" s="295">
        <v>22</v>
      </c>
      <c r="D98" s="532" t="s">
        <v>634</v>
      </c>
      <c r="E98" s="201">
        <v>5</v>
      </c>
      <c r="F98" s="201">
        <v>2200</v>
      </c>
      <c r="G98" s="538">
        <v>333.33333333333331</v>
      </c>
      <c r="H98" s="637"/>
      <c r="I98" s="363">
        <f t="shared" si="60"/>
        <v>5</v>
      </c>
      <c r="J98" s="363">
        <f t="shared" si="61"/>
        <v>1771.4502164502226</v>
      </c>
      <c r="K98" s="199">
        <f t="shared" si="62"/>
        <v>354.29004329004454</v>
      </c>
      <c r="L98" s="696"/>
      <c r="M98" s="198">
        <f>RANK(K98, K$77:$K$106)</f>
        <v>22</v>
      </c>
      <c r="N98" s="644"/>
      <c r="O98" s="644"/>
      <c r="P98" s="562">
        <v>5</v>
      </c>
      <c r="Q98" s="566">
        <v>1920.0000000000068</v>
      </c>
      <c r="R98" s="566">
        <v>384.00000000000136</v>
      </c>
      <c r="S98" s="562">
        <f t="shared" si="44"/>
        <v>22</v>
      </c>
      <c r="T98" s="637"/>
      <c r="U98" s="562">
        <v>5</v>
      </c>
      <c r="V98" s="566">
        <v>1730.0000000000061</v>
      </c>
      <c r="W98" s="566">
        <v>346.00000000000125</v>
      </c>
      <c r="X98" s="562">
        <f t="shared" si="46"/>
        <v>23</v>
      </c>
      <c r="Y98" s="637"/>
      <c r="Z98" s="562">
        <v>5</v>
      </c>
      <c r="AA98" s="566">
        <v>1630.9090909090967</v>
      </c>
      <c r="AB98" s="566">
        <v>326.18181818181932</v>
      </c>
      <c r="AC98" s="562">
        <f t="shared" si="48"/>
        <v>23</v>
      </c>
      <c r="AD98" s="637"/>
      <c r="AE98" s="562">
        <v>5</v>
      </c>
      <c r="AF98" s="566">
        <v>1800.0000000000064</v>
      </c>
      <c r="AG98" s="566">
        <v>360.00000000000125</v>
      </c>
      <c r="AH98" s="562">
        <f t="shared" si="50"/>
        <v>23</v>
      </c>
      <c r="AI98" s="637"/>
      <c r="AJ98" s="562">
        <v>5</v>
      </c>
      <c r="AK98" s="566">
        <v>1933.3333333333401</v>
      </c>
      <c r="AL98" s="566">
        <v>386.66666666666799</v>
      </c>
      <c r="AM98" s="562">
        <f t="shared" si="52"/>
        <v>22</v>
      </c>
      <c r="AN98" s="637"/>
      <c r="AO98" s="562">
        <v>5</v>
      </c>
      <c r="AP98" s="566">
        <v>1695.0000000000059</v>
      </c>
      <c r="AQ98" s="566">
        <v>339.00000000000119</v>
      </c>
      <c r="AR98" s="562">
        <f t="shared" si="54"/>
        <v>22</v>
      </c>
      <c r="AS98" s="637"/>
      <c r="AT98" s="562">
        <v>5</v>
      </c>
      <c r="AU98" s="566">
        <v>1690.9090909090969</v>
      </c>
      <c r="AV98" s="566">
        <v>338.18181818181938</v>
      </c>
      <c r="AW98" s="562">
        <f t="shared" si="56"/>
        <v>23</v>
      </c>
      <c r="AX98" s="637"/>
      <c r="AZ98" s="372" t="e">
        <f t="shared" si="58"/>
        <v>#N/A</v>
      </c>
      <c r="BA98" s="637"/>
    </row>
    <row r="99" spans="2:53">
      <c r="B99" s="683"/>
      <c r="C99" s="295">
        <v>23</v>
      </c>
      <c r="D99" s="201" t="s">
        <v>635</v>
      </c>
      <c r="E99" s="201">
        <v>5</v>
      </c>
      <c r="F99" s="201">
        <v>2200</v>
      </c>
      <c r="G99" s="538">
        <v>333.33333333333331</v>
      </c>
      <c r="H99" s="637"/>
      <c r="I99" s="363">
        <f t="shared" si="60"/>
        <v>5</v>
      </c>
      <c r="J99" s="363">
        <f t="shared" si="61"/>
        <v>1748.775510204086</v>
      </c>
      <c r="K99" s="199">
        <f t="shared" si="62"/>
        <v>349.75510204081723</v>
      </c>
      <c r="L99" s="696"/>
      <c r="M99" s="198">
        <f>RANK(K99, K$77:$K$106)</f>
        <v>23</v>
      </c>
      <c r="N99" s="644"/>
      <c r="O99" s="644"/>
      <c r="P99" s="562">
        <v>5</v>
      </c>
      <c r="Q99" s="566">
        <v>1740.0000000000061</v>
      </c>
      <c r="R99" s="566">
        <v>348.00000000000125</v>
      </c>
      <c r="S99" s="562">
        <f t="shared" si="44"/>
        <v>23</v>
      </c>
      <c r="T99" s="637"/>
      <c r="U99" s="562">
        <v>5</v>
      </c>
      <c r="V99" s="566">
        <v>1800.0000000000064</v>
      </c>
      <c r="W99" s="566">
        <v>360.00000000000125</v>
      </c>
      <c r="X99" s="562">
        <f t="shared" si="46"/>
        <v>22</v>
      </c>
      <c r="Y99" s="637"/>
      <c r="Z99" s="562">
        <v>5</v>
      </c>
      <c r="AA99" s="566">
        <v>1760.0000000000064</v>
      </c>
      <c r="AB99" s="566">
        <v>352.00000000000125</v>
      </c>
      <c r="AC99" s="562">
        <f t="shared" si="48"/>
        <v>22</v>
      </c>
      <c r="AD99" s="637"/>
      <c r="AE99" s="562">
        <v>5</v>
      </c>
      <c r="AF99" s="566">
        <v>1859.9999999999472</v>
      </c>
      <c r="AG99" s="566">
        <v>371.99999999998943</v>
      </c>
      <c r="AH99" s="562">
        <f t="shared" si="50"/>
        <v>22</v>
      </c>
      <c r="AI99" s="637"/>
      <c r="AJ99" s="562">
        <v>5</v>
      </c>
      <c r="AK99" s="566">
        <v>1730.0000000000521</v>
      </c>
      <c r="AL99" s="566">
        <v>346.0000000000104</v>
      </c>
      <c r="AM99" s="562">
        <f t="shared" si="52"/>
        <v>23</v>
      </c>
      <c r="AN99" s="637"/>
      <c r="AO99" s="562">
        <v>5</v>
      </c>
      <c r="AP99" s="566">
        <v>1611.4285714285772</v>
      </c>
      <c r="AQ99" s="566">
        <v>322.28571428571547</v>
      </c>
      <c r="AR99" s="562">
        <f t="shared" si="54"/>
        <v>23</v>
      </c>
      <c r="AS99" s="637"/>
      <c r="AT99" s="562">
        <v>5</v>
      </c>
      <c r="AU99" s="566">
        <v>1740.0000000000061</v>
      </c>
      <c r="AV99" s="566">
        <v>348.00000000000125</v>
      </c>
      <c r="AW99" s="562">
        <f t="shared" si="56"/>
        <v>22</v>
      </c>
      <c r="AX99" s="637"/>
      <c r="AZ99" s="372" t="e">
        <f t="shared" si="58"/>
        <v>#N/A</v>
      </c>
      <c r="BA99" s="637"/>
    </row>
    <row r="100" spans="2:53">
      <c r="B100" s="683"/>
      <c r="C100" s="295">
        <v>24</v>
      </c>
      <c r="D100" s="532" t="s">
        <v>594</v>
      </c>
      <c r="E100" s="201">
        <v>8</v>
      </c>
      <c r="F100" s="201">
        <v>1500</v>
      </c>
      <c r="G100" s="538">
        <v>187.5</v>
      </c>
      <c r="H100" s="637"/>
      <c r="I100" s="363">
        <f t="shared" si="60"/>
        <v>10.857142857142858</v>
      </c>
      <c r="J100" s="363">
        <f t="shared" si="61"/>
        <v>1433.5342229735229</v>
      </c>
      <c r="K100" s="199">
        <f t="shared" si="62"/>
        <v>136.74275712419305</v>
      </c>
      <c r="L100" s="696"/>
      <c r="M100" s="198">
        <f>RANK(K100, K$77:$K$106)</f>
        <v>24</v>
      </c>
      <c r="N100" s="644"/>
      <c r="O100" s="644"/>
      <c r="P100" s="562">
        <v>12</v>
      </c>
      <c r="Q100" s="566">
        <v>1357.2413793103458</v>
      </c>
      <c r="R100" s="566">
        <v>113.10344827586215</v>
      </c>
      <c r="S100" s="562">
        <f t="shared" si="44"/>
        <v>24</v>
      </c>
      <c r="T100" s="637"/>
      <c r="U100" s="562">
        <v>12</v>
      </c>
      <c r="V100" s="566">
        <v>1400.7272727272737</v>
      </c>
      <c r="W100" s="566">
        <v>116.7272727272728</v>
      </c>
      <c r="X100" s="562">
        <f t="shared" si="46"/>
        <v>24</v>
      </c>
      <c r="Y100" s="637"/>
      <c r="Z100" s="562">
        <v>12</v>
      </c>
      <c r="AA100" s="566">
        <v>1445.882352941177</v>
      </c>
      <c r="AB100" s="566">
        <v>120.49019607843142</v>
      </c>
      <c r="AC100" s="562">
        <f t="shared" si="48"/>
        <v>24</v>
      </c>
      <c r="AD100" s="637"/>
      <c r="AE100" s="562">
        <v>12</v>
      </c>
      <c r="AF100" s="566">
        <v>1461.7021276595747</v>
      </c>
      <c r="AG100" s="566">
        <v>121.80851063829789</v>
      </c>
      <c r="AH100" s="562">
        <f t="shared" si="50"/>
        <v>24</v>
      </c>
      <c r="AI100" s="637"/>
      <c r="AJ100" s="562">
        <v>12</v>
      </c>
      <c r="AK100" s="566">
        <v>1465.882352941177</v>
      </c>
      <c r="AL100" s="566">
        <v>122.15686274509808</v>
      </c>
      <c r="AM100" s="562">
        <f t="shared" si="52"/>
        <v>24</v>
      </c>
      <c r="AN100" s="637"/>
      <c r="AO100" s="562">
        <v>8</v>
      </c>
      <c r="AP100" s="566">
        <v>1470.5454545454556</v>
      </c>
      <c r="AQ100" s="566">
        <v>183.81818181818196</v>
      </c>
      <c r="AR100" s="562">
        <f t="shared" si="54"/>
        <v>24</v>
      </c>
      <c r="AS100" s="637"/>
      <c r="AT100" s="562">
        <v>8</v>
      </c>
      <c r="AU100" s="566">
        <v>1432.7586206896563</v>
      </c>
      <c r="AV100" s="566">
        <v>179.09482758620703</v>
      </c>
      <c r="AW100" s="562">
        <f t="shared" si="56"/>
        <v>24</v>
      </c>
      <c r="AX100" s="637"/>
      <c r="AZ100" s="372" t="e">
        <f t="shared" si="58"/>
        <v>#N/A</v>
      </c>
      <c r="BA100" s="637"/>
    </row>
    <row r="101" spans="2:53">
      <c r="B101" s="683"/>
      <c r="C101" s="295">
        <v>25</v>
      </c>
      <c r="D101" s="201"/>
      <c r="E101" s="201"/>
      <c r="F101" s="201"/>
      <c r="G101" s="538"/>
      <c r="H101" s="637"/>
      <c r="I101" s="363" t="str">
        <f t="shared" si="60"/>
        <v>-</v>
      </c>
      <c r="J101" s="363" t="str">
        <f t="shared" si="61"/>
        <v>-</v>
      </c>
      <c r="K101" s="199" t="str">
        <f t="shared" si="62"/>
        <v>-</v>
      </c>
      <c r="L101" s="696"/>
      <c r="M101" s="198" t="e">
        <f>RANK(K101, K$77:$K$106)</f>
        <v>#VALUE!</v>
      </c>
      <c r="N101" s="644"/>
      <c r="O101" s="644"/>
      <c r="P101" s="562" t="s">
        <v>585</v>
      </c>
      <c r="Q101" s="566" t="s">
        <v>585</v>
      </c>
      <c r="R101" s="566" t="s">
        <v>585</v>
      </c>
      <c r="S101" s="562" t="e">
        <f t="shared" si="44"/>
        <v>#VALUE!</v>
      </c>
      <c r="T101" s="637"/>
      <c r="U101" s="562" t="s">
        <v>585</v>
      </c>
      <c r="V101" s="566" t="s">
        <v>585</v>
      </c>
      <c r="W101" s="566" t="s">
        <v>585</v>
      </c>
      <c r="X101" s="562" t="e">
        <f t="shared" si="46"/>
        <v>#VALUE!</v>
      </c>
      <c r="Y101" s="637"/>
      <c r="Z101" s="562" t="s">
        <v>585</v>
      </c>
      <c r="AA101" s="566" t="s">
        <v>585</v>
      </c>
      <c r="AB101" s="566" t="s">
        <v>585</v>
      </c>
      <c r="AC101" s="562" t="e">
        <f t="shared" si="48"/>
        <v>#VALUE!</v>
      </c>
      <c r="AD101" s="637"/>
      <c r="AE101" s="562" t="s">
        <v>585</v>
      </c>
      <c r="AF101" s="566" t="s">
        <v>585</v>
      </c>
      <c r="AG101" s="566" t="s">
        <v>585</v>
      </c>
      <c r="AH101" s="562" t="e">
        <f t="shared" si="50"/>
        <v>#VALUE!</v>
      </c>
      <c r="AI101" s="637"/>
      <c r="AJ101" s="562" t="s">
        <v>585</v>
      </c>
      <c r="AK101" s="566" t="s">
        <v>585</v>
      </c>
      <c r="AL101" s="566" t="s">
        <v>585</v>
      </c>
      <c r="AM101" s="562" t="e">
        <f t="shared" si="52"/>
        <v>#VALUE!</v>
      </c>
      <c r="AN101" s="637"/>
      <c r="AO101" s="562" t="s">
        <v>585</v>
      </c>
      <c r="AP101" s="566" t="s">
        <v>585</v>
      </c>
      <c r="AQ101" s="566" t="s">
        <v>585</v>
      </c>
      <c r="AR101" s="562" t="e">
        <f t="shared" si="54"/>
        <v>#VALUE!</v>
      </c>
      <c r="AS101" s="637"/>
      <c r="AT101" s="562" t="s">
        <v>585</v>
      </c>
      <c r="AU101" s="566" t="s">
        <v>585</v>
      </c>
      <c r="AV101" s="566" t="s">
        <v>585</v>
      </c>
      <c r="AW101" s="562" t="e">
        <f t="shared" si="56"/>
        <v>#VALUE!</v>
      </c>
      <c r="AX101" s="637"/>
      <c r="AZ101" s="372" t="e">
        <f t="shared" si="58"/>
        <v>#N/A</v>
      </c>
      <c r="BA101" s="637"/>
    </row>
    <row r="102" spans="2:53">
      <c r="B102" s="683"/>
      <c r="C102" s="295">
        <v>26</v>
      </c>
      <c r="D102" s="201"/>
      <c r="E102" s="201"/>
      <c r="F102" s="201"/>
      <c r="G102" s="538"/>
      <c r="H102" s="637"/>
      <c r="I102" s="363" t="str">
        <f t="shared" si="60"/>
        <v>-</v>
      </c>
      <c r="J102" s="363" t="str">
        <f t="shared" si="61"/>
        <v>-</v>
      </c>
      <c r="K102" s="199" t="str">
        <f t="shared" si="62"/>
        <v>-</v>
      </c>
      <c r="L102" s="696"/>
      <c r="M102" s="198" t="e">
        <f>RANK(K102, K$77:$K$106)</f>
        <v>#VALUE!</v>
      </c>
      <c r="N102" s="644"/>
      <c r="O102" s="644"/>
      <c r="P102" s="562"/>
      <c r="Q102" s="566"/>
      <c r="R102" s="566"/>
      <c r="S102" s="562" t="e">
        <f t="shared" si="44"/>
        <v>#N/A</v>
      </c>
      <c r="T102" s="637"/>
      <c r="U102" s="562"/>
      <c r="V102" s="566"/>
      <c r="W102" s="566"/>
      <c r="X102" s="562" t="e">
        <f t="shared" si="46"/>
        <v>#N/A</v>
      </c>
      <c r="Y102" s="637"/>
      <c r="Z102" s="562"/>
      <c r="AA102" s="566"/>
      <c r="AB102" s="566"/>
      <c r="AC102" s="562" t="e">
        <f t="shared" si="48"/>
        <v>#N/A</v>
      </c>
      <c r="AD102" s="637"/>
      <c r="AE102" s="562"/>
      <c r="AF102" s="566"/>
      <c r="AG102" s="566"/>
      <c r="AH102" s="562" t="e">
        <f t="shared" si="50"/>
        <v>#N/A</v>
      </c>
      <c r="AI102" s="637"/>
      <c r="AJ102" s="562"/>
      <c r="AK102" s="566"/>
      <c r="AL102" s="566"/>
      <c r="AM102" s="562" t="e">
        <f t="shared" si="52"/>
        <v>#N/A</v>
      </c>
      <c r="AN102" s="637"/>
      <c r="AO102" s="562"/>
      <c r="AP102" s="566"/>
      <c r="AQ102" s="566"/>
      <c r="AR102" s="562" t="e">
        <f t="shared" si="54"/>
        <v>#N/A</v>
      </c>
      <c r="AS102" s="637"/>
      <c r="AT102" s="562"/>
      <c r="AU102" s="566"/>
      <c r="AV102" s="566"/>
      <c r="AW102" s="562" t="e">
        <f t="shared" si="56"/>
        <v>#N/A</v>
      </c>
      <c r="AX102" s="637"/>
      <c r="AZ102" s="372" t="e">
        <f t="shared" si="58"/>
        <v>#N/A</v>
      </c>
      <c r="BA102" s="637"/>
    </row>
    <row r="103" spans="2:53">
      <c r="B103" s="683"/>
      <c r="C103" s="295">
        <v>27</v>
      </c>
      <c r="D103" s="201"/>
      <c r="E103" s="201"/>
      <c r="F103" s="201"/>
      <c r="G103" s="538"/>
      <c r="H103" s="637"/>
      <c r="I103" s="363" t="str">
        <f t="shared" si="60"/>
        <v>-</v>
      </c>
      <c r="J103" s="363" t="str">
        <f t="shared" si="61"/>
        <v>-</v>
      </c>
      <c r="K103" s="199" t="str">
        <f t="shared" si="62"/>
        <v>-</v>
      </c>
      <c r="L103" s="696"/>
      <c r="M103" s="198" t="e">
        <f>RANK(K103, K$77:$K$106)</f>
        <v>#VALUE!</v>
      </c>
      <c r="N103" s="644"/>
      <c r="O103" s="644"/>
      <c r="P103" s="562"/>
      <c r="Q103" s="566"/>
      <c r="R103" s="566"/>
      <c r="S103" s="562" t="e">
        <f t="shared" si="44"/>
        <v>#N/A</v>
      </c>
      <c r="T103" s="637"/>
      <c r="U103" s="562"/>
      <c r="V103" s="566"/>
      <c r="W103" s="566"/>
      <c r="X103" s="562" t="e">
        <f t="shared" si="46"/>
        <v>#N/A</v>
      </c>
      <c r="Y103" s="637"/>
      <c r="Z103" s="562"/>
      <c r="AA103" s="566"/>
      <c r="AB103" s="566"/>
      <c r="AC103" s="562" t="e">
        <f t="shared" si="48"/>
        <v>#N/A</v>
      </c>
      <c r="AD103" s="637"/>
      <c r="AE103" s="562"/>
      <c r="AF103" s="566"/>
      <c r="AG103" s="566"/>
      <c r="AH103" s="562" t="e">
        <f t="shared" si="50"/>
        <v>#N/A</v>
      </c>
      <c r="AI103" s="637"/>
      <c r="AJ103" s="562"/>
      <c r="AK103" s="566"/>
      <c r="AL103" s="566"/>
      <c r="AM103" s="562" t="e">
        <f t="shared" si="52"/>
        <v>#N/A</v>
      </c>
      <c r="AN103" s="637"/>
      <c r="AO103" s="562"/>
      <c r="AP103" s="566"/>
      <c r="AQ103" s="566"/>
      <c r="AR103" s="562" t="e">
        <f t="shared" si="54"/>
        <v>#N/A</v>
      </c>
      <c r="AS103" s="637"/>
      <c r="AT103" s="562"/>
      <c r="AU103" s="566"/>
      <c r="AV103" s="566"/>
      <c r="AW103" s="562" t="e">
        <f t="shared" si="56"/>
        <v>#N/A</v>
      </c>
      <c r="AX103" s="637"/>
      <c r="AZ103" s="372" t="e">
        <f t="shared" si="58"/>
        <v>#N/A</v>
      </c>
      <c r="BA103" s="637"/>
    </row>
    <row r="104" spans="2:53">
      <c r="B104" s="683"/>
      <c r="C104" s="295">
        <v>28</v>
      </c>
      <c r="D104" s="201"/>
      <c r="E104" s="201"/>
      <c r="F104" s="201"/>
      <c r="G104" s="201"/>
      <c r="H104" s="637"/>
      <c r="I104" s="363" t="str">
        <f t="shared" si="60"/>
        <v>-</v>
      </c>
      <c r="J104" s="363" t="str">
        <f t="shared" si="61"/>
        <v>-</v>
      </c>
      <c r="K104" s="199" t="str">
        <f t="shared" si="62"/>
        <v>-</v>
      </c>
      <c r="L104" s="696"/>
      <c r="M104" s="198" t="e">
        <f>RANK(K104, K$77:$K$106)</f>
        <v>#VALUE!</v>
      </c>
      <c r="N104" s="644"/>
      <c r="O104" s="644"/>
      <c r="P104" s="562"/>
      <c r="Q104" s="566"/>
      <c r="R104" s="566"/>
      <c r="S104" s="562" t="e">
        <f t="shared" si="44"/>
        <v>#N/A</v>
      </c>
      <c r="T104" s="637"/>
      <c r="U104" s="562"/>
      <c r="V104" s="566"/>
      <c r="W104" s="566"/>
      <c r="X104" s="562" t="e">
        <f t="shared" si="46"/>
        <v>#N/A</v>
      </c>
      <c r="Y104" s="637"/>
      <c r="Z104" s="562"/>
      <c r="AA104" s="566"/>
      <c r="AB104" s="566"/>
      <c r="AC104" s="562" t="e">
        <f t="shared" si="48"/>
        <v>#N/A</v>
      </c>
      <c r="AD104" s="637"/>
      <c r="AE104" s="562"/>
      <c r="AF104" s="566"/>
      <c r="AG104" s="566"/>
      <c r="AH104" s="562" t="e">
        <f t="shared" si="50"/>
        <v>#N/A</v>
      </c>
      <c r="AI104" s="637"/>
      <c r="AJ104" s="562"/>
      <c r="AK104" s="566"/>
      <c r="AL104" s="566"/>
      <c r="AM104" s="562" t="e">
        <f t="shared" si="52"/>
        <v>#N/A</v>
      </c>
      <c r="AN104" s="637"/>
      <c r="AO104" s="562"/>
      <c r="AP104" s="566"/>
      <c r="AQ104" s="566"/>
      <c r="AR104" s="562" t="e">
        <f t="shared" si="54"/>
        <v>#N/A</v>
      </c>
      <c r="AS104" s="637"/>
      <c r="AT104" s="562"/>
      <c r="AU104" s="566"/>
      <c r="AV104" s="566"/>
      <c r="AW104" s="562" t="e">
        <f t="shared" si="56"/>
        <v>#N/A</v>
      </c>
      <c r="AX104" s="637"/>
      <c r="AZ104" s="372" t="e">
        <f t="shared" si="58"/>
        <v>#N/A</v>
      </c>
      <c r="BA104" s="637"/>
    </row>
    <row r="105" spans="2:53">
      <c r="B105" s="683"/>
      <c r="C105" s="295">
        <v>29</v>
      </c>
      <c r="D105" s="201"/>
      <c r="E105" s="201"/>
      <c r="F105" s="201"/>
      <c r="G105" s="201"/>
      <c r="H105" s="637"/>
      <c r="I105" s="363" t="str">
        <f t="shared" si="60"/>
        <v>-</v>
      </c>
      <c r="J105" s="363" t="str">
        <f t="shared" si="61"/>
        <v>-</v>
      </c>
      <c r="K105" s="199" t="str">
        <f t="shared" si="62"/>
        <v>-</v>
      </c>
      <c r="L105" s="696"/>
      <c r="M105" s="198" t="e">
        <f>RANK(K105, K$77:$K$106)</f>
        <v>#VALUE!</v>
      </c>
      <c r="N105" s="644"/>
      <c r="O105" s="644"/>
      <c r="P105" s="562"/>
      <c r="Q105" s="566"/>
      <c r="R105" s="566"/>
      <c r="S105" s="562" t="e">
        <f t="shared" si="44"/>
        <v>#N/A</v>
      </c>
      <c r="T105" s="637"/>
      <c r="U105" s="562"/>
      <c r="V105" s="566"/>
      <c r="W105" s="566"/>
      <c r="X105" s="562" t="e">
        <f t="shared" si="46"/>
        <v>#N/A</v>
      </c>
      <c r="Y105" s="637"/>
      <c r="Z105" s="562"/>
      <c r="AA105" s="566"/>
      <c r="AB105" s="566"/>
      <c r="AC105" s="562" t="e">
        <f t="shared" si="48"/>
        <v>#N/A</v>
      </c>
      <c r="AD105" s="637"/>
      <c r="AE105" s="562"/>
      <c r="AF105" s="566"/>
      <c r="AG105" s="566"/>
      <c r="AH105" s="562" t="e">
        <f t="shared" si="50"/>
        <v>#N/A</v>
      </c>
      <c r="AI105" s="637"/>
      <c r="AJ105" s="562"/>
      <c r="AK105" s="566"/>
      <c r="AL105" s="566"/>
      <c r="AM105" s="562" t="e">
        <f t="shared" si="52"/>
        <v>#N/A</v>
      </c>
      <c r="AN105" s="637"/>
      <c r="AO105" s="562"/>
      <c r="AP105" s="566"/>
      <c r="AQ105" s="566"/>
      <c r="AR105" s="562" t="e">
        <f t="shared" si="54"/>
        <v>#N/A</v>
      </c>
      <c r="AS105" s="637"/>
      <c r="AT105" s="562"/>
      <c r="AU105" s="566"/>
      <c r="AV105" s="566"/>
      <c r="AW105" s="562" t="e">
        <f t="shared" si="56"/>
        <v>#N/A</v>
      </c>
      <c r="AX105" s="637"/>
      <c r="AZ105" s="372" t="e">
        <f t="shared" si="58"/>
        <v>#N/A</v>
      </c>
      <c r="BA105" s="637"/>
    </row>
    <row r="106" spans="2:53">
      <c r="B106" s="684"/>
      <c r="C106" s="295">
        <v>30</v>
      </c>
      <c r="D106" s="201"/>
      <c r="E106" s="201"/>
      <c r="F106" s="201"/>
      <c r="G106" s="201"/>
      <c r="H106" s="638"/>
      <c r="I106" s="363" t="str">
        <f t="shared" si="60"/>
        <v>-</v>
      </c>
      <c r="J106" s="363" t="str">
        <f t="shared" si="61"/>
        <v>-</v>
      </c>
      <c r="K106" s="199" t="str">
        <f t="shared" si="62"/>
        <v>-</v>
      </c>
      <c r="L106" s="697"/>
      <c r="M106" s="198" t="e">
        <f>RANK(K106, K$77:$K$106)</f>
        <v>#VALUE!</v>
      </c>
      <c r="N106" s="645"/>
      <c r="O106" s="645"/>
      <c r="P106" s="562"/>
      <c r="Q106" s="566"/>
      <c r="R106" s="566"/>
      <c r="S106" s="562" t="e">
        <f t="shared" si="44"/>
        <v>#N/A</v>
      </c>
      <c r="T106" s="638"/>
      <c r="U106" s="562"/>
      <c r="V106" s="566"/>
      <c r="W106" s="566"/>
      <c r="X106" s="562" t="e">
        <f t="shared" si="46"/>
        <v>#N/A</v>
      </c>
      <c r="Y106" s="638"/>
      <c r="Z106" s="562"/>
      <c r="AA106" s="566"/>
      <c r="AB106" s="566"/>
      <c r="AC106" s="562" t="e">
        <f t="shared" si="48"/>
        <v>#N/A</v>
      </c>
      <c r="AD106" s="638"/>
      <c r="AE106" s="562"/>
      <c r="AF106" s="566"/>
      <c r="AG106" s="566"/>
      <c r="AH106" s="562" t="e">
        <f t="shared" si="50"/>
        <v>#N/A</v>
      </c>
      <c r="AI106" s="638"/>
      <c r="AJ106" s="562"/>
      <c r="AK106" s="566"/>
      <c r="AL106" s="566"/>
      <c r="AM106" s="562" t="e">
        <f t="shared" si="52"/>
        <v>#N/A</v>
      </c>
      <c r="AN106" s="638"/>
      <c r="AO106" s="562"/>
      <c r="AP106" s="566"/>
      <c r="AQ106" s="566"/>
      <c r="AR106" s="562" t="e">
        <f t="shared" si="54"/>
        <v>#N/A</v>
      </c>
      <c r="AS106" s="638"/>
      <c r="AT106" s="562"/>
      <c r="AU106" s="566"/>
      <c r="AV106" s="566"/>
      <c r="AW106" s="562" t="e">
        <f t="shared" si="56"/>
        <v>#N/A</v>
      </c>
      <c r="AX106" s="638"/>
      <c r="AZ106" s="372" t="e">
        <f t="shared" si="58"/>
        <v>#N/A</v>
      </c>
      <c r="BA106" s="638"/>
    </row>
    <row r="107" spans="2:53" ht="15.75">
      <c r="B107" s="669" t="s">
        <v>162</v>
      </c>
      <c r="C107" s="670"/>
      <c r="D107" s="670"/>
      <c r="E107" s="670"/>
      <c r="F107" s="670"/>
      <c r="G107" s="670"/>
      <c r="H107" s="671"/>
      <c r="I107" s="207"/>
      <c r="J107" s="207"/>
      <c r="K107" s="207"/>
      <c r="L107" s="207"/>
      <c r="M107" s="206"/>
      <c r="N107" s="643" t="s">
        <v>156</v>
      </c>
      <c r="O107" s="643" t="s">
        <v>155</v>
      </c>
      <c r="P107" s="668">
        <f>P72+7</f>
        <v>46252</v>
      </c>
      <c r="Q107" s="647"/>
      <c r="R107" s="647"/>
      <c r="S107" s="647"/>
      <c r="T107" s="647"/>
      <c r="U107" s="665">
        <f>P107+1</f>
        <v>46253</v>
      </c>
      <c r="V107" s="666"/>
      <c r="W107" s="666"/>
      <c r="X107" s="666"/>
      <c r="Y107" s="667"/>
      <c r="Z107" s="665">
        <f>U107+1</f>
        <v>46254</v>
      </c>
      <c r="AA107" s="666"/>
      <c r="AB107" s="666"/>
      <c r="AC107" s="666"/>
      <c r="AD107" s="667"/>
      <c r="AE107" s="665">
        <f>Z107+1</f>
        <v>46255</v>
      </c>
      <c r="AF107" s="666"/>
      <c r="AG107" s="666"/>
      <c r="AH107" s="666"/>
      <c r="AI107" s="667"/>
      <c r="AJ107" s="665">
        <f>AE107+1</f>
        <v>46256</v>
      </c>
      <c r="AK107" s="666"/>
      <c r="AL107" s="666"/>
      <c r="AM107" s="666"/>
      <c r="AN107" s="667"/>
      <c r="AO107" s="665">
        <f>AJ107+1</f>
        <v>46257</v>
      </c>
      <c r="AP107" s="666"/>
      <c r="AQ107" s="666"/>
      <c r="AR107" s="666"/>
      <c r="AS107" s="667"/>
      <c r="AT107" s="665">
        <f>AO107+1</f>
        <v>46258</v>
      </c>
      <c r="AU107" s="666"/>
      <c r="AV107" s="666"/>
      <c r="AW107" s="666"/>
      <c r="AX107" s="667"/>
    </row>
    <row r="108" spans="2:53" ht="15.75">
      <c r="B108" s="672"/>
      <c r="C108" s="672"/>
      <c r="D108" s="672"/>
      <c r="E108" s="672"/>
      <c r="F108" s="672"/>
      <c r="G108" s="672"/>
      <c r="H108" s="672"/>
      <c r="I108" s="204"/>
      <c r="J108" s="204"/>
      <c r="K108" s="204"/>
      <c r="L108" s="204"/>
      <c r="M108" s="205"/>
      <c r="N108" s="645"/>
      <c r="O108" s="645"/>
      <c r="P108" s="668" t="s">
        <v>317</v>
      </c>
      <c r="Q108" s="647"/>
      <c r="R108" s="647"/>
      <c r="S108" s="647"/>
      <c r="T108" s="647"/>
      <c r="U108" s="668" t="s">
        <v>318</v>
      </c>
      <c r="V108" s="647"/>
      <c r="W108" s="647"/>
      <c r="X108" s="647"/>
      <c r="Y108" s="647"/>
      <c r="Z108" s="668" t="s">
        <v>319</v>
      </c>
      <c r="AA108" s="647"/>
      <c r="AB108" s="647"/>
      <c r="AC108" s="647"/>
      <c r="AD108" s="647"/>
      <c r="AE108" s="668" t="s">
        <v>320</v>
      </c>
      <c r="AF108" s="647"/>
      <c r="AG108" s="647"/>
      <c r="AH108" s="647"/>
      <c r="AI108" s="647"/>
      <c r="AJ108" s="668" t="s">
        <v>321</v>
      </c>
      <c r="AK108" s="647"/>
      <c r="AL108" s="647"/>
      <c r="AM108" s="647"/>
      <c r="AN108" s="647"/>
      <c r="AO108" s="668" t="s">
        <v>322</v>
      </c>
      <c r="AP108" s="647"/>
      <c r="AQ108" s="647"/>
      <c r="AR108" s="647"/>
      <c r="AS108" s="647"/>
      <c r="AT108" s="668" t="s">
        <v>323</v>
      </c>
      <c r="AU108" s="647"/>
      <c r="AV108" s="647"/>
      <c r="AW108" s="647"/>
      <c r="AX108" s="647"/>
    </row>
    <row r="109" spans="2:53">
      <c r="B109" s="641" t="s">
        <v>369</v>
      </c>
      <c r="C109" s="641" t="s">
        <v>379</v>
      </c>
      <c r="D109" s="641"/>
      <c r="E109" s="641" t="s">
        <v>370</v>
      </c>
      <c r="F109" s="641"/>
      <c r="G109" s="641"/>
      <c r="H109" s="673" t="s">
        <v>366</v>
      </c>
      <c r="I109" s="688" t="s">
        <v>371</v>
      </c>
      <c r="J109" s="688"/>
      <c r="K109" s="688"/>
      <c r="L109" s="689" t="s">
        <v>366</v>
      </c>
      <c r="M109" s="677" t="s">
        <v>367</v>
      </c>
      <c r="N109" s="641"/>
      <c r="O109" s="641" t="s">
        <v>372</v>
      </c>
      <c r="P109" s="659" t="s">
        <v>368</v>
      </c>
      <c r="Q109" s="660"/>
      <c r="R109" s="660"/>
      <c r="S109" s="661"/>
      <c r="T109" s="641" t="s">
        <v>366</v>
      </c>
      <c r="U109" s="659" t="s">
        <v>368</v>
      </c>
      <c r="V109" s="660"/>
      <c r="W109" s="660"/>
      <c r="X109" s="661"/>
      <c r="Y109" s="641" t="s">
        <v>366</v>
      </c>
      <c r="Z109" s="659" t="s">
        <v>368</v>
      </c>
      <c r="AA109" s="660"/>
      <c r="AB109" s="660"/>
      <c r="AC109" s="661"/>
      <c r="AD109" s="641" t="s">
        <v>366</v>
      </c>
      <c r="AE109" s="659" t="s">
        <v>368</v>
      </c>
      <c r="AF109" s="660"/>
      <c r="AG109" s="660"/>
      <c r="AH109" s="661"/>
      <c r="AI109" s="641" t="s">
        <v>366</v>
      </c>
      <c r="AJ109" s="659" t="s">
        <v>368</v>
      </c>
      <c r="AK109" s="660"/>
      <c r="AL109" s="660"/>
      <c r="AM109" s="661"/>
      <c r="AN109" s="641" t="s">
        <v>366</v>
      </c>
      <c r="AO109" s="659" t="s">
        <v>368</v>
      </c>
      <c r="AP109" s="660"/>
      <c r="AQ109" s="660"/>
      <c r="AR109" s="661"/>
      <c r="AS109" s="641" t="s">
        <v>366</v>
      </c>
      <c r="AT109" s="659" t="s">
        <v>368</v>
      </c>
      <c r="AU109" s="660"/>
      <c r="AV109" s="660"/>
      <c r="AW109" s="661"/>
      <c r="AX109" s="641" t="s">
        <v>366</v>
      </c>
      <c r="BA109" s="641" t="s">
        <v>366</v>
      </c>
    </row>
    <row r="110" spans="2:53">
      <c r="B110" s="641"/>
      <c r="C110" s="641"/>
      <c r="D110" s="641"/>
      <c r="E110" s="641" t="s">
        <v>373</v>
      </c>
      <c r="F110" s="641"/>
      <c r="G110" s="641"/>
      <c r="H110" s="674"/>
      <c r="I110" s="688" t="s">
        <v>373</v>
      </c>
      <c r="J110" s="688"/>
      <c r="K110" s="688"/>
      <c r="L110" s="690"/>
      <c r="M110" s="678"/>
      <c r="N110" s="641"/>
      <c r="O110" s="641"/>
      <c r="P110" s="659" t="s">
        <v>374</v>
      </c>
      <c r="Q110" s="660"/>
      <c r="R110" s="660"/>
      <c r="S110" s="661"/>
      <c r="T110" s="641"/>
      <c r="U110" s="659" t="s">
        <v>374</v>
      </c>
      <c r="V110" s="660"/>
      <c r="W110" s="660"/>
      <c r="X110" s="661"/>
      <c r="Y110" s="641"/>
      <c r="Z110" s="659" t="s">
        <v>374</v>
      </c>
      <c r="AA110" s="660"/>
      <c r="AB110" s="660"/>
      <c r="AC110" s="661"/>
      <c r="AD110" s="641"/>
      <c r="AE110" s="659" t="s">
        <v>374</v>
      </c>
      <c r="AF110" s="660"/>
      <c r="AG110" s="660"/>
      <c r="AH110" s="661"/>
      <c r="AI110" s="641"/>
      <c r="AJ110" s="659" t="s">
        <v>374</v>
      </c>
      <c r="AK110" s="660"/>
      <c r="AL110" s="660"/>
      <c r="AM110" s="661"/>
      <c r="AN110" s="641"/>
      <c r="AO110" s="659" t="s">
        <v>374</v>
      </c>
      <c r="AP110" s="660"/>
      <c r="AQ110" s="660"/>
      <c r="AR110" s="661"/>
      <c r="AS110" s="641"/>
      <c r="AT110" s="659" t="s">
        <v>374</v>
      </c>
      <c r="AU110" s="660"/>
      <c r="AV110" s="660"/>
      <c r="AW110" s="661"/>
      <c r="AX110" s="641"/>
      <c r="BA110" s="641"/>
    </row>
    <row r="111" spans="2:53">
      <c r="B111" s="641"/>
      <c r="C111" s="641"/>
      <c r="D111" s="641"/>
      <c r="E111" s="282" t="s">
        <v>375</v>
      </c>
      <c r="F111" s="282" t="s">
        <v>376</v>
      </c>
      <c r="G111" s="282" t="s">
        <v>377</v>
      </c>
      <c r="H111" s="675"/>
      <c r="I111" s="281" t="s">
        <v>375</v>
      </c>
      <c r="J111" s="281" t="s">
        <v>376</v>
      </c>
      <c r="K111" s="281" t="s">
        <v>377</v>
      </c>
      <c r="L111" s="691"/>
      <c r="M111" s="679"/>
      <c r="N111" s="641"/>
      <c r="O111" s="641"/>
      <c r="P111" s="282" t="s">
        <v>375</v>
      </c>
      <c r="Q111" s="282" t="s">
        <v>376</v>
      </c>
      <c r="R111" s="282" t="s">
        <v>377</v>
      </c>
      <c r="S111" s="282" t="s">
        <v>367</v>
      </c>
      <c r="T111" s="641"/>
      <c r="U111" s="282" t="s">
        <v>375</v>
      </c>
      <c r="V111" s="282" t="s">
        <v>376</v>
      </c>
      <c r="W111" s="282" t="s">
        <v>377</v>
      </c>
      <c r="X111" s="282" t="s">
        <v>367</v>
      </c>
      <c r="Y111" s="641"/>
      <c r="Z111" s="282" t="s">
        <v>375</v>
      </c>
      <c r="AA111" s="282" t="s">
        <v>376</v>
      </c>
      <c r="AB111" s="282" t="s">
        <v>377</v>
      </c>
      <c r="AC111" s="282" t="s">
        <v>367</v>
      </c>
      <c r="AD111" s="641"/>
      <c r="AE111" s="282" t="s">
        <v>375</v>
      </c>
      <c r="AF111" s="282" t="s">
        <v>376</v>
      </c>
      <c r="AG111" s="282" t="s">
        <v>377</v>
      </c>
      <c r="AH111" s="282" t="s">
        <v>367</v>
      </c>
      <c r="AI111" s="641"/>
      <c r="AJ111" s="282" t="s">
        <v>375</v>
      </c>
      <c r="AK111" s="282" t="s">
        <v>376</v>
      </c>
      <c r="AL111" s="282" t="s">
        <v>377</v>
      </c>
      <c r="AM111" s="282" t="s">
        <v>367</v>
      </c>
      <c r="AN111" s="641"/>
      <c r="AO111" s="282" t="s">
        <v>375</v>
      </c>
      <c r="AP111" s="282" t="s">
        <v>376</v>
      </c>
      <c r="AQ111" s="282" t="s">
        <v>377</v>
      </c>
      <c r="AR111" s="282" t="s">
        <v>367</v>
      </c>
      <c r="AS111" s="641"/>
      <c r="AT111" s="282" t="s">
        <v>375</v>
      </c>
      <c r="AU111" s="282" t="s">
        <v>376</v>
      </c>
      <c r="AV111" s="282" t="s">
        <v>377</v>
      </c>
      <c r="AW111" s="282" t="s">
        <v>367</v>
      </c>
      <c r="AX111" s="641"/>
      <c r="AZ111" s="373" t="s">
        <v>367</v>
      </c>
      <c r="BA111" s="641"/>
    </row>
    <row r="112" spans="2:53">
      <c r="B112" s="647" t="s">
        <v>150</v>
      </c>
      <c r="C112" s="283">
        <v>1</v>
      </c>
      <c r="D112" s="201" t="s">
        <v>335</v>
      </c>
      <c r="E112" s="201">
        <v>3</v>
      </c>
      <c r="F112" s="201">
        <v>3200</v>
      </c>
      <c r="G112" s="517">
        <v>1066.6666666666667</v>
      </c>
      <c r="H112" s="636">
        <f>AVERAGE(G112:G141)</f>
        <v>775.49999999999989</v>
      </c>
      <c r="I112" s="363">
        <f>IFERROR(AVERAGE(P112,U112,Z112,AE112,AJ112,AO112,AT112),"-")</f>
        <v>3</v>
      </c>
      <c r="J112" s="363">
        <f>IFERROR(AVERAGE(Q112,V112,AA112,AF112,AK112,AP112,AU112),"-")</f>
        <v>3191.3232677686456</v>
      </c>
      <c r="K112" s="199">
        <f>IFERROR(AVERAGE(R112,W112,AB112,AG112,AL112,AQ112,AV112),"-")</f>
        <v>1063.7744225895485</v>
      </c>
      <c r="L112" s="656">
        <f>IFERROR(AVERAGE(K112:K141),"-")</f>
        <v>812.63801505776371</v>
      </c>
      <c r="M112" s="198">
        <f>RANK(K112, K$112:$K$141)</f>
        <v>5</v>
      </c>
      <c r="N112" s="641"/>
      <c r="O112" s="641"/>
      <c r="P112" s="575">
        <v>3</v>
      </c>
      <c r="Q112" s="577">
        <v>3227.3076923076915</v>
      </c>
      <c r="R112" s="577">
        <v>1075.7692307692305</v>
      </c>
      <c r="S112" s="575">
        <f t="shared" ref="S112:S141" si="63">RANK(R112, R$112:R$141)</f>
        <v>6</v>
      </c>
      <c r="T112" s="636">
        <f t="shared" ref="T112" si="64">AVERAGE(R112:R141)</f>
        <v>831.7678672172791</v>
      </c>
      <c r="U112" s="575">
        <v>3</v>
      </c>
      <c r="V112" s="577">
        <v>3153.3333333333353</v>
      </c>
      <c r="W112" s="577">
        <v>1051.1111111111118</v>
      </c>
      <c r="X112" s="575">
        <f t="shared" ref="X112:X141" si="65">RANK(W112, W$112:W$141)</f>
        <v>4</v>
      </c>
      <c r="Y112" s="636">
        <f t="shared" ref="Y112" si="66">AVERAGE(W112:W141)</f>
        <v>812.09641160290494</v>
      </c>
      <c r="Z112" s="575">
        <v>3</v>
      </c>
      <c r="AA112" s="577">
        <v>3204.0000000000009</v>
      </c>
      <c r="AB112" s="577">
        <v>1068.0000000000002</v>
      </c>
      <c r="AC112" s="575">
        <f t="shared" ref="AC112:AC141" si="67">RANK(AB112, AB$112:AB$141)</f>
        <v>2</v>
      </c>
      <c r="AD112" s="636">
        <f t="shared" ref="AD112" si="68">AVERAGE(AB112:AB141)</f>
        <v>804.94834061752817</v>
      </c>
      <c r="AE112" s="575">
        <v>3</v>
      </c>
      <c r="AF112" s="577">
        <v>3220.0000000000018</v>
      </c>
      <c r="AG112" s="577">
        <v>1073.3333333333339</v>
      </c>
      <c r="AH112" s="575">
        <f t="shared" ref="AH112:AH141" si="69">RANK(AG112, AG$112:AG$141)</f>
        <v>7</v>
      </c>
      <c r="AI112" s="636">
        <f t="shared" ref="AI112" si="70">AVERAGE(AG112:AG141)</f>
        <v>859.37181823770345</v>
      </c>
      <c r="AJ112" s="575">
        <v>3</v>
      </c>
      <c r="AK112" s="577">
        <v>3202.8571428571418</v>
      </c>
      <c r="AL112" s="577">
        <v>1067.6190476190473</v>
      </c>
      <c r="AM112" s="575">
        <f t="shared" ref="AM112:AM141" si="71">RANK(AL112, AL$112:AL$141)</f>
        <v>5</v>
      </c>
      <c r="AN112" s="636">
        <f t="shared" ref="AN112" si="72">AVERAGE(AL112:AL141)</f>
        <v>826.7289624949608</v>
      </c>
      <c r="AO112" s="575">
        <v>3</v>
      </c>
      <c r="AP112" s="577">
        <v>3182.3529411764671</v>
      </c>
      <c r="AQ112" s="577">
        <v>1060.784313725489</v>
      </c>
      <c r="AR112" s="575">
        <f t="shared" ref="AR112:AR141" si="73">RANK(AQ112, AQ$112:AQ$141)</f>
        <v>2</v>
      </c>
      <c r="AS112" s="636">
        <f t="shared" ref="AS112" si="74">AVERAGE(AQ112:AQ141)</f>
        <v>797.87349710457499</v>
      </c>
      <c r="AT112" s="575">
        <v>3</v>
      </c>
      <c r="AU112" s="577">
        <v>3149.4117647058811</v>
      </c>
      <c r="AV112" s="577">
        <v>1049.8039215686269</v>
      </c>
      <c r="AW112" s="575">
        <f t="shared" ref="AW112:AW141" si="75">RANK(AV112, AV$112:AV$141)</f>
        <v>4</v>
      </c>
      <c r="AX112" s="636">
        <f t="shared" ref="AX112" si="76">AVERAGE(AV112:AV141)</f>
        <v>773.77077318974023</v>
      </c>
      <c r="AZ112" s="372" t="e">
        <f t="shared" ref="AZ112:AZ141" si="77">RANK(AY112, AY$112:AY$141)</f>
        <v>#N/A</v>
      </c>
      <c r="BA112" s="636" t="e">
        <f t="shared" ref="BA112" si="78">AVERAGE(AY112:AY141)</f>
        <v>#DIV/0!</v>
      </c>
    </row>
    <row r="113" spans="2:53">
      <c r="B113" s="647"/>
      <c r="C113" s="283">
        <v>2</v>
      </c>
      <c r="D113" s="518" t="s">
        <v>336</v>
      </c>
      <c r="E113" s="201">
        <v>3</v>
      </c>
      <c r="F113" s="201">
        <v>3200</v>
      </c>
      <c r="G113" s="517">
        <v>1066.6666666666667</v>
      </c>
      <c r="H113" s="637"/>
      <c r="I113" s="363">
        <f t="shared" ref="I113:I141" si="79">IFERROR(AVERAGE(P113,U113,Z113,AE113,AJ113,AO113,AT113),"-")</f>
        <v>3</v>
      </c>
      <c r="J113" s="363">
        <f t="shared" ref="J113:J141" si="80">IFERROR(AVERAGE(Q113,V113,AA113,AF113,AK113,AP113,AU113),"-")</f>
        <v>3216.4285714285734</v>
      </c>
      <c r="K113" s="199">
        <f t="shared" ref="K113:K141" si="81">IFERROR(AVERAGE(R113,W113,AB113,AG113,AL113,AQ113,AV113),"-")</f>
        <v>1072.1428571428576</v>
      </c>
      <c r="L113" s="657"/>
      <c r="M113" s="198">
        <f>RANK(K113, K$112:$K$141)</f>
        <v>4</v>
      </c>
      <c r="N113" s="641"/>
      <c r="O113" s="641"/>
      <c r="P113" s="575">
        <v>3</v>
      </c>
      <c r="Q113" s="577">
        <v>3284.0000000000032</v>
      </c>
      <c r="R113" s="577">
        <v>1094.6666666666677</v>
      </c>
      <c r="S113" s="575">
        <f t="shared" si="63"/>
        <v>4</v>
      </c>
      <c r="T113" s="637"/>
      <c r="U113" s="575">
        <v>3</v>
      </c>
      <c r="V113" s="577">
        <v>3184.0000000000032</v>
      </c>
      <c r="W113" s="577">
        <v>1061.3333333333344</v>
      </c>
      <c r="X113" s="575">
        <f t="shared" si="65"/>
        <v>3</v>
      </c>
      <c r="Y113" s="637"/>
      <c r="Z113" s="575">
        <v>3</v>
      </c>
      <c r="AA113" s="577">
        <v>3031.9999999999945</v>
      </c>
      <c r="AB113" s="577">
        <v>1010.6666666666648</v>
      </c>
      <c r="AC113" s="575">
        <f t="shared" si="67"/>
        <v>7</v>
      </c>
      <c r="AD113" s="637"/>
      <c r="AE113" s="575">
        <v>3</v>
      </c>
      <c r="AF113" s="577">
        <v>3480.0000000000123</v>
      </c>
      <c r="AG113" s="577">
        <v>1160.0000000000041</v>
      </c>
      <c r="AH113" s="575">
        <f t="shared" si="69"/>
        <v>3</v>
      </c>
      <c r="AI113" s="637"/>
      <c r="AJ113" s="575">
        <v>3</v>
      </c>
      <c r="AK113" s="577">
        <v>3315.0000000000009</v>
      </c>
      <c r="AL113" s="577">
        <v>1105.0000000000002</v>
      </c>
      <c r="AM113" s="575">
        <f t="shared" si="71"/>
        <v>2</v>
      </c>
      <c r="AN113" s="637"/>
      <c r="AO113" s="575">
        <v>3</v>
      </c>
      <c r="AP113" s="577">
        <v>3140.0000000000032</v>
      </c>
      <c r="AQ113" s="577">
        <v>1046.6666666666677</v>
      </c>
      <c r="AR113" s="575">
        <f t="shared" si="73"/>
        <v>6</v>
      </c>
      <c r="AS113" s="637"/>
      <c r="AT113" s="575">
        <v>3</v>
      </c>
      <c r="AU113" s="577">
        <v>3079.9999999999945</v>
      </c>
      <c r="AV113" s="577">
        <v>1026.6666666666649</v>
      </c>
      <c r="AW113" s="575">
        <f t="shared" si="75"/>
        <v>7</v>
      </c>
      <c r="AX113" s="637"/>
      <c r="AZ113" s="372" t="e">
        <f t="shared" si="77"/>
        <v>#N/A</v>
      </c>
      <c r="BA113" s="637"/>
    </row>
    <row r="114" spans="2:53">
      <c r="B114" s="647"/>
      <c r="C114" s="283">
        <v>3</v>
      </c>
      <c r="D114" s="201" t="s">
        <v>328</v>
      </c>
      <c r="E114" s="201">
        <v>4</v>
      </c>
      <c r="F114" s="201">
        <v>3200</v>
      </c>
      <c r="G114" s="517">
        <v>800</v>
      </c>
      <c r="H114" s="637"/>
      <c r="I114" s="363">
        <f t="shared" si="79"/>
        <v>4</v>
      </c>
      <c r="J114" s="363">
        <f t="shared" si="80"/>
        <v>3169.1564625850151</v>
      </c>
      <c r="K114" s="199">
        <f t="shared" si="81"/>
        <v>792.28911564625378</v>
      </c>
      <c r="L114" s="657"/>
      <c r="M114" s="198">
        <f>RANK(K114, K$112:$K$141)</f>
        <v>14</v>
      </c>
      <c r="N114" s="641"/>
      <c r="O114" s="641"/>
      <c r="P114" s="575">
        <v>4</v>
      </c>
      <c r="Q114" s="577">
        <v>3180.0000000000109</v>
      </c>
      <c r="R114" s="577">
        <v>795.00000000000273</v>
      </c>
      <c r="S114" s="575">
        <f t="shared" si="63"/>
        <v>15</v>
      </c>
      <c r="T114" s="637"/>
      <c r="U114" s="575">
        <v>4</v>
      </c>
      <c r="V114" s="577">
        <v>2993.3333333333312</v>
      </c>
      <c r="W114" s="577">
        <v>748.3333333333328</v>
      </c>
      <c r="X114" s="575">
        <f t="shared" si="65"/>
        <v>18</v>
      </c>
      <c r="Y114" s="637"/>
      <c r="Z114" s="575">
        <v>4</v>
      </c>
      <c r="AA114" s="577">
        <v>2873.333333333318</v>
      </c>
      <c r="AB114" s="577">
        <v>718.33333333332951</v>
      </c>
      <c r="AC114" s="575">
        <f t="shared" si="67"/>
        <v>18</v>
      </c>
      <c r="AD114" s="637"/>
      <c r="AE114" s="575">
        <v>4</v>
      </c>
      <c r="AF114" s="577">
        <v>3231.4285714285461</v>
      </c>
      <c r="AG114" s="577">
        <v>807.85714285713652</v>
      </c>
      <c r="AH114" s="575">
        <f t="shared" si="69"/>
        <v>15</v>
      </c>
      <c r="AI114" s="637"/>
      <c r="AJ114" s="575">
        <v>4</v>
      </c>
      <c r="AK114" s="577">
        <v>3815.9999999999527</v>
      </c>
      <c r="AL114" s="577">
        <v>953.99999999998818</v>
      </c>
      <c r="AM114" s="575">
        <f t="shared" si="71"/>
        <v>9</v>
      </c>
      <c r="AN114" s="637"/>
      <c r="AO114" s="575">
        <v>4</v>
      </c>
      <c r="AP114" s="577">
        <v>3074.9999999999959</v>
      </c>
      <c r="AQ114" s="577">
        <v>768.74999999999898</v>
      </c>
      <c r="AR114" s="575">
        <f t="shared" si="73"/>
        <v>15</v>
      </c>
      <c r="AS114" s="637"/>
      <c r="AT114" s="575">
        <v>4</v>
      </c>
      <c r="AU114" s="577">
        <v>3014.9999999999504</v>
      </c>
      <c r="AV114" s="577">
        <v>753.74999999998761</v>
      </c>
      <c r="AW114" s="575">
        <f t="shared" si="75"/>
        <v>12</v>
      </c>
      <c r="AX114" s="637"/>
      <c r="AZ114" s="372" t="e">
        <f t="shared" si="77"/>
        <v>#N/A</v>
      </c>
      <c r="BA114" s="637"/>
    </row>
    <row r="115" spans="2:53">
      <c r="B115" s="647"/>
      <c r="C115" s="283">
        <v>4</v>
      </c>
      <c r="D115" s="201" t="s">
        <v>337</v>
      </c>
      <c r="E115" s="201">
        <v>3</v>
      </c>
      <c r="F115" s="201">
        <v>3200</v>
      </c>
      <c r="G115" s="517">
        <v>1066.6666666666667</v>
      </c>
      <c r="H115" s="637"/>
      <c r="I115" s="363">
        <f t="shared" si="79"/>
        <v>3</v>
      </c>
      <c r="J115" s="363">
        <f t="shared" si="80"/>
        <v>3216.480230212826</v>
      </c>
      <c r="K115" s="199">
        <f t="shared" si="81"/>
        <v>1072.1600767376087</v>
      </c>
      <c r="L115" s="657"/>
      <c r="M115" s="198">
        <f>RANK(K115, K$112:$K$141)</f>
        <v>3</v>
      </c>
      <c r="N115" s="641"/>
      <c r="O115" s="641"/>
      <c r="P115" s="575">
        <v>3</v>
      </c>
      <c r="Q115" s="577">
        <v>3269.2307692307677</v>
      </c>
      <c r="R115" s="577">
        <v>1089.7435897435892</v>
      </c>
      <c r="S115" s="575">
        <f t="shared" si="63"/>
        <v>5</v>
      </c>
      <c r="T115" s="637"/>
      <c r="U115" s="575">
        <v>3</v>
      </c>
      <c r="V115" s="577">
        <v>3191.3924050632932</v>
      </c>
      <c r="W115" s="577">
        <v>1063.797468354431</v>
      </c>
      <c r="X115" s="575">
        <f t="shared" si="65"/>
        <v>2</v>
      </c>
      <c r="Y115" s="637"/>
      <c r="Z115" s="575">
        <v>3</v>
      </c>
      <c r="AA115" s="577">
        <v>3140.7692307692291</v>
      </c>
      <c r="AB115" s="577">
        <v>1046.9230769230765</v>
      </c>
      <c r="AC115" s="575">
        <f t="shared" si="67"/>
        <v>4</v>
      </c>
      <c r="AD115" s="637"/>
      <c r="AE115" s="575">
        <v>3</v>
      </c>
      <c r="AF115" s="577">
        <v>3267.6923076923113</v>
      </c>
      <c r="AG115" s="577">
        <v>1089.2307692307704</v>
      </c>
      <c r="AH115" s="575">
        <f t="shared" si="69"/>
        <v>6</v>
      </c>
      <c r="AI115" s="637"/>
      <c r="AJ115" s="575">
        <v>3</v>
      </c>
      <c r="AK115" s="577">
        <v>3283.1250000000036</v>
      </c>
      <c r="AL115" s="577">
        <v>1094.3750000000011</v>
      </c>
      <c r="AM115" s="575">
        <f t="shared" si="71"/>
        <v>3</v>
      </c>
      <c r="AN115" s="637"/>
      <c r="AO115" s="575">
        <v>3</v>
      </c>
      <c r="AP115" s="577">
        <v>3170.9999999999986</v>
      </c>
      <c r="AQ115" s="577">
        <v>1056.9999999999995</v>
      </c>
      <c r="AR115" s="575">
        <f t="shared" si="73"/>
        <v>4</v>
      </c>
      <c r="AS115" s="637"/>
      <c r="AT115" s="575">
        <v>3</v>
      </c>
      <c r="AU115" s="577">
        <v>3192.1518987341756</v>
      </c>
      <c r="AV115" s="577">
        <v>1064.0506329113919</v>
      </c>
      <c r="AW115" s="575">
        <f t="shared" si="75"/>
        <v>2</v>
      </c>
      <c r="AX115" s="637"/>
      <c r="AZ115" s="372" t="e">
        <f t="shared" si="77"/>
        <v>#N/A</v>
      </c>
      <c r="BA115" s="637"/>
    </row>
    <row r="116" spans="2:53">
      <c r="B116" s="647"/>
      <c r="C116" s="283">
        <v>5</v>
      </c>
      <c r="D116" s="201" t="s">
        <v>563</v>
      </c>
      <c r="E116" s="201">
        <v>4</v>
      </c>
      <c r="F116" s="201">
        <v>3200</v>
      </c>
      <c r="G116" s="517">
        <v>800</v>
      </c>
      <c r="H116" s="637"/>
      <c r="I116" s="363">
        <f t="shared" si="79"/>
        <v>4</v>
      </c>
      <c r="J116" s="363">
        <f t="shared" si="80"/>
        <v>3208.3715213358073</v>
      </c>
      <c r="K116" s="199">
        <f t="shared" si="81"/>
        <v>802.09288033395183</v>
      </c>
      <c r="L116" s="657"/>
      <c r="M116" s="198">
        <f>RANK(K116, K$112:$K$141)</f>
        <v>13</v>
      </c>
      <c r="N116" s="641"/>
      <c r="O116" s="641"/>
      <c r="P116" s="575">
        <v>4</v>
      </c>
      <c r="Q116" s="577">
        <v>3401.2500000000118</v>
      </c>
      <c r="R116" s="577">
        <v>850.31250000000296</v>
      </c>
      <c r="S116" s="575">
        <f t="shared" si="63"/>
        <v>13</v>
      </c>
      <c r="T116" s="637"/>
      <c r="U116" s="575">
        <v>4</v>
      </c>
      <c r="V116" s="577">
        <v>3039.9999999999977</v>
      </c>
      <c r="W116" s="577">
        <v>759.99999999999943</v>
      </c>
      <c r="X116" s="575">
        <f t="shared" si="65"/>
        <v>16</v>
      </c>
      <c r="Y116" s="637"/>
      <c r="Z116" s="575">
        <v>4</v>
      </c>
      <c r="AA116" s="577">
        <v>3089.99999999998</v>
      </c>
      <c r="AB116" s="577">
        <v>772.499999999995</v>
      </c>
      <c r="AC116" s="575">
        <f t="shared" si="67"/>
        <v>14</v>
      </c>
      <c r="AD116" s="637"/>
      <c r="AE116" s="575">
        <v>4</v>
      </c>
      <c r="AF116" s="577">
        <v>3295.7142857142971</v>
      </c>
      <c r="AG116" s="577">
        <v>823.92857142857429</v>
      </c>
      <c r="AH116" s="575">
        <f t="shared" si="69"/>
        <v>13</v>
      </c>
      <c r="AI116" s="637"/>
      <c r="AJ116" s="575">
        <v>4</v>
      </c>
      <c r="AK116" s="577">
        <v>3343.6363636363753</v>
      </c>
      <c r="AL116" s="577">
        <v>835.90909090909383</v>
      </c>
      <c r="AM116" s="575">
        <f t="shared" si="71"/>
        <v>13</v>
      </c>
      <c r="AN116" s="637"/>
      <c r="AO116" s="575">
        <v>4</v>
      </c>
      <c r="AP116" s="577">
        <v>3199.9999999999941</v>
      </c>
      <c r="AQ116" s="577">
        <v>799.99999999999852</v>
      </c>
      <c r="AR116" s="575">
        <f t="shared" si="73"/>
        <v>11</v>
      </c>
      <c r="AS116" s="637"/>
      <c r="AT116" s="575">
        <v>4</v>
      </c>
      <c r="AU116" s="577">
        <v>3087.9999999999945</v>
      </c>
      <c r="AV116" s="577">
        <v>771.99999999999864</v>
      </c>
      <c r="AW116" s="575">
        <f t="shared" si="75"/>
        <v>10</v>
      </c>
      <c r="AX116" s="637"/>
      <c r="AZ116" s="372" t="e">
        <f t="shared" si="77"/>
        <v>#N/A</v>
      </c>
      <c r="BA116" s="637"/>
    </row>
    <row r="117" spans="2:53">
      <c r="B117" s="647"/>
      <c r="C117" s="283">
        <v>6</v>
      </c>
      <c r="D117" s="201" t="s">
        <v>564</v>
      </c>
      <c r="E117" s="201">
        <v>4</v>
      </c>
      <c r="F117" s="201">
        <v>3200</v>
      </c>
      <c r="G117" s="517">
        <v>800</v>
      </c>
      <c r="H117" s="637"/>
      <c r="I117" s="363">
        <f t="shared" si="79"/>
        <v>4</v>
      </c>
      <c r="J117" s="363">
        <f t="shared" si="80"/>
        <v>3117.8571428571472</v>
      </c>
      <c r="K117" s="199">
        <f t="shared" si="81"/>
        <v>779.4642857142868</v>
      </c>
      <c r="L117" s="657"/>
      <c r="M117" s="198">
        <f>RANK(K117, K$112:$K$141)</f>
        <v>16</v>
      </c>
      <c r="N117" s="641"/>
      <c r="O117" s="641"/>
      <c r="P117" s="575">
        <v>4</v>
      </c>
      <c r="Q117" s="577">
        <v>3456.0000000000123</v>
      </c>
      <c r="R117" s="577">
        <v>864.00000000000307</v>
      </c>
      <c r="S117" s="575">
        <f t="shared" si="63"/>
        <v>12</v>
      </c>
      <c r="T117" s="637"/>
      <c r="U117" s="575">
        <v>4</v>
      </c>
      <c r="V117" s="577">
        <v>3228.0000000000114</v>
      </c>
      <c r="W117" s="577">
        <v>807.00000000000284</v>
      </c>
      <c r="X117" s="575">
        <f t="shared" si="65"/>
        <v>11</v>
      </c>
      <c r="Y117" s="637"/>
      <c r="Z117" s="575">
        <v>4</v>
      </c>
      <c r="AA117" s="577">
        <v>3132.0000000000114</v>
      </c>
      <c r="AB117" s="577">
        <v>783.00000000000284</v>
      </c>
      <c r="AC117" s="575">
        <f t="shared" si="67"/>
        <v>13</v>
      </c>
      <c r="AD117" s="637"/>
      <c r="AE117" s="575">
        <v>4</v>
      </c>
      <c r="AF117" s="577">
        <v>3165.0000000000109</v>
      </c>
      <c r="AG117" s="577">
        <v>791.25000000000273</v>
      </c>
      <c r="AH117" s="575">
        <f t="shared" si="69"/>
        <v>16</v>
      </c>
      <c r="AI117" s="637"/>
      <c r="AJ117" s="575">
        <v>4</v>
      </c>
      <c r="AK117" s="577">
        <v>2940.00000000001</v>
      </c>
      <c r="AL117" s="577">
        <v>735.0000000000025</v>
      </c>
      <c r="AM117" s="575">
        <f t="shared" si="71"/>
        <v>16</v>
      </c>
      <c r="AN117" s="637"/>
      <c r="AO117" s="575">
        <v>4</v>
      </c>
      <c r="AP117" s="577">
        <v>2939.9999999999632</v>
      </c>
      <c r="AQ117" s="577">
        <v>734.99999999999079</v>
      </c>
      <c r="AR117" s="575">
        <f t="shared" si="73"/>
        <v>16</v>
      </c>
      <c r="AS117" s="637"/>
      <c r="AT117" s="575">
        <v>4</v>
      </c>
      <c r="AU117" s="577">
        <v>2964.0000000000105</v>
      </c>
      <c r="AV117" s="577">
        <v>741.00000000000261</v>
      </c>
      <c r="AW117" s="575">
        <f t="shared" si="75"/>
        <v>14</v>
      </c>
      <c r="AX117" s="637"/>
      <c r="AZ117" s="372" t="e">
        <f t="shared" si="77"/>
        <v>#N/A</v>
      </c>
      <c r="BA117" s="637"/>
    </row>
    <row r="118" spans="2:53">
      <c r="B118" s="647"/>
      <c r="C118" s="283">
        <v>7</v>
      </c>
      <c r="D118" s="201" t="s">
        <v>338</v>
      </c>
      <c r="E118" s="201">
        <v>4</v>
      </c>
      <c r="F118" s="201">
        <v>2800</v>
      </c>
      <c r="G118" s="517">
        <v>700</v>
      </c>
      <c r="H118" s="637"/>
      <c r="I118" s="363">
        <f t="shared" si="79"/>
        <v>4</v>
      </c>
      <c r="J118" s="363">
        <f t="shared" si="80"/>
        <v>3215.5357142857169</v>
      </c>
      <c r="K118" s="199">
        <f t="shared" si="81"/>
        <v>803.88392857142924</v>
      </c>
      <c r="L118" s="657"/>
      <c r="M118" s="198">
        <f>RANK(K118, K$112:$K$141)</f>
        <v>12</v>
      </c>
      <c r="N118" s="641"/>
      <c r="O118" s="641"/>
      <c r="P118" s="575">
        <v>4</v>
      </c>
      <c r="Q118" s="577">
        <v>3007.4999999999964</v>
      </c>
      <c r="R118" s="577">
        <v>751.87499999999909</v>
      </c>
      <c r="S118" s="575">
        <f t="shared" si="63"/>
        <v>16</v>
      </c>
      <c r="T118" s="637"/>
      <c r="U118" s="575">
        <v>4</v>
      </c>
      <c r="V118" s="577">
        <v>3145.714285714279</v>
      </c>
      <c r="W118" s="577">
        <v>786.42857142856974</v>
      </c>
      <c r="X118" s="575">
        <f t="shared" si="65"/>
        <v>14</v>
      </c>
      <c r="Y118" s="637"/>
      <c r="Z118" s="575">
        <v>4</v>
      </c>
      <c r="AA118" s="577">
        <v>2931.428571428582</v>
      </c>
      <c r="AB118" s="577">
        <v>732.8571428571455</v>
      </c>
      <c r="AC118" s="575">
        <f t="shared" si="67"/>
        <v>17</v>
      </c>
      <c r="AD118" s="637"/>
      <c r="AE118" s="575">
        <v>4</v>
      </c>
      <c r="AF118" s="577">
        <v>3768.0000000000136</v>
      </c>
      <c r="AG118" s="577">
        <v>942.00000000000341</v>
      </c>
      <c r="AH118" s="575">
        <f t="shared" si="69"/>
        <v>11</v>
      </c>
      <c r="AI118" s="637"/>
      <c r="AJ118" s="575">
        <v>4</v>
      </c>
      <c r="AK118" s="577">
        <v>3252.0000000000118</v>
      </c>
      <c r="AL118" s="577">
        <v>813.00000000000296</v>
      </c>
      <c r="AM118" s="575">
        <f t="shared" si="71"/>
        <v>15</v>
      </c>
      <c r="AN118" s="637"/>
      <c r="AO118" s="575">
        <v>4</v>
      </c>
      <c r="AP118" s="577">
        <v>3188.5714285714216</v>
      </c>
      <c r="AQ118" s="577">
        <v>797.14285714285541</v>
      </c>
      <c r="AR118" s="575">
        <f t="shared" si="73"/>
        <v>12</v>
      </c>
      <c r="AS118" s="637"/>
      <c r="AT118" s="575" t="s">
        <v>585</v>
      </c>
      <c r="AU118" s="577" t="s">
        <v>585</v>
      </c>
      <c r="AV118" s="577" t="s">
        <v>585</v>
      </c>
      <c r="AW118" s="575" t="e">
        <f t="shared" si="75"/>
        <v>#VALUE!</v>
      </c>
      <c r="AX118" s="637"/>
      <c r="AZ118" s="372" t="e">
        <f t="shared" si="77"/>
        <v>#N/A</v>
      </c>
      <c r="BA118" s="637"/>
    </row>
    <row r="119" spans="2:53">
      <c r="B119" s="647"/>
      <c r="C119" s="283">
        <v>8</v>
      </c>
      <c r="D119" s="201" t="s">
        <v>339</v>
      </c>
      <c r="E119" s="201">
        <v>3</v>
      </c>
      <c r="F119" s="201">
        <v>3200</v>
      </c>
      <c r="G119" s="517">
        <v>1066.6666666666667</v>
      </c>
      <c r="H119" s="637"/>
      <c r="I119" s="363">
        <f t="shared" si="79"/>
        <v>3</v>
      </c>
      <c r="J119" s="363">
        <f t="shared" si="80"/>
        <v>3223.9992481203008</v>
      </c>
      <c r="K119" s="199">
        <f t="shared" si="81"/>
        <v>1074.6664160401001</v>
      </c>
      <c r="L119" s="657"/>
      <c r="M119" s="198">
        <f>RANK(K119, K$112:$K$141)</f>
        <v>2</v>
      </c>
      <c r="N119" s="641"/>
      <c r="O119" s="641"/>
      <c r="P119" s="575">
        <v>3</v>
      </c>
      <c r="Q119" s="577">
        <v>3317.5000000000064</v>
      </c>
      <c r="R119" s="577">
        <v>1105.8333333333355</v>
      </c>
      <c r="S119" s="575">
        <f t="shared" si="63"/>
        <v>3</v>
      </c>
      <c r="T119" s="637"/>
      <c r="U119" s="575">
        <v>3</v>
      </c>
      <c r="V119" s="577">
        <v>3117.6000000000113</v>
      </c>
      <c r="W119" s="577">
        <v>1039.2000000000037</v>
      </c>
      <c r="X119" s="575">
        <f t="shared" si="65"/>
        <v>6</v>
      </c>
      <c r="Y119" s="637"/>
      <c r="Z119" s="575">
        <v>3</v>
      </c>
      <c r="AA119" s="577">
        <v>3142.4999999999955</v>
      </c>
      <c r="AB119" s="577">
        <v>1047.4999999999984</v>
      </c>
      <c r="AC119" s="575">
        <f t="shared" si="67"/>
        <v>3</v>
      </c>
      <c r="AD119" s="637"/>
      <c r="AE119" s="575">
        <v>3</v>
      </c>
      <c r="AF119" s="577">
        <v>3329.9999999999918</v>
      </c>
      <c r="AG119" s="577">
        <v>1109.9999999999973</v>
      </c>
      <c r="AH119" s="575">
        <f t="shared" si="69"/>
        <v>5</v>
      </c>
      <c r="AI119" s="637"/>
      <c r="AJ119" s="575">
        <v>3</v>
      </c>
      <c r="AK119" s="577">
        <v>3277.8947368421032</v>
      </c>
      <c r="AL119" s="577">
        <v>1092.6315789473676</v>
      </c>
      <c r="AM119" s="575">
        <f t="shared" si="71"/>
        <v>4</v>
      </c>
      <c r="AN119" s="637"/>
      <c r="AO119" s="575">
        <v>3</v>
      </c>
      <c r="AP119" s="577">
        <v>3180.0000000000009</v>
      </c>
      <c r="AQ119" s="577">
        <v>1060.0000000000002</v>
      </c>
      <c r="AR119" s="575">
        <f t="shared" si="73"/>
        <v>3</v>
      </c>
      <c r="AS119" s="637"/>
      <c r="AT119" s="575">
        <v>3</v>
      </c>
      <c r="AU119" s="577">
        <v>3202.4999999999955</v>
      </c>
      <c r="AV119" s="577">
        <v>1067.4999999999984</v>
      </c>
      <c r="AW119" s="575">
        <f t="shared" si="75"/>
        <v>1</v>
      </c>
      <c r="AX119" s="637"/>
      <c r="AZ119" s="372" t="e">
        <f t="shared" si="77"/>
        <v>#N/A</v>
      </c>
      <c r="BA119" s="637"/>
    </row>
    <row r="120" spans="2:53">
      <c r="B120" s="647"/>
      <c r="C120" s="283">
        <v>9</v>
      </c>
      <c r="D120" s="201" t="s">
        <v>340</v>
      </c>
      <c r="E120" s="201">
        <v>3</v>
      </c>
      <c r="F120" s="201">
        <v>2800</v>
      </c>
      <c r="G120" s="517">
        <v>933.33333333333337</v>
      </c>
      <c r="H120" s="637"/>
      <c r="I120" s="363">
        <f t="shared" si="79"/>
        <v>3</v>
      </c>
      <c r="J120" s="363">
        <f t="shared" si="80"/>
        <v>3181.5493300350477</v>
      </c>
      <c r="K120" s="199">
        <f t="shared" si="81"/>
        <v>1060.5164433450161</v>
      </c>
      <c r="L120" s="657"/>
      <c r="M120" s="198">
        <f>RANK(K120, K$112:$K$141)</f>
        <v>7</v>
      </c>
      <c r="N120" s="641"/>
      <c r="O120" s="641"/>
      <c r="P120" s="575">
        <v>3</v>
      </c>
      <c r="Q120" s="577">
        <v>3465.6000000000013</v>
      </c>
      <c r="R120" s="577">
        <v>1155.2000000000005</v>
      </c>
      <c r="S120" s="575">
        <f t="shared" si="63"/>
        <v>1</v>
      </c>
      <c r="T120" s="637"/>
      <c r="U120" s="575">
        <v>3</v>
      </c>
      <c r="V120" s="577">
        <v>3105.0000000000109</v>
      </c>
      <c r="W120" s="577">
        <v>1035.0000000000036</v>
      </c>
      <c r="X120" s="575">
        <f t="shared" si="65"/>
        <v>7</v>
      </c>
      <c r="Y120" s="637"/>
      <c r="Z120" s="575">
        <v>3</v>
      </c>
      <c r="AA120" s="577">
        <v>2977.7777777777706</v>
      </c>
      <c r="AB120" s="577">
        <v>992.59259259259022</v>
      </c>
      <c r="AC120" s="575">
        <f t="shared" si="67"/>
        <v>8</v>
      </c>
      <c r="AD120" s="637"/>
      <c r="AE120" s="575">
        <v>3</v>
      </c>
      <c r="AF120" s="577">
        <v>3188.1818181818294</v>
      </c>
      <c r="AG120" s="577">
        <v>1062.7272727272764</v>
      </c>
      <c r="AH120" s="575">
        <f t="shared" si="69"/>
        <v>9</v>
      </c>
      <c r="AI120" s="637"/>
      <c r="AJ120" s="575">
        <v>3</v>
      </c>
      <c r="AK120" s="577">
        <v>3174.2857142857129</v>
      </c>
      <c r="AL120" s="577">
        <v>1058.0952380952376</v>
      </c>
      <c r="AM120" s="575">
        <f t="shared" si="71"/>
        <v>7</v>
      </c>
      <c r="AN120" s="637"/>
      <c r="AO120" s="575">
        <v>3</v>
      </c>
      <c r="AP120" s="577">
        <v>3192.0000000000009</v>
      </c>
      <c r="AQ120" s="577">
        <v>1064.0000000000002</v>
      </c>
      <c r="AR120" s="575">
        <f t="shared" si="73"/>
        <v>1</v>
      </c>
      <c r="AS120" s="637"/>
      <c r="AT120" s="575">
        <v>3</v>
      </c>
      <c r="AU120" s="577">
        <v>3168.0000000000114</v>
      </c>
      <c r="AV120" s="577">
        <v>1056.0000000000039</v>
      </c>
      <c r="AW120" s="575">
        <f t="shared" si="75"/>
        <v>3</v>
      </c>
      <c r="AX120" s="637"/>
      <c r="AZ120" s="372" t="e">
        <f t="shared" si="77"/>
        <v>#N/A</v>
      </c>
      <c r="BA120" s="637"/>
    </row>
    <row r="121" spans="2:53">
      <c r="B121" s="647"/>
      <c r="C121" s="283">
        <v>10</v>
      </c>
      <c r="D121" s="201" t="s">
        <v>341</v>
      </c>
      <c r="E121" s="201">
        <v>4</v>
      </c>
      <c r="F121" s="201">
        <v>2800</v>
      </c>
      <c r="G121" s="517">
        <v>700</v>
      </c>
      <c r="H121" s="637"/>
      <c r="I121" s="363">
        <f t="shared" si="79"/>
        <v>4</v>
      </c>
      <c r="J121" s="363">
        <f t="shared" si="80"/>
        <v>3231.6281322285017</v>
      </c>
      <c r="K121" s="199">
        <f t="shared" si="81"/>
        <v>807.90703305712543</v>
      </c>
      <c r="L121" s="657"/>
      <c r="M121" s="198">
        <f>RANK(K121, K$112:$K$141)</f>
        <v>11</v>
      </c>
      <c r="N121" s="641"/>
      <c r="O121" s="641"/>
      <c r="P121" s="575">
        <v>4</v>
      </c>
      <c r="Q121" s="577">
        <v>3263.9999999999955</v>
      </c>
      <c r="R121" s="577">
        <v>815.99999999999886</v>
      </c>
      <c r="S121" s="575">
        <f t="shared" si="63"/>
        <v>14</v>
      </c>
      <c r="T121" s="637"/>
      <c r="U121" s="575">
        <v>4</v>
      </c>
      <c r="V121" s="577">
        <v>3174.1176470588252</v>
      </c>
      <c r="W121" s="577">
        <v>793.52941176470631</v>
      </c>
      <c r="X121" s="575">
        <f t="shared" si="65"/>
        <v>12</v>
      </c>
      <c r="Y121" s="637"/>
      <c r="Z121" s="575">
        <v>4</v>
      </c>
      <c r="AA121" s="577">
        <v>3240.0000000000064</v>
      </c>
      <c r="AB121" s="577">
        <v>810.00000000000159</v>
      </c>
      <c r="AC121" s="575">
        <f t="shared" si="67"/>
        <v>12</v>
      </c>
      <c r="AD121" s="637"/>
      <c r="AE121" s="575">
        <v>4</v>
      </c>
      <c r="AF121" s="577">
        <v>3295.7142857142912</v>
      </c>
      <c r="AG121" s="577">
        <v>823.92857142857281</v>
      </c>
      <c r="AH121" s="575">
        <f t="shared" si="69"/>
        <v>14</v>
      </c>
      <c r="AI121" s="637"/>
      <c r="AJ121" s="575">
        <v>4</v>
      </c>
      <c r="AK121" s="577">
        <v>3326.3414634146329</v>
      </c>
      <c r="AL121" s="577">
        <v>831.58536585365823</v>
      </c>
      <c r="AM121" s="575">
        <f t="shared" si="71"/>
        <v>14</v>
      </c>
      <c r="AN121" s="637"/>
      <c r="AO121" s="575">
        <v>4</v>
      </c>
      <c r="AP121" s="577">
        <v>3138.8235294117658</v>
      </c>
      <c r="AQ121" s="577">
        <v>784.70588235294144</v>
      </c>
      <c r="AR121" s="575">
        <f t="shared" si="73"/>
        <v>13</v>
      </c>
      <c r="AS121" s="637"/>
      <c r="AT121" s="575">
        <v>4</v>
      </c>
      <c r="AU121" s="577">
        <v>3182.399999999996</v>
      </c>
      <c r="AV121" s="577">
        <v>795.599999999999</v>
      </c>
      <c r="AW121" s="575">
        <f t="shared" si="75"/>
        <v>9</v>
      </c>
      <c r="AX121" s="637"/>
      <c r="AZ121" s="372" t="e">
        <f t="shared" si="77"/>
        <v>#N/A</v>
      </c>
      <c r="BA121" s="637"/>
    </row>
    <row r="122" spans="2:53">
      <c r="B122" s="647"/>
      <c r="C122" s="283">
        <v>11</v>
      </c>
      <c r="D122" s="201" t="s">
        <v>565</v>
      </c>
      <c r="E122" s="201">
        <v>4</v>
      </c>
      <c r="F122" s="201">
        <v>2800</v>
      </c>
      <c r="G122" s="517">
        <v>700</v>
      </c>
      <c r="H122" s="637"/>
      <c r="I122" s="363">
        <f t="shared" si="79"/>
        <v>4</v>
      </c>
      <c r="J122" s="363">
        <f t="shared" si="80"/>
        <v>2815.5921131825803</v>
      </c>
      <c r="K122" s="199">
        <f t="shared" si="81"/>
        <v>703.89802829564508</v>
      </c>
      <c r="L122" s="657"/>
      <c r="M122" s="198">
        <f>RANK(K122, K$112:$K$141)</f>
        <v>20</v>
      </c>
      <c r="N122" s="641"/>
      <c r="O122" s="641"/>
      <c r="P122" s="575">
        <v>4</v>
      </c>
      <c r="Q122" s="577">
        <v>2870.1639344262321</v>
      </c>
      <c r="R122" s="577">
        <v>717.54098360655803</v>
      </c>
      <c r="S122" s="575">
        <f t="shared" si="63"/>
        <v>18</v>
      </c>
      <c r="T122" s="637"/>
      <c r="U122" s="575">
        <v>4</v>
      </c>
      <c r="V122" s="577">
        <v>2765.7142857142885</v>
      </c>
      <c r="W122" s="577">
        <v>691.42857142857213</v>
      </c>
      <c r="X122" s="575">
        <f t="shared" si="65"/>
        <v>20</v>
      </c>
      <c r="Y122" s="637"/>
      <c r="Z122" s="575">
        <v>4</v>
      </c>
      <c r="AA122" s="577">
        <v>2773.5483870967769</v>
      </c>
      <c r="AB122" s="577">
        <v>693.38709677419422</v>
      </c>
      <c r="AC122" s="575">
        <f t="shared" si="67"/>
        <v>19</v>
      </c>
      <c r="AD122" s="637"/>
      <c r="AE122" s="575">
        <v>4</v>
      </c>
      <c r="AF122" s="577">
        <v>2900.7692307692323</v>
      </c>
      <c r="AG122" s="577">
        <v>725.19230769230808</v>
      </c>
      <c r="AH122" s="575">
        <f t="shared" si="69"/>
        <v>19</v>
      </c>
      <c r="AI122" s="637"/>
      <c r="AJ122" s="575">
        <v>4</v>
      </c>
      <c r="AK122" s="577">
        <v>2855.7692307692278</v>
      </c>
      <c r="AL122" s="577">
        <v>713.94230769230694</v>
      </c>
      <c r="AM122" s="575">
        <f t="shared" si="71"/>
        <v>18</v>
      </c>
      <c r="AN122" s="637"/>
      <c r="AO122" s="575">
        <v>4</v>
      </c>
      <c r="AP122" s="577">
        <v>2762.8571428571458</v>
      </c>
      <c r="AQ122" s="577">
        <v>690.71428571428646</v>
      </c>
      <c r="AR122" s="575">
        <f t="shared" si="73"/>
        <v>19</v>
      </c>
      <c r="AS122" s="637"/>
      <c r="AT122" s="575">
        <v>4</v>
      </c>
      <c r="AU122" s="577">
        <v>2780.3225806451601</v>
      </c>
      <c r="AV122" s="577">
        <v>695.08064516129002</v>
      </c>
      <c r="AW122" s="575">
        <f t="shared" si="75"/>
        <v>17</v>
      </c>
      <c r="AX122" s="637"/>
      <c r="AZ122" s="372" t="e">
        <f t="shared" si="77"/>
        <v>#N/A</v>
      </c>
      <c r="BA122" s="637"/>
    </row>
    <row r="123" spans="2:53">
      <c r="B123" s="647"/>
      <c r="C123" s="283">
        <v>12</v>
      </c>
      <c r="D123" s="518" t="s">
        <v>569</v>
      </c>
      <c r="E123" s="201">
        <v>3</v>
      </c>
      <c r="F123" s="201">
        <v>2800</v>
      </c>
      <c r="G123" s="517">
        <v>933.33333333333337</v>
      </c>
      <c r="H123" s="637"/>
      <c r="I123" s="363">
        <f t="shared" si="79"/>
        <v>3.1428571428571428</v>
      </c>
      <c r="J123" s="363">
        <f t="shared" si="80"/>
        <v>2800.1206171108015</v>
      </c>
      <c r="K123" s="199">
        <f t="shared" si="81"/>
        <v>901.01639617979083</v>
      </c>
      <c r="L123" s="657"/>
      <c r="M123" s="198">
        <f>RANK(K123, K$112:$K$141)</f>
        <v>10</v>
      </c>
      <c r="N123" s="641"/>
      <c r="O123" s="641"/>
      <c r="P123" s="575">
        <v>3</v>
      </c>
      <c r="Q123" s="577">
        <v>2831.6129032258054</v>
      </c>
      <c r="R123" s="577">
        <v>943.87096774193515</v>
      </c>
      <c r="S123" s="575">
        <f t="shared" si="63"/>
        <v>10</v>
      </c>
      <c r="T123" s="637"/>
      <c r="U123" s="575">
        <v>3</v>
      </c>
      <c r="V123" s="577">
        <v>2798.7096774193574</v>
      </c>
      <c r="W123" s="577">
        <v>932.9032258064525</v>
      </c>
      <c r="X123" s="575">
        <f t="shared" si="65"/>
        <v>10</v>
      </c>
      <c r="Y123" s="637"/>
      <c r="Z123" s="575">
        <v>3</v>
      </c>
      <c r="AA123" s="577">
        <v>2782.0000000000027</v>
      </c>
      <c r="AB123" s="577">
        <v>927.33333333333428</v>
      </c>
      <c r="AC123" s="575">
        <f t="shared" si="67"/>
        <v>10</v>
      </c>
      <c r="AD123" s="637"/>
      <c r="AE123" s="575">
        <v>3</v>
      </c>
      <c r="AF123" s="577">
        <v>2843.9999999999964</v>
      </c>
      <c r="AG123" s="577">
        <v>947.99999999999875</v>
      </c>
      <c r="AH123" s="575">
        <f t="shared" si="69"/>
        <v>10</v>
      </c>
      <c r="AI123" s="637"/>
      <c r="AJ123" s="575">
        <v>3</v>
      </c>
      <c r="AK123" s="577">
        <v>2856.52173913044</v>
      </c>
      <c r="AL123" s="577">
        <v>952.17391304347996</v>
      </c>
      <c r="AM123" s="575">
        <f t="shared" si="71"/>
        <v>10</v>
      </c>
      <c r="AN123" s="637"/>
      <c r="AO123" s="575">
        <v>3</v>
      </c>
      <c r="AP123" s="577">
        <v>2770.0000000000023</v>
      </c>
      <c r="AQ123" s="577">
        <v>923.33333333333405</v>
      </c>
      <c r="AR123" s="575">
        <f t="shared" si="73"/>
        <v>10</v>
      </c>
      <c r="AS123" s="637"/>
      <c r="AT123" s="575">
        <v>4</v>
      </c>
      <c r="AU123" s="577">
        <v>2718.0000000000023</v>
      </c>
      <c r="AV123" s="577">
        <v>679.50000000000057</v>
      </c>
      <c r="AW123" s="575">
        <f t="shared" si="75"/>
        <v>19</v>
      </c>
      <c r="AX123" s="637"/>
      <c r="AZ123" s="372" t="e">
        <f t="shared" si="77"/>
        <v>#N/A</v>
      </c>
      <c r="BA123" s="637"/>
    </row>
    <row r="124" spans="2:53">
      <c r="B124" s="647"/>
      <c r="C124" s="283">
        <v>13</v>
      </c>
      <c r="D124" s="201" t="s">
        <v>742</v>
      </c>
      <c r="E124" s="201">
        <v>4</v>
      </c>
      <c r="F124" s="201">
        <v>2800</v>
      </c>
      <c r="G124" s="517">
        <v>700</v>
      </c>
      <c r="H124" s="637"/>
      <c r="I124" s="363">
        <f t="shared" si="79"/>
        <v>4</v>
      </c>
      <c r="J124" s="363">
        <f t="shared" si="80"/>
        <v>2794.3563083667909</v>
      </c>
      <c r="K124" s="199">
        <f t="shared" si="81"/>
        <v>698.58907709169773</v>
      </c>
      <c r="L124" s="657"/>
      <c r="M124" s="198">
        <f>RANK(K124, K$112:$K$141)</f>
        <v>21</v>
      </c>
      <c r="N124" s="641"/>
      <c r="O124" s="641"/>
      <c r="P124" s="575">
        <v>4</v>
      </c>
      <c r="Q124" s="577">
        <v>2850.0000000000005</v>
      </c>
      <c r="R124" s="577">
        <v>712.50000000000011</v>
      </c>
      <c r="S124" s="575">
        <f t="shared" si="63"/>
        <v>19</v>
      </c>
      <c r="T124" s="637"/>
      <c r="U124" s="575">
        <v>4</v>
      </c>
      <c r="V124" s="577">
        <v>2791.7647058823532</v>
      </c>
      <c r="W124" s="577">
        <v>697.94117647058829</v>
      </c>
      <c r="X124" s="575">
        <f t="shared" si="65"/>
        <v>19</v>
      </c>
      <c r="Y124" s="637"/>
      <c r="Z124" s="575">
        <v>4</v>
      </c>
      <c r="AA124" s="577">
        <v>2736.1764705882388</v>
      </c>
      <c r="AB124" s="577">
        <v>684.04411764705969</v>
      </c>
      <c r="AC124" s="575">
        <f t="shared" si="67"/>
        <v>20</v>
      </c>
      <c r="AD124" s="637"/>
      <c r="AE124" s="575">
        <v>4</v>
      </c>
      <c r="AF124" s="577">
        <v>2803.9999999999986</v>
      </c>
      <c r="AG124" s="577">
        <v>700.99999999999966</v>
      </c>
      <c r="AH124" s="575">
        <f t="shared" si="69"/>
        <v>20</v>
      </c>
      <c r="AI124" s="637"/>
      <c r="AJ124" s="575">
        <v>4</v>
      </c>
      <c r="AK124" s="577">
        <v>2839.1489361702133</v>
      </c>
      <c r="AL124" s="577">
        <v>709.78723404255334</v>
      </c>
      <c r="AM124" s="575">
        <f t="shared" si="71"/>
        <v>19</v>
      </c>
      <c r="AN124" s="637"/>
      <c r="AO124" s="575">
        <v>4</v>
      </c>
      <c r="AP124" s="577">
        <v>2778.3870967741959</v>
      </c>
      <c r="AQ124" s="577">
        <v>694.59677419354898</v>
      </c>
      <c r="AR124" s="575">
        <f t="shared" si="73"/>
        <v>18</v>
      </c>
      <c r="AS124" s="637"/>
      <c r="AT124" s="575">
        <v>4</v>
      </c>
      <c r="AU124" s="577">
        <v>2761.0169491525367</v>
      </c>
      <c r="AV124" s="577">
        <v>690.25423728813416</v>
      </c>
      <c r="AW124" s="575">
        <f t="shared" si="75"/>
        <v>18</v>
      </c>
      <c r="AX124" s="637"/>
      <c r="AZ124" s="372" t="e">
        <f t="shared" si="77"/>
        <v>#N/A</v>
      </c>
      <c r="BA124" s="637"/>
    </row>
    <row r="125" spans="2:53">
      <c r="B125" s="647"/>
      <c r="C125" s="283">
        <v>14</v>
      </c>
      <c r="D125" s="201" t="s">
        <v>602</v>
      </c>
      <c r="E125" s="201">
        <v>3</v>
      </c>
      <c r="F125" s="201">
        <v>3200</v>
      </c>
      <c r="G125" s="517">
        <v>1066.6666666666667</v>
      </c>
      <c r="H125" s="637"/>
      <c r="I125" s="363">
        <f t="shared" si="79"/>
        <v>3</v>
      </c>
      <c r="J125" s="363">
        <f t="shared" si="80"/>
        <v>3254.4395604395613</v>
      </c>
      <c r="K125" s="199">
        <f t="shared" si="81"/>
        <v>1084.813186813187</v>
      </c>
      <c r="L125" s="657"/>
      <c r="M125" s="198">
        <f>RANK(K125, K$112:$K$141)</f>
        <v>1</v>
      </c>
      <c r="N125" s="641"/>
      <c r="O125" s="641"/>
      <c r="P125" s="575">
        <v>3</v>
      </c>
      <c r="Q125" s="577">
        <v>3409.9999999999973</v>
      </c>
      <c r="R125" s="577">
        <v>1136.6666666666658</v>
      </c>
      <c r="S125" s="575">
        <f t="shared" si="63"/>
        <v>2</v>
      </c>
      <c r="T125" s="637"/>
      <c r="U125" s="575">
        <v>3</v>
      </c>
      <c r="V125" s="577">
        <v>2988.0000000000105</v>
      </c>
      <c r="W125" s="577">
        <v>996.00000000000352</v>
      </c>
      <c r="X125" s="575">
        <f t="shared" si="65"/>
        <v>8</v>
      </c>
      <c r="Y125" s="637"/>
      <c r="Z125" s="575">
        <v>3</v>
      </c>
      <c r="AA125" s="577">
        <v>3133.3333333333308</v>
      </c>
      <c r="AB125" s="577">
        <v>1044.4444444444437</v>
      </c>
      <c r="AC125" s="575">
        <f t="shared" si="67"/>
        <v>5</v>
      </c>
      <c r="AD125" s="637"/>
      <c r="AE125" s="575">
        <v>3</v>
      </c>
      <c r="AF125" s="577">
        <v>3595.384615384628</v>
      </c>
      <c r="AG125" s="577">
        <v>1198.4615384615427</v>
      </c>
      <c r="AH125" s="575">
        <f t="shared" si="69"/>
        <v>1</v>
      </c>
      <c r="AI125" s="637"/>
      <c r="AJ125" s="575">
        <v>3</v>
      </c>
      <c r="AK125" s="577">
        <v>3387.692307692299</v>
      </c>
      <c r="AL125" s="577">
        <v>1129.2307692307663</v>
      </c>
      <c r="AM125" s="575">
        <f t="shared" si="71"/>
        <v>1</v>
      </c>
      <c r="AN125" s="637"/>
      <c r="AO125" s="575">
        <v>3</v>
      </c>
      <c r="AP125" s="577">
        <v>3153.3333333333308</v>
      </c>
      <c r="AQ125" s="577">
        <v>1051.1111111111102</v>
      </c>
      <c r="AR125" s="575">
        <f t="shared" si="73"/>
        <v>5</v>
      </c>
      <c r="AS125" s="637"/>
      <c r="AT125" s="575">
        <v>3</v>
      </c>
      <c r="AU125" s="577">
        <v>3113.3333333333312</v>
      </c>
      <c r="AV125" s="577">
        <v>1037.7777777777771</v>
      </c>
      <c r="AW125" s="575">
        <f t="shared" si="75"/>
        <v>6</v>
      </c>
      <c r="AX125" s="637"/>
      <c r="AZ125" s="372" t="e">
        <f t="shared" si="77"/>
        <v>#N/A</v>
      </c>
      <c r="BA125" s="637"/>
    </row>
    <row r="126" spans="2:53">
      <c r="B126" s="647"/>
      <c r="C126" s="283">
        <v>15</v>
      </c>
      <c r="D126" s="518" t="s">
        <v>607</v>
      </c>
      <c r="E126" s="201">
        <v>3</v>
      </c>
      <c r="F126" s="201">
        <v>3200</v>
      </c>
      <c r="G126" s="517">
        <v>1066.6666666666667</v>
      </c>
      <c r="H126" s="637"/>
      <c r="I126" s="363">
        <f t="shared" si="79"/>
        <v>3</v>
      </c>
      <c r="J126" s="363">
        <f t="shared" si="80"/>
        <v>3067.1020408163276</v>
      </c>
      <c r="K126" s="199">
        <f t="shared" si="81"/>
        <v>1022.3673469387757</v>
      </c>
      <c r="L126" s="657"/>
      <c r="M126" s="198">
        <f>RANK(K126, K$112:$K$141)</f>
        <v>8</v>
      </c>
      <c r="N126" s="641"/>
      <c r="O126" s="641"/>
      <c r="P126" s="575">
        <v>3</v>
      </c>
      <c r="Q126" s="577">
        <v>3071.9999999999864</v>
      </c>
      <c r="R126" s="577">
        <v>1023.9999999999955</v>
      </c>
      <c r="S126" s="575">
        <f t="shared" si="63"/>
        <v>9</v>
      </c>
      <c r="T126" s="637"/>
      <c r="U126" s="575">
        <v>3</v>
      </c>
      <c r="V126" s="577">
        <v>3137.9999999999864</v>
      </c>
      <c r="W126" s="577">
        <v>1045.9999999999955</v>
      </c>
      <c r="X126" s="575">
        <f t="shared" si="65"/>
        <v>5</v>
      </c>
      <c r="Y126" s="637"/>
      <c r="Z126" s="575">
        <v>3</v>
      </c>
      <c r="AA126" s="577">
        <v>3090.0000000000109</v>
      </c>
      <c r="AB126" s="577">
        <v>1030.0000000000036</v>
      </c>
      <c r="AC126" s="575">
        <f t="shared" si="67"/>
        <v>6</v>
      </c>
      <c r="AD126" s="637"/>
      <c r="AE126" s="575">
        <v>3</v>
      </c>
      <c r="AF126" s="577">
        <v>3420.0000000000118</v>
      </c>
      <c r="AG126" s="577">
        <v>1140.0000000000039</v>
      </c>
      <c r="AH126" s="575">
        <f t="shared" si="69"/>
        <v>4</v>
      </c>
      <c r="AI126" s="637"/>
      <c r="AJ126" s="575">
        <v>3</v>
      </c>
      <c r="AK126" s="577">
        <v>3025.7142857142967</v>
      </c>
      <c r="AL126" s="577">
        <v>1008.5714285714322</v>
      </c>
      <c r="AM126" s="575">
        <f t="shared" si="71"/>
        <v>8</v>
      </c>
      <c r="AN126" s="637"/>
      <c r="AO126" s="575">
        <v>3</v>
      </c>
      <c r="AP126" s="577">
        <v>2904.00000000001</v>
      </c>
      <c r="AQ126" s="577">
        <v>968.0000000000033</v>
      </c>
      <c r="AR126" s="575">
        <f t="shared" si="73"/>
        <v>9</v>
      </c>
      <c r="AS126" s="637"/>
      <c r="AT126" s="575">
        <v>3</v>
      </c>
      <c r="AU126" s="577">
        <v>2819.9999999999877</v>
      </c>
      <c r="AV126" s="577">
        <v>939.99999999999591</v>
      </c>
      <c r="AW126" s="575">
        <f t="shared" si="75"/>
        <v>8</v>
      </c>
      <c r="AX126" s="637"/>
      <c r="AZ126" s="372" t="e">
        <f t="shared" si="77"/>
        <v>#N/A</v>
      </c>
      <c r="BA126" s="637"/>
    </row>
    <row r="127" spans="2:53">
      <c r="B127" s="647"/>
      <c r="C127" s="283">
        <v>16</v>
      </c>
      <c r="D127" s="201" t="s">
        <v>614</v>
      </c>
      <c r="E127" s="201">
        <v>3</v>
      </c>
      <c r="F127" s="201">
        <v>3200</v>
      </c>
      <c r="G127" s="517">
        <v>1066.6666666666667</v>
      </c>
      <c r="H127" s="637"/>
      <c r="I127" s="363">
        <f t="shared" si="79"/>
        <v>3.1428571428571428</v>
      </c>
      <c r="J127" s="363">
        <f t="shared" si="80"/>
        <v>3030.6824754193176</v>
      </c>
      <c r="K127" s="199">
        <f t="shared" si="81"/>
        <v>975.22749180643928</v>
      </c>
      <c r="L127" s="657"/>
      <c r="M127" s="198">
        <f>RANK(K127, K$112:$K$141)</f>
        <v>9</v>
      </c>
      <c r="N127" s="641"/>
      <c r="O127" s="641"/>
      <c r="P127" s="575">
        <v>3</v>
      </c>
      <c r="Q127" s="577">
        <v>3079.9999999999977</v>
      </c>
      <c r="R127" s="577">
        <v>1026.6666666666658</v>
      </c>
      <c r="S127" s="575">
        <f t="shared" si="63"/>
        <v>8</v>
      </c>
      <c r="T127" s="637"/>
      <c r="U127" s="575">
        <v>3</v>
      </c>
      <c r="V127" s="577">
        <v>2946.3157894736819</v>
      </c>
      <c r="W127" s="577">
        <v>982.105263157894</v>
      </c>
      <c r="X127" s="575">
        <f t="shared" si="65"/>
        <v>9</v>
      </c>
      <c r="Y127" s="637"/>
      <c r="Z127" s="575">
        <v>3</v>
      </c>
      <c r="AA127" s="577">
        <v>2933.3333333333439</v>
      </c>
      <c r="AB127" s="577">
        <v>977.77777777778135</v>
      </c>
      <c r="AC127" s="575">
        <f t="shared" si="67"/>
        <v>9</v>
      </c>
      <c r="AD127" s="637"/>
      <c r="AE127" s="575">
        <v>3</v>
      </c>
      <c r="AF127" s="577">
        <v>3198.4615384615304</v>
      </c>
      <c r="AG127" s="577">
        <v>1066.1538461538435</v>
      </c>
      <c r="AH127" s="575">
        <f t="shared" si="69"/>
        <v>8</v>
      </c>
      <c r="AI127" s="637"/>
      <c r="AJ127" s="575">
        <v>3</v>
      </c>
      <c r="AK127" s="577">
        <v>3180.0000000000109</v>
      </c>
      <c r="AL127" s="577">
        <v>1060.0000000000036</v>
      </c>
      <c r="AM127" s="575">
        <f t="shared" si="71"/>
        <v>6</v>
      </c>
      <c r="AN127" s="637"/>
      <c r="AO127" s="575">
        <v>3</v>
      </c>
      <c r="AP127" s="577">
        <v>2936.6666666666642</v>
      </c>
      <c r="AQ127" s="577">
        <v>978.88888888888812</v>
      </c>
      <c r="AR127" s="575">
        <f t="shared" si="73"/>
        <v>8</v>
      </c>
      <c r="AS127" s="637"/>
      <c r="AT127" s="575">
        <v>4</v>
      </c>
      <c r="AU127" s="577">
        <v>2939.9999999999964</v>
      </c>
      <c r="AV127" s="577">
        <v>734.99999999999909</v>
      </c>
      <c r="AW127" s="575">
        <f t="shared" si="75"/>
        <v>15</v>
      </c>
      <c r="AX127" s="637"/>
      <c r="AZ127" s="372" t="e">
        <f t="shared" si="77"/>
        <v>#N/A</v>
      </c>
      <c r="BA127" s="637"/>
    </row>
    <row r="128" spans="2:53">
      <c r="B128" s="647"/>
      <c r="C128" s="283">
        <v>17</v>
      </c>
      <c r="D128" s="201" t="s">
        <v>712</v>
      </c>
      <c r="E128" s="201">
        <v>4</v>
      </c>
      <c r="F128" s="201">
        <v>3200</v>
      </c>
      <c r="G128" s="517">
        <v>800</v>
      </c>
      <c r="H128" s="637"/>
      <c r="I128" s="363">
        <f t="shared" si="79"/>
        <v>4</v>
      </c>
      <c r="J128" s="363">
        <f t="shared" si="80"/>
        <v>3159.1620879120851</v>
      </c>
      <c r="K128" s="199">
        <f t="shared" si="81"/>
        <v>789.79052197802127</v>
      </c>
      <c r="L128" s="657"/>
      <c r="M128" s="198">
        <f>RANK(K128, K$112:$K$141)</f>
        <v>15</v>
      </c>
      <c r="N128" s="641"/>
      <c r="O128" s="641"/>
      <c r="P128" s="575">
        <v>4</v>
      </c>
      <c r="Q128" s="577">
        <v>3540.0000000000127</v>
      </c>
      <c r="R128" s="577">
        <v>885.00000000000318</v>
      </c>
      <c r="S128" s="575">
        <f t="shared" si="63"/>
        <v>11</v>
      </c>
      <c r="T128" s="637"/>
      <c r="U128" s="575">
        <v>4</v>
      </c>
      <c r="V128" s="577">
        <v>3033.7499999999964</v>
      </c>
      <c r="W128" s="577">
        <v>758.43749999999909</v>
      </c>
      <c r="X128" s="575">
        <f t="shared" si="65"/>
        <v>17</v>
      </c>
      <c r="Y128" s="637"/>
      <c r="Z128" s="575">
        <v>4</v>
      </c>
      <c r="AA128" s="577">
        <v>3019.9999999999945</v>
      </c>
      <c r="AB128" s="577">
        <v>754.99999999999864</v>
      </c>
      <c r="AC128" s="575">
        <f t="shared" si="67"/>
        <v>16</v>
      </c>
      <c r="AD128" s="637"/>
      <c r="AE128" s="575">
        <v>4</v>
      </c>
      <c r="AF128" s="577">
        <v>3024.9999999999905</v>
      </c>
      <c r="AG128" s="577">
        <v>756.24999999999761</v>
      </c>
      <c r="AH128" s="575">
        <f t="shared" si="69"/>
        <v>18</v>
      </c>
      <c r="AI128" s="637"/>
      <c r="AJ128" s="575">
        <v>4</v>
      </c>
      <c r="AK128" s="577">
        <v>3379.9999999999818</v>
      </c>
      <c r="AL128" s="577">
        <v>844.99999999999545</v>
      </c>
      <c r="AM128" s="575">
        <f t="shared" si="71"/>
        <v>12</v>
      </c>
      <c r="AN128" s="637"/>
      <c r="AO128" s="575">
        <v>4</v>
      </c>
      <c r="AP128" s="577">
        <v>3083.0769230769151</v>
      </c>
      <c r="AQ128" s="577">
        <v>770.76923076922878</v>
      </c>
      <c r="AR128" s="575">
        <f t="shared" si="73"/>
        <v>14</v>
      </c>
      <c r="AS128" s="637"/>
      <c r="AT128" s="575">
        <v>4</v>
      </c>
      <c r="AU128" s="577">
        <v>3032.3076923077033</v>
      </c>
      <c r="AV128" s="577">
        <v>758.07692307692582</v>
      </c>
      <c r="AW128" s="575">
        <f t="shared" si="75"/>
        <v>11</v>
      </c>
      <c r="AX128" s="637"/>
      <c r="AZ128" s="372" t="e">
        <f t="shared" si="77"/>
        <v>#N/A</v>
      </c>
      <c r="BA128" s="637"/>
    </row>
    <row r="129" spans="2:53">
      <c r="B129" s="647"/>
      <c r="C129" s="283">
        <v>18</v>
      </c>
      <c r="D129" s="518" t="s">
        <v>566</v>
      </c>
      <c r="E129" s="201">
        <v>4</v>
      </c>
      <c r="F129" s="201">
        <v>2800</v>
      </c>
      <c r="G129" s="517">
        <v>700</v>
      </c>
      <c r="H129" s="637"/>
      <c r="I129" s="363">
        <f t="shared" si="79"/>
        <v>4</v>
      </c>
      <c r="J129" s="363">
        <f t="shared" si="80"/>
        <v>2990.2125917560675</v>
      </c>
      <c r="K129" s="199">
        <f t="shared" si="81"/>
        <v>747.55314793901687</v>
      </c>
      <c r="L129" s="657"/>
      <c r="M129" s="198">
        <f>RANK(K129, K$112:$K$141)</f>
        <v>18</v>
      </c>
      <c r="N129" s="641"/>
      <c r="O129" s="641"/>
      <c r="P129" s="575">
        <v>4</v>
      </c>
      <c r="Q129" s="577">
        <v>2749.9999999999918</v>
      </c>
      <c r="R129" s="577">
        <v>687.49999999999795</v>
      </c>
      <c r="S129" s="575">
        <f t="shared" si="63"/>
        <v>20</v>
      </c>
      <c r="T129" s="637"/>
      <c r="U129" s="575">
        <v>4</v>
      </c>
      <c r="V129" s="577">
        <v>3153.0000000000114</v>
      </c>
      <c r="W129" s="577">
        <v>788.25000000000284</v>
      </c>
      <c r="X129" s="575">
        <f t="shared" si="65"/>
        <v>13</v>
      </c>
      <c r="Y129" s="637"/>
      <c r="Z129" s="575">
        <v>4</v>
      </c>
      <c r="AA129" s="577">
        <v>3300.0000000000118</v>
      </c>
      <c r="AB129" s="577">
        <v>825.00000000000296</v>
      </c>
      <c r="AC129" s="575">
        <f t="shared" si="67"/>
        <v>11</v>
      </c>
      <c r="AD129" s="637"/>
      <c r="AE129" s="575">
        <v>4</v>
      </c>
      <c r="AF129" s="577">
        <v>3577.4999999999413</v>
      </c>
      <c r="AG129" s="577">
        <v>894.37499999998533</v>
      </c>
      <c r="AH129" s="575">
        <f t="shared" si="69"/>
        <v>12</v>
      </c>
      <c r="AI129" s="637"/>
      <c r="AJ129" s="575">
        <v>4</v>
      </c>
      <c r="AK129" s="577">
        <v>2732.7272727272825</v>
      </c>
      <c r="AL129" s="577">
        <v>683.18181818182063</v>
      </c>
      <c r="AM129" s="575">
        <f t="shared" si="71"/>
        <v>20</v>
      </c>
      <c r="AN129" s="637"/>
      <c r="AO129" s="575">
        <v>4</v>
      </c>
      <c r="AP129" s="577">
        <v>2702.6086956521835</v>
      </c>
      <c r="AQ129" s="577">
        <v>675.65217391304589</v>
      </c>
      <c r="AR129" s="575">
        <f t="shared" si="73"/>
        <v>20</v>
      </c>
      <c r="AS129" s="637"/>
      <c r="AT129" s="575">
        <v>4</v>
      </c>
      <c r="AU129" s="577">
        <v>2715.652173913053</v>
      </c>
      <c r="AV129" s="577">
        <v>678.91304347826326</v>
      </c>
      <c r="AW129" s="575">
        <f t="shared" si="75"/>
        <v>20</v>
      </c>
      <c r="AX129" s="637"/>
      <c r="AZ129" s="372" t="e">
        <f t="shared" si="77"/>
        <v>#N/A</v>
      </c>
      <c r="BA129" s="637"/>
    </row>
    <row r="130" spans="2:53">
      <c r="B130" s="647"/>
      <c r="C130" s="283">
        <v>19</v>
      </c>
      <c r="D130" s="518" t="s">
        <v>567</v>
      </c>
      <c r="E130" s="201">
        <v>4</v>
      </c>
      <c r="F130" s="201">
        <v>2800</v>
      </c>
      <c r="G130" s="517">
        <v>700</v>
      </c>
      <c r="H130" s="637"/>
      <c r="I130" s="363">
        <f t="shared" si="79"/>
        <v>3</v>
      </c>
      <c r="J130" s="363">
        <f t="shared" si="80"/>
        <v>3188.8659147869607</v>
      </c>
      <c r="K130" s="199">
        <f t="shared" si="81"/>
        <v>1062.9553049289868</v>
      </c>
      <c r="L130" s="657"/>
      <c r="M130" s="198">
        <f>RANK(K130, K$112:$K$141)</f>
        <v>6</v>
      </c>
      <c r="N130" s="641"/>
      <c r="O130" s="641"/>
      <c r="P130" s="575">
        <v>3</v>
      </c>
      <c r="Q130" s="577">
        <v>3098.9999999999864</v>
      </c>
      <c r="R130" s="577">
        <v>1032.9999999999955</v>
      </c>
      <c r="S130" s="575">
        <f t="shared" si="63"/>
        <v>7</v>
      </c>
      <c r="T130" s="637"/>
      <c r="U130" s="575">
        <v>3</v>
      </c>
      <c r="V130" s="577">
        <v>3337.8947368421168</v>
      </c>
      <c r="W130" s="577">
        <v>1112.6315789473722</v>
      </c>
      <c r="X130" s="575">
        <f t="shared" si="65"/>
        <v>1</v>
      </c>
      <c r="Y130" s="637"/>
      <c r="Z130" s="575">
        <v>3</v>
      </c>
      <c r="AA130" s="577">
        <v>3286.6666666666492</v>
      </c>
      <c r="AB130" s="577">
        <v>1095.5555555555497</v>
      </c>
      <c r="AC130" s="575">
        <f t="shared" si="67"/>
        <v>1</v>
      </c>
      <c r="AD130" s="637"/>
      <c r="AE130" s="575">
        <v>3</v>
      </c>
      <c r="AF130" s="577">
        <v>3517.5000000000123</v>
      </c>
      <c r="AG130" s="577">
        <v>1172.5000000000041</v>
      </c>
      <c r="AH130" s="575">
        <f t="shared" si="69"/>
        <v>2</v>
      </c>
      <c r="AI130" s="637"/>
      <c r="AJ130" s="575">
        <v>3</v>
      </c>
      <c r="AK130" s="577">
        <v>2846.9999999999873</v>
      </c>
      <c r="AL130" s="577">
        <v>948.99999999999579</v>
      </c>
      <c r="AM130" s="575">
        <f t="shared" si="71"/>
        <v>11</v>
      </c>
      <c r="AN130" s="637"/>
      <c r="AO130" s="575">
        <v>3</v>
      </c>
      <c r="AP130" s="577">
        <v>3119.9999999999864</v>
      </c>
      <c r="AQ130" s="577">
        <v>1039.9999999999955</v>
      </c>
      <c r="AR130" s="575">
        <f t="shared" si="73"/>
        <v>7</v>
      </c>
      <c r="AS130" s="637"/>
      <c r="AT130" s="575">
        <v>3</v>
      </c>
      <c r="AU130" s="577">
        <v>3113.9999999999864</v>
      </c>
      <c r="AV130" s="577">
        <v>1037.9999999999955</v>
      </c>
      <c r="AW130" s="575">
        <f t="shared" si="75"/>
        <v>5</v>
      </c>
      <c r="AX130" s="637"/>
      <c r="AZ130" s="372" t="e">
        <f t="shared" si="77"/>
        <v>#N/A</v>
      </c>
      <c r="BA130" s="637"/>
    </row>
    <row r="131" spans="2:53">
      <c r="B131" s="647"/>
      <c r="C131" s="283">
        <v>20</v>
      </c>
      <c r="D131" s="518" t="s">
        <v>568</v>
      </c>
      <c r="E131" s="201">
        <v>4</v>
      </c>
      <c r="F131" s="201">
        <v>2200</v>
      </c>
      <c r="G131" s="517">
        <v>550</v>
      </c>
      <c r="H131" s="637"/>
      <c r="I131" s="363">
        <f t="shared" si="79"/>
        <v>3</v>
      </c>
      <c r="J131" s="363">
        <f t="shared" si="80"/>
        <v>2246.2366780045313</v>
      </c>
      <c r="K131" s="199">
        <f t="shared" si="81"/>
        <v>748.74555933484407</v>
      </c>
      <c r="L131" s="657"/>
      <c r="M131" s="198">
        <f>RANK(K131, K$112:$K$141)</f>
        <v>17</v>
      </c>
      <c r="N131" s="641"/>
      <c r="O131" s="641"/>
      <c r="P131" s="575">
        <v>3</v>
      </c>
      <c r="Q131" s="577">
        <v>2223.4285714285693</v>
      </c>
      <c r="R131" s="577">
        <v>741.14285714285643</v>
      </c>
      <c r="S131" s="575">
        <f t="shared" si="63"/>
        <v>17</v>
      </c>
      <c r="T131" s="637"/>
      <c r="U131" s="575">
        <v>3</v>
      </c>
      <c r="V131" s="577">
        <v>2321.2499999999968</v>
      </c>
      <c r="W131" s="577">
        <v>773.74999999999898</v>
      </c>
      <c r="X131" s="575">
        <f t="shared" si="65"/>
        <v>15</v>
      </c>
      <c r="Y131" s="637"/>
      <c r="Z131" s="575">
        <v>3</v>
      </c>
      <c r="AA131" s="577">
        <v>2315.9999999999959</v>
      </c>
      <c r="AB131" s="577">
        <v>771.99999999999864</v>
      </c>
      <c r="AC131" s="575">
        <f t="shared" si="67"/>
        <v>15</v>
      </c>
      <c r="AD131" s="637"/>
      <c r="AE131" s="575">
        <v>3</v>
      </c>
      <c r="AF131" s="577">
        <v>2348.8888888888832</v>
      </c>
      <c r="AG131" s="577">
        <v>782.96296296296111</v>
      </c>
      <c r="AH131" s="575">
        <f t="shared" si="69"/>
        <v>17</v>
      </c>
      <c r="AI131" s="637"/>
      <c r="AJ131" s="575">
        <v>3</v>
      </c>
      <c r="AK131" s="577">
        <v>2184.3749999999968</v>
      </c>
      <c r="AL131" s="577">
        <v>728.12499999999898</v>
      </c>
      <c r="AM131" s="575">
        <f t="shared" si="71"/>
        <v>17</v>
      </c>
      <c r="AN131" s="637"/>
      <c r="AO131" s="575">
        <v>3</v>
      </c>
      <c r="AP131" s="577">
        <v>2149.7142857142835</v>
      </c>
      <c r="AQ131" s="577">
        <v>716.57142857142787</v>
      </c>
      <c r="AR131" s="575">
        <f t="shared" si="73"/>
        <v>17</v>
      </c>
      <c r="AS131" s="637"/>
      <c r="AT131" s="575">
        <v>3</v>
      </c>
      <c r="AU131" s="577">
        <v>2179.9999999999973</v>
      </c>
      <c r="AV131" s="577">
        <v>726.66666666666572</v>
      </c>
      <c r="AW131" s="575">
        <f t="shared" si="75"/>
        <v>16</v>
      </c>
      <c r="AX131" s="637"/>
      <c r="AZ131" s="372" t="e">
        <f t="shared" si="77"/>
        <v>#N/A</v>
      </c>
      <c r="BA131" s="637"/>
    </row>
    <row r="132" spans="2:53">
      <c r="B132" s="647"/>
      <c r="C132" s="283">
        <v>21</v>
      </c>
      <c r="D132" s="518" t="s">
        <v>631</v>
      </c>
      <c r="E132" s="201">
        <v>4</v>
      </c>
      <c r="F132" s="201">
        <v>2200</v>
      </c>
      <c r="G132" s="517">
        <v>550</v>
      </c>
      <c r="H132" s="637"/>
      <c r="I132" s="363">
        <f t="shared" si="79"/>
        <v>4</v>
      </c>
      <c r="J132" s="363">
        <f t="shared" si="80"/>
        <v>2227.422517992703</v>
      </c>
      <c r="K132" s="199">
        <f t="shared" si="81"/>
        <v>556.85562949817574</v>
      </c>
      <c r="L132" s="657"/>
      <c r="M132" s="198">
        <f>RANK(K132, K$112:$K$141)</f>
        <v>22</v>
      </c>
      <c r="N132" s="641"/>
      <c r="O132" s="641"/>
      <c r="P132" s="575">
        <v>4</v>
      </c>
      <c r="Q132" s="577">
        <v>2042.000000000007</v>
      </c>
      <c r="R132" s="577">
        <v>510.50000000000176</v>
      </c>
      <c r="S132" s="575">
        <f t="shared" si="63"/>
        <v>21</v>
      </c>
      <c r="T132" s="637"/>
      <c r="U132" s="575">
        <v>4</v>
      </c>
      <c r="V132" s="577">
        <v>2435.0000000000086</v>
      </c>
      <c r="W132" s="577">
        <v>608.75000000000216</v>
      </c>
      <c r="X132" s="575">
        <f t="shared" si="65"/>
        <v>21</v>
      </c>
      <c r="Y132" s="637"/>
      <c r="Z132" s="575">
        <v>4</v>
      </c>
      <c r="AA132" s="577">
        <v>2363.4782608695568</v>
      </c>
      <c r="AB132" s="577">
        <v>590.86956521738921</v>
      </c>
      <c r="AC132" s="575">
        <f t="shared" si="67"/>
        <v>21</v>
      </c>
      <c r="AD132" s="637"/>
      <c r="AE132" s="575">
        <v>4</v>
      </c>
      <c r="AF132" s="577">
        <v>2382.8571428571331</v>
      </c>
      <c r="AG132" s="577">
        <v>595.71428571428328</v>
      </c>
      <c r="AH132" s="575">
        <f t="shared" si="69"/>
        <v>21</v>
      </c>
      <c r="AI132" s="637"/>
      <c r="AJ132" s="575">
        <v>4</v>
      </c>
      <c r="AK132" s="577">
        <v>2056.7999999999943</v>
      </c>
      <c r="AL132" s="577">
        <v>514.19999999999857</v>
      </c>
      <c r="AM132" s="575">
        <f t="shared" si="71"/>
        <v>21</v>
      </c>
      <c r="AN132" s="637"/>
      <c r="AO132" s="575">
        <v>4</v>
      </c>
      <c r="AP132" s="577">
        <v>2142.2222222222299</v>
      </c>
      <c r="AQ132" s="577">
        <v>535.55555555555748</v>
      </c>
      <c r="AR132" s="575">
        <f t="shared" si="73"/>
        <v>21</v>
      </c>
      <c r="AS132" s="637"/>
      <c r="AT132" s="575">
        <v>4</v>
      </c>
      <c r="AU132" s="577">
        <v>2169.599999999994</v>
      </c>
      <c r="AV132" s="577">
        <v>542.3999999999985</v>
      </c>
      <c r="AW132" s="575">
        <f t="shared" si="75"/>
        <v>21</v>
      </c>
      <c r="AX132" s="637"/>
      <c r="AZ132" s="372" t="e">
        <f t="shared" si="77"/>
        <v>#N/A</v>
      </c>
      <c r="BA132" s="637"/>
    </row>
    <row r="133" spans="2:53">
      <c r="B133" s="647"/>
      <c r="C133" s="283">
        <v>22</v>
      </c>
      <c r="D133" s="518" t="s">
        <v>634</v>
      </c>
      <c r="E133" s="201">
        <v>5</v>
      </c>
      <c r="F133" s="201">
        <v>2200</v>
      </c>
      <c r="G133" s="517">
        <v>333.33333333333331</v>
      </c>
      <c r="H133" s="637"/>
      <c r="I133" s="363">
        <f t="shared" si="79"/>
        <v>5</v>
      </c>
      <c r="J133" s="363">
        <f t="shared" si="80"/>
        <v>1993.9863945578302</v>
      </c>
      <c r="K133" s="199">
        <f t="shared" si="81"/>
        <v>398.79727891156602</v>
      </c>
      <c r="L133" s="657"/>
      <c r="M133" s="198">
        <f>RANK(K133, K$112:$K$141)</f>
        <v>23</v>
      </c>
      <c r="N133" s="641"/>
      <c r="O133" s="641"/>
      <c r="P133" s="575">
        <v>5</v>
      </c>
      <c r="Q133" s="577">
        <v>2033.3333333333403</v>
      </c>
      <c r="R133" s="577">
        <v>406.66666666666805</v>
      </c>
      <c r="S133" s="575">
        <f t="shared" si="63"/>
        <v>22</v>
      </c>
      <c r="T133" s="637"/>
      <c r="U133" s="575">
        <v>5</v>
      </c>
      <c r="V133" s="577">
        <v>1926.0000000000068</v>
      </c>
      <c r="W133" s="577">
        <v>385.20000000000135</v>
      </c>
      <c r="X133" s="575">
        <f t="shared" si="65"/>
        <v>22</v>
      </c>
      <c r="Y133" s="637"/>
      <c r="Z133" s="575">
        <v>5</v>
      </c>
      <c r="AA133" s="577">
        <v>2017.5000000000073</v>
      </c>
      <c r="AB133" s="577">
        <v>403.50000000000148</v>
      </c>
      <c r="AC133" s="575">
        <f t="shared" si="67"/>
        <v>22</v>
      </c>
      <c r="AD133" s="637"/>
      <c r="AE133" s="575">
        <v>5</v>
      </c>
      <c r="AF133" s="577">
        <v>1928.5714285714355</v>
      </c>
      <c r="AG133" s="577">
        <v>385.71428571428709</v>
      </c>
      <c r="AH133" s="575">
        <f t="shared" si="69"/>
        <v>23</v>
      </c>
      <c r="AI133" s="637"/>
      <c r="AJ133" s="575">
        <v>5</v>
      </c>
      <c r="AK133" s="577">
        <v>2040.0000000000073</v>
      </c>
      <c r="AL133" s="577">
        <v>408.00000000000148</v>
      </c>
      <c r="AM133" s="575">
        <f t="shared" si="71"/>
        <v>22</v>
      </c>
      <c r="AN133" s="637"/>
      <c r="AO133" s="575">
        <v>5</v>
      </c>
      <c r="AP133" s="577">
        <v>2085.0000000000073</v>
      </c>
      <c r="AQ133" s="577">
        <v>417.00000000000148</v>
      </c>
      <c r="AR133" s="575">
        <f t="shared" si="73"/>
        <v>22</v>
      </c>
      <c r="AS133" s="637"/>
      <c r="AT133" s="575">
        <v>5</v>
      </c>
      <c r="AU133" s="577">
        <v>1927.5000000000068</v>
      </c>
      <c r="AV133" s="577">
        <v>385.50000000000136</v>
      </c>
      <c r="AW133" s="575">
        <f t="shared" si="75"/>
        <v>23</v>
      </c>
      <c r="AX133" s="637"/>
      <c r="AZ133" s="372" t="e">
        <f t="shared" si="77"/>
        <v>#N/A</v>
      </c>
      <c r="BA133" s="637"/>
    </row>
    <row r="134" spans="2:53">
      <c r="B134" s="647"/>
      <c r="C134" s="283">
        <v>23</v>
      </c>
      <c r="D134" s="201" t="s">
        <v>635</v>
      </c>
      <c r="E134" s="201">
        <v>5</v>
      </c>
      <c r="F134" s="201">
        <v>2200</v>
      </c>
      <c r="G134" s="517">
        <v>333.33333333333331</v>
      </c>
      <c r="H134" s="637"/>
      <c r="I134" s="363">
        <f t="shared" si="79"/>
        <v>5</v>
      </c>
      <c r="J134" s="363">
        <f t="shared" si="80"/>
        <v>1866.7142857142924</v>
      </c>
      <c r="K134" s="199">
        <f t="shared" si="81"/>
        <v>373.34285714285846</v>
      </c>
      <c r="L134" s="657"/>
      <c r="M134" s="198">
        <f>RANK(K134, K$112:$K$141)</f>
        <v>24</v>
      </c>
      <c r="N134" s="641"/>
      <c r="O134" s="641"/>
      <c r="P134" s="575">
        <v>5</v>
      </c>
      <c r="Q134" s="577">
        <v>1760.0000000000064</v>
      </c>
      <c r="R134" s="577">
        <v>352.00000000000125</v>
      </c>
      <c r="S134" s="575">
        <f t="shared" si="63"/>
        <v>23</v>
      </c>
      <c r="T134" s="637"/>
      <c r="U134" s="575">
        <v>5</v>
      </c>
      <c r="V134" s="577">
        <v>1908.0000000000068</v>
      </c>
      <c r="W134" s="577">
        <v>381.60000000000139</v>
      </c>
      <c r="X134" s="575">
        <f t="shared" si="65"/>
        <v>23</v>
      </c>
      <c r="Y134" s="637"/>
      <c r="Z134" s="575">
        <v>5</v>
      </c>
      <c r="AA134" s="577">
        <v>1752.0000000000061</v>
      </c>
      <c r="AB134" s="577">
        <v>350.40000000000123</v>
      </c>
      <c r="AC134" s="575">
        <f t="shared" si="67"/>
        <v>23</v>
      </c>
      <c r="AD134" s="637"/>
      <c r="AE134" s="575">
        <v>5</v>
      </c>
      <c r="AF134" s="577">
        <v>1935.0000000000068</v>
      </c>
      <c r="AG134" s="577">
        <v>387.00000000000136</v>
      </c>
      <c r="AH134" s="575">
        <f t="shared" si="69"/>
        <v>22</v>
      </c>
      <c r="AI134" s="637"/>
      <c r="AJ134" s="575">
        <v>5</v>
      </c>
      <c r="AK134" s="577">
        <v>1830.0000000000064</v>
      </c>
      <c r="AL134" s="577">
        <v>366.00000000000125</v>
      </c>
      <c r="AM134" s="575">
        <f t="shared" si="71"/>
        <v>23</v>
      </c>
      <c r="AN134" s="637"/>
      <c r="AO134" s="575">
        <v>5</v>
      </c>
      <c r="AP134" s="577">
        <v>1812.0000000000064</v>
      </c>
      <c r="AQ134" s="577">
        <v>362.40000000000128</v>
      </c>
      <c r="AR134" s="575">
        <f t="shared" si="73"/>
        <v>23</v>
      </c>
      <c r="AS134" s="637"/>
      <c r="AT134" s="575">
        <v>5</v>
      </c>
      <c r="AU134" s="577">
        <v>2070.0000000000073</v>
      </c>
      <c r="AV134" s="577">
        <v>414.00000000000148</v>
      </c>
      <c r="AW134" s="575">
        <f t="shared" si="75"/>
        <v>22</v>
      </c>
      <c r="AX134" s="637"/>
      <c r="AZ134" s="372" t="e">
        <f t="shared" si="77"/>
        <v>#N/A</v>
      </c>
      <c r="BA134" s="637"/>
    </row>
    <row r="135" spans="2:53">
      <c r="B135" s="647"/>
      <c r="C135" s="283">
        <v>24</v>
      </c>
      <c r="D135" s="518" t="s">
        <v>594</v>
      </c>
      <c r="E135" s="201">
        <v>8</v>
      </c>
      <c r="F135" s="201">
        <v>1500</v>
      </c>
      <c r="G135" s="517">
        <v>187.5</v>
      </c>
      <c r="H135" s="637"/>
      <c r="I135" s="363">
        <f t="shared" si="79"/>
        <v>8.2857142857142865</v>
      </c>
      <c r="J135" s="363">
        <f t="shared" si="80"/>
        <v>1493.9115490009594</v>
      </c>
      <c r="K135" s="199">
        <f t="shared" si="81"/>
        <v>181.37032117614035</v>
      </c>
      <c r="L135" s="657"/>
      <c r="M135" s="198">
        <f>RANK(K135, K$112:$K$141)</f>
        <v>25</v>
      </c>
      <c r="N135" s="641"/>
      <c r="O135" s="641"/>
      <c r="P135" s="575">
        <v>8</v>
      </c>
      <c r="Q135" s="577">
        <v>1495.7894736842118</v>
      </c>
      <c r="R135" s="577">
        <v>186.97368421052647</v>
      </c>
      <c r="S135" s="575">
        <f t="shared" si="63"/>
        <v>24</v>
      </c>
      <c r="T135" s="637"/>
      <c r="U135" s="575">
        <v>8</v>
      </c>
      <c r="V135" s="577">
        <v>1516.6666666666677</v>
      </c>
      <c r="W135" s="577">
        <v>189.58333333333346</v>
      </c>
      <c r="X135" s="575">
        <f t="shared" si="65"/>
        <v>24</v>
      </c>
      <c r="Y135" s="637"/>
      <c r="Z135" s="575">
        <v>8</v>
      </c>
      <c r="AA135" s="577">
        <v>1496.6037735849063</v>
      </c>
      <c r="AB135" s="577">
        <v>187.07547169811329</v>
      </c>
      <c r="AC135" s="575">
        <f t="shared" si="67"/>
        <v>24</v>
      </c>
      <c r="AD135" s="637"/>
      <c r="AE135" s="575">
        <v>8</v>
      </c>
      <c r="AF135" s="577">
        <v>1498.7500000000005</v>
      </c>
      <c r="AG135" s="577">
        <v>187.34375000000006</v>
      </c>
      <c r="AH135" s="575">
        <f t="shared" si="69"/>
        <v>24</v>
      </c>
      <c r="AI135" s="637"/>
      <c r="AJ135" s="575">
        <v>8</v>
      </c>
      <c r="AK135" s="577">
        <v>1496.5384615384623</v>
      </c>
      <c r="AL135" s="577">
        <v>187.06730769230779</v>
      </c>
      <c r="AM135" s="575">
        <f t="shared" si="71"/>
        <v>24</v>
      </c>
      <c r="AN135" s="637"/>
      <c r="AO135" s="575">
        <v>10</v>
      </c>
      <c r="AP135" s="577">
        <v>1503.2142857142869</v>
      </c>
      <c r="AQ135" s="577">
        <v>150.3214285714287</v>
      </c>
      <c r="AR135" s="575">
        <f t="shared" si="73"/>
        <v>24</v>
      </c>
      <c r="AS135" s="637"/>
      <c r="AT135" s="575">
        <v>8</v>
      </c>
      <c r="AU135" s="577">
        <v>1449.8181818181827</v>
      </c>
      <c r="AV135" s="577">
        <v>181.22727272727283</v>
      </c>
      <c r="AW135" s="575">
        <f t="shared" si="75"/>
        <v>24</v>
      </c>
      <c r="AX135" s="637"/>
      <c r="AZ135" s="372" t="e">
        <f t="shared" si="77"/>
        <v>#N/A</v>
      </c>
      <c r="BA135" s="637"/>
    </row>
    <row r="136" spans="2:53">
      <c r="B136" s="647"/>
      <c r="C136" s="283">
        <v>25</v>
      </c>
      <c r="D136" s="201" t="s">
        <v>784</v>
      </c>
      <c r="E136" s="201">
        <v>4</v>
      </c>
      <c r="F136" s="201">
        <v>2800</v>
      </c>
      <c r="G136" s="517">
        <v>700</v>
      </c>
      <c r="H136" s="637"/>
      <c r="I136" s="363">
        <f t="shared" si="79"/>
        <v>4</v>
      </c>
      <c r="J136" s="363">
        <f t="shared" si="80"/>
        <v>2966.9230769230753</v>
      </c>
      <c r="K136" s="199">
        <f t="shared" si="81"/>
        <v>741.73076923076883</v>
      </c>
      <c r="L136" s="657"/>
      <c r="M136" s="198">
        <f>RANK(K136, K$112:$K$141)</f>
        <v>19</v>
      </c>
      <c r="N136" s="641"/>
      <c r="O136" s="641"/>
      <c r="P136" s="575" t="s">
        <v>585</v>
      </c>
      <c r="Q136" s="577" t="s">
        <v>585</v>
      </c>
      <c r="R136" s="577" t="s">
        <v>585</v>
      </c>
      <c r="S136" s="575" t="e">
        <f t="shared" si="63"/>
        <v>#VALUE!</v>
      </c>
      <c r="T136" s="637"/>
      <c r="U136" s="575" t="s">
        <v>585</v>
      </c>
      <c r="V136" s="577" t="s">
        <v>585</v>
      </c>
      <c r="W136" s="577" t="s">
        <v>585</v>
      </c>
      <c r="X136" s="575" t="e">
        <f t="shared" si="65"/>
        <v>#VALUE!</v>
      </c>
      <c r="Y136" s="637"/>
      <c r="Z136" s="575" t="s">
        <v>585</v>
      </c>
      <c r="AA136" s="577" t="s">
        <v>585</v>
      </c>
      <c r="AB136" s="577" t="s">
        <v>585</v>
      </c>
      <c r="AC136" s="575" t="e">
        <f t="shared" si="67"/>
        <v>#VALUE!</v>
      </c>
      <c r="AD136" s="637"/>
      <c r="AE136" s="575" t="s">
        <v>585</v>
      </c>
      <c r="AF136" s="577" t="s">
        <v>585</v>
      </c>
      <c r="AG136" s="577" t="s">
        <v>585</v>
      </c>
      <c r="AH136" s="575" t="e">
        <f t="shared" si="69"/>
        <v>#VALUE!</v>
      </c>
      <c r="AI136" s="637"/>
      <c r="AJ136" s="575" t="s">
        <v>585</v>
      </c>
      <c r="AK136" s="577" t="s">
        <v>585</v>
      </c>
      <c r="AL136" s="577" t="s">
        <v>585</v>
      </c>
      <c r="AM136" s="575" t="e">
        <f t="shared" si="71"/>
        <v>#VALUE!</v>
      </c>
      <c r="AN136" s="637"/>
      <c r="AO136" s="575" t="s">
        <v>585</v>
      </c>
      <c r="AP136" s="577" t="s">
        <v>585</v>
      </c>
      <c r="AQ136" s="577" t="s">
        <v>585</v>
      </c>
      <c r="AR136" s="575" t="e">
        <f t="shared" si="73"/>
        <v>#VALUE!</v>
      </c>
      <c r="AS136" s="637"/>
      <c r="AT136" s="575">
        <v>4</v>
      </c>
      <c r="AU136" s="577">
        <v>2966.9230769230753</v>
      </c>
      <c r="AV136" s="577">
        <v>741.73076923076883</v>
      </c>
      <c r="AW136" s="575">
        <f t="shared" si="75"/>
        <v>13</v>
      </c>
      <c r="AX136" s="637"/>
      <c r="AZ136" s="372" t="e">
        <f t="shared" si="77"/>
        <v>#N/A</v>
      </c>
      <c r="BA136" s="637"/>
    </row>
    <row r="137" spans="2:53">
      <c r="B137" s="647"/>
      <c r="C137" s="283">
        <v>26</v>
      </c>
      <c r="D137" s="201"/>
      <c r="E137" s="201"/>
      <c r="F137" s="201"/>
      <c r="G137" s="517"/>
      <c r="H137" s="637"/>
      <c r="I137" s="363" t="str">
        <f t="shared" si="79"/>
        <v>-</v>
      </c>
      <c r="J137" s="363" t="str">
        <f t="shared" si="80"/>
        <v>-</v>
      </c>
      <c r="K137" s="199" t="str">
        <f t="shared" si="81"/>
        <v>-</v>
      </c>
      <c r="L137" s="657"/>
      <c r="M137" s="198" t="e">
        <f>RANK(K137, K$112:$K$141)</f>
        <v>#VALUE!</v>
      </c>
      <c r="N137" s="641"/>
      <c r="O137" s="641"/>
      <c r="P137" s="575"/>
      <c r="Q137" s="577"/>
      <c r="R137" s="577"/>
      <c r="S137" s="575" t="e">
        <f t="shared" si="63"/>
        <v>#N/A</v>
      </c>
      <c r="T137" s="637"/>
      <c r="U137" s="575"/>
      <c r="V137" s="577"/>
      <c r="W137" s="577"/>
      <c r="X137" s="575" t="e">
        <f t="shared" si="65"/>
        <v>#N/A</v>
      </c>
      <c r="Y137" s="637"/>
      <c r="Z137" s="575"/>
      <c r="AA137" s="577"/>
      <c r="AB137" s="577"/>
      <c r="AC137" s="575" t="e">
        <f t="shared" si="67"/>
        <v>#N/A</v>
      </c>
      <c r="AD137" s="637"/>
      <c r="AE137" s="575"/>
      <c r="AF137" s="577"/>
      <c r="AG137" s="577"/>
      <c r="AH137" s="575" t="e">
        <f t="shared" si="69"/>
        <v>#N/A</v>
      </c>
      <c r="AI137" s="637"/>
      <c r="AJ137" s="575"/>
      <c r="AK137" s="577"/>
      <c r="AL137" s="577"/>
      <c r="AM137" s="575" t="e">
        <f t="shared" si="71"/>
        <v>#N/A</v>
      </c>
      <c r="AN137" s="637"/>
      <c r="AO137" s="575"/>
      <c r="AP137" s="577"/>
      <c r="AQ137" s="577"/>
      <c r="AR137" s="575" t="e">
        <f t="shared" si="73"/>
        <v>#N/A</v>
      </c>
      <c r="AS137" s="637"/>
      <c r="AT137" s="575"/>
      <c r="AU137" s="577"/>
      <c r="AV137" s="577"/>
      <c r="AW137" s="575" t="e">
        <f t="shared" si="75"/>
        <v>#N/A</v>
      </c>
      <c r="AX137" s="637"/>
      <c r="AZ137" s="372" t="e">
        <f t="shared" si="77"/>
        <v>#N/A</v>
      </c>
      <c r="BA137" s="637"/>
    </row>
    <row r="138" spans="2:53">
      <c r="B138" s="647"/>
      <c r="C138" s="283">
        <v>27</v>
      </c>
      <c r="D138" s="201"/>
      <c r="E138" s="201"/>
      <c r="F138" s="201"/>
      <c r="G138" s="517"/>
      <c r="H138" s="637"/>
      <c r="I138" s="363" t="str">
        <f t="shared" si="79"/>
        <v>-</v>
      </c>
      <c r="J138" s="363" t="str">
        <f t="shared" si="80"/>
        <v>-</v>
      </c>
      <c r="K138" s="199" t="str">
        <f t="shared" si="81"/>
        <v>-</v>
      </c>
      <c r="L138" s="657"/>
      <c r="M138" s="198" t="e">
        <f>RANK(K138, K$112:$K$141)</f>
        <v>#VALUE!</v>
      </c>
      <c r="N138" s="641"/>
      <c r="O138" s="641"/>
      <c r="P138" s="575"/>
      <c r="Q138" s="577"/>
      <c r="R138" s="577"/>
      <c r="S138" s="575" t="e">
        <f t="shared" si="63"/>
        <v>#N/A</v>
      </c>
      <c r="T138" s="637"/>
      <c r="U138" s="575"/>
      <c r="V138" s="577"/>
      <c r="W138" s="577"/>
      <c r="X138" s="575" t="e">
        <f t="shared" si="65"/>
        <v>#N/A</v>
      </c>
      <c r="Y138" s="637"/>
      <c r="Z138" s="575"/>
      <c r="AA138" s="577"/>
      <c r="AB138" s="577"/>
      <c r="AC138" s="575" t="e">
        <f t="shared" si="67"/>
        <v>#N/A</v>
      </c>
      <c r="AD138" s="637"/>
      <c r="AE138" s="575"/>
      <c r="AF138" s="577"/>
      <c r="AG138" s="577"/>
      <c r="AH138" s="575" t="e">
        <f t="shared" si="69"/>
        <v>#N/A</v>
      </c>
      <c r="AI138" s="637"/>
      <c r="AJ138" s="575"/>
      <c r="AK138" s="577"/>
      <c r="AL138" s="577"/>
      <c r="AM138" s="575" t="e">
        <f t="shared" si="71"/>
        <v>#N/A</v>
      </c>
      <c r="AN138" s="637"/>
      <c r="AO138" s="575"/>
      <c r="AP138" s="577"/>
      <c r="AQ138" s="577"/>
      <c r="AR138" s="575" t="e">
        <f t="shared" si="73"/>
        <v>#N/A</v>
      </c>
      <c r="AS138" s="637"/>
      <c r="AT138" s="575"/>
      <c r="AU138" s="577"/>
      <c r="AV138" s="577"/>
      <c r="AW138" s="575" t="e">
        <f t="shared" si="75"/>
        <v>#N/A</v>
      </c>
      <c r="AX138" s="637"/>
      <c r="AZ138" s="372" t="e">
        <f t="shared" si="77"/>
        <v>#N/A</v>
      </c>
      <c r="BA138" s="637"/>
    </row>
    <row r="139" spans="2:53">
      <c r="B139" s="647"/>
      <c r="C139" s="283">
        <v>28</v>
      </c>
      <c r="D139" s="201"/>
      <c r="E139" s="201"/>
      <c r="F139" s="201"/>
      <c r="G139" s="201"/>
      <c r="H139" s="637"/>
      <c r="I139" s="363" t="str">
        <f t="shared" si="79"/>
        <v>-</v>
      </c>
      <c r="J139" s="363" t="str">
        <f t="shared" si="80"/>
        <v>-</v>
      </c>
      <c r="K139" s="199" t="str">
        <f t="shared" si="81"/>
        <v>-</v>
      </c>
      <c r="L139" s="657"/>
      <c r="M139" s="198" t="e">
        <f>RANK(K139, K$112:$K$141)</f>
        <v>#VALUE!</v>
      </c>
      <c r="N139" s="641"/>
      <c r="O139" s="641"/>
      <c r="P139" s="575"/>
      <c r="Q139" s="577"/>
      <c r="R139" s="577"/>
      <c r="S139" s="575" t="e">
        <f t="shared" si="63"/>
        <v>#N/A</v>
      </c>
      <c r="T139" s="637"/>
      <c r="U139" s="575"/>
      <c r="V139" s="577"/>
      <c r="W139" s="577"/>
      <c r="X139" s="575" t="e">
        <f t="shared" si="65"/>
        <v>#N/A</v>
      </c>
      <c r="Y139" s="637"/>
      <c r="Z139" s="575"/>
      <c r="AA139" s="577"/>
      <c r="AB139" s="577"/>
      <c r="AC139" s="575" t="e">
        <f t="shared" si="67"/>
        <v>#N/A</v>
      </c>
      <c r="AD139" s="637"/>
      <c r="AE139" s="575"/>
      <c r="AF139" s="577"/>
      <c r="AG139" s="577"/>
      <c r="AH139" s="575" t="e">
        <f t="shared" si="69"/>
        <v>#N/A</v>
      </c>
      <c r="AI139" s="637"/>
      <c r="AJ139" s="575"/>
      <c r="AK139" s="577"/>
      <c r="AL139" s="577"/>
      <c r="AM139" s="575" t="e">
        <f t="shared" si="71"/>
        <v>#N/A</v>
      </c>
      <c r="AN139" s="637"/>
      <c r="AO139" s="575"/>
      <c r="AP139" s="577"/>
      <c r="AQ139" s="577"/>
      <c r="AR139" s="575" t="e">
        <f t="shared" si="73"/>
        <v>#N/A</v>
      </c>
      <c r="AS139" s="637"/>
      <c r="AT139" s="575"/>
      <c r="AU139" s="577"/>
      <c r="AV139" s="577"/>
      <c r="AW139" s="575" t="e">
        <f t="shared" si="75"/>
        <v>#N/A</v>
      </c>
      <c r="AX139" s="637"/>
      <c r="AZ139" s="372" t="e">
        <f t="shared" si="77"/>
        <v>#N/A</v>
      </c>
      <c r="BA139" s="637"/>
    </row>
    <row r="140" spans="2:53">
      <c r="B140" s="647"/>
      <c r="C140" s="283">
        <v>29</v>
      </c>
      <c r="D140" s="201"/>
      <c r="E140" s="201"/>
      <c r="F140" s="201"/>
      <c r="G140" s="201"/>
      <c r="H140" s="637"/>
      <c r="I140" s="363" t="str">
        <f t="shared" si="79"/>
        <v>-</v>
      </c>
      <c r="J140" s="363" t="str">
        <f t="shared" si="80"/>
        <v>-</v>
      </c>
      <c r="K140" s="199" t="str">
        <f t="shared" si="81"/>
        <v>-</v>
      </c>
      <c r="L140" s="657"/>
      <c r="M140" s="198" t="e">
        <f>RANK(K140, K$112:$K$141)</f>
        <v>#VALUE!</v>
      </c>
      <c r="N140" s="641"/>
      <c r="O140" s="641"/>
      <c r="P140" s="575"/>
      <c r="Q140" s="577"/>
      <c r="R140" s="577"/>
      <c r="S140" s="575" t="e">
        <f t="shared" si="63"/>
        <v>#N/A</v>
      </c>
      <c r="T140" s="637"/>
      <c r="U140" s="575"/>
      <c r="V140" s="577"/>
      <c r="W140" s="577"/>
      <c r="X140" s="575" t="e">
        <f t="shared" si="65"/>
        <v>#N/A</v>
      </c>
      <c r="Y140" s="637"/>
      <c r="Z140" s="575"/>
      <c r="AA140" s="577"/>
      <c r="AB140" s="577"/>
      <c r="AC140" s="575" t="e">
        <f t="shared" si="67"/>
        <v>#N/A</v>
      </c>
      <c r="AD140" s="637"/>
      <c r="AE140" s="575"/>
      <c r="AF140" s="577"/>
      <c r="AG140" s="577"/>
      <c r="AH140" s="575" t="e">
        <f t="shared" si="69"/>
        <v>#N/A</v>
      </c>
      <c r="AI140" s="637"/>
      <c r="AJ140" s="575"/>
      <c r="AK140" s="577"/>
      <c r="AL140" s="577"/>
      <c r="AM140" s="575" t="e">
        <f t="shared" si="71"/>
        <v>#N/A</v>
      </c>
      <c r="AN140" s="637"/>
      <c r="AO140" s="575"/>
      <c r="AP140" s="577"/>
      <c r="AQ140" s="577"/>
      <c r="AR140" s="575" t="e">
        <f t="shared" si="73"/>
        <v>#N/A</v>
      </c>
      <c r="AS140" s="637"/>
      <c r="AT140" s="575"/>
      <c r="AU140" s="577"/>
      <c r="AV140" s="577"/>
      <c r="AW140" s="575" t="e">
        <f t="shared" si="75"/>
        <v>#N/A</v>
      </c>
      <c r="AX140" s="637"/>
      <c r="AZ140" s="372" t="e">
        <f t="shared" si="77"/>
        <v>#N/A</v>
      </c>
      <c r="BA140" s="637"/>
    </row>
    <row r="141" spans="2:53">
      <c r="B141" s="647"/>
      <c r="C141" s="283">
        <v>30</v>
      </c>
      <c r="D141" s="201"/>
      <c r="E141" s="201"/>
      <c r="F141" s="201"/>
      <c r="G141" s="201"/>
      <c r="H141" s="638"/>
      <c r="I141" s="363" t="str">
        <f t="shared" si="79"/>
        <v>-</v>
      </c>
      <c r="J141" s="363" t="str">
        <f t="shared" si="80"/>
        <v>-</v>
      </c>
      <c r="K141" s="199" t="str">
        <f t="shared" si="81"/>
        <v>-</v>
      </c>
      <c r="L141" s="658"/>
      <c r="M141" s="198" t="e">
        <f>RANK(K141, K$112:$K$141)</f>
        <v>#VALUE!</v>
      </c>
      <c r="N141" s="641"/>
      <c r="O141" s="641"/>
      <c r="P141" s="575"/>
      <c r="Q141" s="577"/>
      <c r="R141" s="577"/>
      <c r="S141" s="575" t="e">
        <f t="shared" si="63"/>
        <v>#N/A</v>
      </c>
      <c r="T141" s="638"/>
      <c r="U141" s="575"/>
      <c r="V141" s="577"/>
      <c r="W141" s="577"/>
      <c r="X141" s="575" t="e">
        <f t="shared" si="65"/>
        <v>#N/A</v>
      </c>
      <c r="Y141" s="638"/>
      <c r="Z141" s="575"/>
      <c r="AA141" s="577"/>
      <c r="AB141" s="577"/>
      <c r="AC141" s="575" t="e">
        <f t="shared" si="67"/>
        <v>#N/A</v>
      </c>
      <c r="AD141" s="638"/>
      <c r="AE141" s="575"/>
      <c r="AF141" s="577"/>
      <c r="AG141" s="577"/>
      <c r="AH141" s="575" t="e">
        <f t="shared" si="69"/>
        <v>#N/A</v>
      </c>
      <c r="AI141" s="638"/>
      <c r="AJ141" s="575"/>
      <c r="AK141" s="577"/>
      <c r="AL141" s="577"/>
      <c r="AM141" s="575" t="e">
        <f t="shared" si="71"/>
        <v>#N/A</v>
      </c>
      <c r="AN141" s="638"/>
      <c r="AO141" s="575"/>
      <c r="AP141" s="577"/>
      <c r="AQ141" s="577"/>
      <c r="AR141" s="575" t="e">
        <f t="shared" si="73"/>
        <v>#N/A</v>
      </c>
      <c r="AS141" s="638"/>
      <c r="AT141" s="575"/>
      <c r="AU141" s="577"/>
      <c r="AV141" s="577"/>
      <c r="AW141" s="575" t="e">
        <f t="shared" si="75"/>
        <v>#N/A</v>
      </c>
      <c r="AX141" s="638"/>
      <c r="AZ141" s="372" t="e">
        <f t="shared" si="77"/>
        <v>#N/A</v>
      </c>
      <c r="BA141" s="638"/>
    </row>
    <row r="142" spans="2:53" ht="15.75">
      <c r="B142" s="669" t="s">
        <v>162</v>
      </c>
      <c r="C142" s="670"/>
      <c r="D142" s="670"/>
      <c r="E142" s="670"/>
      <c r="F142" s="670"/>
      <c r="G142" s="670"/>
      <c r="H142" s="671"/>
      <c r="I142" s="207"/>
      <c r="J142" s="207"/>
      <c r="K142" s="207"/>
      <c r="L142" s="207"/>
      <c r="M142" s="206"/>
      <c r="N142" s="643" t="s">
        <v>156</v>
      </c>
      <c r="O142" s="643" t="s">
        <v>155</v>
      </c>
      <c r="P142" s="668">
        <f>P107+7</f>
        <v>46259</v>
      </c>
      <c r="Q142" s="647"/>
      <c r="R142" s="647"/>
      <c r="S142" s="647"/>
      <c r="T142" s="647"/>
      <c r="U142" s="665">
        <f>P142+1</f>
        <v>46260</v>
      </c>
      <c r="V142" s="666"/>
      <c r="W142" s="666"/>
      <c r="X142" s="666"/>
      <c r="Y142" s="667"/>
      <c r="Z142" s="665">
        <f>U142+1</f>
        <v>46261</v>
      </c>
      <c r="AA142" s="666"/>
      <c r="AB142" s="666"/>
      <c r="AC142" s="666"/>
      <c r="AD142" s="667"/>
      <c r="AE142" s="665">
        <f>Z142+1</f>
        <v>46262</v>
      </c>
      <c r="AF142" s="666"/>
      <c r="AG142" s="666"/>
      <c r="AH142" s="666"/>
      <c r="AI142" s="667"/>
      <c r="AJ142" s="665">
        <f>AE142+1</f>
        <v>46263</v>
      </c>
      <c r="AK142" s="666"/>
      <c r="AL142" s="666"/>
      <c r="AM142" s="666"/>
      <c r="AN142" s="667"/>
      <c r="AO142" s="665">
        <f>AJ142+1</f>
        <v>46264</v>
      </c>
      <c r="AP142" s="666"/>
      <c r="AQ142" s="666"/>
      <c r="AR142" s="666"/>
      <c r="AS142" s="667"/>
      <c r="AT142" s="665">
        <f>AO142+1</f>
        <v>46265</v>
      </c>
      <c r="AU142" s="666"/>
      <c r="AV142" s="666"/>
      <c r="AW142" s="666"/>
      <c r="AX142" s="667"/>
    </row>
    <row r="143" spans="2:53" ht="15.75">
      <c r="B143" s="672"/>
      <c r="C143" s="672"/>
      <c r="D143" s="672"/>
      <c r="E143" s="672"/>
      <c r="F143" s="672"/>
      <c r="G143" s="672"/>
      <c r="H143" s="672"/>
      <c r="I143" s="204"/>
      <c r="J143" s="204"/>
      <c r="K143" s="204"/>
      <c r="L143" s="204"/>
      <c r="M143" s="205"/>
      <c r="N143" s="645"/>
      <c r="O143" s="645"/>
      <c r="P143" s="668" t="s">
        <v>317</v>
      </c>
      <c r="Q143" s="647"/>
      <c r="R143" s="647"/>
      <c r="S143" s="647"/>
      <c r="T143" s="647"/>
      <c r="U143" s="668" t="s">
        <v>318</v>
      </c>
      <c r="V143" s="647"/>
      <c r="W143" s="647"/>
      <c r="X143" s="647"/>
      <c r="Y143" s="647"/>
      <c r="Z143" s="668" t="s">
        <v>319</v>
      </c>
      <c r="AA143" s="647"/>
      <c r="AB143" s="647"/>
      <c r="AC143" s="647"/>
      <c r="AD143" s="647"/>
      <c r="AE143" s="668" t="s">
        <v>320</v>
      </c>
      <c r="AF143" s="647"/>
      <c r="AG143" s="647"/>
      <c r="AH143" s="647"/>
      <c r="AI143" s="647"/>
      <c r="AJ143" s="668" t="s">
        <v>321</v>
      </c>
      <c r="AK143" s="647"/>
      <c r="AL143" s="647"/>
      <c r="AM143" s="647"/>
      <c r="AN143" s="647"/>
      <c r="AO143" s="668" t="s">
        <v>322</v>
      </c>
      <c r="AP143" s="647"/>
      <c r="AQ143" s="647"/>
      <c r="AR143" s="647"/>
      <c r="AS143" s="647"/>
      <c r="AT143" s="668" t="s">
        <v>323</v>
      </c>
      <c r="AU143" s="647"/>
      <c r="AV143" s="647"/>
      <c r="AW143" s="647"/>
      <c r="AX143" s="647"/>
    </row>
    <row r="144" spans="2:53">
      <c r="B144" s="641" t="s">
        <v>389</v>
      </c>
      <c r="C144" s="641" t="s">
        <v>390</v>
      </c>
      <c r="D144" s="641"/>
      <c r="E144" s="641" t="s">
        <v>391</v>
      </c>
      <c r="F144" s="641"/>
      <c r="G144" s="641"/>
      <c r="H144" s="673" t="s">
        <v>392</v>
      </c>
      <c r="I144" s="688" t="s">
        <v>393</v>
      </c>
      <c r="J144" s="688"/>
      <c r="K144" s="688"/>
      <c r="L144" s="689" t="s">
        <v>392</v>
      </c>
      <c r="M144" s="677" t="s">
        <v>394</v>
      </c>
      <c r="N144" s="641"/>
      <c r="O144" s="641" t="s">
        <v>395</v>
      </c>
      <c r="P144" s="659" t="s">
        <v>396</v>
      </c>
      <c r="Q144" s="660"/>
      <c r="R144" s="660"/>
      <c r="S144" s="661"/>
      <c r="T144" s="641" t="s">
        <v>392</v>
      </c>
      <c r="U144" s="659" t="s">
        <v>396</v>
      </c>
      <c r="V144" s="660"/>
      <c r="W144" s="660"/>
      <c r="X144" s="661"/>
      <c r="Y144" s="641" t="s">
        <v>392</v>
      </c>
      <c r="Z144" s="659" t="s">
        <v>396</v>
      </c>
      <c r="AA144" s="660"/>
      <c r="AB144" s="660"/>
      <c r="AC144" s="661"/>
      <c r="AD144" s="641" t="s">
        <v>392</v>
      </c>
      <c r="AE144" s="659" t="s">
        <v>396</v>
      </c>
      <c r="AF144" s="660"/>
      <c r="AG144" s="660"/>
      <c r="AH144" s="661"/>
      <c r="AI144" s="641" t="s">
        <v>392</v>
      </c>
      <c r="AJ144" s="659" t="s">
        <v>396</v>
      </c>
      <c r="AK144" s="660"/>
      <c r="AL144" s="660"/>
      <c r="AM144" s="661"/>
      <c r="AN144" s="641" t="s">
        <v>392</v>
      </c>
      <c r="AO144" s="659" t="s">
        <v>396</v>
      </c>
      <c r="AP144" s="660"/>
      <c r="AQ144" s="660"/>
      <c r="AR144" s="661"/>
      <c r="AS144" s="641" t="s">
        <v>392</v>
      </c>
      <c r="AT144" s="659" t="s">
        <v>396</v>
      </c>
      <c r="AU144" s="660"/>
      <c r="AV144" s="660"/>
      <c r="AW144" s="661"/>
      <c r="AX144" s="641" t="s">
        <v>392</v>
      </c>
      <c r="BA144" s="641" t="s">
        <v>366</v>
      </c>
    </row>
    <row r="145" spans="2:53">
      <c r="B145" s="641"/>
      <c r="C145" s="641"/>
      <c r="D145" s="641"/>
      <c r="E145" s="641" t="s">
        <v>397</v>
      </c>
      <c r="F145" s="641"/>
      <c r="G145" s="641"/>
      <c r="H145" s="674"/>
      <c r="I145" s="688" t="s">
        <v>397</v>
      </c>
      <c r="J145" s="688"/>
      <c r="K145" s="688"/>
      <c r="L145" s="690"/>
      <c r="M145" s="678"/>
      <c r="N145" s="641"/>
      <c r="O145" s="641"/>
      <c r="P145" s="659" t="s">
        <v>398</v>
      </c>
      <c r="Q145" s="660"/>
      <c r="R145" s="660"/>
      <c r="S145" s="661"/>
      <c r="T145" s="641"/>
      <c r="U145" s="659" t="s">
        <v>398</v>
      </c>
      <c r="V145" s="660"/>
      <c r="W145" s="660"/>
      <c r="X145" s="661"/>
      <c r="Y145" s="641"/>
      <c r="Z145" s="659" t="s">
        <v>398</v>
      </c>
      <c r="AA145" s="660"/>
      <c r="AB145" s="660"/>
      <c r="AC145" s="661"/>
      <c r="AD145" s="641"/>
      <c r="AE145" s="659" t="s">
        <v>398</v>
      </c>
      <c r="AF145" s="660"/>
      <c r="AG145" s="660"/>
      <c r="AH145" s="661"/>
      <c r="AI145" s="641"/>
      <c r="AJ145" s="659" t="s">
        <v>398</v>
      </c>
      <c r="AK145" s="660"/>
      <c r="AL145" s="660"/>
      <c r="AM145" s="661"/>
      <c r="AN145" s="641"/>
      <c r="AO145" s="659" t="s">
        <v>398</v>
      </c>
      <c r="AP145" s="660"/>
      <c r="AQ145" s="660"/>
      <c r="AR145" s="661"/>
      <c r="AS145" s="641"/>
      <c r="AT145" s="659" t="s">
        <v>398</v>
      </c>
      <c r="AU145" s="660"/>
      <c r="AV145" s="660"/>
      <c r="AW145" s="661"/>
      <c r="AX145" s="641"/>
      <c r="BA145" s="641"/>
    </row>
    <row r="146" spans="2:53">
      <c r="B146" s="641"/>
      <c r="C146" s="641"/>
      <c r="D146" s="641"/>
      <c r="E146" s="276" t="s">
        <v>399</v>
      </c>
      <c r="F146" s="276" t="s">
        <v>400</v>
      </c>
      <c r="G146" s="276" t="s">
        <v>401</v>
      </c>
      <c r="H146" s="675"/>
      <c r="I146" s="277" t="s">
        <v>399</v>
      </c>
      <c r="J146" s="277" t="s">
        <v>400</v>
      </c>
      <c r="K146" s="277" t="s">
        <v>401</v>
      </c>
      <c r="L146" s="691"/>
      <c r="M146" s="679"/>
      <c r="N146" s="641"/>
      <c r="O146" s="641"/>
      <c r="P146" s="276" t="s">
        <v>399</v>
      </c>
      <c r="Q146" s="276" t="s">
        <v>400</v>
      </c>
      <c r="R146" s="276" t="s">
        <v>401</v>
      </c>
      <c r="S146" s="276" t="s">
        <v>394</v>
      </c>
      <c r="T146" s="641"/>
      <c r="U146" s="276" t="s">
        <v>399</v>
      </c>
      <c r="V146" s="276" t="s">
        <v>400</v>
      </c>
      <c r="W146" s="276" t="s">
        <v>401</v>
      </c>
      <c r="X146" s="276" t="s">
        <v>394</v>
      </c>
      <c r="Y146" s="641"/>
      <c r="Z146" s="276" t="s">
        <v>399</v>
      </c>
      <c r="AA146" s="276" t="s">
        <v>400</v>
      </c>
      <c r="AB146" s="276" t="s">
        <v>401</v>
      </c>
      <c r="AC146" s="276" t="s">
        <v>394</v>
      </c>
      <c r="AD146" s="641"/>
      <c r="AE146" s="276" t="s">
        <v>399</v>
      </c>
      <c r="AF146" s="276" t="s">
        <v>400</v>
      </c>
      <c r="AG146" s="276" t="s">
        <v>401</v>
      </c>
      <c r="AH146" s="276" t="s">
        <v>394</v>
      </c>
      <c r="AI146" s="641"/>
      <c r="AJ146" s="276" t="s">
        <v>399</v>
      </c>
      <c r="AK146" s="276" t="s">
        <v>400</v>
      </c>
      <c r="AL146" s="276" t="s">
        <v>401</v>
      </c>
      <c r="AM146" s="276" t="s">
        <v>394</v>
      </c>
      <c r="AN146" s="641"/>
      <c r="AO146" s="276" t="s">
        <v>399</v>
      </c>
      <c r="AP146" s="276" t="s">
        <v>400</v>
      </c>
      <c r="AQ146" s="276" t="s">
        <v>401</v>
      </c>
      <c r="AR146" s="276" t="s">
        <v>394</v>
      </c>
      <c r="AS146" s="641"/>
      <c r="AT146" s="276" t="s">
        <v>399</v>
      </c>
      <c r="AU146" s="276" t="s">
        <v>400</v>
      </c>
      <c r="AV146" s="276" t="s">
        <v>401</v>
      </c>
      <c r="AW146" s="276" t="s">
        <v>394</v>
      </c>
      <c r="AX146" s="641"/>
      <c r="AZ146" s="373" t="s">
        <v>367</v>
      </c>
      <c r="BA146" s="641"/>
    </row>
    <row r="147" spans="2:53">
      <c r="B147" s="647" t="s">
        <v>150</v>
      </c>
      <c r="C147" s="275">
        <v>1</v>
      </c>
      <c r="D147" s="201"/>
      <c r="E147" s="201"/>
      <c r="F147" s="201"/>
      <c r="G147" s="517"/>
      <c r="H147" s="636" t="e">
        <f>AVERAGE(G147:G176)</f>
        <v>#DIV/0!</v>
      </c>
      <c r="I147" s="363" t="str">
        <f>IFERROR(AVERAGE(P147,U147,Z147,AE147,AJ147,AO147,AT147),"-")</f>
        <v>-</v>
      </c>
      <c r="J147" s="363" t="str">
        <f>IFERROR(AVERAGE(Q147,V147,AA147,AF147,AK147,AP147,AU147),"-")</f>
        <v>-</v>
      </c>
      <c r="K147" s="199" t="str">
        <f>IFERROR(AVERAGE(R147,W147,AB147,AG147,AL147,AQ147,AV147),"-")</f>
        <v>-</v>
      </c>
      <c r="L147" s="656" t="str">
        <f>IFERROR(AVERAGE(K147:K176),"-")</f>
        <v>-</v>
      </c>
      <c r="M147" s="198" t="e">
        <f>RANK(K147, K$147:$K$176)</f>
        <v>#VALUE!</v>
      </c>
      <c r="N147" s="641"/>
      <c r="O147" s="641"/>
      <c r="P147" s="424"/>
      <c r="Q147" s="384"/>
      <c r="R147" s="384"/>
      <c r="S147" s="529"/>
      <c r="T147" s="636"/>
      <c r="U147" s="424"/>
      <c r="V147" s="384"/>
      <c r="W147" s="384"/>
      <c r="X147" s="529"/>
      <c r="Y147" s="636"/>
      <c r="Z147" s="424"/>
      <c r="AA147" s="384"/>
      <c r="AB147" s="384"/>
      <c r="AC147" s="529"/>
      <c r="AD147" s="636"/>
      <c r="AE147" s="424"/>
      <c r="AF147" s="384"/>
      <c r="AG147" s="384"/>
      <c r="AH147" s="529"/>
      <c r="AI147" s="636"/>
      <c r="AJ147" s="424"/>
      <c r="AK147" s="384"/>
      <c r="AL147" s="384"/>
      <c r="AM147" s="529"/>
      <c r="AN147" s="636"/>
      <c r="AO147" s="424"/>
      <c r="AP147" s="384"/>
      <c r="AQ147" s="384"/>
      <c r="AR147" s="529"/>
      <c r="AS147" s="636"/>
      <c r="AT147" s="424"/>
      <c r="AU147" s="384"/>
      <c r="AV147" s="384"/>
      <c r="AW147" s="529"/>
      <c r="AX147" s="636"/>
      <c r="AZ147" s="372" t="e">
        <f t="shared" ref="AZ147:AZ176" si="82">RANK(AY147, AY$147:AY$176)</f>
        <v>#N/A</v>
      </c>
      <c r="BA147" s="636" t="e">
        <f t="shared" ref="BA147" si="83">AVERAGE(AY147:AY176)</f>
        <v>#DIV/0!</v>
      </c>
    </row>
    <row r="148" spans="2:53">
      <c r="B148" s="647"/>
      <c r="C148" s="275">
        <v>2</v>
      </c>
      <c r="D148" s="518"/>
      <c r="E148" s="201"/>
      <c r="F148" s="201"/>
      <c r="G148" s="517"/>
      <c r="H148" s="637"/>
      <c r="I148" s="363" t="str">
        <f t="shared" ref="I148:I176" si="84">IFERROR(AVERAGE(P148,U148,Z148,AE148,AJ148,AO148,AT148),"-")</f>
        <v>-</v>
      </c>
      <c r="J148" s="363" t="str">
        <f t="shared" ref="J148:J176" si="85">IFERROR(AVERAGE(Q148,V148,AA148,AF148,AK148,AP148,AU148),"-")</f>
        <v>-</v>
      </c>
      <c r="K148" s="199" t="str">
        <f t="shared" ref="K148:K176" si="86">IFERROR(AVERAGE(R148,W148,AB148,AG148,AL148,AQ148,AV148),"-")</f>
        <v>-</v>
      </c>
      <c r="L148" s="657"/>
      <c r="M148" s="198" t="e">
        <f>RANK(K148, K$147:$K$176)</f>
        <v>#VALUE!</v>
      </c>
      <c r="N148" s="641"/>
      <c r="O148" s="641"/>
      <c r="P148" s="424"/>
      <c r="Q148" s="384"/>
      <c r="R148" s="384"/>
      <c r="S148" s="529"/>
      <c r="T148" s="637"/>
      <c r="U148" s="424"/>
      <c r="V148" s="384"/>
      <c r="W148" s="384"/>
      <c r="X148" s="529"/>
      <c r="Y148" s="637"/>
      <c r="Z148" s="424"/>
      <c r="AA148" s="384"/>
      <c r="AB148" s="384"/>
      <c r="AC148" s="529"/>
      <c r="AD148" s="637"/>
      <c r="AE148" s="424"/>
      <c r="AF148" s="384"/>
      <c r="AG148" s="384"/>
      <c r="AH148" s="529"/>
      <c r="AI148" s="637"/>
      <c r="AJ148" s="424"/>
      <c r="AK148" s="384"/>
      <c r="AL148" s="384"/>
      <c r="AM148" s="529"/>
      <c r="AN148" s="637"/>
      <c r="AO148" s="424"/>
      <c r="AP148" s="384"/>
      <c r="AQ148" s="384"/>
      <c r="AR148" s="529"/>
      <c r="AS148" s="637"/>
      <c r="AT148" s="424"/>
      <c r="AU148" s="384"/>
      <c r="AV148" s="384"/>
      <c r="AW148" s="529"/>
      <c r="AX148" s="637"/>
      <c r="AZ148" s="372" t="e">
        <f t="shared" si="82"/>
        <v>#N/A</v>
      </c>
      <c r="BA148" s="637"/>
    </row>
    <row r="149" spans="2:53">
      <c r="B149" s="647"/>
      <c r="C149" s="275">
        <v>3</v>
      </c>
      <c r="D149" s="201"/>
      <c r="E149" s="201"/>
      <c r="F149" s="201"/>
      <c r="G149" s="517"/>
      <c r="H149" s="637"/>
      <c r="I149" s="363" t="str">
        <f t="shared" si="84"/>
        <v>-</v>
      </c>
      <c r="J149" s="363" t="str">
        <f t="shared" si="85"/>
        <v>-</v>
      </c>
      <c r="K149" s="199" t="str">
        <f t="shared" si="86"/>
        <v>-</v>
      </c>
      <c r="L149" s="657"/>
      <c r="M149" s="198" t="e">
        <f>RANK(K149, K$147:$K$176)</f>
        <v>#VALUE!</v>
      </c>
      <c r="N149" s="641"/>
      <c r="O149" s="641"/>
      <c r="P149" s="424"/>
      <c r="Q149" s="384"/>
      <c r="R149" s="384"/>
      <c r="S149" s="529"/>
      <c r="T149" s="637"/>
      <c r="U149" s="424"/>
      <c r="V149" s="384"/>
      <c r="W149" s="384"/>
      <c r="X149" s="529"/>
      <c r="Y149" s="637"/>
      <c r="Z149" s="424"/>
      <c r="AA149" s="384"/>
      <c r="AB149" s="384"/>
      <c r="AC149" s="529"/>
      <c r="AD149" s="637"/>
      <c r="AE149" s="424"/>
      <c r="AF149" s="384"/>
      <c r="AG149" s="384"/>
      <c r="AH149" s="529"/>
      <c r="AI149" s="637"/>
      <c r="AJ149" s="424"/>
      <c r="AK149" s="384"/>
      <c r="AL149" s="384"/>
      <c r="AM149" s="529"/>
      <c r="AN149" s="637"/>
      <c r="AO149" s="424"/>
      <c r="AP149" s="384"/>
      <c r="AQ149" s="384"/>
      <c r="AR149" s="529"/>
      <c r="AS149" s="637"/>
      <c r="AT149" s="424"/>
      <c r="AU149" s="384"/>
      <c r="AV149" s="384"/>
      <c r="AW149" s="529"/>
      <c r="AX149" s="637"/>
      <c r="AZ149" s="372" t="e">
        <f t="shared" si="82"/>
        <v>#N/A</v>
      </c>
      <c r="BA149" s="637"/>
    </row>
    <row r="150" spans="2:53">
      <c r="B150" s="647"/>
      <c r="C150" s="275">
        <v>4</v>
      </c>
      <c r="D150" s="201"/>
      <c r="E150" s="201"/>
      <c r="F150" s="201"/>
      <c r="G150" s="517"/>
      <c r="H150" s="637"/>
      <c r="I150" s="363" t="str">
        <f t="shared" si="84"/>
        <v>-</v>
      </c>
      <c r="J150" s="363" t="str">
        <f t="shared" si="85"/>
        <v>-</v>
      </c>
      <c r="K150" s="199" t="str">
        <f t="shared" si="86"/>
        <v>-</v>
      </c>
      <c r="L150" s="657"/>
      <c r="M150" s="198" t="e">
        <f>RANK(K150, K$147:$K$176)</f>
        <v>#VALUE!</v>
      </c>
      <c r="N150" s="641"/>
      <c r="O150" s="641"/>
      <c r="P150" s="424"/>
      <c r="Q150" s="384"/>
      <c r="R150" s="384"/>
      <c r="S150" s="529"/>
      <c r="T150" s="637"/>
      <c r="U150" s="424"/>
      <c r="V150" s="384"/>
      <c r="W150" s="384"/>
      <c r="X150" s="529"/>
      <c r="Y150" s="637"/>
      <c r="Z150" s="424"/>
      <c r="AA150" s="384"/>
      <c r="AB150" s="384"/>
      <c r="AC150" s="529"/>
      <c r="AD150" s="637"/>
      <c r="AE150" s="424"/>
      <c r="AF150" s="384"/>
      <c r="AG150" s="384"/>
      <c r="AH150" s="529"/>
      <c r="AI150" s="637"/>
      <c r="AJ150" s="424"/>
      <c r="AK150" s="384"/>
      <c r="AL150" s="384"/>
      <c r="AM150" s="529"/>
      <c r="AN150" s="637"/>
      <c r="AO150" s="424"/>
      <c r="AP150" s="384"/>
      <c r="AQ150" s="384"/>
      <c r="AR150" s="529"/>
      <c r="AS150" s="637"/>
      <c r="AT150" s="424"/>
      <c r="AU150" s="384"/>
      <c r="AV150" s="384"/>
      <c r="AW150" s="529"/>
      <c r="AX150" s="637"/>
      <c r="AZ150" s="372" t="e">
        <f t="shared" si="82"/>
        <v>#N/A</v>
      </c>
      <c r="BA150" s="637"/>
    </row>
    <row r="151" spans="2:53">
      <c r="B151" s="647"/>
      <c r="C151" s="275">
        <v>5</v>
      </c>
      <c r="D151" s="201"/>
      <c r="E151" s="201"/>
      <c r="F151" s="201"/>
      <c r="G151" s="517"/>
      <c r="H151" s="637"/>
      <c r="I151" s="363" t="str">
        <f t="shared" si="84"/>
        <v>-</v>
      </c>
      <c r="J151" s="363" t="str">
        <f t="shared" si="85"/>
        <v>-</v>
      </c>
      <c r="K151" s="199" t="str">
        <f t="shared" si="86"/>
        <v>-</v>
      </c>
      <c r="L151" s="657"/>
      <c r="M151" s="198" t="e">
        <f>RANK(K151, K$147:$K$176)</f>
        <v>#VALUE!</v>
      </c>
      <c r="N151" s="641"/>
      <c r="O151" s="641"/>
      <c r="P151" s="424"/>
      <c r="Q151" s="384"/>
      <c r="R151" s="384"/>
      <c r="S151" s="529"/>
      <c r="T151" s="637"/>
      <c r="U151" s="424"/>
      <c r="V151" s="384"/>
      <c r="W151" s="384"/>
      <c r="X151" s="529"/>
      <c r="Y151" s="637"/>
      <c r="Z151" s="424"/>
      <c r="AA151" s="384"/>
      <c r="AB151" s="384"/>
      <c r="AC151" s="529"/>
      <c r="AD151" s="637"/>
      <c r="AE151" s="424"/>
      <c r="AF151" s="384"/>
      <c r="AG151" s="384"/>
      <c r="AH151" s="529"/>
      <c r="AI151" s="637"/>
      <c r="AJ151" s="424"/>
      <c r="AK151" s="384"/>
      <c r="AL151" s="384"/>
      <c r="AM151" s="529"/>
      <c r="AN151" s="637"/>
      <c r="AO151" s="424"/>
      <c r="AP151" s="384"/>
      <c r="AQ151" s="384"/>
      <c r="AR151" s="529"/>
      <c r="AS151" s="637"/>
      <c r="AT151" s="424"/>
      <c r="AU151" s="384"/>
      <c r="AV151" s="384"/>
      <c r="AW151" s="529"/>
      <c r="AX151" s="637"/>
      <c r="AZ151" s="372" t="e">
        <f t="shared" si="82"/>
        <v>#N/A</v>
      </c>
      <c r="BA151" s="637"/>
    </row>
    <row r="152" spans="2:53">
      <c r="B152" s="647"/>
      <c r="C152" s="275">
        <v>6</v>
      </c>
      <c r="D152" s="201"/>
      <c r="E152" s="201"/>
      <c r="F152" s="201"/>
      <c r="G152" s="517"/>
      <c r="H152" s="637"/>
      <c r="I152" s="363" t="str">
        <f t="shared" si="84"/>
        <v>-</v>
      </c>
      <c r="J152" s="363" t="str">
        <f t="shared" si="85"/>
        <v>-</v>
      </c>
      <c r="K152" s="199" t="str">
        <f t="shared" si="86"/>
        <v>-</v>
      </c>
      <c r="L152" s="657"/>
      <c r="M152" s="198" t="e">
        <f>RANK(K152, K$147:$K$176)</f>
        <v>#VALUE!</v>
      </c>
      <c r="N152" s="641"/>
      <c r="O152" s="641"/>
      <c r="P152" s="424"/>
      <c r="Q152" s="384"/>
      <c r="R152" s="384"/>
      <c r="S152" s="529"/>
      <c r="T152" s="637"/>
      <c r="U152" s="424"/>
      <c r="V152" s="384"/>
      <c r="W152" s="384"/>
      <c r="X152" s="529"/>
      <c r="Y152" s="637"/>
      <c r="Z152" s="424"/>
      <c r="AA152" s="384"/>
      <c r="AB152" s="384"/>
      <c r="AC152" s="529"/>
      <c r="AD152" s="637"/>
      <c r="AE152" s="424"/>
      <c r="AF152" s="384"/>
      <c r="AG152" s="384"/>
      <c r="AH152" s="529"/>
      <c r="AI152" s="637"/>
      <c r="AJ152" s="424"/>
      <c r="AK152" s="384"/>
      <c r="AL152" s="384"/>
      <c r="AM152" s="529"/>
      <c r="AN152" s="637"/>
      <c r="AO152" s="424"/>
      <c r="AP152" s="384"/>
      <c r="AQ152" s="384"/>
      <c r="AR152" s="529"/>
      <c r="AS152" s="637"/>
      <c r="AT152" s="424"/>
      <c r="AU152" s="384"/>
      <c r="AV152" s="384"/>
      <c r="AW152" s="529"/>
      <c r="AX152" s="637"/>
      <c r="AZ152" s="372" t="e">
        <f t="shared" si="82"/>
        <v>#N/A</v>
      </c>
      <c r="BA152" s="637"/>
    </row>
    <row r="153" spans="2:53">
      <c r="B153" s="647"/>
      <c r="C153" s="275">
        <v>7</v>
      </c>
      <c r="D153" s="201"/>
      <c r="E153" s="201"/>
      <c r="F153" s="201"/>
      <c r="G153" s="517"/>
      <c r="H153" s="637"/>
      <c r="I153" s="363" t="str">
        <f t="shared" si="84"/>
        <v>-</v>
      </c>
      <c r="J153" s="363" t="str">
        <f t="shared" si="85"/>
        <v>-</v>
      </c>
      <c r="K153" s="199" t="str">
        <f t="shared" si="86"/>
        <v>-</v>
      </c>
      <c r="L153" s="657"/>
      <c r="M153" s="198" t="e">
        <f>RANK(K153, K$147:$K$176)</f>
        <v>#VALUE!</v>
      </c>
      <c r="N153" s="641"/>
      <c r="O153" s="641"/>
      <c r="P153" s="424"/>
      <c r="Q153" s="384"/>
      <c r="R153" s="384"/>
      <c r="S153" s="529"/>
      <c r="T153" s="637"/>
      <c r="U153" s="424"/>
      <c r="V153" s="384"/>
      <c r="W153" s="384"/>
      <c r="X153" s="529"/>
      <c r="Y153" s="637"/>
      <c r="Z153" s="424"/>
      <c r="AA153" s="384"/>
      <c r="AB153" s="384"/>
      <c r="AC153" s="529"/>
      <c r="AD153" s="637"/>
      <c r="AE153" s="424"/>
      <c r="AF153" s="384"/>
      <c r="AG153" s="384"/>
      <c r="AH153" s="529"/>
      <c r="AI153" s="637"/>
      <c r="AJ153" s="424"/>
      <c r="AK153" s="384"/>
      <c r="AL153" s="384"/>
      <c r="AM153" s="529"/>
      <c r="AN153" s="637"/>
      <c r="AO153" s="424"/>
      <c r="AP153" s="384"/>
      <c r="AQ153" s="384"/>
      <c r="AR153" s="529"/>
      <c r="AS153" s="637"/>
      <c r="AT153" s="424"/>
      <c r="AU153" s="384"/>
      <c r="AV153" s="384"/>
      <c r="AW153" s="529"/>
      <c r="AX153" s="637"/>
      <c r="AZ153" s="372" t="e">
        <f t="shared" si="82"/>
        <v>#N/A</v>
      </c>
      <c r="BA153" s="637"/>
    </row>
    <row r="154" spans="2:53">
      <c r="B154" s="647"/>
      <c r="C154" s="275">
        <v>8</v>
      </c>
      <c r="D154" s="201"/>
      <c r="E154" s="201"/>
      <c r="F154" s="201"/>
      <c r="G154" s="517"/>
      <c r="H154" s="637"/>
      <c r="I154" s="363" t="str">
        <f t="shared" si="84"/>
        <v>-</v>
      </c>
      <c r="J154" s="363" t="str">
        <f t="shared" si="85"/>
        <v>-</v>
      </c>
      <c r="K154" s="199" t="str">
        <f t="shared" si="86"/>
        <v>-</v>
      </c>
      <c r="L154" s="657"/>
      <c r="M154" s="198" t="e">
        <f>RANK(K154, K$147:$K$176)</f>
        <v>#VALUE!</v>
      </c>
      <c r="N154" s="641"/>
      <c r="O154" s="641"/>
      <c r="P154" s="424"/>
      <c r="Q154" s="384"/>
      <c r="R154" s="384"/>
      <c r="S154" s="529"/>
      <c r="T154" s="637"/>
      <c r="U154" s="424"/>
      <c r="V154" s="384"/>
      <c r="W154" s="384"/>
      <c r="X154" s="529"/>
      <c r="Y154" s="637"/>
      <c r="Z154" s="424"/>
      <c r="AA154" s="384"/>
      <c r="AB154" s="384"/>
      <c r="AC154" s="529"/>
      <c r="AD154" s="637"/>
      <c r="AE154" s="424"/>
      <c r="AF154" s="384"/>
      <c r="AG154" s="384"/>
      <c r="AH154" s="529"/>
      <c r="AI154" s="637"/>
      <c r="AJ154" s="424"/>
      <c r="AK154" s="384"/>
      <c r="AL154" s="384"/>
      <c r="AM154" s="529"/>
      <c r="AN154" s="637"/>
      <c r="AO154" s="424"/>
      <c r="AP154" s="384"/>
      <c r="AQ154" s="384"/>
      <c r="AR154" s="529"/>
      <c r="AS154" s="637"/>
      <c r="AT154" s="424"/>
      <c r="AU154" s="384"/>
      <c r="AV154" s="384"/>
      <c r="AW154" s="529"/>
      <c r="AX154" s="637"/>
      <c r="AZ154" s="372" t="e">
        <f t="shared" si="82"/>
        <v>#N/A</v>
      </c>
      <c r="BA154" s="637"/>
    </row>
    <row r="155" spans="2:53">
      <c r="B155" s="647"/>
      <c r="C155" s="275">
        <v>9</v>
      </c>
      <c r="D155" s="201"/>
      <c r="E155" s="201"/>
      <c r="F155" s="201"/>
      <c r="G155" s="517"/>
      <c r="H155" s="637"/>
      <c r="I155" s="363" t="str">
        <f t="shared" si="84"/>
        <v>-</v>
      </c>
      <c r="J155" s="363" t="str">
        <f t="shared" si="85"/>
        <v>-</v>
      </c>
      <c r="K155" s="199" t="str">
        <f t="shared" si="86"/>
        <v>-</v>
      </c>
      <c r="L155" s="657"/>
      <c r="M155" s="198" t="e">
        <f>RANK(K155, K$147:$K$176)</f>
        <v>#VALUE!</v>
      </c>
      <c r="N155" s="641"/>
      <c r="O155" s="641"/>
      <c r="P155" s="424"/>
      <c r="Q155" s="384"/>
      <c r="R155" s="384"/>
      <c r="S155" s="529"/>
      <c r="T155" s="637"/>
      <c r="U155" s="424"/>
      <c r="V155" s="384"/>
      <c r="W155" s="384"/>
      <c r="X155" s="529"/>
      <c r="Y155" s="637"/>
      <c r="Z155" s="424"/>
      <c r="AA155" s="384"/>
      <c r="AB155" s="384"/>
      <c r="AC155" s="529"/>
      <c r="AD155" s="637"/>
      <c r="AE155" s="424"/>
      <c r="AF155" s="384"/>
      <c r="AG155" s="384"/>
      <c r="AH155" s="529"/>
      <c r="AI155" s="637"/>
      <c r="AJ155" s="424"/>
      <c r="AK155" s="384"/>
      <c r="AL155" s="384"/>
      <c r="AM155" s="529"/>
      <c r="AN155" s="637"/>
      <c r="AO155" s="424"/>
      <c r="AP155" s="384"/>
      <c r="AQ155" s="384"/>
      <c r="AR155" s="529"/>
      <c r="AS155" s="637"/>
      <c r="AT155" s="424"/>
      <c r="AU155" s="384"/>
      <c r="AV155" s="384"/>
      <c r="AW155" s="529"/>
      <c r="AX155" s="637"/>
      <c r="AZ155" s="372" t="e">
        <f t="shared" si="82"/>
        <v>#N/A</v>
      </c>
      <c r="BA155" s="637"/>
    </row>
    <row r="156" spans="2:53">
      <c r="B156" s="647"/>
      <c r="C156" s="275">
        <v>10</v>
      </c>
      <c r="D156" s="201"/>
      <c r="E156" s="201"/>
      <c r="F156" s="201"/>
      <c r="G156" s="517"/>
      <c r="H156" s="637"/>
      <c r="I156" s="363" t="str">
        <f t="shared" si="84"/>
        <v>-</v>
      </c>
      <c r="J156" s="363" t="str">
        <f t="shared" si="85"/>
        <v>-</v>
      </c>
      <c r="K156" s="199" t="str">
        <f t="shared" si="86"/>
        <v>-</v>
      </c>
      <c r="L156" s="657"/>
      <c r="M156" s="198" t="e">
        <f>RANK(K156, K$147:$K$176)</f>
        <v>#VALUE!</v>
      </c>
      <c r="N156" s="641"/>
      <c r="O156" s="641"/>
      <c r="P156" s="424"/>
      <c r="Q156" s="384"/>
      <c r="R156" s="384"/>
      <c r="S156" s="529"/>
      <c r="T156" s="637"/>
      <c r="U156" s="424"/>
      <c r="V156" s="384"/>
      <c r="W156" s="384"/>
      <c r="X156" s="529"/>
      <c r="Y156" s="637"/>
      <c r="Z156" s="424"/>
      <c r="AA156" s="384"/>
      <c r="AB156" s="384"/>
      <c r="AC156" s="529"/>
      <c r="AD156" s="637"/>
      <c r="AE156" s="424"/>
      <c r="AF156" s="384"/>
      <c r="AG156" s="384"/>
      <c r="AH156" s="529"/>
      <c r="AI156" s="637"/>
      <c r="AJ156" s="424"/>
      <c r="AK156" s="384"/>
      <c r="AL156" s="384"/>
      <c r="AM156" s="529"/>
      <c r="AN156" s="637"/>
      <c r="AO156" s="424"/>
      <c r="AP156" s="384"/>
      <c r="AQ156" s="384"/>
      <c r="AR156" s="529"/>
      <c r="AS156" s="637"/>
      <c r="AT156" s="424"/>
      <c r="AU156" s="384"/>
      <c r="AV156" s="384"/>
      <c r="AW156" s="529"/>
      <c r="AX156" s="637"/>
      <c r="AZ156" s="372" t="e">
        <f t="shared" si="82"/>
        <v>#N/A</v>
      </c>
      <c r="BA156" s="637"/>
    </row>
    <row r="157" spans="2:53">
      <c r="B157" s="647"/>
      <c r="C157" s="275">
        <v>11</v>
      </c>
      <c r="D157" s="201"/>
      <c r="E157" s="201"/>
      <c r="F157" s="201"/>
      <c r="G157" s="517"/>
      <c r="H157" s="637"/>
      <c r="I157" s="363" t="str">
        <f t="shared" si="84"/>
        <v>-</v>
      </c>
      <c r="J157" s="363" t="str">
        <f t="shared" si="85"/>
        <v>-</v>
      </c>
      <c r="K157" s="199" t="str">
        <f t="shared" si="86"/>
        <v>-</v>
      </c>
      <c r="L157" s="657"/>
      <c r="M157" s="198" t="e">
        <f>RANK(K157, K$147:$K$176)</f>
        <v>#VALUE!</v>
      </c>
      <c r="N157" s="641"/>
      <c r="O157" s="641"/>
      <c r="P157" s="424"/>
      <c r="Q157" s="384"/>
      <c r="R157" s="384"/>
      <c r="S157" s="529"/>
      <c r="T157" s="637"/>
      <c r="U157" s="424"/>
      <c r="V157" s="384"/>
      <c r="W157" s="384"/>
      <c r="X157" s="529"/>
      <c r="Y157" s="637"/>
      <c r="Z157" s="424"/>
      <c r="AA157" s="384"/>
      <c r="AB157" s="384"/>
      <c r="AC157" s="529"/>
      <c r="AD157" s="637"/>
      <c r="AE157" s="424"/>
      <c r="AF157" s="384"/>
      <c r="AG157" s="384"/>
      <c r="AH157" s="529"/>
      <c r="AI157" s="637"/>
      <c r="AJ157" s="424"/>
      <c r="AK157" s="384"/>
      <c r="AL157" s="384"/>
      <c r="AM157" s="529"/>
      <c r="AN157" s="637"/>
      <c r="AO157" s="424"/>
      <c r="AP157" s="384"/>
      <c r="AQ157" s="384"/>
      <c r="AR157" s="529"/>
      <c r="AS157" s="637"/>
      <c r="AT157" s="424"/>
      <c r="AU157" s="384"/>
      <c r="AV157" s="384"/>
      <c r="AW157" s="529"/>
      <c r="AX157" s="637"/>
      <c r="AZ157" s="372" t="e">
        <f t="shared" si="82"/>
        <v>#N/A</v>
      </c>
      <c r="BA157" s="637"/>
    </row>
    <row r="158" spans="2:53">
      <c r="B158" s="647"/>
      <c r="C158" s="275">
        <v>12</v>
      </c>
      <c r="D158" s="518"/>
      <c r="E158" s="201"/>
      <c r="F158" s="201"/>
      <c r="G158" s="517"/>
      <c r="H158" s="637"/>
      <c r="I158" s="363" t="str">
        <f t="shared" si="84"/>
        <v>-</v>
      </c>
      <c r="J158" s="363" t="str">
        <f t="shared" si="85"/>
        <v>-</v>
      </c>
      <c r="K158" s="199" t="str">
        <f t="shared" si="86"/>
        <v>-</v>
      </c>
      <c r="L158" s="657"/>
      <c r="M158" s="198" t="e">
        <f>RANK(K158, K$147:$K$176)</f>
        <v>#VALUE!</v>
      </c>
      <c r="N158" s="641"/>
      <c r="O158" s="641"/>
      <c r="P158" s="424"/>
      <c r="Q158" s="384"/>
      <c r="R158" s="384"/>
      <c r="S158" s="529"/>
      <c r="T158" s="637"/>
      <c r="U158" s="424"/>
      <c r="V158" s="384"/>
      <c r="W158" s="384"/>
      <c r="X158" s="529"/>
      <c r="Y158" s="637"/>
      <c r="Z158" s="424"/>
      <c r="AA158" s="384"/>
      <c r="AB158" s="384"/>
      <c r="AC158" s="529"/>
      <c r="AD158" s="637"/>
      <c r="AE158" s="424"/>
      <c r="AF158" s="384"/>
      <c r="AG158" s="384"/>
      <c r="AH158" s="529"/>
      <c r="AI158" s="637"/>
      <c r="AJ158" s="424"/>
      <c r="AK158" s="384"/>
      <c r="AL158" s="384"/>
      <c r="AM158" s="529"/>
      <c r="AN158" s="637"/>
      <c r="AO158" s="424"/>
      <c r="AP158" s="384"/>
      <c r="AQ158" s="384"/>
      <c r="AR158" s="529"/>
      <c r="AS158" s="637"/>
      <c r="AT158" s="424"/>
      <c r="AU158" s="384"/>
      <c r="AV158" s="384"/>
      <c r="AW158" s="529"/>
      <c r="AX158" s="637"/>
      <c r="AZ158" s="372" t="e">
        <f t="shared" si="82"/>
        <v>#N/A</v>
      </c>
      <c r="BA158" s="637"/>
    </row>
    <row r="159" spans="2:53">
      <c r="B159" s="647"/>
      <c r="C159" s="275">
        <v>13</v>
      </c>
      <c r="D159" s="201"/>
      <c r="E159" s="201"/>
      <c r="F159" s="201"/>
      <c r="G159" s="517"/>
      <c r="H159" s="637"/>
      <c r="I159" s="363" t="str">
        <f t="shared" si="84"/>
        <v>-</v>
      </c>
      <c r="J159" s="363" t="str">
        <f t="shared" si="85"/>
        <v>-</v>
      </c>
      <c r="K159" s="199" t="str">
        <f t="shared" si="86"/>
        <v>-</v>
      </c>
      <c r="L159" s="657"/>
      <c r="M159" s="198" t="e">
        <f>RANK(K159, K$147:$K$176)</f>
        <v>#VALUE!</v>
      </c>
      <c r="N159" s="641"/>
      <c r="O159" s="641"/>
      <c r="P159" s="424"/>
      <c r="Q159" s="384"/>
      <c r="R159" s="384"/>
      <c r="S159" s="529"/>
      <c r="T159" s="637"/>
      <c r="U159" s="424"/>
      <c r="V159" s="384"/>
      <c r="W159" s="384"/>
      <c r="X159" s="529"/>
      <c r="Y159" s="637"/>
      <c r="Z159" s="424"/>
      <c r="AA159" s="384"/>
      <c r="AB159" s="384"/>
      <c r="AC159" s="529"/>
      <c r="AD159" s="637"/>
      <c r="AE159" s="424"/>
      <c r="AF159" s="384"/>
      <c r="AG159" s="384"/>
      <c r="AH159" s="529"/>
      <c r="AI159" s="637"/>
      <c r="AJ159" s="424"/>
      <c r="AK159" s="384"/>
      <c r="AL159" s="384"/>
      <c r="AM159" s="529"/>
      <c r="AN159" s="637"/>
      <c r="AO159" s="424"/>
      <c r="AP159" s="384"/>
      <c r="AQ159" s="384"/>
      <c r="AR159" s="529"/>
      <c r="AS159" s="637"/>
      <c r="AT159" s="424"/>
      <c r="AU159" s="384"/>
      <c r="AV159" s="384"/>
      <c r="AW159" s="529"/>
      <c r="AX159" s="637"/>
      <c r="AZ159" s="372" t="e">
        <f t="shared" si="82"/>
        <v>#N/A</v>
      </c>
      <c r="BA159" s="637"/>
    </row>
    <row r="160" spans="2:53">
      <c r="B160" s="647"/>
      <c r="C160" s="275">
        <v>14</v>
      </c>
      <c r="D160" s="201"/>
      <c r="E160" s="201"/>
      <c r="F160" s="201"/>
      <c r="G160" s="517"/>
      <c r="H160" s="637"/>
      <c r="I160" s="363" t="str">
        <f t="shared" si="84"/>
        <v>-</v>
      </c>
      <c r="J160" s="363" t="str">
        <f t="shared" si="85"/>
        <v>-</v>
      </c>
      <c r="K160" s="199" t="str">
        <f t="shared" si="86"/>
        <v>-</v>
      </c>
      <c r="L160" s="657"/>
      <c r="M160" s="198" t="e">
        <f>RANK(K160, K$147:$K$176)</f>
        <v>#VALUE!</v>
      </c>
      <c r="N160" s="641"/>
      <c r="O160" s="641"/>
      <c r="P160" s="424"/>
      <c r="Q160" s="384"/>
      <c r="R160" s="384"/>
      <c r="S160" s="529"/>
      <c r="T160" s="637"/>
      <c r="U160" s="424"/>
      <c r="V160" s="384"/>
      <c r="W160" s="384"/>
      <c r="X160" s="529"/>
      <c r="Y160" s="637"/>
      <c r="Z160" s="424"/>
      <c r="AA160" s="384"/>
      <c r="AB160" s="384"/>
      <c r="AC160" s="529"/>
      <c r="AD160" s="637"/>
      <c r="AE160" s="424"/>
      <c r="AF160" s="384"/>
      <c r="AG160" s="384"/>
      <c r="AH160" s="529"/>
      <c r="AI160" s="637"/>
      <c r="AJ160" s="424"/>
      <c r="AK160" s="384"/>
      <c r="AL160" s="384"/>
      <c r="AM160" s="529"/>
      <c r="AN160" s="637"/>
      <c r="AO160" s="424"/>
      <c r="AP160" s="384"/>
      <c r="AQ160" s="384"/>
      <c r="AR160" s="529"/>
      <c r="AS160" s="637"/>
      <c r="AT160" s="424"/>
      <c r="AU160" s="384"/>
      <c r="AV160" s="384"/>
      <c r="AW160" s="529"/>
      <c r="AX160" s="637"/>
      <c r="AZ160" s="372" t="e">
        <f t="shared" si="82"/>
        <v>#N/A</v>
      </c>
      <c r="BA160" s="637"/>
    </row>
    <row r="161" spans="2:53">
      <c r="B161" s="647"/>
      <c r="C161" s="275">
        <v>15</v>
      </c>
      <c r="D161" s="518"/>
      <c r="E161" s="201"/>
      <c r="F161" s="201"/>
      <c r="G161" s="517"/>
      <c r="H161" s="637"/>
      <c r="I161" s="363" t="str">
        <f t="shared" si="84"/>
        <v>-</v>
      </c>
      <c r="J161" s="363" t="str">
        <f t="shared" si="85"/>
        <v>-</v>
      </c>
      <c r="K161" s="199" t="str">
        <f t="shared" si="86"/>
        <v>-</v>
      </c>
      <c r="L161" s="657"/>
      <c r="M161" s="198" t="e">
        <f>RANK(K161, K$147:$K$176)</f>
        <v>#VALUE!</v>
      </c>
      <c r="N161" s="641"/>
      <c r="O161" s="641"/>
      <c r="P161" s="424"/>
      <c r="Q161" s="384"/>
      <c r="R161" s="384"/>
      <c r="S161" s="529"/>
      <c r="T161" s="637"/>
      <c r="U161" s="424"/>
      <c r="V161" s="384"/>
      <c r="W161" s="384"/>
      <c r="X161" s="529"/>
      <c r="Y161" s="637"/>
      <c r="Z161" s="424"/>
      <c r="AA161" s="384"/>
      <c r="AB161" s="384"/>
      <c r="AC161" s="529"/>
      <c r="AD161" s="637"/>
      <c r="AE161" s="424"/>
      <c r="AF161" s="384"/>
      <c r="AG161" s="384"/>
      <c r="AH161" s="529"/>
      <c r="AI161" s="637"/>
      <c r="AJ161" s="424"/>
      <c r="AK161" s="384"/>
      <c r="AL161" s="384"/>
      <c r="AM161" s="529"/>
      <c r="AN161" s="637"/>
      <c r="AO161" s="424"/>
      <c r="AP161" s="384"/>
      <c r="AQ161" s="384"/>
      <c r="AR161" s="529"/>
      <c r="AS161" s="637"/>
      <c r="AT161" s="424"/>
      <c r="AU161" s="384"/>
      <c r="AV161" s="384"/>
      <c r="AW161" s="529"/>
      <c r="AX161" s="637"/>
      <c r="AZ161" s="372" t="e">
        <f t="shared" si="82"/>
        <v>#N/A</v>
      </c>
      <c r="BA161" s="637"/>
    </row>
    <row r="162" spans="2:53">
      <c r="B162" s="647"/>
      <c r="C162" s="275">
        <v>16</v>
      </c>
      <c r="D162" s="201"/>
      <c r="E162" s="201"/>
      <c r="F162" s="201"/>
      <c r="G162" s="517"/>
      <c r="H162" s="637"/>
      <c r="I162" s="363" t="str">
        <f t="shared" si="84"/>
        <v>-</v>
      </c>
      <c r="J162" s="363" t="str">
        <f t="shared" si="85"/>
        <v>-</v>
      </c>
      <c r="K162" s="199" t="str">
        <f t="shared" si="86"/>
        <v>-</v>
      </c>
      <c r="L162" s="657"/>
      <c r="M162" s="198" t="e">
        <f>RANK(K162, K$147:$K$176)</f>
        <v>#VALUE!</v>
      </c>
      <c r="N162" s="641"/>
      <c r="O162" s="641"/>
      <c r="P162" s="424"/>
      <c r="Q162" s="384"/>
      <c r="R162" s="384"/>
      <c r="S162" s="529"/>
      <c r="T162" s="637"/>
      <c r="U162" s="424"/>
      <c r="V162" s="384"/>
      <c r="W162" s="384"/>
      <c r="X162" s="529"/>
      <c r="Y162" s="637"/>
      <c r="Z162" s="424"/>
      <c r="AA162" s="384"/>
      <c r="AB162" s="384"/>
      <c r="AC162" s="529"/>
      <c r="AD162" s="637"/>
      <c r="AE162" s="424"/>
      <c r="AF162" s="384"/>
      <c r="AG162" s="384"/>
      <c r="AH162" s="529"/>
      <c r="AI162" s="637"/>
      <c r="AJ162" s="424"/>
      <c r="AK162" s="384"/>
      <c r="AL162" s="384"/>
      <c r="AM162" s="529"/>
      <c r="AN162" s="637"/>
      <c r="AO162" s="424"/>
      <c r="AP162" s="384"/>
      <c r="AQ162" s="384"/>
      <c r="AR162" s="529"/>
      <c r="AS162" s="637"/>
      <c r="AT162" s="424"/>
      <c r="AU162" s="384"/>
      <c r="AV162" s="384"/>
      <c r="AW162" s="529"/>
      <c r="AX162" s="637"/>
      <c r="AZ162" s="372" t="e">
        <f t="shared" si="82"/>
        <v>#N/A</v>
      </c>
      <c r="BA162" s="637"/>
    </row>
    <row r="163" spans="2:53">
      <c r="B163" s="647"/>
      <c r="C163" s="275">
        <v>17</v>
      </c>
      <c r="D163" s="201"/>
      <c r="E163" s="201"/>
      <c r="F163" s="201"/>
      <c r="G163" s="517"/>
      <c r="H163" s="637"/>
      <c r="I163" s="363" t="str">
        <f t="shared" si="84"/>
        <v>-</v>
      </c>
      <c r="J163" s="363" t="str">
        <f t="shared" si="85"/>
        <v>-</v>
      </c>
      <c r="K163" s="199" t="str">
        <f t="shared" si="86"/>
        <v>-</v>
      </c>
      <c r="L163" s="657"/>
      <c r="M163" s="198" t="e">
        <f>RANK(K163, K$147:$K$176)</f>
        <v>#VALUE!</v>
      </c>
      <c r="N163" s="641"/>
      <c r="O163" s="641"/>
      <c r="P163" s="424"/>
      <c r="Q163" s="384"/>
      <c r="R163" s="384"/>
      <c r="S163" s="529"/>
      <c r="T163" s="637"/>
      <c r="U163" s="424"/>
      <c r="V163" s="384"/>
      <c r="W163" s="384"/>
      <c r="X163" s="529"/>
      <c r="Y163" s="637"/>
      <c r="Z163" s="424"/>
      <c r="AA163" s="384"/>
      <c r="AB163" s="384"/>
      <c r="AC163" s="529"/>
      <c r="AD163" s="637"/>
      <c r="AE163" s="424"/>
      <c r="AF163" s="384"/>
      <c r="AG163" s="384"/>
      <c r="AH163" s="529"/>
      <c r="AI163" s="637"/>
      <c r="AJ163" s="424"/>
      <c r="AK163" s="384"/>
      <c r="AL163" s="384"/>
      <c r="AM163" s="529"/>
      <c r="AN163" s="637"/>
      <c r="AO163" s="424"/>
      <c r="AP163" s="384"/>
      <c r="AQ163" s="384"/>
      <c r="AR163" s="529"/>
      <c r="AS163" s="637"/>
      <c r="AT163" s="424"/>
      <c r="AU163" s="384"/>
      <c r="AV163" s="384"/>
      <c r="AW163" s="529"/>
      <c r="AX163" s="637"/>
      <c r="AZ163" s="372" t="e">
        <f t="shared" si="82"/>
        <v>#N/A</v>
      </c>
      <c r="BA163" s="637"/>
    </row>
    <row r="164" spans="2:53">
      <c r="B164" s="647"/>
      <c r="C164" s="275">
        <v>18</v>
      </c>
      <c r="D164" s="518"/>
      <c r="E164" s="201"/>
      <c r="F164" s="201"/>
      <c r="G164" s="517"/>
      <c r="H164" s="637"/>
      <c r="I164" s="363" t="str">
        <f t="shared" si="84"/>
        <v>-</v>
      </c>
      <c r="J164" s="363" t="str">
        <f t="shared" si="85"/>
        <v>-</v>
      </c>
      <c r="K164" s="199" t="str">
        <f t="shared" si="86"/>
        <v>-</v>
      </c>
      <c r="L164" s="657"/>
      <c r="M164" s="198" t="e">
        <f>RANK(K164, K$147:$K$176)</f>
        <v>#VALUE!</v>
      </c>
      <c r="N164" s="641"/>
      <c r="O164" s="641"/>
      <c r="P164" s="424"/>
      <c r="Q164" s="384"/>
      <c r="R164" s="384"/>
      <c r="S164" s="529"/>
      <c r="T164" s="637"/>
      <c r="U164" s="424"/>
      <c r="V164" s="384"/>
      <c r="W164" s="384"/>
      <c r="X164" s="529"/>
      <c r="Y164" s="637"/>
      <c r="Z164" s="424"/>
      <c r="AA164" s="384"/>
      <c r="AB164" s="384"/>
      <c r="AC164" s="529"/>
      <c r="AD164" s="637"/>
      <c r="AE164" s="424"/>
      <c r="AF164" s="384"/>
      <c r="AG164" s="384"/>
      <c r="AH164" s="529"/>
      <c r="AI164" s="637"/>
      <c r="AJ164" s="424"/>
      <c r="AK164" s="384"/>
      <c r="AL164" s="384"/>
      <c r="AM164" s="529"/>
      <c r="AN164" s="637"/>
      <c r="AO164" s="424"/>
      <c r="AP164" s="384"/>
      <c r="AQ164" s="384"/>
      <c r="AR164" s="529"/>
      <c r="AS164" s="637"/>
      <c r="AT164" s="424"/>
      <c r="AU164" s="384"/>
      <c r="AV164" s="384"/>
      <c r="AW164" s="529"/>
      <c r="AX164" s="637"/>
      <c r="AZ164" s="372" t="e">
        <f t="shared" si="82"/>
        <v>#N/A</v>
      </c>
      <c r="BA164" s="637"/>
    </row>
    <row r="165" spans="2:53">
      <c r="B165" s="647"/>
      <c r="C165" s="275">
        <v>19</v>
      </c>
      <c r="D165" s="518"/>
      <c r="E165" s="201"/>
      <c r="F165" s="201"/>
      <c r="G165" s="517"/>
      <c r="H165" s="637"/>
      <c r="I165" s="363" t="str">
        <f t="shared" si="84"/>
        <v>-</v>
      </c>
      <c r="J165" s="363" t="str">
        <f t="shared" si="85"/>
        <v>-</v>
      </c>
      <c r="K165" s="199" t="str">
        <f t="shared" si="86"/>
        <v>-</v>
      </c>
      <c r="L165" s="657"/>
      <c r="M165" s="198" t="e">
        <f>RANK(K165, K$147:$K$176)</f>
        <v>#VALUE!</v>
      </c>
      <c r="N165" s="641"/>
      <c r="O165" s="641"/>
      <c r="P165" s="424"/>
      <c r="Q165" s="384"/>
      <c r="R165" s="384"/>
      <c r="S165" s="529"/>
      <c r="T165" s="637"/>
      <c r="U165" s="424"/>
      <c r="V165" s="384"/>
      <c r="W165" s="384"/>
      <c r="X165" s="529"/>
      <c r="Y165" s="637"/>
      <c r="Z165" s="424"/>
      <c r="AA165" s="384"/>
      <c r="AB165" s="384"/>
      <c r="AC165" s="529"/>
      <c r="AD165" s="637"/>
      <c r="AE165" s="424"/>
      <c r="AF165" s="384"/>
      <c r="AG165" s="384"/>
      <c r="AH165" s="529"/>
      <c r="AI165" s="637"/>
      <c r="AJ165" s="424"/>
      <c r="AK165" s="384"/>
      <c r="AL165" s="384"/>
      <c r="AM165" s="529"/>
      <c r="AN165" s="637"/>
      <c r="AO165" s="424"/>
      <c r="AP165" s="384"/>
      <c r="AQ165" s="384"/>
      <c r="AR165" s="529"/>
      <c r="AS165" s="637"/>
      <c r="AT165" s="424"/>
      <c r="AU165" s="384"/>
      <c r="AV165" s="384"/>
      <c r="AW165" s="529"/>
      <c r="AX165" s="637"/>
      <c r="AZ165" s="372" t="e">
        <f t="shared" si="82"/>
        <v>#N/A</v>
      </c>
      <c r="BA165" s="637"/>
    </row>
    <row r="166" spans="2:53">
      <c r="B166" s="647"/>
      <c r="C166" s="275">
        <v>20</v>
      </c>
      <c r="D166" s="518"/>
      <c r="E166" s="201"/>
      <c r="F166" s="201"/>
      <c r="G166" s="517"/>
      <c r="H166" s="637"/>
      <c r="I166" s="363" t="str">
        <f t="shared" si="84"/>
        <v>-</v>
      </c>
      <c r="J166" s="363" t="str">
        <f t="shared" si="85"/>
        <v>-</v>
      </c>
      <c r="K166" s="199" t="str">
        <f t="shared" si="86"/>
        <v>-</v>
      </c>
      <c r="L166" s="657"/>
      <c r="M166" s="198" t="e">
        <f>RANK(K166, K$147:$K$176)</f>
        <v>#VALUE!</v>
      </c>
      <c r="N166" s="641"/>
      <c r="O166" s="641"/>
      <c r="P166" s="424"/>
      <c r="Q166" s="384"/>
      <c r="R166" s="384"/>
      <c r="S166" s="529"/>
      <c r="T166" s="637"/>
      <c r="U166" s="424"/>
      <c r="V166" s="384"/>
      <c r="W166" s="384"/>
      <c r="X166" s="529"/>
      <c r="Y166" s="637"/>
      <c r="Z166" s="424"/>
      <c r="AA166" s="384"/>
      <c r="AB166" s="384"/>
      <c r="AC166" s="529"/>
      <c r="AD166" s="637"/>
      <c r="AE166" s="424"/>
      <c r="AF166" s="384"/>
      <c r="AG166" s="384"/>
      <c r="AH166" s="529"/>
      <c r="AI166" s="637"/>
      <c r="AJ166" s="424"/>
      <c r="AK166" s="384"/>
      <c r="AL166" s="384"/>
      <c r="AM166" s="529"/>
      <c r="AN166" s="637"/>
      <c r="AO166" s="424"/>
      <c r="AP166" s="384"/>
      <c r="AQ166" s="384"/>
      <c r="AR166" s="529"/>
      <c r="AS166" s="637"/>
      <c r="AT166" s="424"/>
      <c r="AU166" s="384"/>
      <c r="AV166" s="384"/>
      <c r="AW166" s="529"/>
      <c r="AX166" s="637"/>
      <c r="AZ166" s="372" t="e">
        <f t="shared" si="82"/>
        <v>#N/A</v>
      </c>
      <c r="BA166" s="637"/>
    </row>
    <row r="167" spans="2:53">
      <c r="B167" s="647"/>
      <c r="C167" s="275">
        <v>21</v>
      </c>
      <c r="D167" s="518"/>
      <c r="E167" s="201"/>
      <c r="F167" s="201"/>
      <c r="G167" s="517"/>
      <c r="H167" s="637"/>
      <c r="I167" s="363" t="str">
        <f t="shared" si="84"/>
        <v>-</v>
      </c>
      <c r="J167" s="363" t="str">
        <f t="shared" si="85"/>
        <v>-</v>
      </c>
      <c r="K167" s="199" t="str">
        <f t="shared" si="86"/>
        <v>-</v>
      </c>
      <c r="L167" s="657"/>
      <c r="M167" s="198" t="e">
        <f>RANK(K167, K$147:$K$176)</f>
        <v>#VALUE!</v>
      </c>
      <c r="N167" s="641"/>
      <c r="O167" s="641"/>
      <c r="P167" s="424"/>
      <c r="Q167" s="384"/>
      <c r="R167" s="384"/>
      <c r="S167" s="529"/>
      <c r="T167" s="637"/>
      <c r="U167" s="424"/>
      <c r="V167" s="384"/>
      <c r="W167" s="384"/>
      <c r="X167" s="529"/>
      <c r="Y167" s="637"/>
      <c r="Z167" s="424"/>
      <c r="AA167" s="384"/>
      <c r="AB167" s="384"/>
      <c r="AC167" s="529"/>
      <c r="AD167" s="637"/>
      <c r="AE167" s="424"/>
      <c r="AF167" s="384"/>
      <c r="AG167" s="384"/>
      <c r="AH167" s="529"/>
      <c r="AI167" s="637"/>
      <c r="AJ167" s="424"/>
      <c r="AK167" s="384"/>
      <c r="AL167" s="384"/>
      <c r="AM167" s="529"/>
      <c r="AN167" s="637"/>
      <c r="AO167" s="424"/>
      <c r="AP167" s="384"/>
      <c r="AQ167" s="384"/>
      <c r="AR167" s="529"/>
      <c r="AS167" s="637"/>
      <c r="AT167" s="424"/>
      <c r="AU167" s="384"/>
      <c r="AV167" s="384"/>
      <c r="AW167" s="529"/>
      <c r="AX167" s="637"/>
      <c r="AZ167" s="372" t="e">
        <f t="shared" si="82"/>
        <v>#N/A</v>
      </c>
      <c r="BA167" s="637"/>
    </row>
    <row r="168" spans="2:53">
      <c r="B168" s="647"/>
      <c r="C168" s="275">
        <v>22</v>
      </c>
      <c r="D168" s="518"/>
      <c r="E168" s="201"/>
      <c r="F168" s="201"/>
      <c r="G168" s="517"/>
      <c r="H168" s="637"/>
      <c r="I168" s="363" t="str">
        <f t="shared" si="84"/>
        <v>-</v>
      </c>
      <c r="J168" s="363" t="str">
        <f t="shared" si="85"/>
        <v>-</v>
      </c>
      <c r="K168" s="199" t="str">
        <f t="shared" si="86"/>
        <v>-</v>
      </c>
      <c r="L168" s="657"/>
      <c r="M168" s="198" t="e">
        <f>RANK(K168, K$147:$K$176)</f>
        <v>#VALUE!</v>
      </c>
      <c r="N168" s="641"/>
      <c r="O168" s="641"/>
      <c r="P168" s="424"/>
      <c r="Q168" s="384"/>
      <c r="R168" s="384"/>
      <c r="S168" s="529"/>
      <c r="T168" s="637"/>
      <c r="U168" s="424"/>
      <c r="V168" s="384"/>
      <c r="W168" s="384"/>
      <c r="X168" s="529"/>
      <c r="Y168" s="637"/>
      <c r="Z168" s="424"/>
      <c r="AA168" s="384"/>
      <c r="AB168" s="384"/>
      <c r="AC168" s="529"/>
      <c r="AD168" s="637"/>
      <c r="AE168" s="424"/>
      <c r="AF168" s="384"/>
      <c r="AG168" s="384"/>
      <c r="AH168" s="529"/>
      <c r="AI168" s="637"/>
      <c r="AJ168" s="424"/>
      <c r="AK168" s="384"/>
      <c r="AL168" s="384"/>
      <c r="AM168" s="529"/>
      <c r="AN168" s="637"/>
      <c r="AO168" s="424"/>
      <c r="AP168" s="384"/>
      <c r="AQ168" s="384"/>
      <c r="AR168" s="529"/>
      <c r="AS168" s="637"/>
      <c r="AT168" s="424"/>
      <c r="AU168" s="384"/>
      <c r="AV168" s="384"/>
      <c r="AW168" s="529"/>
      <c r="AX168" s="637"/>
      <c r="AZ168" s="372" t="e">
        <f t="shared" si="82"/>
        <v>#N/A</v>
      </c>
      <c r="BA168" s="637"/>
    </row>
    <row r="169" spans="2:53">
      <c r="B169" s="647"/>
      <c r="C169" s="275">
        <v>23</v>
      </c>
      <c r="D169" s="201"/>
      <c r="E169" s="201"/>
      <c r="F169" s="201"/>
      <c r="G169" s="517"/>
      <c r="H169" s="637"/>
      <c r="I169" s="363" t="str">
        <f t="shared" si="84"/>
        <v>-</v>
      </c>
      <c r="J169" s="363" t="str">
        <f t="shared" si="85"/>
        <v>-</v>
      </c>
      <c r="K169" s="199" t="str">
        <f t="shared" si="86"/>
        <v>-</v>
      </c>
      <c r="L169" s="657"/>
      <c r="M169" s="198" t="e">
        <f>RANK(K169, K$147:$K$176)</f>
        <v>#VALUE!</v>
      </c>
      <c r="N169" s="641"/>
      <c r="O169" s="641"/>
      <c r="P169" s="424"/>
      <c r="Q169" s="384"/>
      <c r="R169" s="384"/>
      <c r="S169" s="529"/>
      <c r="T169" s="637"/>
      <c r="U169" s="424"/>
      <c r="V169" s="384"/>
      <c r="W169" s="384"/>
      <c r="X169" s="529"/>
      <c r="Y169" s="637"/>
      <c r="Z169" s="424"/>
      <c r="AA169" s="384"/>
      <c r="AB169" s="384"/>
      <c r="AC169" s="529"/>
      <c r="AD169" s="637"/>
      <c r="AE169" s="424"/>
      <c r="AF169" s="384"/>
      <c r="AG169" s="384"/>
      <c r="AH169" s="529"/>
      <c r="AI169" s="637"/>
      <c r="AJ169" s="424"/>
      <c r="AK169" s="384"/>
      <c r="AL169" s="384"/>
      <c r="AM169" s="529"/>
      <c r="AN169" s="637"/>
      <c r="AO169" s="424"/>
      <c r="AP169" s="384"/>
      <c r="AQ169" s="384"/>
      <c r="AR169" s="529"/>
      <c r="AS169" s="637"/>
      <c r="AT169" s="424"/>
      <c r="AU169" s="384"/>
      <c r="AV169" s="384"/>
      <c r="AW169" s="529"/>
      <c r="AX169" s="637"/>
      <c r="AZ169" s="372" t="e">
        <f t="shared" si="82"/>
        <v>#N/A</v>
      </c>
      <c r="BA169" s="637"/>
    </row>
    <row r="170" spans="2:53">
      <c r="B170" s="647"/>
      <c r="C170" s="275">
        <v>24</v>
      </c>
      <c r="D170" s="518"/>
      <c r="E170" s="201"/>
      <c r="F170" s="201"/>
      <c r="G170" s="517"/>
      <c r="H170" s="637"/>
      <c r="I170" s="363" t="str">
        <f t="shared" si="84"/>
        <v>-</v>
      </c>
      <c r="J170" s="363" t="str">
        <f t="shared" si="85"/>
        <v>-</v>
      </c>
      <c r="K170" s="199" t="str">
        <f t="shared" si="86"/>
        <v>-</v>
      </c>
      <c r="L170" s="657"/>
      <c r="M170" s="198" t="e">
        <f>RANK(K170, K$147:$K$176)</f>
        <v>#VALUE!</v>
      </c>
      <c r="N170" s="641"/>
      <c r="O170" s="641"/>
      <c r="P170" s="424"/>
      <c r="Q170" s="384"/>
      <c r="R170" s="384"/>
      <c r="S170" s="529"/>
      <c r="T170" s="637"/>
      <c r="U170" s="424"/>
      <c r="V170" s="384"/>
      <c r="W170" s="384"/>
      <c r="X170" s="529"/>
      <c r="Y170" s="637"/>
      <c r="Z170" s="424"/>
      <c r="AA170" s="384"/>
      <c r="AB170" s="384"/>
      <c r="AC170" s="529"/>
      <c r="AD170" s="637"/>
      <c r="AE170" s="424"/>
      <c r="AF170" s="384"/>
      <c r="AG170" s="384"/>
      <c r="AH170" s="529"/>
      <c r="AI170" s="637"/>
      <c r="AJ170" s="424"/>
      <c r="AK170" s="384"/>
      <c r="AL170" s="384"/>
      <c r="AM170" s="529"/>
      <c r="AN170" s="637"/>
      <c r="AO170" s="424"/>
      <c r="AP170" s="384"/>
      <c r="AQ170" s="384"/>
      <c r="AR170" s="529"/>
      <c r="AS170" s="637"/>
      <c r="AT170" s="424"/>
      <c r="AU170" s="384"/>
      <c r="AV170" s="384"/>
      <c r="AW170" s="529"/>
      <c r="AX170" s="637"/>
      <c r="AZ170" s="372" t="e">
        <f t="shared" si="82"/>
        <v>#N/A</v>
      </c>
      <c r="BA170" s="637"/>
    </row>
    <row r="171" spans="2:53">
      <c r="B171" s="647"/>
      <c r="C171" s="275">
        <v>25</v>
      </c>
      <c r="D171" s="201"/>
      <c r="E171" s="201"/>
      <c r="F171" s="201"/>
      <c r="G171" s="517"/>
      <c r="H171" s="637"/>
      <c r="I171" s="363" t="str">
        <f t="shared" si="84"/>
        <v>-</v>
      </c>
      <c r="J171" s="363" t="str">
        <f t="shared" si="85"/>
        <v>-</v>
      </c>
      <c r="K171" s="199" t="str">
        <f t="shared" si="86"/>
        <v>-</v>
      </c>
      <c r="L171" s="657"/>
      <c r="M171" s="198" t="e">
        <f>RANK(K171, K$147:$K$176)</f>
        <v>#VALUE!</v>
      </c>
      <c r="N171" s="641"/>
      <c r="O171" s="641"/>
      <c r="P171" s="424"/>
      <c r="Q171" s="384"/>
      <c r="R171" s="384"/>
      <c r="S171" s="529"/>
      <c r="T171" s="637"/>
      <c r="U171" s="424"/>
      <c r="V171" s="384"/>
      <c r="W171" s="384"/>
      <c r="X171" s="529"/>
      <c r="Y171" s="637"/>
      <c r="Z171" s="424"/>
      <c r="AA171" s="384"/>
      <c r="AB171" s="384"/>
      <c r="AC171" s="529"/>
      <c r="AD171" s="637"/>
      <c r="AE171" s="424"/>
      <c r="AF171" s="384"/>
      <c r="AG171" s="384"/>
      <c r="AH171" s="529"/>
      <c r="AI171" s="637"/>
      <c r="AJ171" s="424"/>
      <c r="AK171" s="384"/>
      <c r="AL171" s="384"/>
      <c r="AM171" s="529"/>
      <c r="AN171" s="637"/>
      <c r="AO171" s="424"/>
      <c r="AP171" s="384"/>
      <c r="AQ171" s="384"/>
      <c r="AR171" s="529"/>
      <c r="AS171" s="637"/>
      <c r="AT171" s="424"/>
      <c r="AU171" s="384"/>
      <c r="AV171" s="384"/>
      <c r="AW171" s="529"/>
      <c r="AX171" s="637"/>
      <c r="AZ171" s="372" t="e">
        <f t="shared" si="82"/>
        <v>#N/A</v>
      </c>
      <c r="BA171" s="637"/>
    </row>
    <row r="172" spans="2:53">
      <c r="B172" s="647"/>
      <c r="C172" s="275">
        <v>26</v>
      </c>
      <c r="D172" s="201"/>
      <c r="E172" s="201"/>
      <c r="F172" s="201"/>
      <c r="G172" s="517"/>
      <c r="H172" s="637"/>
      <c r="I172" s="363" t="str">
        <f t="shared" si="84"/>
        <v>-</v>
      </c>
      <c r="J172" s="363" t="str">
        <f t="shared" si="85"/>
        <v>-</v>
      </c>
      <c r="K172" s="199" t="str">
        <f t="shared" si="86"/>
        <v>-</v>
      </c>
      <c r="L172" s="657"/>
      <c r="M172" s="198" t="e">
        <f>RANK(K172, K$147:$K$176)</f>
        <v>#VALUE!</v>
      </c>
      <c r="N172" s="641"/>
      <c r="O172" s="641"/>
      <c r="P172" s="424"/>
      <c r="Q172" s="384"/>
      <c r="R172" s="384"/>
      <c r="S172" s="529"/>
      <c r="T172" s="637"/>
      <c r="U172" s="424"/>
      <c r="V172" s="384"/>
      <c r="W172" s="384"/>
      <c r="X172" s="529"/>
      <c r="Y172" s="637"/>
      <c r="Z172" s="424"/>
      <c r="AA172" s="384"/>
      <c r="AB172" s="384"/>
      <c r="AC172" s="529"/>
      <c r="AD172" s="637"/>
      <c r="AE172" s="424"/>
      <c r="AF172" s="384"/>
      <c r="AG172" s="384"/>
      <c r="AH172" s="529"/>
      <c r="AI172" s="637"/>
      <c r="AJ172" s="424"/>
      <c r="AK172" s="384"/>
      <c r="AL172" s="384"/>
      <c r="AM172" s="529"/>
      <c r="AN172" s="637"/>
      <c r="AO172" s="424"/>
      <c r="AP172" s="384"/>
      <c r="AQ172" s="384"/>
      <c r="AR172" s="529"/>
      <c r="AS172" s="637"/>
      <c r="AT172" s="424"/>
      <c r="AU172" s="384"/>
      <c r="AV172" s="384"/>
      <c r="AW172" s="529"/>
      <c r="AX172" s="637"/>
      <c r="AZ172" s="372" t="e">
        <f t="shared" si="82"/>
        <v>#N/A</v>
      </c>
      <c r="BA172" s="637"/>
    </row>
    <row r="173" spans="2:53">
      <c r="B173" s="647"/>
      <c r="C173" s="275">
        <v>27</v>
      </c>
      <c r="D173" s="201"/>
      <c r="E173" s="201"/>
      <c r="F173" s="201"/>
      <c r="G173" s="517"/>
      <c r="H173" s="637"/>
      <c r="I173" s="363" t="str">
        <f t="shared" si="84"/>
        <v>-</v>
      </c>
      <c r="J173" s="363" t="str">
        <f t="shared" si="85"/>
        <v>-</v>
      </c>
      <c r="K173" s="199" t="str">
        <f t="shared" si="86"/>
        <v>-</v>
      </c>
      <c r="L173" s="657"/>
      <c r="M173" s="198" t="e">
        <f>RANK(K173, K$147:$K$176)</f>
        <v>#VALUE!</v>
      </c>
      <c r="N173" s="641"/>
      <c r="O173" s="641"/>
      <c r="P173" s="424"/>
      <c r="Q173" s="384"/>
      <c r="R173" s="384"/>
      <c r="S173" s="529"/>
      <c r="T173" s="637"/>
      <c r="U173" s="424"/>
      <c r="V173" s="384"/>
      <c r="W173" s="384"/>
      <c r="X173" s="529"/>
      <c r="Y173" s="637"/>
      <c r="Z173" s="424"/>
      <c r="AA173" s="384"/>
      <c r="AB173" s="384"/>
      <c r="AC173" s="529"/>
      <c r="AD173" s="637"/>
      <c r="AE173" s="424"/>
      <c r="AF173" s="384"/>
      <c r="AG173" s="384"/>
      <c r="AH173" s="529"/>
      <c r="AI173" s="637"/>
      <c r="AJ173" s="424"/>
      <c r="AK173" s="384"/>
      <c r="AL173" s="384"/>
      <c r="AM173" s="529"/>
      <c r="AN173" s="637"/>
      <c r="AO173" s="424"/>
      <c r="AP173" s="384"/>
      <c r="AQ173" s="384"/>
      <c r="AR173" s="529"/>
      <c r="AS173" s="637"/>
      <c r="AT173" s="424"/>
      <c r="AU173" s="384"/>
      <c r="AV173" s="384"/>
      <c r="AW173" s="529"/>
      <c r="AX173" s="637"/>
      <c r="AZ173" s="372" t="e">
        <f t="shared" si="82"/>
        <v>#N/A</v>
      </c>
      <c r="BA173" s="637"/>
    </row>
    <row r="174" spans="2:53">
      <c r="B174" s="647"/>
      <c r="C174" s="275">
        <v>28</v>
      </c>
      <c r="D174" s="201"/>
      <c r="E174" s="201"/>
      <c r="F174" s="201"/>
      <c r="G174" s="201"/>
      <c r="H174" s="637"/>
      <c r="I174" s="363" t="str">
        <f t="shared" si="84"/>
        <v>-</v>
      </c>
      <c r="J174" s="363" t="str">
        <f t="shared" si="85"/>
        <v>-</v>
      </c>
      <c r="K174" s="199" t="str">
        <f t="shared" si="86"/>
        <v>-</v>
      </c>
      <c r="L174" s="657"/>
      <c r="M174" s="198" t="e">
        <f>RANK(K174, K$147:$K$176)</f>
        <v>#VALUE!</v>
      </c>
      <c r="N174" s="641"/>
      <c r="O174" s="641"/>
      <c r="P174" s="424"/>
      <c r="Q174" s="384"/>
      <c r="R174" s="384"/>
      <c r="S174" s="529"/>
      <c r="T174" s="637"/>
      <c r="U174" s="424"/>
      <c r="V174" s="384"/>
      <c r="W174" s="384"/>
      <c r="X174" s="529"/>
      <c r="Y174" s="637"/>
      <c r="Z174" s="424"/>
      <c r="AA174" s="384"/>
      <c r="AB174" s="384"/>
      <c r="AC174" s="529"/>
      <c r="AD174" s="637"/>
      <c r="AE174" s="424"/>
      <c r="AF174" s="384"/>
      <c r="AG174" s="384"/>
      <c r="AH174" s="529"/>
      <c r="AI174" s="637"/>
      <c r="AJ174" s="424"/>
      <c r="AK174" s="384"/>
      <c r="AL174" s="384"/>
      <c r="AM174" s="529"/>
      <c r="AN174" s="637"/>
      <c r="AO174" s="424"/>
      <c r="AP174" s="384"/>
      <c r="AQ174" s="384"/>
      <c r="AR174" s="529"/>
      <c r="AS174" s="637"/>
      <c r="AT174" s="424"/>
      <c r="AU174" s="384"/>
      <c r="AV174" s="384"/>
      <c r="AW174" s="529"/>
      <c r="AX174" s="637"/>
      <c r="AZ174" s="372" t="e">
        <f t="shared" si="82"/>
        <v>#N/A</v>
      </c>
      <c r="BA174" s="637"/>
    </row>
    <row r="175" spans="2:53">
      <c r="B175" s="647"/>
      <c r="C175" s="275">
        <v>29</v>
      </c>
      <c r="D175" s="201"/>
      <c r="E175" s="201"/>
      <c r="F175" s="201"/>
      <c r="G175" s="201"/>
      <c r="H175" s="637"/>
      <c r="I175" s="363" t="str">
        <f t="shared" si="84"/>
        <v>-</v>
      </c>
      <c r="J175" s="363" t="str">
        <f t="shared" si="85"/>
        <v>-</v>
      </c>
      <c r="K175" s="199" t="str">
        <f t="shared" si="86"/>
        <v>-</v>
      </c>
      <c r="L175" s="657"/>
      <c r="M175" s="198" t="e">
        <f>RANK(K175, K$147:$K$176)</f>
        <v>#VALUE!</v>
      </c>
      <c r="N175" s="641"/>
      <c r="O175" s="641"/>
      <c r="P175" s="424"/>
      <c r="Q175" s="384"/>
      <c r="R175" s="384"/>
      <c r="S175" s="529"/>
      <c r="T175" s="637"/>
      <c r="U175" s="424"/>
      <c r="V175" s="384"/>
      <c r="W175" s="384"/>
      <c r="X175" s="529"/>
      <c r="Y175" s="637"/>
      <c r="Z175" s="424"/>
      <c r="AA175" s="384"/>
      <c r="AB175" s="384"/>
      <c r="AC175" s="529"/>
      <c r="AD175" s="637"/>
      <c r="AE175" s="424"/>
      <c r="AF175" s="384"/>
      <c r="AG175" s="384"/>
      <c r="AH175" s="529"/>
      <c r="AI175" s="637"/>
      <c r="AJ175" s="424"/>
      <c r="AK175" s="384"/>
      <c r="AL175" s="384"/>
      <c r="AM175" s="529"/>
      <c r="AN175" s="637"/>
      <c r="AO175" s="424"/>
      <c r="AP175" s="384"/>
      <c r="AQ175" s="384"/>
      <c r="AR175" s="529"/>
      <c r="AS175" s="637"/>
      <c r="AT175" s="424"/>
      <c r="AU175" s="384"/>
      <c r="AV175" s="384"/>
      <c r="AW175" s="529"/>
      <c r="AX175" s="637"/>
      <c r="AZ175" s="372" t="e">
        <f t="shared" si="82"/>
        <v>#N/A</v>
      </c>
      <c r="BA175" s="637"/>
    </row>
    <row r="176" spans="2:53">
      <c r="B176" s="647"/>
      <c r="C176" s="275">
        <v>30</v>
      </c>
      <c r="D176" s="201"/>
      <c r="E176" s="201"/>
      <c r="F176" s="201"/>
      <c r="G176" s="201"/>
      <c r="H176" s="638"/>
      <c r="I176" s="363" t="str">
        <f t="shared" si="84"/>
        <v>-</v>
      </c>
      <c r="J176" s="363" t="str">
        <f t="shared" si="85"/>
        <v>-</v>
      </c>
      <c r="K176" s="199" t="str">
        <f t="shared" si="86"/>
        <v>-</v>
      </c>
      <c r="L176" s="658"/>
      <c r="M176" s="198" t="e">
        <f>RANK(K176, K$147:$K$176)</f>
        <v>#VALUE!</v>
      </c>
      <c r="N176" s="641"/>
      <c r="O176" s="641"/>
      <c r="P176" s="424"/>
      <c r="Q176" s="384"/>
      <c r="R176" s="384"/>
      <c r="S176" s="529"/>
      <c r="T176" s="638"/>
      <c r="U176" s="424"/>
      <c r="V176" s="384"/>
      <c r="W176" s="384"/>
      <c r="X176" s="529"/>
      <c r="Y176" s="638"/>
      <c r="Z176" s="424"/>
      <c r="AA176" s="384"/>
      <c r="AB176" s="384"/>
      <c r="AC176" s="529"/>
      <c r="AD176" s="638"/>
      <c r="AE176" s="424"/>
      <c r="AF176" s="384"/>
      <c r="AG176" s="384"/>
      <c r="AH176" s="529"/>
      <c r="AI176" s="638"/>
      <c r="AJ176" s="424"/>
      <c r="AK176" s="384"/>
      <c r="AL176" s="384"/>
      <c r="AM176" s="529"/>
      <c r="AN176" s="638"/>
      <c r="AO176" s="424"/>
      <c r="AP176" s="384"/>
      <c r="AQ176" s="384"/>
      <c r="AR176" s="529"/>
      <c r="AS176" s="638"/>
      <c r="AT176" s="424"/>
      <c r="AU176" s="384"/>
      <c r="AV176" s="384"/>
      <c r="AW176" s="529"/>
      <c r="AX176" s="638"/>
      <c r="AZ176" s="372" t="e">
        <f t="shared" si="82"/>
        <v>#N/A</v>
      </c>
      <c r="BA176" s="638"/>
    </row>
    <row r="177" spans="2:53" ht="15.75">
      <c r="B177" s="669" t="s">
        <v>162</v>
      </c>
      <c r="C177" s="670"/>
      <c r="D177" s="670"/>
      <c r="E177" s="670"/>
      <c r="F177" s="670"/>
      <c r="G177" s="670"/>
      <c r="H177" s="671"/>
      <c r="I177" s="207"/>
      <c r="J177" s="207"/>
      <c r="K177" s="207"/>
      <c r="L177" s="207"/>
      <c r="M177" s="206"/>
      <c r="N177" s="643" t="s">
        <v>156</v>
      </c>
      <c r="O177" s="643" t="s">
        <v>105</v>
      </c>
      <c r="P177" s="668">
        <f>P142+7</f>
        <v>46266</v>
      </c>
      <c r="Q177" s="647"/>
      <c r="R177" s="647"/>
      <c r="S177" s="647"/>
      <c r="T177" s="647"/>
      <c r="U177" s="665">
        <f>P177+1</f>
        <v>46267</v>
      </c>
      <c r="V177" s="666"/>
      <c r="W177" s="666"/>
      <c r="X177" s="666"/>
      <c r="Y177" s="667"/>
      <c r="Z177" s="665">
        <f>U177+1</f>
        <v>46268</v>
      </c>
      <c r="AA177" s="666"/>
      <c r="AB177" s="666"/>
      <c r="AC177" s="666"/>
      <c r="AD177" s="667"/>
      <c r="AE177" s="665">
        <f>Z177+1</f>
        <v>46269</v>
      </c>
      <c r="AF177" s="666"/>
      <c r="AG177" s="666"/>
      <c r="AH177" s="666"/>
      <c r="AI177" s="667"/>
      <c r="AJ177" s="665">
        <f>AE177+1</f>
        <v>46270</v>
      </c>
      <c r="AK177" s="666"/>
      <c r="AL177" s="666"/>
      <c r="AM177" s="666"/>
      <c r="AN177" s="667"/>
      <c r="AO177" s="665">
        <f>AJ177+1</f>
        <v>46271</v>
      </c>
      <c r="AP177" s="666"/>
      <c r="AQ177" s="666"/>
      <c r="AR177" s="666"/>
      <c r="AS177" s="667"/>
      <c r="AT177" s="665">
        <f>AO177+1</f>
        <v>46272</v>
      </c>
      <c r="AU177" s="666"/>
      <c r="AV177" s="666"/>
      <c r="AW177" s="666"/>
      <c r="AX177" s="667"/>
    </row>
    <row r="178" spans="2:53" ht="15.75">
      <c r="B178" s="672"/>
      <c r="C178" s="672"/>
      <c r="D178" s="672"/>
      <c r="E178" s="672"/>
      <c r="F178" s="672"/>
      <c r="G178" s="672"/>
      <c r="H178" s="672"/>
      <c r="I178" s="204"/>
      <c r="J178" s="204"/>
      <c r="K178" s="204"/>
      <c r="L178" s="204"/>
      <c r="M178" s="205"/>
      <c r="N178" s="645"/>
      <c r="O178" s="645"/>
      <c r="P178" s="668" t="s">
        <v>158</v>
      </c>
      <c r="Q178" s="647"/>
      <c r="R178" s="647"/>
      <c r="S178" s="647"/>
      <c r="T178" s="647"/>
      <c r="U178" s="668" t="s">
        <v>114</v>
      </c>
      <c r="V178" s="647"/>
      <c r="W178" s="647"/>
      <c r="X178" s="647"/>
      <c r="Y178" s="647"/>
      <c r="Z178" s="668" t="s">
        <v>159</v>
      </c>
      <c r="AA178" s="647"/>
      <c r="AB178" s="647"/>
      <c r="AC178" s="647"/>
      <c r="AD178" s="647"/>
      <c r="AE178" s="668" t="s">
        <v>157</v>
      </c>
      <c r="AF178" s="647"/>
      <c r="AG178" s="647"/>
      <c r="AH178" s="647"/>
      <c r="AI178" s="647"/>
      <c r="AJ178" s="668" t="s">
        <v>160</v>
      </c>
      <c r="AK178" s="647"/>
      <c r="AL178" s="647"/>
      <c r="AM178" s="647"/>
      <c r="AN178" s="647"/>
      <c r="AO178" s="668" t="s">
        <v>115</v>
      </c>
      <c r="AP178" s="647"/>
      <c r="AQ178" s="647"/>
      <c r="AR178" s="647"/>
      <c r="AS178" s="647"/>
      <c r="AT178" s="668" t="s">
        <v>161</v>
      </c>
      <c r="AU178" s="647"/>
      <c r="AV178" s="647"/>
      <c r="AW178" s="647"/>
      <c r="AX178" s="647"/>
    </row>
    <row r="179" spans="2:53">
      <c r="B179" s="641" t="s">
        <v>154</v>
      </c>
      <c r="C179" s="641" t="s">
        <v>379</v>
      </c>
      <c r="D179" s="641"/>
      <c r="E179" s="641" t="s">
        <v>370</v>
      </c>
      <c r="F179" s="641"/>
      <c r="G179" s="641"/>
      <c r="H179" s="673" t="s">
        <v>366</v>
      </c>
      <c r="I179" s="641" t="s">
        <v>371</v>
      </c>
      <c r="J179" s="641"/>
      <c r="K179" s="641"/>
      <c r="L179" s="673" t="s">
        <v>366</v>
      </c>
      <c r="M179" s="643" t="s">
        <v>367</v>
      </c>
      <c r="N179" s="641"/>
      <c r="O179" s="641" t="s">
        <v>372</v>
      </c>
      <c r="P179" s="659" t="s">
        <v>368</v>
      </c>
      <c r="Q179" s="660"/>
      <c r="R179" s="660"/>
      <c r="S179" s="661"/>
      <c r="T179" s="641" t="s">
        <v>366</v>
      </c>
      <c r="U179" s="659" t="s">
        <v>368</v>
      </c>
      <c r="V179" s="660"/>
      <c r="W179" s="660"/>
      <c r="X179" s="661"/>
      <c r="Y179" s="641" t="s">
        <v>366</v>
      </c>
      <c r="Z179" s="659" t="s">
        <v>368</v>
      </c>
      <c r="AA179" s="660"/>
      <c r="AB179" s="660"/>
      <c r="AC179" s="661"/>
      <c r="AD179" s="641" t="s">
        <v>366</v>
      </c>
      <c r="AE179" s="659" t="s">
        <v>368</v>
      </c>
      <c r="AF179" s="660"/>
      <c r="AG179" s="660"/>
      <c r="AH179" s="661"/>
      <c r="AI179" s="641" t="s">
        <v>366</v>
      </c>
      <c r="AJ179" s="659" t="s">
        <v>368</v>
      </c>
      <c r="AK179" s="660"/>
      <c r="AL179" s="660"/>
      <c r="AM179" s="661"/>
      <c r="AN179" s="641" t="s">
        <v>366</v>
      </c>
      <c r="AO179" s="659" t="s">
        <v>368</v>
      </c>
      <c r="AP179" s="660"/>
      <c r="AQ179" s="660"/>
      <c r="AR179" s="661"/>
      <c r="AS179" s="641" t="s">
        <v>366</v>
      </c>
      <c r="AT179" s="662" t="s">
        <v>368</v>
      </c>
      <c r="AU179" s="663"/>
      <c r="AV179" s="663"/>
      <c r="AW179" s="664"/>
      <c r="AX179" s="639" t="s">
        <v>366</v>
      </c>
      <c r="BA179" s="639" t="s">
        <v>366</v>
      </c>
    </row>
    <row r="180" spans="2:53">
      <c r="B180" s="641"/>
      <c r="C180" s="641"/>
      <c r="D180" s="641"/>
      <c r="E180" s="641" t="s">
        <v>373</v>
      </c>
      <c r="F180" s="641"/>
      <c r="G180" s="641"/>
      <c r="H180" s="674"/>
      <c r="I180" s="641" t="s">
        <v>373</v>
      </c>
      <c r="J180" s="641"/>
      <c r="K180" s="641"/>
      <c r="L180" s="674"/>
      <c r="M180" s="644"/>
      <c r="N180" s="641"/>
      <c r="O180" s="641"/>
      <c r="P180" s="659" t="s">
        <v>374</v>
      </c>
      <c r="Q180" s="660"/>
      <c r="R180" s="660"/>
      <c r="S180" s="661"/>
      <c r="T180" s="641"/>
      <c r="U180" s="659" t="s">
        <v>374</v>
      </c>
      <c r="V180" s="660"/>
      <c r="W180" s="660"/>
      <c r="X180" s="661"/>
      <c r="Y180" s="641"/>
      <c r="Z180" s="659" t="s">
        <v>374</v>
      </c>
      <c r="AA180" s="660"/>
      <c r="AB180" s="660"/>
      <c r="AC180" s="661"/>
      <c r="AD180" s="641"/>
      <c r="AE180" s="659" t="s">
        <v>374</v>
      </c>
      <c r="AF180" s="660"/>
      <c r="AG180" s="660"/>
      <c r="AH180" s="661"/>
      <c r="AI180" s="641"/>
      <c r="AJ180" s="659" t="s">
        <v>374</v>
      </c>
      <c r="AK180" s="660"/>
      <c r="AL180" s="660"/>
      <c r="AM180" s="661"/>
      <c r="AN180" s="641"/>
      <c r="AO180" s="659" t="s">
        <v>374</v>
      </c>
      <c r="AP180" s="660"/>
      <c r="AQ180" s="660"/>
      <c r="AR180" s="661"/>
      <c r="AS180" s="641"/>
      <c r="AT180" s="662" t="s">
        <v>374</v>
      </c>
      <c r="AU180" s="663"/>
      <c r="AV180" s="663"/>
      <c r="AW180" s="664"/>
      <c r="AX180" s="639"/>
      <c r="BA180" s="639"/>
    </row>
    <row r="181" spans="2:53">
      <c r="B181" s="641"/>
      <c r="C181" s="641"/>
      <c r="D181" s="641"/>
      <c r="E181" s="345" t="s">
        <v>375</v>
      </c>
      <c r="F181" s="345" t="s">
        <v>376</v>
      </c>
      <c r="G181" s="345" t="s">
        <v>377</v>
      </c>
      <c r="H181" s="675"/>
      <c r="I181" s="345" t="s">
        <v>375</v>
      </c>
      <c r="J181" s="345" t="s">
        <v>376</v>
      </c>
      <c r="K181" s="345" t="s">
        <v>377</v>
      </c>
      <c r="L181" s="675"/>
      <c r="M181" s="645"/>
      <c r="N181" s="641"/>
      <c r="O181" s="641"/>
      <c r="P181" s="345" t="s">
        <v>375</v>
      </c>
      <c r="Q181" s="345" t="s">
        <v>376</v>
      </c>
      <c r="R181" s="345" t="s">
        <v>377</v>
      </c>
      <c r="S181" s="345" t="s">
        <v>367</v>
      </c>
      <c r="T181" s="641"/>
      <c r="U181" s="345" t="s">
        <v>375</v>
      </c>
      <c r="V181" s="345" t="s">
        <v>376</v>
      </c>
      <c r="W181" s="345" t="s">
        <v>377</v>
      </c>
      <c r="X181" s="345" t="s">
        <v>367</v>
      </c>
      <c r="Y181" s="641"/>
      <c r="Z181" s="345" t="s">
        <v>375</v>
      </c>
      <c r="AA181" s="345" t="s">
        <v>376</v>
      </c>
      <c r="AB181" s="345" t="s">
        <v>377</v>
      </c>
      <c r="AC181" s="345" t="s">
        <v>367</v>
      </c>
      <c r="AD181" s="641"/>
      <c r="AE181" s="345" t="s">
        <v>375</v>
      </c>
      <c r="AF181" s="345" t="s">
        <v>376</v>
      </c>
      <c r="AG181" s="345" t="s">
        <v>377</v>
      </c>
      <c r="AH181" s="345" t="s">
        <v>367</v>
      </c>
      <c r="AI181" s="641"/>
      <c r="AJ181" s="345" t="s">
        <v>375</v>
      </c>
      <c r="AK181" s="345" t="s">
        <v>376</v>
      </c>
      <c r="AL181" s="345" t="s">
        <v>377</v>
      </c>
      <c r="AM181" s="345" t="s">
        <v>367</v>
      </c>
      <c r="AN181" s="641"/>
      <c r="AO181" s="345" t="s">
        <v>375</v>
      </c>
      <c r="AP181" s="345" t="s">
        <v>376</v>
      </c>
      <c r="AQ181" s="345" t="s">
        <v>377</v>
      </c>
      <c r="AR181" s="345" t="s">
        <v>367</v>
      </c>
      <c r="AS181" s="641"/>
      <c r="AT181" s="347" t="s">
        <v>375</v>
      </c>
      <c r="AU181" s="347" t="s">
        <v>376</v>
      </c>
      <c r="AV181" s="347" t="s">
        <v>377</v>
      </c>
      <c r="AW181" s="347" t="s">
        <v>367</v>
      </c>
      <c r="AX181" s="639"/>
      <c r="AZ181" s="374" t="s">
        <v>367</v>
      </c>
      <c r="BA181" s="639"/>
    </row>
    <row r="182" spans="2:53">
      <c r="B182" s="646" t="s">
        <v>483</v>
      </c>
      <c r="C182" s="348">
        <v>1</v>
      </c>
      <c r="D182" s="201"/>
      <c r="E182" s="201"/>
      <c r="F182" s="201"/>
      <c r="G182" s="517"/>
      <c r="H182" s="654" t="e">
        <f>AVERAGE(G182:G211)</f>
        <v>#DIV/0!</v>
      </c>
      <c r="I182" s="363" t="str">
        <f>IFERROR(AVERAGE(P182,U182,Z182,AE182,AJ182,AO182,AT182),"-")</f>
        <v>-</v>
      </c>
      <c r="J182" s="363" t="str">
        <f>IFERROR(AVERAGE(Q182,V182,AA182,AF182,AK182,AP182,AU182),"-")</f>
        <v>-</v>
      </c>
      <c r="K182" s="199" t="str">
        <f>IFERROR(AVERAGE(R182,W182,AB182,AG182,AL182,AQ182,AV182),"-")</f>
        <v>-</v>
      </c>
      <c r="L182" s="656" t="str">
        <f>IFERROR(AVERAGE(K182:K211),"-")</f>
        <v>-</v>
      </c>
      <c r="M182" s="349" t="e">
        <f>RANK(K182, K$182:$K$211)</f>
        <v>#VALUE!</v>
      </c>
      <c r="N182" s="641"/>
      <c r="O182" s="641"/>
      <c r="P182" s="510"/>
      <c r="Q182" s="512"/>
      <c r="R182" s="512"/>
      <c r="S182" s="511"/>
      <c r="T182" s="642"/>
      <c r="U182" s="510"/>
      <c r="V182" s="512"/>
      <c r="W182" s="512"/>
      <c r="X182" s="511"/>
      <c r="Y182" s="642"/>
      <c r="Z182" s="510"/>
      <c r="AA182" s="512"/>
      <c r="AB182" s="512"/>
      <c r="AC182" s="511"/>
      <c r="AD182" s="642"/>
      <c r="AE182" s="510"/>
      <c r="AF182" s="512"/>
      <c r="AG182" s="512"/>
      <c r="AH182" s="511"/>
      <c r="AI182" s="642"/>
      <c r="AJ182" s="510"/>
      <c r="AK182" s="512"/>
      <c r="AL182" s="512"/>
      <c r="AM182" s="511"/>
      <c r="AN182" s="642"/>
      <c r="AO182" s="510"/>
      <c r="AP182" s="512"/>
      <c r="AQ182" s="512"/>
      <c r="AR182" s="511"/>
      <c r="AS182" s="642"/>
      <c r="AT182" s="510"/>
      <c r="AU182" s="512"/>
      <c r="AV182" s="512"/>
      <c r="AW182" s="511"/>
      <c r="AX182" s="642"/>
      <c r="AZ182" s="350" t="e">
        <f>RANK(AY182, AY$112:AY$141)</f>
        <v>#N/A</v>
      </c>
      <c r="BA182" s="640" t="e">
        <f>AVERAGE(AY182:AY211)</f>
        <v>#DIV/0!</v>
      </c>
    </row>
    <row r="183" spans="2:53">
      <c r="B183" s="676"/>
      <c r="C183" s="348">
        <v>2</v>
      </c>
      <c r="D183" s="518"/>
      <c r="E183" s="201"/>
      <c r="F183" s="201"/>
      <c r="G183" s="517"/>
      <c r="H183" s="655"/>
      <c r="I183" s="363" t="str">
        <f t="shared" ref="I183:I211" si="87">IFERROR(AVERAGE(P183,U183,Z183,AE183,AJ183,AO183,AT183),"-")</f>
        <v>-</v>
      </c>
      <c r="J183" s="363" t="str">
        <f t="shared" ref="J183:J211" si="88">IFERROR(AVERAGE(Q183,V183,AA183,AF183,AK183,AP183,AU183),"-")</f>
        <v>-</v>
      </c>
      <c r="K183" s="199" t="str">
        <f t="shared" ref="K183:K211" si="89">IFERROR(AVERAGE(R183,W183,AB183,AG183,AL183,AQ183,AV183),"-")</f>
        <v>-</v>
      </c>
      <c r="L183" s="657"/>
      <c r="M183" s="349" t="e">
        <f>RANK(K183, K$182:$K$211)</f>
        <v>#VALUE!</v>
      </c>
      <c r="N183" s="641"/>
      <c r="O183" s="641"/>
      <c r="P183" s="510"/>
      <c r="Q183" s="512"/>
      <c r="R183" s="512"/>
      <c r="S183" s="511"/>
      <c r="T183" s="642"/>
      <c r="U183" s="510"/>
      <c r="V183" s="512"/>
      <c r="W183" s="512"/>
      <c r="X183" s="511"/>
      <c r="Y183" s="642"/>
      <c r="Z183" s="510"/>
      <c r="AA183" s="512"/>
      <c r="AB183" s="512"/>
      <c r="AC183" s="511"/>
      <c r="AD183" s="642"/>
      <c r="AE183" s="510"/>
      <c r="AF183" s="512"/>
      <c r="AG183" s="512"/>
      <c r="AH183" s="511"/>
      <c r="AI183" s="642"/>
      <c r="AJ183" s="510"/>
      <c r="AK183" s="512"/>
      <c r="AL183" s="512"/>
      <c r="AM183" s="511"/>
      <c r="AN183" s="642"/>
      <c r="AO183" s="510"/>
      <c r="AP183" s="512"/>
      <c r="AQ183" s="512"/>
      <c r="AR183" s="511"/>
      <c r="AS183" s="642"/>
      <c r="AT183" s="510"/>
      <c r="AU183" s="512"/>
      <c r="AV183" s="512"/>
      <c r="AW183" s="511"/>
      <c r="AX183" s="642"/>
      <c r="AZ183" s="350" t="e">
        <f t="shared" ref="AZ183:AZ211" si="90">RANK(AY183, AY$112:AY$141)</f>
        <v>#N/A</v>
      </c>
      <c r="BA183" s="640"/>
    </row>
    <row r="184" spans="2:53">
      <c r="B184" s="676"/>
      <c r="C184" s="348">
        <v>3</v>
      </c>
      <c r="D184" s="201"/>
      <c r="E184" s="201"/>
      <c r="F184" s="201"/>
      <c r="G184" s="517"/>
      <c r="H184" s="655"/>
      <c r="I184" s="363" t="str">
        <f t="shared" si="87"/>
        <v>-</v>
      </c>
      <c r="J184" s="363" t="str">
        <f t="shared" si="88"/>
        <v>-</v>
      </c>
      <c r="K184" s="199" t="str">
        <f t="shared" si="89"/>
        <v>-</v>
      </c>
      <c r="L184" s="657"/>
      <c r="M184" s="349" t="e">
        <f>RANK(K184, K$182:$K$211)</f>
        <v>#VALUE!</v>
      </c>
      <c r="N184" s="641"/>
      <c r="O184" s="641"/>
      <c r="P184" s="510"/>
      <c r="Q184" s="512"/>
      <c r="R184" s="512"/>
      <c r="S184" s="511"/>
      <c r="T184" s="642"/>
      <c r="U184" s="510"/>
      <c r="V184" s="512"/>
      <c r="W184" s="512"/>
      <c r="X184" s="511"/>
      <c r="Y184" s="642"/>
      <c r="Z184" s="510"/>
      <c r="AA184" s="512"/>
      <c r="AB184" s="512"/>
      <c r="AC184" s="511"/>
      <c r="AD184" s="642"/>
      <c r="AE184" s="510"/>
      <c r="AF184" s="512"/>
      <c r="AG184" s="512"/>
      <c r="AH184" s="511"/>
      <c r="AI184" s="642"/>
      <c r="AJ184" s="510"/>
      <c r="AK184" s="512"/>
      <c r="AL184" s="512"/>
      <c r="AM184" s="511"/>
      <c r="AN184" s="642"/>
      <c r="AO184" s="510"/>
      <c r="AP184" s="512"/>
      <c r="AQ184" s="512"/>
      <c r="AR184" s="511"/>
      <c r="AS184" s="642"/>
      <c r="AT184" s="510"/>
      <c r="AU184" s="512"/>
      <c r="AV184" s="512"/>
      <c r="AW184" s="511"/>
      <c r="AX184" s="642"/>
      <c r="AZ184" s="350" t="e">
        <f t="shared" si="90"/>
        <v>#N/A</v>
      </c>
      <c r="BA184" s="640"/>
    </row>
    <row r="185" spans="2:53">
      <c r="B185" s="676"/>
      <c r="C185" s="348">
        <v>4</v>
      </c>
      <c r="D185" s="201"/>
      <c r="E185" s="201"/>
      <c r="F185" s="201"/>
      <c r="G185" s="517"/>
      <c r="H185" s="655"/>
      <c r="I185" s="363" t="str">
        <f t="shared" si="87"/>
        <v>-</v>
      </c>
      <c r="J185" s="363" t="str">
        <f t="shared" si="88"/>
        <v>-</v>
      </c>
      <c r="K185" s="199" t="str">
        <f t="shared" si="89"/>
        <v>-</v>
      </c>
      <c r="L185" s="657"/>
      <c r="M185" s="349" t="e">
        <f>RANK(K185, K$182:$K$211)</f>
        <v>#VALUE!</v>
      </c>
      <c r="N185" s="641"/>
      <c r="O185" s="641"/>
      <c r="P185" s="510"/>
      <c r="Q185" s="512"/>
      <c r="R185" s="512"/>
      <c r="S185" s="511"/>
      <c r="T185" s="642"/>
      <c r="U185" s="510"/>
      <c r="V185" s="512"/>
      <c r="W185" s="512"/>
      <c r="X185" s="511"/>
      <c r="Y185" s="642"/>
      <c r="Z185" s="510"/>
      <c r="AA185" s="512"/>
      <c r="AB185" s="512"/>
      <c r="AC185" s="511"/>
      <c r="AD185" s="642"/>
      <c r="AE185" s="510"/>
      <c r="AF185" s="512"/>
      <c r="AG185" s="512"/>
      <c r="AH185" s="511"/>
      <c r="AI185" s="642"/>
      <c r="AJ185" s="510"/>
      <c r="AK185" s="512"/>
      <c r="AL185" s="512"/>
      <c r="AM185" s="511"/>
      <c r="AN185" s="642"/>
      <c r="AO185" s="510"/>
      <c r="AP185" s="512"/>
      <c r="AQ185" s="512"/>
      <c r="AR185" s="511"/>
      <c r="AS185" s="642"/>
      <c r="AT185" s="510"/>
      <c r="AU185" s="512"/>
      <c r="AV185" s="512"/>
      <c r="AW185" s="511"/>
      <c r="AX185" s="642"/>
      <c r="AZ185" s="350" t="e">
        <f t="shared" si="90"/>
        <v>#N/A</v>
      </c>
      <c r="BA185" s="640"/>
    </row>
    <row r="186" spans="2:53">
      <c r="B186" s="676"/>
      <c r="C186" s="348">
        <v>5</v>
      </c>
      <c r="D186" s="201"/>
      <c r="E186" s="201"/>
      <c r="F186" s="201"/>
      <c r="G186" s="517"/>
      <c r="H186" s="655"/>
      <c r="I186" s="363" t="str">
        <f t="shared" si="87"/>
        <v>-</v>
      </c>
      <c r="J186" s="363" t="str">
        <f t="shared" si="88"/>
        <v>-</v>
      </c>
      <c r="K186" s="199" t="str">
        <f t="shared" si="89"/>
        <v>-</v>
      </c>
      <c r="L186" s="657"/>
      <c r="M186" s="349" t="e">
        <f>RANK(K186, K$182:$K$211)</f>
        <v>#VALUE!</v>
      </c>
      <c r="N186" s="641"/>
      <c r="O186" s="641"/>
      <c r="P186" s="510"/>
      <c r="Q186" s="512"/>
      <c r="R186" s="512"/>
      <c r="S186" s="511"/>
      <c r="T186" s="642"/>
      <c r="U186" s="510"/>
      <c r="V186" s="512"/>
      <c r="W186" s="512"/>
      <c r="X186" s="511"/>
      <c r="Y186" s="642"/>
      <c r="Z186" s="510"/>
      <c r="AA186" s="512"/>
      <c r="AB186" s="512"/>
      <c r="AC186" s="511"/>
      <c r="AD186" s="642"/>
      <c r="AE186" s="510"/>
      <c r="AF186" s="512"/>
      <c r="AG186" s="512"/>
      <c r="AH186" s="511"/>
      <c r="AI186" s="642"/>
      <c r="AJ186" s="510"/>
      <c r="AK186" s="512"/>
      <c r="AL186" s="512"/>
      <c r="AM186" s="511"/>
      <c r="AN186" s="642"/>
      <c r="AO186" s="510"/>
      <c r="AP186" s="512"/>
      <c r="AQ186" s="512"/>
      <c r="AR186" s="511"/>
      <c r="AS186" s="642"/>
      <c r="AT186" s="510"/>
      <c r="AU186" s="512"/>
      <c r="AV186" s="512"/>
      <c r="AW186" s="511"/>
      <c r="AX186" s="642"/>
      <c r="AZ186" s="350" t="e">
        <f t="shared" si="90"/>
        <v>#N/A</v>
      </c>
      <c r="BA186" s="640"/>
    </row>
    <row r="187" spans="2:53">
      <c r="B187" s="676"/>
      <c r="C187" s="348">
        <v>6</v>
      </c>
      <c r="D187" s="201"/>
      <c r="E187" s="201"/>
      <c r="F187" s="201"/>
      <c r="G187" s="517"/>
      <c r="H187" s="655"/>
      <c r="I187" s="363" t="str">
        <f t="shared" si="87"/>
        <v>-</v>
      </c>
      <c r="J187" s="363" t="str">
        <f t="shared" si="88"/>
        <v>-</v>
      </c>
      <c r="K187" s="199" t="str">
        <f t="shared" si="89"/>
        <v>-</v>
      </c>
      <c r="L187" s="657"/>
      <c r="M187" s="349" t="e">
        <f>RANK(K187, K$182:$K$211)</f>
        <v>#VALUE!</v>
      </c>
      <c r="N187" s="641"/>
      <c r="O187" s="641"/>
      <c r="P187" s="510"/>
      <c r="Q187" s="512"/>
      <c r="R187" s="512"/>
      <c r="S187" s="511"/>
      <c r="T187" s="642"/>
      <c r="U187" s="510"/>
      <c r="V187" s="512"/>
      <c r="W187" s="512"/>
      <c r="X187" s="511"/>
      <c r="Y187" s="642"/>
      <c r="Z187" s="510"/>
      <c r="AA187" s="512"/>
      <c r="AB187" s="512"/>
      <c r="AC187" s="511"/>
      <c r="AD187" s="642"/>
      <c r="AE187" s="510"/>
      <c r="AF187" s="512"/>
      <c r="AG187" s="512"/>
      <c r="AH187" s="511"/>
      <c r="AI187" s="642"/>
      <c r="AJ187" s="510"/>
      <c r="AK187" s="512"/>
      <c r="AL187" s="512"/>
      <c r="AM187" s="511"/>
      <c r="AN187" s="642"/>
      <c r="AO187" s="510"/>
      <c r="AP187" s="512"/>
      <c r="AQ187" s="512"/>
      <c r="AR187" s="511"/>
      <c r="AS187" s="642"/>
      <c r="AT187" s="510"/>
      <c r="AU187" s="512"/>
      <c r="AV187" s="512"/>
      <c r="AW187" s="511"/>
      <c r="AX187" s="642"/>
      <c r="AZ187" s="350" t="e">
        <f t="shared" si="90"/>
        <v>#N/A</v>
      </c>
      <c r="BA187" s="640"/>
    </row>
    <row r="188" spans="2:53">
      <c r="B188" s="676"/>
      <c r="C188" s="348">
        <v>7</v>
      </c>
      <c r="D188" s="201"/>
      <c r="E188" s="201"/>
      <c r="F188" s="201"/>
      <c r="G188" s="517"/>
      <c r="H188" s="655"/>
      <c r="I188" s="363" t="str">
        <f t="shared" si="87"/>
        <v>-</v>
      </c>
      <c r="J188" s="363" t="str">
        <f t="shared" si="88"/>
        <v>-</v>
      </c>
      <c r="K188" s="199" t="str">
        <f t="shared" si="89"/>
        <v>-</v>
      </c>
      <c r="L188" s="657"/>
      <c r="M188" s="349" t="e">
        <f>RANK(K188, K$182:$K$211)</f>
        <v>#VALUE!</v>
      </c>
      <c r="N188" s="641"/>
      <c r="O188" s="641"/>
      <c r="P188" s="510"/>
      <c r="Q188" s="512"/>
      <c r="R188" s="512"/>
      <c r="S188" s="511"/>
      <c r="T188" s="642"/>
      <c r="U188" s="510"/>
      <c r="V188" s="512"/>
      <c r="W188" s="512"/>
      <c r="X188" s="511"/>
      <c r="Y188" s="642"/>
      <c r="Z188" s="510"/>
      <c r="AA188" s="512"/>
      <c r="AB188" s="512"/>
      <c r="AC188" s="511"/>
      <c r="AD188" s="642"/>
      <c r="AE188" s="510"/>
      <c r="AF188" s="512"/>
      <c r="AG188" s="512"/>
      <c r="AH188" s="511"/>
      <c r="AI188" s="642"/>
      <c r="AJ188" s="510"/>
      <c r="AK188" s="512"/>
      <c r="AL188" s="512"/>
      <c r="AM188" s="511"/>
      <c r="AN188" s="642"/>
      <c r="AO188" s="510"/>
      <c r="AP188" s="512"/>
      <c r="AQ188" s="512"/>
      <c r="AR188" s="511"/>
      <c r="AS188" s="642"/>
      <c r="AT188" s="510"/>
      <c r="AU188" s="512"/>
      <c r="AV188" s="512"/>
      <c r="AW188" s="511"/>
      <c r="AX188" s="642"/>
      <c r="AZ188" s="350" t="e">
        <f t="shared" si="90"/>
        <v>#N/A</v>
      </c>
      <c r="BA188" s="640"/>
    </row>
    <row r="189" spans="2:53">
      <c r="B189" s="676"/>
      <c r="C189" s="348">
        <v>8</v>
      </c>
      <c r="D189" s="201"/>
      <c r="E189" s="201"/>
      <c r="F189" s="201"/>
      <c r="G189" s="517"/>
      <c r="H189" s="655"/>
      <c r="I189" s="363" t="str">
        <f t="shared" si="87"/>
        <v>-</v>
      </c>
      <c r="J189" s="363" t="str">
        <f t="shared" si="88"/>
        <v>-</v>
      </c>
      <c r="K189" s="199" t="str">
        <f t="shared" si="89"/>
        <v>-</v>
      </c>
      <c r="L189" s="657"/>
      <c r="M189" s="349" t="e">
        <f>RANK(K189, K$182:$K$211)</f>
        <v>#VALUE!</v>
      </c>
      <c r="N189" s="641"/>
      <c r="O189" s="641"/>
      <c r="P189" s="510"/>
      <c r="Q189" s="512"/>
      <c r="R189" s="512"/>
      <c r="S189" s="511"/>
      <c r="T189" s="642"/>
      <c r="U189" s="510"/>
      <c r="V189" s="512"/>
      <c r="W189" s="512"/>
      <c r="X189" s="511"/>
      <c r="Y189" s="642"/>
      <c r="Z189" s="510"/>
      <c r="AA189" s="512"/>
      <c r="AB189" s="512"/>
      <c r="AC189" s="511"/>
      <c r="AD189" s="642"/>
      <c r="AE189" s="510"/>
      <c r="AF189" s="512"/>
      <c r="AG189" s="512"/>
      <c r="AH189" s="511"/>
      <c r="AI189" s="642"/>
      <c r="AJ189" s="510"/>
      <c r="AK189" s="512"/>
      <c r="AL189" s="512"/>
      <c r="AM189" s="511"/>
      <c r="AN189" s="642"/>
      <c r="AO189" s="510"/>
      <c r="AP189" s="512"/>
      <c r="AQ189" s="512"/>
      <c r="AR189" s="511"/>
      <c r="AS189" s="642"/>
      <c r="AT189" s="510"/>
      <c r="AU189" s="512"/>
      <c r="AV189" s="512"/>
      <c r="AW189" s="511"/>
      <c r="AX189" s="642"/>
      <c r="AZ189" s="350" t="e">
        <f t="shared" si="90"/>
        <v>#N/A</v>
      </c>
      <c r="BA189" s="640"/>
    </row>
    <row r="190" spans="2:53">
      <c r="B190" s="676"/>
      <c r="C190" s="348">
        <v>9</v>
      </c>
      <c r="D190" s="201"/>
      <c r="E190" s="201"/>
      <c r="F190" s="201"/>
      <c r="G190" s="517"/>
      <c r="H190" s="655"/>
      <c r="I190" s="363" t="str">
        <f t="shared" si="87"/>
        <v>-</v>
      </c>
      <c r="J190" s="363" t="str">
        <f t="shared" si="88"/>
        <v>-</v>
      </c>
      <c r="K190" s="199" t="str">
        <f t="shared" si="89"/>
        <v>-</v>
      </c>
      <c r="L190" s="657"/>
      <c r="M190" s="349" t="e">
        <f>RANK(K190, K$182:$K$211)</f>
        <v>#VALUE!</v>
      </c>
      <c r="N190" s="641"/>
      <c r="O190" s="641"/>
      <c r="P190" s="510"/>
      <c r="Q190" s="512"/>
      <c r="R190" s="512"/>
      <c r="S190" s="511"/>
      <c r="T190" s="642"/>
      <c r="U190" s="510"/>
      <c r="V190" s="512"/>
      <c r="W190" s="512"/>
      <c r="X190" s="511"/>
      <c r="Y190" s="642"/>
      <c r="Z190" s="510"/>
      <c r="AA190" s="512"/>
      <c r="AB190" s="512"/>
      <c r="AC190" s="511"/>
      <c r="AD190" s="642"/>
      <c r="AE190" s="510"/>
      <c r="AF190" s="512"/>
      <c r="AG190" s="512"/>
      <c r="AH190" s="511"/>
      <c r="AI190" s="642"/>
      <c r="AJ190" s="510"/>
      <c r="AK190" s="512"/>
      <c r="AL190" s="512"/>
      <c r="AM190" s="511"/>
      <c r="AN190" s="642"/>
      <c r="AO190" s="510"/>
      <c r="AP190" s="512"/>
      <c r="AQ190" s="512"/>
      <c r="AR190" s="511"/>
      <c r="AS190" s="642"/>
      <c r="AT190" s="510"/>
      <c r="AU190" s="512"/>
      <c r="AV190" s="512"/>
      <c r="AW190" s="511"/>
      <c r="AX190" s="642"/>
      <c r="AZ190" s="350" t="e">
        <f t="shared" si="90"/>
        <v>#N/A</v>
      </c>
      <c r="BA190" s="640"/>
    </row>
    <row r="191" spans="2:53">
      <c r="B191" s="676"/>
      <c r="C191" s="348">
        <v>10</v>
      </c>
      <c r="D191" s="201"/>
      <c r="E191" s="201"/>
      <c r="F191" s="201"/>
      <c r="G191" s="517"/>
      <c r="H191" s="655"/>
      <c r="I191" s="363" t="str">
        <f t="shared" si="87"/>
        <v>-</v>
      </c>
      <c r="J191" s="363" t="str">
        <f t="shared" si="88"/>
        <v>-</v>
      </c>
      <c r="K191" s="199" t="str">
        <f t="shared" si="89"/>
        <v>-</v>
      </c>
      <c r="L191" s="657"/>
      <c r="M191" s="349" t="e">
        <f>RANK(K191, K$182:$K$211)</f>
        <v>#VALUE!</v>
      </c>
      <c r="N191" s="641"/>
      <c r="O191" s="641"/>
      <c r="P191" s="510"/>
      <c r="Q191" s="512"/>
      <c r="R191" s="512"/>
      <c r="S191" s="511"/>
      <c r="T191" s="642"/>
      <c r="U191" s="510"/>
      <c r="V191" s="512"/>
      <c r="W191" s="512"/>
      <c r="X191" s="511"/>
      <c r="Y191" s="642"/>
      <c r="Z191" s="510"/>
      <c r="AA191" s="512"/>
      <c r="AB191" s="512"/>
      <c r="AC191" s="511"/>
      <c r="AD191" s="642"/>
      <c r="AE191" s="510"/>
      <c r="AF191" s="512"/>
      <c r="AG191" s="512"/>
      <c r="AH191" s="511"/>
      <c r="AI191" s="642"/>
      <c r="AJ191" s="510"/>
      <c r="AK191" s="512"/>
      <c r="AL191" s="512"/>
      <c r="AM191" s="511"/>
      <c r="AN191" s="642"/>
      <c r="AO191" s="510"/>
      <c r="AP191" s="512"/>
      <c r="AQ191" s="512"/>
      <c r="AR191" s="511"/>
      <c r="AS191" s="642"/>
      <c r="AT191" s="510"/>
      <c r="AU191" s="512"/>
      <c r="AV191" s="512"/>
      <c r="AW191" s="511"/>
      <c r="AX191" s="642"/>
      <c r="AZ191" s="350" t="e">
        <f t="shared" si="90"/>
        <v>#N/A</v>
      </c>
      <c r="BA191" s="640"/>
    </row>
    <row r="192" spans="2:53">
      <c r="B192" s="676"/>
      <c r="C192" s="348">
        <v>11</v>
      </c>
      <c r="D192" s="201"/>
      <c r="E192" s="201"/>
      <c r="F192" s="201"/>
      <c r="G192" s="517"/>
      <c r="H192" s="655"/>
      <c r="I192" s="363" t="str">
        <f t="shared" si="87"/>
        <v>-</v>
      </c>
      <c r="J192" s="363" t="str">
        <f t="shared" si="88"/>
        <v>-</v>
      </c>
      <c r="K192" s="199" t="str">
        <f t="shared" si="89"/>
        <v>-</v>
      </c>
      <c r="L192" s="657"/>
      <c r="M192" s="349" t="e">
        <f>RANK(K192, K$182:$K$211)</f>
        <v>#VALUE!</v>
      </c>
      <c r="N192" s="641"/>
      <c r="O192" s="641"/>
      <c r="P192" s="510"/>
      <c r="Q192" s="512"/>
      <c r="R192" s="512"/>
      <c r="S192" s="511"/>
      <c r="T192" s="642"/>
      <c r="U192" s="510"/>
      <c r="V192" s="512"/>
      <c r="W192" s="512"/>
      <c r="X192" s="511"/>
      <c r="Y192" s="642"/>
      <c r="Z192" s="510"/>
      <c r="AA192" s="512"/>
      <c r="AB192" s="512"/>
      <c r="AC192" s="511"/>
      <c r="AD192" s="642"/>
      <c r="AE192" s="510"/>
      <c r="AF192" s="512"/>
      <c r="AG192" s="512"/>
      <c r="AH192" s="511"/>
      <c r="AI192" s="642"/>
      <c r="AJ192" s="510"/>
      <c r="AK192" s="512"/>
      <c r="AL192" s="512"/>
      <c r="AM192" s="511"/>
      <c r="AN192" s="642"/>
      <c r="AO192" s="510"/>
      <c r="AP192" s="512"/>
      <c r="AQ192" s="512"/>
      <c r="AR192" s="511"/>
      <c r="AS192" s="642"/>
      <c r="AT192" s="510"/>
      <c r="AU192" s="512"/>
      <c r="AV192" s="512"/>
      <c r="AW192" s="511"/>
      <c r="AX192" s="642"/>
      <c r="AZ192" s="350" t="e">
        <f t="shared" si="90"/>
        <v>#N/A</v>
      </c>
      <c r="BA192" s="640"/>
    </row>
    <row r="193" spans="2:53">
      <c r="B193" s="676"/>
      <c r="C193" s="348">
        <v>12</v>
      </c>
      <c r="D193" s="518"/>
      <c r="E193" s="201"/>
      <c r="F193" s="201"/>
      <c r="G193" s="517"/>
      <c r="H193" s="655"/>
      <c r="I193" s="363" t="str">
        <f t="shared" si="87"/>
        <v>-</v>
      </c>
      <c r="J193" s="363" t="str">
        <f t="shared" si="88"/>
        <v>-</v>
      </c>
      <c r="K193" s="199" t="str">
        <f t="shared" si="89"/>
        <v>-</v>
      </c>
      <c r="L193" s="657"/>
      <c r="M193" s="349" t="e">
        <f>RANK(K193, K$182:$K$211)</f>
        <v>#VALUE!</v>
      </c>
      <c r="N193" s="641"/>
      <c r="O193" s="641"/>
      <c r="P193" s="510"/>
      <c r="Q193" s="512"/>
      <c r="R193" s="512"/>
      <c r="S193" s="511"/>
      <c r="T193" s="642"/>
      <c r="U193" s="510"/>
      <c r="V193" s="512"/>
      <c r="W193" s="512"/>
      <c r="X193" s="511"/>
      <c r="Y193" s="642"/>
      <c r="Z193" s="510"/>
      <c r="AA193" s="512"/>
      <c r="AB193" s="512"/>
      <c r="AC193" s="511"/>
      <c r="AD193" s="642"/>
      <c r="AE193" s="510"/>
      <c r="AF193" s="512"/>
      <c r="AG193" s="512"/>
      <c r="AH193" s="511"/>
      <c r="AI193" s="642"/>
      <c r="AJ193" s="510"/>
      <c r="AK193" s="512"/>
      <c r="AL193" s="512"/>
      <c r="AM193" s="511"/>
      <c r="AN193" s="642"/>
      <c r="AO193" s="510"/>
      <c r="AP193" s="512"/>
      <c r="AQ193" s="512"/>
      <c r="AR193" s="511"/>
      <c r="AS193" s="642"/>
      <c r="AT193" s="510"/>
      <c r="AU193" s="512"/>
      <c r="AV193" s="512"/>
      <c r="AW193" s="511"/>
      <c r="AX193" s="642"/>
      <c r="AZ193" s="350" t="e">
        <f t="shared" si="90"/>
        <v>#N/A</v>
      </c>
      <c r="BA193" s="640"/>
    </row>
    <row r="194" spans="2:53">
      <c r="B194" s="676"/>
      <c r="C194" s="348">
        <v>13</v>
      </c>
      <c r="D194" s="201"/>
      <c r="E194" s="201"/>
      <c r="F194" s="201"/>
      <c r="G194" s="517"/>
      <c r="H194" s="655"/>
      <c r="I194" s="363" t="str">
        <f t="shared" si="87"/>
        <v>-</v>
      </c>
      <c r="J194" s="363" t="str">
        <f t="shared" si="88"/>
        <v>-</v>
      </c>
      <c r="K194" s="199" t="str">
        <f t="shared" si="89"/>
        <v>-</v>
      </c>
      <c r="L194" s="657"/>
      <c r="M194" s="349" t="e">
        <f>RANK(K194, K$182:$K$211)</f>
        <v>#VALUE!</v>
      </c>
      <c r="N194" s="641"/>
      <c r="O194" s="641"/>
      <c r="P194" s="510"/>
      <c r="Q194" s="512"/>
      <c r="R194" s="512"/>
      <c r="S194" s="511"/>
      <c r="T194" s="642"/>
      <c r="U194" s="510"/>
      <c r="V194" s="512"/>
      <c r="W194" s="512"/>
      <c r="X194" s="511"/>
      <c r="Y194" s="642"/>
      <c r="Z194" s="510"/>
      <c r="AA194" s="512"/>
      <c r="AB194" s="512"/>
      <c r="AC194" s="511"/>
      <c r="AD194" s="642"/>
      <c r="AE194" s="510"/>
      <c r="AF194" s="512"/>
      <c r="AG194" s="512"/>
      <c r="AH194" s="511"/>
      <c r="AI194" s="642"/>
      <c r="AJ194" s="510"/>
      <c r="AK194" s="512"/>
      <c r="AL194" s="512"/>
      <c r="AM194" s="511"/>
      <c r="AN194" s="642"/>
      <c r="AO194" s="510"/>
      <c r="AP194" s="512"/>
      <c r="AQ194" s="512"/>
      <c r="AR194" s="511"/>
      <c r="AS194" s="642"/>
      <c r="AT194" s="510"/>
      <c r="AU194" s="512"/>
      <c r="AV194" s="512"/>
      <c r="AW194" s="511"/>
      <c r="AX194" s="642"/>
      <c r="AZ194" s="350" t="e">
        <f t="shared" si="90"/>
        <v>#N/A</v>
      </c>
      <c r="BA194" s="640"/>
    </row>
    <row r="195" spans="2:53">
      <c r="B195" s="676"/>
      <c r="C195" s="348">
        <v>14</v>
      </c>
      <c r="D195" s="201"/>
      <c r="E195" s="201"/>
      <c r="F195" s="201"/>
      <c r="G195" s="517"/>
      <c r="H195" s="655"/>
      <c r="I195" s="363" t="str">
        <f t="shared" si="87"/>
        <v>-</v>
      </c>
      <c r="J195" s="363" t="str">
        <f t="shared" si="88"/>
        <v>-</v>
      </c>
      <c r="K195" s="199" t="str">
        <f t="shared" si="89"/>
        <v>-</v>
      </c>
      <c r="L195" s="657"/>
      <c r="M195" s="349" t="e">
        <f>RANK(K195, K$182:$K$211)</f>
        <v>#VALUE!</v>
      </c>
      <c r="N195" s="641"/>
      <c r="O195" s="641"/>
      <c r="P195" s="510"/>
      <c r="Q195" s="512"/>
      <c r="R195" s="512"/>
      <c r="S195" s="511"/>
      <c r="T195" s="642"/>
      <c r="U195" s="510"/>
      <c r="V195" s="512"/>
      <c r="W195" s="512"/>
      <c r="X195" s="511"/>
      <c r="Y195" s="642"/>
      <c r="Z195" s="510"/>
      <c r="AA195" s="512"/>
      <c r="AB195" s="512"/>
      <c r="AC195" s="511"/>
      <c r="AD195" s="642"/>
      <c r="AE195" s="510"/>
      <c r="AF195" s="512"/>
      <c r="AG195" s="512"/>
      <c r="AH195" s="511"/>
      <c r="AI195" s="642"/>
      <c r="AJ195" s="510"/>
      <c r="AK195" s="512"/>
      <c r="AL195" s="512"/>
      <c r="AM195" s="511"/>
      <c r="AN195" s="642"/>
      <c r="AO195" s="510"/>
      <c r="AP195" s="512"/>
      <c r="AQ195" s="512"/>
      <c r="AR195" s="511"/>
      <c r="AS195" s="642"/>
      <c r="AT195" s="510"/>
      <c r="AU195" s="512"/>
      <c r="AV195" s="512"/>
      <c r="AW195" s="511"/>
      <c r="AX195" s="642"/>
      <c r="AZ195" s="350" t="e">
        <f t="shared" si="90"/>
        <v>#N/A</v>
      </c>
      <c r="BA195" s="640"/>
    </row>
    <row r="196" spans="2:53">
      <c r="B196" s="676"/>
      <c r="C196" s="348">
        <v>15</v>
      </c>
      <c r="D196" s="518"/>
      <c r="E196" s="201"/>
      <c r="F196" s="201"/>
      <c r="G196" s="517"/>
      <c r="H196" s="655"/>
      <c r="I196" s="363" t="str">
        <f t="shared" si="87"/>
        <v>-</v>
      </c>
      <c r="J196" s="363" t="str">
        <f t="shared" si="88"/>
        <v>-</v>
      </c>
      <c r="K196" s="199" t="str">
        <f t="shared" si="89"/>
        <v>-</v>
      </c>
      <c r="L196" s="657"/>
      <c r="M196" s="349" t="e">
        <f>RANK(K196, K$182:$K$211)</f>
        <v>#VALUE!</v>
      </c>
      <c r="N196" s="641"/>
      <c r="O196" s="641"/>
      <c r="P196" s="510"/>
      <c r="Q196" s="512"/>
      <c r="R196" s="512"/>
      <c r="S196" s="511"/>
      <c r="T196" s="642"/>
      <c r="U196" s="510"/>
      <c r="V196" s="512"/>
      <c r="W196" s="512"/>
      <c r="X196" s="511"/>
      <c r="Y196" s="642"/>
      <c r="Z196" s="510"/>
      <c r="AA196" s="512"/>
      <c r="AB196" s="512"/>
      <c r="AC196" s="511"/>
      <c r="AD196" s="642"/>
      <c r="AE196" s="510"/>
      <c r="AF196" s="512"/>
      <c r="AG196" s="512"/>
      <c r="AH196" s="511"/>
      <c r="AI196" s="642"/>
      <c r="AJ196" s="510"/>
      <c r="AK196" s="512"/>
      <c r="AL196" s="512"/>
      <c r="AM196" s="511"/>
      <c r="AN196" s="642"/>
      <c r="AO196" s="510"/>
      <c r="AP196" s="512"/>
      <c r="AQ196" s="512"/>
      <c r="AR196" s="511"/>
      <c r="AS196" s="642"/>
      <c r="AT196" s="510"/>
      <c r="AU196" s="512"/>
      <c r="AV196" s="512"/>
      <c r="AW196" s="511"/>
      <c r="AX196" s="642"/>
      <c r="AZ196" s="350" t="e">
        <f t="shared" si="90"/>
        <v>#N/A</v>
      </c>
      <c r="BA196" s="640"/>
    </row>
    <row r="197" spans="2:53">
      <c r="B197" s="676"/>
      <c r="C197" s="348">
        <v>16</v>
      </c>
      <c r="D197" s="201"/>
      <c r="E197" s="201"/>
      <c r="F197" s="201"/>
      <c r="G197" s="517"/>
      <c r="H197" s="655"/>
      <c r="I197" s="363" t="str">
        <f t="shared" si="87"/>
        <v>-</v>
      </c>
      <c r="J197" s="363" t="str">
        <f t="shared" si="88"/>
        <v>-</v>
      </c>
      <c r="K197" s="199" t="str">
        <f t="shared" si="89"/>
        <v>-</v>
      </c>
      <c r="L197" s="657"/>
      <c r="M197" s="349" t="e">
        <f>RANK(K197, K$182:$K$211)</f>
        <v>#VALUE!</v>
      </c>
      <c r="N197" s="641"/>
      <c r="O197" s="641"/>
      <c r="P197" s="510"/>
      <c r="Q197" s="512"/>
      <c r="R197" s="512"/>
      <c r="S197" s="511"/>
      <c r="T197" s="642"/>
      <c r="U197" s="510"/>
      <c r="V197" s="512"/>
      <c r="W197" s="512"/>
      <c r="X197" s="511"/>
      <c r="Y197" s="642"/>
      <c r="Z197" s="510"/>
      <c r="AA197" s="512"/>
      <c r="AB197" s="512"/>
      <c r="AC197" s="511"/>
      <c r="AD197" s="642"/>
      <c r="AE197" s="510"/>
      <c r="AF197" s="512"/>
      <c r="AG197" s="512"/>
      <c r="AH197" s="511"/>
      <c r="AI197" s="642"/>
      <c r="AJ197" s="510"/>
      <c r="AK197" s="512"/>
      <c r="AL197" s="512"/>
      <c r="AM197" s="511"/>
      <c r="AN197" s="642"/>
      <c r="AO197" s="510"/>
      <c r="AP197" s="512"/>
      <c r="AQ197" s="512"/>
      <c r="AR197" s="511"/>
      <c r="AS197" s="642"/>
      <c r="AT197" s="510"/>
      <c r="AU197" s="512"/>
      <c r="AV197" s="512"/>
      <c r="AW197" s="511"/>
      <c r="AX197" s="642"/>
      <c r="AZ197" s="350" t="e">
        <f t="shared" si="90"/>
        <v>#N/A</v>
      </c>
      <c r="BA197" s="640"/>
    </row>
    <row r="198" spans="2:53">
      <c r="B198" s="676"/>
      <c r="C198" s="348">
        <v>17</v>
      </c>
      <c r="D198" s="201"/>
      <c r="E198" s="201"/>
      <c r="F198" s="201"/>
      <c r="G198" s="517"/>
      <c r="H198" s="655"/>
      <c r="I198" s="363" t="str">
        <f t="shared" si="87"/>
        <v>-</v>
      </c>
      <c r="J198" s="363" t="str">
        <f t="shared" si="88"/>
        <v>-</v>
      </c>
      <c r="K198" s="199" t="str">
        <f t="shared" si="89"/>
        <v>-</v>
      </c>
      <c r="L198" s="657"/>
      <c r="M198" s="349" t="e">
        <f>RANK(K198, K$182:$K$211)</f>
        <v>#VALUE!</v>
      </c>
      <c r="N198" s="641"/>
      <c r="O198" s="641"/>
      <c r="P198" s="510"/>
      <c r="Q198" s="512"/>
      <c r="R198" s="512"/>
      <c r="S198" s="511"/>
      <c r="T198" s="642"/>
      <c r="U198" s="510"/>
      <c r="V198" s="512"/>
      <c r="W198" s="512"/>
      <c r="X198" s="511"/>
      <c r="Y198" s="642"/>
      <c r="Z198" s="510"/>
      <c r="AA198" s="512"/>
      <c r="AB198" s="512"/>
      <c r="AC198" s="511"/>
      <c r="AD198" s="642"/>
      <c r="AE198" s="510"/>
      <c r="AF198" s="512"/>
      <c r="AG198" s="512"/>
      <c r="AH198" s="511"/>
      <c r="AI198" s="642"/>
      <c r="AJ198" s="510"/>
      <c r="AK198" s="512"/>
      <c r="AL198" s="512"/>
      <c r="AM198" s="511"/>
      <c r="AN198" s="642"/>
      <c r="AO198" s="510"/>
      <c r="AP198" s="512"/>
      <c r="AQ198" s="512"/>
      <c r="AR198" s="511"/>
      <c r="AS198" s="642"/>
      <c r="AT198" s="510"/>
      <c r="AU198" s="512"/>
      <c r="AV198" s="512"/>
      <c r="AW198" s="511"/>
      <c r="AX198" s="642"/>
      <c r="AZ198" s="350" t="e">
        <f t="shared" si="90"/>
        <v>#N/A</v>
      </c>
      <c r="BA198" s="640"/>
    </row>
    <row r="199" spans="2:53">
      <c r="B199" s="676"/>
      <c r="C199" s="348">
        <v>18</v>
      </c>
      <c r="D199" s="518"/>
      <c r="E199" s="201"/>
      <c r="F199" s="201"/>
      <c r="G199" s="517"/>
      <c r="H199" s="655"/>
      <c r="I199" s="363" t="str">
        <f t="shared" si="87"/>
        <v>-</v>
      </c>
      <c r="J199" s="363" t="str">
        <f t="shared" si="88"/>
        <v>-</v>
      </c>
      <c r="K199" s="199" t="str">
        <f t="shared" si="89"/>
        <v>-</v>
      </c>
      <c r="L199" s="657"/>
      <c r="M199" s="349" t="e">
        <f>RANK(K199, K$182:$K$211)</f>
        <v>#VALUE!</v>
      </c>
      <c r="N199" s="641"/>
      <c r="O199" s="641"/>
      <c r="P199" s="510"/>
      <c r="Q199" s="512"/>
      <c r="R199" s="512"/>
      <c r="S199" s="511"/>
      <c r="T199" s="642"/>
      <c r="U199" s="510"/>
      <c r="V199" s="512"/>
      <c r="W199" s="512"/>
      <c r="X199" s="511"/>
      <c r="Y199" s="642"/>
      <c r="Z199" s="510"/>
      <c r="AA199" s="512"/>
      <c r="AB199" s="512"/>
      <c r="AC199" s="511"/>
      <c r="AD199" s="642"/>
      <c r="AE199" s="510"/>
      <c r="AF199" s="512"/>
      <c r="AG199" s="512"/>
      <c r="AH199" s="511"/>
      <c r="AI199" s="642"/>
      <c r="AJ199" s="510"/>
      <c r="AK199" s="512"/>
      <c r="AL199" s="512"/>
      <c r="AM199" s="511"/>
      <c r="AN199" s="642"/>
      <c r="AO199" s="510"/>
      <c r="AP199" s="512"/>
      <c r="AQ199" s="512"/>
      <c r="AR199" s="511"/>
      <c r="AS199" s="642"/>
      <c r="AT199" s="510"/>
      <c r="AU199" s="512"/>
      <c r="AV199" s="512"/>
      <c r="AW199" s="511"/>
      <c r="AX199" s="642"/>
      <c r="AZ199" s="350" t="e">
        <f t="shared" si="90"/>
        <v>#N/A</v>
      </c>
      <c r="BA199" s="640"/>
    </row>
    <row r="200" spans="2:53">
      <c r="B200" s="676"/>
      <c r="C200" s="348">
        <v>19</v>
      </c>
      <c r="D200" s="518"/>
      <c r="E200" s="201"/>
      <c r="F200" s="201"/>
      <c r="G200" s="517"/>
      <c r="H200" s="655"/>
      <c r="I200" s="363" t="str">
        <f t="shared" si="87"/>
        <v>-</v>
      </c>
      <c r="J200" s="363" t="str">
        <f t="shared" si="88"/>
        <v>-</v>
      </c>
      <c r="K200" s="199" t="str">
        <f t="shared" si="89"/>
        <v>-</v>
      </c>
      <c r="L200" s="657"/>
      <c r="M200" s="349" t="e">
        <f>RANK(K200, K$182:$K$211)</f>
        <v>#VALUE!</v>
      </c>
      <c r="N200" s="641"/>
      <c r="O200" s="641"/>
      <c r="P200" s="510"/>
      <c r="Q200" s="512"/>
      <c r="R200" s="512"/>
      <c r="S200" s="511"/>
      <c r="T200" s="642"/>
      <c r="U200" s="510"/>
      <c r="V200" s="512"/>
      <c r="W200" s="512"/>
      <c r="X200" s="511"/>
      <c r="Y200" s="642"/>
      <c r="Z200" s="510"/>
      <c r="AA200" s="512"/>
      <c r="AB200" s="512"/>
      <c r="AC200" s="511"/>
      <c r="AD200" s="642"/>
      <c r="AE200" s="510"/>
      <c r="AF200" s="512"/>
      <c r="AG200" s="512"/>
      <c r="AH200" s="511"/>
      <c r="AI200" s="642"/>
      <c r="AJ200" s="510"/>
      <c r="AK200" s="512"/>
      <c r="AL200" s="512"/>
      <c r="AM200" s="511"/>
      <c r="AN200" s="642"/>
      <c r="AO200" s="510"/>
      <c r="AP200" s="512"/>
      <c r="AQ200" s="512"/>
      <c r="AR200" s="511"/>
      <c r="AS200" s="642"/>
      <c r="AT200" s="510"/>
      <c r="AU200" s="512"/>
      <c r="AV200" s="512"/>
      <c r="AW200" s="511"/>
      <c r="AX200" s="642"/>
      <c r="AZ200" s="350" t="e">
        <f t="shared" si="90"/>
        <v>#N/A</v>
      </c>
      <c r="BA200" s="640"/>
    </row>
    <row r="201" spans="2:53">
      <c r="B201" s="676"/>
      <c r="C201" s="348">
        <v>20</v>
      </c>
      <c r="D201" s="518"/>
      <c r="E201" s="201"/>
      <c r="F201" s="201"/>
      <c r="G201" s="517"/>
      <c r="H201" s="655"/>
      <c r="I201" s="363" t="str">
        <f t="shared" si="87"/>
        <v>-</v>
      </c>
      <c r="J201" s="363" t="str">
        <f t="shared" si="88"/>
        <v>-</v>
      </c>
      <c r="K201" s="199" t="str">
        <f t="shared" si="89"/>
        <v>-</v>
      </c>
      <c r="L201" s="657"/>
      <c r="M201" s="349" t="e">
        <f>RANK(K201, K$182:$K$211)</f>
        <v>#VALUE!</v>
      </c>
      <c r="N201" s="641"/>
      <c r="O201" s="641"/>
      <c r="P201" s="510"/>
      <c r="Q201" s="512"/>
      <c r="R201" s="512"/>
      <c r="S201" s="511"/>
      <c r="T201" s="642"/>
      <c r="U201" s="510"/>
      <c r="V201" s="512"/>
      <c r="W201" s="512"/>
      <c r="X201" s="511"/>
      <c r="Y201" s="642"/>
      <c r="Z201" s="510"/>
      <c r="AA201" s="512"/>
      <c r="AB201" s="512"/>
      <c r="AC201" s="511"/>
      <c r="AD201" s="642"/>
      <c r="AE201" s="510"/>
      <c r="AF201" s="512"/>
      <c r="AG201" s="512"/>
      <c r="AH201" s="511"/>
      <c r="AI201" s="642"/>
      <c r="AJ201" s="510"/>
      <c r="AK201" s="512"/>
      <c r="AL201" s="512"/>
      <c r="AM201" s="511"/>
      <c r="AN201" s="642"/>
      <c r="AO201" s="510"/>
      <c r="AP201" s="512"/>
      <c r="AQ201" s="512"/>
      <c r="AR201" s="511"/>
      <c r="AS201" s="642"/>
      <c r="AT201" s="510"/>
      <c r="AU201" s="512"/>
      <c r="AV201" s="512"/>
      <c r="AW201" s="511"/>
      <c r="AX201" s="642"/>
      <c r="AZ201" s="350" t="e">
        <f t="shared" si="90"/>
        <v>#N/A</v>
      </c>
      <c r="BA201" s="640"/>
    </row>
    <row r="202" spans="2:53">
      <c r="B202" s="676"/>
      <c r="C202" s="348">
        <v>21</v>
      </c>
      <c r="D202" s="518"/>
      <c r="E202" s="201"/>
      <c r="F202" s="201"/>
      <c r="G202" s="517"/>
      <c r="H202" s="655"/>
      <c r="I202" s="363" t="str">
        <f t="shared" si="87"/>
        <v>-</v>
      </c>
      <c r="J202" s="363" t="str">
        <f t="shared" si="88"/>
        <v>-</v>
      </c>
      <c r="K202" s="199" t="str">
        <f t="shared" si="89"/>
        <v>-</v>
      </c>
      <c r="L202" s="657"/>
      <c r="M202" s="349" t="e">
        <f>RANK(K202, K$182:$K$211)</f>
        <v>#VALUE!</v>
      </c>
      <c r="N202" s="641"/>
      <c r="O202" s="641"/>
      <c r="P202" s="510"/>
      <c r="Q202" s="512"/>
      <c r="R202" s="512"/>
      <c r="S202" s="511"/>
      <c r="T202" s="642"/>
      <c r="U202" s="510"/>
      <c r="V202" s="512"/>
      <c r="W202" s="512"/>
      <c r="X202" s="511"/>
      <c r="Y202" s="642"/>
      <c r="Z202" s="510"/>
      <c r="AA202" s="512"/>
      <c r="AB202" s="512"/>
      <c r="AC202" s="511"/>
      <c r="AD202" s="642"/>
      <c r="AE202" s="510"/>
      <c r="AF202" s="512"/>
      <c r="AG202" s="512"/>
      <c r="AH202" s="511"/>
      <c r="AI202" s="642"/>
      <c r="AJ202" s="510"/>
      <c r="AK202" s="512"/>
      <c r="AL202" s="512"/>
      <c r="AM202" s="511"/>
      <c r="AN202" s="642"/>
      <c r="AO202" s="510"/>
      <c r="AP202" s="512"/>
      <c r="AQ202" s="512"/>
      <c r="AR202" s="511"/>
      <c r="AS202" s="642"/>
      <c r="AT202" s="510"/>
      <c r="AU202" s="512"/>
      <c r="AV202" s="512"/>
      <c r="AW202" s="511"/>
      <c r="AX202" s="642"/>
      <c r="AZ202" s="350" t="e">
        <f t="shared" si="90"/>
        <v>#N/A</v>
      </c>
      <c r="BA202" s="640"/>
    </row>
    <row r="203" spans="2:53">
      <c r="B203" s="676"/>
      <c r="C203" s="348">
        <v>22</v>
      </c>
      <c r="D203" s="518"/>
      <c r="E203" s="201"/>
      <c r="F203" s="201"/>
      <c r="G203" s="517"/>
      <c r="H203" s="655"/>
      <c r="I203" s="363" t="str">
        <f t="shared" si="87"/>
        <v>-</v>
      </c>
      <c r="J203" s="363" t="str">
        <f t="shared" si="88"/>
        <v>-</v>
      </c>
      <c r="K203" s="199" t="str">
        <f t="shared" si="89"/>
        <v>-</v>
      </c>
      <c r="L203" s="657"/>
      <c r="M203" s="349" t="e">
        <f>RANK(K203, K$182:$K$211)</f>
        <v>#VALUE!</v>
      </c>
      <c r="N203" s="641"/>
      <c r="O203" s="641"/>
      <c r="P203" s="510"/>
      <c r="Q203" s="512"/>
      <c r="R203" s="512"/>
      <c r="S203" s="511"/>
      <c r="T203" s="642"/>
      <c r="U203" s="510"/>
      <c r="V203" s="512"/>
      <c r="W203" s="512"/>
      <c r="X203" s="511"/>
      <c r="Y203" s="642"/>
      <c r="Z203" s="510"/>
      <c r="AA203" s="512"/>
      <c r="AB203" s="512"/>
      <c r="AC203" s="511"/>
      <c r="AD203" s="642"/>
      <c r="AE203" s="510"/>
      <c r="AF203" s="512"/>
      <c r="AG203" s="512"/>
      <c r="AH203" s="511"/>
      <c r="AI203" s="642"/>
      <c r="AJ203" s="510"/>
      <c r="AK203" s="512"/>
      <c r="AL203" s="512"/>
      <c r="AM203" s="511"/>
      <c r="AN203" s="642"/>
      <c r="AO203" s="510"/>
      <c r="AP203" s="512"/>
      <c r="AQ203" s="512"/>
      <c r="AR203" s="511"/>
      <c r="AS203" s="642"/>
      <c r="AT203" s="510"/>
      <c r="AU203" s="512"/>
      <c r="AV203" s="512"/>
      <c r="AW203" s="511"/>
      <c r="AX203" s="642"/>
      <c r="AZ203" s="350" t="e">
        <f t="shared" si="90"/>
        <v>#N/A</v>
      </c>
      <c r="BA203" s="640"/>
    </row>
    <row r="204" spans="2:53">
      <c r="B204" s="676"/>
      <c r="C204" s="348">
        <v>23</v>
      </c>
      <c r="D204" s="201"/>
      <c r="E204" s="201"/>
      <c r="F204" s="201"/>
      <c r="G204" s="517"/>
      <c r="H204" s="655"/>
      <c r="I204" s="363" t="str">
        <f t="shared" si="87"/>
        <v>-</v>
      </c>
      <c r="J204" s="363" t="str">
        <f t="shared" si="88"/>
        <v>-</v>
      </c>
      <c r="K204" s="199" t="str">
        <f t="shared" si="89"/>
        <v>-</v>
      </c>
      <c r="L204" s="657"/>
      <c r="M204" s="349" t="e">
        <f>RANK(K204, K$182:$K$211)</f>
        <v>#VALUE!</v>
      </c>
      <c r="N204" s="641"/>
      <c r="O204" s="641"/>
      <c r="P204" s="510"/>
      <c r="Q204" s="512"/>
      <c r="R204" s="512"/>
      <c r="S204" s="511"/>
      <c r="T204" s="642"/>
      <c r="U204" s="510"/>
      <c r="V204" s="512"/>
      <c r="W204" s="512"/>
      <c r="X204" s="511"/>
      <c r="Y204" s="642"/>
      <c r="Z204" s="510"/>
      <c r="AA204" s="512"/>
      <c r="AB204" s="512"/>
      <c r="AC204" s="511"/>
      <c r="AD204" s="642"/>
      <c r="AE204" s="510"/>
      <c r="AF204" s="512"/>
      <c r="AG204" s="512"/>
      <c r="AH204" s="511"/>
      <c r="AI204" s="642"/>
      <c r="AJ204" s="510"/>
      <c r="AK204" s="512"/>
      <c r="AL204" s="512"/>
      <c r="AM204" s="511"/>
      <c r="AN204" s="642"/>
      <c r="AO204" s="510"/>
      <c r="AP204" s="512"/>
      <c r="AQ204" s="512"/>
      <c r="AR204" s="511"/>
      <c r="AS204" s="642"/>
      <c r="AT204" s="510"/>
      <c r="AU204" s="512"/>
      <c r="AV204" s="512"/>
      <c r="AW204" s="511"/>
      <c r="AX204" s="642"/>
      <c r="AZ204" s="350" t="e">
        <f t="shared" si="90"/>
        <v>#N/A</v>
      </c>
      <c r="BA204" s="640"/>
    </row>
    <row r="205" spans="2:53">
      <c r="B205" s="676"/>
      <c r="C205" s="348">
        <v>24</v>
      </c>
      <c r="D205" s="518"/>
      <c r="E205" s="201"/>
      <c r="F205" s="201"/>
      <c r="G205" s="517"/>
      <c r="H205" s="655"/>
      <c r="I205" s="363" t="str">
        <f t="shared" si="87"/>
        <v>-</v>
      </c>
      <c r="J205" s="363" t="str">
        <f t="shared" si="88"/>
        <v>-</v>
      </c>
      <c r="K205" s="199" t="str">
        <f t="shared" si="89"/>
        <v>-</v>
      </c>
      <c r="L205" s="657"/>
      <c r="M205" s="349" t="e">
        <f>RANK(K205, K$182:$K$211)</f>
        <v>#VALUE!</v>
      </c>
      <c r="N205" s="641"/>
      <c r="O205" s="641"/>
      <c r="P205" s="510"/>
      <c r="Q205" s="512"/>
      <c r="R205" s="512"/>
      <c r="S205" s="511"/>
      <c r="T205" s="642"/>
      <c r="U205" s="510"/>
      <c r="V205" s="512"/>
      <c r="W205" s="512"/>
      <c r="X205" s="511"/>
      <c r="Y205" s="642"/>
      <c r="Z205" s="510"/>
      <c r="AA205" s="512"/>
      <c r="AB205" s="512"/>
      <c r="AC205" s="511"/>
      <c r="AD205" s="642"/>
      <c r="AE205" s="510"/>
      <c r="AF205" s="512"/>
      <c r="AG205" s="512"/>
      <c r="AH205" s="511"/>
      <c r="AI205" s="642"/>
      <c r="AJ205" s="510"/>
      <c r="AK205" s="512"/>
      <c r="AL205" s="512"/>
      <c r="AM205" s="511"/>
      <c r="AN205" s="642"/>
      <c r="AO205" s="510"/>
      <c r="AP205" s="512"/>
      <c r="AQ205" s="512"/>
      <c r="AR205" s="511"/>
      <c r="AS205" s="642"/>
      <c r="AT205" s="510"/>
      <c r="AU205" s="512"/>
      <c r="AV205" s="512"/>
      <c r="AW205" s="511"/>
      <c r="AX205" s="642"/>
      <c r="AZ205" s="350" t="e">
        <f t="shared" si="90"/>
        <v>#N/A</v>
      </c>
      <c r="BA205" s="640"/>
    </row>
    <row r="206" spans="2:53">
      <c r="B206" s="676"/>
      <c r="C206" s="348">
        <v>25</v>
      </c>
      <c r="D206" s="201"/>
      <c r="E206" s="201"/>
      <c r="F206" s="201"/>
      <c r="G206" s="517"/>
      <c r="H206" s="655"/>
      <c r="I206" s="363" t="str">
        <f t="shared" si="87"/>
        <v>-</v>
      </c>
      <c r="J206" s="363" t="str">
        <f t="shared" si="88"/>
        <v>-</v>
      </c>
      <c r="K206" s="199" t="str">
        <f t="shared" si="89"/>
        <v>-</v>
      </c>
      <c r="L206" s="657"/>
      <c r="M206" s="349" t="e">
        <f>RANK(K206, K$182:$K$211)</f>
        <v>#VALUE!</v>
      </c>
      <c r="N206" s="641"/>
      <c r="O206" s="641"/>
      <c r="P206" s="510"/>
      <c r="Q206" s="512"/>
      <c r="R206" s="512"/>
      <c r="S206" s="511"/>
      <c r="T206" s="642"/>
      <c r="U206" s="510"/>
      <c r="V206" s="512"/>
      <c r="W206" s="512"/>
      <c r="X206" s="511"/>
      <c r="Y206" s="642"/>
      <c r="Z206" s="510"/>
      <c r="AA206" s="512"/>
      <c r="AB206" s="512"/>
      <c r="AC206" s="511"/>
      <c r="AD206" s="642"/>
      <c r="AE206" s="510"/>
      <c r="AF206" s="512"/>
      <c r="AG206" s="512"/>
      <c r="AH206" s="511"/>
      <c r="AI206" s="642"/>
      <c r="AJ206" s="510"/>
      <c r="AK206" s="512"/>
      <c r="AL206" s="512"/>
      <c r="AM206" s="511"/>
      <c r="AN206" s="642"/>
      <c r="AO206" s="510"/>
      <c r="AP206" s="512"/>
      <c r="AQ206" s="512"/>
      <c r="AR206" s="511"/>
      <c r="AS206" s="642"/>
      <c r="AT206" s="510"/>
      <c r="AU206" s="512"/>
      <c r="AV206" s="512"/>
      <c r="AW206" s="511"/>
      <c r="AX206" s="642"/>
      <c r="AZ206" s="350" t="e">
        <f t="shared" si="90"/>
        <v>#N/A</v>
      </c>
      <c r="BA206" s="640"/>
    </row>
    <row r="207" spans="2:53">
      <c r="B207" s="676"/>
      <c r="C207" s="348">
        <v>26</v>
      </c>
      <c r="D207" s="201"/>
      <c r="E207" s="201"/>
      <c r="F207" s="201"/>
      <c r="G207" s="517"/>
      <c r="H207" s="655"/>
      <c r="I207" s="363" t="str">
        <f t="shared" si="87"/>
        <v>-</v>
      </c>
      <c r="J207" s="363" t="str">
        <f t="shared" si="88"/>
        <v>-</v>
      </c>
      <c r="K207" s="199" t="str">
        <f t="shared" si="89"/>
        <v>-</v>
      </c>
      <c r="L207" s="657"/>
      <c r="M207" s="349" t="e">
        <f>RANK(K207, K$182:$K$211)</f>
        <v>#VALUE!</v>
      </c>
      <c r="N207" s="641"/>
      <c r="O207" s="641"/>
      <c r="P207" s="510"/>
      <c r="Q207" s="512"/>
      <c r="R207" s="512"/>
      <c r="S207" s="511"/>
      <c r="T207" s="642"/>
      <c r="U207" s="510"/>
      <c r="V207" s="512"/>
      <c r="W207" s="512"/>
      <c r="X207" s="511"/>
      <c r="Y207" s="642"/>
      <c r="Z207" s="510"/>
      <c r="AA207" s="512"/>
      <c r="AB207" s="512"/>
      <c r="AC207" s="511"/>
      <c r="AD207" s="642"/>
      <c r="AE207" s="510"/>
      <c r="AF207" s="512"/>
      <c r="AG207" s="512"/>
      <c r="AH207" s="511"/>
      <c r="AI207" s="642"/>
      <c r="AJ207" s="510"/>
      <c r="AK207" s="512"/>
      <c r="AL207" s="512"/>
      <c r="AM207" s="511"/>
      <c r="AN207" s="642"/>
      <c r="AO207" s="510"/>
      <c r="AP207" s="512"/>
      <c r="AQ207" s="512"/>
      <c r="AR207" s="511"/>
      <c r="AS207" s="642"/>
      <c r="AT207" s="510"/>
      <c r="AU207" s="512"/>
      <c r="AV207" s="512"/>
      <c r="AW207" s="511"/>
      <c r="AX207" s="642"/>
      <c r="AZ207" s="350" t="e">
        <f t="shared" si="90"/>
        <v>#N/A</v>
      </c>
      <c r="BA207" s="640"/>
    </row>
    <row r="208" spans="2:53">
      <c r="B208" s="676"/>
      <c r="C208" s="348">
        <v>27</v>
      </c>
      <c r="D208" s="201"/>
      <c r="E208" s="201"/>
      <c r="F208" s="201"/>
      <c r="G208" s="517"/>
      <c r="H208" s="655"/>
      <c r="I208" s="363" t="str">
        <f t="shared" si="87"/>
        <v>-</v>
      </c>
      <c r="J208" s="363" t="str">
        <f t="shared" si="88"/>
        <v>-</v>
      </c>
      <c r="K208" s="199" t="str">
        <f t="shared" si="89"/>
        <v>-</v>
      </c>
      <c r="L208" s="657"/>
      <c r="M208" s="349" t="e">
        <f>RANK(K208, K$182:$K$211)</f>
        <v>#VALUE!</v>
      </c>
      <c r="N208" s="641"/>
      <c r="O208" s="641"/>
      <c r="P208" s="510"/>
      <c r="Q208" s="512"/>
      <c r="R208" s="512"/>
      <c r="S208" s="511"/>
      <c r="T208" s="642"/>
      <c r="U208" s="510"/>
      <c r="V208" s="512"/>
      <c r="W208" s="512"/>
      <c r="X208" s="511"/>
      <c r="Y208" s="642"/>
      <c r="Z208" s="510"/>
      <c r="AA208" s="512"/>
      <c r="AB208" s="512"/>
      <c r="AC208" s="511"/>
      <c r="AD208" s="642"/>
      <c r="AE208" s="510"/>
      <c r="AF208" s="512"/>
      <c r="AG208" s="512"/>
      <c r="AH208" s="511"/>
      <c r="AI208" s="642"/>
      <c r="AJ208" s="510"/>
      <c r="AK208" s="512"/>
      <c r="AL208" s="512"/>
      <c r="AM208" s="511"/>
      <c r="AN208" s="642"/>
      <c r="AO208" s="510"/>
      <c r="AP208" s="512"/>
      <c r="AQ208" s="512"/>
      <c r="AR208" s="511"/>
      <c r="AS208" s="642"/>
      <c r="AT208" s="510"/>
      <c r="AU208" s="512"/>
      <c r="AV208" s="512"/>
      <c r="AW208" s="511"/>
      <c r="AX208" s="642"/>
      <c r="AZ208" s="350" t="e">
        <f t="shared" si="90"/>
        <v>#N/A</v>
      </c>
      <c r="BA208" s="640"/>
    </row>
    <row r="209" spans="2:53">
      <c r="B209" s="676"/>
      <c r="C209" s="348">
        <v>28</v>
      </c>
      <c r="D209" s="201"/>
      <c r="E209" s="201"/>
      <c r="F209" s="201"/>
      <c r="G209" s="201"/>
      <c r="H209" s="655"/>
      <c r="I209" s="363" t="str">
        <f t="shared" si="87"/>
        <v>-</v>
      </c>
      <c r="J209" s="363" t="str">
        <f t="shared" si="88"/>
        <v>-</v>
      </c>
      <c r="K209" s="199" t="str">
        <f t="shared" si="89"/>
        <v>-</v>
      </c>
      <c r="L209" s="657"/>
      <c r="M209" s="349" t="e">
        <f>RANK(K209, K$182:$K$211)</f>
        <v>#VALUE!</v>
      </c>
      <c r="N209" s="641"/>
      <c r="O209" s="641"/>
      <c r="P209" s="510"/>
      <c r="Q209" s="512"/>
      <c r="R209" s="512"/>
      <c r="S209" s="511"/>
      <c r="T209" s="642"/>
      <c r="U209" s="510"/>
      <c r="V209" s="512"/>
      <c r="W209" s="512"/>
      <c r="X209" s="511"/>
      <c r="Y209" s="642"/>
      <c r="Z209" s="510"/>
      <c r="AA209" s="512"/>
      <c r="AB209" s="512"/>
      <c r="AC209" s="511"/>
      <c r="AD209" s="642"/>
      <c r="AE209" s="510"/>
      <c r="AF209" s="512"/>
      <c r="AG209" s="512"/>
      <c r="AH209" s="511"/>
      <c r="AI209" s="642"/>
      <c r="AJ209" s="510"/>
      <c r="AK209" s="512"/>
      <c r="AL209" s="512"/>
      <c r="AM209" s="511"/>
      <c r="AN209" s="642"/>
      <c r="AO209" s="510"/>
      <c r="AP209" s="512"/>
      <c r="AQ209" s="512"/>
      <c r="AR209" s="511"/>
      <c r="AS209" s="642"/>
      <c r="AT209" s="510"/>
      <c r="AU209" s="512"/>
      <c r="AV209" s="512"/>
      <c r="AW209" s="511"/>
      <c r="AX209" s="642"/>
      <c r="AZ209" s="350" t="e">
        <f t="shared" si="90"/>
        <v>#N/A</v>
      </c>
      <c r="BA209" s="640"/>
    </row>
    <row r="210" spans="2:53">
      <c r="B210" s="676"/>
      <c r="C210" s="348">
        <v>29</v>
      </c>
      <c r="D210" s="201"/>
      <c r="E210" s="201"/>
      <c r="F210" s="201"/>
      <c r="G210" s="201"/>
      <c r="H210" s="655"/>
      <c r="I210" s="363" t="str">
        <f t="shared" si="87"/>
        <v>-</v>
      </c>
      <c r="J210" s="363" t="str">
        <f t="shared" si="88"/>
        <v>-</v>
      </c>
      <c r="K210" s="199" t="str">
        <f t="shared" si="89"/>
        <v>-</v>
      </c>
      <c r="L210" s="657"/>
      <c r="M210" s="349" t="e">
        <f>RANK(K210, K$182:$K$211)</f>
        <v>#VALUE!</v>
      </c>
      <c r="N210" s="641"/>
      <c r="O210" s="641"/>
      <c r="P210" s="510"/>
      <c r="Q210" s="512"/>
      <c r="R210" s="512"/>
      <c r="S210" s="511"/>
      <c r="T210" s="642"/>
      <c r="U210" s="510"/>
      <c r="V210" s="512"/>
      <c r="W210" s="512"/>
      <c r="X210" s="511"/>
      <c r="Y210" s="642"/>
      <c r="Z210" s="510"/>
      <c r="AA210" s="512"/>
      <c r="AB210" s="512"/>
      <c r="AC210" s="511"/>
      <c r="AD210" s="642"/>
      <c r="AE210" s="510"/>
      <c r="AF210" s="512"/>
      <c r="AG210" s="512"/>
      <c r="AH210" s="511"/>
      <c r="AI210" s="642"/>
      <c r="AJ210" s="510"/>
      <c r="AK210" s="512"/>
      <c r="AL210" s="512"/>
      <c r="AM210" s="511"/>
      <c r="AN210" s="642"/>
      <c r="AO210" s="510"/>
      <c r="AP210" s="512"/>
      <c r="AQ210" s="512"/>
      <c r="AR210" s="511"/>
      <c r="AS210" s="642"/>
      <c r="AT210" s="510"/>
      <c r="AU210" s="512"/>
      <c r="AV210" s="512"/>
      <c r="AW210" s="511"/>
      <c r="AX210" s="642"/>
      <c r="AZ210" s="350" t="e">
        <f t="shared" si="90"/>
        <v>#N/A</v>
      </c>
      <c r="BA210" s="640"/>
    </row>
    <row r="211" spans="2:53">
      <c r="B211" s="676"/>
      <c r="C211" s="348">
        <v>30</v>
      </c>
      <c r="D211" s="201"/>
      <c r="E211" s="201"/>
      <c r="F211" s="201"/>
      <c r="G211" s="201"/>
      <c r="H211" s="655"/>
      <c r="I211" s="363" t="str">
        <f t="shared" si="87"/>
        <v>-</v>
      </c>
      <c r="J211" s="363" t="str">
        <f t="shared" si="88"/>
        <v>-</v>
      </c>
      <c r="K211" s="199" t="str">
        <f t="shared" si="89"/>
        <v>-</v>
      </c>
      <c r="L211" s="658"/>
      <c r="M211" s="349" t="e">
        <f>RANK(K211, K$182:$K$211)</f>
        <v>#VALUE!</v>
      </c>
      <c r="N211" s="641"/>
      <c r="O211" s="641"/>
      <c r="P211" s="510"/>
      <c r="Q211" s="512"/>
      <c r="R211" s="512"/>
      <c r="S211" s="511"/>
      <c r="T211" s="642"/>
      <c r="U211" s="510"/>
      <c r="V211" s="512"/>
      <c r="W211" s="512"/>
      <c r="X211" s="511"/>
      <c r="Y211" s="642"/>
      <c r="Z211" s="510"/>
      <c r="AA211" s="512"/>
      <c r="AB211" s="512"/>
      <c r="AC211" s="511"/>
      <c r="AD211" s="642"/>
      <c r="AE211" s="510"/>
      <c r="AF211" s="512"/>
      <c r="AG211" s="512"/>
      <c r="AH211" s="511"/>
      <c r="AI211" s="642"/>
      <c r="AJ211" s="510"/>
      <c r="AK211" s="512"/>
      <c r="AL211" s="512"/>
      <c r="AM211" s="511"/>
      <c r="AN211" s="642"/>
      <c r="AO211" s="510"/>
      <c r="AP211" s="512"/>
      <c r="AQ211" s="512"/>
      <c r="AR211" s="511"/>
      <c r="AS211" s="642"/>
      <c r="AT211" s="510"/>
      <c r="AU211" s="512"/>
      <c r="AV211" s="512"/>
      <c r="AW211" s="511"/>
      <c r="AX211" s="642"/>
      <c r="AZ211" s="350" t="e">
        <f t="shared" si="90"/>
        <v>#N/A</v>
      </c>
      <c r="BA211" s="640"/>
    </row>
    <row r="213" spans="2:53" ht="15.75">
      <c r="B213" s="649" t="s">
        <v>472</v>
      </c>
      <c r="C213" s="650"/>
      <c r="D213" s="650"/>
      <c r="E213" s="650"/>
      <c r="F213" s="650"/>
      <c r="G213" s="650"/>
      <c r="H213" s="651"/>
      <c r="I213" s="307"/>
      <c r="J213" s="307"/>
      <c r="K213" s="307"/>
      <c r="L213" s="307"/>
      <c r="M213" s="308"/>
    </row>
    <row r="214" spans="2:53" ht="15.75">
      <c r="B214" s="652"/>
      <c r="C214" s="652"/>
      <c r="D214" s="652"/>
      <c r="E214" s="652"/>
      <c r="F214" s="652"/>
      <c r="G214" s="652"/>
      <c r="H214" s="652"/>
      <c r="I214" s="309"/>
      <c r="J214" s="309"/>
      <c r="K214" s="309"/>
      <c r="L214" s="309"/>
      <c r="M214" s="310"/>
    </row>
    <row r="215" spans="2:53">
      <c r="B215" s="641" t="s">
        <v>473</v>
      </c>
      <c r="C215" s="641" t="s">
        <v>474</v>
      </c>
      <c r="D215" s="641"/>
      <c r="E215" s="641" t="s">
        <v>475</v>
      </c>
      <c r="F215" s="641"/>
      <c r="G215" s="641"/>
      <c r="H215" s="641" t="s">
        <v>476</v>
      </c>
      <c r="I215" s="653" t="s">
        <v>477</v>
      </c>
      <c r="J215" s="653"/>
      <c r="K215" s="653"/>
      <c r="L215" s="653" t="s">
        <v>476</v>
      </c>
      <c r="M215" s="653" t="s">
        <v>478</v>
      </c>
    </row>
    <row r="216" spans="2:53">
      <c r="B216" s="641"/>
      <c r="C216" s="641"/>
      <c r="D216" s="641"/>
      <c r="E216" s="641" t="s">
        <v>479</v>
      </c>
      <c r="F216" s="641"/>
      <c r="G216" s="641"/>
      <c r="H216" s="641"/>
      <c r="I216" s="653" t="s">
        <v>479</v>
      </c>
      <c r="J216" s="653"/>
      <c r="K216" s="653"/>
      <c r="L216" s="653"/>
      <c r="M216" s="653"/>
    </row>
    <row r="217" spans="2:53">
      <c r="B217" s="641"/>
      <c r="C217" s="641"/>
      <c r="D217" s="641"/>
      <c r="E217" s="304" t="s">
        <v>480</v>
      </c>
      <c r="F217" s="304" t="s">
        <v>481</v>
      </c>
      <c r="G217" s="304" t="s">
        <v>482</v>
      </c>
      <c r="H217" s="641"/>
      <c r="I217" s="311" t="s">
        <v>480</v>
      </c>
      <c r="J217" s="311" t="s">
        <v>481</v>
      </c>
      <c r="K217" s="311" t="s">
        <v>482</v>
      </c>
      <c r="L217" s="653"/>
      <c r="M217" s="653"/>
    </row>
    <row r="218" spans="2:53">
      <c r="B218" s="646" t="s">
        <v>483</v>
      </c>
      <c r="C218" s="303">
        <v>1</v>
      </c>
      <c r="D218" s="303"/>
      <c r="E218" s="303"/>
      <c r="F218" s="303"/>
      <c r="G218" s="303"/>
      <c r="H218" s="642" t="e">
        <f>AVERAGE(G218:G247)</f>
        <v>#DIV/0!</v>
      </c>
      <c r="I218" s="198" t="e">
        <f t="shared" ref="I218:K240" si="91">AVERAGEIF($D$7:$D$211,$D218,I$7:I$211)</f>
        <v>#DIV/0!</v>
      </c>
      <c r="J218" s="198" t="e">
        <f t="shared" si="91"/>
        <v>#DIV/0!</v>
      </c>
      <c r="K218" s="198" t="e">
        <f>AVERAGEIF($D$7:$D$211,$D218,K$7:K$211)</f>
        <v>#DIV/0!</v>
      </c>
      <c r="L218" s="648" t="e">
        <f>AVERAGE(K218:K247)</f>
        <v>#DIV/0!</v>
      </c>
      <c r="M218" s="198" t="e">
        <f>RANK(K218, K$218:$K$247)</f>
        <v>#DIV/0!</v>
      </c>
    </row>
    <row r="219" spans="2:53">
      <c r="B219" s="647"/>
      <c r="C219" s="303">
        <v>2</v>
      </c>
      <c r="D219" s="303"/>
      <c r="E219" s="303"/>
      <c r="F219" s="303"/>
      <c r="G219" s="360"/>
      <c r="H219" s="642"/>
      <c r="I219" s="198" t="e">
        <f t="shared" si="91"/>
        <v>#DIV/0!</v>
      </c>
      <c r="J219" s="198" t="e">
        <f t="shared" si="91"/>
        <v>#DIV/0!</v>
      </c>
      <c r="K219" s="198" t="e">
        <f t="shared" si="91"/>
        <v>#DIV/0!</v>
      </c>
      <c r="L219" s="648"/>
      <c r="M219" s="198" t="e">
        <f>RANK(K219, K$218:$K$247)</f>
        <v>#DIV/0!</v>
      </c>
    </row>
    <row r="220" spans="2:53">
      <c r="B220" s="647"/>
      <c r="C220" s="303">
        <v>3</v>
      </c>
      <c r="D220" s="303"/>
      <c r="E220" s="303"/>
      <c r="F220" s="360"/>
      <c r="G220" s="303"/>
      <c r="H220" s="642"/>
      <c r="I220" s="198" t="e">
        <f t="shared" si="91"/>
        <v>#DIV/0!</v>
      </c>
      <c r="J220" s="198" t="e">
        <f t="shared" si="91"/>
        <v>#DIV/0!</v>
      </c>
      <c r="K220" s="198" t="e">
        <f t="shared" si="91"/>
        <v>#DIV/0!</v>
      </c>
      <c r="L220" s="648"/>
      <c r="M220" s="198" t="e">
        <f>RANK(K220, K$218:$K$247)</f>
        <v>#DIV/0!</v>
      </c>
    </row>
    <row r="221" spans="2:53">
      <c r="B221" s="647"/>
      <c r="C221" s="303">
        <v>4</v>
      </c>
      <c r="D221" s="303"/>
      <c r="E221" s="303"/>
      <c r="F221" s="360"/>
      <c r="G221" s="360"/>
      <c r="H221" s="642"/>
      <c r="I221" s="198" t="e">
        <f t="shared" si="91"/>
        <v>#DIV/0!</v>
      </c>
      <c r="J221" s="198" t="e">
        <f t="shared" si="91"/>
        <v>#DIV/0!</v>
      </c>
      <c r="K221" s="198" t="e">
        <f t="shared" si="91"/>
        <v>#DIV/0!</v>
      </c>
      <c r="L221" s="648"/>
      <c r="M221" s="198" t="e">
        <f>RANK(K221, K$218:$K$247)</f>
        <v>#DIV/0!</v>
      </c>
    </row>
    <row r="222" spans="2:53">
      <c r="B222" s="647"/>
      <c r="C222" s="303">
        <v>5</v>
      </c>
      <c r="D222" s="303"/>
      <c r="E222" s="303"/>
      <c r="F222" s="360"/>
      <c r="G222" s="360"/>
      <c r="H222" s="642"/>
      <c r="I222" s="198" t="e">
        <f t="shared" si="91"/>
        <v>#DIV/0!</v>
      </c>
      <c r="J222" s="198" t="e">
        <f t="shared" si="91"/>
        <v>#DIV/0!</v>
      </c>
      <c r="K222" s="198" t="e">
        <f t="shared" si="91"/>
        <v>#DIV/0!</v>
      </c>
      <c r="L222" s="648"/>
      <c r="M222" s="198" t="e">
        <f>RANK(K222, K$218:$K$247)</f>
        <v>#DIV/0!</v>
      </c>
    </row>
    <row r="223" spans="2:53">
      <c r="B223" s="647"/>
      <c r="C223" s="303">
        <v>6</v>
      </c>
      <c r="D223" s="303"/>
      <c r="E223" s="303"/>
      <c r="F223" s="360"/>
      <c r="G223" s="360"/>
      <c r="H223" s="642"/>
      <c r="I223" s="198" t="e">
        <f t="shared" si="91"/>
        <v>#DIV/0!</v>
      </c>
      <c r="J223" s="198" t="e">
        <f t="shared" si="91"/>
        <v>#DIV/0!</v>
      </c>
      <c r="K223" s="198" t="e">
        <f t="shared" si="91"/>
        <v>#DIV/0!</v>
      </c>
      <c r="L223" s="648"/>
      <c r="M223" s="198" t="e">
        <f>RANK(K223, K$218:$K$247)</f>
        <v>#DIV/0!</v>
      </c>
    </row>
    <row r="224" spans="2:53">
      <c r="B224" s="647"/>
      <c r="C224" s="303">
        <v>7</v>
      </c>
      <c r="D224" s="359"/>
      <c r="E224" s="303"/>
      <c r="F224" s="360"/>
      <c r="G224" s="360"/>
      <c r="H224" s="642"/>
      <c r="I224" s="198" t="e">
        <f t="shared" si="91"/>
        <v>#DIV/0!</v>
      </c>
      <c r="J224" s="198" t="e">
        <f t="shared" si="91"/>
        <v>#DIV/0!</v>
      </c>
      <c r="K224" s="198" t="e">
        <f t="shared" si="91"/>
        <v>#DIV/0!</v>
      </c>
      <c r="L224" s="648"/>
      <c r="M224" s="198" t="e">
        <f>RANK(K224, K$218:$K$247)</f>
        <v>#DIV/0!</v>
      </c>
    </row>
    <row r="225" spans="2:39">
      <c r="B225" s="647"/>
      <c r="C225" s="303">
        <v>8</v>
      </c>
      <c r="D225" s="359"/>
      <c r="E225" s="303"/>
      <c r="F225" s="360"/>
      <c r="G225" s="360"/>
      <c r="H225" s="642"/>
      <c r="I225" s="198" t="e">
        <f t="shared" si="91"/>
        <v>#DIV/0!</v>
      </c>
      <c r="J225" s="198" t="e">
        <f t="shared" si="91"/>
        <v>#DIV/0!</v>
      </c>
      <c r="K225" s="198" t="e">
        <f t="shared" si="91"/>
        <v>#DIV/0!</v>
      </c>
      <c r="L225" s="648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47"/>
      <c r="C226" s="303">
        <v>9</v>
      </c>
      <c r="D226" s="303"/>
      <c r="E226" s="303"/>
      <c r="F226" s="303"/>
      <c r="G226" s="303"/>
      <c r="H226" s="642"/>
      <c r="I226" s="198" t="e">
        <f t="shared" si="91"/>
        <v>#DIV/0!</v>
      </c>
      <c r="J226" s="198" t="e">
        <f t="shared" si="91"/>
        <v>#DIV/0!</v>
      </c>
      <c r="K226" s="198" t="e">
        <f t="shared" si="91"/>
        <v>#DIV/0!</v>
      </c>
      <c r="L226" s="648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47"/>
      <c r="C227" s="303">
        <v>10</v>
      </c>
      <c r="D227" s="303"/>
      <c r="E227" s="303"/>
      <c r="F227" s="303"/>
      <c r="G227" s="303"/>
      <c r="H227" s="642"/>
      <c r="I227" s="198" t="e">
        <f t="shared" si="91"/>
        <v>#DIV/0!</v>
      </c>
      <c r="J227" s="198" t="e">
        <f t="shared" si="91"/>
        <v>#DIV/0!</v>
      </c>
      <c r="K227" s="198" t="e">
        <f t="shared" si="91"/>
        <v>#DIV/0!</v>
      </c>
      <c r="L227" s="648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47"/>
      <c r="C228" s="303">
        <v>11</v>
      </c>
      <c r="D228" s="303"/>
      <c r="E228" s="303"/>
      <c r="F228" s="303"/>
      <c r="G228" s="303"/>
      <c r="H228" s="642"/>
      <c r="I228" s="198" t="e">
        <f t="shared" si="91"/>
        <v>#DIV/0!</v>
      </c>
      <c r="J228" s="198" t="e">
        <f t="shared" si="91"/>
        <v>#DIV/0!</v>
      </c>
      <c r="K228" s="198" t="e">
        <f t="shared" si="91"/>
        <v>#DIV/0!</v>
      </c>
      <c r="L228" s="648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47"/>
      <c r="C229" s="303">
        <v>12</v>
      </c>
      <c r="D229" s="303"/>
      <c r="E229" s="303"/>
      <c r="F229" s="303"/>
      <c r="G229" s="303"/>
      <c r="H229" s="642"/>
      <c r="I229" s="198" t="e">
        <f t="shared" si="91"/>
        <v>#DIV/0!</v>
      </c>
      <c r="J229" s="198" t="e">
        <f t="shared" si="91"/>
        <v>#DIV/0!</v>
      </c>
      <c r="K229" s="198" t="e">
        <f t="shared" si="91"/>
        <v>#DIV/0!</v>
      </c>
      <c r="L229" s="648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47"/>
      <c r="C230" s="303">
        <v>13</v>
      </c>
      <c r="D230" s="303"/>
      <c r="E230" s="303"/>
      <c r="F230" s="303"/>
      <c r="G230" s="303"/>
      <c r="H230" s="642"/>
      <c r="I230" s="198" t="e">
        <f t="shared" si="91"/>
        <v>#DIV/0!</v>
      </c>
      <c r="J230" s="198" t="e">
        <f t="shared" si="91"/>
        <v>#DIV/0!</v>
      </c>
      <c r="K230" s="198" t="e">
        <f t="shared" si="91"/>
        <v>#DIV/0!</v>
      </c>
      <c r="L230" s="648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47"/>
      <c r="C231" s="303">
        <v>14</v>
      </c>
      <c r="D231" s="303"/>
      <c r="E231" s="303"/>
      <c r="F231" s="303"/>
      <c r="G231" s="303"/>
      <c r="H231" s="642"/>
      <c r="I231" s="198" t="e">
        <f t="shared" si="91"/>
        <v>#DIV/0!</v>
      </c>
      <c r="J231" s="198" t="e">
        <f t="shared" si="91"/>
        <v>#DIV/0!</v>
      </c>
      <c r="K231" s="198" t="e">
        <f t="shared" si="91"/>
        <v>#DIV/0!</v>
      </c>
      <c r="L231" s="648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47"/>
      <c r="C232" s="303">
        <v>15</v>
      </c>
      <c r="D232" s="303"/>
      <c r="E232" s="303"/>
      <c r="F232" s="303"/>
      <c r="G232" s="303"/>
      <c r="H232" s="642"/>
      <c r="I232" s="198" t="e">
        <f t="shared" si="91"/>
        <v>#DIV/0!</v>
      </c>
      <c r="J232" s="198" t="e">
        <f t="shared" si="91"/>
        <v>#DIV/0!</v>
      </c>
      <c r="K232" s="198" t="e">
        <f t="shared" si="91"/>
        <v>#DIV/0!</v>
      </c>
      <c r="L232" s="648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47"/>
      <c r="C233" s="303">
        <v>16</v>
      </c>
      <c r="D233" s="303"/>
      <c r="E233" s="303"/>
      <c r="F233" s="303"/>
      <c r="G233" s="303"/>
      <c r="H233" s="642"/>
      <c r="I233" s="198" t="e">
        <f t="shared" si="91"/>
        <v>#DIV/0!</v>
      </c>
      <c r="J233" s="198" t="e">
        <f t="shared" si="91"/>
        <v>#DIV/0!</v>
      </c>
      <c r="K233" s="198" t="e">
        <f t="shared" si="91"/>
        <v>#DIV/0!</v>
      </c>
      <c r="L233" s="648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47"/>
      <c r="C234" s="303">
        <v>17</v>
      </c>
      <c r="D234" s="303"/>
      <c r="E234" s="303"/>
      <c r="F234" s="303"/>
      <c r="G234" s="303"/>
      <c r="H234" s="642"/>
      <c r="I234" s="198" t="e">
        <f t="shared" si="91"/>
        <v>#DIV/0!</v>
      </c>
      <c r="J234" s="198" t="e">
        <f t="shared" si="91"/>
        <v>#DIV/0!</v>
      </c>
      <c r="K234" s="198" t="e">
        <f t="shared" si="91"/>
        <v>#DIV/0!</v>
      </c>
      <c r="L234" s="648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47"/>
      <c r="C235" s="303">
        <v>18</v>
      </c>
      <c r="D235" s="303"/>
      <c r="E235" s="303"/>
      <c r="F235" s="303"/>
      <c r="G235" s="303"/>
      <c r="H235" s="642"/>
      <c r="I235" s="198" t="e">
        <f t="shared" si="91"/>
        <v>#DIV/0!</v>
      </c>
      <c r="J235" s="198" t="e">
        <f t="shared" si="91"/>
        <v>#DIV/0!</v>
      </c>
      <c r="K235" s="198" t="e">
        <f t="shared" si="91"/>
        <v>#DIV/0!</v>
      </c>
      <c r="L235" s="648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47"/>
      <c r="C236" s="303">
        <v>19</v>
      </c>
      <c r="D236" s="303"/>
      <c r="E236" s="303"/>
      <c r="F236" s="303"/>
      <c r="G236" s="303"/>
      <c r="H236" s="642"/>
      <c r="I236" s="198" t="e">
        <f t="shared" si="91"/>
        <v>#DIV/0!</v>
      </c>
      <c r="J236" s="198" t="e">
        <f t="shared" si="91"/>
        <v>#DIV/0!</v>
      </c>
      <c r="K236" s="198" t="e">
        <f t="shared" si="91"/>
        <v>#DIV/0!</v>
      </c>
      <c r="L236" s="648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47"/>
      <c r="C237" s="303">
        <v>20</v>
      </c>
      <c r="D237" s="303"/>
      <c r="E237" s="303"/>
      <c r="F237" s="303"/>
      <c r="G237" s="303"/>
      <c r="H237" s="642"/>
      <c r="I237" s="198" t="e">
        <f t="shared" si="91"/>
        <v>#DIV/0!</v>
      </c>
      <c r="J237" s="198" t="e">
        <f t="shared" si="91"/>
        <v>#DIV/0!</v>
      </c>
      <c r="K237" s="198" t="e">
        <f t="shared" si="91"/>
        <v>#DIV/0!</v>
      </c>
      <c r="L237" s="648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47"/>
      <c r="C238" s="303">
        <v>21</v>
      </c>
      <c r="D238" s="303"/>
      <c r="E238" s="303"/>
      <c r="F238" s="303"/>
      <c r="G238" s="303"/>
      <c r="H238" s="642"/>
      <c r="I238" s="198" t="e">
        <f t="shared" si="91"/>
        <v>#DIV/0!</v>
      </c>
      <c r="J238" s="198" t="e">
        <f t="shared" si="91"/>
        <v>#DIV/0!</v>
      </c>
      <c r="K238" s="198" t="e">
        <f t="shared" si="91"/>
        <v>#DIV/0!</v>
      </c>
      <c r="L238" s="648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47"/>
      <c r="C239" s="303">
        <v>22</v>
      </c>
      <c r="D239" s="303"/>
      <c r="E239" s="303"/>
      <c r="F239" s="303"/>
      <c r="G239" s="303"/>
      <c r="H239" s="642"/>
      <c r="I239" s="198" t="e">
        <f t="shared" si="91"/>
        <v>#DIV/0!</v>
      </c>
      <c r="J239" s="198" t="e">
        <f t="shared" si="91"/>
        <v>#DIV/0!</v>
      </c>
      <c r="K239" s="198" t="e">
        <f t="shared" si="91"/>
        <v>#DIV/0!</v>
      </c>
      <c r="L239" s="648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47"/>
      <c r="C240" s="303">
        <v>23</v>
      </c>
      <c r="D240" s="303"/>
      <c r="E240" s="303"/>
      <c r="F240" s="303"/>
      <c r="G240" s="303"/>
      <c r="H240" s="642"/>
      <c r="I240" s="198" t="e">
        <f t="shared" si="91"/>
        <v>#DIV/0!</v>
      </c>
      <c r="J240" s="198" t="e">
        <f t="shared" si="91"/>
        <v>#DIV/0!</v>
      </c>
      <c r="K240" s="198" t="e">
        <f t="shared" si="91"/>
        <v>#DIV/0!</v>
      </c>
      <c r="L240" s="648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47"/>
      <c r="C241" s="303">
        <v>24</v>
      </c>
      <c r="D241" s="303"/>
      <c r="E241" s="303"/>
      <c r="F241" s="303"/>
      <c r="G241" s="303"/>
      <c r="H241" s="642"/>
      <c r="I241" s="198"/>
      <c r="J241" s="198"/>
      <c r="K241" s="198"/>
      <c r="L241" s="648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47"/>
      <c r="C242" s="303">
        <v>25</v>
      </c>
      <c r="D242" s="303"/>
      <c r="E242" s="303"/>
      <c r="F242" s="303"/>
      <c r="G242" s="303"/>
      <c r="H242" s="642"/>
      <c r="I242" s="198"/>
      <c r="J242" s="198"/>
      <c r="K242" s="198"/>
      <c r="L242" s="648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47"/>
      <c r="C243" s="303">
        <v>26</v>
      </c>
      <c r="D243" s="303"/>
      <c r="E243" s="303"/>
      <c r="F243" s="303"/>
      <c r="G243" s="303"/>
      <c r="H243" s="642"/>
      <c r="I243" s="198"/>
      <c r="J243" s="198"/>
      <c r="K243" s="198"/>
      <c r="L243" s="648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47"/>
      <c r="C244" s="303">
        <v>27</v>
      </c>
      <c r="D244" s="303"/>
      <c r="E244" s="303"/>
      <c r="F244" s="303"/>
      <c r="G244" s="303"/>
      <c r="H244" s="642"/>
      <c r="I244" s="198"/>
      <c r="J244" s="198"/>
      <c r="K244" s="198"/>
      <c r="L244" s="648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47"/>
      <c r="C245" s="303">
        <v>28</v>
      </c>
      <c r="D245" s="303"/>
      <c r="E245" s="303"/>
      <c r="F245" s="303"/>
      <c r="G245" s="303"/>
      <c r="H245" s="642"/>
      <c r="I245" s="198"/>
      <c r="J245" s="198"/>
      <c r="K245" s="198"/>
      <c r="L245" s="648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47"/>
      <c r="C246" s="303">
        <v>29</v>
      </c>
      <c r="D246" s="303"/>
      <c r="E246" s="303"/>
      <c r="F246" s="303"/>
      <c r="G246" s="303"/>
      <c r="H246" s="642"/>
      <c r="I246" s="198"/>
      <c r="J246" s="198"/>
      <c r="K246" s="198"/>
      <c r="L246" s="648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47"/>
      <c r="C247" s="303">
        <v>30</v>
      </c>
      <c r="D247" s="303"/>
      <c r="E247" s="303"/>
      <c r="F247" s="303"/>
      <c r="G247" s="303"/>
      <c r="H247" s="642"/>
      <c r="I247" s="198"/>
      <c r="J247" s="198"/>
      <c r="K247" s="198"/>
      <c r="L247" s="648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60" t="s">
        <v>338</v>
      </c>
      <c r="E250" s="360">
        <v>4</v>
      </c>
      <c r="F250" s="360">
        <v>2700</v>
      </c>
      <c r="G250" s="360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60" t="s">
        <v>340</v>
      </c>
      <c r="E251" s="360">
        <v>3</v>
      </c>
      <c r="F251" s="360">
        <v>2700</v>
      </c>
      <c r="G251" s="360">
        <f t="shared" ref="G251:G255" si="92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60" t="s">
        <v>341</v>
      </c>
      <c r="E252" s="360">
        <v>4</v>
      </c>
      <c r="F252" s="360">
        <v>2700</v>
      </c>
      <c r="G252" s="360">
        <f t="shared" si="92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60" t="s">
        <v>508</v>
      </c>
      <c r="E253" s="360">
        <v>4</v>
      </c>
      <c r="F253" s="360">
        <v>2700</v>
      </c>
      <c r="G253" s="360">
        <f t="shared" si="92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59" t="s">
        <v>550</v>
      </c>
      <c r="E254" s="360">
        <v>4</v>
      </c>
      <c r="F254" s="360">
        <v>2600</v>
      </c>
      <c r="G254" s="360">
        <f t="shared" si="92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59" t="s">
        <v>551</v>
      </c>
      <c r="E255" s="360">
        <v>4</v>
      </c>
      <c r="F255" s="360">
        <v>2600</v>
      </c>
      <c r="G255" s="360">
        <f t="shared" si="92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60" t="s">
        <v>338</v>
      </c>
      <c r="E257" s="360">
        <v>4</v>
      </c>
      <c r="F257" s="360">
        <v>3300</v>
      </c>
      <c r="G257" s="360">
        <f>F257/E257</f>
        <v>825</v>
      </c>
      <c r="H257" s="106">
        <v>845.8</v>
      </c>
    </row>
    <row r="258" spans="4:8" s="107" customFormat="1">
      <c r="D258" s="360" t="s">
        <v>340</v>
      </c>
      <c r="E258" s="360">
        <v>3</v>
      </c>
      <c r="F258" s="360">
        <v>3300</v>
      </c>
      <c r="G258" s="360">
        <f t="shared" ref="G258:G262" si="93">F258/E258</f>
        <v>1100</v>
      </c>
      <c r="H258" s="106"/>
    </row>
    <row r="259" spans="4:8" s="107" customFormat="1">
      <c r="D259" s="360" t="s">
        <v>341</v>
      </c>
      <c r="E259" s="360">
        <v>4</v>
      </c>
      <c r="F259" s="360">
        <v>3300</v>
      </c>
      <c r="G259" s="360">
        <f t="shared" si="93"/>
        <v>825</v>
      </c>
      <c r="H259" s="106"/>
    </row>
    <row r="260" spans="4:8" s="107" customFormat="1">
      <c r="D260" s="360" t="s">
        <v>508</v>
      </c>
      <c r="E260" s="360">
        <v>4</v>
      </c>
      <c r="F260" s="360">
        <v>3100</v>
      </c>
      <c r="G260" s="360">
        <f t="shared" si="93"/>
        <v>775</v>
      </c>
      <c r="H260" s="106"/>
    </row>
    <row r="261" spans="4:8" s="107" customFormat="1">
      <c r="D261" s="359" t="s">
        <v>550</v>
      </c>
      <c r="E261" s="360">
        <v>4</v>
      </c>
      <c r="F261" s="360">
        <v>3100</v>
      </c>
      <c r="G261" s="360">
        <f t="shared" si="93"/>
        <v>775</v>
      </c>
      <c r="H261" s="106"/>
    </row>
    <row r="262" spans="4:8" s="107" customFormat="1">
      <c r="D262" s="359" t="s">
        <v>551</v>
      </c>
      <c r="E262" s="360">
        <v>4</v>
      </c>
      <c r="F262" s="360">
        <v>3100</v>
      </c>
      <c r="G262" s="360">
        <f t="shared" si="93"/>
        <v>775</v>
      </c>
      <c r="H262" s="106"/>
    </row>
  </sheetData>
  <mergeCells count="379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7" zoomScale="55" zoomScaleNormal="55" workbookViewId="0">
      <pane xSplit="15" topLeftCell="P1" activePane="topRight" state="frozen"/>
      <selection activeCell="T7" activeCellId="4" sqref="AM7:AN36 AH7:AI36 AC7:AD36 X7:Y36 S7:T36"/>
      <selection pane="topRight" activeCell="T67" activeCellId="6" sqref="AW67:AX81 AR67:AS81 AM67:AN81 AH67:AI81 AC67:AD81 X67:Y81 S67:T8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AVERAGE(L7,L27,L47,L87,L87,L107)</f>
        <v>138.69721162321838</v>
      </c>
    </row>
    <row r="2" spans="1:53" ht="15.75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43" t="s">
        <v>156</v>
      </c>
      <c r="O2" s="643" t="s">
        <v>155</v>
      </c>
      <c r="P2" s="668">
        <v>46231</v>
      </c>
      <c r="Q2" s="647"/>
      <c r="R2" s="647"/>
      <c r="S2" s="647"/>
      <c r="T2" s="647"/>
      <c r="U2" s="665">
        <f>P2+1</f>
        <v>46232</v>
      </c>
      <c r="V2" s="666"/>
      <c r="W2" s="666"/>
      <c r="X2" s="666"/>
      <c r="Y2" s="667"/>
      <c r="Z2" s="665">
        <f>U2+1</f>
        <v>46233</v>
      </c>
      <c r="AA2" s="666"/>
      <c r="AB2" s="666"/>
      <c r="AC2" s="666"/>
      <c r="AD2" s="667"/>
      <c r="AE2" s="665">
        <f>Z2+1</f>
        <v>46234</v>
      </c>
      <c r="AF2" s="666"/>
      <c r="AG2" s="666"/>
      <c r="AH2" s="666"/>
      <c r="AI2" s="667"/>
      <c r="AJ2" s="665">
        <f>AE2+1</f>
        <v>46235</v>
      </c>
      <c r="AK2" s="666"/>
      <c r="AL2" s="666"/>
      <c r="AM2" s="666"/>
      <c r="AN2" s="667"/>
      <c r="AO2" s="665">
        <f>AJ2+1</f>
        <v>46236</v>
      </c>
      <c r="AP2" s="666"/>
      <c r="AQ2" s="666"/>
      <c r="AR2" s="666"/>
      <c r="AS2" s="667"/>
      <c r="AT2" s="665">
        <f>AO2+1</f>
        <v>46237</v>
      </c>
      <c r="AU2" s="666"/>
      <c r="AV2" s="666"/>
      <c r="AW2" s="666"/>
      <c r="AX2" s="667"/>
    </row>
    <row r="3" spans="1:53" ht="15.75">
      <c r="A3" s="81"/>
      <c r="B3" s="713"/>
      <c r="C3" s="713"/>
      <c r="D3" s="713"/>
      <c r="E3" s="713"/>
      <c r="F3" s="713"/>
      <c r="G3" s="713"/>
      <c r="H3" s="713"/>
      <c r="I3" s="285"/>
      <c r="J3" s="285"/>
      <c r="K3" s="285"/>
      <c r="L3" s="285"/>
      <c r="M3" s="197"/>
      <c r="N3" s="645"/>
      <c r="O3" s="645"/>
      <c r="P3" s="668" t="s">
        <v>158</v>
      </c>
      <c r="Q3" s="647"/>
      <c r="R3" s="647"/>
      <c r="S3" s="647"/>
      <c r="T3" s="647"/>
      <c r="U3" s="668" t="s">
        <v>114</v>
      </c>
      <c r="V3" s="647"/>
      <c r="W3" s="647"/>
      <c r="X3" s="647"/>
      <c r="Y3" s="647"/>
      <c r="Z3" s="668" t="s">
        <v>159</v>
      </c>
      <c r="AA3" s="647"/>
      <c r="AB3" s="647"/>
      <c r="AC3" s="647"/>
      <c r="AD3" s="647"/>
      <c r="AE3" s="668" t="s">
        <v>157</v>
      </c>
      <c r="AF3" s="647"/>
      <c r="AG3" s="647"/>
      <c r="AH3" s="647"/>
      <c r="AI3" s="647"/>
      <c r="AJ3" s="668" t="s">
        <v>160</v>
      </c>
      <c r="AK3" s="647"/>
      <c r="AL3" s="647"/>
      <c r="AM3" s="647"/>
      <c r="AN3" s="647"/>
      <c r="AO3" s="668" t="s">
        <v>115</v>
      </c>
      <c r="AP3" s="647"/>
      <c r="AQ3" s="647"/>
      <c r="AR3" s="647"/>
      <c r="AS3" s="647"/>
      <c r="AT3" s="668" t="s">
        <v>161</v>
      </c>
      <c r="AU3" s="647"/>
      <c r="AV3" s="647"/>
      <c r="AW3" s="647"/>
      <c r="AX3" s="647"/>
    </row>
    <row r="4" spans="1:53" ht="14.25">
      <c r="A4" s="81"/>
      <c r="B4" s="641" t="s">
        <v>544</v>
      </c>
      <c r="C4" s="641" t="s">
        <v>379</v>
      </c>
      <c r="D4" s="641"/>
      <c r="E4" s="641" t="s">
        <v>370</v>
      </c>
      <c r="F4" s="641"/>
      <c r="G4" s="641"/>
      <c r="H4" s="673" t="s">
        <v>366</v>
      </c>
      <c r="I4" s="641" t="s">
        <v>371</v>
      </c>
      <c r="J4" s="641"/>
      <c r="K4" s="641"/>
      <c r="L4" s="673" t="s">
        <v>366</v>
      </c>
      <c r="M4" s="643" t="s">
        <v>367</v>
      </c>
      <c r="N4" s="641"/>
      <c r="O4" s="641" t="s">
        <v>372</v>
      </c>
      <c r="P4" s="659" t="s">
        <v>368</v>
      </c>
      <c r="Q4" s="660"/>
      <c r="R4" s="660"/>
      <c r="S4" s="661"/>
      <c r="T4" s="643" t="s">
        <v>366</v>
      </c>
      <c r="U4" s="659" t="s">
        <v>368</v>
      </c>
      <c r="V4" s="660"/>
      <c r="W4" s="660"/>
      <c r="X4" s="661"/>
      <c r="Y4" s="643" t="s">
        <v>366</v>
      </c>
      <c r="Z4" s="659" t="s">
        <v>368</v>
      </c>
      <c r="AA4" s="660"/>
      <c r="AB4" s="660"/>
      <c r="AC4" s="661"/>
      <c r="AD4" s="643" t="s">
        <v>366</v>
      </c>
      <c r="AE4" s="659" t="s">
        <v>368</v>
      </c>
      <c r="AF4" s="660"/>
      <c r="AG4" s="660"/>
      <c r="AH4" s="661"/>
      <c r="AI4" s="641" t="s">
        <v>366</v>
      </c>
      <c r="AJ4" s="659" t="s">
        <v>368</v>
      </c>
      <c r="AK4" s="660"/>
      <c r="AL4" s="660"/>
      <c r="AM4" s="661"/>
      <c r="AN4" s="641" t="s">
        <v>366</v>
      </c>
      <c r="AO4" s="659" t="s">
        <v>368</v>
      </c>
      <c r="AP4" s="660"/>
      <c r="AQ4" s="660"/>
      <c r="AR4" s="661"/>
      <c r="AS4" s="641" t="s">
        <v>366</v>
      </c>
      <c r="AT4" s="659" t="s">
        <v>368</v>
      </c>
      <c r="AU4" s="660"/>
      <c r="AV4" s="660"/>
      <c r="AW4" s="661"/>
      <c r="AX4" s="641" t="s">
        <v>366</v>
      </c>
      <c r="BA4" s="641" t="s">
        <v>366</v>
      </c>
    </row>
    <row r="5" spans="1:53" ht="14.25">
      <c r="A5" s="81"/>
      <c r="B5" s="641"/>
      <c r="C5" s="641"/>
      <c r="D5" s="641"/>
      <c r="E5" s="641" t="s">
        <v>373</v>
      </c>
      <c r="F5" s="641"/>
      <c r="G5" s="641"/>
      <c r="H5" s="674"/>
      <c r="I5" s="641" t="s">
        <v>373</v>
      </c>
      <c r="J5" s="641"/>
      <c r="K5" s="641"/>
      <c r="L5" s="674"/>
      <c r="M5" s="644"/>
      <c r="N5" s="641"/>
      <c r="O5" s="641"/>
      <c r="P5" s="659" t="s">
        <v>374</v>
      </c>
      <c r="Q5" s="660"/>
      <c r="R5" s="660"/>
      <c r="S5" s="661"/>
      <c r="T5" s="644"/>
      <c r="U5" s="659" t="s">
        <v>374</v>
      </c>
      <c r="V5" s="660"/>
      <c r="W5" s="660"/>
      <c r="X5" s="661"/>
      <c r="Y5" s="644"/>
      <c r="Z5" s="659" t="s">
        <v>374</v>
      </c>
      <c r="AA5" s="660"/>
      <c r="AB5" s="660"/>
      <c r="AC5" s="661"/>
      <c r="AD5" s="644"/>
      <c r="AE5" s="659" t="s">
        <v>374</v>
      </c>
      <c r="AF5" s="660"/>
      <c r="AG5" s="660"/>
      <c r="AH5" s="661"/>
      <c r="AI5" s="641"/>
      <c r="AJ5" s="659" t="s">
        <v>374</v>
      </c>
      <c r="AK5" s="660"/>
      <c r="AL5" s="660"/>
      <c r="AM5" s="661"/>
      <c r="AN5" s="641"/>
      <c r="AO5" s="659" t="s">
        <v>374</v>
      </c>
      <c r="AP5" s="660"/>
      <c r="AQ5" s="660"/>
      <c r="AR5" s="661"/>
      <c r="AS5" s="641"/>
      <c r="AT5" s="659" t="s">
        <v>374</v>
      </c>
      <c r="AU5" s="660"/>
      <c r="AV5" s="660"/>
      <c r="AW5" s="661"/>
      <c r="AX5" s="641"/>
      <c r="BA5" s="641"/>
    </row>
    <row r="6" spans="1:53" ht="14.25">
      <c r="A6" s="79"/>
      <c r="B6" s="641"/>
      <c r="C6" s="641"/>
      <c r="D6" s="641"/>
      <c r="E6" s="533" t="s">
        <v>375</v>
      </c>
      <c r="F6" s="533" t="s">
        <v>376</v>
      </c>
      <c r="G6" s="533" t="s">
        <v>377</v>
      </c>
      <c r="H6" s="675"/>
      <c r="I6" s="533" t="s">
        <v>375</v>
      </c>
      <c r="J6" s="533" t="s">
        <v>376</v>
      </c>
      <c r="K6" s="533" t="s">
        <v>377</v>
      </c>
      <c r="L6" s="675"/>
      <c r="M6" s="645"/>
      <c r="N6" s="641"/>
      <c r="O6" s="641"/>
      <c r="P6" s="533" t="s">
        <v>375</v>
      </c>
      <c r="Q6" s="533" t="s">
        <v>376</v>
      </c>
      <c r="R6" s="533" t="s">
        <v>377</v>
      </c>
      <c r="S6" s="533" t="s">
        <v>367</v>
      </c>
      <c r="T6" s="645"/>
      <c r="U6" s="533" t="s">
        <v>375</v>
      </c>
      <c r="V6" s="533" t="s">
        <v>376</v>
      </c>
      <c r="W6" s="533" t="s">
        <v>377</v>
      </c>
      <c r="X6" s="533" t="s">
        <v>367</v>
      </c>
      <c r="Y6" s="645"/>
      <c r="Z6" s="533" t="s">
        <v>375</v>
      </c>
      <c r="AA6" s="533" t="s">
        <v>376</v>
      </c>
      <c r="AB6" s="533" t="s">
        <v>377</v>
      </c>
      <c r="AC6" s="533" t="s">
        <v>367</v>
      </c>
      <c r="AD6" s="645"/>
      <c r="AE6" s="533" t="s">
        <v>375</v>
      </c>
      <c r="AF6" s="533" t="s">
        <v>376</v>
      </c>
      <c r="AG6" s="533" t="s">
        <v>377</v>
      </c>
      <c r="AH6" s="533" t="s">
        <v>367</v>
      </c>
      <c r="AI6" s="641"/>
      <c r="AJ6" s="533" t="s">
        <v>375</v>
      </c>
      <c r="AK6" s="533" t="s">
        <v>376</v>
      </c>
      <c r="AL6" s="533" t="s">
        <v>377</v>
      </c>
      <c r="AM6" s="533" t="s">
        <v>367</v>
      </c>
      <c r="AN6" s="641"/>
      <c r="AO6" s="533" t="s">
        <v>375</v>
      </c>
      <c r="AP6" s="533" t="s">
        <v>376</v>
      </c>
      <c r="AQ6" s="533" t="s">
        <v>377</v>
      </c>
      <c r="AR6" s="533" t="s">
        <v>367</v>
      </c>
      <c r="AS6" s="641"/>
      <c r="AT6" s="533" t="s">
        <v>375</v>
      </c>
      <c r="AU6" s="533" t="s">
        <v>376</v>
      </c>
      <c r="AV6" s="533" t="s">
        <v>377</v>
      </c>
      <c r="AW6" s="533" t="s">
        <v>367</v>
      </c>
      <c r="AX6" s="641"/>
      <c r="AZ6" s="373" t="s">
        <v>367</v>
      </c>
      <c r="BA6" s="641"/>
    </row>
    <row r="7" spans="1:53" ht="14.25">
      <c r="A7" s="81"/>
      <c r="B7" s="699" t="s">
        <v>545</v>
      </c>
      <c r="C7" s="537">
        <v>1</v>
      </c>
      <c r="D7" s="533" t="s">
        <v>571</v>
      </c>
      <c r="E7" s="534">
        <v>10</v>
      </c>
      <c r="F7" s="534">
        <v>1500</v>
      </c>
      <c r="G7" s="535">
        <v>150</v>
      </c>
      <c r="H7" s="654">
        <f>AVERAGE(G7:G21)</f>
        <v>127.5</v>
      </c>
      <c r="I7" s="538">
        <f t="shared" ref="I7:I21" si="0">IFERROR(AVERAGE(P7,U7,Z7,AE7,AJ7,AO7,AT7),"-")</f>
        <v>10</v>
      </c>
      <c r="J7" s="538">
        <f t="shared" ref="J7:J21" si="1">IFERROR(AVERAGE(Q7,V7,AA7,AF7,AK7,AP7,AU7),"-")</f>
        <v>1444.5714285714294</v>
      </c>
      <c r="K7" s="199">
        <f t="shared" ref="K7:K21" si="2">IFERROR(AVERAGE(R7,W7,AB7,AG7,AL7,AQ7,AV7),"-")</f>
        <v>144.45714285714294</v>
      </c>
      <c r="L7" s="656">
        <f>IFERROR(AVERAGE(K7:K21),"-")</f>
        <v>138.08330085934321</v>
      </c>
      <c r="M7" s="513">
        <f>RANK(K7, K$7:$K$21)</f>
        <v>1</v>
      </c>
      <c r="N7" s="641"/>
      <c r="O7" s="641"/>
      <c r="P7" s="534">
        <v>10</v>
      </c>
      <c r="Q7" s="535">
        <v>1560.0000000000016</v>
      </c>
      <c r="R7" s="535">
        <v>156.00000000000017</v>
      </c>
      <c r="S7" s="534">
        <f>RANK(R7, R$7:R$21)</f>
        <v>1</v>
      </c>
      <c r="T7" s="642">
        <f t="shared" ref="T7" si="3">AVERAGE(R7:R21)</f>
        <v>142.76231912883497</v>
      </c>
      <c r="U7" s="534">
        <v>10</v>
      </c>
      <c r="V7" s="535">
        <v>1520.0000000000014</v>
      </c>
      <c r="W7" s="535">
        <v>152.00000000000014</v>
      </c>
      <c r="X7" s="562">
        <f>RANK(W7, W$7:W$21)</f>
        <v>1</v>
      </c>
      <c r="Y7" s="642">
        <f t="shared" ref="Y7" si="4">AVERAGE(W7:W21)</f>
        <v>140.5040856579318</v>
      </c>
      <c r="Z7" s="534">
        <v>10</v>
      </c>
      <c r="AA7" s="535">
        <v>1441.9999999999975</v>
      </c>
      <c r="AB7" s="535">
        <v>144.19999999999976</v>
      </c>
      <c r="AC7" s="562">
        <f>RANK(AB7, AB$7:AB$21)</f>
        <v>1</v>
      </c>
      <c r="AD7" s="642">
        <f t="shared" ref="AD7" si="5">AVERAGE(AB7:AB21)</f>
        <v>139.36157078215882</v>
      </c>
      <c r="AE7" s="534">
        <v>10</v>
      </c>
      <c r="AF7" s="535">
        <v>1310.0000000000011</v>
      </c>
      <c r="AG7" s="535">
        <v>131.00000000000011</v>
      </c>
      <c r="AH7" s="562">
        <f>RANK(AG7, AG$7:AG$21)</f>
        <v>4</v>
      </c>
      <c r="AI7" s="642">
        <f t="shared" ref="AI7" si="6">AVERAGE(AG7:AG21)</f>
        <v>135.98461538461552</v>
      </c>
      <c r="AJ7" s="534">
        <v>10</v>
      </c>
      <c r="AK7" s="535">
        <v>1392.0000000000005</v>
      </c>
      <c r="AL7" s="535">
        <v>139.20000000000005</v>
      </c>
      <c r="AM7" s="562">
        <f>RANK(AL7, AL$7:AL$21)</f>
        <v>1</v>
      </c>
      <c r="AN7" s="642">
        <f t="shared" ref="AN7" si="7">AVERAGE(AL7:AL21)</f>
        <v>130.39825174825185</v>
      </c>
      <c r="AO7" s="534">
        <v>10</v>
      </c>
      <c r="AP7" s="535">
        <v>1498.0000000000014</v>
      </c>
      <c r="AQ7" s="535">
        <v>149.80000000000013</v>
      </c>
      <c r="AR7" s="562">
        <f>RANK(AQ7, AQ$7:AQ$21)</f>
        <v>1</v>
      </c>
      <c r="AS7" s="642">
        <f t="shared" ref="AS7" si="8">AVERAGE(AQ7:AQ21)</f>
        <v>138.20096153846163</v>
      </c>
      <c r="AT7" s="534">
        <v>10</v>
      </c>
      <c r="AU7" s="535">
        <v>1390.0000000000014</v>
      </c>
      <c r="AV7" s="535">
        <v>139.00000000000014</v>
      </c>
      <c r="AW7" s="562">
        <f>RANK(AV7, AV$7:AV$21)</f>
        <v>3</v>
      </c>
      <c r="AX7" s="642">
        <f t="shared" ref="AX7" si="9">AVERAGE(AV7:AV21)</f>
        <v>139.37130177514786</v>
      </c>
      <c r="AZ7" s="372" t="e">
        <f t="shared" ref="AZ7:AZ21" si="10">RANK(AY7, AY$7:AY$21)</f>
        <v>#N/A</v>
      </c>
      <c r="BA7" s="698" t="e">
        <f t="shared" ref="BA7" si="11">AVERAGE(AY7:AY21)</f>
        <v>#DIV/0!</v>
      </c>
    </row>
    <row r="8" spans="1:53" ht="15" customHeight="1">
      <c r="A8" s="81"/>
      <c r="B8" s="676"/>
      <c r="C8" s="537">
        <v>2</v>
      </c>
      <c r="D8" s="534" t="s">
        <v>591</v>
      </c>
      <c r="E8" s="534">
        <v>15</v>
      </c>
      <c r="F8" s="534">
        <v>1800</v>
      </c>
      <c r="G8" s="535">
        <v>120</v>
      </c>
      <c r="H8" s="655"/>
      <c r="I8" s="538">
        <f t="shared" si="0"/>
        <v>13</v>
      </c>
      <c r="J8" s="538">
        <f t="shared" si="1"/>
        <v>1763.9949764521193</v>
      </c>
      <c r="K8" s="199">
        <f t="shared" si="2"/>
        <v>135.69192126554762</v>
      </c>
      <c r="L8" s="657"/>
      <c r="M8" s="513">
        <f>RANK(K8, K$7:$K$21)</f>
        <v>3</v>
      </c>
      <c r="N8" s="641"/>
      <c r="O8" s="641"/>
      <c r="P8" s="534">
        <v>13</v>
      </c>
      <c r="Q8" s="535">
        <v>1769.1428571428576</v>
      </c>
      <c r="R8" s="535">
        <v>136.08791208791212</v>
      </c>
      <c r="S8" s="562">
        <f t="shared" ref="S8:S21" si="12">RANK(R8, R$7:R$21)</f>
        <v>3</v>
      </c>
      <c r="T8" s="642"/>
      <c r="U8" s="534">
        <v>13</v>
      </c>
      <c r="V8" s="535">
        <v>1766.5714285714289</v>
      </c>
      <c r="W8" s="535">
        <v>135.89010989010993</v>
      </c>
      <c r="X8" s="562">
        <f t="shared" ref="X8:X21" si="13">RANK(W8, W$7:W$21)</f>
        <v>4</v>
      </c>
      <c r="Y8" s="642"/>
      <c r="Z8" s="534">
        <v>13</v>
      </c>
      <c r="AA8" s="535">
        <v>1757.1428571428576</v>
      </c>
      <c r="AB8" s="535">
        <v>135.16483516483521</v>
      </c>
      <c r="AC8" s="562">
        <f t="shared" ref="AC8:AC21" si="14">RANK(AB8, AB$7:AB$21)</f>
        <v>4</v>
      </c>
      <c r="AD8" s="642"/>
      <c r="AE8" s="534">
        <v>13</v>
      </c>
      <c r="AF8" s="535">
        <v>1744.9999999999991</v>
      </c>
      <c r="AG8" s="535">
        <v>134.23076923076917</v>
      </c>
      <c r="AH8" s="562">
        <f t="shared" ref="AH8:AH21" si="15">RANK(AG8, AG$7:AG$21)</f>
        <v>3</v>
      </c>
      <c r="AI8" s="642"/>
      <c r="AJ8" s="534">
        <v>13</v>
      </c>
      <c r="AK8" s="535">
        <v>1684.9999999999993</v>
      </c>
      <c r="AL8" s="535">
        <v>129.61538461538456</v>
      </c>
      <c r="AM8" s="562">
        <f t="shared" ref="AM8:AM21" si="16">RANK(AL8, AL$7:AL$21)</f>
        <v>2</v>
      </c>
      <c r="AN8" s="642"/>
      <c r="AO8" s="534">
        <v>13</v>
      </c>
      <c r="AP8" s="535">
        <v>1756.8000000000006</v>
      </c>
      <c r="AQ8" s="535">
        <v>135.1384615384616</v>
      </c>
      <c r="AR8" s="562">
        <f t="shared" ref="AR8:AR21" si="17">RANK(AQ8, AQ$7:AQ$21)</f>
        <v>2</v>
      </c>
      <c r="AS8" s="642"/>
      <c r="AT8" s="534">
        <v>13</v>
      </c>
      <c r="AU8" s="535">
        <v>1868.3076923076919</v>
      </c>
      <c r="AV8" s="535">
        <v>143.71597633136091</v>
      </c>
      <c r="AW8" s="562">
        <f t="shared" ref="AW8:AW21" si="18">RANK(AV8, AV$7:AV$21)</f>
        <v>1</v>
      </c>
      <c r="AX8" s="642"/>
      <c r="AZ8" s="372" t="e">
        <f t="shared" si="10"/>
        <v>#N/A</v>
      </c>
      <c r="BA8" s="698"/>
    </row>
    <row r="9" spans="1:53" ht="14.25">
      <c r="A9" s="81"/>
      <c r="B9" s="676"/>
      <c r="C9" s="537">
        <v>3</v>
      </c>
      <c r="D9" s="534" t="s">
        <v>592</v>
      </c>
      <c r="E9" s="534">
        <v>15</v>
      </c>
      <c r="F9" s="534">
        <v>1800</v>
      </c>
      <c r="G9" s="535">
        <v>120</v>
      </c>
      <c r="H9" s="655"/>
      <c r="I9" s="538">
        <f t="shared" si="0"/>
        <v>13</v>
      </c>
      <c r="J9" s="538">
        <f t="shared" si="1"/>
        <v>1776.3188811188807</v>
      </c>
      <c r="K9" s="199">
        <f t="shared" si="2"/>
        <v>136.63991393222159</v>
      </c>
      <c r="L9" s="657"/>
      <c r="M9" s="513">
        <f>RANK(K9, K$7:$K$21)</f>
        <v>2</v>
      </c>
      <c r="N9" s="641"/>
      <c r="O9" s="641"/>
      <c r="P9" s="534">
        <v>13</v>
      </c>
      <c r="Q9" s="535">
        <v>1732.6153846153823</v>
      </c>
      <c r="R9" s="535">
        <v>133.27810650887557</v>
      </c>
      <c r="S9" s="562">
        <f t="shared" si="12"/>
        <v>4</v>
      </c>
      <c r="T9" s="642"/>
      <c r="U9" s="534">
        <v>13</v>
      </c>
      <c r="V9" s="535">
        <v>1796.3076923076899</v>
      </c>
      <c r="W9" s="535">
        <v>138.17751479289922</v>
      </c>
      <c r="X9" s="562">
        <f t="shared" si="13"/>
        <v>2</v>
      </c>
      <c r="Y9" s="642"/>
      <c r="Z9" s="534">
        <v>13</v>
      </c>
      <c r="AA9" s="535">
        <v>1855.9999999999966</v>
      </c>
      <c r="AB9" s="535">
        <v>142.76923076923052</v>
      </c>
      <c r="AC9" s="562">
        <f t="shared" si="14"/>
        <v>2</v>
      </c>
      <c r="AD9" s="642"/>
      <c r="AE9" s="534">
        <v>13</v>
      </c>
      <c r="AF9" s="535">
        <v>1862.4000000000037</v>
      </c>
      <c r="AG9" s="535">
        <v>143.26153846153875</v>
      </c>
      <c r="AH9" s="562">
        <f t="shared" si="15"/>
        <v>1</v>
      </c>
      <c r="AI9" s="642"/>
      <c r="AJ9" s="534">
        <v>13</v>
      </c>
      <c r="AK9" s="535">
        <v>1642.9090909090944</v>
      </c>
      <c r="AL9" s="535">
        <v>126.37762237762264</v>
      </c>
      <c r="AM9" s="562">
        <f t="shared" si="16"/>
        <v>4</v>
      </c>
      <c r="AN9" s="642"/>
      <c r="AO9" s="534">
        <v>13</v>
      </c>
      <c r="AP9" s="535">
        <v>1728.000000000002</v>
      </c>
      <c r="AQ9" s="535">
        <v>132.92307692307708</v>
      </c>
      <c r="AR9" s="562">
        <f t="shared" si="17"/>
        <v>4</v>
      </c>
      <c r="AS9" s="642"/>
      <c r="AT9" s="534">
        <v>13</v>
      </c>
      <c r="AU9" s="535">
        <v>1815.9999999999968</v>
      </c>
      <c r="AV9" s="535">
        <v>139.69230769230745</v>
      </c>
      <c r="AW9" s="562">
        <f t="shared" si="18"/>
        <v>2</v>
      </c>
      <c r="AX9" s="642"/>
      <c r="AZ9" s="372" t="e">
        <f t="shared" si="10"/>
        <v>#N/A</v>
      </c>
      <c r="BA9" s="698"/>
    </row>
    <row r="10" spans="1:53" ht="14.25">
      <c r="A10" s="81"/>
      <c r="B10" s="676"/>
      <c r="C10" s="537">
        <v>4</v>
      </c>
      <c r="D10" s="534" t="s">
        <v>718</v>
      </c>
      <c r="E10" s="534">
        <v>18</v>
      </c>
      <c r="F10" s="534">
        <v>1800</v>
      </c>
      <c r="G10" s="535">
        <v>120</v>
      </c>
      <c r="H10" s="655"/>
      <c r="I10" s="538">
        <f t="shared" si="0"/>
        <v>13</v>
      </c>
      <c r="J10" s="538">
        <f t="shared" si="1"/>
        <v>1762.0749299719887</v>
      </c>
      <c r="K10" s="199">
        <f t="shared" si="2"/>
        <v>135.54422538246067</v>
      </c>
      <c r="L10" s="657"/>
      <c r="M10" s="513">
        <f>RANK(K10, K$7:$K$21)</f>
        <v>4</v>
      </c>
      <c r="N10" s="641"/>
      <c r="O10" s="641"/>
      <c r="P10" s="534">
        <v>13</v>
      </c>
      <c r="Q10" s="535">
        <v>1893.8823529411761</v>
      </c>
      <c r="R10" s="535">
        <v>145.68325791855202</v>
      </c>
      <c r="S10" s="562">
        <f t="shared" si="12"/>
        <v>2</v>
      </c>
      <c r="T10" s="642"/>
      <c r="U10" s="534">
        <v>13</v>
      </c>
      <c r="V10" s="535">
        <v>1767.3333333333333</v>
      </c>
      <c r="W10" s="535">
        <v>135.94871794871796</v>
      </c>
      <c r="X10" s="562">
        <f t="shared" si="13"/>
        <v>3</v>
      </c>
      <c r="Y10" s="642"/>
      <c r="Z10" s="534">
        <v>13</v>
      </c>
      <c r="AA10" s="535">
        <v>1759.0588235294083</v>
      </c>
      <c r="AB10" s="535">
        <v>135.31221719456988</v>
      </c>
      <c r="AC10" s="562">
        <f t="shared" si="14"/>
        <v>3</v>
      </c>
      <c r="AD10" s="642"/>
      <c r="AE10" s="534">
        <v>13</v>
      </c>
      <c r="AF10" s="535">
        <v>1760.8000000000027</v>
      </c>
      <c r="AG10" s="535">
        <v>135.44615384615406</v>
      </c>
      <c r="AH10" s="562">
        <f t="shared" si="15"/>
        <v>2</v>
      </c>
      <c r="AI10" s="642"/>
      <c r="AJ10" s="534">
        <v>13</v>
      </c>
      <c r="AK10" s="535">
        <v>1643.2000000000025</v>
      </c>
      <c r="AL10" s="535">
        <v>126.40000000000019</v>
      </c>
      <c r="AM10" s="562">
        <f t="shared" si="16"/>
        <v>3</v>
      </c>
      <c r="AN10" s="642"/>
      <c r="AO10" s="534">
        <v>13</v>
      </c>
      <c r="AP10" s="535">
        <v>1754.2499999999993</v>
      </c>
      <c r="AQ10" s="535">
        <v>134.94230769230765</v>
      </c>
      <c r="AR10" s="562">
        <f t="shared" si="17"/>
        <v>3</v>
      </c>
      <c r="AS10" s="642"/>
      <c r="AT10" s="534">
        <v>13</v>
      </c>
      <c r="AU10" s="535">
        <v>1755.9999999999986</v>
      </c>
      <c r="AV10" s="535">
        <v>135.07692307692298</v>
      </c>
      <c r="AW10" s="562">
        <f t="shared" si="18"/>
        <v>4</v>
      </c>
      <c r="AX10" s="642"/>
      <c r="AZ10" s="372" t="e">
        <f t="shared" si="10"/>
        <v>#N/A</v>
      </c>
      <c r="BA10" s="698"/>
    </row>
    <row r="11" spans="1:53" ht="14.25">
      <c r="A11" s="81"/>
      <c r="B11" s="676"/>
      <c r="C11" s="537">
        <v>5</v>
      </c>
      <c r="D11" s="534"/>
      <c r="E11" s="534"/>
      <c r="F11" s="534"/>
      <c r="G11" s="535"/>
      <c r="H11" s="655"/>
      <c r="I11" s="538" t="str">
        <f t="shared" si="0"/>
        <v>-</v>
      </c>
      <c r="J11" s="538" t="str">
        <f t="shared" si="1"/>
        <v>-</v>
      </c>
      <c r="K11" s="199" t="str">
        <f t="shared" si="2"/>
        <v>-</v>
      </c>
      <c r="L11" s="657"/>
      <c r="M11" s="513" t="e">
        <f>RANK(K11, K$7:$K$21)</f>
        <v>#VALUE!</v>
      </c>
      <c r="N11" s="641"/>
      <c r="O11" s="641"/>
      <c r="P11" s="534" t="s">
        <v>585</v>
      </c>
      <c r="Q11" s="535" t="s">
        <v>585</v>
      </c>
      <c r="R11" s="535" t="s">
        <v>585</v>
      </c>
      <c r="S11" s="562" t="e">
        <f t="shared" si="12"/>
        <v>#VALUE!</v>
      </c>
      <c r="T11" s="642"/>
      <c r="U11" s="534" t="s">
        <v>585</v>
      </c>
      <c r="V11" s="535" t="s">
        <v>585</v>
      </c>
      <c r="W11" s="535" t="s">
        <v>585</v>
      </c>
      <c r="X11" s="562" t="e">
        <f t="shared" si="13"/>
        <v>#VALUE!</v>
      </c>
      <c r="Y11" s="642"/>
      <c r="Z11" s="534" t="s">
        <v>585</v>
      </c>
      <c r="AA11" s="535" t="s">
        <v>585</v>
      </c>
      <c r="AB11" s="535" t="s">
        <v>585</v>
      </c>
      <c r="AC11" s="562" t="e">
        <f t="shared" si="14"/>
        <v>#VALUE!</v>
      </c>
      <c r="AD11" s="642"/>
      <c r="AE11" s="534" t="s">
        <v>585</v>
      </c>
      <c r="AF11" s="535" t="s">
        <v>585</v>
      </c>
      <c r="AG11" s="535" t="s">
        <v>585</v>
      </c>
      <c r="AH11" s="562" t="e">
        <f t="shared" si="15"/>
        <v>#VALUE!</v>
      </c>
      <c r="AI11" s="642"/>
      <c r="AJ11" s="534" t="s">
        <v>585</v>
      </c>
      <c r="AK11" s="535" t="s">
        <v>585</v>
      </c>
      <c r="AL11" s="535" t="s">
        <v>585</v>
      </c>
      <c r="AM11" s="562" t="e">
        <f t="shared" si="16"/>
        <v>#VALUE!</v>
      </c>
      <c r="AN11" s="642"/>
      <c r="AO11" s="534" t="s">
        <v>585</v>
      </c>
      <c r="AP11" s="535" t="s">
        <v>585</v>
      </c>
      <c r="AQ11" s="535" t="s">
        <v>585</v>
      </c>
      <c r="AR11" s="562" t="e">
        <f t="shared" si="17"/>
        <v>#VALUE!</v>
      </c>
      <c r="AS11" s="642"/>
      <c r="AT11" s="534" t="s">
        <v>585</v>
      </c>
      <c r="AU11" s="535" t="s">
        <v>585</v>
      </c>
      <c r="AV11" s="535" t="s">
        <v>585</v>
      </c>
      <c r="AW11" s="562" t="e">
        <f t="shared" si="18"/>
        <v>#VALUE!</v>
      </c>
      <c r="AX11" s="642"/>
      <c r="AZ11" s="372" t="e">
        <f t="shared" si="10"/>
        <v>#N/A</v>
      </c>
      <c r="BA11" s="698"/>
    </row>
    <row r="12" spans="1:53" ht="14.25">
      <c r="A12" s="81"/>
      <c r="B12" s="676"/>
      <c r="C12" s="537">
        <v>6</v>
      </c>
      <c r="D12" s="534"/>
      <c r="E12" s="534"/>
      <c r="F12" s="534"/>
      <c r="G12" s="535"/>
      <c r="H12" s="655"/>
      <c r="I12" s="538" t="str">
        <f t="shared" si="0"/>
        <v>-</v>
      </c>
      <c r="J12" s="538" t="str">
        <f t="shared" si="1"/>
        <v>-</v>
      </c>
      <c r="K12" s="199" t="str">
        <f t="shared" si="2"/>
        <v>-</v>
      </c>
      <c r="L12" s="657"/>
      <c r="M12" s="513" t="e">
        <f>RANK(K12, K$7:$K$21)</f>
        <v>#VALUE!</v>
      </c>
      <c r="N12" s="641"/>
      <c r="O12" s="641"/>
      <c r="P12" s="534" t="s">
        <v>585</v>
      </c>
      <c r="Q12" s="535" t="s">
        <v>585</v>
      </c>
      <c r="R12" s="535" t="s">
        <v>585</v>
      </c>
      <c r="S12" s="562" t="e">
        <f t="shared" si="12"/>
        <v>#VALUE!</v>
      </c>
      <c r="T12" s="642"/>
      <c r="U12" s="534" t="s">
        <v>585</v>
      </c>
      <c r="V12" s="535" t="s">
        <v>585</v>
      </c>
      <c r="W12" s="535" t="s">
        <v>585</v>
      </c>
      <c r="X12" s="562" t="e">
        <f t="shared" si="13"/>
        <v>#VALUE!</v>
      </c>
      <c r="Y12" s="642"/>
      <c r="Z12" s="534" t="s">
        <v>585</v>
      </c>
      <c r="AA12" s="535" t="s">
        <v>585</v>
      </c>
      <c r="AB12" s="535" t="s">
        <v>585</v>
      </c>
      <c r="AC12" s="562" t="e">
        <f t="shared" si="14"/>
        <v>#VALUE!</v>
      </c>
      <c r="AD12" s="642"/>
      <c r="AE12" s="534" t="s">
        <v>585</v>
      </c>
      <c r="AF12" s="535" t="s">
        <v>585</v>
      </c>
      <c r="AG12" s="535" t="s">
        <v>585</v>
      </c>
      <c r="AH12" s="562" t="e">
        <f t="shared" si="15"/>
        <v>#VALUE!</v>
      </c>
      <c r="AI12" s="642"/>
      <c r="AJ12" s="534" t="s">
        <v>585</v>
      </c>
      <c r="AK12" s="535" t="s">
        <v>585</v>
      </c>
      <c r="AL12" s="535" t="s">
        <v>585</v>
      </c>
      <c r="AM12" s="562" t="e">
        <f t="shared" si="16"/>
        <v>#VALUE!</v>
      </c>
      <c r="AN12" s="642"/>
      <c r="AO12" s="534" t="s">
        <v>585</v>
      </c>
      <c r="AP12" s="535" t="s">
        <v>585</v>
      </c>
      <c r="AQ12" s="535" t="s">
        <v>585</v>
      </c>
      <c r="AR12" s="562" t="e">
        <f t="shared" si="17"/>
        <v>#VALUE!</v>
      </c>
      <c r="AS12" s="642"/>
      <c r="AT12" s="534" t="s">
        <v>585</v>
      </c>
      <c r="AU12" s="535" t="s">
        <v>585</v>
      </c>
      <c r="AV12" s="535" t="s">
        <v>585</v>
      </c>
      <c r="AW12" s="562" t="e">
        <f t="shared" si="18"/>
        <v>#VALUE!</v>
      </c>
      <c r="AX12" s="642"/>
      <c r="AZ12" s="372" t="e">
        <f t="shared" si="10"/>
        <v>#N/A</v>
      </c>
      <c r="BA12" s="698"/>
    </row>
    <row r="13" spans="1:53" ht="14.25">
      <c r="A13" s="81"/>
      <c r="B13" s="676"/>
      <c r="C13" s="537">
        <v>7</v>
      </c>
      <c r="D13" s="534"/>
      <c r="E13" s="534"/>
      <c r="F13" s="534"/>
      <c r="G13" s="535"/>
      <c r="H13" s="655"/>
      <c r="I13" s="538" t="str">
        <f t="shared" si="0"/>
        <v>-</v>
      </c>
      <c r="J13" s="538" t="str">
        <f t="shared" si="1"/>
        <v>-</v>
      </c>
      <c r="K13" s="199" t="str">
        <f t="shared" si="2"/>
        <v>-</v>
      </c>
      <c r="L13" s="657"/>
      <c r="M13" s="513" t="e">
        <f>RANK(K13, K$7:$K$21)</f>
        <v>#VALUE!</v>
      </c>
      <c r="N13" s="641"/>
      <c r="O13" s="641"/>
      <c r="P13" s="534" t="s">
        <v>585</v>
      </c>
      <c r="Q13" s="535" t="s">
        <v>585</v>
      </c>
      <c r="R13" s="535" t="s">
        <v>585</v>
      </c>
      <c r="S13" s="562" t="e">
        <f t="shared" si="12"/>
        <v>#VALUE!</v>
      </c>
      <c r="T13" s="642"/>
      <c r="U13" s="534" t="s">
        <v>585</v>
      </c>
      <c r="V13" s="535" t="s">
        <v>585</v>
      </c>
      <c r="W13" s="535" t="s">
        <v>585</v>
      </c>
      <c r="X13" s="562" t="e">
        <f t="shared" si="13"/>
        <v>#VALUE!</v>
      </c>
      <c r="Y13" s="642"/>
      <c r="Z13" s="534" t="s">
        <v>585</v>
      </c>
      <c r="AA13" s="535" t="s">
        <v>585</v>
      </c>
      <c r="AB13" s="535" t="s">
        <v>585</v>
      </c>
      <c r="AC13" s="562" t="e">
        <f t="shared" si="14"/>
        <v>#VALUE!</v>
      </c>
      <c r="AD13" s="642"/>
      <c r="AE13" s="534" t="s">
        <v>585</v>
      </c>
      <c r="AF13" s="535" t="s">
        <v>585</v>
      </c>
      <c r="AG13" s="535" t="s">
        <v>585</v>
      </c>
      <c r="AH13" s="562" t="e">
        <f t="shared" si="15"/>
        <v>#VALUE!</v>
      </c>
      <c r="AI13" s="642"/>
      <c r="AJ13" s="534" t="s">
        <v>585</v>
      </c>
      <c r="AK13" s="535" t="s">
        <v>585</v>
      </c>
      <c r="AL13" s="535" t="s">
        <v>585</v>
      </c>
      <c r="AM13" s="562" t="e">
        <f t="shared" si="16"/>
        <v>#VALUE!</v>
      </c>
      <c r="AN13" s="642"/>
      <c r="AO13" s="534" t="s">
        <v>585</v>
      </c>
      <c r="AP13" s="535" t="s">
        <v>585</v>
      </c>
      <c r="AQ13" s="535" t="s">
        <v>585</v>
      </c>
      <c r="AR13" s="562" t="e">
        <f t="shared" si="17"/>
        <v>#VALUE!</v>
      </c>
      <c r="AS13" s="642"/>
      <c r="AT13" s="534" t="s">
        <v>585</v>
      </c>
      <c r="AU13" s="535" t="s">
        <v>585</v>
      </c>
      <c r="AV13" s="535" t="s">
        <v>585</v>
      </c>
      <c r="AW13" s="562" t="e">
        <f t="shared" si="18"/>
        <v>#VALUE!</v>
      </c>
      <c r="AX13" s="642"/>
      <c r="AZ13" s="372" t="e">
        <f t="shared" si="10"/>
        <v>#N/A</v>
      </c>
      <c r="BA13" s="698"/>
    </row>
    <row r="14" spans="1:53" ht="14.25">
      <c r="A14" s="81"/>
      <c r="B14" s="676"/>
      <c r="C14" s="537">
        <v>8</v>
      </c>
      <c r="D14" s="534"/>
      <c r="E14" s="534"/>
      <c r="F14" s="534"/>
      <c r="G14" s="535"/>
      <c r="H14" s="655"/>
      <c r="I14" s="538" t="str">
        <f t="shared" si="0"/>
        <v>-</v>
      </c>
      <c r="J14" s="538" t="str">
        <f t="shared" si="1"/>
        <v>-</v>
      </c>
      <c r="K14" s="199" t="str">
        <f t="shared" si="2"/>
        <v>-</v>
      </c>
      <c r="L14" s="657"/>
      <c r="M14" s="513" t="e">
        <f>RANK(K14, K$7:$K$21)</f>
        <v>#VALUE!</v>
      </c>
      <c r="N14" s="641"/>
      <c r="O14" s="641"/>
      <c r="P14" s="534" t="s">
        <v>585</v>
      </c>
      <c r="Q14" s="535" t="s">
        <v>585</v>
      </c>
      <c r="R14" s="535" t="s">
        <v>585</v>
      </c>
      <c r="S14" s="562" t="e">
        <f t="shared" si="12"/>
        <v>#VALUE!</v>
      </c>
      <c r="T14" s="642"/>
      <c r="U14" s="534" t="s">
        <v>585</v>
      </c>
      <c r="V14" s="535" t="s">
        <v>585</v>
      </c>
      <c r="W14" s="535" t="s">
        <v>585</v>
      </c>
      <c r="X14" s="562" t="e">
        <f t="shared" si="13"/>
        <v>#VALUE!</v>
      </c>
      <c r="Y14" s="642"/>
      <c r="Z14" s="534" t="s">
        <v>585</v>
      </c>
      <c r="AA14" s="535" t="s">
        <v>585</v>
      </c>
      <c r="AB14" s="535" t="s">
        <v>585</v>
      </c>
      <c r="AC14" s="562" t="e">
        <f t="shared" si="14"/>
        <v>#VALUE!</v>
      </c>
      <c r="AD14" s="642"/>
      <c r="AE14" s="534" t="s">
        <v>585</v>
      </c>
      <c r="AF14" s="535" t="s">
        <v>585</v>
      </c>
      <c r="AG14" s="535" t="s">
        <v>585</v>
      </c>
      <c r="AH14" s="562" t="e">
        <f t="shared" si="15"/>
        <v>#VALUE!</v>
      </c>
      <c r="AI14" s="642"/>
      <c r="AJ14" s="534" t="s">
        <v>585</v>
      </c>
      <c r="AK14" s="535" t="s">
        <v>585</v>
      </c>
      <c r="AL14" s="535" t="s">
        <v>585</v>
      </c>
      <c r="AM14" s="562" t="e">
        <f t="shared" si="16"/>
        <v>#VALUE!</v>
      </c>
      <c r="AN14" s="642"/>
      <c r="AO14" s="534" t="s">
        <v>585</v>
      </c>
      <c r="AP14" s="535" t="s">
        <v>585</v>
      </c>
      <c r="AQ14" s="535" t="s">
        <v>585</v>
      </c>
      <c r="AR14" s="562" t="e">
        <f t="shared" si="17"/>
        <v>#VALUE!</v>
      </c>
      <c r="AS14" s="642"/>
      <c r="AT14" s="534" t="s">
        <v>585</v>
      </c>
      <c r="AU14" s="535" t="s">
        <v>585</v>
      </c>
      <c r="AV14" s="535" t="s">
        <v>585</v>
      </c>
      <c r="AW14" s="562" t="e">
        <f t="shared" si="18"/>
        <v>#VALUE!</v>
      </c>
      <c r="AX14" s="642"/>
      <c r="AZ14" s="372" t="e">
        <f t="shared" si="10"/>
        <v>#N/A</v>
      </c>
      <c r="BA14" s="698"/>
    </row>
    <row r="15" spans="1:53" ht="14.25">
      <c r="A15" s="81"/>
      <c r="B15" s="676"/>
      <c r="C15" s="537">
        <v>9</v>
      </c>
      <c r="D15" s="534"/>
      <c r="E15" s="534"/>
      <c r="F15" s="534"/>
      <c r="G15" s="535"/>
      <c r="H15" s="655"/>
      <c r="I15" s="538" t="str">
        <f t="shared" si="0"/>
        <v>-</v>
      </c>
      <c r="J15" s="538" t="str">
        <f t="shared" si="1"/>
        <v>-</v>
      </c>
      <c r="K15" s="199" t="str">
        <f t="shared" si="2"/>
        <v>-</v>
      </c>
      <c r="L15" s="657"/>
      <c r="M15" s="513" t="e">
        <f>RANK(K15, K$7:$K$21)</f>
        <v>#VALUE!</v>
      </c>
      <c r="N15" s="641"/>
      <c r="O15" s="641"/>
      <c r="P15" s="534" t="s">
        <v>585</v>
      </c>
      <c r="Q15" s="535" t="s">
        <v>585</v>
      </c>
      <c r="R15" s="535" t="s">
        <v>585</v>
      </c>
      <c r="S15" s="562" t="e">
        <f t="shared" si="12"/>
        <v>#VALUE!</v>
      </c>
      <c r="T15" s="642"/>
      <c r="U15" s="534" t="s">
        <v>585</v>
      </c>
      <c r="V15" s="535" t="s">
        <v>585</v>
      </c>
      <c r="W15" s="535" t="s">
        <v>585</v>
      </c>
      <c r="X15" s="562" t="e">
        <f t="shared" si="13"/>
        <v>#VALUE!</v>
      </c>
      <c r="Y15" s="642"/>
      <c r="Z15" s="534" t="s">
        <v>585</v>
      </c>
      <c r="AA15" s="535" t="s">
        <v>585</v>
      </c>
      <c r="AB15" s="535" t="s">
        <v>585</v>
      </c>
      <c r="AC15" s="562" t="e">
        <f t="shared" si="14"/>
        <v>#VALUE!</v>
      </c>
      <c r="AD15" s="642"/>
      <c r="AE15" s="534" t="s">
        <v>585</v>
      </c>
      <c r="AF15" s="535" t="s">
        <v>585</v>
      </c>
      <c r="AG15" s="535" t="s">
        <v>585</v>
      </c>
      <c r="AH15" s="562" t="e">
        <f t="shared" si="15"/>
        <v>#VALUE!</v>
      </c>
      <c r="AI15" s="642"/>
      <c r="AJ15" s="534" t="s">
        <v>585</v>
      </c>
      <c r="AK15" s="535" t="s">
        <v>585</v>
      </c>
      <c r="AL15" s="535" t="s">
        <v>585</v>
      </c>
      <c r="AM15" s="562" t="e">
        <f t="shared" si="16"/>
        <v>#VALUE!</v>
      </c>
      <c r="AN15" s="642"/>
      <c r="AO15" s="534" t="s">
        <v>585</v>
      </c>
      <c r="AP15" s="535" t="s">
        <v>585</v>
      </c>
      <c r="AQ15" s="535" t="s">
        <v>585</v>
      </c>
      <c r="AR15" s="562" t="e">
        <f t="shared" si="17"/>
        <v>#VALUE!</v>
      </c>
      <c r="AS15" s="642"/>
      <c r="AT15" s="534" t="s">
        <v>585</v>
      </c>
      <c r="AU15" s="535" t="s">
        <v>585</v>
      </c>
      <c r="AV15" s="535" t="s">
        <v>585</v>
      </c>
      <c r="AW15" s="562" t="e">
        <f t="shared" si="18"/>
        <v>#VALUE!</v>
      </c>
      <c r="AX15" s="642"/>
      <c r="AZ15" s="372" t="e">
        <f t="shared" si="10"/>
        <v>#N/A</v>
      </c>
      <c r="BA15" s="698"/>
    </row>
    <row r="16" spans="1:53" ht="14.25">
      <c r="A16" s="81"/>
      <c r="B16" s="676"/>
      <c r="C16" s="537">
        <v>10</v>
      </c>
      <c r="D16" s="534"/>
      <c r="E16" s="534"/>
      <c r="F16" s="534"/>
      <c r="G16" s="535"/>
      <c r="H16" s="655"/>
      <c r="I16" s="538" t="str">
        <f t="shared" si="0"/>
        <v>-</v>
      </c>
      <c r="J16" s="538" t="str">
        <f t="shared" si="1"/>
        <v>-</v>
      </c>
      <c r="K16" s="199" t="str">
        <f t="shared" si="2"/>
        <v>-</v>
      </c>
      <c r="L16" s="657"/>
      <c r="M16" s="513" t="e">
        <f>RANK(K16, K$7:$K$21)</f>
        <v>#VALUE!</v>
      </c>
      <c r="N16" s="641"/>
      <c r="O16" s="641"/>
      <c r="P16" s="534" t="s">
        <v>585</v>
      </c>
      <c r="Q16" s="535" t="s">
        <v>585</v>
      </c>
      <c r="R16" s="535" t="s">
        <v>585</v>
      </c>
      <c r="S16" s="562" t="e">
        <f t="shared" si="12"/>
        <v>#VALUE!</v>
      </c>
      <c r="T16" s="642"/>
      <c r="U16" s="534" t="s">
        <v>585</v>
      </c>
      <c r="V16" s="535" t="s">
        <v>585</v>
      </c>
      <c r="W16" s="535" t="s">
        <v>585</v>
      </c>
      <c r="X16" s="562" t="e">
        <f t="shared" si="13"/>
        <v>#VALUE!</v>
      </c>
      <c r="Y16" s="642"/>
      <c r="Z16" s="534" t="s">
        <v>585</v>
      </c>
      <c r="AA16" s="535" t="s">
        <v>585</v>
      </c>
      <c r="AB16" s="535" t="s">
        <v>585</v>
      </c>
      <c r="AC16" s="562" t="e">
        <f t="shared" si="14"/>
        <v>#VALUE!</v>
      </c>
      <c r="AD16" s="642"/>
      <c r="AE16" s="534" t="s">
        <v>585</v>
      </c>
      <c r="AF16" s="535" t="s">
        <v>585</v>
      </c>
      <c r="AG16" s="535" t="s">
        <v>585</v>
      </c>
      <c r="AH16" s="562" t="e">
        <f t="shared" si="15"/>
        <v>#VALUE!</v>
      </c>
      <c r="AI16" s="642"/>
      <c r="AJ16" s="534" t="s">
        <v>585</v>
      </c>
      <c r="AK16" s="535" t="s">
        <v>585</v>
      </c>
      <c r="AL16" s="535" t="s">
        <v>585</v>
      </c>
      <c r="AM16" s="562" t="e">
        <f t="shared" si="16"/>
        <v>#VALUE!</v>
      </c>
      <c r="AN16" s="642"/>
      <c r="AO16" s="534" t="s">
        <v>585</v>
      </c>
      <c r="AP16" s="535" t="s">
        <v>585</v>
      </c>
      <c r="AQ16" s="535" t="s">
        <v>585</v>
      </c>
      <c r="AR16" s="562" t="e">
        <f t="shared" si="17"/>
        <v>#VALUE!</v>
      </c>
      <c r="AS16" s="642"/>
      <c r="AT16" s="534" t="s">
        <v>585</v>
      </c>
      <c r="AU16" s="535" t="s">
        <v>585</v>
      </c>
      <c r="AV16" s="535" t="s">
        <v>585</v>
      </c>
      <c r="AW16" s="562" t="e">
        <f t="shared" si="18"/>
        <v>#VALUE!</v>
      </c>
      <c r="AX16" s="642"/>
      <c r="AZ16" s="372" t="e">
        <f t="shared" si="10"/>
        <v>#N/A</v>
      </c>
      <c r="BA16" s="698"/>
    </row>
    <row r="17" spans="2:53">
      <c r="B17" s="676"/>
      <c r="C17" s="537">
        <v>11</v>
      </c>
      <c r="D17" s="534"/>
      <c r="E17" s="534"/>
      <c r="F17" s="534"/>
      <c r="G17" s="535"/>
      <c r="H17" s="655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57"/>
      <c r="M17" s="513" t="e">
        <f>RANK(K17, K$7:$K$21)</f>
        <v>#VALUE!</v>
      </c>
      <c r="N17" s="641"/>
      <c r="O17" s="641"/>
      <c r="P17" s="534" t="s">
        <v>585</v>
      </c>
      <c r="Q17" s="535" t="s">
        <v>585</v>
      </c>
      <c r="R17" s="535" t="s">
        <v>585</v>
      </c>
      <c r="S17" s="562" t="e">
        <f t="shared" si="12"/>
        <v>#VALUE!</v>
      </c>
      <c r="T17" s="642"/>
      <c r="U17" s="534" t="s">
        <v>585</v>
      </c>
      <c r="V17" s="535" t="s">
        <v>585</v>
      </c>
      <c r="W17" s="535" t="s">
        <v>585</v>
      </c>
      <c r="X17" s="562" t="e">
        <f t="shared" si="13"/>
        <v>#VALUE!</v>
      </c>
      <c r="Y17" s="642"/>
      <c r="Z17" s="534" t="s">
        <v>585</v>
      </c>
      <c r="AA17" s="535" t="s">
        <v>585</v>
      </c>
      <c r="AB17" s="535" t="s">
        <v>585</v>
      </c>
      <c r="AC17" s="562" t="e">
        <f t="shared" si="14"/>
        <v>#VALUE!</v>
      </c>
      <c r="AD17" s="642"/>
      <c r="AE17" s="534" t="s">
        <v>585</v>
      </c>
      <c r="AF17" s="535" t="s">
        <v>585</v>
      </c>
      <c r="AG17" s="535" t="s">
        <v>585</v>
      </c>
      <c r="AH17" s="562" t="e">
        <f t="shared" si="15"/>
        <v>#VALUE!</v>
      </c>
      <c r="AI17" s="642"/>
      <c r="AJ17" s="534" t="s">
        <v>585</v>
      </c>
      <c r="AK17" s="535" t="s">
        <v>585</v>
      </c>
      <c r="AL17" s="535" t="s">
        <v>585</v>
      </c>
      <c r="AM17" s="562" t="e">
        <f t="shared" si="16"/>
        <v>#VALUE!</v>
      </c>
      <c r="AN17" s="642"/>
      <c r="AO17" s="534" t="s">
        <v>585</v>
      </c>
      <c r="AP17" s="535" t="s">
        <v>585</v>
      </c>
      <c r="AQ17" s="535" t="s">
        <v>585</v>
      </c>
      <c r="AR17" s="562" t="e">
        <f t="shared" si="17"/>
        <v>#VALUE!</v>
      </c>
      <c r="AS17" s="642"/>
      <c r="AT17" s="534" t="s">
        <v>585</v>
      </c>
      <c r="AU17" s="535" t="s">
        <v>585</v>
      </c>
      <c r="AV17" s="535" t="s">
        <v>585</v>
      </c>
      <c r="AW17" s="562" t="e">
        <f t="shared" si="18"/>
        <v>#VALUE!</v>
      </c>
      <c r="AX17" s="642"/>
      <c r="AZ17" s="372" t="e">
        <f t="shared" si="10"/>
        <v>#N/A</v>
      </c>
      <c r="BA17" s="698"/>
    </row>
    <row r="18" spans="2:53">
      <c r="B18" s="676"/>
      <c r="C18" s="537">
        <v>12</v>
      </c>
      <c r="D18" s="534"/>
      <c r="E18" s="534"/>
      <c r="F18" s="534"/>
      <c r="G18" s="535"/>
      <c r="H18" s="655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57"/>
      <c r="M18" s="513" t="e">
        <f>RANK(K18, K$7:$K$21)</f>
        <v>#VALUE!</v>
      </c>
      <c r="N18" s="641"/>
      <c r="O18" s="641"/>
      <c r="P18" s="534" t="s">
        <v>585</v>
      </c>
      <c r="Q18" s="535" t="s">
        <v>585</v>
      </c>
      <c r="R18" s="535" t="s">
        <v>585</v>
      </c>
      <c r="S18" s="562" t="e">
        <f t="shared" si="12"/>
        <v>#VALUE!</v>
      </c>
      <c r="T18" s="642"/>
      <c r="U18" s="534" t="s">
        <v>585</v>
      </c>
      <c r="V18" s="535" t="s">
        <v>585</v>
      </c>
      <c r="W18" s="535" t="s">
        <v>585</v>
      </c>
      <c r="X18" s="562" t="e">
        <f t="shared" si="13"/>
        <v>#VALUE!</v>
      </c>
      <c r="Y18" s="642"/>
      <c r="Z18" s="534" t="s">
        <v>585</v>
      </c>
      <c r="AA18" s="535" t="s">
        <v>585</v>
      </c>
      <c r="AB18" s="535" t="s">
        <v>585</v>
      </c>
      <c r="AC18" s="562" t="e">
        <f t="shared" si="14"/>
        <v>#VALUE!</v>
      </c>
      <c r="AD18" s="642"/>
      <c r="AE18" s="534" t="s">
        <v>585</v>
      </c>
      <c r="AF18" s="535" t="s">
        <v>585</v>
      </c>
      <c r="AG18" s="535" t="s">
        <v>585</v>
      </c>
      <c r="AH18" s="562" t="e">
        <f t="shared" si="15"/>
        <v>#VALUE!</v>
      </c>
      <c r="AI18" s="642"/>
      <c r="AJ18" s="534" t="s">
        <v>585</v>
      </c>
      <c r="AK18" s="535" t="s">
        <v>585</v>
      </c>
      <c r="AL18" s="535" t="s">
        <v>585</v>
      </c>
      <c r="AM18" s="562" t="e">
        <f t="shared" si="16"/>
        <v>#VALUE!</v>
      </c>
      <c r="AN18" s="642"/>
      <c r="AO18" s="534" t="s">
        <v>585</v>
      </c>
      <c r="AP18" s="535" t="s">
        <v>585</v>
      </c>
      <c r="AQ18" s="535" t="s">
        <v>585</v>
      </c>
      <c r="AR18" s="562" t="e">
        <f t="shared" si="17"/>
        <v>#VALUE!</v>
      </c>
      <c r="AS18" s="642"/>
      <c r="AT18" s="534" t="s">
        <v>585</v>
      </c>
      <c r="AU18" s="535" t="s">
        <v>585</v>
      </c>
      <c r="AV18" s="535" t="s">
        <v>585</v>
      </c>
      <c r="AW18" s="562" t="e">
        <f t="shared" si="18"/>
        <v>#VALUE!</v>
      </c>
      <c r="AX18" s="642"/>
      <c r="AZ18" s="372" t="e">
        <f t="shared" si="10"/>
        <v>#N/A</v>
      </c>
      <c r="BA18" s="698"/>
    </row>
    <row r="19" spans="2:53">
      <c r="B19" s="676"/>
      <c r="C19" s="537">
        <v>13</v>
      </c>
      <c r="D19" s="534"/>
      <c r="E19" s="534"/>
      <c r="F19" s="534"/>
      <c r="G19" s="535"/>
      <c r="H19" s="655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57"/>
      <c r="M19" s="513" t="e">
        <f>RANK(K19, K$7:$K$21)</f>
        <v>#VALUE!</v>
      </c>
      <c r="N19" s="641"/>
      <c r="O19" s="641"/>
      <c r="P19" s="534" t="s">
        <v>585</v>
      </c>
      <c r="Q19" s="535" t="s">
        <v>585</v>
      </c>
      <c r="R19" s="535" t="s">
        <v>585</v>
      </c>
      <c r="S19" s="562" t="e">
        <f t="shared" si="12"/>
        <v>#VALUE!</v>
      </c>
      <c r="T19" s="642"/>
      <c r="U19" s="534" t="s">
        <v>585</v>
      </c>
      <c r="V19" s="535" t="s">
        <v>585</v>
      </c>
      <c r="W19" s="535" t="s">
        <v>585</v>
      </c>
      <c r="X19" s="562" t="e">
        <f t="shared" si="13"/>
        <v>#VALUE!</v>
      </c>
      <c r="Y19" s="642"/>
      <c r="Z19" s="534" t="s">
        <v>585</v>
      </c>
      <c r="AA19" s="535" t="s">
        <v>585</v>
      </c>
      <c r="AB19" s="535" t="s">
        <v>585</v>
      </c>
      <c r="AC19" s="562" t="e">
        <f t="shared" si="14"/>
        <v>#VALUE!</v>
      </c>
      <c r="AD19" s="642"/>
      <c r="AE19" s="534" t="s">
        <v>585</v>
      </c>
      <c r="AF19" s="535" t="s">
        <v>585</v>
      </c>
      <c r="AG19" s="535" t="s">
        <v>585</v>
      </c>
      <c r="AH19" s="562" t="e">
        <f t="shared" si="15"/>
        <v>#VALUE!</v>
      </c>
      <c r="AI19" s="642"/>
      <c r="AJ19" s="534" t="s">
        <v>585</v>
      </c>
      <c r="AK19" s="535" t="s">
        <v>585</v>
      </c>
      <c r="AL19" s="535" t="s">
        <v>585</v>
      </c>
      <c r="AM19" s="562" t="e">
        <f t="shared" si="16"/>
        <v>#VALUE!</v>
      </c>
      <c r="AN19" s="642"/>
      <c r="AO19" s="534" t="s">
        <v>585</v>
      </c>
      <c r="AP19" s="535" t="s">
        <v>585</v>
      </c>
      <c r="AQ19" s="535" t="s">
        <v>585</v>
      </c>
      <c r="AR19" s="562" t="e">
        <f t="shared" si="17"/>
        <v>#VALUE!</v>
      </c>
      <c r="AS19" s="642"/>
      <c r="AT19" s="534" t="s">
        <v>585</v>
      </c>
      <c r="AU19" s="535" t="s">
        <v>585</v>
      </c>
      <c r="AV19" s="535" t="s">
        <v>585</v>
      </c>
      <c r="AW19" s="562" t="e">
        <f t="shared" si="18"/>
        <v>#VALUE!</v>
      </c>
      <c r="AX19" s="642"/>
      <c r="AZ19" s="372" t="e">
        <f t="shared" si="10"/>
        <v>#N/A</v>
      </c>
      <c r="BA19" s="698"/>
    </row>
    <row r="20" spans="2:53">
      <c r="B20" s="676"/>
      <c r="C20" s="537">
        <v>14</v>
      </c>
      <c r="D20" s="534"/>
      <c r="E20" s="534"/>
      <c r="F20" s="534"/>
      <c r="G20" s="535"/>
      <c r="H20" s="655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7"/>
      <c r="M20" s="513" t="e">
        <f>RANK(K20, K$7:$K$21)</f>
        <v>#VALUE!</v>
      </c>
      <c r="N20" s="641"/>
      <c r="O20" s="641"/>
      <c r="P20" s="534" t="s">
        <v>585</v>
      </c>
      <c r="Q20" s="535" t="s">
        <v>585</v>
      </c>
      <c r="R20" s="535" t="s">
        <v>585</v>
      </c>
      <c r="S20" s="562" t="e">
        <f t="shared" si="12"/>
        <v>#VALUE!</v>
      </c>
      <c r="T20" s="642"/>
      <c r="U20" s="534" t="s">
        <v>585</v>
      </c>
      <c r="V20" s="535" t="s">
        <v>585</v>
      </c>
      <c r="W20" s="535" t="s">
        <v>585</v>
      </c>
      <c r="X20" s="562" t="e">
        <f t="shared" si="13"/>
        <v>#VALUE!</v>
      </c>
      <c r="Y20" s="642"/>
      <c r="Z20" s="534" t="s">
        <v>585</v>
      </c>
      <c r="AA20" s="535" t="s">
        <v>585</v>
      </c>
      <c r="AB20" s="535" t="s">
        <v>585</v>
      </c>
      <c r="AC20" s="562" t="e">
        <f t="shared" si="14"/>
        <v>#VALUE!</v>
      </c>
      <c r="AD20" s="642"/>
      <c r="AE20" s="534" t="s">
        <v>585</v>
      </c>
      <c r="AF20" s="535" t="s">
        <v>585</v>
      </c>
      <c r="AG20" s="535" t="s">
        <v>585</v>
      </c>
      <c r="AH20" s="562" t="e">
        <f t="shared" si="15"/>
        <v>#VALUE!</v>
      </c>
      <c r="AI20" s="642"/>
      <c r="AJ20" s="534" t="s">
        <v>585</v>
      </c>
      <c r="AK20" s="535" t="s">
        <v>585</v>
      </c>
      <c r="AL20" s="535" t="s">
        <v>585</v>
      </c>
      <c r="AM20" s="562" t="e">
        <f t="shared" si="16"/>
        <v>#VALUE!</v>
      </c>
      <c r="AN20" s="642"/>
      <c r="AO20" s="534" t="s">
        <v>585</v>
      </c>
      <c r="AP20" s="535" t="s">
        <v>585</v>
      </c>
      <c r="AQ20" s="535" t="s">
        <v>585</v>
      </c>
      <c r="AR20" s="562" t="e">
        <f t="shared" si="17"/>
        <v>#VALUE!</v>
      </c>
      <c r="AS20" s="642"/>
      <c r="AT20" s="534" t="s">
        <v>585</v>
      </c>
      <c r="AU20" s="535" t="s">
        <v>585</v>
      </c>
      <c r="AV20" s="535" t="s">
        <v>585</v>
      </c>
      <c r="AW20" s="562" t="e">
        <f t="shared" si="18"/>
        <v>#VALUE!</v>
      </c>
      <c r="AX20" s="642"/>
      <c r="AZ20" s="372" t="e">
        <f t="shared" si="10"/>
        <v>#N/A</v>
      </c>
      <c r="BA20" s="698"/>
    </row>
    <row r="21" spans="2:53">
      <c r="B21" s="676"/>
      <c r="C21" s="537">
        <v>15</v>
      </c>
      <c r="D21" s="534"/>
      <c r="E21" s="534"/>
      <c r="F21" s="534"/>
      <c r="G21" s="534"/>
      <c r="H21" s="712"/>
      <c r="I21" s="538" t="str">
        <f t="shared" si="0"/>
        <v>-</v>
      </c>
      <c r="J21" s="538" t="str">
        <f t="shared" si="1"/>
        <v>-</v>
      </c>
      <c r="K21" s="199" t="str">
        <f t="shared" si="2"/>
        <v>-</v>
      </c>
      <c r="L21" s="658"/>
      <c r="M21" s="513" t="e">
        <f>RANK(K21, K$7:$K$21)</f>
        <v>#VALUE!</v>
      </c>
      <c r="N21" s="641"/>
      <c r="O21" s="641"/>
      <c r="P21" s="537" t="s">
        <v>585</v>
      </c>
      <c r="Q21" s="513" t="s">
        <v>585</v>
      </c>
      <c r="R21" s="513" t="s">
        <v>585</v>
      </c>
      <c r="S21" s="562" t="e">
        <f t="shared" si="12"/>
        <v>#VALUE!</v>
      </c>
      <c r="T21" s="642"/>
      <c r="U21" s="537" t="s">
        <v>585</v>
      </c>
      <c r="V21" s="513" t="s">
        <v>585</v>
      </c>
      <c r="W21" s="513" t="s">
        <v>585</v>
      </c>
      <c r="X21" s="562" t="e">
        <f t="shared" si="13"/>
        <v>#VALUE!</v>
      </c>
      <c r="Y21" s="642"/>
      <c r="Z21" s="537" t="s">
        <v>585</v>
      </c>
      <c r="AA21" s="513" t="s">
        <v>585</v>
      </c>
      <c r="AB21" s="513" t="s">
        <v>585</v>
      </c>
      <c r="AC21" s="562" t="e">
        <f t="shared" si="14"/>
        <v>#VALUE!</v>
      </c>
      <c r="AD21" s="642"/>
      <c r="AE21" s="537" t="s">
        <v>585</v>
      </c>
      <c r="AF21" s="513" t="s">
        <v>585</v>
      </c>
      <c r="AG21" s="513" t="s">
        <v>585</v>
      </c>
      <c r="AH21" s="562" t="e">
        <f t="shared" si="15"/>
        <v>#VALUE!</v>
      </c>
      <c r="AI21" s="642"/>
      <c r="AJ21" s="537" t="s">
        <v>585</v>
      </c>
      <c r="AK21" s="513" t="s">
        <v>585</v>
      </c>
      <c r="AL21" s="513" t="s">
        <v>585</v>
      </c>
      <c r="AM21" s="562" t="e">
        <f t="shared" si="16"/>
        <v>#VALUE!</v>
      </c>
      <c r="AN21" s="642"/>
      <c r="AO21" s="537" t="s">
        <v>585</v>
      </c>
      <c r="AP21" s="513" t="s">
        <v>585</v>
      </c>
      <c r="AQ21" s="513" t="s">
        <v>585</v>
      </c>
      <c r="AR21" s="562" t="e">
        <f t="shared" si="17"/>
        <v>#VALUE!</v>
      </c>
      <c r="AS21" s="642"/>
      <c r="AT21" s="537" t="s">
        <v>585</v>
      </c>
      <c r="AU21" s="513" t="s">
        <v>585</v>
      </c>
      <c r="AV21" s="513" t="s">
        <v>585</v>
      </c>
      <c r="AW21" s="562" t="e">
        <f t="shared" si="18"/>
        <v>#VALUE!</v>
      </c>
      <c r="AX21" s="642"/>
      <c r="AZ21" s="372" t="e">
        <f t="shared" si="10"/>
        <v>#N/A</v>
      </c>
      <c r="BA21" s="698"/>
    </row>
    <row r="22" spans="2:53" ht="15.75">
      <c r="B22" s="680" t="s">
        <v>162</v>
      </c>
      <c r="C22" s="681"/>
      <c r="D22" s="681"/>
      <c r="E22" s="681"/>
      <c r="F22" s="681"/>
      <c r="G22" s="681"/>
      <c r="H22" s="681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68">
        <f>P2+7</f>
        <v>46238</v>
      </c>
      <c r="Q22" s="647"/>
      <c r="R22" s="647"/>
      <c r="S22" s="647"/>
      <c r="T22" s="647"/>
      <c r="U22" s="665">
        <f>P22+1</f>
        <v>46239</v>
      </c>
      <c r="V22" s="666"/>
      <c r="W22" s="666"/>
      <c r="X22" s="666"/>
      <c r="Y22" s="667"/>
      <c r="Z22" s="665">
        <f>U22+1</f>
        <v>46240</v>
      </c>
      <c r="AA22" s="666"/>
      <c r="AB22" s="666"/>
      <c r="AC22" s="666"/>
      <c r="AD22" s="667"/>
      <c r="AE22" s="665">
        <f>Z22+1</f>
        <v>46241</v>
      </c>
      <c r="AF22" s="666"/>
      <c r="AG22" s="666"/>
      <c r="AH22" s="666"/>
      <c r="AI22" s="667"/>
      <c r="AJ22" s="665">
        <f>AE22+1</f>
        <v>46242</v>
      </c>
      <c r="AK22" s="666"/>
      <c r="AL22" s="666"/>
      <c r="AM22" s="666"/>
      <c r="AN22" s="667"/>
      <c r="AO22" s="665">
        <f>AJ22+1</f>
        <v>46243</v>
      </c>
      <c r="AP22" s="666"/>
      <c r="AQ22" s="666"/>
      <c r="AR22" s="666"/>
      <c r="AS22" s="667"/>
      <c r="AT22" s="665">
        <f>AO22+1</f>
        <v>46244</v>
      </c>
      <c r="AU22" s="666"/>
      <c r="AV22" s="666"/>
      <c r="AW22" s="666"/>
      <c r="AX22" s="667"/>
    </row>
    <row r="23" spans="2:53" ht="15.75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45"/>
      <c r="O23" s="645"/>
      <c r="P23" s="668" t="s">
        <v>317</v>
      </c>
      <c r="Q23" s="647"/>
      <c r="R23" s="647"/>
      <c r="S23" s="647"/>
      <c r="T23" s="647"/>
      <c r="U23" s="668" t="s">
        <v>318</v>
      </c>
      <c r="V23" s="647"/>
      <c r="W23" s="647"/>
      <c r="X23" s="647"/>
      <c r="Y23" s="647"/>
      <c r="Z23" s="668" t="s">
        <v>319</v>
      </c>
      <c r="AA23" s="647"/>
      <c r="AB23" s="647"/>
      <c r="AC23" s="647"/>
      <c r="AD23" s="647"/>
      <c r="AE23" s="668" t="s">
        <v>320</v>
      </c>
      <c r="AF23" s="647"/>
      <c r="AG23" s="647"/>
      <c r="AH23" s="647"/>
      <c r="AI23" s="647"/>
      <c r="AJ23" s="668" t="s">
        <v>321</v>
      </c>
      <c r="AK23" s="647"/>
      <c r="AL23" s="647"/>
      <c r="AM23" s="647"/>
      <c r="AN23" s="647"/>
      <c r="AO23" s="668" t="s">
        <v>322</v>
      </c>
      <c r="AP23" s="647"/>
      <c r="AQ23" s="647"/>
      <c r="AR23" s="647"/>
      <c r="AS23" s="647"/>
      <c r="AT23" s="668" t="s">
        <v>323</v>
      </c>
      <c r="AU23" s="647"/>
      <c r="AV23" s="647"/>
      <c r="AW23" s="647"/>
      <c r="AX23" s="647"/>
    </row>
    <row r="24" spans="2:53">
      <c r="B24" s="641" t="s">
        <v>546</v>
      </c>
      <c r="C24" s="641" t="s">
        <v>379</v>
      </c>
      <c r="D24" s="641"/>
      <c r="E24" s="641" t="s">
        <v>370</v>
      </c>
      <c r="F24" s="641"/>
      <c r="G24" s="641"/>
      <c r="H24" s="673" t="s">
        <v>366</v>
      </c>
      <c r="I24" s="641" t="s">
        <v>371</v>
      </c>
      <c r="J24" s="641"/>
      <c r="K24" s="641"/>
      <c r="L24" s="673" t="s">
        <v>366</v>
      </c>
      <c r="M24" s="643" t="s">
        <v>367</v>
      </c>
      <c r="N24" s="641"/>
      <c r="O24" s="641" t="s">
        <v>372</v>
      </c>
      <c r="P24" s="659" t="s">
        <v>368</v>
      </c>
      <c r="Q24" s="660"/>
      <c r="R24" s="660"/>
      <c r="S24" s="661"/>
      <c r="T24" s="641" t="s">
        <v>366</v>
      </c>
      <c r="U24" s="659" t="s">
        <v>368</v>
      </c>
      <c r="V24" s="660"/>
      <c r="W24" s="660"/>
      <c r="X24" s="661"/>
      <c r="Y24" s="641" t="s">
        <v>366</v>
      </c>
      <c r="Z24" s="659" t="s">
        <v>368</v>
      </c>
      <c r="AA24" s="660"/>
      <c r="AB24" s="660"/>
      <c r="AC24" s="661"/>
      <c r="AD24" s="641" t="s">
        <v>366</v>
      </c>
      <c r="AE24" s="659" t="s">
        <v>368</v>
      </c>
      <c r="AF24" s="660"/>
      <c r="AG24" s="660"/>
      <c r="AH24" s="661"/>
      <c r="AI24" s="641" t="s">
        <v>366</v>
      </c>
      <c r="AJ24" s="659" t="s">
        <v>368</v>
      </c>
      <c r="AK24" s="660"/>
      <c r="AL24" s="660"/>
      <c r="AM24" s="661"/>
      <c r="AN24" s="641" t="s">
        <v>366</v>
      </c>
      <c r="AO24" s="659" t="s">
        <v>368</v>
      </c>
      <c r="AP24" s="660"/>
      <c r="AQ24" s="660"/>
      <c r="AR24" s="661"/>
      <c r="AS24" s="641" t="s">
        <v>366</v>
      </c>
      <c r="AT24" s="659" t="s">
        <v>368</v>
      </c>
      <c r="AU24" s="660"/>
      <c r="AV24" s="660"/>
      <c r="AW24" s="661"/>
      <c r="AX24" s="641" t="s">
        <v>366</v>
      </c>
      <c r="BA24" s="641" t="s">
        <v>366</v>
      </c>
    </row>
    <row r="25" spans="2:53">
      <c r="B25" s="641"/>
      <c r="C25" s="641"/>
      <c r="D25" s="641"/>
      <c r="E25" s="641" t="s">
        <v>373</v>
      </c>
      <c r="F25" s="641"/>
      <c r="G25" s="641"/>
      <c r="H25" s="674"/>
      <c r="I25" s="641" t="s">
        <v>373</v>
      </c>
      <c r="J25" s="641"/>
      <c r="K25" s="641"/>
      <c r="L25" s="674"/>
      <c r="M25" s="644"/>
      <c r="N25" s="641"/>
      <c r="O25" s="641"/>
      <c r="P25" s="659" t="s">
        <v>374</v>
      </c>
      <c r="Q25" s="660"/>
      <c r="R25" s="660"/>
      <c r="S25" s="661"/>
      <c r="T25" s="641"/>
      <c r="U25" s="659" t="s">
        <v>374</v>
      </c>
      <c r="V25" s="660"/>
      <c r="W25" s="660"/>
      <c r="X25" s="661"/>
      <c r="Y25" s="641"/>
      <c r="Z25" s="659" t="s">
        <v>374</v>
      </c>
      <c r="AA25" s="660"/>
      <c r="AB25" s="660"/>
      <c r="AC25" s="661"/>
      <c r="AD25" s="641"/>
      <c r="AE25" s="659" t="s">
        <v>374</v>
      </c>
      <c r="AF25" s="660"/>
      <c r="AG25" s="660"/>
      <c r="AH25" s="661"/>
      <c r="AI25" s="641"/>
      <c r="AJ25" s="659" t="s">
        <v>374</v>
      </c>
      <c r="AK25" s="660"/>
      <c r="AL25" s="660"/>
      <c r="AM25" s="661"/>
      <c r="AN25" s="641"/>
      <c r="AO25" s="659" t="s">
        <v>374</v>
      </c>
      <c r="AP25" s="660"/>
      <c r="AQ25" s="660"/>
      <c r="AR25" s="661"/>
      <c r="AS25" s="641"/>
      <c r="AT25" s="659" t="s">
        <v>374</v>
      </c>
      <c r="AU25" s="660"/>
      <c r="AV25" s="660"/>
      <c r="AW25" s="661"/>
      <c r="AX25" s="641"/>
      <c r="BA25" s="641"/>
    </row>
    <row r="26" spans="2:53">
      <c r="B26" s="641"/>
      <c r="C26" s="641"/>
      <c r="D26" s="641"/>
      <c r="E26" s="378" t="s">
        <v>375</v>
      </c>
      <c r="F26" s="378" t="s">
        <v>376</v>
      </c>
      <c r="G26" s="378" t="s">
        <v>377</v>
      </c>
      <c r="H26" s="675"/>
      <c r="I26" s="378" t="s">
        <v>375</v>
      </c>
      <c r="J26" s="378" t="s">
        <v>376</v>
      </c>
      <c r="K26" s="378" t="s">
        <v>377</v>
      </c>
      <c r="L26" s="675"/>
      <c r="M26" s="645"/>
      <c r="N26" s="641"/>
      <c r="O26" s="641"/>
      <c r="P26" s="378" t="s">
        <v>375</v>
      </c>
      <c r="Q26" s="378" t="s">
        <v>376</v>
      </c>
      <c r="R26" s="378" t="s">
        <v>377</v>
      </c>
      <c r="S26" s="378" t="s">
        <v>367</v>
      </c>
      <c r="T26" s="641"/>
      <c r="U26" s="378" t="s">
        <v>375</v>
      </c>
      <c r="V26" s="378" t="s">
        <v>376</v>
      </c>
      <c r="W26" s="378" t="s">
        <v>377</v>
      </c>
      <c r="X26" s="378" t="s">
        <v>367</v>
      </c>
      <c r="Y26" s="641"/>
      <c r="Z26" s="378" t="s">
        <v>375</v>
      </c>
      <c r="AA26" s="378" t="s">
        <v>376</v>
      </c>
      <c r="AB26" s="378" t="s">
        <v>377</v>
      </c>
      <c r="AC26" s="378" t="s">
        <v>367</v>
      </c>
      <c r="AD26" s="641"/>
      <c r="AE26" s="378" t="s">
        <v>375</v>
      </c>
      <c r="AF26" s="378" t="s">
        <v>376</v>
      </c>
      <c r="AG26" s="378" t="s">
        <v>377</v>
      </c>
      <c r="AH26" s="378" t="s">
        <v>367</v>
      </c>
      <c r="AI26" s="641"/>
      <c r="AJ26" s="378" t="s">
        <v>375</v>
      </c>
      <c r="AK26" s="378" t="s">
        <v>376</v>
      </c>
      <c r="AL26" s="378" t="s">
        <v>377</v>
      </c>
      <c r="AM26" s="378" t="s">
        <v>367</v>
      </c>
      <c r="AN26" s="641"/>
      <c r="AO26" s="378" t="s">
        <v>375</v>
      </c>
      <c r="AP26" s="378" t="s">
        <v>376</v>
      </c>
      <c r="AQ26" s="378" t="s">
        <v>377</v>
      </c>
      <c r="AR26" s="378" t="s">
        <v>367</v>
      </c>
      <c r="AS26" s="641"/>
      <c r="AT26" s="378" t="s">
        <v>375</v>
      </c>
      <c r="AU26" s="378" t="s">
        <v>376</v>
      </c>
      <c r="AV26" s="378" t="s">
        <v>377</v>
      </c>
      <c r="AW26" s="378" t="s">
        <v>367</v>
      </c>
      <c r="AX26" s="641"/>
      <c r="AZ26" s="373" t="s">
        <v>367</v>
      </c>
      <c r="BA26" s="641"/>
    </row>
    <row r="27" spans="2:53">
      <c r="B27" s="699" t="s">
        <v>548</v>
      </c>
      <c r="C27" s="380">
        <v>1</v>
      </c>
      <c r="D27" s="533" t="s">
        <v>571</v>
      </c>
      <c r="E27" s="534">
        <v>10</v>
      </c>
      <c r="F27" s="534">
        <v>1500</v>
      </c>
      <c r="G27" s="535">
        <v>150</v>
      </c>
      <c r="H27" s="654">
        <f>AVERAGE(G27:G41)</f>
        <v>127.5</v>
      </c>
      <c r="I27" s="381">
        <f t="shared" ref="I27:I41" si="19">IFERROR(AVERAGE(P27,U27,Z27,AE27,AJ27,AO27,AT27),"-")</f>
        <v>10</v>
      </c>
      <c r="J27" s="381">
        <f t="shared" ref="J27:J41" si="20">IFERROR(AVERAGE(Q27,V27,AA27,AF27,AK27,AP27,AU27),"-")</f>
        <v>1440.8571428571433</v>
      </c>
      <c r="K27" s="199">
        <f t="shared" ref="K27:K41" si="21">IFERROR(AVERAGE(R27,W27,AB27,AG27,AL27,AQ27,AV27),"-")</f>
        <v>144.08571428571435</v>
      </c>
      <c r="L27" s="656">
        <f>IFERROR(AVERAGE(K27:K41),"-")</f>
        <v>138.47068627343347</v>
      </c>
      <c r="M27" s="385">
        <f>RANK(K27, K$27:$K$41)</f>
        <v>1</v>
      </c>
      <c r="N27" s="641"/>
      <c r="O27" s="641"/>
      <c r="P27" s="556">
        <v>10</v>
      </c>
      <c r="Q27" s="557">
        <v>1474.0000000000014</v>
      </c>
      <c r="R27" s="557">
        <v>147.40000000000015</v>
      </c>
      <c r="S27" s="556">
        <f t="shared" ref="S27:S41" si="22">RANK(R27, R$27:R$41)</f>
        <v>1</v>
      </c>
      <c r="T27" s="636">
        <f t="shared" ref="T27" si="23">AVERAGE(R27:R41)</f>
        <v>139.39522400676242</v>
      </c>
      <c r="U27" s="556">
        <v>10</v>
      </c>
      <c r="V27" s="557">
        <v>1416.0000000000014</v>
      </c>
      <c r="W27" s="557">
        <v>141.60000000000014</v>
      </c>
      <c r="X27" s="556">
        <f t="shared" ref="X27:X41" si="24">RANK(W27, W$27:W$41)</f>
        <v>2</v>
      </c>
      <c r="Y27" s="636">
        <f t="shared" ref="Y27" si="25">AVERAGE(W27:W41)</f>
        <v>141.14429416737093</v>
      </c>
      <c r="Z27" s="556">
        <v>10</v>
      </c>
      <c r="AA27" s="557">
        <v>1390.0000000000014</v>
      </c>
      <c r="AB27" s="557">
        <v>139.00000000000014</v>
      </c>
      <c r="AC27" s="556">
        <f t="shared" ref="AC27:AC41" si="26">RANK(AB27, AB$27:AB$41)</f>
        <v>2</v>
      </c>
      <c r="AD27" s="636">
        <f t="shared" ref="AD27" si="27">AVERAGE(AB27:AB41)</f>
        <v>137.72151310228236</v>
      </c>
      <c r="AE27" s="556">
        <v>10</v>
      </c>
      <c r="AF27" s="557">
        <v>1476.0000000000005</v>
      </c>
      <c r="AG27" s="557">
        <v>147.60000000000005</v>
      </c>
      <c r="AH27" s="556">
        <f t="shared" ref="AH27:AH41" si="28">RANK(AG27, AG$27:AG$41)</f>
        <v>1</v>
      </c>
      <c r="AI27" s="636">
        <f t="shared" ref="AI27" si="29">AVERAGE(AG27:AG41)</f>
        <v>137.61794871794871</v>
      </c>
      <c r="AJ27" s="556">
        <v>10</v>
      </c>
      <c r="AK27" s="557">
        <v>1451.9999999999959</v>
      </c>
      <c r="AL27" s="557">
        <v>145.19999999999959</v>
      </c>
      <c r="AM27" s="556">
        <f t="shared" ref="AM27:AM41" si="30">RANK(AL27, AL$27:AL$41)</f>
        <v>1</v>
      </c>
      <c r="AN27" s="636">
        <f t="shared" ref="AN27" si="31">AVERAGE(AL27:AL41)</f>
        <v>136.22913752913726</v>
      </c>
      <c r="AO27" s="556">
        <v>10</v>
      </c>
      <c r="AP27" s="557">
        <v>1476.0000000000014</v>
      </c>
      <c r="AQ27" s="557">
        <v>147.60000000000014</v>
      </c>
      <c r="AR27" s="556">
        <f t="shared" ref="AR27:AR41" si="32">RANK(AQ27, AQ$27:AQ$41)</f>
        <v>1</v>
      </c>
      <c r="AS27" s="636">
        <f t="shared" ref="AS27" si="33">AVERAGE(AQ27:AQ41)</f>
        <v>138.25029585798825</v>
      </c>
      <c r="AT27" s="556">
        <v>10</v>
      </c>
      <c r="AU27" s="557">
        <v>1402.0000000000014</v>
      </c>
      <c r="AV27" s="557">
        <v>140.20000000000013</v>
      </c>
      <c r="AW27" s="556">
        <f t="shared" ref="AW27:AW41" si="34">RANK(AV27, AV$27:AV$41)</f>
        <v>2</v>
      </c>
      <c r="AX27" s="636">
        <f t="shared" ref="AX27" si="35">AVERAGE(AV27:AV41)</f>
        <v>138.93639053254441</v>
      </c>
      <c r="AY27" s="636"/>
      <c r="AZ27" s="372" t="e">
        <f t="shared" ref="AZ27:AZ41" si="36">RANK(AY27, AY$27:AY$41)</f>
        <v>#N/A</v>
      </c>
      <c r="BA27" s="636" t="e">
        <f t="shared" ref="BA27" si="37">AVERAGE(AY27:AY41)</f>
        <v>#DIV/0!</v>
      </c>
    </row>
    <row r="28" spans="2:53">
      <c r="B28" s="647"/>
      <c r="C28" s="380">
        <v>2</v>
      </c>
      <c r="D28" s="534" t="s">
        <v>591</v>
      </c>
      <c r="E28" s="534">
        <v>15</v>
      </c>
      <c r="F28" s="534">
        <v>1800</v>
      </c>
      <c r="G28" s="535">
        <v>120</v>
      </c>
      <c r="H28" s="655"/>
      <c r="I28" s="381">
        <f t="shared" si="19"/>
        <v>13</v>
      </c>
      <c r="J28" s="381">
        <f t="shared" si="20"/>
        <v>1798.2463821892379</v>
      </c>
      <c r="K28" s="199">
        <f t="shared" si="21"/>
        <v>138.32664478378757</v>
      </c>
      <c r="L28" s="657"/>
      <c r="M28" s="388">
        <f>RANK(K28, K$27:$K$41)</f>
        <v>2</v>
      </c>
      <c r="N28" s="641"/>
      <c r="O28" s="641"/>
      <c r="P28" s="556">
        <v>13</v>
      </c>
      <c r="Q28" s="557">
        <v>1779.4285714285675</v>
      </c>
      <c r="R28" s="557">
        <v>136.87912087912056</v>
      </c>
      <c r="S28" s="556">
        <f t="shared" si="22"/>
        <v>3</v>
      </c>
      <c r="T28" s="637"/>
      <c r="U28" s="556">
        <v>13</v>
      </c>
      <c r="V28" s="557">
        <v>1824.8571428571388</v>
      </c>
      <c r="W28" s="557">
        <v>140.37362637362605</v>
      </c>
      <c r="X28" s="556">
        <f t="shared" si="24"/>
        <v>4</v>
      </c>
      <c r="Y28" s="637"/>
      <c r="Z28" s="556">
        <v>13</v>
      </c>
      <c r="AA28" s="557">
        <v>1806.8571428571433</v>
      </c>
      <c r="AB28" s="557">
        <v>138.98901098901104</v>
      </c>
      <c r="AC28" s="556">
        <f t="shared" si="26"/>
        <v>3</v>
      </c>
      <c r="AD28" s="637"/>
      <c r="AE28" s="556">
        <v>13</v>
      </c>
      <c r="AF28" s="557">
        <v>1780.0000000000018</v>
      </c>
      <c r="AG28" s="557">
        <v>136.92307692307708</v>
      </c>
      <c r="AH28" s="556">
        <f t="shared" si="28"/>
        <v>2</v>
      </c>
      <c r="AI28" s="637"/>
      <c r="AJ28" s="556">
        <v>13</v>
      </c>
      <c r="AK28" s="557">
        <v>1862.1818181818139</v>
      </c>
      <c r="AL28" s="557">
        <v>143.24475524475491</v>
      </c>
      <c r="AM28" s="556">
        <f t="shared" si="30"/>
        <v>2</v>
      </c>
      <c r="AN28" s="637"/>
      <c r="AO28" s="556">
        <v>13</v>
      </c>
      <c r="AP28" s="557">
        <v>1800.0000000000007</v>
      </c>
      <c r="AQ28" s="557">
        <v>138.46153846153851</v>
      </c>
      <c r="AR28" s="556">
        <f t="shared" si="32"/>
        <v>2</v>
      </c>
      <c r="AS28" s="637"/>
      <c r="AT28" s="556">
        <v>13</v>
      </c>
      <c r="AU28" s="557">
        <v>1734.4000000000005</v>
      </c>
      <c r="AV28" s="557">
        <v>133.41538461538465</v>
      </c>
      <c r="AW28" s="556">
        <f t="shared" si="34"/>
        <v>4</v>
      </c>
      <c r="AX28" s="637"/>
      <c r="AY28" s="637"/>
      <c r="AZ28" s="372" t="e">
        <f t="shared" si="36"/>
        <v>#N/A</v>
      </c>
      <c r="BA28" s="637"/>
    </row>
    <row r="29" spans="2:53">
      <c r="B29" s="647"/>
      <c r="C29" s="380">
        <v>3</v>
      </c>
      <c r="D29" s="534" t="s">
        <v>592</v>
      </c>
      <c r="E29" s="534">
        <v>15</v>
      </c>
      <c r="F29" s="534">
        <v>1800</v>
      </c>
      <c r="G29" s="535">
        <v>120</v>
      </c>
      <c r="H29" s="655"/>
      <c r="I29" s="381">
        <f t="shared" si="19"/>
        <v>13</v>
      </c>
      <c r="J29" s="381">
        <f t="shared" si="20"/>
        <v>1781.8725274725264</v>
      </c>
      <c r="K29" s="199">
        <f t="shared" si="21"/>
        <v>137.06711749788661</v>
      </c>
      <c r="L29" s="657"/>
      <c r="M29" s="388">
        <f>RANK(K29, K$27:$K$41)</f>
        <v>3</v>
      </c>
      <c r="N29" s="641"/>
      <c r="O29" s="641"/>
      <c r="P29" s="556">
        <v>13</v>
      </c>
      <c r="Q29" s="557">
        <v>1771.3846153846132</v>
      </c>
      <c r="R29" s="557">
        <v>136.26035502958564</v>
      </c>
      <c r="S29" s="556">
        <f t="shared" si="22"/>
        <v>4</v>
      </c>
      <c r="T29" s="637"/>
      <c r="U29" s="556">
        <v>13</v>
      </c>
      <c r="V29" s="557">
        <v>1825.8461538461513</v>
      </c>
      <c r="W29" s="557">
        <v>140.44970414201163</v>
      </c>
      <c r="X29" s="556">
        <f t="shared" si="24"/>
        <v>3</v>
      </c>
      <c r="Y29" s="637"/>
      <c r="Z29" s="556">
        <v>13</v>
      </c>
      <c r="AA29" s="557">
        <v>1734.4615384615361</v>
      </c>
      <c r="AB29" s="557">
        <v>133.42011834319507</v>
      </c>
      <c r="AC29" s="556">
        <f t="shared" si="26"/>
        <v>4</v>
      </c>
      <c r="AD29" s="637"/>
      <c r="AE29" s="556">
        <v>13</v>
      </c>
      <c r="AF29" s="557">
        <v>1715.9999999999986</v>
      </c>
      <c r="AG29" s="557">
        <v>131.99999999999989</v>
      </c>
      <c r="AH29" s="556">
        <f t="shared" si="28"/>
        <v>4</v>
      </c>
      <c r="AI29" s="637"/>
      <c r="AJ29" s="556">
        <v>13</v>
      </c>
      <c r="AK29" s="557">
        <v>1768.7999999999977</v>
      </c>
      <c r="AL29" s="557">
        <v>136.06153846153828</v>
      </c>
      <c r="AM29" s="556">
        <f t="shared" si="30"/>
        <v>3</v>
      </c>
      <c r="AN29" s="637"/>
      <c r="AO29" s="556">
        <v>13</v>
      </c>
      <c r="AP29" s="557">
        <v>1780.6153846153866</v>
      </c>
      <c r="AQ29" s="557">
        <v>136.97041420118359</v>
      </c>
      <c r="AR29" s="556">
        <f t="shared" si="32"/>
        <v>3</v>
      </c>
      <c r="AS29" s="637"/>
      <c r="AT29" s="556">
        <v>13</v>
      </c>
      <c r="AU29" s="557">
        <v>1876.0000000000018</v>
      </c>
      <c r="AV29" s="557">
        <v>144.30769230769243</v>
      </c>
      <c r="AW29" s="556">
        <f t="shared" si="34"/>
        <v>1</v>
      </c>
      <c r="AX29" s="637"/>
      <c r="AY29" s="637"/>
      <c r="AZ29" s="372" t="e">
        <f t="shared" si="36"/>
        <v>#N/A</v>
      </c>
      <c r="BA29" s="637"/>
    </row>
    <row r="30" spans="2:53">
      <c r="B30" s="647"/>
      <c r="C30" s="380">
        <v>4</v>
      </c>
      <c r="D30" s="534" t="s">
        <v>718</v>
      </c>
      <c r="E30" s="534">
        <v>18</v>
      </c>
      <c r="F30" s="534">
        <v>1800</v>
      </c>
      <c r="G30" s="535">
        <v>120</v>
      </c>
      <c r="H30" s="655"/>
      <c r="I30" s="381">
        <f t="shared" si="19"/>
        <v>13</v>
      </c>
      <c r="J30" s="381">
        <f t="shared" si="20"/>
        <v>1747.2424908424896</v>
      </c>
      <c r="K30" s="199">
        <f t="shared" si="21"/>
        <v>134.40326852634536</v>
      </c>
      <c r="L30" s="657"/>
      <c r="M30" s="388">
        <f>RANK(K30, K$27:$K$41)</f>
        <v>4</v>
      </c>
      <c r="N30" s="641"/>
      <c r="O30" s="641"/>
      <c r="P30" s="556">
        <v>13</v>
      </c>
      <c r="Q30" s="557">
        <v>1781.5384615384635</v>
      </c>
      <c r="R30" s="557">
        <v>137.04142011834335</v>
      </c>
      <c r="S30" s="556">
        <f t="shared" si="22"/>
        <v>2</v>
      </c>
      <c r="T30" s="637"/>
      <c r="U30" s="556">
        <v>13</v>
      </c>
      <c r="V30" s="557">
        <v>1847.9999999999966</v>
      </c>
      <c r="W30" s="557">
        <v>142.1538461538459</v>
      </c>
      <c r="X30" s="556">
        <f t="shared" si="24"/>
        <v>1</v>
      </c>
      <c r="Y30" s="637"/>
      <c r="Z30" s="556">
        <v>13</v>
      </c>
      <c r="AA30" s="557">
        <v>1813.2000000000005</v>
      </c>
      <c r="AB30" s="557">
        <v>139.47692307692313</v>
      </c>
      <c r="AC30" s="556">
        <f t="shared" si="26"/>
        <v>1</v>
      </c>
      <c r="AD30" s="637"/>
      <c r="AE30" s="556">
        <v>13</v>
      </c>
      <c r="AF30" s="557">
        <v>1741.3333333333303</v>
      </c>
      <c r="AG30" s="557">
        <v>133.94871794871773</v>
      </c>
      <c r="AH30" s="556">
        <f t="shared" si="28"/>
        <v>3</v>
      </c>
      <c r="AI30" s="637"/>
      <c r="AJ30" s="556">
        <v>13</v>
      </c>
      <c r="AK30" s="557">
        <v>1565.3333333333305</v>
      </c>
      <c r="AL30" s="557">
        <v>120.4102564102562</v>
      </c>
      <c r="AM30" s="556">
        <f t="shared" si="30"/>
        <v>4</v>
      </c>
      <c r="AN30" s="637"/>
      <c r="AO30" s="556">
        <v>13</v>
      </c>
      <c r="AP30" s="557">
        <v>1689.6000000000004</v>
      </c>
      <c r="AQ30" s="557">
        <v>129.96923076923079</v>
      </c>
      <c r="AR30" s="556">
        <f t="shared" si="32"/>
        <v>4</v>
      </c>
      <c r="AS30" s="637"/>
      <c r="AT30" s="556">
        <v>13</v>
      </c>
      <c r="AU30" s="557">
        <v>1791.6923076923053</v>
      </c>
      <c r="AV30" s="557">
        <v>137.82248520710041</v>
      </c>
      <c r="AW30" s="556">
        <f t="shared" si="34"/>
        <v>3</v>
      </c>
      <c r="AX30" s="637"/>
      <c r="AY30" s="637"/>
      <c r="AZ30" s="372" t="e">
        <f t="shared" si="36"/>
        <v>#N/A</v>
      </c>
      <c r="BA30" s="637"/>
    </row>
    <row r="31" spans="2:53">
      <c r="B31" s="647"/>
      <c r="C31" s="380">
        <v>5</v>
      </c>
      <c r="D31" s="534"/>
      <c r="E31" s="534"/>
      <c r="F31" s="534"/>
      <c r="G31" s="535"/>
      <c r="H31" s="655"/>
      <c r="I31" s="381" t="str">
        <f t="shared" si="19"/>
        <v>-</v>
      </c>
      <c r="J31" s="381" t="str">
        <f t="shared" si="20"/>
        <v>-</v>
      </c>
      <c r="K31" s="199" t="str">
        <f t="shared" si="21"/>
        <v>-</v>
      </c>
      <c r="L31" s="657"/>
      <c r="M31" s="388" t="e">
        <f>RANK(K31, K$27:$K$41)</f>
        <v>#VALUE!</v>
      </c>
      <c r="N31" s="641"/>
      <c r="O31" s="641"/>
      <c r="P31" s="556" t="s">
        <v>585</v>
      </c>
      <c r="Q31" s="557" t="s">
        <v>585</v>
      </c>
      <c r="R31" s="557" t="s">
        <v>585</v>
      </c>
      <c r="S31" s="556" t="e">
        <f t="shared" si="22"/>
        <v>#VALUE!</v>
      </c>
      <c r="T31" s="637"/>
      <c r="U31" s="556" t="s">
        <v>585</v>
      </c>
      <c r="V31" s="557" t="s">
        <v>585</v>
      </c>
      <c r="W31" s="557" t="s">
        <v>585</v>
      </c>
      <c r="X31" s="556" t="e">
        <f t="shared" si="24"/>
        <v>#VALUE!</v>
      </c>
      <c r="Y31" s="637"/>
      <c r="Z31" s="556" t="s">
        <v>585</v>
      </c>
      <c r="AA31" s="557" t="s">
        <v>585</v>
      </c>
      <c r="AB31" s="557" t="s">
        <v>585</v>
      </c>
      <c r="AC31" s="556" t="e">
        <f t="shared" si="26"/>
        <v>#VALUE!</v>
      </c>
      <c r="AD31" s="637"/>
      <c r="AE31" s="556" t="s">
        <v>585</v>
      </c>
      <c r="AF31" s="557" t="s">
        <v>585</v>
      </c>
      <c r="AG31" s="557" t="s">
        <v>585</v>
      </c>
      <c r="AH31" s="556" t="e">
        <f t="shared" si="28"/>
        <v>#VALUE!</v>
      </c>
      <c r="AI31" s="637"/>
      <c r="AJ31" s="556" t="s">
        <v>585</v>
      </c>
      <c r="AK31" s="557" t="s">
        <v>585</v>
      </c>
      <c r="AL31" s="557" t="s">
        <v>585</v>
      </c>
      <c r="AM31" s="556" t="e">
        <f t="shared" si="30"/>
        <v>#VALUE!</v>
      </c>
      <c r="AN31" s="637"/>
      <c r="AO31" s="556" t="s">
        <v>585</v>
      </c>
      <c r="AP31" s="557" t="s">
        <v>585</v>
      </c>
      <c r="AQ31" s="557" t="s">
        <v>585</v>
      </c>
      <c r="AR31" s="556" t="e">
        <f t="shared" si="32"/>
        <v>#VALUE!</v>
      </c>
      <c r="AS31" s="637"/>
      <c r="AT31" s="556" t="s">
        <v>585</v>
      </c>
      <c r="AU31" s="557" t="s">
        <v>585</v>
      </c>
      <c r="AV31" s="557" t="s">
        <v>585</v>
      </c>
      <c r="AW31" s="556" t="e">
        <f t="shared" si="34"/>
        <v>#VALUE!</v>
      </c>
      <c r="AX31" s="637"/>
      <c r="AY31" s="637"/>
      <c r="AZ31" s="372" t="e">
        <f t="shared" si="36"/>
        <v>#N/A</v>
      </c>
      <c r="BA31" s="637"/>
    </row>
    <row r="32" spans="2:53">
      <c r="B32" s="647"/>
      <c r="C32" s="380">
        <v>6</v>
      </c>
      <c r="D32" s="534"/>
      <c r="E32" s="534"/>
      <c r="F32" s="534"/>
      <c r="G32" s="535"/>
      <c r="H32" s="655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57"/>
      <c r="M32" s="388" t="e">
        <f>RANK(K32, K$27:$K$41)</f>
        <v>#VALUE!</v>
      </c>
      <c r="N32" s="641"/>
      <c r="O32" s="641"/>
      <c r="P32" s="556" t="s">
        <v>585</v>
      </c>
      <c r="Q32" s="557" t="s">
        <v>585</v>
      </c>
      <c r="R32" s="557" t="s">
        <v>585</v>
      </c>
      <c r="S32" s="556" t="e">
        <f t="shared" si="22"/>
        <v>#VALUE!</v>
      </c>
      <c r="T32" s="637"/>
      <c r="U32" s="556" t="s">
        <v>585</v>
      </c>
      <c r="V32" s="557" t="s">
        <v>585</v>
      </c>
      <c r="W32" s="557" t="s">
        <v>585</v>
      </c>
      <c r="X32" s="556" t="e">
        <f t="shared" si="24"/>
        <v>#VALUE!</v>
      </c>
      <c r="Y32" s="637"/>
      <c r="Z32" s="556" t="s">
        <v>585</v>
      </c>
      <c r="AA32" s="557" t="s">
        <v>585</v>
      </c>
      <c r="AB32" s="557" t="s">
        <v>585</v>
      </c>
      <c r="AC32" s="556" t="e">
        <f t="shared" si="26"/>
        <v>#VALUE!</v>
      </c>
      <c r="AD32" s="637"/>
      <c r="AE32" s="556" t="s">
        <v>585</v>
      </c>
      <c r="AF32" s="557" t="s">
        <v>585</v>
      </c>
      <c r="AG32" s="557" t="s">
        <v>585</v>
      </c>
      <c r="AH32" s="556" t="e">
        <f t="shared" si="28"/>
        <v>#VALUE!</v>
      </c>
      <c r="AI32" s="637"/>
      <c r="AJ32" s="556" t="s">
        <v>585</v>
      </c>
      <c r="AK32" s="557" t="s">
        <v>585</v>
      </c>
      <c r="AL32" s="557" t="s">
        <v>585</v>
      </c>
      <c r="AM32" s="556" t="e">
        <f t="shared" si="30"/>
        <v>#VALUE!</v>
      </c>
      <c r="AN32" s="637"/>
      <c r="AO32" s="556" t="s">
        <v>585</v>
      </c>
      <c r="AP32" s="557" t="s">
        <v>585</v>
      </c>
      <c r="AQ32" s="557" t="s">
        <v>585</v>
      </c>
      <c r="AR32" s="556" t="e">
        <f t="shared" si="32"/>
        <v>#VALUE!</v>
      </c>
      <c r="AS32" s="637"/>
      <c r="AT32" s="556" t="s">
        <v>585</v>
      </c>
      <c r="AU32" s="557" t="s">
        <v>585</v>
      </c>
      <c r="AV32" s="557" t="s">
        <v>585</v>
      </c>
      <c r="AW32" s="556" t="e">
        <f t="shared" si="34"/>
        <v>#VALUE!</v>
      </c>
      <c r="AX32" s="637"/>
      <c r="AY32" s="637"/>
      <c r="AZ32" s="372" t="e">
        <f t="shared" si="36"/>
        <v>#N/A</v>
      </c>
      <c r="BA32" s="637"/>
    </row>
    <row r="33" spans="2:53">
      <c r="B33" s="647"/>
      <c r="C33" s="380">
        <v>7</v>
      </c>
      <c r="D33" s="534"/>
      <c r="E33" s="534"/>
      <c r="F33" s="534"/>
      <c r="G33" s="535"/>
      <c r="H33" s="655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57"/>
      <c r="M33" s="388" t="e">
        <f>RANK(K33, K$27:$K$41)</f>
        <v>#VALUE!</v>
      </c>
      <c r="N33" s="641"/>
      <c r="O33" s="641"/>
      <c r="P33" s="556" t="s">
        <v>585</v>
      </c>
      <c r="Q33" s="557" t="s">
        <v>585</v>
      </c>
      <c r="R33" s="557" t="s">
        <v>585</v>
      </c>
      <c r="S33" s="556" t="e">
        <f t="shared" si="22"/>
        <v>#VALUE!</v>
      </c>
      <c r="T33" s="637"/>
      <c r="U33" s="556" t="s">
        <v>585</v>
      </c>
      <c r="V33" s="557" t="s">
        <v>585</v>
      </c>
      <c r="W33" s="557" t="s">
        <v>585</v>
      </c>
      <c r="X33" s="556" t="e">
        <f t="shared" si="24"/>
        <v>#VALUE!</v>
      </c>
      <c r="Y33" s="637"/>
      <c r="Z33" s="556" t="s">
        <v>585</v>
      </c>
      <c r="AA33" s="557" t="s">
        <v>585</v>
      </c>
      <c r="AB33" s="557" t="s">
        <v>585</v>
      </c>
      <c r="AC33" s="556" t="e">
        <f t="shared" si="26"/>
        <v>#VALUE!</v>
      </c>
      <c r="AD33" s="637"/>
      <c r="AE33" s="556" t="s">
        <v>585</v>
      </c>
      <c r="AF33" s="557" t="s">
        <v>585</v>
      </c>
      <c r="AG33" s="557" t="s">
        <v>585</v>
      </c>
      <c r="AH33" s="556" t="e">
        <f t="shared" si="28"/>
        <v>#VALUE!</v>
      </c>
      <c r="AI33" s="637"/>
      <c r="AJ33" s="556" t="s">
        <v>585</v>
      </c>
      <c r="AK33" s="557" t="s">
        <v>585</v>
      </c>
      <c r="AL33" s="557" t="s">
        <v>585</v>
      </c>
      <c r="AM33" s="556" t="e">
        <f t="shared" si="30"/>
        <v>#VALUE!</v>
      </c>
      <c r="AN33" s="637"/>
      <c r="AO33" s="556" t="s">
        <v>585</v>
      </c>
      <c r="AP33" s="557" t="s">
        <v>585</v>
      </c>
      <c r="AQ33" s="557" t="s">
        <v>585</v>
      </c>
      <c r="AR33" s="556" t="e">
        <f t="shared" si="32"/>
        <v>#VALUE!</v>
      </c>
      <c r="AS33" s="637"/>
      <c r="AT33" s="556" t="s">
        <v>585</v>
      </c>
      <c r="AU33" s="557" t="s">
        <v>585</v>
      </c>
      <c r="AV33" s="557" t="s">
        <v>585</v>
      </c>
      <c r="AW33" s="556" t="e">
        <f t="shared" si="34"/>
        <v>#VALUE!</v>
      </c>
      <c r="AX33" s="637"/>
      <c r="AY33" s="637"/>
      <c r="AZ33" s="372" t="e">
        <f t="shared" si="36"/>
        <v>#N/A</v>
      </c>
      <c r="BA33" s="637"/>
    </row>
    <row r="34" spans="2:53">
      <c r="B34" s="647"/>
      <c r="C34" s="380">
        <v>8</v>
      </c>
      <c r="D34" s="534"/>
      <c r="E34" s="534"/>
      <c r="F34" s="534"/>
      <c r="G34" s="535"/>
      <c r="H34" s="655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57"/>
      <c r="M34" s="388" t="e">
        <f>RANK(K34, K$27:$K$41)</f>
        <v>#VALUE!</v>
      </c>
      <c r="N34" s="641"/>
      <c r="O34" s="641"/>
      <c r="P34" s="556" t="s">
        <v>585</v>
      </c>
      <c r="Q34" s="557" t="s">
        <v>585</v>
      </c>
      <c r="R34" s="557" t="s">
        <v>585</v>
      </c>
      <c r="S34" s="556" t="e">
        <f t="shared" si="22"/>
        <v>#VALUE!</v>
      </c>
      <c r="T34" s="637"/>
      <c r="U34" s="556" t="s">
        <v>585</v>
      </c>
      <c r="V34" s="557" t="s">
        <v>585</v>
      </c>
      <c r="W34" s="557" t="s">
        <v>585</v>
      </c>
      <c r="X34" s="556" t="e">
        <f t="shared" si="24"/>
        <v>#VALUE!</v>
      </c>
      <c r="Y34" s="637"/>
      <c r="Z34" s="556" t="s">
        <v>585</v>
      </c>
      <c r="AA34" s="557" t="s">
        <v>585</v>
      </c>
      <c r="AB34" s="557" t="s">
        <v>585</v>
      </c>
      <c r="AC34" s="556" t="e">
        <f t="shared" si="26"/>
        <v>#VALUE!</v>
      </c>
      <c r="AD34" s="637"/>
      <c r="AE34" s="556" t="s">
        <v>585</v>
      </c>
      <c r="AF34" s="557" t="s">
        <v>585</v>
      </c>
      <c r="AG34" s="557" t="s">
        <v>585</v>
      </c>
      <c r="AH34" s="556" t="e">
        <f t="shared" si="28"/>
        <v>#VALUE!</v>
      </c>
      <c r="AI34" s="637"/>
      <c r="AJ34" s="556" t="s">
        <v>585</v>
      </c>
      <c r="AK34" s="557" t="s">
        <v>585</v>
      </c>
      <c r="AL34" s="557" t="s">
        <v>585</v>
      </c>
      <c r="AM34" s="556" t="e">
        <f t="shared" si="30"/>
        <v>#VALUE!</v>
      </c>
      <c r="AN34" s="637"/>
      <c r="AO34" s="556" t="s">
        <v>585</v>
      </c>
      <c r="AP34" s="557" t="s">
        <v>585</v>
      </c>
      <c r="AQ34" s="557" t="s">
        <v>585</v>
      </c>
      <c r="AR34" s="556" t="e">
        <f t="shared" si="32"/>
        <v>#VALUE!</v>
      </c>
      <c r="AS34" s="637"/>
      <c r="AT34" s="556" t="s">
        <v>585</v>
      </c>
      <c r="AU34" s="557" t="s">
        <v>585</v>
      </c>
      <c r="AV34" s="557" t="s">
        <v>585</v>
      </c>
      <c r="AW34" s="556" t="e">
        <f t="shared" si="34"/>
        <v>#VALUE!</v>
      </c>
      <c r="AX34" s="637"/>
      <c r="AY34" s="637"/>
      <c r="AZ34" s="372" t="e">
        <f t="shared" si="36"/>
        <v>#N/A</v>
      </c>
      <c r="BA34" s="637"/>
    </row>
    <row r="35" spans="2:53">
      <c r="B35" s="647"/>
      <c r="C35" s="380">
        <v>9</v>
      </c>
      <c r="D35" s="534"/>
      <c r="E35" s="534"/>
      <c r="F35" s="534"/>
      <c r="G35" s="535"/>
      <c r="H35" s="655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57"/>
      <c r="M35" s="388" t="e">
        <f>RANK(K35, K$27:$K$41)</f>
        <v>#VALUE!</v>
      </c>
      <c r="N35" s="641"/>
      <c r="O35" s="641"/>
      <c r="P35" s="556" t="s">
        <v>585</v>
      </c>
      <c r="Q35" s="557" t="s">
        <v>585</v>
      </c>
      <c r="R35" s="557" t="s">
        <v>585</v>
      </c>
      <c r="S35" s="556" t="e">
        <f t="shared" si="22"/>
        <v>#VALUE!</v>
      </c>
      <c r="T35" s="637"/>
      <c r="U35" s="556" t="s">
        <v>585</v>
      </c>
      <c r="V35" s="557" t="s">
        <v>585</v>
      </c>
      <c r="W35" s="557" t="s">
        <v>585</v>
      </c>
      <c r="X35" s="556" t="e">
        <f t="shared" si="24"/>
        <v>#VALUE!</v>
      </c>
      <c r="Y35" s="637"/>
      <c r="Z35" s="556" t="s">
        <v>585</v>
      </c>
      <c r="AA35" s="557" t="s">
        <v>585</v>
      </c>
      <c r="AB35" s="557" t="s">
        <v>585</v>
      </c>
      <c r="AC35" s="556" t="e">
        <f t="shared" si="26"/>
        <v>#VALUE!</v>
      </c>
      <c r="AD35" s="637"/>
      <c r="AE35" s="556" t="s">
        <v>585</v>
      </c>
      <c r="AF35" s="557" t="s">
        <v>585</v>
      </c>
      <c r="AG35" s="557" t="s">
        <v>585</v>
      </c>
      <c r="AH35" s="556" t="e">
        <f t="shared" si="28"/>
        <v>#VALUE!</v>
      </c>
      <c r="AI35" s="637"/>
      <c r="AJ35" s="556" t="s">
        <v>585</v>
      </c>
      <c r="AK35" s="557" t="s">
        <v>585</v>
      </c>
      <c r="AL35" s="557" t="s">
        <v>585</v>
      </c>
      <c r="AM35" s="556" t="e">
        <f t="shared" si="30"/>
        <v>#VALUE!</v>
      </c>
      <c r="AN35" s="637"/>
      <c r="AO35" s="556" t="s">
        <v>585</v>
      </c>
      <c r="AP35" s="557" t="s">
        <v>585</v>
      </c>
      <c r="AQ35" s="557" t="s">
        <v>585</v>
      </c>
      <c r="AR35" s="556" t="e">
        <f t="shared" si="32"/>
        <v>#VALUE!</v>
      </c>
      <c r="AS35" s="637"/>
      <c r="AT35" s="556" t="s">
        <v>585</v>
      </c>
      <c r="AU35" s="557" t="s">
        <v>585</v>
      </c>
      <c r="AV35" s="557" t="s">
        <v>585</v>
      </c>
      <c r="AW35" s="556" t="e">
        <f t="shared" si="34"/>
        <v>#VALUE!</v>
      </c>
      <c r="AX35" s="637"/>
      <c r="AY35" s="637"/>
      <c r="AZ35" s="372" t="e">
        <f t="shared" si="36"/>
        <v>#N/A</v>
      </c>
      <c r="BA35" s="637"/>
    </row>
    <row r="36" spans="2:53">
      <c r="B36" s="647"/>
      <c r="C36" s="380">
        <v>10</v>
      </c>
      <c r="D36" s="534"/>
      <c r="E36" s="534"/>
      <c r="F36" s="534"/>
      <c r="G36" s="535"/>
      <c r="H36" s="655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57"/>
      <c r="M36" s="388" t="e">
        <f>RANK(K36, K$27:$K$41)</f>
        <v>#VALUE!</v>
      </c>
      <c r="N36" s="641"/>
      <c r="O36" s="641"/>
      <c r="P36" s="556" t="s">
        <v>585</v>
      </c>
      <c r="Q36" s="557" t="s">
        <v>585</v>
      </c>
      <c r="R36" s="557" t="s">
        <v>585</v>
      </c>
      <c r="S36" s="556" t="e">
        <f t="shared" si="22"/>
        <v>#VALUE!</v>
      </c>
      <c r="T36" s="637"/>
      <c r="U36" s="556" t="s">
        <v>585</v>
      </c>
      <c r="V36" s="557" t="s">
        <v>585</v>
      </c>
      <c r="W36" s="557" t="s">
        <v>585</v>
      </c>
      <c r="X36" s="556" t="e">
        <f t="shared" si="24"/>
        <v>#VALUE!</v>
      </c>
      <c r="Y36" s="637"/>
      <c r="Z36" s="556" t="s">
        <v>585</v>
      </c>
      <c r="AA36" s="557" t="s">
        <v>585</v>
      </c>
      <c r="AB36" s="557" t="s">
        <v>585</v>
      </c>
      <c r="AC36" s="556" t="e">
        <f t="shared" si="26"/>
        <v>#VALUE!</v>
      </c>
      <c r="AD36" s="637"/>
      <c r="AE36" s="556" t="s">
        <v>585</v>
      </c>
      <c r="AF36" s="557" t="s">
        <v>585</v>
      </c>
      <c r="AG36" s="557" t="s">
        <v>585</v>
      </c>
      <c r="AH36" s="556" t="e">
        <f t="shared" si="28"/>
        <v>#VALUE!</v>
      </c>
      <c r="AI36" s="637"/>
      <c r="AJ36" s="556" t="s">
        <v>585</v>
      </c>
      <c r="AK36" s="557" t="s">
        <v>585</v>
      </c>
      <c r="AL36" s="557" t="s">
        <v>585</v>
      </c>
      <c r="AM36" s="556" t="e">
        <f t="shared" si="30"/>
        <v>#VALUE!</v>
      </c>
      <c r="AN36" s="637"/>
      <c r="AO36" s="556" t="s">
        <v>585</v>
      </c>
      <c r="AP36" s="557" t="s">
        <v>585</v>
      </c>
      <c r="AQ36" s="557" t="s">
        <v>585</v>
      </c>
      <c r="AR36" s="556" t="e">
        <f t="shared" si="32"/>
        <v>#VALUE!</v>
      </c>
      <c r="AS36" s="637"/>
      <c r="AT36" s="556" t="s">
        <v>585</v>
      </c>
      <c r="AU36" s="557" t="s">
        <v>585</v>
      </c>
      <c r="AV36" s="557" t="s">
        <v>585</v>
      </c>
      <c r="AW36" s="556" t="e">
        <f t="shared" si="34"/>
        <v>#VALUE!</v>
      </c>
      <c r="AX36" s="637"/>
      <c r="AY36" s="637"/>
      <c r="AZ36" s="372" t="e">
        <f t="shared" si="36"/>
        <v>#N/A</v>
      </c>
      <c r="BA36" s="637"/>
    </row>
    <row r="37" spans="2:53">
      <c r="B37" s="647"/>
      <c r="C37" s="380">
        <v>11</v>
      </c>
      <c r="D37" s="534"/>
      <c r="E37" s="534"/>
      <c r="F37" s="534"/>
      <c r="G37" s="535"/>
      <c r="H37" s="655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57"/>
      <c r="M37" s="388" t="e">
        <f>RANK(K37, K$27:$K$41)</f>
        <v>#VALUE!</v>
      </c>
      <c r="N37" s="641"/>
      <c r="O37" s="641"/>
      <c r="P37" s="556" t="s">
        <v>585</v>
      </c>
      <c r="Q37" s="557" t="s">
        <v>585</v>
      </c>
      <c r="R37" s="557" t="s">
        <v>585</v>
      </c>
      <c r="S37" s="556" t="e">
        <f t="shared" si="22"/>
        <v>#VALUE!</v>
      </c>
      <c r="T37" s="637"/>
      <c r="U37" s="556" t="s">
        <v>585</v>
      </c>
      <c r="V37" s="557" t="s">
        <v>585</v>
      </c>
      <c r="W37" s="557" t="s">
        <v>585</v>
      </c>
      <c r="X37" s="556" t="e">
        <f t="shared" si="24"/>
        <v>#VALUE!</v>
      </c>
      <c r="Y37" s="637"/>
      <c r="Z37" s="556" t="s">
        <v>585</v>
      </c>
      <c r="AA37" s="557" t="s">
        <v>585</v>
      </c>
      <c r="AB37" s="557" t="s">
        <v>585</v>
      </c>
      <c r="AC37" s="556" t="e">
        <f t="shared" si="26"/>
        <v>#VALUE!</v>
      </c>
      <c r="AD37" s="637"/>
      <c r="AE37" s="556" t="s">
        <v>585</v>
      </c>
      <c r="AF37" s="557" t="s">
        <v>585</v>
      </c>
      <c r="AG37" s="557" t="s">
        <v>585</v>
      </c>
      <c r="AH37" s="556" t="e">
        <f t="shared" si="28"/>
        <v>#VALUE!</v>
      </c>
      <c r="AI37" s="637"/>
      <c r="AJ37" s="556" t="s">
        <v>585</v>
      </c>
      <c r="AK37" s="557" t="s">
        <v>585</v>
      </c>
      <c r="AL37" s="557" t="s">
        <v>585</v>
      </c>
      <c r="AM37" s="556" t="e">
        <f t="shared" si="30"/>
        <v>#VALUE!</v>
      </c>
      <c r="AN37" s="637"/>
      <c r="AO37" s="556" t="s">
        <v>585</v>
      </c>
      <c r="AP37" s="557" t="s">
        <v>585</v>
      </c>
      <c r="AQ37" s="557" t="s">
        <v>585</v>
      </c>
      <c r="AR37" s="556" t="e">
        <f t="shared" si="32"/>
        <v>#VALUE!</v>
      </c>
      <c r="AS37" s="637"/>
      <c r="AT37" s="556" t="s">
        <v>585</v>
      </c>
      <c r="AU37" s="557" t="s">
        <v>585</v>
      </c>
      <c r="AV37" s="557" t="s">
        <v>585</v>
      </c>
      <c r="AW37" s="556" t="e">
        <f t="shared" si="34"/>
        <v>#VALUE!</v>
      </c>
      <c r="AX37" s="637"/>
      <c r="AY37" s="637"/>
      <c r="AZ37" s="372" t="e">
        <f t="shared" si="36"/>
        <v>#N/A</v>
      </c>
      <c r="BA37" s="637"/>
    </row>
    <row r="38" spans="2:53">
      <c r="B38" s="647"/>
      <c r="C38" s="380">
        <v>12</v>
      </c>
      <c r="D38" s="534"/>
      <c r="E38" s="534"/>
      <c r="F38" s="534"/>
      <c r="G38" s="535"/>
      <c r="H38" s="655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57"/>
      <c r="M38" s="388" t="e">
        <f>RANK(K38, K$27:$K$41)</f>
        <v>#VALUE!</v>
      </c>
      <c r="N38" s="641"/>
      <c r="O38" s="641"/>
      <c r="P38" s="556" t="s">
        <v>585</v>
      </c>
      <c r="Q38" s="557" t="s">
        <v>585</v>
      </c>
      <c r="R38" s="557" t="s">
        <v>585</v>
      </c>
      <c r="S38" s="556" t="e">
        <f t="shared" si="22"/>
        <v>#VALUE!</v>
      </c>
      <c r="T38" s="637"/>
      <c r="U38" s="556" t="s">
        <v>585</v>
      </c>
      <c r="V38" s="557" t="s">
        <v>585</v>
      </c>
      <c r="W38" s="557" t="s">
        <v>585</v>
      </c>
      <c r="X38" s="556" t="e">
        <f t="shared" si="24"/>
        <v>#VALUE!</v>
      </c>
      <c r="Y38" s="637"/>
      <c r="Z38" s="556" t="s">
        <v>585</v>
      </c>
      <c r="AA38" s="557" t="s">
        <v>585</v>
      </c>
      <c r="AB38" s="557" t="s">
        <v>585</v>
      </c>
      <c r="AC38" s="556" t="e">
        <f t="shared" si="26"/>
        <v>#VALUE!</v>
      </c>
      <c r="AD38" s="637"/>
      <c r="AE38" s="556" t="s">
        <v>585</v>
      </c>
      <c r="AF38" s="557" t="s">
        <v>585</v>
      </c>
      <c r="AG38" s="557" t="s">
        <v>585</v>
      </c>
      <c r="AH38" s="556" t="e">
        <f t="shared" si="28"/>
        <v>#VALUE!</v>
      </c>
      <c r="AI38" s="637"/>
      <c r="AJ38" s="556" t="s">
        <v>585</v>
      </c>
      <c r="AK38" s="557" t="s">
        <v>585</v>
      </c>
      <c r="AL38" s="557" t="s">
        <v>585</v>
      </c>
      <c r="AM38" s="556" t="e">
        <f t="shared" si="30"/>
        <v>#VALUE!</v>
      </c>
      <c r="AN38" s="637"/>
      <c r="AO38" s="556" t="s">
        <v>585</v>
      </c>
      <c r="AP38" s="557" t="s">
        <v>585</v>
      </c>
      <c r="AQ38" s="557" t="s">
        <v>585</v>
      </c>
      <c r="AR38" s="556" t="e">
        <f t="shared" si="32"/>
        <v>#VALUE!</v>
      </c>
      <c r="AS38" s="637"/>
      <c r="AT38" s="556" t="s">
        <v>585</v>
      </c>
      <c r="AU38" s="557" t="s">
        <v>585</v>
      </c>
      <c r="AV38" s="557" t="s">
        <v>585</v>
      </c>
      <c r="AW38" s="556" t="e">
        <f t="shared" si="34"/>
        <v>#VALUE!</v>
      </c>
      <c r="AX38" s="637"/>
      <c r="AY38" s="637"/>
      <c r="AZ38" s="372" t="e">
        <f t="shared" si="36"/>
        <v>#N/A</v>
      </c>
      <c r="BA38" s="637"/>
    </row>
    <row r="39" spans="2:53">
      <c r="B39" s="647"/>
      <c r="C39" s="380">
        <v>13</v>
      </c>
      <c r="D39" s="534"/>
      <c r="E39" s="534"/>
      <c r="F39" s="534"/>
      <c r="G39" s="535"/>
      <c r="H39" s="655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57"/>
      <c r="M39" s="388" t="e">
        <f>RANK(K39, K$27:$K$41)</f>
        <v>#VALUE!</v>
      </c>
      <c r="N39" s="641"/>
      <c r="O39" s="641"/>
      <c r="P39" s="556" t="s">
        <v>585</v>
      </c>
      <c r="Q39" s="557" t="s">
        <v>585</v>
      </c>
      <c r="R39" s="557" t="s">
        <v>585</v>
      </c>
      <c r="S39" s="556" t="e">
        <f t="shared" si="22"/>
        <v>#VALUE!</v>
      </c>
      <c r="T39" s="637"/>
      <c r="U39" s="556" t="s">
        <v>585</v>
      </c>
      <c r="V39" s="557" t="s">
        <v>585</v>
      </c>
      <c r="W39" s="557" t="s">
        <v>585</v>
      </c>
      <c r="X39" s="556" t="e">
        <f t="shared" si="24"/>
        <v>#VALUE!</v>
      </c>
      <c r="Y39" s="637"/>
      <c r="Z39" s="556" t="s">
        <v>585</v>
      </c>
      <c r="AA39" s="557" t="s">
        <v>585</v>
      </c>
      <c r="AB39" s="557" t="s">
        <v>585</v>
      </c>
      <c r="AC39" s="556" t="e">
        <f t="shared" si="26"/>
        <v>#VALUE!</v>
      </c>
      <c r="AD39" s="637"/>
      <c r="AE39" s="556" t="s">
        <v>585</v>
      </c>
      <c r="AF39" s="557" t="s">
        <v>585</v>
      </c>
      <c r="AG39" s="557" t="s">
        <v>585</v>
      </c>
      <c r="AH39" s="556" t="e">
        <f t="shared" si="28"/>
        <v>#VALUE!</v>
      </c>
      <c r="AI39" s="637"/>
      <c r="AJ39" s="556" t="s">
        <v>585</v>
      </c>
      <c r="AK39" s="557" t="s">
        <v>585</v>
      </c>
      <c r="AL39" s="557" t="s">
        <v>585</v>
      </c>
      <c r="AM39" s="556" t="e">
        <f t="shared" si="30"/>
        <v>#VALUE!</v>
      </c>
      <c r="AN39" s="637"/>
      <c r="AO39" s="556" t="s">
        <v>585</v>
      </c>
      <c r="AP39" s="557" t="s">
        <v>585</v>
      </c>
      <c r="AQ39" s="557" t="s">
        <v>585</v>
      </c>
      <c r="AR39" s="556" t="e">
        <f t="shared" si="32"/>
        <v>#VALUE!</v>
      </c>
      <c r="AS39" s="637"/>
      <c r="AT39" s="556" t="s">
        <v>585</v>
      </c>
      <c r="AU39" s="557" t="s">
        <v>585</v>
      </c>
      <c r="AV39" s="557" t="s">
        <v>585</v>
      </c>
      <c r="AW39" s="556" t="e">
        <f t="shared" si="34"/>
        <v>#VALUE!</v>
      </c>
      <c r="AX39" s="637"/>
      <c r="AY39" s="637"/>
      <c r="AZ39" s="372" t="e">
        <f t="shared" si="36"/>
        <v>#N/A</v>
      </c>
      <c r="BA39" s="637"/>
    </row>
    <row r="40" spans="2:53">
      <c r="B40" s="647"/>
      <c r="C40" s="380">
        <v>14</v>
      </c>
      <c r="D40" s="534"/>
      <c r="E40" s="534"/>
      <c r="F40" s="534"/>
      <c r="G40" s="535"/>
      <c r="H40" s="655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7"/>
      <c r="M40" s="388" t="e">
        <f>RANK(K40, K$27:$K$41)</f>
        <v>#VALUE!</v>
      </c>
      <c r="N40" s="641"/>
      <c r="O40" s="641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7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7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7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7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7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7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7"/>
      <c r="AY40" s="637"/>
      <c r="AZ40" s="372" t="e">
        <f t="shared" si="36"/>
        <v>#N/A</v>
      </c>
      <c r="BA40" s="637"/>
    </row>
    <row r="41" spans="2:53">
      <c r="B41" s="647"/>
      <c r="C41" s="380">
        <v>15</v>
      </c>
      <c r="D41" s="534"/>
      <c r="E41" s="534"/>
      <c r="F41" s="534"/>
      <c r="G41" s="534"/>
      <c r="H41" s="712"/>
      <c r="I41" s="381" t="str">
        <f t="shared" si="19"/>
        <v>-</v>
      </c>
      <c r="J41" s="381" t="str">
        <f t="shared" si="20"/>
        <v>-</v>
      </c>
      <c r="K41" s="199" t="str">
        <f t="shared" si="21"/>
        <v>-</v>
      </c>
      <c r="L41" s="658"/>
      <c r="M41" s="388" t="e">
        <f>RANK(K41, K$27:$K$41)</f>
        <v>#VALUE!</v>
      </c>
      <c r="N41" s="641"/>
      <c r="O41" s="641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8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8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8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8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8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8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8"/>
      <c r="AY41" s="638"/>
      <c r="AZ41" s="372" t="e">
        <f t="shared" si="36"/>
        <v>#N/A</v>
      </c>
      <c r="BA41" s="638"/>
    </row>
    <row r="42" spans="2:53" ht="15.75">
      <c r="B42" s="680" t="s">
        <v>162</v>
      </c>
      <c r="C42" s="681"/>
      <c r="D42" s="681"/>
      <c r="E42" s="681"/>
      <c r="F42" s="681"/>
      <c r="G42" s="681"/>
      <c r="H42" s="681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68">
        <f>P22+7</f>
        <v>46245</v>
      </c>
      <c r="Q42" s="647"/>
      <c r="R42" s="647"/>
      <c r="S42" s="647"/>
      <c r="T42" s="647"/>
      <c r="U42" s="665">
        <f>P42+1</f>
        <v>46246</v>
      </c>
      <c r="V42" s="666"/>
      <c r="W42" s="666"/>
      <c r="X42" s="666"/>
      <c r="Y42" s="667"/>
      <c r="Z42" s="665">
        <f>U42+1</f>
        <v>46247</v>
      </c>
      <c r="AA42" s="666"/>
      <c r="AB42" s="666"/>
      <c r="AC42" s="666"/>
      <c r="AD42" s="667"/>
      <c r="AE42" s="665">
        <f>Z42+1</f>
        <v>46248</v>
      </c>
      <c r="AF42" s="666"/>
      <c r="AG42" s="666"/>
      <c r="AH42" s="666"/>
      <c r="AI42" s="667"/>
      <c r="AJ42" s="665">
        <f>AE42+1</f>
        <v>46249</v>
      </c>
      <c r="AK42" s="666"/>
      <c r="AL42" s="666"/>
      <c r="AM42" s="666"/>
      <c r="AN42" s="667"/>
      <c r="AO42" s="665">
        <f>AJ42+1</f>
        <v>46250</v>
      </c>
      <c r="AP42" s="666"/>
      <c r="AQ42" s="666"/>
      <c r="AR42" s="666"/>
      <c r="AS42" s="667"/>
      <c r="AT42" s="665">
        <f>AO42+1</f>
        <v>46251</v>
      </c>
      <c r="AU42" s="666"/>
      <c r="AV42" s="666"/>
      <c r="AW42" s="666"/>
      <c r="AX42" s="667"/>
    </row>
    <row r="43" spans="2:53" ht="15.75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45"/>
      <c r="O43" s="645"/>
      <c r="P43" s="668" t="s">
        <v>317</v>
      </c>
      <c r="Q43" s="647"/>
      <c r="R43" s="647"/>
      <c r="S43" s="647"/>
      <c r="T43" s="647"/>
      <c r="U43" s="668" t="s">
        <v>318</v>
      </c>
      <c r="V43" s="647"/>
      <c r="W43" s="647"/>
      <c r="X43" s="647"/>
      <c r="Y43" s="647"/>
      <c r="Z43" s="668" t="s">
        <v>319</v>
      </c>
      <c r="AA43" s="647"/>
      <c r="AB43" s="647"/>
      <c r="AC43" s="647"/>
      <c r="AD43" s="647"/>
      <c r="AE43" s="668" t="s">
        <v>320</v>
      </c>
      <c r="AF43" s="647"/>
      <c r="AG43" s="647"/>
      <c r="AH43" s="647"/>
      <c r="AI43" s="647"/>
      <c r="AJ43" s="668" t="s">
        <v>321</v>
      </c>
      <c r="AK43" s="647"/>
      <c r="AL43" s="647"/>
      <c r="AM43" s="647"/>
      <c r="AN43" s="647"/>
      <c r="AO43" s="668" t="s">
        <v>322</v>
      </c>
      <c r="AP43" s="647"/>
      <c r="AQ43" s="647"/>
      <c r="AR43" s="647"/>
      <c r="AS43" s="647"/>
      <c r="AT43" s="668" t="s">
        <v>323</v>
      </c>
      <c r="AU43" s="647"/>
      <c r="AV43" s="647"/>
      <c r="AW43" s="647"/>
      <c r="AX43" s="647"/>
    </row>
    <row r="44" spans="2:53">
      <c r="B44" s="641" t="s">
        <v>470</v>
      </c>
      <c r="C44" s="641" t="s">
        <v>379</v>
      </c>
      <c r="D44" s="641"/>
      <c r="E44" s="641" t="s">
        <v>370</v>
      </c>
      <c r="F44" s="641"/>
      <c r="G44" s="641"/>
      <c r="H44" s="673" t="s">
        <v>366</v>
      </c>
      <c r="I44" s="641" t="s">
        <v>371</v>
      </c>
      <c r="J44" s="641"/>
      <c r="K44" s="641"/>
      <c r="L44" s="673" t="s">
        <v>366</v>
      </c>
      <c r="M44" s="643" t="s">
        <v>367</v>
      </c>
      <c r="N44" s="641"/>
      <c r="O44" s="641" t="s">
        <v>372</v>
      </c>
      <c r="P44" s="659" t="s">
        <v>368</v>
      </c>
      <c r="Q44" s="660"/>
      <c r="R44" s="660"/>
      <c r="S44" s="661"/>
      <c r="T44" s="641" t="s">
        <v>366</v>
      </c>
      <c r="U44" s="659" t="s">
        <v>368</v>
      </c>
      <c r="V44" s="660"/>
      <c r="W44" s="660"/>
      <c r="X44" s="661"/>
      <c r="Y44" s="641" t="s">
        <v>366</v>
      </c>
      <c r="Z44" s="659" t="s">
        <v>368</v>
      </c>
      <c r="AA44" s="660"/>
      <c r="AB44" s="660"/>
      <c r="AC44" s="661"/>
      <c r="AD44" s="641" t="s">
        <v>366</v>
      </c>
      <c r="AE44" s="659" t="s">
        <v>368</v>
      </c>
      <c r="AF44" s="660"/>
      <c r="AG44" s="660"/>
      <c r="AH44" s="661"/>
      <c r="AI44" s="641" t="s">
        <v>366</v>
      </c>
      <c r="AJ44" s="659" t="s">
        <v>368</v>
      </c>
      <c r="AK44" s="660"/>
      <c r="AL44" s="660"/>
      <c r="AM44" s="661"/>
      <c r="AN44" s="641" t="s">
        <v>366</v>
      </c>
      <c r="AO44" s="659" t="s">
        <v>368</v>
      </c>
      <c r="AP44" s="660"/>
      <c r="AQ44" s="660"/>
      <c r="AR44" s="661"/>
      <c r="AS44" s="641" t="s">
        <v>366</v>
      </c>
      <c r="AT44" s="659" t="s">
        <v>368</v>
      </c>
      <c r="AU44" s="660"/>
      <c r="AV44" s="660"/>
      <c r="AW44" s="661"/>
      <c r="AX44" s="641" t="s">
        <v>366</v>
      </c>
      <c r="BA44" s="641" t="s">
        <v>366</v>
      </c>
    </row>
    <row r="45" spans="2:53">
      <c r="B45" s="641"/>
      <c r="C45" s="641"/>
      <c r="D45" s="641"/>
      <c r="E45" s="641" t="s">
        <v>373</v>
      </c>
      <c r="F45" s="641"/>
      <c r="G45" s="641"/>
      <c r="H45" s="674"/>
      <c r="I45" s="641" t="s">
        <v>373</v>
      </c>
      <c r="J45" s="641"/>
      <c r="K45" s="641"/>
      <c r="L45" s="674"/>
      <c r="M45" s="644"/>
      <c r="N45" s="641"/>
      <c r="O45" s="641"/>
      <c r="P45" s="659" t="s">
        <v>374</v>
      </c>
      <c r="Q45" s="660"/>
      <c r="R45" s="660"/>
      <c r="S45" s="661"/>
      <c r="T45" s="641"/>
      <c r="U45" s="659" t="s">
        <v>374</v>
      </c>
      <c r="V45" s="660"/>
      <c r="W45" s="660"/>
      <c r="X45" s="661"/>
      <c r="Y45" s="641"/>
      <c r="Z45" s="659" t="s">
        <v>374</v>
      </c>
      <c r="AA45" s="660"/>
      <c r="AB45" s="660"/>
      <c r="AC45" s="661"/>
      <c r="AD45" s="641"/>
      <c r="AE45" s="659" t="s">
        <v>374</v>
      </c>
      <c r="AF45" s="660"/>
      <c r="AG45" s="660"/>
      <c r="AH45" s="661"/>
      <c r="AI45" s="641"/>
      <c r="AJ45" s="659" t="s">
        <v>374</v>
      </c>
      <c r="AK45" s="660"/>
      <c r="AL45" s="660"/>
      <c r="AM45" s="661"/>
      <c r="AN45" s="641"/>
      <c r="AO45" s="659" t="s">
        <v>374</v>
      </c>
      <c r="AP45" s="660"/>
      <c r="AQ45" s="660"/>
      <c r="AR45" s="661"/>
      <c r="AS45" s="641"/>
      <c r="AT45" s="659" t="s">
        <v>374</v>
      </c>
      <c r="AU45" s="660"/>
      <c r="AV45" s="660"/>
      <c r="AW45" s="661"/>
      <c r="AX45" s="641"/>
      <c r="BA45" s="641"/>
    </row>
    <row r="46" spans="2:53">
      <c r="B46" s="641"/>
      <c r="C46" s="641"/>
      <c r="D46" s="641"/>
      <c r="E46" s="378" t="s">
        <v>375</v>
      </c>
      <c r="F46" s="378" t="s">
        <v>376</v>
      </c>
      <c r="G46" s="378" t="s">
        <v>377</v>
      </c>
      <c r="H46" s="675"/>
      <c r="I46" s="378" t="s">
        <v>375</v>
      </c>
      <c r="J46" s="378" t="s">
        <v>376</v>
      </c>
      <c r="K46" s="378" t="s">
        <v>377</v>
      </c>
      <c r="L46" s="675"/>
      <c r="M46" s="645"/>
      <c r="N46" s="641"/>
      <c r="O46" s="641"/>
      <c r="P46" s="378" t="s">
        <v>375</v>
      </c>
      <c r="Q46" s="378" t="s">
        <v>376</v>
      </c>
      <c r="R46" s="378" t="s">
        <v>377</v>
      </c>
      <c r="S46" s="378" t="s">
        <v>367</v>
      </c>
      <c r="T46" s="641"/>
      <c r="U46" s="378" t="s">
        <v>375</v>
      </c>
      <c r="V46" s="378" t="s">
        <v>376</v>
      </c>
      <c r="W46" s="378" t="s">
        <v>377</v>
      </c>
      <c r="X46" s="378" t="s">
        <v>367</v>
      </c>
      <c r="Y46" s="641"/>
      <c r="Z46" s="378" t="s">
        <v>375</v>
      </c>
      <c r="AA46" s="378" t="s">
        <v>376</v>
      </c>
      <c r="AB46" s="378" t="s">
        <v>377</v>
      </c>
      <c r="AC46" s="378" t="s">
        <v>367</v>
      </c>
      <c r="AD46" s="641"/>
      <c r="AE46" s="378" t="s">
        <v>375</v>
      </c>
      <c r="AF46" s="378" t="s">
        <v>376</v>
      </c>
      <c r="AG46" s="378" t="s">
        <v>377</v>
      </c>
      <c r="AH46" s="378" t="s">
        <v>367</v>
      </c>
      <c r="AI46" s="641"/>
      <c r="AJ46" s="378" t="s">
        <v>375</v>
      </c>
      <c r="AK46" s="378" t="s">
        <v>376</v>
      </c>
      <c r="AL46" s="378" t="s">
        <v>377</v>
      </c>
      <c r="AM46" s="378" t="s">
        <v>367</v>
      </c>
      <c r="AN46" s="641"/>
      <c r="AO46" s="378" t="s">
        <v>375</v>
      </c>
      <c r="AP46" s="378" t="s">
        <v>376</v>
      </c>
      <c r="AQ46" s="378" t="s">
        <v>377</v>
      </c>
      <c r="AR46" s="378" t="s">
        <v>367</v>
      </c>
      <c r="AS46" s="641"/>
      <c r="AT46" s="378" t="s">
        <v>375</v>
      </c>
      <c r="AU46" s="378" t="s">
        <v>376</v>
      </c>
      <c r="AV46" s="378" t="s">
        <v>377</v>
      </c>
      <c r="AW46" s="378" t="s">
        <v>367</v>
      </c>
      <c r="AX46" s="641"/>
      <c r="AZ46" s="373" t="s">
        <v>367</v>
      </c>
      <c r="BA46" s="641"/>
    </row>
    <row r="47" spans="2:53">
      <c r="B47" s="699" t="s">
        <v>471</v>
      </c>
      <c r="C47" s="380">
        <v>1</v>
      </c>
      <c r="D47" s="533" t="s">
        <v>571</v>
      </c>
      <c r="E47" s="534">
        <v>10</v>
      </c>
      <c r="F47" s="534">
        <v>1500</v>
      </c>
      <c r="G47" s="535">
        <v>150</v>
      </c>
      <c r="H47" s="654">
        <f>AVERAGE(G47:G61)</f>
        <v>127.5</v>
      </c>
      <c r="I47" s="381">
        <f t="shared" ref="I47:I61" si="38">IFERROR(AVERAGE(P47,U47,Z47,AE47,AJ47,AO47,AT47),"-")</f>
        <v>10</v>
      </c>
      <c r="J47" s="381">
        <f t="shared" ref="J47:J61" si="39">IFERROR(AVERAGE(Q47,V47,AA47,AF47,AK47,AP47,AU47),"-")</f>
        <v>1445.9428571428564</v>
      </c>
      <c r="K47" s="199">
        <f t="shared" ref="K47:K61" si="40">IFERROR(AVERAGE(R47,W47,AB47,AG47,AL47,AQ47,AV47),"-")</f>
        <v>144.59428571428563</v>
      </c>
      <c r="L47" s="656">
        <f>IFERROR(AVERAGE(K47:K61),"-")</f>
        <v>139.53764773687845</v>
      </c>
      <c r="M47" s="420">
        <f>RANK(K47, K$47:$K$61)</f>
        <v>1</v>
      </c>
      <c r="N47" s="641"/>
      <c r="O47" s="641"/>
      <c r="P47" s="562">
        <v>10</v>
      </c>
      <c r="Q47" s="566">
        <v>1388.0000000000014</v>
      </c>
      <c r="R47" s="566">
        <v>138.80000000000013</v>
      </c>
      <c r="S47" s="564">
        <f t="shared" ref="S47:S61" si="41">RANK(R47, R$47:R$61)</f>
        <v>3</v>
      </c>
      <c r="T47" s="636">
        <f t="shared" ref="T47" si="42">AVERAGE(R47:R61)</f>
        <v>139.68351648351648</v>
      </c>
      <c r="U47" s="562">
        <v>10</v>
      </c>
      <c r="V47" s="566">
        <v>1622.3999999999955</v>
      </c>
      <c r="W47" s="566">
        <v>162.23999999999955</v>
      </c>
      <c r="X47" s="564">
        <f t="shared" ref="X47:X61" si="43">RANK(W47, W$47:W$61)</f>
        <v>1</v>
      </c>
      <c r="Y47" s="636">
        <f t="shared" ref="Y47" si="44">AVERAGE(W47:W61)</f>
        <v>144.63692307692293</v>
      </c>
      <c r="Z47" s="562">
        <v>10</v>
      </c>
      <c r="AA47" s="566">
        <v>1362.0000000000011</v>
      </c>
      <c r="AB47" s="566">
        <v>136.2000000000001</v>
      </c>
      <c r="AC47" s="564">
        <f t="shared" ref="AC47:AC61" si="45">RANK(AB47, AB$47:AB$61)</f>
        <v>4</v>
      </c>
      <c r="AD47" s="636">
        <f t="shared" ref="AD47" si="46">AVERAGE(AB47:AB61)</f>
        <v>138.89065934065928</v>
      </c>
      <c r="AE47" s="562">
        <v>10</v>
      </c>
      <c r="AF47" s="566">
        <v>1360.7999999999961</v>
      </c>
      <c r="AG47" s="566">
        <v>136.07999999999961</v>
      </c>
      <c r="AH47" s="564">
        <f t="shared" ref="AH47:AH61" si="47">RANK(AG47, AG$47:AG$61)</f>
        <v>1</v>
      </c>
      <c r="AI47" s="636">
        <f t="shared" ref="AI47" si="48">AVERAGE(AG47:AG61)</f>
        <v>131.98933835395357</v>
      </c>
      <c r="AJ47" s="562">
        <v>10</v>
      </c>
      <c r="AK47" s="566">
        <v>1363.2000000000048</v>
      </c>
      <c r="AL47" s="566">
        <v>136.32000000000048</v>
      </c>
      <c r="AM47" s="564">
        <f t="shared" ref="AM47:AM61" si="49">RANK(AL47, AL$47:AL$61)</f>
        <v>3</v>
      </c>
      <c r="AN47" s="636">
        <f t="shared" ref="AN47" si="50">AVERAGE(AL47:AL61)</f>
        <v>137.39188811188836</v>
      </c>
      <c r="AO47" s="562">
        <v>10</v>
      </c>
      <c r="AP47" s="566">
        <v>1410.0000000000014</v>
      </c>
      <c r="AQ47" s="566">
        <v>141.00000000000014</v>
      </c>
      <c r="AR47" s="564">
        <f t="shared" ref="AR47:AR61" si="51">RANK(AQ47, AQ$47:AQ$61)</f>
        <v>3</v>
      </c>
      <c r="AS47" s="636">
        <f t="shared" ref="AS47" si="52">AVERAGE(AQ47:AQ61)</f>
        <v>140.07692307692307</v>
      </c>
      <c r="AT47" s="562">
        <v>10</v>
      </c>
      <c r="AU47" s="566">
        <v>1615.1999999999955</v>
      </c>
      <c r="AV47" s="566">
        <v>161.51999999999956</v>
      </c>
      <c r="AW47" s="564">
        <f t="shared" ref="AW47:AW61" si="53">RANK(AV47, AV$47:AV$61)</f>
        <v>1</v>
      </c>
      <c r="AX47" s="636">
        <f t="shared" ref="AX47" si="54">AVERAGE(AV47:AV61)</f>
        <v>144.09428571428552</v>
      </c>
      <c r="AZ47" s="375" t="e">
        <f t="shared" ref="AZ47:AZ61" si="55">RANK(AY47, AY$47:AY$61)</f>
        <v>#N/A</v>
      </c>
      <c r="BA47" s="636" t="e">
        <f t="shared" ref="BA47" si="56">AVERAGE(AY47:AY61)</f>
        <v>#DIV/0!</v>
      </c>
    </row>
    <row r="48" spans="2:53">
      <c r="B48" s="647"/>
      <c r="C48" s="380">
        <v>2</v>
      </c>
      <c r="D48" s="534" t="s">
        <v>591</v>
      </c>
      <c r="E48" s="534">
        <v>15</v>
      </c>
      <c r="F48" s="534">
        <v>1800</v>
      </c>
      <c r="G48" s="535">
        <v>120</v>
      </c>
      <c r="H48" s="655"/>
      <c r="I48" s="381">
        <f t="shared" si="38"/>
        <v>13</v>
      </c>
      <c r="J48" s="381">
        <f t="shared" si="39"/>
        <v>1801.0635079206497</v>
      </c>
      <c r="K48" s="199">
        <f t="shared" si="40"/>
        <v>138.54334676312689</v>
      </c>
      <c r="L48" s="657"/>
      <c r="M48" s="420">
        <f>RANK(K48, K$47:$K$61)</f>
        <v>3</v>
      </c>
      <c r="N48" s="641"/>
      <c r="O48" s="641"/>
      <c r="P48" s="562">
        <v>13</v>
      </c>
      <c r="Q48" s="566">
        <v>1787.1428571428576</v>
      </c>
      <c r="R48" s="566">
        <v>137.4725274725275</v>
      </c>
      <c r="S48" s="564">
        <f t="shared" si="41"/>
        <v>4</v>
      </c>
      <c r="T48" s="637"/>
      <c r="U48" s="562">
        <v>13</v>
      </c>
      <c r="V48" s="566">
        <v>1799.9999999999982</v>
      </c>
      <c r="W48" s="566">
        <v>138.46153846153831</v>
      </c>
      <c r="X48" s="564">
        <f t="shared" si="43"/>
        <v>3</v>
      </c>
      <c r="Y48" s="637"/>
      <c r="Z48" s="562">
        <v>13</v>
      </c>
      <c r="AA48" s="566">
        <v>1780.2857142857126</v>
      </c>
      <c r="AB48" s="566">
        <v>136.94505494505481</v>
      </c>
      <c r="AC48" s="564">
        <f t="shared" si="45"/>
        <v>3</v>
      </c>
      <c r="AD48" s="637"/>
      <c r="AE48" s="562">
        <v>13</v>
      </c>
      <c r="AF48" s="566">
        <v>1694.7692307692287</v>
      </c>
      <c r="AG48" s="566">
        <v>130.36686390532529</v>
      </c>
      <c r="AH48" s="564">
        <f t="shared" si="47"/>
        <v>3</v>
      </c>
      <c r="AI48" s="637"/>
      <c r="AJ48" s="562">
        <v>13</v>
      </c>
      <c r="AK48" s="566">
        <v>1881.8181818181831</v>
      </c>
      <c r="AL48" s="566">
        <v>144.75524475524486</v>
      </c>
      <c r="AM48" s="564">
        <f t="shared" si="49"/>
        <v>1</v>
      </c>
      <c r="AN48" s="637"/>
      <c r="AO48" s="562">
        <v>13</v>
      </c>
      <c r="AP48" s="566">
        <v>1853.9999999999982</v>
      </c>
      <c r="AQ48" s="566">
        <v>142.61538461538447</v>
      </c>
      <c r="AR48" s="564">
        <f t="shared" si="51"/>
        <v>2</v>
      </c>
      <c r="AS48" s="637"/>
      <c r="AT48" s="562">
        <v>13</v>
      </c>
      <c r="AU48" s="566">
        <v>1809.4285714285695</v>
      </c>
      <c r="AV48" s="566">
        <v>139.18681318681303</v>
      </c>
      <c r="AW48" s="564">
        <f t="shared" si="53"/>
        <v>3</v>
      </c>
      <c r="AX48" s="637"/>
      <c r="AZ48" s="564" t="e">
        <f t="shared" si="55"/>
        <v>#N/A</v>
      </c>
      <c r="BA48" s="637"/>
    </row>
    <row r="49" spans="2:53">
      <c r="B49" s="647"/>
      <c r="C49" s="380">
        <v>3</v>
      </c>
      <c r="D49" s="534" t="s">
        <v>592</v>
      </c>
      <c r="E49" s="534">
        <v>15</v>
      </c>
      <c r="F49" s="534">
        <v>1800</v>
      </c>
      <c r="G49" s="535">
        <v>120</v>
      </c>
      <c r="H49" s="655"/>
      <c r="I49" s="381">
        <f t="shared" si="38"/>
        <v>13</v>
      </c>
      <c r="J49" s="381">
        <f t="shared" si="39"/>
        <v>1833.0051948051951</v>
      </c>
      <c r="K49" s="199">
        <f t="shared" si="40"/>
        <v>141.00039960039959</v>
      </c>
      <c r="L49" s="657"/>
      <c r="M49" s="420">
        <f>RANK(K49, K$47:$K$61)</f>
        <v>2</v>
      </c>
      <c r="N49" s="641"/>
      <c r="O49" s="641"/>
      <c r="P49" s="562">
        <v>13</v>
      </c>
      <c r="Q49" s="566">
        <v>1817.9999999999991</v>
      </c>
      <c r="R49" s="566">
        <v>139.84615384615378</v>
      </c>
      <c r="S49" s="564">
        <f t="shared" si="41"/>
        <v>2</v>
      </c>
      <c r="T49" s="637"/>
      <c r="U49" s="562">
        <v>13</v>
      </c>
      <c r="V49" s="566">
        <v>1868.9999999999991</v>
      </c>
      <c r="W49" s="566">
        <v>143.76923076923069</v>
      </c>
      <c r="X49" s="564">
        <f t="shared" si="43"/>
        <v>2</v>
      </c>
      <c r="Y49" s="637"/>
      <c r="Z49" s="562">
        <v>13</v>
      </c>
      <c r="AA49" s="566">
        <v>1831.9999999999991</v>
      </c>
      <c r="AB49" s="566">
        <v>140.92307692307685</v>
      </c>
      <c r="AC49" s="564">
        <f t="shared" si="45"/>
        <v>2</v>
      </c>
      <c r="AD49" s="637"/>
      <c r="AE49" s="562">
        <v>13</v>
      </c>
      <c r="AF49" s="566">
        <v>1711.6363636363646</v>
      </c>
      <c r="AG49" s="566">
        <v>131.66433566433574</v>
      </c>
      <c r="AH49" s="564">
        <f t="shared" si="47"/>
        <v>2</v>
      </c>
      <c r="AI49" s="637"/>
      <c r="AJ49" s="562">
        <v>13</v>
      </c>
      <c r="AK49" s="566">
        <v>1832.4000000000035</v>
      </c>
      <c r="AL49" s="566">
        <v>140.95384615384643</v>
      </c>
      <c r="AM49" s="564">
        <f t="shared" si="49"/>
        <v>2</v>
      </c>
      <c r="AN49" s="637"/>
      <c r="AO49" s="562">
        <v>13</v>
      </c>
      <c r="AP49" s="566">
        <v>1901.9999999999991</v>
      </c>
      <c r="AQ49" s="566">
        <v>146.30769230769224</v>
      </c>
      <c r="AR49" s="564">
        <f t="shared" si="51"/>
        <v>1</v>
      </c>
      <c r="AS49" s="637"/>
      <c r="AT49" s="562">
        <v>13</v>
      </c>
      <c r="AU49" s="566">
        <v>1865.9999999999991</v>
      </c>
      <c r="AV49" s="566">
        <v>143.53846153846146</v>
      </c>
      <c r="AW49" s="564">
        <f t="shared" si="53"/>
        <v>2</v>
      </c>
      <c r="AX49" s="637"/>
      <c r="AZ49" s="564" t="e">
        <f t="shared" si="55"/>
        <v>#N/A</v>
      </c>
      <c r="BA49" s="637"/>
    </row>
    <row r="50" spans="2:53">
      <c r="B50" s="647"/>
      <c r="C50" s="380">
        <v>4</v>
      </c>
      <c r="D50" s="534" t="s">
        <v>718</v>
      </c>
      <c r="E50" s="534">
        <v>18</v>
      </c>
      <c r="F50" s="534">
        <v>1800</v>
      </c>
      <c r="G50" s="535">
        <v>120</v>
      </c>
      <c r="H50" s="655"/>
      <c r="I50" s="381">
        <f t="shared" si="38"/>
        <v>13</v>
      </c>
      <c r="J50" s="381">
        <f t="shared" si="39"/>
        <v>1742.1632653061217</v>
      </c>
      <c r="K50" s="199">
        <f t="shared" si="40"/>
        <v>134.01255886970165</v>
      </c>
      <c r="L50" s="657"/>
      <c r="M50" s="420">
        <f>RANK(K50, K$47:$K$61)</f>
        <v>4</v>
      </c>
      <c r="N50" s="641"/>
      <c r="O50" s="641"/>
      <c r="P50" s="562">
        <v>13</v>
      </c>
      <c r="Q50" s="566">
        <v>1853.9999999999993</v>
      </c>
      <c r="R50" s="566">
        <v>142.61538461538456</v>
      </c>
      <c r="S50" s="564">
        <f t="shared" si="41"/>
        <v>1</v>
      </c>
      <c r="T50" s="637"/>
      <c r="U50" s="562">
        <v>13</v>
      </c>
      <c r="V50" s="566">
        <v>1742.9999999999993</v>
      </c>
      <c r="W50" s="566">
        <v>134.07692307692304</v>
      </c>
      <c r="X50" s="564">
        <f t="shared" si="43"/>
        <v>4</v>
      </c>
      <c r="Y50" s="637"/>
      <c r="Z50" s="562">
        <v>13</v>
      </c>
      <c r="AA50" s="566">
        <v>1839.4285714285695</v>
      </c>
      <c r="AB50" s="566">
        <v>141.49450549450535</v>
      </c>
      <c r="AC50" s="564">
        <f t="shared" si="45"/>
        <v>1</v>
      </c>
      <c r="AD50" s="637"/>
      <c r="AE50" s="562">
        <v>13</v>
      </c>
      <c r="AF50" s="566">
        <v>1687.999999999997</v>
      </c>
      <c r="AG50" s="566">
        <v>129.84615384615361</v>
      </c>
      <c r="AH50" s="564">
        <f t="shared" si="47"/>
        <v>4</v>
      </c>
      <c r="AI50" s="637"/>
      <c r="AJ50" s="562">
        <v>13</v>
      </c>
      <c r="AK50" s="566">
        <v>1658.0000000000016</v>
      </c>
      <c r="AL50" s="566">
        <v>127.53846153846166</v>
      </c>
      <c r="AM50" s="564">
        <f t="shared" si="49"/>
        <v>4</v>
      </c>
      <c r="AN50" s="637"/>
      <c r="AO50" s="562">
        <v>13</v>
      </c>
      <c r="AP50" s="566">
        <v>1694.9999999999993</v>
      </c>
      <c r="AQ50" s="566">
        <v>130.38461538461533</v>
      </c>
      <c r="AR50" s="564">
        <f t="shared" si="51"/>
        <v>4</v>
      </c>
      <c r="AS50" s="637"/>
      <c r="AT50" s="562">
        <v>13</v>
      </c>
      <c r="AU50" s="566">
        <v>1717.714285714284</v>
      </c>
      <c r="AV50" s="566">
        <v>132.131868131868</v>
      </c>
      <c r="AW50" s="564">
        <f t="shared" si="53"/>
        <v>4</v>
      </c>
      <c r="AX50" s="637"/>
      <c r="AZ50" s="564" t="e">
        <f t="shared" si="55"/>
        <v>#N/A</v>
      </c>
      <c r="BA50" s="637"/>
    </row>
    <row r="51" spans="2:53">
      <c r="B51" s="647"/>
      <c r="C51" s="380">
        <v>5</v>
      </c>
      <c r="D51" s="534"/>
      <c r="E51" s="534"/>
      <c r="F51" s="534"/>
      <c r="G51" s="535"/>
      <c r="H51" s="655"/>
      <c r="I51" s="381" t="str">
        <f t="shared" si="38"/>
        <v>-</v>
      </c>
      <c r="J51" s="381" t="str">
        <f t="shared" si="39"/>
        <v>-</v>
      </c>
      <c r="K51" s="199" t="str">
        <f t="shared" si="40"/>
        <v>-</v>
      </c>
      <c r="L51" s="657"/>
      <c r="M51" s="420" t="e">
        <f>RANK(K51, K$47:$K$61)</f>
        <v>#VALUE!</v>
      </c>
      <c r="N51" s="641"/>
      <c r="O51" s="641"/>
      <c r="P51" s="562" t="s">
        <v>585</v>
      </c>
      <c r="Q51" s="566" t="s">
        <v>585</v>
      </c>
      <c r="R51" s="566" t="s">
        <v>585</v>
      </c>
      <c r="S51" s="564" t="e">
        <f t="shared" si="41"/>
        <v>#VALUE!</v>
      </c>
      <c r="T51" s="637"/>
      <c r="U51" s="562" t="s">
        <v>585</v>
      </c>
      <c r="V51" s="566" t="s">
        <v>585</v>
      </c>
      <c r="W51" s="566" t="s">
        <v>585</v>
      </c>
      <c r="X51" s="564" t="e">
        <f t="shared" si="43"/>
        <v>#VALUE!</v>
      </c>
      <c r="Y51" s="637"/>
      <c r="Z51" s="562" t="s">
        <v>585</v>
      </c>
      <c r="AA51" s="566" t="s">
        <v>585</v>
      </c>
      <c r="AB51" s="566" t="s">
        <v>585</v>
      </c>
      <c r="AC51" s="564" t="e">
        <f t="shared" si="45"/>
        <v>#VALUE!</v>
      </c>
      <c r="AD51" s="637"/>
      <c r="AE51" s="562" t="s">
        <v>585</v>
      </c>
      <c r="AF51" s="566" t="s">
        <v>585</v>
      </c>
      <c r="AG51" s="566" t="s">
        <v>585</v>
      </c>
      <c r="AH51" s="564" t="e">
        <f t="shared" si="47"/>
        <v>#VALUE!</v>
      </c>
      <c r="AI51" s="637"/>
      <c r="AJ51" s="562" t="s">
        <v>585</v>
      </c>
      <c r="AK51" s="566" t="s">
        <v>585</v>
      </c>
      <c r="AL51" s="566" t="s">
        <v>585</v>
      </c>
      <c r="AM51" s="564" t="e">
        <f t="shared" si="49"/>
        <v>#VALUE!</v>
      </c>
      <c r="AN51" s="637"/>
      <c r="AO51" s="562" t="s">
        <v>585</v>
      </c>
      <c r="AP51" s="566" t="s">
        <v>585</v>
      </c>
      <c r="AQ51" s="566" t="s">
        <v>585</v>
      </c>
      <c r="AR51" s="564" t="e">
        <f t="shared" si="51"/>
        <v>#VALUE!</v>
      </c>
      <c r="AS51" s="637"/>
      <c r="AT51" s="562" t="s">
        <v>585</v>
      </c>
      <c r="AU51" s="566" t="s">
        <v>585</v>
      </c>
      <c r="AV51" s="566" t="s">
        <v>585</v>
      </c>
      <c r="AW51" s="564" t="e">
        <f t="shared" si="53"/>
        <v>#VALUE!</v>
      </c>
      <c r="AX51" s="637"/>
      <c r="AZ51" s="564" t="e">
        <f t="shared" si="55"/>
        <v>#N/A</v>
      </c>
      <c r="BA51" s="637"/>
    </row>
    <row r="52" spans="2:53">
      <c r="B52" s="647"/>
      <c r="C52" s="380">
        <v>6</v>
      </c>
      <c r="D52" s="534"/>
      <c r="E52" s="534"/>
      <c r="F52" s="534"/>
      <c r="G52" s="535"/>
      <c r="H52" s="655"/>
      <c r="I52" s="381" t="str">
        <f t="shared" si="38"/>
        <v>-</v>
      </c>
      <c r="J52" s="381" t="str">
        <f t="shared" si="39"/>
        <v>-</v>
      </c>
      <c r="K52" s="199" t="str">
        <f t="shared" si="40"/>
        <v>-</v>
      </c>
      <c r="L52" s="657"/>
      <c r="M52" s="420" t="e">
        <f>RANK(K52, K$47:$K$61)</f>
        <v>#VALUE!</v>
      </c>
      <c r="N52" s="641"/>
      <c r="O52" s="641"/>
      <c r="P52" s="562" t="s">
        <v>585</v>
      </c>
      <c r="Q52" s="566" t="s">
        <v>585</v>
      </c>
      <c r="R52" s="566" t="s">
        <v>585</v>
      </c>
      <c r="S52" s="564" t="e">
        <f t="shared" si="41"/>
        <v>#VALUE!</v>
      </c>
      <c r="T52" s="637"/>
      <c r="U52" s="562" t="s">
        <v>585</v>
      </c>
      <c r="V52" s="566" t="s">
        <v>585</v>
      </c>
      <c r="W52" s="566" t="s">
        <v>585</v>
      </c>
      <c r="X52" s="564" t="e">
        <f t="shared" si="43"/>
        <v>#VALUE!</v>
      </c>
      <c r="Y52" s="637"/>
      <c r="Z52" s="562" t="s">
        <v>585</v>
      </c>
      <c r="AA52" s="566" t="s">
        <v>585</v>
      </c>
      <c r="AB52" s="566" t="s">
        <v>585</v>
      </c>
      <c r="AC52" s="564" t="e">
        <f t="shared" si="45"/>
        <v>#VALUE!</v>
      </c>
      <c r="AD52" s="637"/>
      <c r="AE52" s="562" t="s">
        <v>585</v>
      </c>
      <c r="AF52" s="566" t="s">
        <v>585</v>
      </c>
      <c r="AG52" s="566" t="s">
        <v>585</v>
      </c>
      <c r="AH52" s="564" t="e">
        <f t="shared" si="47"/>
        <v>#VALUE!</v>
      </c>
      <c r="AI52" s="637"/>
      <c r="AJ52" s="562" t="s">
        <v>585</v>
      </c>
      <c r="AK52" s="566" t="s">
        <v>585</v>
      </c>
      <c r="AL52" s="566" t="s">
        <v>585</v>
      </c>
      <c r="AM52" s="564" t="e">
        <f t="shared" si="49"/>
        <v>#VALUE!</v>
      </c>
      <c r="AN52" s="637"/>
      <c r="AO52" s="562" t="s">
        <v>585</v>
      </c>
      <c r="AP52" s="566" t="s">
        <v>585</v>
      </c>
      <c r="AQ52" s="566" t="s">
        <v>585</v>
      </c>
      <c r="AR52" s="564" t="e">
        <f t="shared" si="51"/>
        <v>#VALUE!</v>
      </c>
      <c r="AS52" s="637"/>
      <c r="AT52" s="562" t="s">
        <v>585</v>
      </c>
      <c r="AU52" s="566" t="s">
        <v>585</v>
      </c>
      <c r="AV52" s="566" t="s">
        <v>585</v>
      </c>
      <c r="AW52" s="564" t="e">
        <f t="shared" si="53"/>
        <v>#VALUE!</v>
      </c>
      <c r="AX52" s="637"/>
      <c r="AZ52" s="564" t="e">
        <f t="shared" si="55"/>
        <v>#N/A</v>
      </c>
      <c r="BA52" s="637"/>
    </row>
    <row r="53" spans="2:53">
      <c r="B53" s="647"/>
      <c r="C53" s="380">
        <v>7</v>
      </c>
      <c r="D53" s="534"/>
      <c r="E53" s="534"/>
      <c r="F53" s="534"/>
      <c r="G53" s="535"/>
      <c r="H53" s="655"/>
      <c r="I53" s="381" t="str">
        <f t="shared" si="38"/>
        <v>-</v>
      </c>
      <c r="J53" s="381" t="str">
        <f t="shared" si="39"/>
        <v>-</v>
      </c>
      <c r="K53" s="199" t="str">
        <f t="shared" si="40"/>
        <v>-</v>
      </c>
      <c r="L53" s="657"/>
      <c r="M53" s="420" t="e">
        <f>RANK(K53, K$47:$K$61)</f>
        <v>#VALUE!</v>
      </c>
      <c r="N53" s="641"/>
      <c r="O53" s="641"/>
      <c r="P53" s="562" t="s">
        <v>585</v>
      </c>
      <c r="Q53" s="566" t="s">
        <v>585</v>
      </c>
      <c r="R53" s="566" t="s">
        <v>585</v>
      </c>
      <c r="S53" s="564" t="e">
        <f t="shared" si="41"/>
        <v>#VALUE!</v>
      </c>
      <c r="T53" s="637"/>
      <c r="U53" s="562" t="s">
        <v>585</v>
      </c>
      <c r="V53" s="566" t="s">
        <v>585</v>
      </c>
      <c r="W53" s="566" t="s">
        <v>585</v>
      </c>
      <c r="X53" s="564" t="e">
        <f t="shared" si="43"/>
        <v>#VALUE!</v>
      </c>
      <c r="Y53" s="637"/>
      <c r="Z53" s="562" t="s">
        <v>585</v>
      </c>
      <c r="AA53" s="566" t="s">
        <v>585</v>
      </c>
      <c r="AB53" s="566" t="s">
        <v>585</v>
      </c>
      <c r="AC53" s="564" t="e">
        <f t="shared" si="45"/>
        <v>#VALUE!</v>
      </c>
      <c r="AD53" s="637"/>
      <c r="AE53" s="562" t="s">
        <v>585</v>
      </c>
      <c r="AF53" s="566" t="s">
        <v>585</v>
      </c>
      <c r="AG53" s="566" t="s">
        <v>585</v>
      </c>
      <c r="AH53" s="564" t="e">
        <f t="shared" si="47"/>
        <v>#VALUE!</v>
      </c>
      <c r="AI53" s="637"/>
      <c r="AJ53" s="562" t="s">
        <v>585</v>
      </c>
      <c r="AK53" s="566" t="s">
        <v>585</v>
      </c>
      <c r="AL53" s="566" t="s">
        <v>585</v>
      </c>
      <c r="AM53" s="564" t="e">
        <f t="shared" si="49"/>
        <v>#VALUE!</v>
      </c>
      <c r="AN53" s="637"/>
      <c r="AO53" s="562" t="s">
        <v>585</v>
      </c>
      <c r="AP53" s="566" t="s">
        <v>585</v>
      </c>
      <c r="AQ53" s="566" t="s">
        <v>585</v>
      </c>
      <c r="AR53" s="564" t="e">
        <f t="shared" si="51"/>
        <v>#VALUE!</v>
      </c>
      <c r="AS53" s="637"/>
      <c r="AT53" s="562" t="s">
        <v>585</v>
      </c>
      <c r="AU53" s="566" t="s">
        <v>585</v>
      </c>
      <c r="AV53" s="566" t="s">
        <v>585</v>
      </c>
      <c r="AW53" s="564" t="e">
        <f t="shared" si="53"/>
        <v>#VALUE!</v>
      </c>
      <c r="AX53" s="637"/>
      <c r="AZ53" s="564" t="e">
        <f t="shared" si="55"/>
        <v>#N/A</v>
      </c>
      <c r="BA53" s="637"/>
    </row>
    <row r="54" spans="2:53">
      <c r="B54" s="647"/>
      <c r="C54" s="380">
        <v>8</v>
      </c>
      <c r="D54" s="534"/>
      <c r="E54" s="534"/>
      <c r="F54" s="534"/>
      <c r="G54" s="535"/>
      <c r="H54" s="655"/>
      <c r="I54" s="381" t="str">
        <f t="shared" si="38"/>
        <v>-</v>
      </c>
      <c r="J54" s="381" t="str">
        <f t="shared" si="39"/>
        <v>-</v>
      </c>
      <c r="K54" s="199" t="str">
        <f t="shared" si="40"/>
        <v>-</v>
      </c>
      <c r="L54" s="657"/>
      <c r="M54" s="420" t="e">
        <f>RANK(K54, K$47:$K$61)</f>
        <v>#VALUE!</v>
      </c>
      <c r="N54" s="641"/>
      <c r="O54" s="641"/>
      <c r="P54" s="562" t="s">
        <v>585</v>
      </c>
      <c r="Q54" s="566" t="s">
        <v>585</v>
      </c>
      <c r="R54" s="566" t="s">
        <v>585</v>
      </c>
      <c r="S54" s="564" t="e">
        <f t="shared" si="41"/>
        <v>#VALUE!</v>
      </c>
      <c r="T54" s="637"/>
      <c r="U54" s="562" t="s">
        <v>585</v>
      </c>
      <c r="V54" s="566" t="s">
        <v>585</v>
      </c>
      <c r="W54" s="566" t="s">
        <v>585</v>
      </c>
      <c r="X54" s="564" t="e">
        <f t="shared" si="43"/>
        <v>#VALUE!</v>
      </c>
      <c r="Y54" s="637"/>
      <c r="Z54" s="562" t="s">
        <v>585</v>
      </c>
      <c r="AA54" s="566" t="s">
        <v>585</v>
      </c>
      <c r="AB54" s="566" t="s">
        <v>585</v>
      </c>
      <c r="AC54" s="564" t="e">
        <f t="shared" si="45"/>
        <v>#VALUE!</v>
      </c>
      <c r="AD54" s="637"/>
      <c r="AE54" s="562" t="s">
        <v>585</v>
      </c>
      <c r="AF54" s="566" t="s">
        <v>585</v>
      </c>
      <c r="AG54" s="566" t="s">
        <v>585</v>
      </c>
      <c r="AH54" s="564" t="e">
        <f t="shared" si="47"/>
        <v>#VALUE!</v>
      </c>
      <c r="AI54" s="637"/>
      <c r="AJ54" s="562" t="s">
        <v>585</v>
      </c>
      <c r="AK54" s="566" t="s">
        <v>585</v>
      </c>
      <c r="AL54" s="566" t="s">
        <v>585</v>
      </c>
      <c r="AM54" s="564" t="e">
        <f t="shared" si="49"/>
        <v>#VALUE!</v>
      </c>
      <c r="AN54" s="637"/>
      <c r="AO54" s="562" t="s">
        <v>585</v>
      </c>
      <c r="AP54" s="566" t="s">
        <v>585</v>
      </c>
      <c r="AQ54" s="566" t="s">
        <v>585</v>
      </c>
      <c r="AR54" s="564" t="e">
        <f t="shared" si="51"/>
        <v>#VALUE!</v>
      </c>
      <c r="AS54" s="637"/>
      <c r="AT54" s="562" t="s">
        <v>585</v>
      </c>
      <c r="AU54" s="566" t="s">
        <v>585</v>
      </c>
      <c r="AV54" s="566" t="s">
        <v>585</v>
      </c>
      <c r="AW54" s="564" t="e">
        <f t="shared" si="53"/>
        <v>#VALUE!</v>
      </c>
      <c r="AX54" s="637"/>
      <c r="AZ54" s="564" t="e">
        <f t="shared" si="55"/>
        <v>#N/A</v>
      </c>
      <c r="BA54" s="637"/>
    </row>
    <row r="55" spans="2:53">
      <c r="B55" s="647"/>
      <c r="C55" s="380">
        <v>9</v>
      </c>
      <c r="D55" s="534"/>
      <c r="E55" s="534"/>
      <c r="F55" s="534"/>
      <c r="G55" s="535"/>
      <c r="H55" s="655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57"/>
      <c r="M55" s="420" t="e">
        <f>RANK(K55, K$47:$K$61)</f>
        <v>#VALUE!</v>
      </c>
      <c r="N55" s="641"/>
      <c r="O55" s="641"/>
      <c r="P55" s="562" t="s">
        <v>585</v>
      </c>
      <c r="Q55" s="566" t="s">
        <v>585</v>
      </c>
      <c r="R55" s="566" t="s">
        <v>585</v>
      </c>
      <c r="S55" s="564" t="e">
        <f t="shared" si="41"/>
        <v>#VALUE!</v>
      </c>
      <c r="T55" s="637"/>
      <c r="U55" s="562" t="s">
        <v>585</v>
      </c>
      <c r="V55" s="566" t="s">
        <v>585</v>
      </c>
      <c r="W55" s="566" t="s">
        <v>585</v>
      </c>
      <c r="X55" s="564" t="e">
        <f t="shared" si="43"/>
        <v>#VALUE!</v>
      </c>
      <c r="Y55" s="637"/>
      <c r="Z55" s="562" t="s">
        <v>585</v>
      </c>
      <c r="AA55" s="566" t="s">
        <v>585</v>
      </c>
      <c r="AB55" s="566" t="s">
        <v>585</v>
      </c>
      <c r="AC55" s="564" t="e">
        <f t="shared" si="45"/>
        <v>#VALUE!</v>
      </c>
      <c r="AD55" s="637"/>
      <c r="AE55" s="562" t="s">
        <v>585</v>
      </c>
      <c r="AF55" s="566" t="s">
        <v>585</v>
      </c>
      <c r="AG55" s="566" t="s">
        <v>585</v>
      </c>
      <c r="AH55" s="564" t="e">
        <f t="shared" si="47"/>
        <v>#VALUE!</v>
      </c>
      <c r="AI55" s="637"/>
      <c r="AJ55" s="562" t="s">
        <v>585</v>
      </c>
      <c r="AK55" s="566" t="s">
        <v>585</v>
      </c>
      <c r="AL55" s="566" t="s">
        <v>585</v>
      </c>
      <c r="AM55" s="564" t="e">
        <f t="shared" si="49"/>
        <v>#VALUE!</v>
      </c>
      <c r="AN55" s="637"/>
      <c r="AO55" s="562" t="s">
        <v>585</v>
      </c>
      <c r="AP55" s="566" t="s">
        <v>585</v>
      </c>
      <c r="AQ55" s="566" t="s">
        <v>585</v>
      </c>
      <c r="AR55" s="564" t="e">
        <f t="shared" si="51"/>
        <v>#VALUE!</v>
      </c>
      <c r="AS55" s="637"/>
      <c r="AT55" s="562" t="s">
        <v>585</v>
      </c>
      <c r="AU55" s="566" t="s">
        <v>585</v>
      </c>
      <c r="AV55" s="566" t="s">
        <v>585</v>
      </c>
      <c r="AW55" s="564" t="e">
        <f t="shared" si="53"/>
        <v>#VALUE!</v>
      </c>
      <c r="AX55" s="637"/>
      <c r="AZ55" s="564" t="e">
        <f t="shared" si="55"/>
        <v>#N/A</v>
      </c>
      <c r="BA55" s="637"/>
    </row>
    <row r="56" spans="2:53">
      <c r="B56" s="647"/>
      <c r="C56" s="380">
        <v>10</v>
      </c>
      <c r="D56" s="534"/>
      <c r="E56" s="534"/>
      <c r="F56" s="534"/>
      <c r="G56" s="535"/>
      <c r="H56" s="655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57"/>
      <c r="M56" s="420" t="e">
        <f>RANK(K56, K$47:$K$61)</f>
        <v>#VALUE!</v>
      </c>
      <c r="N56" s="641"/>
      <c r="O56" s="641"/>
      <c r="P56" s="562" t="s">
        <v>585</v>
      </c>
      <c r="Q56" s="566" t="s">
        <v>585</v>
      </c>
      <c r="R56" s="566" t="s">
        <v>585</v>
      </c>
      <c r="S56" s="564" t="e">
        <f t="shared" si="41"/>
        <v>#VALUE!</v>
      </c>
      <c r="T56" s="637"/>
      <c r="U56" s="562" t="s">
        <v>585</v>
      </c>
      <c r="V56" s="566" t="s">
        <v>585</v>
      </c>
      <c r="W56" s="566" t="s">
        <v>585</v>
      </c>
      <c r="X56" s="564" t="e">
        <f t="shared" si="43"/>
        <v>#VALUE!</v>
      </c>
      <c r="Y56" s="637"/>
      <c r="Z56" s="562" t="s">
        <v>585</v>
      </c>
      <c r="AA56" s="566" t="s">
        <v>585</v>
      </c>
      <c r="AB56" s="566" t="s">
        <v>585</v>
      </c>
      <c r="AC56" s="564" t="e">
        <f t="shared" si="45"/>
        <v>#VALUE!</v>
      </c>
      <c r="AD56" s="637"/>
      <c r="AE56" s="562" t="s">
        <v>585</v>
      </c>
      <c r="AF56" s="566" t="s">
        <v>585</v>
      </c>
      <c r="AG56" s="566" t="s">
        <v>585</v>
      </c>
      <c r="AH56" s="564" t="e">
        <f t="shared" si="47"/>
        <v>#VALUE!</v>
      </c>
      <c r="AI56" s="637"/>
      <c r="AJ56" s="562" t="s">
        <v>585</v>
      </c>
      <c r="AK56" s="566" t="s">
        <v>585</v>
      </c>
      <c r="AL56" s="566" t="s">
        <v>585</v>
      </c>
      <c r="AM56" s="564" t="e">
        <f t="shared" si="49"/>
        <v>#VALUE!</v>
      </c>
      <c r="AN56" s="637"/>
      <c r="AO56" s="562" t="s">
        <v>585</v>
      </c>
      <c r="AP56" s="566" t="s">
        <v>585</v>
      </c>
      <c r="AQ56" s="566" t="s">
        <v>585</v>
      </c>
      <c r="AR56" s="564" t="e">
        <f t="shared" si="51"/>
        <v>#VALUE!</v>
      </c>
      <c r="AS56" s="637"/>
      <c r="AT56" s="562" t="s">
        <v>585</v>
      </c>
      <c r="AU56" s="566" t="s">
        <v>585</v>
      </c>
      <c r="AV56" s="566" t="s">
        <v>585</v>
      </c>
      <c r="AW56" s="564" t="e">
        <f t="shared" si="53"/>
        <v>#VALUE!</v>
      </c>
      <c r="AX56" s="637"/>
      <c r="AZ56" s="564" t="e">
        <f t="shared" si="55"/>
        <v>#N/A</v>
      </c>
      <c r="BA56" s="637"/>
    </row>
    <row r="57" spans="2:53">
      <c r="B57" s="647"/>
      <c r="C57" s="380">
        <v>11</v>
      </c>
      <c r="D57" s="534"/>
      <c r="E57" s="534"/>
      <c r="F57" s="534"/>
      <c r="G57" s="535"/>
      <c r="H57" s="655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7"/>
      <c r="M57" s="420" t="e">
        <f>RANK(K57, K$47:$K$61)</f>
        <v>#VALUE!</v>
      </c>
      <c r="N57" s="641"/>
      <c r="O57" s="641"/>
      <c r="P57" s="562" t="s">
        <v>585</v>
      </c>
      <c r="Q57" s="566" t="s">
        <v>585</v>
      </c>
      <c r="R57" s="566" t="s">
        <v>585</v>
      </c>
      <c r="S57" s="564" t="e">
        <f t="shared" si="41"/>
        <v>#VALUE!</v>
      </c>
      <c r="T57" s="637"/>
      <c r="U57" s="562" t="s">
        <v>585</v>
      </c>
      <c r="V57" s="566" t="s">
        <v>585</v>
      </c>
      <c r="W57" s="566" t="s">
        <v>585</v>
      </c>
      <c r="X57" s="564" t="e">
        <f t="shared" si="43"/>
        <v>#VALUE!</v>
      </c>
      <c r="Y57" s="637"/>
      <c r="Z57" s="562" t="s">
        <v>585</v>
      </c>
      <c r="AA57" s="566" t="s">
        <v>585</v>
      </c>
      <c r="AB57" s="566" t="s">
        <v>585</v>
      </c>
      <c r="AC57" s="564" t="e">
        <f t="shared" si="45"/>
        <v>#VALUE!</v>
      </c>
      <c r="AD57" s="637"/>
      <c r="AE57" s="562" t="s">
        <v>585</v>
      </c>
      <c r="AF57" s="566" t="s">
        <v>585</v>
      </c>
      <c r="AG57" s="566" t="s">
        <v>585</v>
      </c>
      <c r="AH57" s="564" t="e">
        <f t="shared" si="47"/>
        <v>#VALUE!</v>
      </c>
      <c r="AI57" s="637"/>
      <c r="AJ57" s="562" t="s">
        <v>585</v>
      </c>
      <c r="AK57" s="566" t="s">
        <v>585</v>
      </c>
      <c r="AL57" s="566" t="s">
        <v>585</v>
      </c>
      <c r="AM57" s="564" t="e">
        <f t="shared" si="49"/>
        <v>#VALUE!</v>
      </c>
      <c r="AN57" s="637"/>
      <c r="AO57" s="562" t="s">
        <v>585</v>
      </c>
      <c r="AP57" s="566" t="s">
        <v>585</v>
      </c>
      <c r="AQ57" s="566" t="s">
        <v>585</v>
      </c>
      <c r="AR57" s="564" t="e">
        <f t="shared" si="51"/>
        <v>#VALUE!</v>
      </c>
      <c r="AS57" s="637"/>
      <c r="AT57" s="562" t="s">
        <v>585</v>
      </c>
      <c r="AU57" s="566" t="s">
        <v>585</v>
      </c>
      <c r="AV57" s="566" t="s">
        <v>585</v>
      </c>
      <c r="AW57" s="564" t="e">
        <f t="shared" si="53"/>
        <v>#VALUE!</v>
      </c>
      <c r="AX57" s="637"/>
      <c r="AZ57" s="564" t="e">
        <f t="shared" si="55"/>
        <v>#N/A</v>
      </c>
      <c r="BA57" s="637"/>
    </row>
    <row r="58" spans="2:53">
      <c r="B58" s="647"/>
      <c r="C58" s="380">
        <v>12</v>
      </c>
      <c r="D58" s="534"/>
      <c r="E58" s="534"/>
      <c r="F58" s="534"/>
      <c r="G58" s="535"/>
      <c r="H58" s="655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7"/>
      <c r="M58" s="420" t="e">
        <f>RANK(K58, K$47:$K$61)</f>
        <v>#VALUE!</v>
      </c>
      <c r="N58" s="641"/>
      <c r="O58" s="641"/>
      <c r="P58" s="562" t="s">
        <v>585</v>
      </c>
      <c r="Q58" s="566" t="s">
        <v>585</v>
      </c>
      <c r="R58" s="566" t="s">
        <v>585</v>
      </c>
      <c r="S58" s="564" t="e">
        <f t="shared" si="41"/>
        <v>#VALUE!</v>
      </c>
      <c r="T58" s="637"/>
      <c r="U58" s="562" t="s">
        <v>585</v>
      </c>
      <c r="V58" s="566" t="s">
        <v>585</v>
      </c>
      <c r="W58" s="566" t="s">
        <v>585</v>
      </c>
      <c r="X58" s="564" t="e">
        <f t="shared" si="43"/>
        <v>#VALUE!</v>
      </c>
      <c r="Y58" s="637"/>
      <c r="Z58" s="562" t="s">
        <v>585</v>
      </c>
      <c r="AA58" s="566" t="s">
        <v>585</v>
      </c>
      <c r="AB58" s="566" t="s">
        <v>585</v>
      </c>
      <c r="AC58" s="564" t="e">
        <f t="shared" si="45"/>
        <v>#VALUE!</v>
      </c>
      <c r="AD58" s="637"/>
      <c r="AE58" s="562" t="s">
        <v>585</v>
      </c>
      <c r="AF58" s="566" t="s">
        <v>585</v>
      </c>
      <c r="AG58" s="566" t="s">
        <v>585</v>
      </c>
      <c r="AH58" s="564" t="e">
        <f t="shared" si="47"/>
        <v>#VALUE!</v>
      </c>
      <c r="AI58" s="637"/>
      <c r="AJ58" s="562" t="s">
        <v>585</v>
      </c>
      <c r="AK58" s="566" t="s">
        <v>585</v>
      </c>
      <c r="AL58" s="566" t="s">
        <v>585</v>
      </c>
      <c r="AM58" s="564" t="e">
        <f t="shared" si="49"/>
        <v>#VALUE!</v>
      </c>
      <c r="AN58" s="637"/>
      <c r="AO58" s="562" t="s">
        <v>585</v>
      </c>
      <c r="AP58" s="566" t="s">
        <v>585</v>
      </c>
      <c r="AQ58" s="566" t="s">
        <v>585</v>
      </c>
      <c r="AR58" s="564" t="e">
        <f t="shared" si="51"/>
        <v>#VALUE!</v>
      </c>
      <c r="AS58" s="637"/>
      <c r="AT58" s="562" t="s">
        <v>585</v>
      </c>
      <c r="AU58" s="566" t="s">
        <v>585</v>
      </c>
      <c r="AV58" s="566" t="s">
        <v>585</v>
      </c>
      <c r="AW58" s="564" t="e">
        <f t="shared" si="53"/>
        <v>#VALUE!</v>
      </c>
      <c r="AX58" s="637"/>
      <c r="AZ58" s="564" t="e">
        <f t="shared" si="55"/>
        <v>#N/A</v>
      </c>
      <c r="BA58" s="637"/>
    </row>
    <row r="59" spans="2:53">
      <c r="B59" s="647"/>
      <c r="C59" s="380">
        <v>13</v>
      </c>
      <c r="D59" s="534"/>
      <c r="E59" s="534"/>
      <c r="F59" s="534"/>
      <c r="G59" s="535"/>
      <c r="H59" s="655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7"/>
      <c r="M59" s="420" t="e">
        <f>RANK(K59, K$47:$K$61)</f>
        <v>#VALUE!</v>
      </c>
      <c r="N59" s="641"/>
      <c r="O59" s="641"/>
      <c r="P59" s="562" t="s">
        <v>585</v>
      </c>
      <c r="Q59" s="566" t="s">
        <v>585</v>
      </c>
      <c r="R59" s="566" t="s">
        <v>585</v>
      </c>
      <c r="S59" s="564" t="e">
        <f t="shared" si="41"/>
        <v>#VALUE!</v>
      </c>
      <c r="T59" s="637"/>
      <c r="U59" s="562" t="s">
        <v>585</v>
      </c>
      <c r="V59" s="566" t="s">
        <v>585</v>
      </c>
      <c r="W59" s="566" t="s">
        <v>585</v>
      </c>
      <c r="X59" s="564" t="e">
        <f t="shared" si="43"/>
        <v>#VALUE!</v>
      </c>
      <c r="Y59" s="637"/>
      <c r="Z59" s="562" t="s">
        <v>585</v>
      </c>
      <c r="AA59" s="566" t="s">
        <v>585</v>
      </c>
      <c r="AB59" s="566" t="s">
        <v>585</v>
      </c>
      <c r="AC59" s="564" t="e">
        <f t="shared" si="45"/>
        <v>#VALUE!</v>
      </c>
      <c r="AD59" s="637"/>
      <c r="AE59" s="562" t="s">
        <v>585</v>
      </c>
      <c r="AF59" s="566" t="s">
        <v>585</v>
      </c>
      <c r="AG59" s="566" t="s">
        <v>585</v>
      </c>
      <c r="AH59" s="564" t="e">
        <f t="shared" si="47"/>
        <v>#VALUE!</v>
      </c>
      <c r="AI59" s="637"/>
      <c r="AJ59" s="562" t="s">
        <v>585</v>
      </c>
      <c r="AK59" s="566" t="s">
        <v>585</v>
      </c>
      <c r="AL59" s="566" t="s">
        <v>585</v>
      </c>
      <c r="AM59" s="564" t="e">
        <f t="shared" si="49"/>
        <v>#VALUE!</v>
      </c>
      <c r="AN59" s="637"/>
      <c r="AO59" s="562" t="s">
        <v>585</v>
      </c>
      <c r="AP59" s="566" t="s">
        <v>585</v>
      </c>
      <c r="AQ59" s="566" t="s">
        <v>585</v>
      </c>
      <c r="AR59" s="564" t="e">
        <f t="shared" si="51"/>
        <v>#VALUE!</v>
      </c>
      <c r="AS59" s="637"/>
      <c r="AT59" s="562" t="s">
        <v>585</v>
      </c>
      <c r="AU59" s="566" t="s">
        <v>585</v>
      </c>
      <c r="AV59" s="566" t="s">
        <v>585</v>
      </c>
      <c r="AW59" s="564" t="e">
        <f t="shared" si="53"/>
        <v>#VALUE!</v>
      </c>
      <c r="AX59" s="637"/>
      <c r="AZ59" s="564" t="e">
        <f t="shared" si="55"/>
        <v>#N/A</v>
      </c>
      <c r="BA59" s="637"/>
    </row>
    <row r="60" spans="2:53">
      <c r="B60" s="647"/>
      <c r="C60" s="380">
        <v>14</v>
      </c>
      <c r="D60" s="534"/>
      <c r="E60" s="534"/>
      <c r="F60" s="534"/>
      <c r="G60" s="535"/>
      <c r="H60" s="655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7"/>
      <c r="M60" s="420" t="e">
        <f>RANK(K60, K$47:$K$61)</f>
        <v>#VALUE!</v>
      </c>
      <c r="N60" s="641"/>
      <c r="O60" s="641"/>
      <c r="P60" s="562" t="s">
        <v>585</v>
      </c>
      <c r="Q60" s="566" t="s">
        <v>585</v>
      </c>
      <c r="R60" s="566" t="s">
        <v>585</v>
      </c>
      <c r="S60" s="564" t="e">
        <f t="shared" si="41"/>
        <v>#VALUE!</v>
      </c>
      <c r="T60" s="637"/>
      <c r="U60" s="562" t="s">
        <v>585</v>
      </c>
      <c r="V60" s="566" t="s">
        <v>585</v>
      </c>
      <c r="W60" s="566" t="s">
        <v>585</v>
      </c>
      <c r="X60" s="564" t="e">
        <f t="shared" si="43"/>
        <v>#VALUE!</v>
      </c>
      <c r="Y60" s="637"/>
      <c r="Z60" s="562" t="s">
        <v>585</v>
      </c>
      <c r="AA60" s="566" t="s">
        <v>585</v>
      </c>
      <c r="AB60" s="566" t="s">
        <v>585</v>
      </c>
      <c r="AC60" s="564" t="e">
        <f t="shared" si="45"/>
        <v>#VALUE!</v>
      </c>
      <c r="AD60" s="637"/>
      <c r="AE60" s="562" t="s">
        <v>585</v>
      </c>
      <c r="AF60" s="566" t="s">
        <v>585</v>
      </c>
      <c r="AG60" s="566" t="s">
        <v>585</v>
      </c>
      <c r="AH60" s="564" t="e">
        <f t="shared" si="47"/>
        <v>#VALUE!</v>
      </c>
      <c r="AI60" s="637"/>
      <c r="AJ60" s="562" t="s">
        <v>585</v>
      </c>
      <c r="AK60" s="566" t="s">
        <v>585</v>
      </c>
      <c r="AL60" s="566" t="s">
        <v>585</v>
      </c>
      <c r="AM60" s="564" t="e">
        <f t="shared" si="49"/>
        <v>#VALUE!</v>
      </c>
      <c r="AN60" s="637"/>
      <c r="AO60" s="562" t="s">
        <v>585</v>
      </c>
      <c r="AP60" s="566" t="s">
        <v>585</v>
      </c>
      <c r="AQ60" s="566" t="s">
        <v>585</v>
      </c>
      <c r="AR60" s="564" t="e">
        <f t="shared" si="51"/>
        <v>#VALUE!</v>
      </c>
      <c r="AS60" s="637"/>
      <c r="AT60" s="562" t="s">
        <v>585</v>
      </c>
      <c r="AU60" s="566" t="s">
        <v>585</v>
      </c>
      <c r="AV60" s="566" t="s">
        <v>585</v>
      </c>
      <c r="AW60" s="564" t="e">
        <f t="shared" si="53"/>
        <v>#VALUE!</v>
      </c>
      <c r="AX60" s="637"/>
      <c r="AZ60" s="564" t="e">
        <f t="shared" si="55"/>
        <v>#N/A</v>
      </c>
      <c r="BA60" s="637"/>
    </row>
    <row r="61" spans="2:53">
      <c r="B61" s="647"/>
      <c r="C61" s="380">
        <v>15</v>
      </c>
      <c r="D61" s="534"/>
      <c r="E61" s="534"/>
      <c r="F61" s="534"/>
      <c r="G61" s="534"/>
      <c r="H61" s="712"/>
      <c r="I61" s="381" t="str">
        <f t="shared" si="38"/>
        <v>-</v>
      </c>
      <c r="J61" s="381" t="str">
        <f t="shared" si="39"/>
        <v>-</v>
      </c>
      <c r="K61" s="199" t="str">
        <f t="shared" si="40"/>
        <v>-</v>
      </c>
      <c r="L61" s="658"/>
      <c r="M61" s="420" t="e">
        <f>RANK(K61, K$47:$K$61)</f>
        <v>#VALUE!</v>
      </c>
      <c r="N61" s="641"/>
      <c r="O61" s="641"/>
      <c r="P61" s="562" t="s">
        <v>585</v>
      </c>
      <c r="Q61" s="566" t="s">
        <v>585</v>
      </c>
      <c r="R61" s="566" t="s">
        <v>585</v>
      </c>
      <c r="S61" s="564" t="e">
        <f t="shared" si="41"/>
        <v>#VALUE!</v>
      </c>
      <c r="T61" s="638"/>
      <c r="U61" s="562" t="s">
        <v>585</v>
      </c>
      <c r="V61" s="566" t="s">
        <v>585</v>
      </c>
      <c r="W61" s="566" t="s">
        <v>585</v>
      </c>
      <c r="X61" s="564" t="e">
        <f t="shared" si="43"/>
        <v>#VALUE!</v>
      </c>
      <c r="Y61" s="638"/>
      <c r="Z61" s="562" t="s">
        <v>585</v>
      </c>
      <c r="AA61" s="566" t="s">
        <v>585</v>
      </c>
      <c r="AB61" s="566" t="s">
        <v>585</v>
      </c>
      <c r="AC61" s="564" t="e">
        <f t="shared" si="45"/>
        <v>#VALUE!</v>
      </c>
      <c r="AD61" s="638"/>
      <c r="AE61" s="562" t="s">
        <v>585</v>
      </c>
      <c r="AF61" s="566" t="s">
        <v>585</v>
      </c>
      <c r="AG61" s="566" t="s">
        <v>585</v>
      </c>
      <c r="AH61" s="564" t="e">
        <f t="shared" si="47"/>
        <v>#VALUE!</v>
      </c>
      <c r="AI61" s="638"/>
      <c r="AJ61" s="562" t="s">
        <v>585</v>
      </c>
      <c r="AK61" s="566" t="s">
        <v>585</v>
      </c>
      <c r="AL61" s="566" t="s">
        <v>585</v>
      </c>
      <c r="AM61" s="564" t="e">
        <f t="shared" si="49"/>
        <v>#VALUE!</v>
      </c>
      <c r="AN61" s="638"/>
      <c r="AO61" s="562" t="s">
        <v>585</v>
      </c>
      <c r="AP61" s="566" t="s">
        <v>585</v>
      </c>
      <c r="AQ61" s="566" t="s">
        <v>585</v>
      </c>
      <c r="AR61" s="564" t="e">
        <f t="shared" si="51"/>
        <v>#VALUE!</v>
      </c>
      <c r="AS61" s="638"/>
      <c r="AT61" s="562" t="s">
        <v>585</v>
      </c>
      <c r="AU61" s="566" t="s">
        <v>585</v>
      </c>
      <c r="AV61" s="566" t="s">
        <v>585</v>
      </c>
      <c r="AW61" s="564" t="e">
        <f t="shared" si="53"/>
        <v>#VALUE!</v>
      </c>
      <c r="AX61" s="638"/>
      <c r="AZ61" s="564" t="e">
        <f t="shared" si="55"/>
        <v>#N/A</v>
      </c>
      <c r="BA61" s="638"/>
    </row>
    <row r="62" spans="2:53" ht="15.75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68">
        <f>P42+7</f>
        <v>46252</v>
      </c>
      <c r="Q62" s="647"/>
      <c r="R62" s="647"/>
      <c r="S62" s="647"/>
      <c r="T62" s="647"/>
      <c r="U62" s="665">
        <f>P62+1</f>
        <v>46253</v>
      </c>
      <c r="V62" s="666"/>
      <c r="W62" s="666"/>
      <c r="X62" s="666"/>
      <c r="Y62" s="667"/>
      <c r="Z62" s="665">
        <f>U62+1</f>
        <v>46254</v>
      </c>
      <c r="AA62" s="666"/>
      <c r="AB62" s="666"/>
      <c r="AC62" s="666"/>
      <c r="AD62" s="667"/>
      <c r="AE62" s="665">
        <f>Z62+1</f>
        <v>46255</v>
      </c>
      <c r="AF62" s="666"/>
      <c r="AG62" s="666"/>
      <c r="AH62" s="666"/>
      <c r="AI62" s="667"/>
      <c r="AJ62" s="665">
        <f>AE62+1</f>
        <v>46256</v>
      </c>
      <c r="AK62" s="666"/>
      <c r="AL62" s="666"/>
      <c r="AM62" s="666"/>
      <c r="AN62" s="667"/>
      <c r="AO62" s="665">
        <f>AJ62+1</f>
        <v>46257</v>
      </c>
      <c r="AP62" s="666"/>
      <c r="AQ62" s="666"/>
      <c r="AR62" s="666"/>
      <c r="AS62" s="667"/>
      <c r="AT62" s="665">
        <f>AO62+1</f>
        <v>46258</v>
      </c>
      <c r="AU62" s="666"/>
      <c r="AV62" s="666"/>
      <c r="AW62" s="666"/>
      <c r="AX62" s="667"/>
    </row>
    <row r="63" spans="2:53" ht="15.75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45"/>
      <c r="O63" s="645"/>
      <c r="P63" s="668" t="s">
        <v>317</v>
      </c>
      <c r="Q63" s="647"/>
      <c r="R63" s="647"/>
      <c r="S63" s="647"/>
      <c r="T63" s="647"/>
      <c r="U63" s="668" t="s">
        <v>318</v>
      </c>
      <c r="V63" s="647"/>
      <c r="W63" s="647"/>
      <c r="X63" s="647"/>
      <c r="Y63" s="647"/>
      <c r="Z63" s="668" t="s">
        <v>319</v>
      </c>
      <c r="AA63" s="647"/>
      <c r="AB63" s="647"/>
      <c r="AC63" s="647"/>
      <c r="AD63" s="647"/>
      <c r="AE63" s="668" t="s">
        <v>320</v>
      </c>
      <c r="AF63" s="647"/>
      <c r="AG63" s="647"/>
      <c r="AH63" s="647"/>
      <c r="AI63" s="647"/>
      <c r="AJ63" s="668" t="s">
        <v>321</v>
      </c>
      <c r="AK63" s="647"/>
      <c r="AL63" s="647"/>
      <c r="AM63" s="647"/>
      <c r="AN63" s="647"/>
      <c r="AO63" s="668" t="s">
        <v>322</v>
      </c>
      <c r="AP63" s="647"/>
      <c r="AQ63" s="647"/>
      <c r="AR63" s="647"/>
      <c r="AS63" s="647"/>
      <c r="AT63" s="668" t="s">
        <v>323</v>
      </c>
      <c r="AU63" s="647"/>
      <c r="AV63" s="647"/>
      <c r="AW63" s="647"/>
      <c r="AX63" s="647"/>
    </row>
    <row r="64" spans="2:53">
      <c r="B64" s="641" t="s">
        <v>369</v>
      </c>
      <c r="C64" s="641" t="s">
        <v>379</v>
      </c>
      <c r="D64" s="641"/>
      <c r="E64" s="641" t="s">
        <v>370</v>
      </c>
      <c r="F64" s="641"/>
      <c r="G64" s="641"/>
      <c r="H64" s="673" t="s">
        <v>366</v>
      </c>
      <c r="I64" s="641" t="s">
        <v>371</v>
      </c>
      <c r="J64" s="641"/>
      <c r="K64" s="641"/>
      <c r="L64" s="673" t="s">
        <v>366</v>
      </c>
      <c r="M64" s="643" t="s">
        <v>367</v>
      </c>
      <c r="N64" s="641"/>
      <c r="O64" s="641" t="s">
        <v>372</v>
      </c>
      <c r="P64" s="659" t="s">
        <v>368</v>
      </c>
      <c r="Q64" s="660"/>
      <c r="R64" s="660"/>
      <c r="S64" s="661"/>
      <c r="T64" s="641" t="s">
        <v>366</v>
      </c>
      <c r="U64" s="659" t="s">
        <v>368</v>
      </c>
      <c r="V64" s="660"/>
      <c r="W64" s="660"/>
      <c r="X64" s="661"/>
      <c r="Y64" s="641" t="s">
        <v>366</v>
      </c>
      <c r="Z64" s="659" t="s">
        <v>368</v>
      </c>
      <c r="AA64" s="660"/>
      <c r="AB64" s="660"/>
      <c r="AC64" s="661"/>
      <c r="AD64" s="641" t="s">
        <v>366</v>
      </c>
      <c r="AE64" s="659" t="s">
        <v>368</v>
      </c>
      <c r="AF64" s="660"/>
      <c r="AG64" s="660"/>
      <c r="AH64" s="661"/>
      <c r="AI64" s="641" t="s">
        <v>366</v>
      </c>
      <c r="AJ64" s="659" t="s">
        <v>368</v>
      </c>
      <c r="AK64" s="660"/>
      <c r="AL64" s="660"/>
      <c r="AM64" s="661"/>
      <c r="AN64" s="641" t="s">
        <v>366</v>
      </c>
      <c r="AO64" s="659" t="s">
        <v>368</v>
      </c>
      <c r="AP64" s="660"/>
      <c r="AQ64" s="660"/>
      <c r="AR64" s="661"/>
      <c r="AS64" s="641" t="s">
        <v>366</v>
      </c>
      <c r="AT64" s="659" t="s">
        <v>368</v>
      </c>
      <c r="AU64" s="660"/>
      <c r="AV64" s="660"/>
      <c r="AW64" s="661"/>
      <c r="AX64" s="641" t="s">
        <v>366</v>
      </c>
      <c r="BA64" s="641" t="s">
        <v>366</v>
      </c>
    </row>
    <row r="65" spans="2:53">
      <c r="B65" s="641"/>
      <c r="C65" s="641"/>
      <c r="D65" s="641"/>
      <c r="E65" s="641" t="s">
        <v>373</v>
      </c>
      <c r="F65" s="641"/>
      <c r="G65" s="641"/>
      <c r="H65" s="674"/>
      <c r="I65" s="641" t="s">
        <v>373</v>
      </c>
      <c r="J65" s="641"/>
      <c r="K65" s="641"/>
      <c r="L65" s="674"/>
      <c r="M65" s="644"/>
      <c r="N65" s="641"/>
      <c r="O65" s="641"/>
      <c r="P65" s="659" t="s">
        <v>374</v>
      </c>
      <c r="Q65" s="660"/>
      <c r="R65" s="660"/>
      <c r="S65" s="661"/>
      <c r="T65" s="641"/>
      <c r="U65" s="659" t="s">
        <v>374</v>
      </c>
      <c r="V65" s="660"/>
      <c r="W65" s="660"/>
      <c r="X65" s="661"/>
      <c r="Y65" s="641"/>
      <c r="Z65" s="659" t="s">
        <v>374</v>
      </c>
      <c r="AA65" s="660"/>
      <c r="AB65" s="660"/>
      <c r="AC65" s="661"/>
      <c r="AD65" s="641"/>
      <c r="AE65" s="659" t="s">
        <v>374</v>
      </c>
      <c r="AF65" s="660"/>
      <c r="AG65" s="660"/>
      <c r="AH65" s="661"/>
      <c r="AI65" s="641"/>
      <c r="AJ65" s="659" t="s">
        <v>374</v>
      </c>
      <c r="AK65" s="660"/>
      <c r="AL65" s="660"/>
      <c r="AM65" s="661"/>
      <c r="AN65" s="641"/>
      <c r="AO65" s="659" t="s">
        <v>374</v>
      </c>
      <c r="AP65" s="660"/>
      <c r="AQ65" s="660"/>
      <c r="AR65" s="661"/>
      <c r="AS65" s="641"/>
      <c r="AT65" s="659" t="s">
        <v>374</v>
      </c>
      <c r="AU65" s="660"/>
      <c r="AV65" s="660"/>
      <c r="AW65" s="661"/>
      <c r="AX65" s="641"/>
      <c r="BA65" s="641"/>
    </row>
    <row r="66" spans="2:53">
      <c r="B66" s="641"/>
      <c r="C66" s="641"/>
      <c r="D66" s="641"/>
      <c r="E66" s="378" t="s">
        <v>375</v>
      </c>
      <c r="F66" s="378" t="s">
        <v>376</v>
      </c>
      <c r="G66" s="378" t="s">
        <v>377</v>
      </c>
      <c r="H66" s="675"/>
      <c r="I66" s="378" t="s">
        <v>375</v>
      </c>
      <c r="J66" s="378" t="s">
        <v>376</v>
      </c>
      <c r="K66" s="378" t="s">
        <v>377</v>
      </c>
      <c r="L66" s="675"/>
      <c r="M66" s="645"/>
      <c r="N66" s="641"/>
      <c r="O66" s="641"/>
      <c r="P66" s="378" t="s">
        <v>375</v>
      </c>
      <c r="Q66" s="378" t="s">
        <v>376</v>
      </c>
      <c r="R66" s="378" t="s">
        <v>377</v>
      </c>
      <c r="S66" s="378" t="s">
        <v>367</v>
      </c>
      <c r="T66" s="641"/>
      <c r="U66" s="378" t="s">
        <v>375</v>
      </c>
      <c r="V66" s="378" t="s">
        <v>376</v>
      </c>
      <c r="W66" s="378" t="s">
        <v>377</v>
      </c>
      <c r="X66" s="378" t="s">
        <v>367</v>
      </c>
      <c r="Y66" s="641"/>
      <c r="Z66" s="378" t="s">
        <v>375</v>
      </c>
      <c r="AA66" s="378" t="s">
        <v>376</v>
      </c>
      <c r="AB66" s="378" t="s">
        <v>377</v>
      </c>
      <c r="AC66" s="378" t="s">
        <v>367</v>
      </c>
      <c r="AD66" s="641"/>
      <c r="AE66" s="378" t="s">
        <v>375</v>
      </c>
      <c r="AF66" s="378" t="s">
        <v>376</v>
      </c>
      <c r="AG66" s="378" t="s">
        <v>377</v>
      </c>
      <c r="AH66" s="378" t="s">
        <v>367</v>
      </c>
      <c r="AI66" s="641"/>
      <c r="AJ66" s="378" t="s">
        <v>375</v>
      </c>
      <c r="AK66" s="378" t="s">
        <v>376</v>
      </c>
      <c r="AL66" s="378" t="s">
        <v>377</v>
      </c>
      <c r="AM66" s="378" t="s">
        <v>367</v>
      </c>
      <c r="AN66" s="641"/>
      <c r="AO66" s="378" t="s">
        <v>375</v>
      </c>
      <c r="AP66" s="378" t="s">
        <v>376</v>
      </c>
      <c r="AQ66" s="378" t="s">
        <v>377</v>
      </c>
      <c r="AR66" s="378" t="s">
        <v>367</v>
      </c>
      <c r="AS66" s="641"/>
      <c r="AT66" s="378" t="s">
        <v>375</v>
      </c>
      <c r="AU66" s="378" t="s">
        <v>376</v>
      </c>
      <c r="AV66" s="378" t="s">
        <v>377</v>
      </c>
      <c r="AW66" s="378" t="s">
        <v>367</v>
      </c>
      <c r="AX66" s="641"/>
      <c r="AZ66" s="373" t="s">
        <v>367</v>
      </c>
      <c r="BA66" s="641"/>
    </row>
    <row r="67" spans="2:53">
      <c r="B67" s="699" t="s">
        <v>386</v>
      </c>
      <c r="C67" s="380">
        <v>1</v>
      </c>
      <c r="D67" s="514" t="s">
        <v>571</v>
      </c>
      <c r="E67" s="516">
        <v>10</v>
      </c>
      <c r="F67" s="516">
        <v>1500</v>
      </c>
      <c r="G67" s="519">
        <v>150</v>
      </c>
      <c r="H67" s="654">
        <f>AVERAGE(G67:G81)</f>
        <v>127.5</v>
      </c>
      <c r="I67" s="381">
        <f t="shared" ref="I67:I81" si="57">IFERROR(AVERAGE(P67,U67,Z67,AE67,AJ67,AO67,AT67),"-")</f>
        <v>10</v>
      </c>
      <c r="J67" s="381">
        <f t="shared" ref="J67:J81" si="58">IFERROR(AVERAGE(Q67,V67,AA67,AF67,AK67,AP67,AU67),"-")</f>
        <v>1381.3142857142848</v>
      </c>
      <c r="K67" s="199">
        <f t="shared" ref="K67:K81" si="59">IFERROR(AVERAGE(R67,W67,AB67,AG67,AL67,AQ67,AV67),"-")</f>
        <v>138.13142857142847</v>
      </c>
      <c r="L67" s="656">
        <f>IFERROR(AVERAGE(K67:K81),"-")</f>
        <v>134.92871190477553</v>
      </c>
      <c r="M67" s="385">
        <f>RANK(K67, K$67:$K$81)</f>
        <v>2</v>
      </c>
      <c r="N67" s="641"/>
      <c r="O67" s="641"/>
      <c r="P67" s="575">
        <v>10</v>
      </c>
      <c r="Q67" s="577">
        <v>1383.9999999999977</v>
      </c>
      <c r="R67" s="577">
        <v>138.39999999999978</v>
      </c>
      <c r="S67" s="576">
        <f t="shared" ref="S67:S81" si="60">RANK(R67, R$67:R$81)</f>
        <v>1</v>
      </c>
      <c r="T67" s="636">
        <f t="shared" ref="T67" si="61">AVERAGE(R67:R81)</f>
        <v>133.48977176669467</v>
      </c>
      <c r="U67" s="575">
        <v>10</v>
      </c>
      <c r="V67" s="577">
        <v>1401.9999999999975</v>
      </c>
      <c r="W67" s="577">
        <v>140.19999999999976</v>
      </c>
      <c r="X67" s="576">
        <f t="shared" ref="X67:X81" si="62">RANK(W67, W$67:W$81)</f>
        <v>2</v>
      </c>
      <c r="Y67" s="636">
        <f t="shared" ref="Y67" si="63">AVERAGE(W67:W81)</f>
        <v>138.79010307310546</v>
      </c>
      <c r="Z67" s="575">
        <v>10</v>
      </c>
      <c r="AA67" s="577">
        <v>1357.9999999999977</v>
      </c>
      <c r="AB67" s="577">
        <v>135.79999999999978</v>
      </c>
      <c r="AC67" s="576">
        <f t="shared" ref="AC67:AC81" si="64">RANK(AB67, AB$67:AB$81)</f>
        <v>3</v>
      </c>
      <c r="AD67" s="636">
        <f t="shared" ref="AD67" si="65">AVERAGE(AB67:AB81)</f>
        <v>135.99911242603559</v>
      </c>
      <c r="AE67" s="575">
        <v>10</v>
      </c>
      <c r="AF67" s="577">
        <v>1370.4000000000003</v>
      </c>
      <c r="AG67" s="577">
        <v>137.04000000000002</v>
      </c>
      <c r="AH67" s="576">
        <f t="shared" ref="AH67:AH81" si="66">RANK(AG67, AG$67:AG$81)</f>
        <v>2</v>
      </c>
      <c r="AI67" s="636">
        <f t="shared" ref="AI67" si="67">AVERAGE(AG67:AG81)</f>
        <v>128.71454545454557</v>
      </c>
      <c r="AJ67" s="575">
        <v>10</v>
      </c>
      <c r="AK67" s="577">
        <v>1360.800000000005</v>
      </c>
      <c r="AL67" s="577">
        <v>136.0800000000005</v>
      </c>
      <c r="AM67" s="576">
        <f t="shared" ref="AM67:AM81" si="68">RANK(AL67, AL$67:AL$81)</f>
        <v>3</v>
      </c>
      <c r="AN67" s="636">
        <f t="shared" ref="AN67" si="69">AVERAGE(AL67:AL81)</f>
        <v>132.19552447552451</v>
      </c>
      <c r="AO67" s="575">
        <v>10</v>
      </c>
      <c r="AP67" s="577">
        <v>1423.9999999999975</v>
      </c>
      <c r="AQ67" s="577">
        <v>142.39999999999975</v>
      </c>
      <c r="AR67" s="576">
        <f t="shared" ref="AR67:AR81" si="70">RANK(AQ67, AQ$67:AQ$81)</f>
        <v>1</v>
      </c>
      <c r="AS67" s="636">
        <f t="shared" ref="AS67" si="71">AVERAGE(AQ67:AQ81)</f>
        <v>137.62583146296663</v>
      </c>
      <c r="AT67" s="575">
        <v>10</v>
      </c>
      <c r="AU67" s="577">
        <v>1369.9999999999975</v>
      </c>
      <c r="AV67" s="577">
        <v>136.99999999999974</v>
      </c>
      <c r="AW67" s="576">
        <f t="shared" ref="AW67:AW81" si="72">RANK(AV67, AV$67:AV$81)</f>
        <v>3</v>
      </c>
      <c r="AX67" s="636">
        <f t="shared" ref="AX67" si="73">AVERAGE(AV67:AV81)</f>
        <v>137.68609467455636</v>
      </c>
      <c r="AZ67" s="375" t="e">
        <f t="shared" ref="AZ67:AZ81" si="74">RANK(AY67, AY$67:AY$81)</f>
        <v>#N/A</v>
      </c>
      <c r="BA67" s="636" t="e">
        <f t="shared" ref="BA67" si="75">AVERAGE(AY67:AY81)</f>
        <v>#DIV/0!</v>
      </c>
    </row>
    <row r="68" spans="2:53">
      <c r="B68" s="647"/>
      <c r="C68" s="380">
        <v>2</v>
      </c>
      <c r="D68" s="516" t="s">
        <v>591</v>
      </c>
      <c r="E68" s="516">
        <v>15</v>
      </c>
      <c r="F68" s="516">
        <v>1800</v>
      </c>
      <c r="G68" s="519">
        <v>120</v>
      </c>
      <c r="H68" s="655"/>
      <c r="I68" s="381">
        <f t="shared" si="57"/>
        <v>13</v>
      </c>
      <c r="J68" s="381">
        <f t="shared" si="58"/>
        <v>1799.7038961038957</v>
      </c>
      <c r="K68" s="199">
        <f t="shared" si="59"/>
        <v>138.4387612387612</v>
      </c>
      <c r="L68" s="657"/>
      <c r="M68" s="423">
        <f>RANK(K68, K$67:$K$81)</f>
        <v>1</v>
      </c>
      <c r="N68" s="641"/>
      <c r="O68" s="641"/>
      <c r="P68" s="575">
        <v>13</v>
      </c>
      <c r="Q68" s="577">
        <v>1710.3999999999987</v>
      </c>
      <c r="R68" s="577">
        <v>131.56923076923067</v>
      </c>
      <c r="S68" s="576">
        <f t="shared" si="60"/>
        <v>3</v>
      </c>
      <c r="T68" s="637"/>
      <c r="U68" s="575">
        <v>13</v>
      </c>
      <c r="V68" s="577">
        <v>1771.1999999999987</v>
      </c>
      <c r="W68" s="577">
        <v>136.24615384615373</v>
      </c>
      <c r="X68" s="576">
        <f t="shared" si="62"/>
        <v>4</v>
      </c>
      <c r="Y68" s="637"/>
      <c r="Z68" s="575">
        <v>13</v>
      </c>
      <c r="AA68" s="577">
        <v>1786.3999999999987</v>
      </c>
      <c r="AB68" s="577">
        <v>137.41538461538451</v>
      </c>
      <c r="AC68" s="576">
        <f t="shared" si="64"/>
        <v>1</v>
      </c>
      <c r="AD68" s="637"/>
      <c r="AE68" s="575">
        <v>13</v>
      </c>
      <c r="AF68" s="577">
        <v>1835.9999999999993</v>
      </c>
      <c r="AG68" s="577">
        <v>141.23076923076917</v>
      </c>
      <c r="AH68" s="576">
        <f t="shared" si="66"/>
        <v>1</v>
      </c>
      <c r="AI68" s="637"/>
      <c r="AJ68" s="575">
        <v>13</v>
      </c>
      <c r="AK68" s="577">
        <v>1892.7272727272739</v>
      </c>
      <c r="AL68" s="577">
        <v>145.59440559440569</v>
      </c>
      <c r="AM68" s="576">
        <f t="shared" si="68"/>
        <v>1</v>
      </c>
      <c r="AN68" s="637"/>
      <c r="AO68" s="575">
        <v>13</v>
      </c>
      <c r="AP68" s="577">
        <v>1783.1999999999987</v>
      </c>
      <c r="AQ68" s="577">
        <v>137.16923076923067</v>
      </c>
      <c r="AR68" s="576">
        <f t="shared" si="70"/>
        <v>2</v>
      </c>
      <c r="AS68" s="637"/>
      <c r="AT68" s="575">
        <v>13</v>
      </c>
      <c r="AU68" s="577">
        <v>1818.0000000000023</v>
      </c>
      <c r="AV68" s="577">
        <v>139.84615384615401</v>
      </c>
      <c r="AW68" s="576">
        <f t="shared" si="72"/>
        <v>2</v>
      </c>
      <c r="AX68" s="637"/>
      <c r="AZ68" s="375" t="e">
        <f t="shared" si="74"/>
        <v>#N/A</v>
      </c>
      <c r="BA68" s="637"/>
    </row>
    <row r="69" spans="2:53">
      <c r="B69" s="647"/>
      <c r="C69" s="380">
        <v>3</v>
      </c>
      <c r="D69" s="516" t="s">
        <v>592</v>
      </c>
      <c r="E69" s="516">
        <v>15</v>
      </c>
      <c r="F69" s="516">
        <v>1800</v>
      </c>
      <c r="G69" s="519">
        <v>120</v>
      </c>
      <c r="H69" s="655"/>
      <c r="I69" s="381">
        <f t="shared" si="57"/>
        <v>13</v>
      </c>
      <c r="J69" s="381">
        <f t="shared" si="58"/>
        <v>1780.7964035964044</v>
      </c>
      <c r="K69" s="199">
        <f t="shared" si="59"/>
        <v>136.98433873818493</v>
      </c>
      <c r="L69" s="657"/>
      <c r="M69" s="423">
        <f>RANK(K69, K$67:$K$81)</f>
        <v>3</v>
      </c>
      <c r="N69" s="641"/>
      <c r="O69" s="641"/>
      <c r="P69" s="575">
        <v>13</v>
      </c>
      <c r="Q69" s="577">
        <v>1774.1538461538439</v>
      </c>
      <c r="R69" s="577">
        <v>136.47337278106491</v>
      </c>
      <c r="S69" s="576">
        <f t="shared" si="60"/>
        <v>2</v>
      </c>
      <c r="T69" s="637"/>
      <c r="U69" s="575">
        <v>13</v>
      </c>
      <c r="V69" s="577">
        <v>1838.7692307692328</v>
      </c>
      <c r="W69" s="577">
        <v>141.44378698224867</v>
      </c>
      <c r="X69" s="576">
        <f t="shared" si="62"/>
        <v>1</v>
      </c>
      <c r="Y69" s="637"/>
      <c r="Z69" s="575">
        <v>13</v>
      </c>
      <c r="AA69" s="577">
        <v>1774.1538461538482</v>
      </c>
      <c r="AB69" s="577">
        <v>136.47337278106525</v>
      </c>
      <c r="AC69" s="576">
        <f t="shared" si="64"/>
        <v>2</v>
      </c>
      <c r="AD69" s="637"/>
      <c r="AE69" s="575">
        <v>13</v>
      </c>
      <c r="AF69" s="577">
        <v>1747.6363636363649</v>
      </c>
      <c r="AG69" s="577">
        <v>134.43356643356654</v>
      </c>
      <c r="AH69" s="576">
        <f t="shared" si="66"/>
        <v>3</v>
      </c>
      <c r="AI69" s="637"/>
      <c r="AJ69" s="575">
        <v>13</v>
      </c>
      <c r="AK69" s="577">
        <v>1832.3999999999976</v>
      </c>
      <c r="AL69" s="577">
        <v>140.95384615384597</v>
      </c>
      <c r="AM69" s="576">
        <f t="shared" si="68"/>
        <v>2</v>
      </c>
      <c r="AN69" s="637"/>
      <c r="AO69" s="575">
        <v>13</v>
      </c>
      <c r="AP69" s="577">
        <v>1759.3846153846173</v>
      </c>
      <c r="AQ69" s="577">
        <v>135.33727810650902</v>
      </c>
      <c r="AR69" s="576">
        <f t="shared" si="70"/>
        <v>4</v>
      </c>
      <c r="AS69" s="637"/>
      <c r="AT69" s="575">
        <v>13</v>
      </c>
      <c r="AU69" s="577">
        <v>1739.0769230769249</v>
      </c>
      <c r="AV69" s="577">
        <v>133.77514792899422</v>
      </c>
      <c r="AW69" s="576">
        <f t="shared" si="72"/>
        <v>4</v>
      </c>
      <c r="AX69" s="637"/>
      <c r="AZ69" s="375" t="e">
        <f t="shared" si="74"/>
        <v>#N/A</v>
      </c>
      <c r="BA69" s="637"/>
    </row>
    <row r="70" spans="2:53">
      <c r="B70" s="647"/>
      <c r="C70" s="380">
        <v>4</v>
      </c>
      <c r="D70" s="516" t="s">
        <v>718</v>
      </c>
      <c r="E70" s="516">
        <v>18</v>
      </c>
      <c r="F70" s="516">
        <v>1800</v>
      </c>
      <c r="G70" s="519">
        <v>120</v>
      </c>
      <c r="H70" s="655"/>
      <c r="I70" s="381">
        <f t="shared" si="57"/>
        <v>13</v>
      </c>
      <c r="J70" s="381">
        <f t="shared" si="58"/>
        <v>1640.0841479194576</v>
      </c>
      <c r="K70" s="199">
        <f t="shared" si="59"/>
        <v>126.16031907072751</v>
      </c>
      <c r="L70" s="657"/>
      <c r="M70" s="423">
        <f>RANK(K70, K$67:$K$81)</f>
        <v>4</v>
      </c>
      <c r="N70" s="641"/>
      <c r="O70" s="641"/>
      <c r="P70" s="575">
        <v>13</v>
      </c>
      <c r="Q70" s="577">
        <v>1657.7142857142842</v>
      </c>
      <c r="R70" s="577">
        <v>127.5164835164834</v>
      </c>
      <c r="S70" s="576">
        <f t="shared" si="60"/>
        <v>4</v>
      </c>
      <c r="T70" s="637"/>
      <c r="U70" s="575">
        <v>13</v>
      </c>
      <c r="V70" s="577">
        <v>1784.5161290322553</v>
      </c>
      <c r="W70" s="577">
        <v>137.27047146401964</v>
      </c>
      <c r="X70" s="576">
        <f t="shared" si="62"/>
        <v>3</v>
      </c>
      <c r="Y70" s="637"/>
      <c r="Z70" s="575">
        <v>13</v>
      </c>
      <c r="AA70" s="577">
        <v>1746.0000000000064</v>
      </c>
      <c r="AB70" s="577">
        <v>134.3076923076928</v>
      </c>
      <c r="AC70" s="576">
        <f t="shared" si="64"/>
        <v>4</v>
      </c>
      <c r="AD70" s="637"/>
      <c r="AE70" s="575">
        <v>13</v>
      </c>
      <c r="AF70" s="577">
        <v>1328.0000000000045</v>
      </c>
      <c r="AG70" s="577">
        <v>102.1538461538465</v>
      </c>
      <c r="AH70" s="576">
        <f t="shared" si="66"/>
        <v>4</v>
      </c>
      <c r="AI70" s="637"/>
      <c r="AJ70" s="575">
        <v>13</v>
      </c>
      <c r="AK70" s="577">
        <v>1379.9999999999961</v>
      </c>
      <c r="AL70" s="577">
        <v>106.15384615384586</v>
      </c>
      <c r="AM70" s="576">
        <f t="shared" si="68"/>
        <v>4</v>
      </c>
      <c r="AN70" s="637"/>
      <c r="AO70" s="575">
        <v>13</v>
      </c>
      <c r="AP70" s="577">
        <v>1762.7586206896517</v>
      </c>
      <c r="AQ70" s="577">
        <v>135.59681697612706</v>
      </c>
      <c r="AR70" s="576">
        <f t="shared" si="70"/>
        <v>3</v>
      </c>
      <c r="AS70" s="637"/>
      <c r="AT70" s="575">
        <v>13</v>
      </c>
      <c r="AU70" s="577">
        <v>1821.6000000000065</v>
      </c>
      <c r="AV70" s="577">
        <v>140.12307692307743</v>
      </c>
      <c r="AW70" s="576">
        <f t="shared" si="72"/>
        <v>1</v>
      </c>
      <c r="AX70" s="637"/>
      <c r="AZ70" s="375" t="e">
        <f t="shared" si="74"/>
        <v>#N/A</v>
      </c>
      <c r="BA70" s="637"/>
    </row>
    <row r="71" spans="2:53">
      <c r="B71" s="647"/>
      <c r="C71" s="380">
        <v>5</v>
      </c>
      <c r="D71" s="516"/>
      <c r="E71" s="516"/>
      <c r="F71" s="516"/>
      <c r="G71" s="519"/>
      <c r="H71" s="655"/>
      <c r="I71" s="381" t="str">
        <f t="shared" si="57"/>
        <v>-</v>
      </c>
      <c r="J71" s="381" t="str">
        <f t="shared" si="58"/>
        <v>-</v>
      </c>
      <c r="K71" s="199" t="str">
        <f t="shared" si="59"/>
        <v>-</v>
      </c>
      <c r="L71" s="657"/>
      <c r="M71" s="423" t="e">
        <f>RANK(K71, K$67:$K$81)</f>
        <v>#VALUE!</v>
      </c>
      <c r="N71" s="641"/>
      <c r="O71" s="641"/>
      <c r="P71" s="575" t="s">
        <v>585</v>
      </c>
      <c r="Q71" s="577" t="s">
        <v>585</v>
      </c>
      <c r="R71" s="577" t="s">
        <v>585</v>
      </c>
      <c r="S71" s="576" t="e">
        <f t="shared" si="60"/>
        <v>#VALUE!</v>
      </c>
      <c r="T71" s="637"/>
      <c r="U71" s="575" t="s">
        <v>585</v>
      </c>
      <c r="V71" s="577" t="s">
        <v>585</v>
      </c>
      <c r="W71" s="577" t="s">
        <v>585</v>
      </c>
      <c r="X71" s="576" t="e">
        <f t="shared" si="62"/>
        <v>#VALUE!</v>
      </c>
      <c r="Y71" s="637"/>
      <c r="Z71" s="575" t="s">
        <v>585</v>
      </c>
      <c r="AA71" s="577" t="s">
        <v>585</v>
      </c>
      <c r="AB71" s="577" t="s">
        <v>585</v>
      </c>
      <c r="AC71" s="576" t="e">
        <f t="shared" si="64"/>
        <v>#VALUE!</v>
      </c>
      <c r="AD71" s="637"/>
      <c r="AE71" s="575" t="s">
        <v>585</v>
      </c>
      <c r="AF71" s="577" t="s">
        <v>585</v>
      </c>
      <c r="AG71" s="577" t="s">
        <v>585</v>
      </c>
      <c r="AH71" s="576" t="e">
        <f t="shared" si="66"/>
        <v>#VALUE!</v>
      </c>
      <c r="AI71" s="637"/>
      <c r="AJ71" s="575" t="s">
        <v>585</v>
      </c>
      <c r="AK71" s="577" t="s">
        <v>585</v>
      </c>
      <c r="AL71" s="577" t="s">
        <v>585</v>
      </c>
      <c r="AM71" s="576" t="e">
        <f t="shared" si="68"/>
        <v>#VALUE!</v>
      </c>
      <c r="AN71" s="637"/>
      <c r="AO71" s="575" t="s">
        <v>585</v>
      </c>
      <c r="AP71" s="577" t="s">
        <v>585</v>
      </c>
      <c r="AQ71" s="577" t="s">
        <v>585</v>
      </c>
      <c r="AR71" s="576" t="e">
        <f t="shared" si="70"/>
        <v>#VALUE!</v>
      </c>
      <c r="AS71" s="637"/>
      <c r="AT71" s="575" t="s">
        <v>585</v>
      </c>
      <c r="AU71" s="577" t="s">
        <v>585</v>
      </c>
      <c r="AV71" s="577" t="s">
        <v>585</v>
      </c>
      <c r="AW71" s="576" t="e">
        <f t="shared" si="72"/>
        <v>#VALUE!</v>
      </c>
      <c r="AX71" s="637"/>
      <c r="AZ71" s="375" t="e">
        <f t="shared" si="74"/>
        <v>#N/A</v>
      </c>
      <c r="BA71" s="637"/>
    </row>
    <row r="72" spans="2:53">
      <c r="B72" s="647"/>
      <c r="C72" s="380">
        <v>6</v>
      </c>
      <c r="D72" s="516"/>
      <c r="E72" s="516"/>
      <c r="F72" s="516"/>
      <c r="G72" s="519"/>
      <c r="H72" s="655"/>
      <c r="I72" s="381" t="str">
        <f t="shared" si="57"/>
        <v>-</v>
      </c>
      <c r="J72" s="381" t="str">
        <f t="shared" si="58"/>
        <v>-</v>
      </c>
      <c r="K72" s="199" t="str">
        <f t="shared" si="59"/>
        <v>-</v>
      </c>
      <c r="L72" s="657"/>
      <c r="M72" s="423" t="e">
        <f>RANK(K72, K$67:$K$81)</f>
        <v>#VALUE!</v>
      </c>
      <c r="N72" s="641"/>
      <c r="O72" s="641"/>
      <c r="P72" s="575" t="s">
        <v>585</v>
      </c>
      <c r="Q72" s="577" t="s">
        <v>585</v>
      </c>
      <c r="R72" s="577" t="s">
        <v>585</v>
      </c>
      <c r="S72" s="576" t="e">
        <f t="shared" si="60"/>
        <v>#VALUE!</v>
      </c>
      <c r="T72" s="637"/>
      <c r="U72" s="575" t="s">
        <v>585</v>
      </c>
      <c r="V72" s="577" t="s">
        <v>585</v>
      </c>
      <c r="W72" s="577" t="s">
        <v>585</v>
      </c>
      <c r="X72" s="576" t="e">
        <f t="shared" si="62"/>
        <v>#VALUE!</v>
      </c>
      <c r="Y72" s="637"/>
      <c r="Z72" s="575" t="s">
        <v>585</v>
      </c>
      <c r="AA72" s="577" t="s">
        <v>585</v>
      </c>
      <c r="AB72" s="577" t="s">
        <v>585</v>
      </c>
      <c r="AC72" s="576" t="e">
        <f t="shared" si="64"/>
        <v>#VALUE!</v>
      </c>
      <c r="AD72" s="637"/>
      <c r="AE72" s="575" t="s">
        <v>585</v>
      </c>
      <c r="AF72" s="577" t="s">
        <v>585</v>
      </c>
      <c r="AG72" s="577" t="s">
        <v>585</v>
      </c>
      <c r="AH72" s="576" t="e">
        <f t="shared" si="66"/>
        <v>#VALUE!</v>
      </c>
      <c r="AI72" s="637"/>
      <c r="AJ72" s="575" t="s">
        <v>585</v>
      </c>
      <c r="AK72" s="577" t="s">
        <v>585</v>
      </c>
      <c r="AL72" s="577" t="s">
        <v>585</v>
      </c>
      <c r="AM72" s="576" t="e">
        <f t="shared" si="68"/>
        <v>#VALUE!</v>
      </c>
      <c r="AN72" s="637"/>
      <c r="AO72" s="575" t="s">
        <v>585</v>
      </c>
      <c r="AP72" s="577" t="s">
        <v>585</v>
      </c>
      <c r="AQ72" s="577" t="s">
        <v>585</v>
      </c>
      <c r="AR72" s="576" t="e">
        <f t="shared" si="70"/>
        <v>#VALUE!</v>
      </c>
      <c r="AS72" s="637"/>
      <c r="AT72" s="575" t="s">
        <v>585</v>
      </c>
      <c r="AU72" s="577" t="s">
        <v>585</v>
      </c>
      <c r="AV72" s="577" t="s">
        <v>585</v>
      </c>
      <c r="AW72" s="576" t="e">
        <f t="shared" si="72"/>
        <v>#VALUE!</v>
      </c>
      <c r="AX72" s="637"/>
      <c r="AZ72" s="375" t="e">
        <f t="shared" si="74"/>
        <v>#N/A</v>
      </c>
      <c r="BA72" s="637"/>
    </row>
    <row r="73" spans="2:53">
      <c r="B73" s="647"/>
      <c r="C73" s="380">
        <v>7</v>
      </c>
      <c r="D73" s="516"/>
      <c r="E73" s="516"/>
      <c r="F73" s="516"/>
      <c r="G73" s="519"/>
      <c r="H73" s="655"/>
      <c r="I73" s="381" t="str">
        <f t="shared" si="57"/>
        <v>-</v>
      </c>
      <c r="J73" s="381" t="str">
        <f t="shared" si="58"/>
        <v>-</v>
      </c>
      <c r="K73" s="199" t="str">
        <f t="shared" si="59"/>
        <v>-</v>
      </c>
      <c r="L73" s="657"/>
      <c r="M73" s="423" t="e">
        <f>RANK(K73, K$67:$K$81)</f>
        <v>#VALUE!</v>
      </c>
      <c r="N73" s="641"/>
      <c r="O73" s="641"/>
      <c r="P73" s="575" t="s">
        <v>585</v>
      </c>
      <c r="Q73" s="577" t="s">
        <v>585</v>
      </c>
      <c r="R73" s="577" t="s">
        <v>585</v>
      </c>
      <c r="S73" s="576" t="e">
        <f t="shared" si="60"/>
        <v>#VALUE!</v>
      </c>
      <c r="T73" s="637"/>
      <c r="U73" s="575" t="s">
        <v>585</v>
      </c>
      <c r="V73" s="577" t="s">
        <v>585</v>
      </c>
      <c r="W73" s="577" t="s">
        <v>585</v>
      </c>
      <c r="X73" s="576" t="e">
        <f t="shared" si="62"/>
        <v>#VALUE!</v>
      </c>
      <c r="Y73" s="637"/>
      <c r="Z73" s="575" t="s">
        <v>585</v>
      </c>
      <c r="AA73" s="577" t="s">
        <v>585</v>
      </c>
      <c r="AB73" s="577" t="s">
        <v>585</v>
      </c>
      <c r="AC73" s="576" t="e">
        <f t="shared" si="64"/>
        <v>#VALUE!</v>
      </c>
      <c r="AD73" s="637"/>
      <c r="AE73" s="575" t="s">
        <v>585</v>
      </c>
      <c r="AF73" s="577" t="s">
        <v>585</v>
      </c>
      <c r="AG73" s="577" t="s">
        <v>585</v>
      </c>
      <c r="AH73" s="576" t="e">
        <f t="shared" si="66"/>
        <v>#VALUE!</v>
      </c>
      <c r="AI73" s="637"/>
      <c r="AJ73" s="575" t="s">
        <v>585</v>
      </c>
      <c r="AK73" s="577" t="s">
        <v>585</v>
      </c>
      <c r="AL73" s="577" t="s">
        <v>585</v>
      </c>
      <c r="AM73" s="576" t="e">
        <f t="shared" si="68"/>
        <v>#VALUE!</v>
      </c>
      <c r="AN73" s="637"/>
      <c r="AO73" s="575" t="s">
        <v>585</v>
      </c>
      <c r="AP73" s="577" t="s">
        <v>585</v>
      </c>
      <c r="AQ73" s="577" t="s">
        <v>585</v>
      </c>
      <c r="AR73" s="576" t="e">
        <f t="shared" si="70"/>
        <v>#VALUE!</v>
      </c>
      <c r="AS73" s="637"/>
      <c r="AT73" s="575" t="s">
        <v>585</v>
      </c>
      <c r="AU73" s="577" t="s">
        <v>585</v>
      </c>
      <c r="AV73" s="577" t="s">
        <v>585</v>
      </c>
      <c r="AW73" s="576" t="e">
        <f t="shared" si="72"/>
        <v>#VALUE!</v>
      </c>
      <c r="AX73" s="637"/>
      <c r="AZ73" s="375" t="e">
        <f t="shared" si="74"/>
        <v>#N/A</v>
      </c>
      <c r="BA73" s="637"/>
    </row>
    <row r="74" spans="2:53">
      <c r="B74" s="647"/>
      <c r="C74" s="380">
        <v>8</v>
      </c>
      <c r="D74" s="516"/>
      <c r="E74" s="516"/>
      <c r="F74" s="516"/>
      <c r="G74" s="519"/>
      <c r="H74" s="655"/>
      <c r="I74" s="381" t="str">
        <f t="shared" si="57"/>
        <v>-</v>
      </c>
      <c r="J74" s="381" t="str">
        <f t="shared" si="58"/>
        <v>-</v>
      </c>
      <c r="K74" s="199" t="str">
        <f t="shared" si="59"/>
        <v>-</v>
      </c>
      <c r="L74" s="657"/>
      <c r="M74" s="423" t="e">
        <f>RANK(K74, K$67:$K$81)</f>
        <v>#VALUE!</v>
      </c>
      <c r="N74" s="641"/>
      <c r="O74" s="641"/>
      <c r="P74" s="575" t="s">
        <v>585</v>
      </c>
      <c r="Q74" s="577" t="s">
        <v>585</v>
      </c>
      <c r="R74" s="577" t="s">
        <v>585</v>
      </c>
      <c r="S74" s="576" t="e">
        <f t="shared" si="60"/>
        <v>#VALUE!</v>
      </c>
      <c r="T74" s="637"/>
      <c r="U74" s="575" t="s">
        <v>585</v>
      </c>
      <c r="V74" s="577" t="s">
        <v>585</v>
      </c>
      <c r="W74" s="577" t="s">
        <v>585</v>
      </c>
      <c r="X74" s="576" t="e">
        <f t="shared" si="62"/>
        <v>#VALUE!</v>
      </c>
      <c r="Y74" s="637"/>
      <c r="Z74" s="575" t="s">
        <v>585</v>
      </c>
      <c r="AA74" s="577" t="s">
        <v>585</v>
      </c>
      <c r="AB74" s="577" t="s">
        <v>585</v>
      </c>
      <c r="AC74" s="576" t="e">
        <f t="shared" si="64"/>
        <v>#VALUE!</v>
      </c>
      <c r="AD74" s="637"/>
      <c r="AE74" s="575" t="s">
        <v>585</v>
      </c>
      <c r="AF74" s="577" t="s">
        <v>585</v>
      </c>
      <c r="AG74" s="577" t="s">
        <v>585</v>
      </c>
      <c r="AH74" s="576" t="e">
        <f t="shared" si="66"/>
        <v>#VALUE!</v>
      </c>
      <c r="AI74" s="637"/>
      <c r="AJ74" s="575" t="s">
        <v>585</v>
      </c>
      <c r="AK74" s="577" t="s">
        <v>585</v>
      </c>
      <c r="AL74" s="577" t="s">
        <v>585</v>
      </c>
      <c r="AM74" s="576" t="e">
        <f t="shared" si="68"/>
        <v>#VALUE!</v>
      </c>
      <c r="AN74" s="637"/>
      <c r="AO74" s="575" t="s">
        <v>585</v>
      </c>
      <c r="AP74" s="577" t="s">
        <v>585</v>
      </c>
      <c r="AQ74" s="577" t="s">
        <v>585</v>
      </c>
      <c r="AR74" s="576" t="e">
        <f t="shared" si="70"/>
        <v>#VALUE!</v>
      </c>
      <c r="AS74" s="637"/>
      <c r="AT74" s="575" t="s">
        <v>585</v>
      </c>
      <c r="AU74" s="577" t="s">
        <v>585</v>
      </c>
      <c r="AV74" s="577" t="s">
        <v>585</v>
      </c>
      <c r="AW74" s="576" t="e">
        <f t="shared" si="72"/>
        <v>#VALUE!</v>
      </c>
      <c r="AX74" s="637"/>
      <c r="AZ74" s="375" t="e">
        <f t="shared" si="74"/>
        <v>#N/A</v>
      </c>
      <c r="BA74" s="637"/>
    </row>
    <row r="75" spans="2:53">
      <c r="B75" s="647"/>
      <c r="C75" s="380">
        <v>9</v>
      </c>
      <c r="D75" s="516"/>
      <c r="E75" s="516"/>
      <c r="F75" s="516"/>
      <c r="G75" s="519"/>
      <c r="H75" s="655"/>
      <c r="I75" s="381" t="str">
        <f t="shared" si="57"/>
        <v>-</v>
      </c>
      <c r="J75" s="381" t="str">
        <f t="shared" si="58"/>
        <v>-</v>
      </c>
      <c r="K75" s="199" t="str">
        <f t="shared" si="59"/>
        <v>-</v>
      </c>
      <c r="L75" s="657"/>
      <c r="M75" s="423" t="e">
        <f>RANK(K75, K$67:$K$81)</f>
        <v>#VALUE!</v>
      </c>
      <c r="N75" s="641"/>
      <c r="O75" s="641"/>
      <c r="P75" s="575" t="s">
        <v>585</v>
      </c>
      <c r="Q75" s="577" t="s">
        <v>585</v>
      </c>
      <c r="R75" s="577" t="s">
        <v>585</v>
      </c>
      <c r="S75" s="576" t="e">
        <f t="shared" si="60"/>
        <v>#VALUE!</v>
      </c>
      <c r="T75" s="637"/>
      <c r="U75" s="575" t="s">
        <v>585</v>
      </c>
      <c r="V75" s="577" t="s">
        <v>585</v>
      </c>
      <c r="W75" s="577" t="s">
        <v>585</v>
      </c>
      <c r="X75" s="576" t="e">
        <f t="shared" si="62"/>
        <v>#VALUE!</v>
      </c>
      <c r="Y75" s="637"/>
      <c r="Z75" s="575" t="s">
        <v>585</v>
      </c>
      <c r="AA75" s="577" t="s">
        <v>585</v>
      </c>
      <c r="AB75" s="577" t="s">
        <v>585</v>
      </c>
      <c r="AC75" s="576" t="e">
        <f t="shared" si="64"/>
        <v>#VALUE!</v>
      </c>
      <c r="AD75" s="637"/>
      <c r="AE75" s="575" t="s">
        <v>585</v>
      </c>
      <c r="AF75" s="577" t="s">
        <v>585</v>
      </c>
      <c r="AG75" s="577" t="s">
        <v>585</v>
      </c>
      <c r="AH75" s="576" t="e">
        <f t="shared" si="66"/>
        <v>#VALUE!</v>
      </c>
      <c r="AI75" s="637"/>
      <c r="AJ75" s="575" t="s">
        <v>585</v>
      </c>
      <c r="AK75" s="577" t="s">
        <v>585</v>
      </c>
      <c r="AL75" s="577" t="s">
        <v>585</v>
      </c>
      <c r="AM75" s="576" t="e">
        <f t="shared" si="68"/>
        <v>#VALUE!</v>
      </c>
      <c r="AN75" s="637"/>
      <c r="AO75" s="575" t="s">
        <v>585</v>
      </c>
      <c r="AP75" s="577" t="s">
        <v>585</v>
      </c>
      <c r="AQ75" s="577" t="s">
        <v>585</v>
      </c>
      <c r="AR75" s="576" t="e">
        <f t="shared" si="70"/>
        <v>#VALUE!</v>
      </c>
      <c r="AS75" s="637"/>
      <c r="AT75" s="575" t="s">
        <v>585</v>
      </c>
      <c r="AU75" s="577" t="s">
        <v>585</v>
      </c>
      <c r="AV75" s="577" t="s">
        <v>585</v>
      </c>
      <c r="AW75" s="576" t="e">
        <f t="shared" si="72"/>
        <v>#VALUE!</v>
      </c>
      <c r="AX75" s="637"/>
      <c r="AZ75" s="375" t="e">
        <f t="shared" si="74"/>
        <v>#N/A</v>
      </c>
      <c r="BA75" s="637"/>
    </row>
    <row r="76" spans="2:53">
      <c r="B76" s="647"/>
      <c r="C76" s="380">
        <v>10</v>
      </c>
      <c r="D76" s="516"/>
      <c r="E76" s="516"/>
      <c r="F76" s="516"/>
      <c r="G76" s="519"/>
      <c r="H76" s="655"/>
      <c r="I76" s="381" t="str">
        <f t="shared" si="57"/>
        <v>-</v>
      </c>
      <c r="J76" s="381" t="str">
        <f t="shared" si="58"/>
        <v>-</v>
      </c>
      <c r="K76" s="199" t="str">
        <f t="shared" si="59"/>
        <v>-</v>
      </c>
      <c r="L76" s="657"/>
      <c r="M76" s="423" t="e">
        <f>RANK(K76, K$67:$K$81)</f>
        <v>#VALUE!</v>
      </c>
      <c r="N76" s="641"/>
      <c r="O76" s="641"/>
      <c r="P76" s="575" t="s">
        <v>585</v>
      </c>
      <c r="Q76" s="577" t="s">
        <v>585</v>
      </c>
      <c r="R76" s="577" t="s">
        <v>585</v>
      </c>
      <c r="S76" s="576" t="e">
        <f t="shared" si="60"/>
        <v>#VALUE!</v>
      </c>
      <c r="T76" s="637"/>
      <c r="U76" s="575" t="s">
        <v>585</v>
      </c>
      <c r="V76" s="577" t="s">
        <v>585</v>
      </c>
      <c r="W76" s="577" t="s">
        <v>585</v>
      </c>
      <c r="X76" s="576" t="e">
        <f t="shared" si="62"/>
        <v>#VALUE!</v>
      </c>
      <c r="Y76" s="637"/>
      <c r="Z76" s="575" t="s">
        <v>585</v>
      </c>
      <c r="AA76" s="577" t="s">
        <v>585</v>
      </c>
      <c r="AB76" s="577" t="s">
        <v>585</v>
      </c>
      <c r="AC76" s="576" t="e">
        <f t="shared" si="64"/>
        <v>#VALUE!</v>
      </c>
      <c r="AD76" s="637"/>
      <c r="AE76" s="575" t="s">
        <v>585</v>
      </c>
      <c r="AF76" s="577" t="s">
        <v>585</v>
      </c>
      <c r="AG76" s="577" t="s">
        <v>585</v>
      </c>
      <c r="AH76" s="576" t="e">
        <f t="shared" si="66"/>
        <v>#VALUE!</v>
      </c>
      <c r="AI76" s="637"/>
      <c r="AJ76" s="575" t="s">
        <v>585</v>
      </c>
      <c r="AK76" s="577" t="s">
        <v>585</v>
      </c>
      <c r="AL76" s="577" t="s">
        <v>585</v>
      </c>
      <c r="AM76" s="576" t="e">
        <f t="shared" si="68"/>
        <v>#VALUE!</v>
      </c>
      <c r="AN76" s="637"/>
      <c r="AO76" s="575" t="s">
        <v>585</v>
      </c>
      <c r="AP76" s="577" t="s">
        <v>585</v>
      </c>
      <c r="AQ76" s="577" t="s">
        <v>585</v>
      </c>
      <c r="AR76" s="576" t="e">
        <f t="shared" si="70"/>
        <v>#VALUE!</v>
      </c>
      <c r="AS76" s="637"/>
      <c r="AT76" s="575" t="s">
        <v>585</v>
      </c>
      <c r="AU76" s="577" t="s">
        <v>585</v>
      </c>
      <c r="AV76" s="577" t="s">
        <v>585</v>
      </c>
      <c r="AW76" s="576" t="e">
        <f t="shared" si="72"/>
        <v>#VALUE!</v>
      </c>
      <c r="AX76" s="637"/>
      <c r="AZ76" s="375" t="e">
        <f t="shared" si="74"/>
        <v>#N/A</v>
      </c>
      <c r="BA76" s="637"/>
    </row>
    <row r="77" spans="2:53">
      <c r="B77" s="647"/>
      <c r="C77" s="380">
        <v>11</v>
      </c>
      <c r="D77" s="516"/>
      <c r="E77" s="516"/>
      <c r="F77" s="516"/>
      <c r="G77" s="519"/>
      <c r="H77" s="655"/>
      <c r="I77" s="381" t="str">
        <f t="shared" si="57"/>
        <v>-</v>
      </c>
      <c r="J77" s="381" t="str">
        <f t="shared" si="58"/>
        <v>-</v>
      </c>
      <c r="K77" s="199" t="str">
        <f t="shared" si="59"/>
        <v>-</v>
      </c>
      <c r="L77" s="657"/>
      <c r="M77" s="423" t="e">
        <f>RANK(K77, K$67:$K$81)</f>
        <v>#VALUE!</v>
      </c>
      <c r="N77" s="641"/>
      <c r="O77" s="641"/>
      <c r="P77" s="575" t="s">
        <v>585</v>
      </c>
      <c r="Q77" s="577" t="s">
        <v>585</v>
      </c>
      <c r="R77" s="577" t="s">
        <v>585</v>
      </c>
      <c r="S77" s="576" t="e">
        <f t="shared" si="60"/>
        <v>#VALUE!</v>
      </c>
      <c r="T77" s="637"/>
      <c r="U77" s="575" t="s">
        <v>585</v>
      </c>
      <c r="V77" s="577" t="s">
        <v>585</v>
      </c>
      <c r="W77" s="577" t="s">
        <v>585</v>
      </c>
      <c r="X77" s="576" t="e">
        <f t="shared" si="62"/>
        <v>#VALUE!</v>
      </c>
      <c r="Y77" s="637"/>
      <c r="Z77" s="575" t="s">
        <v>585</v>
      </c>
      <c r="AA77" s="577" t="s">
        <v>585</v>
      </c>
      <c r="AB77" s="577" t="s">
        <v>585</v>
      </c>
      <c r="AC77" s="576" t="e">
        <f t="shared" si="64"/>
        <v>#VALUE!</v>
      </c>
      <c r="AD77" s="637"/>
      <c r="AE77" s="575" t="s">
        <v>585</v>
      </c>
      <c r="AF77" s="577" t="s">
        <v>585</v>
      </c>
      <c r="AG77" s="577" t="s">
        <v>585</v>
      </c>
      <c r="AH77" s="576" t="e">
        <f t="shared" si="66"/>
        <v>#VALUE!</v>
      </c>
      <c r="AI77" s="637"/>
      <c r="AJ77" s="575" t="s">
        <v>585</v>
      </c>
      <c r="AK77" s="577" t="s">
        <v>585</v>
      </c>
      <c r="AL77" s="577" t="s">
        <v>585</v>
      </c>
      <c r="AM77" s="576" t="e">
        <f t="shared" si="68"/>
        <v>#VALUE!</v>
      </c>
      <c r="AN77" s="637"/>
      <c r="AO77" s="575" t="s">
        <v>585</v>
      </c>
      <c r="AP77" s="577" t="s">
        <v>585</v>
      </c>
      <c r="AQ77" s="577" t="s">
        <v>585</v>
      </c>
      <c r="AR77" s="576" t="e">
        <f t="shared" si="70"/>
        <v>#VALUE!</v>
      </c>
      <c r="AS77" s="637"/>
      <c r="AT77" s="575" t="s">
        <v>585</v>
      </c>
      <c r="AU77" s="577" t="s">
        <v>585</v>
      </c>
      <c r="AV77" s="577" t="s">
        <v>585</v>
      </c>
      <c r="AW77" s="576" t="e">
        <f t="shared" si="72"/>
        <v>#VALUE!</v>
      </c>
      <c r="AX77" s="637"/>
      <c r="AZ77" s="375" t="e">
        <f t="shared" si="74"/>
        <v>#N/A</v>
      </c>
      <c r="BA77" s="637"/>
    </row>
    <row r="78" spans="2:53">
      <c r="B78" s="647"/>
      <c r="C78" s="380">
        <v>12</v>
      </c>
      <c r="D78" s="516"/>
      <c r="E78" s="516"/>
      <c r="F78" s="516"/>
      <c r="G78" s="519"/>
      <c r="H78" s="655"/>
      <c r="I78" s="381" t="str">
        <f t="shared" si="57"/>
        <v>-</v>
      </c>
      <c r="J78" s="381" t="str">
        <f t="shared" si="58"/>
        <v>-</v>
      </c>
      <c r="K78" s="199" t="str">
        <f t="shared" si="59"/>
        <v>-</v>
      </c>
      <c r="L78" s="657"/>
      <c r="M78" s="423" t="e">
        <f>RANK(K78, K$67:$K$81)</f>
        <v>#VALUE!</v>
      </c>
      <c r="N78" s="641"/>
      <c r="O78" s="641"/>
      <c r="P78" s="575" t="s">
        <v>585</v>
      </c>
      <c r="Q78" s="577" t="s">
        <v>585</v>
      </c>
      <c r="R78" s="577" t="s">
        <v>585</v>
      </c>
      <c r="S78" s="576" t="e">
        <f t="shared" si="60"/>
        <v>#VALUE!</v>
      </c>
      <c r="T78" s="637"/>
      <c r="U78" s="575" t="s">
        <v>585</v>
      </c>
      <c r="V78" s="577" t="s">
        <v>585</v>
      </c>
      <c r="W78" s="577" t="s">
        <v>585</v>
      </c>
      <c r="X78" s="576" t="e">
        <f t="shared" si="62"/>
        <v>#VALUE!</v>
      </c>
      <c r="Y78" s="637"/>
      <c r="Z78" s="575" t="s">
        <v>585</v>
      </c>
      <c r="AA78" s="577" t="s">
        <v>585</v>
      </c>
      <c r="AB78" s="577" t="s">
        <v>585</v>
      </c>
      <c r="AC78" s="576" t="e">
        <f t="shared" si="64"/>
        <v>#VALUE!</v>
      </c>
      <c r="AD78" s="637"/>
      <c r="AE78" s="575" t="s">
        <v>585</v>
      </c>
      <c r="AF78" s="577" t="s">
        <v>585</v>
      </c>
      <c r="AG78" s="577" t="s">
        <v>585</v>
      </c>
      <c r="AH78" s="576" t="e">
        <f t="shared" si="66"/>
        <v>#VALUE!</v>
      </c>
      <c r="AI78" s="637"/>
      <c r="AJ78" s="575" t="s">
        <v>585</v>
      </c>
      <c r="AK78" s="577" t="s">
        <v>585</v>
      </c>
      <c r="AL78" s="577" t="s">
        <v>585</v>
      </c>
      <c r="AM78" s="576" t="e">
        <f t="shared" si="68"/>
        <v>#VALUE!</v>
      </c>
      <c r="AN78" s="637"/>
      <c r="AO78" s="575" t="s">
        <v>585</v>
      </c>
      <c r="AP78" s="577" t="s">
        <v>585</v>
      </c>
      <c r="AQ78" s="577" t="s">
        <v>585</v>
      </c>
      <c r="AR78" s="576" t="e">
        <f t="shared" si="70"/>
        <v>#VALUE!</v>
      </c>
      <c r="AS78" s="637"/>
      <c r="AT78" s="575" t="s">
        <v>585</v>
      </c>
      <c r="AU78" s="577" t="s">
        <v>585</v>
      </c>
      <c r="AV78" s="577" t="s">
        <v>585</v>
      </c>
      <c r="AW78" s="576" t="e">
        <f t="shared" si="72"/>
        <v>#VALUE!</v>
      </c>
      <c r="AX78" s="637"/>
      <c r="AZ78" s="375" t="e">
        <f t="shared" si="74"/>
        <v>#N/A</v>
      </c>
      <c r="BA78" s="637"/>
    </row>
    <row r="79" spans="2:53">
      <c r="B79" s="647"/>
      <c r="C79" s="380">
        <v>13</v>
      </c>
      <c r="D79" s="516"/>
      <c r="E79" s="516"/>
      <c r="F79" s="516"/>
      <c r="G79" s="519"/>
      <c r="H79" s="655"/>
      <c r="I79" s="381" t="str">
        <f t="shared" si="57"/>
        <v>-</v>
      </c>
      <c r="J79" s="381" t="str">
        <f t="shared" si="58"/>
        <v>-</v>
      </c>
      <c r="K79" s="199" t="str">
        <f t="shared" si="59"/>
        <v>-</v>
      </c>
      <c r="L79" s="657"/>
      <c r="M79" s="423" t="e">
        <f>RANK(K79, K$67:$K$81)</f>
        <v>#VALUE!</v>
      </c>
      <c r="N79" s="641"/>
      <c r="O79" s="641"/>
      <c r="P79" s="575" t="s">
        <v>585</v>
      </c>
      <c r="Q79" s="577" t="s">
        <v>585</v>
      </c>
      <c r="R79" s="577" t="s">
        <v>585</v>
      </c>
      <c r="S79" s="576" t="e">
        <f t="shared" si="60"/>
        <v>#VALUE!</v>
      </c>
      <c r="T79" s="637"/>
      <c r="U79" s="575" t="s">
        <v>585</v>
      </c>
      <c r="V79" s="577" t="s">
        <v>585</v>
      </c>
      <c r="W79" s="577" t="s">
        <v>585</v>
      </c>
      <c r="X79" s="576" t="e">
        <f t="shared" si="62"/>
        <v>#VALUE!</v>
      </c>
      <c r="Y79" s="637"/>
      <c r="Z79" s="575" t="s">
        <v>585</v>
      </c>
      <c r="AA79" s="577" t="s">
        <v>585</v>
      </c>
      <c r="AB79" s="577" t="s">
        <v>585</v>
      </c>
      <c r="AC79" s="576" t="e">
        <f t="shared" si="64"/>
        <v>#VALUE!</v>
      </c>
      <c r="AD79" s="637"/>
      <c r="AE79" s="575" t="s">
        <v>585</v>
      </c>
      <c r="AF79" s="577" t="s">
        <v>585</v>
      </c>
      <c r="AG79" s="577" t="s">
        <v>585</v>
      </c>
      <c r="AH79" s="576" t="e">
        <f t="shared" si="66"/>
        <v>#VALUE!</v>
      </c>
      <c r="AI79" s="637"/>
      <c r="AJ79" s="575" t="s">
        <v>585</v>
      </c>
      <c r="AK79" s="577" t="s">
        <v>585</v>
      </c>
      <c r="AL79" s="577" t="s">
        <v>585</v>
      </c>
      <c r="AM79" s="576" t="e">
        <f t="shared" si="68"/>
        <v>#VALUE!</v>
      </c>
      <c r="AN79" s="637"/>
      <c r="AO79" s="575" t="s">
        <v>585</v>
      </c>
      <c r="AP79" s="577" t="s">
        <v>585</v>
      </c>
      <c r="AQ79" s="577" t="s">
        <v>585</v>
      </c>
      <c r="AR79" s="576" t="e">
        <f t="shared" si="70"/>
        <v>#VALUE!</v>
      </c>
      <c r="AS79" s="637"/>
      <c r="AT79" s="575" t="s">
        <v>585</v>
      </c>
      <c r="AU79" s="577" t="s">
        <v>585</v>
      </c>
      <c r="AV79" s="577" t="s">
        <v>585</v>
      </c>
      <c r="AW79" s="576" t="e">
        <f t="shared" si="72"/>
        <v>#VALUE!</v>
      </c>
      <c r="AX79" s="637"/>
      <c r="AZ79" s="375" t="e">
        <f t="shared" si="74"/>
        <v>#N/A</v>
      </c>
      <c r="BA79" s="637"/>
    </row>
    <row r="80" spans="2:53">
      <c r="B80" s="647"/>
      <c r="C80" s="380">
        <v>14</v>
      </c>
      <c r="D80" s="516"/>
      <c r="E80" s="516"/>
      <c r="F80" s="516"/>
      <c r="G80" s="519"/>
      <c r="H80" s="655"/>
      <c r="I80" s="381" t="str">
        <f t="shared" si="57"/>
        <v>-</v>
      </c>
      <c r="J80" s="381" t="str">
        <f t="shared" si="58"/>
        <v>-</v>
      </c>
      <c r="K80" s="199" t="str">
        <f t="shared" si="59"/>
        <v>-</v>
      </c>
      <c r="L80" s="657"/>
      <c r="M80" s="423" t="e">
        <f>RANK(K80, K$67:$K$81)</f>
        <v>#VALUE!</v>
      </c>
      <c r="N80" s="641"/>
      <c r="O80" s="641"/>
      <c r="P80" s="575" t="s">
        <v>585</v>
      </c>
      <c r="Q80" s="577" t="s">
        <v>585</v>
      </c>
      <c r="R80" s="577" t="s">
        <v>585</v>
      </c>
      <c r="S80" s="576" t="e">
        <f t="shared" si="60"/>
        <v>#VALUE!</v>
      </c>
      <c r="T80" s="637"/>
      <c r="U80" s="575" t="s">
        <v>585</v>
      </c>
      <c r="V80" s="577" t="s">
        <v>585</v>
      </c>
      <c r="W80" s="577" t="s">
        <v>585</v>
      </c>
      <c r="X80" s="576" t="e">
        <f t="shared" si="62"/>
        <v>#VALUE!</v>
      </c>
      <c r="Y80" s="637"/>
      <c r="Z80" s="575" t="s">
        <v>585</v>
      </c>
      <c r="AA80" s="577" t="s">
        <v>585</v>
      </c>
      <c r="AB80" s="577" t="s">
        <v>585</v>
      </c>
      <c r="AC80" s="576" t="e">
        <f t="shared" si="64"/>
        <v>#VALUE!</v>
      </c>
      <c r="AD80" s="637"/>
      <c r="AE80" s="575" t="s">
        <v>585</v>
      </c>
      <c r="AF80" s="577" t="s">
        <v>585</v>
      </c>
      <c r="AG80" s="577" t="s">
        <v>585</v>
      </c>
      <c r="AH80" s="576" t="e">
        <f t="shared" si="66"/>
        <v>#VALUE!</v>
      </c>
      <c r="AI80" s="637"/>
      <c r="AJ80" s="575" t="s">
        <v>585</v>
      </c>
      <c r="AK80" s="577" t="s">
        <v>585</v>
      </c>
      <c r="AL80" s="577" t="s">
        <v>585</v>
      </c>
      <c r="AM80" s="576" t="e">
        <f t="shared" si="68"/>
        <v>#VALUE!</v>
      </c>
      <c r="AN80" s="637"/>
      <c r="AO80" s="575" t="s">
        <v>585</v>
      </c>
      <c r="AP80" s="577" t="s">
        <v>585</v>
      </c>
      <c r="AQ80" s="577" t="s">
        <v>585</v>
      </c>
      <c r="AR80" s="576" t="e">
        <f t="shared" si="70"/>
        <v>#VALUE!</v>
      </c>
      <c r="AS80" s="637"/>
      <c r="AT80" s="575" t="s">
        <v>585</v>
      </c>
      <c r="AU80" s="577" t="s">
        <v>585</v>
      </c>
      <c r="AV80" s="577" t="s">
        <v>585</v>
      </c>
      <c r="AW80" s="576" t="e">
        <f t="shared" si="72"/>
        <v>#VALUE!</v>
      </c>
      <c r="AX80" s="637"/>
      <c r="AZ80" s="375" t="e">
        <f t="shared" si="74"/>
        <v>#N/A</v>
      </c>
      <c r="BA80" s="637"/>
    </row>
    <row r="81" spans="2:53">
      <c r="B81" s="647"/>
      <c r="C81" s="380">
        <v>15</v>
      </c>
      <c r="D81" s="516"/>
      <c r="E81" s="516"/>
      <c r="F81" s="516"/>
      <c r="G81" s="516"/>
      <c r="H81" s="712"/>
      <c r="I81" s="381" t="str">
        <f t="shared" si="57"/>
        <v>-</v>
      </c>
      <c r="J81" s="381" t="str">
        <f t="shared" si="58"/>
        <v>-</v>
      </c>
      <c r="K81" s="199" t="str">
        <f t="shared" si="59"/>
        <v>-</v>
      </c>
      <c r="L81" s="658"/>
      <c r="M81" s="423" t="e">
        <f>RANK(K81, K$67:$K$81)</f>
        <v>#VALUE!</v>
      </c>
      <c r="N81" s="641"/>
      <c r="O81" s="641"/>
      <c r="P81" s="575" t="s">
        <v>585</v>
      </c>
      <c r="Q81" s="577" t="s">
        <v>585</v>
      </c>
      <c r="R81" s="577" t="s">
        <v>585</v>
      </c>
      <c r="S81" s="576" t="e">
        <f t="shared" si="60"/>
        <v>#VALUE!</v>
      </c>
      <c r="T81" s="638"/>
      <c r="U81" s="575" t="s">
        <v>585</v>
      </c>
      <c r="V81" s="577" t="s">
        <v>585</v>
      </c>
      <c r="W81" s="577" t="s">
        <v>585</v>
      </c>
      <c r="X81" s="576" t="e">
        <f t="shared" si="62"/>
        <v>#VALUE!</v>
      </c>
      <c r="Y81" s="638"/>
      <c r="Z81" s="575" t="s">
        <v>585</v>
      </c>
      <c r="AA81" s="577" t="s">
        <v>585</v>
      </c>
      <c r="AB81" s="577" t="s">
        <v>585</v>
      </c>
      <c r="AC81" s="576" t="e">
        <f t="shared" si="64"/>
        <v>#VALUE!</v>
      </c>
      <c r="AD81" s="638"/>
      <c r="AE81" s="575" t="s">
        <v>585</v>
      </c>
      <c r="AF81" s="577" t="s">
        <v>585</v>
      </c>
      <c r="AG81" s="577" t="s">
        <v>585</v>
      </c>
      <c r="AH81" s="576" t="e">
        <f t="shared" si="66"/>
        <v>#VALUE!</v>
      </c>
      <c r="AI81" s="638"/>
      <c r="AJ81" s="575" t="s">
        <v>585</v>
      </c>
      <c r="AK81" s="577" t="s">
        <v>585</v>
      </c>
      <c r="AL81" s="577" t="s">
        <v>585</v>
      </c>
      <c r="AM81" s="576" t="e">
        <f t="shared" si="68"/>
        <v>#VALUE!</v>
      </c>
      <c r="AN81" s="638"/>
      <c r="AO81" s="575" t="s">
        <v>585</v>
      </c>
      <c r="AP81" s="577" t="s">
        <v>585</v>
      </c>
      <c r="AQ81" s="577" t="s">
        <v>585</v>
      </c>
      <c r="AR81" s="576" t="e">
        <f t="shared" si="70"/>
        <v>#VALUE!</v>
      </c>
      <c r="AS81" s="638"/>
      <c r="AT81" s="575" t="s">
        <v>585</v>
      </c>
      <c r="AU81" s="577" t="s">
        <v>585</v>
      </c>
      <c r="AV81" s="577" t="s">
        <v>585</v>
      </c>
      <c r="AW81" s="576" t="e">
        <f t="shared" si="72"/>
        <v>#VALUE!</v>
      </c>
      <c r="AX81" s="638"/>
      <c r="AZ81" s="375" t="e">
        <f t="shared" si="74"/>
        <v>#N/A</v>
      </c>
      <c r="BA81" s="638"/>
    </row>
    <row r="82" spans="2:53" ht="15.75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65">
        <f>P62+7</f>
        <v>46259</v>
      </c>
      <c r="Q82" s="666"/>
      <c r="R82" s="666"/>
      <c r="S82" s="666"/>
      <c r="T82" s="667"/>
      <c r="U82" s="665">
        <f>P82+1</f>
        <v>46260</v>
      </c>
      <c r="V82" s="666"/>
      <c r="W82" s="666"/>
      <c r="X82" s="666"/>
      <c r="Y82" s="667"/>
      <c r="Z82" s="665">
        <f>U82+1</f>
        <v>46261</v>
      </c>
      <c r="AA82" s="666"/>
      <c r="AB82" s="666"/>
      <c r="AC82" s="666"/>
      <c r="AD82" s="667"/>
      <c r="AE82" s="665">
        <f>Z82+1</f>
        <v>46262</v>
      </c>
      <c r="AF82" s="666"/>
      <c r="AG82" s="666"/>
      <c r="AH82" s="666"/>
      <c r="AI82" s="667"/>
      <c r="AJ82" s="665">
        <f>AE82+1</f>
        <v>46263</v>
      </c>
      <c r="AK82" s="666"/>
      <c r="AL82" s="666"/>
      <c r="AM82" s="666"/>
      <c r="AN82" s="667"/>
      <c r="AO82" s="665">
        <f>AJ82+1</f>
        <v>46264</v>
      </c>
      <c r="AP82" s="666"/>
      <c r="AQ82" s="666"/>
      <c r="AR82" s="666"/>
      <c r="AS82" s="667"/>
      <c r="AT82" s="665">
        <f>AO82+1</f>
        <v>46265</v>
      </c>
      <c r="AU82" s="666"/>
      <c r="AV82" s="666"/>
      <c r="AW82" s="666"/>
      <c r="AX82" s="667"/>
    </row>
    <row r="83" spans="2:53" ht="15.75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45"/>
      <c r="O83" s="645"/>
      <c r="P83" s="665" t="s">
        <v>317</v>
      </c>
      <c r="Q83" s="666"/>
      <c r="R83" s="666"/>
      <c r="S83" s="666"/>
      <c r="T83" s="667"/>
      <c r="U83" s="665" t="s">
        <v>318</v>
      </c>
      <c r="V83" s="666"/>
      <c r="W83" s="666"/>
      <c r="X83" s="666"/>
      <c r="Y83" s="667"/>
      <c r="Z83" s="665" t="s">
        <v>319</v>
      </c>
      <c r="AA83" s="666"/>
      <c r="AB83" s="666"/>
      <c r="AC83" s="666"/>
      <c r="AD83" s="667"/>
      <c r="AE83" s="668" t="s">
        <v>320</v>
      </c>
      <c r="AF83" s="647"/>
      <c r="AG83" s="647"/>
      <c r="AH83" s="647"/>
      <c r="AI83" s="647"/>
      <c r="AJ83" s="668" t="s">
        <v>321</v>
      </c>
      <c r="AK83" s="647"/>
      <c r="AL83" s="647"/>
      <c r="AM83" s="647"/>
      <c r="AN83" s="647"/>
      <c r="AO83" s="668" t="s">
        <v>322</v>
      </c>
      <c r="AP83" s="647"/>
      <c r="AQ83" s="647"/>
      <c r="AR83" s="647"/>
      <c r="AS83" s="647"/>
      <c r="AT83" s="668" t="s">
        <v>323</v>
      </c>
      <c r="AU83" s="647"/>
      <c r="AV83" s="647"/>
      <c r="AW83" s="647"/>
      <c r="AX83" s="647"/>
    </row>
    <row r="84" spans="2:53">
      <c r="B84" s="641" t="s">
        <v>389</v>
      </c>
      <c r="C84" s="641" t="s">
        <v>379</v>
      </c>
      <c r="D84" s="641"/>
      <c r="E84" s="641" t="s">
        <v>370</v>
      </c>
      <c r="F84" s="641"/>
      <c r="G84" s="641"/>
      <c r="H84" s="673" t="s">
        <v>366</v>
      </c>
      <c r="I84" s="641" t="s">
        <v>371</v>
      </c>
      <c r="J84" s="641"/>
      <c r="K84" s="641"/>
      <c r="L84" s="673" t="s">
        <v>366</v>
      </c>
      <c r="M84" s="643" t="s">
        <v>367</v>
      </c>
      <c r="N84" s="641"/>
      <c r="O84" s="641" t="s">
        <v>372</v>
      </c>
      <c r="P84" s="659" t="s">
        <v>368</v>
      </c>
      <c r="Q84" s="660"/>
      <c r="R84" s="660"/>
      <c r="S84" s="661"/>
      <c r="T84" s="643" t="s">
        <v>366</v>
      </c>
      <c r="U84" s="659" t="s">
        <v>368</v>
      </c>
      <c r="V84" s="660"/>
      <c r="W84" s="660"/>
      <c r="X84" s="661"/>
      <c r="Y84" s="643" t="s">
        <v>366</v>
      </c>
      <c r="Z84" s="659" t="s">
        <v>368</v>
      </c>
      <c r="AA84" s="660"/>
      <c r="AB84" s="660"/>
      <c r="AC84" s="661"/>
      <c r="AD84" s="643" t="s">
        <v>366</v>
      </c>
      <c r="AE84" s="659" t="s">
        <v>368</v>
      </c>
      <c r="AF84" s="660"/>
      <c r="AG84" s="660"/>
      <c r="AH84" s="661"/>
      <c r="AI84" s="641" t="s">
        <v>366</v>
      </c>
      <c r="AJ84" s="659" t="s">
        <v>368</v>
      </c>
      <c r="AK84" s="660"/>
      <c r="AL84" s="660"/>
      <c r="AM84" s="661"/>
      <c r="AN84" s="641" t="s">
        <v>366</v>
      </c>
      <c r="AO84" s="659" t="s">
        <v>368</v>
      </c>
      <c r="AP84" s="660"/>
      <c r="AQ84" s="660"/>
      <c r="AR84" s="661"/>
      <c r="AS84" s="641" t="s">
        <v>366</v>
      </c>
      <c r="AT84" s="659" t="s">
        <v>368</v>
      </c>
      <c r="AU84" s="660"/>
      <c r="AV84" s="660"/>
      <c r="AW84" s="661"/>
      <c r="AX84" s="641" t="s">
        <v>366</v>
      </c>
      <c r="BA84" s="641" t="s">
        <v>366</v>
      </c>
    </row>
    <row r="85" spans="2:53">
      <c r="B85" s="641"/>
      <c r="C85" s="641"/>
      <c r="D85" s="641"/>
      <c r="E85" s="641" t="s">
        <v>373</v>
      </c>
      <c r="F85" s="641"/>
      <c r="G85" s="641"/>
      <c r="H85" s="674"/>
      <c r="I85" s="641" t="s">
        <v>373</v>
      </c>
      <c r="J85" s="641"/>
      <c r="K85" s="641"/>
      <c r="L85" s="674"/>
      <c r="M85" s="644"/>
      <c r="N85" s="641"/>
      <c r="O85" s="641"/>
      <c r="P85" s="659" t="s">
        <v>374</v>
      </c>
      <c r="Q85" s="660"/>
      <c r="R85" s="660"/>
      <c r="S85" s="661"/>
      <c r="T85" s="644"/>
      <c r="U85" s="659" t="s">
        <v>374</v>
      </c>
      <c r="V85" s="660"/>
      <c r="W85" s="660"/>
      <c r="X85" s="661"/>
      <c r="Y85" s="644"/>
      <c r="Z85" s="659" t="s">
        <v>374</v>
      </c>
      <c r="AA85" s="660"/>
      <c r="AB85" s="660"/>
      <c r="AC85" s="661"/>
      <c r="AD85" s="644"/>
      <c r="AE85" s="659" t="s">
        <v>374</v>
      </c>
      <c r="AF85" s="660"/>
      <c r="AG85" s="660"/>
      <c r="AH85" s="661"/>
      <c r="AI85" s="641"/>
      <c r="AJ85" s="659" t="s">
        <v>374</v>
      </c>
      <c r="AK85" s="660"/>
      <c r="AL85" s="660"/>
      <c r="AM85" s="661"/>
      <c r="AN85" s="641"/>
      <c r="AO85" s="659" t="s">
        <v>374</v>
      </c>
      <c r="AP85" s="660"/>
      <c r="AQ85" s="660"/>
      <c r="AR85" s="661"/>
      <c r="AS85" s="641"/>
      <c r="AT85" s="659" t="s">
        <v>374</v>
      </c>
      <c r="AU85" s="660"/>
      <c r="AV85" s="660"/>
      <c r="AW85" s="661"/>
      <c r="AX85" s="641"/>
      <c r="BA85" s="641"/>
    </row>
    <row r="86" spans="2:53">
      <c r="B86" s="641"/>
      <c r="C86" s="641"/>
      <c r="D86" s="641"/>
      <c r="E86" s="378" t="s">
        <v>375</v>
      </c>
      <c r="F86" s="378" t="s">
        <v>376</v>
      </c>
      <c r="G86" s="378" t="s">
        <v>377</v>
      </c>
      <c r="H86" s="675"/>
      <c r="I86" s="378" t="s">
        <v>375</v>
      </c>
      <c r="J86" s="378" t="s">
        <v>376</v>
      </c>
      <c r="K86" s="378" t="s">
        <v>377</v>
      </c>
      <c r="L86" s="675"/>
      <c r="M86" s="645"/>
      <c r="N86" s="641"/>
      <c r="O86" s="641"/>
      <c r="P86" s="520" t="s">
        <v>375</v>
      </c>
      <c r="Q86" s="520" t="s">
        <v>376</v>
      </c>
      <c r="R86" s="520" t="s">
        <v>377</v>
      </c>
      <c r="S86" s="520" t="s">
        <v>367</v>
      </c>
      <c r="T86" s="645"/>
      <c r="U86" s="520" t="s">
        <v>375</v>
      </c>
      <c r="V86" s="520" t="s">
        <v>376</v>
      </c>
      <c r="W86" s="520" t="s">
        <v>377</v>
      </c>
      <c r="X86" s="520" t="s">
        <v>367</v>
      </c>
      <c r="Y86" s="645"/>
      <c r="Z86" s="520" t="s">
        <v>375</v>
      </c>
      <c r="AA86" s="520" t="s">
        <v>376</v>
      </c>
      <c r="AB86" s="520" t="s">
        <v>377</v>
      </c>
      <c r="AC86" s="520" t="s">
        <v>367</v>
      </c>
      <c r="AD86" s="645"/>
      <c r="AE86" s="378" t="s">
        <v>375</v>
      </c>
      <c r="AF86" s="378" t="s">
        <v>376</v>
      </c>
      <c r="AG86" s="378" t="s">
        <v>377</v>
      </c>
      <c r="AH86" s="378" t="s">
        <v>367</v>
      </c>
      <c r="AI86" s="641"/>
      <c r="AJ86" s="378" t="s">
        <v>375</v>
      </c>
      <c r="AK86" s="378" t="s">
        <v>376</v>
      </c>
      <c r="AL86" s="378" t="s">
        <v>377</v>
      </c>
      <c r="AM86" s="378" t="s">
        <v>367</v>
      </c>
      <c r="AN86" s="641"/>
      <c r="AO86" s="378" t="s">
        <v>375</v>
      </c>
      <c r="AP86" s="378" t="s">
        <v>376</v>
      </c>
      <c r="AQ86" s="378" t="s">
        <v>377</v>
      </c>
      <c r="AR86" s="378" t="s">
        <v>367</v>
      </c>
      <c r="AS86" s="641"/>
      <c r="AT86" s="378" t="s">
        <v>375</v>
      </c>
      <c r="AU86" s="378" t="s">
        <v>376</v>
      </c>
      <c r="AV86" s="378" t="s">
        <v>377</v>
      </c>
      <c r="AW86" s="378" t="s">
        <v>367</v>
      </c>
      <c r="AX86" s="641"/>
      <c r="AZ86" s="373" t="s">
        <v>367</v>
      </c>
      <c r="BA86" s="641"/>
    </row>
    <row r="87" spans="2:53">
      <c r="B87" s="699" t="s">
        <v>402</v>
      </c>
      <c r="C87" s="380">
        <v>1</v>
      </c>
      <c r="D87" s="514"/>
      <c r="E87" s="516"/>
      <c r="F87" s="516"/>
      <c r="G87" s="519"/>
      <c r="H87" s="654" t="e">
        <f>AVERAGE(G87:G101)</f>
        <v>#DIV/0!</v>
      </c>
      <c r="I87" s="381" t="str">
        <f t="shared" ref="I87:I101" si="76">IFERROR(AVERAGE(P87,U87,Z87,AE87,AJ87,AO87,AT87),"-")</f>
        <v>-</v>
      </c>
      <c r="J87" s="381" t="str">
        <f t="shared" ref="J87:J101" si="77">IFERROR(AVERAGE(Q87,V87,AA87,AF87,AK87,AP87,AU87),"-")</f>
        <v>-</v>
      </c>
      <c r="K87" s="199" t="str">
        <f t="shared" ref="K87:K101" si="78">IFERROR(AVERAGE(R87,W87,AB87,AG87,AL87,AQ87,AV87),"-")</f>
        <v>-</v>
      </c>
      <c r="L87" s="656" t="str">
        <f>IFERROR(AVERAGE(K87:K101),"-")</f>
        <v>-</v>
      </c>
      <c r="M87" s="385" t="e">
        <f>RANK(K87, K$87:$K$101)</f>
        <v>#VALUE!</v>
      </c>
      <c r="N87" s="641"/>
      <c r="O87" s="641"/>
      <c r="P87" s="529"/>
      <c r="Q87" s="530"/>
      <c r="R87" s="530"/>
      <c r="S87" s="529"/>
      <c r="T87" s="642"/>
      <c r="U87" s="529"/>
      <c r="V87" s="530"/>
      <c r="W87" s="530"/>
      <c r="X87" s="529"/>
      <c r="Y87" s="642"/>
      <c r="Z87" s="529"/>
      <c r="AA87" s="530"/>
      <c r="AB87" s="530"/>
      <c r="AC87" s="529"/>
      <c r="AD87" s="642"/>
      <c r="AE87" s="529"/>
      <c r="AF87" s="530"/>
      <c r="AG87" s="530"/>
      <c r="AH87" s="529"/>
      <c r="AI87" s="642"/>
      <c r="AJ87" s="529"/>
      <c r="AK87" s="530"/>
      <c r="AL87" s="530"/>
      <c r="AM87" s="529"/>
      <c r="AN87" s="642"/>
      <c r="AO87" s="529"/>
      <c r="AP87" s="530"/>
      <c r="AQ87" s="530"/>
      <c r="AR87" s="529"/>
      <c r="AS87" s="642"/>
      <c r="AT87" s="529"/>
      <c r="AU87" s="530"/>
      <c r="AV87" s="530"/>
      <c r="AW87" s="529"/>
      <c r="AX87" s="642"/>
      <c r="AZ87" s="372" t="e">
        <f t="shared" ref="AZ87:AZ101" si="79">RANK(AY87, AY$87:AY$101)</f>
        <v>#N/A</v>
      </c>
      <c r="BA87" s="642" t="e">
        <f t="shared" ref="BA87" si="80">AVERAGE(AY87:AY101)</f>
        <v>#DIV/0!</v>
      </c>
    </row>
    <row r="88" spans="2:53">
      <c r="B88" s="647"/>
      <c r="C88" s="380">
        <v>2</v>
      </c>
      <c r="D88" s="516"/>
      <c r="E88" s="516"/>
      <c r="F88" s="516"/>
      <c r="G88" s="519"/>
      <c r="H88" s="655"/>
      <c r="I88" s="381" t="str">
        <f t="shared" si="76"/>
        <v>-</v>
      </c>
      <c r="J88" s="381" t="str">
        <f t="shared" si="77"/>
        <v>-</v>
      </c>
      <c r="K88" s="199" t="str">
        <f t="shared" si="78"/>
        <v>-</v>
      </c>
      <c r="L88" s="657"/>
      <c r="M88" s="471" t="e">
        <f>RANK(K88, K$87:$K$101)</f>
        <v>#VALUE!</v>
      </c>
      <c r="N88" s="641"/>
      <c r="O88" s="641"/>
      <c r="P88" s="529"/>
      <c r="Q88" s="530"/>
      <c r="R88" s="530"/>
      <c r="S88" s="529"/>
      <c r="T88" s="642"/>
      <c r="U88" s="529"/>
      <c r="V88" s="530"/>
      <c r="W88" s="530"/>
      <c r="X88" s="529"/>
      <c r="Y88" s="642"/>
      <c r="Z88" s="529"/>
      <c r="AA88" s="530"/>
      <c r="AB88" s="530"/>
      <c r="AC88" s="529"/>
      <c r="AD88" s="642"/>
      <c r="AE88" s="529"/>
      <c r="AF88" s="530"/>
      <c r="AG88" s="530"/>
      <c r="AH88" s="529"/>
      <c r="AI88" s="642"/>
      <c r="AJ88" s="529"/>
      <c r="AK88" s="530"/>
      <c r="AL88" s="530"/>
      <c r="AM88" s="529"/>
      <c r="AN88" s="642"/>
      <c r="AO88" s="529"/>
      <c r="AP88" s="530"/>
      <c r="AQ88" s="530"/>
      <c r="AR88" s="529"/>
      <c r="AS88" s="642"/>
      <c r="AT88" s="529"/>
      <c r="AU88" s="530"/>
      <c r="AV88" s="530"/>
      <c r="AW88" s="529"/>
      <c r="AX88" s="642"/>
      <c r="AZ88" s="372" t="e">
        <f t="shared" si="79"/>
        <v>#N/A</v>
      </c>
      <c r="BA88" s="642"/>
    </row>
    <row r="89" spans="2:53">
      <c r="B89" s="647"/>
      <c r="C89" s="380">
        <v>3</v>
      </c>
      <c r="D89" s="516"/>
      <c r="E89" s="516"/>
      <c r="F89" s="516"/>
      <c r="G89" s="519"/>
      <c r="H89" s="655"/>
      <c r="I89" s="381" t="str">
        <f t="shared" si="76"/>
        <v>-</v>
      </c>
      <c r="J89" s="381" t="str">
        <f t="shared" si="77"/>
        <v>-</v>
      </c>
      <c r="K89" s="199" t="str">
        <f t="shared" si="78"/>
        <v>-</v>
      </c>
      <c r="L89" s="657"/>
      <c r="M89" s="471" t="e">
        <f>RANK(K89, K$87:$K$101)</f>
        <v>#VALUE!</v>
      </c>
      <c r="N89" s="641"/>
      <c r="O89" s="641"/>
      <c r="P89" s="529"/>
      <c r="Q89" s="530"/>
      <c r="R89" s="530"/>
      <c r="S89" s="529"/>
      <c r="T89" s="642"/>
      <c r="U89" s="529"/>
      <c r="V89" s="530"/>
      <c r="W89" s="530"/>
      <c r="X89" s="529"/>
      <c r="Y89" s="642"/>
      <c r="Z89" s="529"/>
      <c r="AA89" s="530"/>
      <c r="AB89" s="530"/>
      <c r="AC89" s="529"/>
      <c r="AD89" s="642"/>
      <c r="AE89" s="529"/>
      <c r="AF89" s="530"/>
      <c r="AG89" s="530"/>
      <c r="AH89" s="529"/>
      <c r="AI89" s="642"/>
      <c r="AJ89" s="529"/>
      <c r="AK89" s="530"/>
      <c r="AL89" s="530"/>
      <c r="AM89" s="529"/>
      <c r="AN89" s="642"/>
      <c r="AO89" s="529"/>
      <c r="AP89" s="530"/>
      <c r="AQ89" s="530"/>
      <c r="AR89" s="529"/>
      <c r="AS89" s="642"/>
      <c r="AT89" s="529"/>
      <c r="AU89" s="530"/>
      <c r="AV89" s="530"/>
      <c r="AW89" s="529"/>
      <c r="AX89" s="642"/>
      <c r="AZ89" s="372" t="e">
        <f t="shared" si="79"/>
        <v>#N/A</v>
      </c>
      <c r="BA89" s="642"/>
    </row>
    <row r="90" spans="2:53">
      <c r="B90" s="647"/>
      <c r="C90" s="380">
        <v>4</v>
      </c>
      <c r="D90" s="516"/>
      <c r="E90" s="516"/>
      <c r="F90" s="516"/>
      <c r="G90" s="519"/>
      <c r="H90" s="655"/>
      <c r="I90" s="381" t="str">
        <f t="shared" si="76"/>
        <v>-</v>
      </c>
      <c r="J90" s="381" t="str">
        <f t="shared" si="77"/>
        <v>-</v>
      </c>
      <c r="K90" s="199" t="str">
        <f t="shared" si="78"/>
        <v>-</v>
      </c>
      <c r="L90" s="657"/>
      <c r="M90" s="471" t="e">
        <f>RANK(K90, K$87:$K$101)</f>
        <v>#VALUE!</v>
      </c>
      <c r="N90" s="641"/>
      <c r="O90" s="641"/>
      <c r="P90" s="529"/>
      <c r="Q90" s="530"/>
      <c r="R90" s="530"/>
      <c r="S90" s="529"/>
      <c r="T90" s="642"/>
      <c r="U90" s="529"/>
      <c r="V90" s="530"/>
      <c r="W90" s="530"/>
      <c r="X90" s="529"/>
      <c r="Y90" s="642"/>
      <c r="Z90" s="529"/>
      <c r="AA90" s="530"/>
      <c r="AB90" s="530"/>
      <c r="AC90" s="529"/>
      <c r="AD90" s="642"/>
      <c r="AE90" s="529"/>
      <c r="AF90" s="530"/>
      <c r="AG90" s="530"/>
      <c r="AH90" s="529"/>
      <c r="AI90" s="642"/>
      <c r="AJ90" s="529"/>
      <c r="AK90" s="530"/>
      <c r="AL90" s="530"/>
      <c r="AM90" s="529"/>
      <c r="AN90" s="642"/>
      <c r="AO90" s="529"/>
      <c r="AP90" s="530"/>
      <c r="AQ90" s="530"/>
      <c r="AR90" s="529"/>
      <c r="AS90" s="642"/>
      <c r="AT90" s="529"/>
      <c r="AU90" s="530"/>
      <c r="AV90" s="530"/>
      <c r="AW90" s="529"/>
      <c r="AX90" s="642"/>
      <c r="AZ90" s="372" t="e">
        <f t="shared" si="79"/>
        <v>#N/A</v>
      </c>
      <c r="BA90" s="642"/>
    </row>
    <row r="91" spans="2:53">
      <c r="B91" s="647"/>
      <c r="C91" s="380">
        <v>5</v>
      </c>
      <c r="D91" s="516"/>
      <c r="E91" s="516"/>
      <c r="F91" s="516"/>
      <c r="G91" s="519"/>
      <c r="H91" s="655"/>
      <c r="I91" s="381" t="str">
        <f t="shared" si="76"/>
        <v>-</v>
      </c>
      <c r="J91" s="381" t="str">
        <f t="shared" si="77"/>
        <v>-</v>
      </c>
      <c r="K91" s="199" t="str">
        <f t="shared" si="78"/>
        <v>-</v>
      </c>
      <c r="L91" s="657"/>
      <c r="M91" s="471" t="e">
        <f>RANK(K91, K$87:$K$101)</f>
        <v>#VALUE!</v>
      </c>
      <c r="N91" s="641"/>
      <c r="O91" s="641"/>
      <c r="P91" s="529"/>
      <c r="Q91" s="530"/>
      <c r="R91" s="530"/>
      <c r="S91" s="529"/>
      <c r="T91" s="642"/>
      <c r="U91" s="529"/>
      <c r="V91" s="530"/>
      <c r="W91" s="530"/>
      <c r="X91" s="529"/>
      <c r="Y91" s="642"/>
      <c r="Z91" s="529"/>
      <c r="AA91" s="530"/>
      <c r="AB91" s="530"/>
      <c r="AC91" s="529"/>
      <c r="AD91" s="642"/>
      <c r="AE91" s="529"/>
      <c r="AF91" s="530"/>
      <c r="AG91" s="530"/>
      <c r="AH91" s="529"/>
      <c r="AI91" s="642"/>
      <c r="AJ91" s="529"/>
      <c r="AK91" s="530"/>
      <c r="AL91" s="530"/>
      <c r="AM91" s="529"/>
      <c r="AN91" s="642"/>
      <c r="AO91" s="529"/>
      <c r="AP91" s="530"/>
      <c r="AQ91" s="530"/>
      <c r="AR91" s="529"/>
      <c r="AS91" s="642"/>
      <c r="AT91" s="529"/>
      <c r="AU91" s="530"/>
      <c r="AV91" s="530"/>
      <c r="AW91" s="529"/>
      <c r="AX91" s="642"/>
      <c r="AZ91" s="372" t="e">
        <f t="shared" si="79"/>
        <v>#N/A</v>
      </c>
      <c r="BA91" s="642"/>
    </row>
    <row r="92" spans="2:53">
      <c r="B92" s="647"/>
      <c r="C92" s="380">
        <v>6</v>
      </c>
      <c r="D92" s="516"/>
      <c r="E92" s="516"/>
      <c r="F92" s="516"/>
      <c r="G92" s="519"/>
      <c r="H92" s="655"/>
      <c r="I92" s="381" t="str">
        <f t="shared" si="76"/>
        <v>-</v>
      </c>
      <c r="J92" s="381" t="str">
        <f t="shared" si="77"/>
        <v>-</v>
      </c>
      <c r="K92" s="199" t="str">
        <f t="shared" si="78"/>
        <v>-</v>
      </c>
      <c r="L92" s="657"/>
      <c r="M92" s="471" t="e">
        <f>RANK(K92, K$87:$K$101)</f>
        <v>#VALUE!</v>
      </c>
      <c r="N92" s="641"/>
      <c r="O92" s="641"/>
      <c r="P92" s="529"/>
      <c r="Q92" s="530"/>
      <c r="R92" s="530"/>
      <c r="S92" s="529"/>
      <c r="T92" s="642"/>
      <c r="U92" s="529"/>
      <c r="V92" s="530"/>
      <c r="W92" s="530"/>
      <c r="X92" s="529"/>
      <c r="Y92" s="642"/>
      <c r="Z92" s="529"/>
      <c r="AA92" s="530"/>
      <c r="AB92" s="530"/>
      <c r="AC92" s="529"/>
      <c r="AD92" s="642"/>
      <c r="AE92" s="529"/>
      <c r="AF92" s="530"/>
      <c r="AG92" s="530"/>
      <c r="AH92" s="529"/>
      <c r="AI92" s="642"/>
      <c r="AJ92" s="529"/>
      <c r="AK92" s="530"/>
      <c r="AL92" s="530"/>
      <c r="AM92" s="529"/>
      <c r="AN92" s="642"/>
      <c r="AO92" s="529"/>
      <c r="AP92" s="530"/>
      <c r="AQ92" s="530"/>
      <c r="AR92" s="529"/>
      <c r="AS92" s="642"/>
      <c r="AT92" s="529"/>
      <c r="AU92" s="530"/>
      <c r="AV92" s="530"/>
      <c r="AW92" s="529"/>
      <c r="AX92" s="642"/>
      <c r="AZ92" s="372" t="e">
        <f t="shared" si="79"/>
        <v>#N/A</v>
      </c>
      <c r="BA92" s="642"/>
    </row>
    <row r="93" spans="2:53">
      <c r="B93" s="647"/>
      <c r="C93" s="380">
        <v>7</v>
      </c>
      <c r="D93" s="516"/>
      <c r="E93" s="516"/>
      <c r="F93" s="516"/>
      <c r="G93" s="519"/>
      <c r="H93" s="655"/>
      <c r="I93" s="381" t="str">
        <f t="shared" si="76"/>
        <v>-</v>
      </c>
      <c r="J93" s="381" t="str">
        <f t="shared" si="77"/>
        <v>-</v>
      </c>
      <c r="K93" s="199" t="str">
        <f t="shared" si="78"/>
        <v>-</v>
      </c>
      <c r="L93" s="657"/>
      <c r="M93" s="471" t="e">
        <f>RANK(K93, K$87:$K$101)</f>
        <v>#VALUE!</v>
      </c>
      <c r="N93" s="641"/>
      <c r="O93" s="641"/>
      <c r="P93" s="529"/>
      <c r="Q93" s="530"/>
      <c r="R93" s="530"/>
      <c r="S93" s="529"/>
      <c r="T93" s="642"/>
      <c r="U93" s="529"/>
      <c r="V93" s="530"/>
      <c r="W93" s="530"/>
      <c r="X93" s="529"/>
      <c r="Y93" s="642"/>
      <c r="Z93" s="529"/>
      <c r="AA93" s="530"/>
      <c r="AB93" s="530"/>
      <c r="AC93" s="529"/>
      <c r="AD93" s="642"/>
      <c r="AE93" s="529"/>
      <c r="AF93" s="530"/>
      <c r="AG93" s="530"/>
      <c r="AH93" s="529"/>
      <c r="AI93" s="642"/>
      <c r="AJ93" s="529"/>
      <c r="AK93" s="530"/>
      <c r="AL93" s="530"/>
      <c r="AM93" s="529"/>
      <c r="AN93" s="642"/>
      <c r="AO93" s="529"/>
      <c r="AP93" s="530"/>
      <c r="AQ93" s="530"/>
      <c r="AR93" s="529"/>
      <c r="AS93" s="642"/>
      <c r="AT93" s="529"/>
      <c r="AU93" s="530"/>
      <c r="AV93" s="530"/>
      <c r="AW93" s="529"/>
      <c r="AX93" s="642"/>
      <c r="AZ93" s="372" t="e">
        <f t="shared" si="79"/>
        <v>#N/A</v>
      </c>
      <c r="BA93" s="642"/>
    </row>
    <row r="94" spans="2:53">
      <c r="B94" s="647"/>
      <c r="C94" s="380">
        <v>8</v>
      </c>
      <c r="D94" s="516"/>
      <c r="E94" s="516"/>
      <c r="F94" s="516"/>
      <c r="G94" s="519"/>
      <c r="H94" s="655"/>
      <c r="I94" s="381" t="str">
        <f t="shared" si="76"/>
        <v>-</v>
      </c>
      <c r="J94" s="381" t="str">
        <f t="shared" si="77"/>
        <v>-</v>
      </c>
      <c r="K94" s="199" t="str">
        <f t="shared" si="78"/>
        <v>-</v>
      </c>
      <c r="L94" s="657"/>
      <c r="M94" s="471" t="e">
        <f>RANK(K94, K$87:$K$101)</f>
        <v>#VALUE!</v>
      </c>
      <c r="N94" s="641"/>
      <c r="O94" s="641"/>
      <c r="P94" s="529"/>
      <c r="Q94" s="530"/>
      <c r="R94" s="530"/>
      <c r="S94" s="529"/>
      <c r="T94" s="642"/>
      <c r="U94" s="529"/>
      <c r="V94" s="530"/>
      <c r="W94" s="530"/>
      <c r="X94" s="529"/>
      <c r="Y94" s="642"/>
      <c r="Z94" s="529"/>
      <c r="AA94" s="530"/>
      <c r="AB94" s="530"/>
      <c r="AC94" s="529"/>
      <c r="AD94" s="642"/>
      <c r="AE94" s="529"/>
      <c r="AF94" s="530"/>
      <c r="AG94" s="530"/>
      <c r="AH94" s="529"/>
      <c r="AI94" s="642"/>
      <c r="AJ94" s="529"/>
      <c r="AK94" s="530"/>
      <c r="AL94" s="530"/>
      <c r="AM94" s="529"/>
      <c r="AN94" s="642"/>
      <c r="AO94" s="529"/>
      <c r="AP94" s="530"/>
      <c r="AQ94" s="530"/>
      <c r="AR94" s="529"/>
      <c r="AS94" s="642"/>
      <c r="AT94" s="529"/>
      <c r="AU94" s="530"/>
      <c r="AV94" s="530"/>
      <c r="AW94" s="529"/>
      <c r="AX94" s="642"/>
      <c r="AZ94" s="372" t="e">
        <f t="shared" si="79"/>
        <v>#N/A</v>
      </c>
      <c r="BA94" s="642"/>
    </row>
    <row r="95" spans="2:53">
      <c r="B95" s="647"/>
      <c r="C95" s="380">
        <v>9</v>
      </c>
      <c r="D95" s="516"/>
      <c r="E95" s="516"/>
      <c r="F95" s="516"/>
      <c r="G95" s="519"/>
      <c r="H95" s="655"/>
      <c r="I95" s="381" t="str">
        <f t="shared" si="76"/>
        <v>-</v>
      </c>
      <c r="J95" s="381" t="str">
        <f t="shared" si="77"/>
        <v>-</v>
      </c>
      <c r="K95" s="199" t="str">
        <f t="shared" si="78"/>
        <v>-</v>
      </c>
      <c r="L95" s="657"/>
      <c r="M95" s="471" t="e">
        <f>RANK(K95, K$87:$K$101)</f>
        <v>#VALUE!</v>
      </c>
      <c r="N95" s="641"/>
      <c r="O95" s="641"/>
      <c r="P95" s="529"/>
      <c r="Q95" s="530"/>
      <c r="R95" s="530"/>
      <c r="S95" s="529"/>
      <c r="T95" s="642"/>
      <c r="U95" s="529"/>
      <c r="V95" s="530"/>
      <c r="W95" s="530"/>
      <c r="X95" s="529"/>
      <c r="Y95" s="642"/>
      <c r="Z95" s="529"/>
      <c r="AA95" s="530"/>
      <c r="AB95" s="530"/>
      <c r="AC95" s="529"/>
      <c r="AD95" s="642"/>
      <c r="AE95" s="529"/>
      <c r="AF95" s="530"/>
      <c r="AG95" s="530"/>
      <c r="AH95" s="529"/>
      <c r="AI95" s="642"/>
      <c r="AJ95" s="529"/>
      <c r="AK95" s="530"/>
      <c r="AL95" s="530"/>
      <c r="AM95" s="529"/>
      <c r="AN95" s="642"/>
      <c r="AO95" s="529"/>
      <c r="AP95" s="530"/>
      <c r="AQ95" s="530"/>
      <c r="AR95" s="529"/>
      <c r="AS95" s="642"/>
      <c r="AT95" s="529"/>
      <c r="AU95" s="530"/>
      <c r="AV95" s="530"/>
      <c r="AW95" s="529"/>
      <c r="AX95" s="642"/>
      <c r="AZ95" s="372" t="e">
        <f t="shared" si="79"/>
        <v>#N/A</v>
      </c>
      <c r="BA95" s="642"/>
    </row>
    <row r="96" spans="2:53">
      <c r="B96" s="647"/>
      <c r="C96" s="380">
        <v>10</v>
      </c>
      <c r="D96" s="516"/>
      <c r="E96" s="516"/>
      <c r="F96" s="516"/>
      <c r="G96" s="519"/>
      <c r="H96" s="655"/>
      <c r="I96" s="381" t="str">
        <f t="shared" si="76"/>
        <v>-</v>
      </c>
      <c r="J96" s="381" t="str">
        <f t="shared" si="77"/>
        <v>-</v>
      </c>
      <c r="K96" s="199" t="str">
        <f t="shared" si="78"/>
        <v>-</v>
      </c>
      <c r="L96" s="657"/>
      <c r="M96" s="471" t="e">
        <f>RANK(K96, K$87:$K$101)</f>
        <v>#VALUE!</v>
      </c>
      <c r="N96" s="641"/>
      <c r="O96" s="641"/>
      <c r="P96" s="529"/>
      <c r="Q96" s="530"/>
      <c r="R96" s="530"/>
      <c r="S96" s="529"/>
      <c r="T96" s="642"/>
      <c r="U96" s="529"/>
      <c r="V96" s="530"/>
      <c r="W96" s="530"/>
      <c r="X96" s="529"/>
      <c r="Y96" s="642"/>
      <c r="Z96" s="529"/>
      <c r="AA96" s="530"/>
      <c r="AB96" s="530"/>
      <c r="AC96" s="529"/>
      <c r="AD96" s="642"/>
      <c r="AE96" s="529"/>
      <c r="AF96" s="530"/>
      <c r="AG96" s="530"/>
      <c r="AH96" s="529"/>
      <c r="AI96" s="642"/>
      <c r="AJ96" s="529"/>
      <c r="AK96" s="530"/>
      <c r="AL96" s="530"/>
      <c r="AM96" s="529"/>
      <c r="AN96" s="642"/>
      <c r="AO96" s="529"/>
      <c r="AP96" s="530"/>
      <c r="AQ96" s="530"/>
      <c r="AR96" s="529"/>
      <c r="AS96" s="642"/>
      <c r="AT96" s="529"/>
      <c r="AU96" s="530"/>
      <c r="AV96" s="530"/>
      <c r="AW96" s="529"/>
      <c r="AX96" s="642"/>
      <c r="AZ96" s="372" t="e">
        <f t="shared" si="79"/>
        <v>#N/A</v>
      </c>
      <c r="BA96" s="642"/>
    </row>
    <row r="97" spans="2:53">
      <c r="B97" s="647"/>
      <c r="C97" s="380">
        <v>11</v>
      </c>
      <c r="D97" s="516"/>
      <c r="E97" s="516"/>
      <c r="F97" s="516"/>
      <c r="G97" s="519"/>
      <c r="H97" s="655"/>
      <c r="I97" s="381" t="str">
        <f t="shared" si="76"/>
        <v>-</v>
      </c>
      <c r="J97" s="381" t="str">
        <f t="shared" si="77"/>
        <v>-</v>
      </c>
      <c r="K97" s="199" t="str">
        <f t="shared" si="78"/>
        <v>-</v>
      </c>
      <c r="L97" s="657"/>
      <c r="M97" s="471" t="e">
        <f>RANK(K97, K$87:$K$101)</f>
        <v>#VALUE!</v>
      </c>
      <c r="N97" s="641"/>
      <c r="O97" s="641"/>
      <c r="P97" s="529"/>
      <c r="Q97" s="530"/>
      <c r="R97" s="530"/>
      <c r="S97" s="529"/>
      <c r="T97" s="642"/>
      <c r="U97" s="529"/>
      <c r="V97" s="530"/>
      <c r="W97" s="530"/>
      <c r="X97" s="529"/>
      <c r="Y97" s="642"/>
      <c r="Z97" s="529"/>
      <c r="AA97" s="530"/>
      <c r="AB97" s="530"/>
      <c r="AC97" s="529"/>
      <c r="AD97" s="642"/>
      <c r="AE97" s="529"/>
      <c r="AF97" s="530"/>
      <c r="AG97" s="530"/>
      <c r="AH97" s="529"/>
      <c r="AI97" s="642"/>
      <c r="AJ97" s="529"/>
      <c r="AK97" s="530"/>
      <c r="AL97" s="530"/>
      <c r="AM97" s="529"/>
      <c r="AN97" s="642"/>
      <c r="AO97" s="529"/>
      <c r="AP97" s="530"/>
      <c r="AQ97" s="530"/>
      <c r="AR97" s="529"/>
      <c r="AS97" s="642"/>
      <c r="AT97" s="529"/>
      <c r="AU97" s="530"/>
      <c r="AV97" s="530"/>
      <c r="AW97" s="529"/>
      <c r="AX97" s="642"/>
      <c r="AZ97" s="372" t="e">
        <f t="shared" si="79"/>
        <v>#N/A</v>
      </c>
      <c r="BA97" s="642"/>
    </row>
    <row r="98" spans="2:53">
      <c r="B98" s="647"/>
      <c r="C98" s="380">
        <v>12</v>
      </c>
      <c r="D98" s="516"/>
      <c r="E98" s="516"/>
      <c r="F98" s="516"/>
      <c r="G98" s="519"/>
      <c r="H98" s="655"/>
      <c r="I98" s="381" t="str">
        <f t="shared" si="76"/>
        <v>-</v>
      </c>
      <c r="J98" s="381" t="str">
        <f t="shared" si="77"/>
        <v>-</v>
      </c>
      <c r="K98" s="199" t="str">
        <f t="shared" si="78"/>
        <v>-</v>
      </c>
      <c r="L98" s="657"/>
      <c r="M98" s="471" t="e">
        <f>RANK(K98, K$87:$K$101)</f>
        <v>#VALUE!</v>
      </c>
      <c r="N98" s="641"/>
      <c r="O98" s="641"/>
      <c r="P98" s="529"/>
      <c r="Q98" s="530"/>
      <c r="R98" s="530"/>
      <c r="S98" s="529"/>
      <c r="T98" s="642"/>
      <c r="U98" s="529"/>
      <c r="V98" s="530"/>
      <c r="W98" s="530"/>
      <c r="X98" s="529"/>
      <c r="Y98" s="642"/>
      <c r="Z98" s="529"/>
      <c r="AA98" s="530"/>
      <c r="AB98" s="530"/>
      <c r="AC98" s="529"/>
      <c r="AD98" s="642"/>
      <c r="AE98" s="529"/>
      <c r="AF98" s="530"/>
      <c r="AG98" s="530"/>
      <c r="AH98" s="529"/>
      <c r="AI98" s="642"/>
      <c r="AJ98" s="529"/>
      <c r="AK98" s="530"/>
      <c r="AL98" s="530"/>
      <c r="AM98" s="529"/>
      <c r="AN98" s="642"/>
      <c r="AO98" s="529"/>
      <c r="AP98" s="530"/>
      <c r="AQ98" s="530"/>
      <c r="AR98" s="529"/>
      <c r="AS98" s="642"/>
      <c r="AT98" s="529"/>
      <c r="AU98" s="530"/>
      <c r="AV98" s="530"/>
      <c r="AW98" s="529"/>
      <c r="AX98" s="642"/>
      <c r="AZ98" s="372" t="e">
        <f t="shared" si="79"/>
        <v>#N/A</v>
      </c>
      <c r="BA98" s="642"/>
    </row>
    <row r="99" spans="2:53">
      <c r="B99" s="647"/>
      <c r="C99" s="380">
        <v>13</v>
      </c>
      <c r="D99" s="516"/>
      <c r="E99" s="516"/>
      <c r="F99" s="516"/>
      <c r="G99" s="519"/>
      <c r="H99" s="655"/>
      <c r="I99" s="381" t="str">
        <f t="shared" si="76"/>
        <v>-</v>
      </c>
      <c r="J99" s="381" t="str">
        <f t="shared" si="77"/>
        <v>-</v>
      </c>
      <c r="K99" s="199" t="str">
        <f t="shared" si="78"/>
        <v>-</v>
      </c>
      <c r="L99" s="657"/>
      <c r="M99" s="471" t="e">
        <f>RANK(K99, K$87:$K$101)</f>
        <v>#VALUE!</v>
      </c>
      <c r="N99" s="641"/>
      <c r="O99" s="641"/>
      <c r="P99" s="529"/>
      <c r="Q99" s="530"/>
      <c r="R99" s="530"/>
      <c r="S99" s="529"/>
      <c r="T99" s="642"/>
      <c r="U99" s="529"/>
      <c r="V99" s="530"/>
      <c r="W99" s="530"/>
      <c r="X99" s="529"/>
      <c r="Y99" s="642"/>
      <c r="Z99" s="529"/>
      <c r="AA99" s="530"/>
      <c r="AB99" s="530"/>
      <c r="AC99" s="529"/>
      <c r="AD99" s="642"/>
      <c r="AE99" s="529"/>
      <c r="AF99" s="530"/>
      <c r="AG99" s="530"/>
      <c r="AH99" s="529"/>
      <c r="AI99" s="642"/>
      <c r="AJ99" s="529"/>
      <c r="AK99" s="530"/>
      <c r="AL99" s="530"/>
      <c r="AM99" s="529"/>
      <c r="AN99" s="642"/>
      <c r="AO99" s="529"/>
      <c r="AP99" s="530"/>
      <c r="AQ99" s="530"/>
      <c r="AR99" s="529"/>
      <c r="AS99" s="642"/>
      <c r="AT99" s="529"/>
      <c r="AU99" s="530"/>
      <c r="AV99" s="530"/>
      <c r="AW99" s="529"/>
      <c r="AX99" s="642"/>
      <c r="AZ99" s="372" t="e">
        <f t="shared" si="79"/>
        <v>#N/A</v>
      </c>
      <c r="BA99" s="642"/>
    </row>
    <row r="100" spans="2:53">
      <c r="B100" s="647"/>
      <c r="C100" s="380">
        <v>14</v>
      </c>
      <c r="D100" s="516"/>
      <c r="E100" s="516"/>
      <c r="F100" s="516"/>
      <c r="G100" s="519"/>
      <c r="H100" s="655"/>
      <c r="I100" s="381" t="str">
        <f t="shared" si="76"/>
        <v>-</v>
      </c>
      <c r="J100" s="381" t="str">
        <f t="shared" si="77"/>
        <v>-</v>
      </c>
      <c r="K100" s="199" t="str">
        <f t="shared" si="78"/>
        <v>-</v>
      </c>
      <c r="L100" s="657"/>
      <c r="M100" s="471" t="e">
        <f>RANK(K100, K$87:$K$101)</f>
        <v>#VALUE!</v>
      </c>
      <c r="N100" s="641"/>
      <c r="O100" s="641"/>
      <c r="P100" s="529"/>
      <c r="Q100" s="530"/>
      <c r="R100" s="530"/>
      <c r="S100" s="529"/>
      <c r="T100" s="642"/>
      <c r="U100" s="529"/>
      <c r="V100" s="530"/>
      <c r="W100" s="530"/>
      <c r="X100" s="529"/>
      <c r="Y100" s="642"/>
      <c r="Z100" s="529"/>
      <c r="AA100" s="530"/>
      <c r="AB100" s="530"/>
      <c r="AC100" s="529"/>
      <c r="AD100" s="642"/>
      <c r="AE100" s="529"/>
      <c r="AF100" s="530"/>
      <c r="AG100" s="530"/>
      <c r="AH100" s="529"/>
      <c r="AI100" s="642"/>
      <c r="AJ100" s="529"/>
      <c r="AK100" s="530"/>
      <c r="AL100" s="530"/>
      <c r="AM100" s="529"/>
      <c r="AN100" s="642"/>
      <c r="AO100" s="529"/>
      <c r="AP100" s="530"/>
      <c r="AQ100" s="530"/>
      <c r="AR100" s="529"/>
      <c r="AS100" s="642"/>
      <c r="AT100" s="529"/>
      <c r="AU100" s="530"/>
      <c r="AV100" s="530"/>
      <c r="AW100" s="529"/>
      <c r="AX100" s="642"/>
      <c r="AZ100" s="372" t="e">
        <f t="shared" si="79"/>
        <v>#N/A</v>
      </c>
      <c r="BA100" s="642"/>
    </row>
    <row r="101" spans="2:53">
      <c r="B101" s="647"/>
      <c r="C101" s="380">
        <v>15</v>
      </c>
      <c r="D101" s="516"/>
      <c r="E101" s="516"/>
      <c r="F101" s="516"/>
      <c r="G101" s="516"/>
      <c r="H101" s="712"/>
      <c r="I101" s="381" t="str">
        <f t="shared" si="76"/>
        <v>-</v>
      </c>
      <c r="J101" s="381" t="str">
        <f t="shared" si="77"/>
        <v>-</v>
      </c>
      <c r="K101" s="199" t="str">
        <f t="shared" si="78"/>
        <v>-</v>
      </c>
      <c r="L101" s="658"/>
      <c r="M101" s="471" t="e">
        <f>RANK(K101, K$87:$K$101)</f>
        <v>#VALUE!</v>
      </c>
      <c r="N101" s="641"/>
      <c r="O101" s="641"/>
      <c r="P101" s="531"/>
      <c r="Q101" s="513"/>
      <c r="R101" s="513"/>
      <c r="S101" s="529"/>
      <c r="T101" s="642"/>
      <c r="U101" s="531"/>
      <c r="V101" s="513"/>
      <c r="W101" s="513"/>
      <c r="X101" s="529"/>
      <c r="Y101" s="642"/>
      <c r="Z101" s="531"/>
      <c r="AA101" s="513"/>
      <c r="AB101" s="513"/>
      <c r="AC101" s="529"/>
      <c r="AD101" s="642"/>
      <c r="AE101" s="531"/>
      <c r="AF101" s="513"/>
      <c r="AG101" s="513"/>
      <c r="AH101" s="529"/>
      <c r="AI101" s="642"/>
      <c r="AJ101" s="531"/>
      <c r="AK101" s="513"/>
      <c r="AL101" s="513"/>
      <c r="AM101" s="529"/>
      <c r="AN101" s="642"/>
      <c r="AO101" s="531"/>
      <c r="AP101" s="513"/>
      <c r="AQ101" s="513"/>
      <c r="AR101" s="529"/>
      <c r="AS101" s="642"/>
      <c r="AT101" s="531"/>
      <c r="AU101" s="513"/>
      <c r="AV101" s="513"/>
      <c r="AW101" s="529"/>
      <c r="AX101" s="642"/>
      <c r="AZ101" s="372" t="e">
        <f t="shared" si="79"/>
        <v>#N/A</v>
      </c>
      <c r="BA101" s="642"/>
    </row>
    <row r="102" spans="2:53" ht="15.75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68">
        <f>P82+7</f>
        <v>46266</v>
      </c>
      <c r="Q102" s="647"/>
      <c r="R102" s="647"/>
      <c r="S102" s="647"/>
      <c r="T102" s="647"/>
      <c r="U102" s="665">
        <f>P102+1</f>
        <v>46267</v>
      </c>
      <c r="V102" s="666"/>
      <c r="W102" s="666"/>
      <c r="X102" s="666"/>
      <c r="Y102" s="667"/>
      <c r="Z102" s="665">
        <f>U102+1</f>
        <v>46268</v>
      </c>
      <c r="AA102" s="666"/>
      <c r="AB102" s="666"/>
      <c r="AC102" s="666"/>
      <c r="AD102" s="667"/>
      <c r="AE102" s="665">
        <f>Z102+1</f>
        <v>46269</v>
      </c>
      <c r="AF102" s="666"/>
      <c r="AG102" s="666"/>
      <c r="AH102" s="666"/>
      <c r="AI102" s="667"/>
      <c r="AJ102" s="665">
        <f>AE102+1</f>
        <v>46270</v>
      </c>
      <c r="AK102" s="666"/>
      <c r="AL102" s="666"/>
      <c r="AM102" s="666"/>
      <c r="AN102" s="667"/>
      <c r="AO102" s="665">
        <f>AJ102+1</f>
        <v>46271</v>
      </c>
      <c r="AP102" s="666"/>
      <c r="AQ102" s="666"/>
      <c r="AR102" s="666"/>
      <c r="AS102" s="667"/>
      <c r="AT102" s="665">
        <f>AO102+1</f>
        <v>46272</v>
      </c>
      <c r="AU102" s="666"/>
      <c r="AV102" s="666"/>
      <c r="AW102" s="666"/>
      <c r="AX102" s="667"/>
    </row>
    <row r="103" spans="2:53" ht="15.75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45"/>
      <c r="O103" s="645"/>
      <c r="P103" s="668" t="s">
        <v>158</v>
      </c>
      <c r="Q103" s="647"/>
      <c r="R103" s="647"/>
      <c r="S103" s="647"/>
      <c r="T103" s="647"/>
      <c r="U103" s="668" t="s">
        <v>114</v>
      </c>
      <c r="V103" s="647"/>
      <c r="W103" s="647"/>
      <c r="X103" s="647"/>
      <c r="Y103" s="647"/>
      <c r="Z103" s="668" t="s">
        <v>159</v>
      </c>
      <c r="AA103" s="647"/>
      <c r="AB103" s="647"/>
      <c r="AC103" s="647"/>
      <c r="AD103" s="647"/>
      <c r="AE103" s="668" t="s">
        <v>157</v>
      </c>
      <c r="AF103" s="647"/>
      <c r="AG103" s="647"/>
      <c r="AH103" s="647"/>
      <c r="AI103" s="647"/>
      <c r="AJ103" s="668" t="s">
        <v>160</v>
      </c>
      <c r="AK103" s="647"/>
      <c r="AL103" s="647"/>
      <c r="AM103" s="647"/>
      <c r="AN103" s="647"/>
      <c r="AO103" s="668" t="s">
        <v>115</v>
      </c>
      <c r="AP103" s="647"/>
      <c r="AQ103" s="647"/>
      <c r="AR103" s="647"/>
      <c r="AS103" s="647"/>
      <c r="AT103" s="668" t="s">
        <v>161</v>
      </c>
      <c r="AU103" s="647"/>
      <c r="AV103" s="647"/>
      <c r="AW103" s="647"/>
      <c r="AX103" s="647"/>
    </row>
    <row r="104" spans="2:53">
      <c r="B104" s="641" t="s">
        <v>516</v>
      </c>
      <c r="C104" s="641" t="s">
        <v>517</v>
      </c>
      <c r="D104" s="641"/>
      <c r="E104" s="641" t="s">
        <v>518</v>
      </c>
      <c r="F104" s="641"/>
      <c r="G104" s="641"/>
      <c r="H104" s="673" t="s">
        <v>519</v>
      </c>
      <c r="I104" s="641" t="s">
        <v>520</v>
      </c>
      <c r="J104" s="641"/>
      <c r="K104" s="641"/>
      <c r="L104" s="673" t="s">
        <v>519</v>
      </c>
      <c r="M104" s="643" t="s">
        <v>521</v>
      </c>
      <c r="N104" s="641"/>
      <c r="O104" s="641" t="s">
        <v>522</v>
      </c>
      <c r="P104" s="659" t="s">
        <v>523</v>
      </c>
      <c r="Q104" s="660"/>
      <c r="R104" s="660"/>
      <c r="S104" s="661"/>
      <c r="T104" s="641" t="s">
        <v>519</v>
      </c>
      <c r="U104" s="659" t="s">
        <v>523</v>
      </c>
      <c r="V104" s="660"/>
      <c r="W104" s="660"/>
      <c r="X104" s="661"/>
      <c r="Y104" s="641" t="s">
        <v>519</v>
      </c>
      <c r="Z104" s="659" t="s">
        <v>523</v>
      </c>
      <c r="AA104" s="660"/>
      <c r="AB104" s="660"/>
      <c r="AC104" s="661"/>
      <c r="AD104" s="641" t="s">
        <v>519</v>
      </c>
      <c r="AE104" s="659" t="s">
        <v>523</v>
      </c>
      <c r="AF104" s="660"/>
      <c r="AG104" s="660"/>
      <c r="AH104" s="661"/>
      <c r="AI104" s="641" t="s">
        <v>519</v>
      </c>
      <c r="AJ104" s="659" t="s">
        <v>523</v>
      </c>
      <c r="AK104" s="660"/>
      <c r="AL104" s="660"/>
      <c r="AM104" s="661"/>
      <c r="AN104" s="641" t="s">
        <v>519</v>
      </c>
      <c r="AO104" s="659" t="s">
        <v>523</v>
      </c>
      <c r="AP104" s="660"/>
      <c r="AQ104" s="660"/>
      <c r="AR104" s="661"/>
      <c r="AS104" s="641" t="s">
        <v>519</v>
      </c>
      <c r="AT104" s="659" t="s">
        <v>523</v>
      </c>
      <c r="AU104" s="660"/>
      <c r="AV104" s="660"/>
      <c r="AW104" s="661"/>
      <c r="AX104" s="641" t="s">
        <v>519</v>
      </c>
      <c r="BA104" s="641" t="s">
        <v>366</v>
      </c>
    </row>
    <row r="105" spans="2:53">
      <c r="B105" s="641"/>
      <c r="C105" s="641"/>
      <c r="D105" s="641"/>
      <c r="E105" s="641" t="s">
        <v>524</v>
      </c>
      <c r="F105" s="641"/>
      <c r="G105" s="641"/>
      <c r="H105" s="674"/>
      <c r="I105" s="641" t="s">
        <v>524</v>
      </c>
      <c r="J105" s="641"/>
      <c r="K105" s="641"/>
      <c r="L105" s="674"/>
      <c r="M105" s="644"/>
      <c r="N105" s="641"/>
      <c r="O105" s="641"/>
      <c r="P105" s="659" t="s">
        <v>525</v>
      </c>
      <c r="Q105" s="660"/>
      <c r="R105" s="660"/>
      <c r="S105" s="661"/>
      <c r="T105" s="641"/>
      <c r="U105" s="659" t="s">
        <v>525</v>
      </c>
      <c r="V105" s="660"/>
      <c r="W105" s="660"/>
      <c r="X105" s="661"/>
      <c r="Y105" s="641"/>
      <c r="Z105" s="659" t="s">
        <v>525</v>
      </c>
      <c r="AA105" s="660"/>
      <c r="AB105" s="660"/>
      <c r="AC105" s="661"/>
      <c r="AD105" s="641"/>
      <c r="AE105" s="659" t="s">
        <v>525</v>
      </c>
      <c r="AF105" s="660"/>
      <c r="AG105" s="660"/>
      <c r="AH105" s="661"/>
      <c r="AI105" s="641"/>
      <c r="AJ105" s="659" t="s">
        <v>525</v>
      </c>
      <c r="AK105" s="660"/>
      <c r="AL105" s="660"/>
      <c r="AM105" s="661"/>
      <c r="AN105" s="641"/>
      <c r="AO105" s="659" t="s">
        <v>525</v>
      </c>
      <c r="AP105" s="660"/>
      <c r="AQ105" s="660"/>
      <c r="AR105" s="661"/>
      <c r="AS105" s="641"/>
      <c r="AT105" s="659" t="s">
        <v>525</v>
      </c>
      <c r="AU105" s="660"/>
      <c r="AV105" s="660"/>
      <c r="AW105" s="661"/>
      <c r="AX105" s="641"/>
      <c r="BA105" s="641"/>
    </row>
    <row r="106" spans="2:53">
      <c r="B106" s="641"/>
      <c r="C106" s="641"/>
      <c r="D106" s="641"/>
      <c r="E106" s="345" t="s">
        <v>526</v>
      </c>
      <c r="F106" s="345" t="s">
        <v>527</v>
      </c>
      <c r="G106" s="345" t="s">
        <v>528</v>
      </c>
      <c r="H106" s="675"/>
      <c r="I106" s="345" t="s">
        <v>526</v>
      </c>
      <c r="J106" s="345" t="s">
        <v>527</v>
      </c>
      <c r="K106" s="345" t="s">
        <v>528</v>
      </c>
      <c r="L106" s="675"/>
      <c r="M106" s="645"/>
      <c r="N106" s="641"/>
      <c r="O106" s="641"/>
      <c r="P106" s="345" t="s">
        <v>526</v>
      </c>
      <c r="Q106" s="345" t="s">
        <v>527</v>
      </c>
      <c r="R106" s="345" t="s">
        <v>528</v>
      </c>
      <c r="S106" s="345" t="s">
        <v>521</v>
      </c>
      <c r="T106" s="641"/>
      <c r="U106" s="345" t="s">
        <v>526</v>
      </c>
      <c r="V106" s="345" t="s">
        <v>527</v>
      </c>
      <c r="W106" s="345" t="s">
        <v>528</v>
      </c>
      <c r="X106" s="345" t="s">
        <v>521</v>
      </c>
      <c r="Y106" s="641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41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41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41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41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41"/>
      <c r="AZ106" s="373" t="s">
        <v>367</v>
      </c>
      <c r="BA106" s="641"/>
    </row>
    <row r="107" spans="2:53">
      <c r="B107" s="699" t="s">
        <v>529</v>
      </c>
      <c r="C107" s="348">
        <v>1</v>
      </c>
      <c r="D107" s="509"/>
      <c r="E107" s="510"/>
      <c r="F107" s="510"/>
      <c r="G107" s="512"/>
      <c r="H107" s="654" t="e">
        <f>AVERAGE(G107:G121)</f>
        <v>#DIV/0!</v>
      </c>
      <c r="I107" s="363" t="str">
        <f t="shared" ref="I107:I121" si="81">IFERROR(AVERAGE(P107,U107,Z107,AE107,AJ107,AO107,AT107),"-")</f>
        <v>-</v>
      </c>
      <c r="J107" s="363" t="str">
        <f t="shared" ref="J107:J121" si="82">IFERROR(AVERAGE(Q107,V107,AA107,AF107,AK107,AP107,AU107),"-")</f>
        <v>-</v>
      </c>
      <c r="K107" s="199" t="str">
        <f t="shared" ref="K107:K121" si="83">IFERROR(AVERAGE(R107,W107,AB107,AG107,AL107,AQ107,AV107),"-")</f>
        <v>-</v>
      </c>
      <c r="L107" s="656" t="str">
        <f>IFERROR(AVERAGE(K107:K121),"-")</f>
        <v>-</v>
      </c>
      <c r="M107" s="349" t="e">
        <f>RANK(K107, K$107:$K$121)</f>
        <v>#VALUE!</v>
      </c>
      <c r="N107" s="641"/>
      <c r="O107" s="641"/>
      <c r="P107" s="510"/>
      <c r="Q107" s="512"/>
      <c r="R107" s="512"/>
      <c r="S107" s="510"/>
      <c r="T107" s="642"/>
      <c r="U107" s="510"/>
      <c r="V107" s="512"/>
      <c r="W107" s="512"/>
      <c r="X107" s="510"/>
      <c r="Y107" s="642"/>
      <c r="Z107" s="510"/>
      <c r="AA107" s="512"/>
      <c r="AB107" s="512"/>
      <c r="AC107" s="510"/>
      <c r="AD107" s="642"/>
      <c r="AE107" s="510"/>
      <c r="AF107" s="512"/>
      <c r="AG107" s="512"/>
      <c r="AH107" s="510"/>
      <c r="AI107" s="642"/>
      <c r="AJ107" s="510"/>
      <c r="AK107" s="512"/>
      <c r="AL107" s="512"/>
      <c r="AM107" s="510"/>
      <c r="AN107" s="642"/>
      <c r="AO107" s="510"/>
      <c r="AP107" s="512"/>
      <c r="AQ107" s="512"/>
      <c r="AR107" s="510"/>
      <c r="AS107" s="642"/>
      <c r="AT107" s="510"/>
      <c r="AU107" s="512"/>
      <c r="AV107" s="512"/>
      <c r="AW107" s="510"/>
      <c r="AX107" s="642"/>
      <c r="AZ107" s="375" t="e">
        <f t="shared" ref="AZ107:AZ121" si="84">RANK(AY107, AY$81:AY$87)</f>
        <v>#N/A</v>
      </c>
      <c r="BA107" s="698" t="e">
        <f t="shared" ref="BA107" si="85">AVERAGE(AY107:AY121)</f>
        <v>#DIV/0!</v>
      </c>
    </row>
    <row r="108" spans="2:53">
      <c r="B108" s="676"/>
      <c r="C108" s="348">
        <v>2</v>
      </c>
      <c r="D108" s="510"/>
      <c r="E108" s="510"/>
      <c r="F108" s="510"/>
      <c r="G108" s="512"/>
      <c r="H108" s="655"/>
      <c r="I108" s="363" t="str">
        <f t="shared" si="81"/>
        <v>-</v>
      </c>
      <c r="J108" s="363" t="str">
        <f t="shared" si="82"/>
        <v>-</v>
      </c>
      <c r="K108" s="199" t="str">
        <f t="shared" si="83"/>
        <v>-</v>
      </c>
      <c r="L108" s="657"/>
      <c r="M108" s="349" t="e">
        <f>RANK(K108, K$107:$K$121)</f>
        <v>#VALUE!</v>
      </c>
      <c r="N108" s="641"/>
      <c r="O108" s="641"/>
      <c r="P108" s="510"/>
      <c r="Q108" s="512"/>
      <c r="R108" s="512"/>
      <c r="S108" s="510"/>
      <c r="T108" s="642"/>
      <c r="U108" s="510"/>
      <c r="V108" s="512"/>
      <c r="W108" s="512"/>
      <c r="X108" s="510"/>
      <c r="Y108" s="642"/>
      <c r="Z108" s="510"/>
      <c r="AA108" s="512"/>
      <c r="AB108" s="512"/>
      <c r="AC108" s="510"/>
      <c r="AD108" s="642"/>
      <c r="AE108" s="510"/>
      <c r="AF108" s="512"/>
      <c r="AG108" s="512"/>
      <c r="AH108" s="510"/>
      <c r="AI108" s="642"/>
      <c r="AJ108" s="510"/>
      <c r="AK108" s="512"/>
      <c r="AL108" s="512"/>
      <c r="AM108" s="510"/>
      <c r="AN108" s="642"/>
      <c r="AO108" s="510"/>
      <c r="AP108" s="512"/>
      <c r="AQ108" s="512"/>
      <c r="AR108" s="510"/>
      <c r="AS108" s="642"/>
      <c r="AT108" s="510"/>
      <c r="AU108" s="512"/>
      <c r="AV108" s="512"/>
      <c r="AW108" s="510"/>
      <c r="AX108" s="642"/>
      <c r="AZ108" s="375" t="e">
        <f t="shared" si="84"/>
        <v>#N/A</v>
      </c>
      <c r="BA108" s="698"/>
    </row>
    <row r="109" spans="2:53">
      <c r="B109" s="676"/>
      <c r="C109" s="348">
        <v>3</v>
      </c>
      <c r="D109" s="510"/>
      <c r="E109" s="510"/>
      <c r="F109" s="510"/>
      <c r="G109" s="512"/>
      <c r="H109" s="655"/>
      <c r="I109" s="363" t="str">
        <f t="shared" si="81"/>
        <v>-</v>
      </c>
      <c r="J109" s="363" t="str">
        <f t="shared" si="82"/>
        <v>-</v>
      </c>
      <c r="K109" s="199" t="str">
        <f t="shared" si="83"/>
        <v>-</v>
      </c>
      <c r="L109" s="657"/>
      <c r="M109" s="349" t="e">
        <f>RANK(K109, K$107:$K$121)</f>
        <v>#VALUE!</v>
      </c>
      <c r="N109" s="641"/>
      <c r="O109" s="641"/>
      <c r="P109" s="510"/>
      <c r="Q109" s="512"/>
      <c r="R109" s="512"/>
      <c r="S109" s="510"/>
      <c r="T109" s="642"/>
      <c r="U109" s="510"/>
      <c r="V109" s="512"/>
      <c r="W109" s="512"/>
      <c r="X109" s="510"/>
      <c r="Y109" s="642"/>
      <c r="Z109" s="510"/>
      <c r="AA109" s="512"/>
      <c r="AB109" s="512"/>
      <c r="AC109" s="510"/>
      <c r="AD109" s="642"/>
      <c r="AE109" s="510"/>
      <c r="AF109" s="512"/>
      <c r="AG109" s="512"/>
      <c r="AH109" s="510"/>
      <c r="AI109" s="642"/>
      <c r="AJ109" s="510"/>
      <c r="AK109" s="512"/>
      <c r="AL109" s="512"/>
      <c r="AM109" s="510"/>
      <c r="AN109" s="642"/>
      <c r="AO109" s="510"/>
      <c r="AP109" s="512"/>
      <c r="AQ109" s="512"/>
      <c r="AR109" s="510"/>
      <c r="AS109" s="642"/>
      <c r="AT109" s="510"/>
      <c r="AU109" s="512"/>
      <c r="AV109" s="512"/>
      <c r="AW109" s="510"/>
      <c r="AX109" s="642"/>
      <c r="AZ109" s="375" t="e">
        <f t="shared" si="84"/>
        <v>#N/A</v>
      </c>
      <c r="BA109" s="698"/>
    </row>
    <row r="110" spans="2:53">
      <c r="B110" s="676"/>
      <c r="C110" s="348">
        <v>4</v>
      </c>
      <c r="D110" s="352"/>
      <c r="E110" s="352"/>
      <c r="F110" s="352"/>
      <c r="G110" s="181"/>
      <c r="H110" s="655"/>
      <c r="I110" s="363" t="str">
        <f t="shared" si="81"/>
        <v>-</v>
      </c>
      <c r="J110" s="363" t="str">
        <f t="shared" si="82"/>
        <v>-</v>
      </c>
      <c r="K110" s="199" t="str">
        <f t="shared" si="83"/>
        <v>-</v>
      </c>
      <c r="L110" s="657"/>
      <c r="M110" s="349" t="e">
        <f>RANK(K110, K$107:$K$121)</f>
        <v>#VALUE!</v>
      </c>
      <c r="N110" s="641"/>
      <c r="O110" s="641"/>
      <c r="P110" s="510"/>
      <c r="Q110" s="512"/>
      <c r="R110" s="512"/>
      <c r="S110" s="510"/>
      <c r="T110" s="642"/>
      <c r="U110" s="510"/>
      <c r="V110" s="512"/>
      <c r="W110" s="512"/>
      <c r="X110" s="510"/>
      <c r="Y110" s="642"/>
      <c r="Z110" s="510"/>
      <c r="AA110" s="512"/>
      <c r="AB110" s="512"/>
      <c r="AC110" s="510"/>
      <c r="AD110" s="642"/>
      <c r="AE110" s="510"/>
      <c r="AF110" s="512"/>
      <c r="AG110" s="512"/>
      <c r="AH110" s="510"/>
      <c r="AI110" s="642"/>
      <c r="AJ110" s="510"/>
      <c r="AK110" s="512"/>
      <c r="AL110" s="512"/>
      <c r="AM110" s="510"/>
      <c r="AN110" s="642"/>
      <c r="AO110" s="510"/>
      <c r="AP110" s="512"/>
      <c r="AQ110" s="512"/>
      <c r="AR110" s="510"/>
      <c r="AS110" s="642"/>
      <c r="AT110" s="510"/>
      <c r="AU110" s="512"/>
      <c r="AV110" s="512"/>
      <c r="AW110" s="510"/>
      <c r="AX110" s="642"/>
      <c r="AZ110" s="375" t="e">
        <f t="shared" si="84"/>
        <v>#N/A</v>
      </c>
      <c r="BA110" s="698"/>
    </row>
    <row r="111" spans="2:53">
      <c r="B111" s="676"/>
      <c r="C111" s="348">
        <v>5</v>
      </c>
      <c r="D111" s="352"/>
      <c r="E111" s="352"/>
      <c r="F111" s="352"/>
      <c r="G111" s="181"/>
      <c r="H111" s="655"/>
      <c r="I111" s="363" t="str">
        <f t="shared" si="81"/>
        <v>-</v>
      </c>
      <c r="J111" s="363" t="str">
        <f t="shared" si="82"/>
        <v>-</v>
      </c>
      <c r="K111" s="199" t="str">
        <f t="shared" si="83"/>
        <v>-</v>
      </c>
      <c r="L111" s="657"/>
      <c r="M111" s="349" t="e">
        <f>RANK(K111, K$107:$K$121)</f>
        <v>#VALUE!</v>
      </c>
      <c r="N111" s="641"/>
      <c r="O111" s="641"/>
      <c r="P111" s="510"/>
      <c r="Q111" s="512"/>
      <c r="R111" s="512"/>
      <c r="S111" s="510"/>
      <c r="T111" s="642"/>
      <c r="U111" s="510"/>
      <c r="V111" s="512"/>
      <c r="W111" s="512"/>
      <c r="X111" s="510"/>
      <c r="Y111" s="642"/>
      <c r="Z111" s="510"/>
      <c r="AA111" s="512"/>
      <c r="AB111" s="512"/>
      <c r="AC111" s="510"/>
      <c r="AD111" s="642"/>
      <c r="AE111" s="510"/>
      <c r="AF111" s="512"/>
      <c r="AG111" s="512"/>
      <c r="AH111" s="510"/>
      <c r="AI111" s="642"/>
      <c r="AJ111" s="510"/>
      <c r="AK111" s="512"/>
      <c r="AL111" s="512"/>
      <c r="AM111" s="510"/>
      <c r="AN111" s="642"/>
      <c r="AO111" s="510"/>
      <c r="AP111" s="512"/>
      <c r="AQ111" s="512"/>
      <c r="AR111" s="510"/>
      <c r="AS111" s="642"/>
      <c r="AT111" s="510"/>
      <c r="AU111" s="512"/>
      <c r="AV111" s="512"/>
      <c r="AW111" s="510"/>
      <c r="AX111" s="642"/>
      <c r="AZ111" s="375" t="e">
        <f t="shared" si="84"/>
        <v>#N/A</v>
      </c>
      <c r="BA111" s="698"/>
    </row>
    <row r="112" spans="2:53">
      <c r="B112" s="676"/>
      <c r="C112" s="348">
        <v>6</v>
      </c>
      <c r="D112" s="352"/>
      <c r="E112" s="352"/>
      <c r="F112" s="352"/>
      <c r="G112" s="181"/>
      <c r="H112" s="655"/>
      <c r="I112" s="363" t="str">
        <f t="shared" si="81"/>
        <v>-</v>
      </c>
      <c r="J112" s="363" t="str">
        <f t="shared" si="82"/>
        <v>-</v>
      </c>
      <c r="K112" s="199" t="str">
        <f t="shared" si="83"/>
        <v>-</v>
      </c>
      <c r="L112" s="657"/>
      <c r="M112" s="349" t="e">
        <f>RANK(K112, K$107:$K$121)</f>
        <v>#VALUE!</v>
      </c>
      <c r="N112" s="641"/>
      <c r="O112" s="641"/>
      <c r="P112" s="510"/>
      <c r="Q112" s="512"/>
      <c r="R112" s="512"/>
      <c r="S112" s="510"/>
      <c r="T112" s="642"/>
      <c r="U112" s="510"/>
      <c r="V112" s="512"/>
      <c r="W112" s="512"/>
      <c r="X112" s="510"/>
      <c r="Y112" s="642"/>
      <c r="Z112" s="510"/>
      <c r="AA112" s="512"/>
      <c r="AB112" s="512"/>
      <c r="AC112" s="510"/>
      <c r="AD112" s="642"/>
      <c r="AE112" s="510"/>
      <c r="AF112" s="512"/>
      <c r="AG112" s="512"/>
      <c r="AH112" s="510"/>
      <c r="AI112" s="642"/>
      <c r="AJ112" s="510"/>
      <c r="AK112" s="512"/>
      <c r="AL112" s="512"/>
      <c r="AM112" s="510"/>
      <c r="AN112" s="642"/>
      <c r="AO112" s="510"/>
      <c r="AP112" s="512"/>
      <c r="AQ112" s="512"/>
      <c r="AR112" s="510"/>
      <c r="AS112" s="642"/>
      <c r="AT112" s="510"/>
      <c r="AU112" s="512"/>
      <c r="AV112" s="512"/>
      <c r="AW112" s="510"/>
      <c r="AX112" s="642"/>
      <c r="AZ112" s="375" t="e">
        <f t="shared" si="84"/>
        <v>#N/A</v>
      </c>
      <c r="BA112" s="698"/>
    </row>
    <row r="113" spans="2:53">
      <c r="B113" s="676"/>
      <c r="C113" s="348">
        <v>7</v>
      </c>
      <c r="D113" s="352"/>
      <c r="E113" s="352"/>
      <c r="F113" s="352"/>
      <c r="G113" s="181"/>
      <c r="H113" s="655"/>
      <c r="I113" s="363" t="str">
        <f t="shared" si="81"/>
        <v>-</v>
      </c>
      <c r="J113" s="363" t="str">
        <f t="shared" si="82"/>
        <v>-</v>
      </c>
      <c r="K113" s="199" t="str">
        <f t="shared" si="83"/>
        <v>-</v>
      </c>
      <c r="L113" s="657"/>
      <c r="M113" s="349" t="e">
        <f>RANK(K113, K$107:$K$121)</f>
        <v>#VALUE!</v>
      </c>
      <c r="N113" s="641"/>
      <c r="O113" s="641"/>
      <c r="P113" s="510"/>
      <c r="Q113" s="512"/>
      <c r="R113" s="512"/>
      <c r="S113" s="510"/>
      <c r="T113" s="642"/>
      <c r="U113" s="510"/>
      <c r="V113" s="512"/>
      <c r="W113" s="512"/>
      <c r="X113" s="510"/>
      <c r="Y113" s="642"/>
      <c r="Z113" s="510"/>
      <c r="AA113" s="512"/>
      <c r="AB113" s="512"/>
      <c r="AC113" s="510"/>
      <c r="AD113" s="642"/>
      <c r="AE113" s="510"/>
      <c r="AF113" s="512"/>
      <c r="AG113" s="512"/>
      <c r="AH113" s="510"/>
      <c r="AI113" s="642"/>
      <c r="AJ113" s="510"/>
      <c r="AK113" s="512"/>
      <c r="AL113" s="512"/>
      <c r="AM113" s="510"/>
      <c r="AN113" s="642"/>
      <c r="AO113" s="510"/>
      <c r="AP113" s="512"/>
      <c r="AQ113" s="512"/>
      <c r="AR113" s="510"/>
      <c r="AS113" s="642"/>
      <c r="AT113" s="510"/>
      <c r="AU113" s="512"/>
      <c r="AV113" s="512"/>
      <c r="AW113" s="510"/>
      <c r="AX113" s="642"/>
      <c r="AZ113" s="375" t="e">
        <f t="shared" si="84"/>
        <v>#N/A</v>
      </c>
      <c r="BA113" s="698"/>
    </row>
    <row r="114" spans="2:53">
      <c r="B114" s="676"/>
      <c r="C114" s="348">
        <v>8</v>
      </c>
      <c r="D114" s="352"/>
      <c r="E114" s="352"/>
      <c r="F114" s="352"/>
      <c r="G114" s="181"/>
      <c r="H114" s="655"/>
      <c r="I114" s="363" t="str">
        <f t="shared" si="81"/>
        <v>-</v>
      </c>
      <c r="J114" s="363" t="str">
        <f t="shared" si="82"/>
        <v>-</v>
      </c>
      <c r="K114" s="199" t="str">
        <f t="shared" si="83"/>
        <v>-</v>
      </c>
      <c r="L114" s="657"/>
      <c r="M114" s="349" t="e">
        <f>RANK(K114, K$107:$K$121)</f>
        <v>#VALUE!</v>
      </c>
      <c r="N114" s="641"/>
      <c r="O114" s="641"/>
      <c r="P114" s="510"/>
      <c r="Q114" s="512"/>
      <c r="R114" s="512"/>
      <c r="S114" s="510"/>
      <c r="T114" s="642"/>
      <c r="U114" s="510"/>
      <c r="V114" s="512"/>
      <c r="W114" s="512"/>
      <c r="X114" s="510"/>
      <c r="Y114" s="642"/>
      <c r="Z114" s="510"/>
      <c r="AA114" s="512"/>
      <c r="AB114" s="512"/>
      <c r="AC114" s="510"/>
      <c r="AD114" s="642"/>
      <c r="AE114" s="510"/>
      <c r="AF114" s="512"/>
      <c r="AG114" s="512"/>
      <c r="AH114" s="510"/>
      <c r="AI114" s="642"/>
      <c r="AJ114" s="510"/>
      <c r="AK114" s="512"/>
      <c r="AL114" s="512"/>
      <c r="AM114" s="510"/>
      <c r="AN114" s="642"/>
      <c r="AO114" s="510"/>
      <c r="AP114" s="512"/>
      <c r="AQ114" s="512"/>
      <c r="AR114" s="510"/>
      <c r="AS114" s="642"/>
      <c r="AT114" s="510"/>
      <c r="AU114" s="512"/>
      <c r="AV114" s="512"/>
      <c r="AW114" s="510"/>
      <c r="AX114" s="642"/>
      <c r="AZ114" s="375" t="e">
        <f t="shared" si="84"/>
        <v>#N/A</v>
      </c>
      <c r="BA114" s="698"/>
    </row>
    <row r="115" spans="2:53">
      <c r="B115" s="676"/>
      <c r="C115" s="348">
        <v>9</v>
      </c>
      <c r="D115" s="352"/>
      <c r="E115" s="352"/>
      <c r="F115" s="352"/>
      <c r="G115" s="181"/>
      <c r="H115" s="655"/>
      <c r="I115" s="363" t="str">
        <f t="shared" si="81"/>
        <v>-</v>
      </c>
      <c r="J115" s="363" t="str">
        <f t="shared" si="82"/>
        <v>-</v>
      </c>
      <c r="K115" s="199" t="str">
        <f t="shared" si="83"/>
        <v>-</v>
      </c>
      <c r="L115" s="657"/>
      <c r="M115" s="349" t="e">
        <f>RANK(K115, K$107:$K$121)</f>
        <v>#VALUE!</v>
      </c>
      <c r="N115" s="641"/>
      <c r="O115" s="641"/>
      <c r="P115" s="510"/>
      <c r="Q115" s="512"/>
      <c r="R115" s="512"/>
      <c r="S115" s="510"/>
      <c r="T115" s="642"/>
      <c r="U115" s="510"/>
      <c r="V115" s="512"/>
      <c r="W115" s="512"/>
      <c r="X115" s="510"/>
      <c r="Y115" s="642"/>
      <c r="Z115" s="510"/>
      <c r="AA115" s="512"/>
      <c r="AB115" s="512"/>
      <c r="AC115" s="510"/>
      <c r="AD115" s="642"/>
      <c r="AE115" s="510"/>
      <c r="AF115" s="512"/>
      <c r="AG115" s="512"/>
      <c r="AH115" s="510"/>
      <c r="AI115" s="642"/>
      <c r="AJ115" s="510"/>
      <c r="AK115" s="512"/>
      <c r="AL115" s="512"/>
      <c r="AM115" s="510"/>
      <c r="AN115" s="642"/>
      <c r="AO115" s="510"/>
      <c r="AP115" s="512"/>
      <c r="AQ115" s="512"/>
      <c r="AR115" s="510"/>
      <c r="AS115" s="642"/>
      <c r="AT115" s="510"/>
      <c r="AU115" s="512"/>
      <c r="AV115" s="512"/>
      <c r="AW115" s="510"/>
      <c r="AX115" s="642"/>
      <c r="AZ115" s="375" t="e">
        <f t="shared" si="84"/>
        <v>#N/A</v>
      </c>
      <c r="BA115" s="698"/>
    </row>
    <row r="116" spans="2:53">
      <c r="B116" s="676"/>
      <c r="C116" s="348">
        <v>10</v>
      </c>
      <c r="D116" s="352"/>
      <c r="E116" s="352"/>
      <c r="F116" s="352"/>
      <c r="G116" s="181"/>
      <c r="H116" s="655"/>
      <c r="I116" s="363" t="str">
        <f t="shared" si="81"/>
        <v>-</v>
      </c>
      <c r="J116" s="363" t="str">
        <f t="shared" si="82"/>
        <v>-</v>
      </c>
      <c r="K116" s="199" t="str">
        <f t="shared" si="83"/>
        <v>-</v>
      </c>
      <c r="L116" s="657"/>
      <c r="M116" s="349" t="e">
        <f>RANK(K116, K$107:$K$121)</f>
        <v>#VALUE!</v>
      </c>
      <c r="N116" s="641"/>
      <c r="O116" s="641"/>
      <c r="P116" s="510"/>
      <c r="Q116" s="512"/>
      <c r="R116" s="512"/>
      <c r="S116" s="510"/>
      <c r="T116" s="642"/>
      <c r="U116" s="510"/>
      <c r="V116" s="512"/>
      <c r="W116" s="512"/>
      <c r="X116" s="510"/>
      <c r="Y116" s="642"/>
      <c r="Z116" s="510"/>
      <c r="AA116" s="512"/>
      <c r="AB116" s="512"/>
      <c r="AC116" s="510"/>
      <c r="AD116" s="642"/>
      <c r="AE116" s="510"/>
      <c r="AF116" s="512"/>
      <c r="AG116" s="512"/>
      <c r="AH116" s="510"/>
      <c r="AI116" s="642"/>
      <c r="AJ116" s="510"/>
      <c r="AK116" s="512"/>
      <c r="AL116" s="512"/>
      <c r="AM116" s="510"/>
      <c r="AN116" s="642"/>
      <c r="AO116" s="510"/>
      <c r="AP116" s="512"/>
      <c r="AQ116" s="512"/>
      <c r="AR116" s="510"/>
      <c r="AS116" s="642"/>
      <c r="AT116" s="510"/>
      <c r="AU116" s="512"/>
      <c r="AV116" s="512"/>
      <c r="AW116" s="510"/>
      <c r="AX116" s="642"/>
      <c r="AZ116" s="375" t="e">
        <f t="shared" si="84"/>
        <v>#N/A</v>
      </c>
      <c r="BA116" s="698"/>
    </row>
    <row r="117" spans="2:53">
      <c r="B117" s="676"/>
      <c r="C117" s="348">
        <v>11</v>
      </c>
      <c r="D117" s="352"/>
      <c r="E117" s="352"/>
      <c r="F117" s="352"/>
      <c r="G117" s="181"/>
      <c r="H117" s="655"/>
      <c r="I117" s="363" t="str">
        <f t="shared" si="81"/>
        <v>-</v>
      </c>
      <c r="J117" s="363" t="str">
        <f t="shared" si="82"/>
        <v>-</v>
      </c>
      <c r="K117" s="199" t="str">
        <f t="shared" si="83"/>
        <v>-</v>
      </c>
      <c r="L117" s="657"/>
      <c r="M117" s="349" t="e">
        <f>RANK(K117, K$107:$K$121)</f>
        <v>#VALUE!</v>
      </c>
      <c r="N117" s="641"/>
      <c r="O117" s="641"/>
      <c r="P117" s="510"/>
      <c r="Q117" s="512"/>
      <c r="R117" s="512"/>
      <c r="S117" s="510"/>
      <c r="T117" s="642"/>
      <c r="U117" s="510"/>
      <c r="V117" s="512"/>
      <c r="W117" s="512"/>
      <c r="X117" s="510"/>
      <c r="Y117" s="642"/>
      <c r="Z117" s="510"/>
      <c r="AA117" s="512"/>
      <c r="AB117" s="512"/>
      <c r="AC117" s="510"/>
      <c r="AD117" s="642"/>
      <c r="AE117" s="510"/>
      <c r="AF117" s="512"/>
      <c r="AG117" s="512"/>
      <c r="AH117" s="510"/>
      <c r="AI117" s="642"/>
      <c r="AJ117" s="510"/>
      <c r="AK117" s="512"/>
      <c r="AL117" s="512"/>
      <c r="AM117" s="510"/>
      <c r="AN117" s="642"/>
      <c r="AO117" s="510"/>
      <c r="AP117" s="512"/>
      <c r="AQ117" s="512"/>
      <c r="AR117" s="510"/>
      <c r="AS117" s="642"/>
      <c r="AT117" s="510"/>
      <c r="AU117" s="512"/>
      <c r="AV117" s="512"/>
      <c r="AW117" s="510"/>
      <c r="AX117" s="642"/>
      <c r="AZ117" s="375" t="e">
        <f t="shared" si="84"/>
        <v>#N/A</v>
      </c>
      <c r="BA117" s="698"/>
    </row>
    <row r="118" spans="2:53">
      <c r="B118" s="676"/>
      <c r="C118" s="348">
        <v>12</v>
      </c>
      <c r="D118" s="352"/>
      <c r="E118" s="352"/>
      <c r="F118" s="352"/>
      <c r="G118" s="181"/>
      <c r="H118" s="655"/>
      <c r="I118" s="363" t="str">
        <f t="shared" si="81"/>
        <v>-</v>
      </c>
      <c r="J118" s="363" t="str">
        <f t="shared" si="82"/>
        <v>-</v>
      </c>
      <c r="K118" s="199" t="str">
        <f t="shared" si="83"/>
        <v>-</v>
      </c>
      <c r="L118" s="657"/>
      <c r="M118" s="349" t="e">
        <f>RANK(K118, K$107:$K$121)</f>
        <v>#VALUE!</v>
      </c>
      <c r="N118" s="641"/>
      <c r="O118" s="641"/>
      <c r="P118" s="510"/>
      <c r="Q118" s="512"/>
      <c r="R118" s="512"/>
      <c r="S118" s="510"/>
      <c r="T118" s="642"/>
      <c r="U118" s="510"/>
      <c r="V118" s="512"/>
      <c r="W118" s="512"/>
      <c r="X118" s="510"/>
      <c r="Y118" s="642"/>
      <c r="Z118" s="510"/>
      <c r="AA118" s="512"/>
      <c r="AB118" s="512"/>
      <c r="AC118" s="510"/>
      <c r="AD118" s="642"/>
      <c r="AE118" s="510"/>
      <c r="AF118" s="512"/>
      <c r="AG118" s="512"/>
      <c r="AH118" s="510"/>
      <c r="AI118" s="642"/>
      <c r="AJ118" s="510"/>
      <c r="AK118" s="512"/>
      <c r="AL118" s="512"/>
      <c r="AM118" s="510"/>
      <c r="AN118" s="642"/>
      <c r="AO118" s="510"/>
      <c r="AP118" s="512"/>
      <c r="AQ118" s="512"/>
      <c r="AR118" s="510"/>
      <c r="AS118" s="642"/>
      <c r="AT118" s="510"/>
      <c r="AU118" s="512"/>
      <c r="AV118" s="512"/>
      <c r="AW118" s="510"/>
      <c r="AX118" s="642"/>
      <c r="AZ118" s="375" t="e">
        <f t="shared" si="84"/>
        <v>#N/A</v>
      </c>
      <c r="BA118" s="698"/>
    </row>
    <row r="119" spans="2:53">
      <c r="B119" s="676"/>
      <c r="C119" s="348">
        <v>13</v>
      </c>
      <c r="D119" s="352"/>
      <c r="E119" s="352"/>
      <c r="F119" s="352"/>
      <c r="G119" s="181"/>
      <c r="H119" s="655"/>
      <c r="I119" s="363" t="str">
        <f t="shared" si="81"/>
        <v>-</v>
      </c>
      <c r="J119" s="363" t="str">
        <f t="shared" si="82"/>
        <v>-</v>
      </c>
      <c r="K119" s="199" t="str">
        <f t="shared" si="83"/>
        <v>-</v>
      </c>
      <c r="L119" s="657"/>
      <c r="M119" s="349" t="e">
        <f>RANK(K119, K$107:$K$121)</f>
        <v>#VALUE!</v>
      </c>
      <c r="N119" s="641"/>
      <c r="O119" s="641"/>
      <c r="P119" s="510"/>
      <c r="Q119" s="512"/>
      <c r="R119" s="512"/>
      <c r="S119" s="510"/>
      <c r="T119" s="642"/>
      <c r="U119" s="510"/>
      <c r="V119" s="512"/>
      <c r="W119" s="512"/>
      <c r="X119" s="510"/>
      <c r="Y119" s="642"/>
      <c r="Z119" s="510"/>
      <c r="AA119" s="512"/>
      <c r="AB119" s="512"/>
      <c r="AC119" s="510"/>
      <c r="AD119" s="642"/>
      <c r="AE119" s="510"/>
      <c r="AF119" s="512"/>
      <c r="AG119" s="512"/>
      <c r="AH119" s="510"/>
      <c r="AI119" s="642"/>
      <c r="AJ119" s="510"/>
      <c r="AK119" s="512"/>
      <c r="AL119" s="512"/>
      <c r="AM119" s="510"/>
      <c r="AN119" s="642"/>
      <c r="AO119" s="510"/>
      <c r="AP119" s="512"/>
      <c r="AQ119" s="512"/>
      <c r="AR119" s="510"/>
      <c r="AS119" s="642"/>
      <c r="AT119" s="510"/>
      <c r="AU119" s="512"/>
      <c r="AV119" s="512"/>
      <c r="AW119" s="510"/>
      <c r="AX119" s="642"/>
      <c r="AZ119" s="375" t="e">
        <f t="shared" si="84"/>
        <v>#N/A</v>
      </c>
      <c r="BA119" s="698"/>
    </row>
    <row r="120" spans="2:53">
      <c r="B120" s="676"/>
      <c r="C120" s="348">
        <v>14</v>
      </c>
      <c r="D120" s="352"/>
      <c r="E120" s="352"/>
      <c r="F120" s="352"/>
      <c r="G120" s="181"/>
      <c r="H120" s="655"/>
      <c r="I120" s="363" t="str">
        <f t="shared" si="81"/>
        <v>-</v>
      </c>
      <c r="J120" s="363" t="str">
        <f t="shared" si="82"/>
        <v>-</v>
      </c>
      <c r="K120" s="199" t="str">
        <f t="shared" si="83"/>
        <v>-</v>
      </c>
      <c r="L120" s="657"/>
      <c r="M120" s="349" t="e">
        <f>RANK(K120, K$107:$K$121)</f>
        <v>#VALUE!</v>
      </c>
      <c r="N120" s="641"/>
      <c r="O120" s="641"/>
      <c r="P120" s="510"/>
      <c r="Q120" s="512"/>
      <c r="R120" s="512"/>
      <c r="S120" s="510"/>
      <c r="T120" s="642"/>
      <c r="U120" s="510"/>
      <c r="V120" s="512"/>
      <c r="W120" s="512"/>
      <c r="X120" s="510"/>
      <c r="Y120" s="642"/>
      <c r="Z120" s="510"/>
      <c r="AA120" s="512"/>
      <c r="AB120" s="512"/>
      <c r="AC120" s="510"/>
      <c r="AD120" s="642"/>
      <c r="AE120" s="510"/>
      <c r="AF120" s="512"/>
      <c r="AG120" s="512"/>
      <c r="AH120" s="510"/>
      <c r="AI120" s="642"/>
      <c r="AJ120" s="510"/>
      <c r="AK120" s="512"/>
      <c r="AL120" s="512"/>
      <c r="AM120" s="510"/>
      <c r="AN120" s="642"/>
      <c r="AO120" s="510"/>
      <c r="AP120" s="512"/>
      <c r="AQ120" s="512"/>
      <c r="AR120" s="510"/>
      <c r="AS120" s="642"/>
      <c r="AT120" s="510"/>
      <c r="AU120" s="512"/>
      <c r="AV120" s="512"/>
      <c r="AW120" s="510"/>
      <c r="AX120" s="642"/>
      <c r="AZ120" s="375" t="e">
        <f t="shared" si="84"/>
        <v>#N/A</v>
      </c>
      <c r="BA120" s="698"/>
    </row>
    <row r="121" spans="2:53">
      <c r="B121" s="676"/>
      <c r="C121" s="348">
        <v>15</v>
      </c>
      <c r="D121" s="352"/>
      <c r="E121" s="352"/>
      <c r="F121" s="352"/>
      <c r="G121" s="352"/>
      <c r="H121" s="712"/>
      <c r="I121" s="363" t="str">
        <f t="shared" si="81"/>
        <v>-</v>
      </c>
      <c r="J121" s="363" t="str">
        <f t="shared" si="82"/>
        <v>-</v>
      </c>
      <c r="K121" s="199" t="str">
        <f t="shared" si="83"/>
        <v>-</v>
      </c>
      <c r="L121" s="658"/>
      <c r="M121" s="349" t="e">
        <f>RANK(K121, K$107:$K$121)</f>
        <v>#VALUE!</v>
      </c>
      <c r="N121" s="641"/>
      <c r="O121" s="641"/>
      <c r="P121" s="510"/>
      <c r="Q121" s="512"/>
      <c r="R121" s="512"/>
      <c r="S121" s="510"/>
      <c r="T121" s="642"/>
      <c r="U121" s="510"/>
      <c r="V121" s="512"/>
      <c r="W121" s="512"/>
      <c r="X121" s="510"/>
      <c r="Y121" s="642"/>
      <c r="Z121" s="510"/>
      <c r="AA121" s="512"/>
      <c r="AB121" s="512"/>
      <c r="AC121" s="510"/>
      <c r="AD121" s="642"/>
      <c r="AE121" s="510"/>
      <c r="AF121" s="512"/>
      <c r="AG121" s="512"/>
      <c r="AH121" s="510"/>
      <c r="AI121" s="642"/>
      <c r="AJ121" s="510"/>
      <c r="AK121" s="512"/>
      <c r="AL121" s="512"/>
      <c r="AM121" s="510"/>
      <c r="AN121" s="642"/>
      <c r="AO121" s="510"/>
      <c r="AP121" s="512"/>
      <c r="AQ121" s="512"/>
      <c r="AR121" s="510"/>
      <c r="AS121" s="642"/>
      <c r="AT121" s="510"/>
      <c r="AU121" s="512"/>
      <c r="AV121" s="512"/>
      <c r="AW121" s="510"/>
      <c r="AX121" s="642"/>
      <c r="AZ121" s="375" t="e">
        <f t="shared" si="84"/>
        <v>#N/A</v>
      </c>
      <c r="BA121" s="698"/>
    </row>
    <row r="123" spans="2:53" ht="15.75">
      <c r="B123" s="649" t="s">
        <v>472</v>
      </c>
      <c r="C123" s="650"/>
      <c r="D123" s="650"/>
      <c r="E123" s="650"/>
      <c r="F123" s="650"/>
      <c r="G123" s="650"/>
      <c r="H123" s="651"/>
      <c r="I123" s="307"/>
      <c r="J123" s="307"/>
      <c r="K123" s="307"/>
      <c r="L123" s="307"/>
      <c r="M123" s="308"/>
    </row>
    <row r="124" spans="2:53" ht="15.75">
      <c r="B124" s="652"/>
      <c r="C124" s="652"/>
      <c r="D124" s="652"/>
      <c r="E124" s="652"/>
      <c r="F124" s="652"/>
      <c r="G124" s="652"/>
      <c r="H124" s="652"/>
      <c r="I124" s="309"/>
      <c r="J124" s="309"/>
      <c r="K124" s="309"/>
      <c r="L124" s="309"/>
      <c r="M124" s="310"/>
    </row>
    <row r="125" spans="2:53">
      <c r="B125" s="641" t="s">
        <v>473</v>
      </c>
      <c r="C125" s="641" t="s">
        <v>474</v>
      </c>
      <c r="D125" s="641"/>
      <c r="E125" s="641" t="s">
        <v>475</v>
      </c>
      <c r="F125" s="641"/>
      <c r="G125" s="641"/>
      <c r="H125" s="673" t="s">
        <v>476</v>
      </c>
      <c r="I125" s="653" t="s">
        <v>477</v>
      </c>
      <c r="J125" s="653"/>
      <c r="K125" s="653"/>
      <c r="L125" s="706" t="s">
        <v>476</v>
      </c>
      <c r="M125" s="709" t="s">
        <v>478</v>
      </c>
    </row>
    <row r="126" spans="2:53">
      <c r="B126" s="641"/>
      <c r="C126" s="641"/>
      <c r="D126" s="641"/>
      <c r="E126" s="641" t="s">
        <v>479</v>
      </c>
      <c r="F126" s="641"/>
      <c r="G126" s="641"/>
      <c r="H126" s="674"/>
      <c r="I126" s="653" t="s">
        <v>479</v>
      </c>
      <c r="J126" s="653"/>
      <c r="K126" s="653"/>
      <c r="L126" s="707"/>
      <c r="M126" s="710"/>
    </row>
    <row r="127" spans="2:53">
      <c r="B127" s="641"/>
      <c r="C127" s="641"/>
      <c r="D127" s="641"/>
      <c r="E127" s="304" t="s">
        <v>480</v>
      </c>
      <c r="F127" s="304" t="s">
        <v>481</v>
      </c>
      <c r="G127" s="304" t="s">
        <v>482</v>
      </c>
      <c r="H127" s="675"/>
      <c r="I127" s="311" t="s">
        <v>480</v>
      </c>
      <c r="J127" s="311" t="s">
        <v>481</v>
      </c>
      <c r="K127" s="311" t="s">
        <v>482</v>
      </c>
      <c r="L127" s="708"/>
      <c r="M127" s="711"/>
    </row>
    <row r="128" spans="2:53">
      <c r="B128" s="699" t="s">
        <v>484</v>
      </c>
      <c r="C128" s="303">
        <v>1</v>
      </c>
      <c r="D128" s="225"/>
      <c r="E128" s="181"/>
      <c r="F128" s="303"/>
      <c r="G128" s="306"/>
      <c r="H128" s="700" t="e">
        <f>AVERAGE(G128:G142)</f>
        <v>#DIV/0!</v>
      </c>
      <c r="I128" s="198" t="e">
        <f t="shared" ref="I128:K134" si="86">AVERAGEIF($D$7:$D$121,$D128,I$7:I$121)</f>
        <v>#DIV/0!</v>
      </c>
      <c r="J128" s="198" t="e">
        <f t="shared" si="86"/>
        <v>#DIV/0!</v>
      </c>
      <c r="K128" s="198" t="e">
        <f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39">
      <c r="B129" s="647"/>
      <c r="C129" s="303">
        <v>2</v>
      </c>
      <c r="D129" s="225"/>
      <c r="E129" s="181"/>
      <c r="F129" s="303"/>
      <c r="G129" s="306"/>
      <c r="H129" s="701"/>
      <c r="I129" s="198" t="e">
        <f t="shared" si="86"/>
        <v>#DIV/0!</v>
      </c>
      <c r="J129" s="198" t="e">
        <f t="shared" si="86"/>
        <v>#DIV/0!</v>
      </c>
      <c r="K129" s="198" t="e">
        <f t="shared" si="86"/>
        <v>#DIV/0!</v>
      </c>
      <c r="L129" s="704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7"/>
      <c r="C130" s="303">
        <v>3</v>
      </c>
      <c r="D130" s="225"/>
      <c r="E130" s="181"/>
      <c r="F130" s="303"/>
      <c r="G130" s="306"/>
      <c r="H130" s="701"/>
      <c r="I130" s="198" t="e">
        <f t="shared" si="86"/>
        <v>#DIV/0!</v>
      </c>
      <c r="J130" s="198" t="e">
        <f t="shared" si="86"/>
        <v>#DIV/0!</v>
      </c>
      <c r="K130" s="198" t="e">
        <f t="shared" si="86"/>
        <v>#DIV/0!</v>
      </c>
      <c r="L130" s="704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7"/>
      <c r="C131" s="303">
        <v>4</v>
      </c>
      <c r="D131" s="225"/>
      <c r="E131" s="181"/>
      <c r="F131" s="303"/>
      <c r="G131" s="306"/>
      <c r="H131" s="701"/>
      <c r="I131" s="198" t="e">
        <f t="shared" si="86"/>
        <v>#DIV/0!</v>
      </c>
      <c r="J131" s="198" t="e">
        <f t="shared" si="86"/>
        <v>#DIV/0!</v>
      </c>
      <c r="K131" s="198" t="e">
        <f t="shared" si="86"/>
        <v>#DIV/0!</v>
      </c>
      <c r="L131" s="704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7"/>
      <c r="C132" s="303">
        <v>5</v>
      </c>
      <c r="D132" s="225"/>
      <c r="E132" s="181"/>
      <c r="F132" s="303"/>
      <c r="G132" s="306"/>
      <c r="H132" s="701"/>
      <c r="I132" s="198" t="e">
        <f t="shared" si="86"/>
        <v>#DIV/0!</v>
      </c>
      <c r="J132" s="198" t="e">
        <f t="shared" si="86"/>
        <v>#DIV/0!</v>
      </c>
      <c r="K132" s="198" t="e">
        <f t="shared" si="86"/>
        <v>#DIV/0!</v>
      </c>
      <c r="L132" s="704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7"/>
      <c r="C133" s="303">
        <v>6</v>
      </c>
      <c r="D133" s="312"/>
      <c r="E133" s="181"/>
      <c r="F133" s="303"/>
      <c r="G133" s="306"/>
      <c r="H133" s="701"/>
      <c r="I133" s="198" t="e">
        <f t="shared" si="86"/>
        <v>#DIV/0!</v>
      </c>
      <c r="J133" s="198" t="e">
        <f t="shared" si="86"/>
        <v>#DIV/0!</v>
      </c>
      <c r="K133" s="198" t="e">
        <f t="shared" si="86"/>
        <v>#DIV/0!</v>
      </c>
      <c r="L133" s="704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7"/>
      <c r="C134" s="303">
        <v>7</v>
      </c>
      <c r="D134" s="225"/>
      <c r="E134" s="181"/>
      <c r="F134" s="303"/>
      <c r="G134" s="306"/>
      <c r="H134" s="701"/>
      <c r="I134" s="198" t="e">
        <f t="shared" si="86"/>
        <v>#DIV/0!</v>
      </c>
      <c r="J134" s="198" t="e">
        <f t="shared" si="86"/>
        <v>#DIV/0!</v>
      </c>
      <c r="K134" s="198" t="e">
        <f t="shared" si="86"/>
        <v>#DIV/0!</v>
      </c>
      <c r="L134" s="704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7"/>
      <c r="C135" s="303">
        <v>8</v>
      </c>
      <c r="D135" s="225"/>
      <c r="E135" s="181"/>
      <c r="F135" s="303"/>
      <c r="G135" s="306"/>
      <c r="H135" s="701"/>
      <c r="I135" s="198"/>
      <c r="J135" s="198"/>
      <c r="K135" s="198"/>
      <c r="L135" s="704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7"/>
      <c r="C136" s="303">
        <v>9</v>
      </c>
      <c r="D136" s="225"/>
      <c r="E136" s="303"/>
      <c r="F136" s="303"/>
      <c r="G136" s="303"/>
      <c r="H136" s="701"/>
      <c r="I136" s="198"/>
      <c r="J136" s="198"/>
      <c r="K136" s="198"/>
      <c r="L136" s="704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7"/>
      <c r="C137" s="303">
        <v>10</v>
      </c>
      <c r="D137" s="225"/>
      <c r="E137" s="303"/>
      <c r="F137" s="303"/>
      <c r="G137" s="303"/>
      <c r="H137" s="701"/>
      <c r="I137" s="198"/>
      <c r="J137" s="198"/>
      <c r="K137" s="198"/>
      <c r="L137" s="704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7"/>
      <c r="C138" s="303">
        <v>11</v>
      </c>
      <c r="D138" s="225"/>
      <c r="E138" s="303"/>
      <c r="F138" s="303"/>
      <c r="G138" s="303"/>
      <c r="H138" s="701"/>
      <c r="I138" s="198"/>
      <c r="J138" s="198"/>
      <c r="K138" s="198"/>
      <c r="L138" s="704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7"/>
      <c r="C139" s="303">
        <v>12</v>
      </c>
      <c r="D139" s="225"/>
      <c r="E139" s="303"/>
      <c r="F139" s="303"/>
      <c r="G139" s="303"/>
      <c r="H139" s="701"/>
      <c r="I139" s="198"/>
      <c r="J139" s="198"/>
      <c r="K139" s="198"/>
      <c r="L139" s="704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7"/>
      <c r="C140" s="303">
        <v>13</v>
      </c>
      <c r="D140" s="225"/>
      <c r="E140" s="303"/>
      <c r="F140" s="303"/>
      <c r="G140" s="303"/>
      <c r="H140" s="701"/>
      <c r="I140" s="198"/>
      <c r="J140" s="198"/>
      <c r="K140" s="198"/>
      <c r="L140" s="704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7"/>
      <c r="C141" s="303">
        <v>14</v>
      </c>
      <c r="D141" s="225"/>
      <c r="E141" s="303"/>
      <c r="F141" s="303"/>
      <c r="G141" s="303"/>
      <c r="H141" s="701"/>
      <c r="I141" s="198"/>
      <c r="J141" s="198"/>
      <c r="K141" s="198"/>
      <c r="L141" s="704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7"/>
      <c r="C142" s="303">
        <v>15</v>
      </c>
      <c r="D142" s="225"/>
      <c r="E142" s="303"/>
      <c r="F142" s="303"/>
      <c r="G142" s="303"/>
      <c r="H142" s="702"/>
      <c r="I142" s="198"/>
      <c r="J142" s="198"/>
      <c r="K142" s="198"/>
      <c r="L142" s="705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1" zoomScale="55" zoomScaleNormal="55" workbookViewId="0">
      <pane xSplit="15" topLeftCell="P1" activePane="topRight" state="frozen"/>
      <selection activeCell="P6" sqref="P6"/>
      <selection pane="topRight" activeCell="T67" sqref="T67:T8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235.93955824211776</v>
      </c>
    </row>
    <row r="2" spans="1:53" ht="15.75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43" t="s">
        <v>156</v>
      </c>
      <c r="O2" s="643" t="s">
        <v>155</v>
      </c>
      <c r="P2" s="668">
        <v>46231</v>
      </c>
      <c r="Q2" s="647"/>
      <c r="R2" s="647"/>
      <c r="S2" s="647"/>
      <c r="T2" s="647"/>
      <c r="U2" s="665">
        <f>P2+1</f>
        <v>46232</v>
      </c>
      <c r="V2" s="666"/>
      <c r="W2" s="666"/>
      <c r="X2" s="666"/>
      <c r="Y2" s="667"/>
      <c r="Z2" s="665">
        <f>U2+1</f>
        <v>46233</v>
      </c>
      <c r="AA2" s="666"/>
      <c r="AB2" s="666"/>
      <c r="AC2" s="666"/>
      <c r="AD2" s="667"/>
      <c r="AE2" s="665">
        <f>Z2+1</f>
        <v>46234</v>
      </c>
      <c r="AF2" s="666"/>
      <c r="AG2" s="666"/>
      <c r="AH2" s="666"/>
      <c r="AI2" s="667"/>
      <c r="AJ2" s="665">
        <f>AE2+1</f>
        <v>46235</v>
      </c>
      <c r="AK2" s="666"/>
      <c r="AL2" s="666"/>
      <c r="AM2" s="666"/>
      <c r="AN2" s="667"/>
      <c r="AO2" s="665">
        <f>AJ2+1</f>
        <v>46236</v>
      </c>
      <c r="AP2" s="666"/>
      <c r="AQ2" s="666"/>
      <c r="AR2" s="666"/>
      <c r="AS2" s="667"/>
      <c r="AT2" s="665">
        <f>AO2+1</f>
        <v>46237</v>
      </c>
      <c r="AU2" s="666"/>
      <c r="AV2" s="666"/>
      <c r="AW2" s="666"/>
      <c r="AX2" s="667"/>
    </row>
    <row r="3" spans="1:53" ht="15.75">
      <c r="A3" s="81"/>
      <c r="B3" s="713"/>
      <c r="C3" s="713"/>
      <c r="D3" s="713"/>
      <c r="E3" s="713"/>
      <c r="F3" s="713"/>
      <c r="G3" s="713"/>
      <c r="H3" s="713"/>
      <c r="I3" s="285"/>
      <c r="J3" s="285"/>
      <c r="K3" s="285"/>
      <c r="L3" s="285"/>
      <c r="M3" s="197"/>
      <c r="N3" s="645"/>
      <c r="O3" s="645"/>
      <c r="P3" s="668" t="s">
        <v>158</v>
      </c>
      <c r="Q3" s="647"/>
      <c r="R3" s="647"/>
      <c r="S3" s="647"/>
      <c r="T3" s="647"/>
      <c r="U3" s="668" t="s">
        <v>114</v>
      </c>
      <c r="V3" s="647"/>
      <c r="W3" s="647"/>
      <c r="X3" s="647"/>
      <c r="Y3" s="647"/>
      <c r="Z3" s="668" t="s">
        <v>159</v>
      </c>
      <c r="AA3" s="647"/>
      <c r="AB3" s="647"/>
      <c r="AC3" s="647"/>
      <c r="AD3" s="647"/>
      <c r="AE3" s="668" t="s">
        <v>157</v>
      </c>
      <c r="AF3" s="647"/>
      <c r="AG3" s="647"/>
      <c r="AH3" s="647"/>
      <c r="AI3" s="647"/>
      <c r="AJ3" s="668" t="s">
        <v>160</v>
      </c>
      <c r="AK3" s="647"/>
      <c r="AL3" s="647"/>
      <c r="AM3" s="647"/>
      <c r="AN3" s="647"/>
      <c r="AO3" s="668" t="s">
        <v>115</v>
      </c>
      <c r="AP3" s="647"/>
      <c r="AQ3" s="647"/>
      <c r="AR3" s="647"/>
      <c r="AS3" s="647"/>
      <c r="AT3" s="668" t="s">
        <v>161</v>
      </c>
      <c r="AU3" s="647"/>
      <c r="AV3" s="647"/>
      <c r="AW3" s="647"/>
      <c r="AX3" s="647"/>
    </row>
    <row r="4" spans="1:53" ht="14.25">
      <c r="A4" s="81"/>
      <c r="B4" s="641" t="s">
        <v>154</v>
      </c>
      <c r="C4" s="641" t="s">
        <v>379</v>
      </c>
      <c r="D4" s="641"/>
      <c r="E4" s="641" t="s">
        <v>370</v>
      </c>
      <c r="F4" s="641"/>
      <c r="G4" s="641"/>
      <c r="H4" s="673" t="s">
        <v>366</v>
      </c>
      <c r="I4" s="641" t="s">
        <v>371</v>
      </c>
      <c r="J4" s="641"/>
      <c r="K4" s="641"/>
      <c r="L4" s="673" t="s">
        <v>366</v>
      </c>
      <c r="M4" s="643" t="s">
        <v>367</v>
      </c>
      <c r="N4" s="641"/>
      <c r="O4" s="641" t="s">
        <v>372</v>
      </c>
      <c r="P4" s="659" t="s">
        <v>368</v>
      </c>
      <c r="Q4" s="660"/>
      <c r="R4" s="660"/>
      <c r="S4" s="661"/>
      <c r="T4" s="641" t="s">
        <v>366</v>
      </c>
      <c r="U4" s="659" t="s">
        <v>368</v>
      </c>
      <c r="V4" s="660"/>
      <c r="W4" s="660"/>
      <c r="X4" s="661"/>
      <c r="Y4" s="641" t="s">
        <v>366</v>
      </c>
      <c r="Z4" s="659" t="s">
        <v>368</v>
      </c>
      <c r="AA4" s="660"/>
      <c r="AB4" s="660"/>
      <c r="AC4" s="661"/>
      <c r="AD4" s="641" t="s">
        <v>366</v>
      </c>
      <c r="AE4" s="659" t="s">
        <v>368</v>
      </c>
      <c r="AF4" s="660"/>
      <c r="AG4" s="660"/>
      <c r="AH4" s="661"/>
      <c r="AI4" s="641" t="s">
        <v>366</v>
      </c>
      <c r="AJ4" s="659" t="s">
        <v>368</v>
      </c>
      <c r="AK4" s="660"/>
      <c r="AL4" s="660"/>
      <c r="AM4" s="661"/>
      <c r="AN4" s="641" t="s">
        <v>366</v>
      </c>
      <c r="AO4" s="659" t="s">
        <v>368</v>
      </c>
      <c r="AP4" s="660"/>
      <c r="AQ4" s="660"/>
      <c r="AR4" s="661"/>
      <c r="AS4" s="641" t="s">
        <v>366</v>
      </c>
      <c r="AT4" s="659" t="s">
        <v>368</v>
      </c>
      <c r="AU4" s="660"/>
      <c r="AV4" s="660"/>
      <c r="AW4" s="661"/>
      <c r="AX4" s="641" t="s">
        <v>366</v>
      </c>
      <c r="BA4" s="641" t="s">
        <v>366</v>
      </c>
    </row>
    <row r="5" spans="1:53" ht="14.25">
      <c r="A5" s="81"/>
      <c r="B5" s="641"/>
      <c r="C5" s="641"/>
      <c r="D5" s="641"/>
      <c r="E5" s="641" t="s">
        <v>373</v>
      </c>
      <c r="F5" s="641"/>
      <c r="G5" s="641"/>
      <c r="H5" s="674"/>
      <c r="I5" s="641" t="s">
        <v>373</v>
      </c>
      <c r="J5" s="641"/>
      <c r="K5" s="641"/>
      <c r="L5" s="674"/>
      <c r="M5" s="644"/>
      <c r="N5" s="641"/>
      <c r="O5" s="641"/>
      <c r="P5" s="659" t="s">
        <v>374</v>
      </c>
      <c r="Q5" s="660"/>
      <c r="R5" s="660"/>
      <c r="S5" s="661"/>
      <c r="T5" s="641"/>
      <c r="U5" s="659" t="s">
        <v>374</v>
      </c>
      <c r="V5" s="660"/>
      <c r="W5" s="660"/>
      <c r="X5" s="661"/>
      <c r="Y5" s="641"/>
      <c r="Z5" s="659" t="s">
        <v>374</v>
      </c>
      <c r="AA5" s="660"/>
      <c r="AB5" s="660"/>
      <c r="AC5" s="661"/>
      <c r="AD5" s="641"/>
      <c r="AE5" s="659" t="s">
        <v>374</v>
      </c>
      <c r="AF5" s="660"/>
      <c r="AG5" s="660"/>
      <c r="AH5" s="661"/>
      <c r="AI5" s="641"/>
      <c r="AJ5" s="659" t="s">
        <v>374</v>
      </c>
      <c r="AK5" s="660"/>
      <c r="AL5" s="660"/>
      <c r="AM5" s="661"/>
      <c r="AN5" s="641"/>
      <c r="AO5" s="659" t="s">
        <v>374</v>
      </c>
      <c r="AP5" s="660"/>
      <c r="AQ5" s="660"/>
      <c r="AR5" s="661"/>
      <c r="AS5" s="641"/>
      <c r="AT5" s="659" t="s">
        <v>374</v>
      </c>
      <c r="AU5" s="660"/>
      <c r="AV5" s="660"/>
      <c r="AW5" s="661"/>
      <c r="AX5" s="641"/>
      <c r="BA5" s="641"/>
    </row>
    <row r="6" spans="1:53" ht="14.25">
      <c r="A6" s="79"/>
      <c r="B6" s="641"/>
      <c r="C6" s="641"/>
      <c r="D6" s="641"/>
      <c r="E6" s="533" t="s">
        <v>375</v>
      </c>
      <c r="F6" s="533" t="s">
        <v>376</v>
      </c>
      <c r="G6" s="533" t="s">
        <v>377</v>
      </c>
      <c r="H6" s="675"/>
      <c r="I6" s="533" t="s">
        <v>375</v>
      </c>
      <c r="J6" s="533" t="s">
        <v>376</v>
      </c>
      <c r="K6" s="533" t="s">
        <v>377</v>
      </c>
      <c r="L6" s="675"/>
      <c r="M6" s="645"/>
      <c r="N6" s="641"/>
      <c r="O6" s="641"/>
      <c r="P6" s="533" t="s">
        <v>375</v>
      </c>
      <c r="Q6" s="533" t="s">
        <v>376</v>
      </c>
      <c r="R6" s="533" t="s">
        <v>377</v>
      </c>
      <c r="S6" s="533" t="s">
        <v>367</v>
      </c>
      <c r="T6" s="641"/>
      <c r="U6" s="533" t="s">
        <v>375</v>
      </c>
      <c r="V6" s="533" t="s">
        <v>376</v>
      </c>
      <c r="W6" s="533" t="s">
        <v>377</v>
      </c>
      <c r="X6" s="533" t="s">
        <v>367</v>
      </c>
      <c r="Y6" s="641"/>
      <c r="Z6" s="533" t="s">
        <v>375</v>
      </c>
      <c r="AA6" s="533" t="s">
        <v>376</v>
      </c>
      <c r="AB6" s="533" t="s">
        <v>377</v>
      </c>
      <c r="AC6" s="533" t="s">
        <v>367</v>
      </c>
      <c r="AD6" s="641"/>
      <c r="AE6" s="533" t="s">
        <v>375</v>
      </c>
      <c r="AF6" s="533" t="s">
        <v>376</v>
      </c>
      <c r="AG6" s="533" t="s">
        <v>377</v>
      </c>
      <c r="AH6" s="533" t="s">
        <v>367</v>
      </c>
      <c r="AI6" s="641"/>
      <c r="AJ6" s="533" t="s">
        <v>375</v>
      </c>
      <c r="AK6" s="533" t="s">
        <v>376</v>
      </c>
      <c r="AL6" s="533" t="s">
        <v>377</v>
      </c>
      <c r="AM6" s="533" t="s">
        <v>367</v>
      </c>
      <c r="AN6" s="641"/>
      <c r="AO6" s="533" t="s">
        <v>375</v>
      </c>
      <c r="AP6" s="533" t="s">
        <v>376</v>
      </c>
      <c r="AQ6" s="533" t="s">
        <v>377</v>
      </c>
      <c r="AR6" s="533" t="s">
        <v>367</v>
      </c>
      <c r="AS6" s="641"/>
      <c r="AT6" s="533" t="s">
        <v>375</v>
      </c>
      <c r="AU6" s="533" t="s">
        <v>376</v>
      </c>
      <c r="AV6" s="533" t="s">
        <v>377</v>
      </c>
      <c r="AW6" s="533" t="s">
        <v>367</v>
      </c>
      <c r="AX6" s="641"/>
      <c r="AZ6" s="367" t="s">
        <v>367</v>
      </c>
      <c r="BA6" s="641"/>
    </row>
    <row r="7" spans="1:53" ht="14.25">
      <c r="A7" s="81"/>
      <c r="B7" s="699" t="s">
        <v>530</v>
      </c>
      <c r="C7" s="537">
        <v>1</v>
      </c>
      <c r="D7" s="351" t="s">
        <v>358</v>
      </c>
      <c r="E7" s="513">
        <v>4</v>
      </c>
      <c r="F7" s="513">
        <v>2000</v>
      </c>
      <c r="G7" s="513">
        <v>500</v>
      </c>
      <c r="H7" s="654">
        <f>AVERAGE(G7:G21)</f>
        <v>265.00582010582008</v>
      </c>
      <c r="I7" s="538">
        <f t="shared" ref="I7:I20" si="0">IFERROR(AVERAGE(P7,U7,Z7,AE7,AJ7,AO7,AT7),"-")</f>
        <v>5</v>
      </c>
      <c r="J7" s="538">
        <f t="shared" ref="J7:J20" si="1">IFERROR(AVERAGE(Q7,V7,AA7,AF7,AK7,AP7,AU7),"-")</f>
        <v>2080.4552452767448</v>
      </c>
      <c r="K7" s="199">
        <f t="shared" ref="K7:K20" si="2">IFERROR(AVERAGE(R7,W7,AB7,AG7,AL7,AQ7,AV7),"-")</f>
        <v>416.09104905534906</v>
      </c>
      <c r="L7" s="656">
        <f>IFERROR(AVERAGE(K7:K21),"-")</f>
        <v>233.95578790626345</v>
      </c>
      <c r="M7" s="513">
        <f>RANK(K7, K$7:$K$21)</f>
        <v>1</v>
      </c>
      <c r="N7" s="641"/>
      <c r="O7" s="641"/>
      <c r="P7" s="534">
        <v>5</v>
      </c>
      <c r="Q7" s="535">
        <v>2063.7735849056598</v>
      </c>
      <c r="R7" s="535">
        <v>412.75471698113199</v>
      </c>
      <c r="S7" s="534">
        <f>RANK(R7, R$7:R$21)</f>
        <v>2</v>
      </c>
      <c r="T7" s="642">
        <f t="shared" ref="T7" si="3">AVERAGE(R7:R21)</f>
        <v>233.28909307643269</v>
      </c>
      <c r="U7" s="534">
        <v>5</v>
      </c>
      <c r="V7" s="535">
        <v>2093.7500000000005</v>
      </c>
      <c r="W7" s="535">
        <v>418.75000000000011</v>
      </c>
      <c r="X7" s="562">
        <f>RANK(W7, W$7:W$21)</f>
        <v>2</v>
      </c>
      <c r="Y7" s="642">
        <f t="shared" ref="Y7" si="4">AVERAGE(W7:W21)</f>
        <v>234.34468708226203</v>
      </c>
      <c r="Z7" s="534">
        <v>5</v>
      </c>
      <c r="AA7" s="535">
        <v>2076</v>
      </c>
      <c r="AB7" s="535">
        <v>415.2</v>
      </c>
      <c r="AC7" s="562">
        <f>RANK(AB7, AB$7:AB$21)</f>
        <v>1</v>
      </c>
      <c r="AD7" s="642">
        <f t="shared" ref="AD7" si="5">AVERAGE(AB7:AB21)</f>
        <v>233.77944362818198</v>
      </c>
      <c r="AE7" s="534">
        <v>5</v>
      </c>
      <c r="AF7" s="535">
        <v>2108.1081081081093</v>
      </c>
      <c r="AG7" s="535">
        <v>421.62162162162184</v>
      </c>
      <c r="AH7" s="562">
        <f>RANK(AG7, AG$7:AG$21)</f>
        <v>1</v>
      </c>
      <c r="AI7" s="642">
        <f t="shared" ref="AI7" si="6">AVERAGE(AG7:AG21)</f>
        <v>236.03573167164419</v>
      </c>
      <c r="AJ7" s="534">
        <v>5</v>
      </c>
      <c r="AK7" s="535">
        <v>2044.7368421052638</v>
      </c>
      <c r="AL7" s="535">
        <v>408.94736842105277</v>
      </c>
      <c r="AM7" s="562">
        <f>RANK(AL7, AL$7:AL$21)</f>
        <v>2</v>
      </c>
      <c r="AN7" s="642">
        <f t="shared" ref="AN7" si="7">AVERAGE(AL7:AL21)</f>
        <v>235.18671633276674</v>
      </c>
      <c r="AO7" s="534">
        <v>5</v>
      </c>
      <c r="AP7" s="535">
        <v>2097.8181818181815</v>
      </c>
      <c r="AQ7" s="535">
        <v>419.56363636363631</v>
      </c>
      <c r="AR7" s="562">
        <f>RANK(AQ7, AQ$7:AQ$21)</f>
        <v>1</v>
      </c>
      <c r="AS7" s="642">
        <f t="shared" ref="AS7" si="8">AVERAGE(AQ7:AQ21)</f>
        <v>231.18353615208514</v>
      </c>
      <c r="AT7" s="534">
        <v>5</v>
      </c>
      <c r="AU7" s="535">
        <v>2079.0000000000005</v>
      </c>
      <c r="AV7" s="535">
        <v>415.80000000000007</v>
      </c>
      <c r="AW7" s="562">
        <f>RANK(AV7, AV$7:AV$21)</f>
        <v>1</v>
      </c>
      <c r="AX7" s="642">
        <f t="shared" ref="AX7" si="9">AVERAGE(AV7:AV21)</f>
        <v>233.87130740047107</v>
      </c>
      <c r="AZ7" s="369" t="e">
        <f t="shared" ref="AZ7:AZ21" si="10">RANK(AY7, AY$7:AY$21)</f>
        <v>#N/A</v>
      </c>
      <c r="BA7" s="698" t="e">
        <f t="shared" ref="BA7" si="11">AVERAGE(AY7:AY21)</f>
        <v>#DIV/0!</v>
      </c>
    </row>
    <row r="8" spans="1:53" ht="15" customHeight="1">
      <c r="A8" s="81"/>
      <c r="B8" s="676"/>
      <c r="C8" s="537">
        <v>2</v>
      </c>
      <c r="D8" s="351" t="s">
        <v>428</v>
      </c>
      <c r="E8" s="513">
        <v>4</v>
      </c>
      <c r="F8" s="513">
        <v>2000</v>
      </c>
      <c r="G8" s="513">
        <v>500</v>
      </c>
      <c r="H8" s="655"/>
      <c r="I8" s="538">
        <f t="shared" si="0"/>
        <v>5</v>
      </c>
      <c r="J8" s="538">
        <f t="shared" si="1"/>
        <v>2074.7913419913416</v>
      </c>
      <c r="K8" s="199">
        <f t="shared" si="2"/>
        <v>414.95826839826839</v>
      </c>
      <c r="L8" s="657"/>
      <c r="M8" s="513">
        <f>RANK(K8, K$7:$K$21)</f>
        <v>2</v>
      </c>
      <c r="N8" s="641"/>
      <c r="O8" s="641"/>
      <c r="P8" s="534">
        <v>5</v>
      </c>
      <c r="Q8" s="535">
        <v>2082.6666666666665</v>
      </c>
      <c r="R8" s="535">
        <v>416.5333333333333</v>
      </c>
      <c r="S8" s="562">
        <f t="shared" ref="S8:S21" si="12">RANK(R8, R$7:R$21)</f>
        <v>1</v>
      </c>
      <c r="T8" s="642"/>
      <c r="U8" s="534">
        <v>5</v>
      </c>
      <c r="V8" s="535">
        <v>2112.272727272727</v>
      </c>
      <c r="W8" s="535">
        <v>422.45454545454538</v>
      </c>
      <c r="X8" s="562">
        <f t="shared" ref="X8:X21" si="13">RANK(W8, W$7:W$21)</f>
        <v>1</v>
      </c>
      <c r="Y8" s="642"/>
      <c r="Z8" s="534">
        <v>5</v>
      </c>
      <c r="AA8" s="535">
        <v>2045.3333333333333</v>
      </c>
      <c r="AB8" s="535">
        <v>409.06666666666666</v>
      </c>
      <c r="AC8" s="562">
        <f t="shared" ref="AC8:AC21" si="14">RANK(AB8, AB$7:AB$21)</f>
        <v>2</v>
      </c>
      <c r="AD8" s="642"/>
      <c r="AE8" s="534">
        <v>5</v>
      </c>
      <c r="AF8" s="535">
        <v>2076.6666666666674</v>
      </c>
      <c r="AG8" s="535">
        <v>415.33333333333348</v>
      </c>
      <c r="AH8" s="562">
        <f t="shared" ref="AH8:AH21" si="15">RANK(AG8, AG$7:AG$21)</f>
        <v>2</v>
      </c>
      <c r="AI8" s="642"/>
      <c r="AJ8" s="534">
        <v>5</v>
      </c>
      <c r="AK8" s="535">
        <v>2075.0000000000005</v>
      </c>
      <c r="AL8" s="535">
        <v>415.00000000000011</v>
      </c>
      <c r="AM8" s="562">
        <f t="shared" ref="AM8:AM21" si="16">RANK(AL8, AL$7:AL$21)</f>
        <v>1</v>
      </c>
      <c r="AN8" s="642"/>
      <c r="AO8" s="534">
        <v>5</v>
      </c>
      <c r="AP8" s="535">
        <v>2055.599999999999</v>
      </c>
      <c r="AQ8" s="535">
        <v>411.11999999999978</v>
      </c>
      <c r="AR8" s="562">
        <f t="shared" ref="AR8:AR21" si="17">RANK(AQ8, AQ$7:AQ$21)</f>
        <v>2</v>
      </c>
      <c r="AS8" s="642"/>
      <c r="AT8" s="534">
        <v>5</v>
      </c>
      <c r="AU8" s="535">
        <v>2075.9999999999995</v>
      </c>
      <c r="AV8" s="535">
        <v>415.19999999999993</v>
      </c>
      <c r="AW8" s="562">
        <f t="shared" ref="AW8:AW21" si="18">RANK(AV8, AV$7:AV$21)</f>
        <v>2</v>
      </c>
      <c r="AX8" s="642"/>
      <c r="AZ8" s="369" t="e">
        <f t="shared" si="10"/>
        <v>#N/A</v>
      </c>
      <c r="BA8" s="698"/>
    </row>
    <row r="9" spans="1:53" ht="14.25">
      <c r="A9" s="81"/>
      <c r="B9" s="676"/>
      <c r="C9" s="537">
        <v>3</v>
      </c>
      <c r="D9" s="351" t="s">
        <v>359</v>
      </c>
      <c r="E9" s="513">
        <v>12</v>
      </c>
      <c r="F9" s="513">
        <v>2118</v>
      </c>
      <c r="G9" s="513">
        <v>176.5</v>
      </c>
      <c r="H9" s="655"/>
      <c r="I9" s="538">
        <f t="shared" si="0"/>
        <v>12</v>
      </c>
      <c r="J9" s="538">
        <f t="shared" si="1"/>
        <v>2009.6010652667017</v>
      </c>
      <c r="K9" s="199">
        <f t="shared" si="2"/>
        <v>167.46675543889182</v>
      </c>
      <c r="L9" s="657"/>
      <c r="M9" s="513">
        <f>RANK(K9, K$7:$K$21)</f>
        <v>6</v>
      </c>
      <c r="N9" s="641"/>
      <c r="O9" s="641"/>
      <c r="P9" s="534">
        <v>12</v>
      </c>
      <c r="Q9" s="535">
        <v>2031.5789473684226</v>
      </c>
      <c r="R9" s="535">
        <v>169.29824561403521</v>
      </c>
      <c r="S9" s="562">
        <f t="shared" si="12"/>
        <v>6</v>
      </c>
      <c r="T9" s="642"/>
      <c r="U9" s="534">
        <v>12</v>
      </c>
      <c r="V9" s="535">
        <v>1982.2222222222231</v>
      </c>
      <c r="W9" s="535">
        <v>165.18518518518525</v>
      </c>
      <c r="X9" s="562">
        <f t="shared" si="13"/>
        <v>6</v>
      </c>
      <c r="Y9" s="642"/>
      <c r="Z9" s="534">
        <v>12</v>
      </c>
      <c r="AA9" s="535">
        <v>1998.4615384615397</v>
      </c>
      <c r="AB9" s="535">
        <v>166.53846153846163</v>
      </c>
      <c r="AC9" s="562">
        <f t="shared" si="14"/>
        <v>6</v>
      </c>
      <c r="AD9" s="642"/>
      <c r="AE9" s="534">
        <v>12</v>
      </c>
      <c r="AF9" s="535">
        <v>2034.782608695652</v>
      </c>
      <c r="AG9" s="535">
        <v>169.56521739130434</v>
      </c>
      <c r="AH9" s="562">
        <f t="shared" si="15"/>
        <v>6</v>
      </c>
      <c r="AI9" s="642"/>
      <c r="AJ9" s="534">
        <v>12</v>
      </c>
      <c r="AK9" s="535">
        <v>2014.6666666666665</v>
      </c>
      <c r="AL9" s="535">
        <v>167.88888888888889</v>
      </c>
      <c r="AM9" s="562">
        <f t="shared" si="16"/>
        <v>6</v>
      </c>
      <c r="AN9" s="642"/>
      <c r="AO9" s="534">
        <v>12</v>
      </c>
      <c r="AP9" s="535">
        <v>1978.0327868852453</v>
      </c>
      <c r="AQ9" s="535">
        <v>164.83606557377044</v>
      </c>
      <c r="AR9" s="562">
        <f t="shared" si="17"/>
        <v>6</v>
      </c>
      <c r="AS9" s="642"/>
      <c r="AT9" s="534">
        <v>12</v>
      </c>
      <c r="AU9" s="535">
        <v>2027.4626865671644</v>
      </c>
      <c r="AV9" s="535">
        <v>168.95522388059703</v>
      </c>
      <c r="AW9" s="562">
        <f t="shared" si="18"/>
        <v>6</v>
      </c>
      <c r="AX9" s="642"/>
      <c r="AZ9" s="369" t="e">
        <f t="shared" si="10"/>
        <v>#N/A</v>
      </c>
      <c r="BA9" s="698"/>
    </row>
    <row r="10" spans="1:53" ht="14.25">
      <c r="A10" s="81"/>
      <c r="B10" s="676"/>
      <c r="C10" s="537">
        <v>4</v>
      </c>
      <c r="D10" s="351" t="s">
        <v>572</v>
      </c>
      <c r="E10" s="513">
        <v>13</v>
      </c>
      <c r="F10" s="513">
        <v>2250</v>
      </c>
      <c r="G10" s="513">
        <v>173.1</v>
      </c>
      <c r="H10" s="655"/>
      <c r="I10" s="538">
        <f t="shared" si="0"/>
        <v>13</v>
      </c>
      <c r="J10" s="538">
        <f t="shared" si="1"/>
        <v>2088.9530177754918</v>
      </c>
      <c r="K10" s="199">
        <f t="shared" si="2"/>
        <v>160.68869367503785</v>
      </c>
      <c r="L10" s="657"/>
      <c r="M10" s="513">
        <f>RANK(K10, K$7:$K$21)</f>
        <v>7</v>
      </c>
      <c r="N10" s="641"/>
      <c r="O10" s="641"/>
      <c r="P10" s="534">
        <v>13</v>
      </c>
      <c r="Q10" s="535">
        <v>2098.3278688524588</v>
      </c>
      <c r="R10" s="535">
        <v>161.40983606557376</v>
      </c>
      <c r="S10" s="562">
        <f t="shared" si="12"/>
        <v>8</v>
      </c>
      <c r="T10" s="642"/>
      <c r="U10" s="534">
        <v>13</v>
      </c>
      <c r="V10" s="535">
        <v>2074.3965517241368</v>
      </c>
      <c r="W10" s="535">
        <v>159.56896551724128</v>
      </c>
      <c r="X10" s="562">
        <f t="shared" si="13"/>
        <v>8</v>
      </c>
      <c r="Y10" s="642"/>
      <c r="Z10" s="534">
        <v>13</v>
      </c>
      <c r="AA10" s="535">
        <v>2070.6792452830186</v>
      </c>
      <c r="AB10" s="535">
        <v>159.28301886792451</v>
      </c>
      <c r="AC10" s="562">
        <f t="shared" si="14"/>
        <v>8</v>
      </c>
      <c r="AD10" s="642"/>
      <c r="AE10" s="534">
        <v>13</v>
      </c>
      <c r="AF10" s="535">
        <v>2081.9178082191784</v>
      </c>
      <c r="AG10" s="535">
        <v>160.14752370916756</v>
      </c>
      <c r="AH10" s="562">
        <f t="shared" si="15"/>
        <v>7</v>
      </c>
      <c r="AI10" s="642"/>
      <c r="AJ10" s="534">
        <v>13</v>
      </c>
      <c r="AK10" s="535">
        <v>2093.0769230769242</v>
      </c>
      <c r="AL10" s="535">
        <v>161.00591715976341</v>
      </c>
      <c r="AM10" s="562">
        <f t="shared" si="16"/>
        <v>7</v>
      </c>
      <c r="AN10" s="642"/>
      <c r="AO10" s="534">
        <v>13</v>
      </c>
      <c r="AP10" s="535">
        <v>2102.9999999999995</v>
      </c>
      <c r="AQ10" s="535">
        <v>161.76923076923075</v>
      </c>
      <c r="AR10" s="562">
        <f t="shared" si="17"/>
        <v>7</v>
      </c>
      <c r="AS10" s="642"/>
      <c r="AT10" s="534">
        <v>13</v>
      </c>
      <c r="AU10" s="535">
        <v>2101.2727272727284</v>
      </c>
      <c r="AV10" s="535">
        <v>161.63636363636371</v>
      </c>
      <c r="AW10" s="562">
        <f t="shared" si="18"/>
        <v>7</v>
      </c>
      <c r="AX10" s="642"/>
      <c r="AZ10" s="369" t="e">
        <f t="shared" si="10"/>
        <v>#N/A</v>
      </c>
      <c r="BA10" s="698"/>
    </row>
    <row r="11" spans="1:53" ht="14.25">
      <c r="A11" s="81"/>
      <c r="B11" s="676"/>
      <c r="C11" s="537">
        <v>5</v>
      </c>
      <c r="D11" s="351" t="s">
        <v>360</v>
      </c>
      <c r="E11" s="513">
        <v>13</v>
      </c>
      <c r="F11" s="513">
        <v>2250</v>
      </c>
      <c r="G11" s="513">
        <v>173.1</v>
      </c>
      <c r="H11" s="655"/>
      <c r="I11" s="538">
        <f t="shared" si="0"/>
        <v>13</v>
      </c>
      <c r="J11" s="538">
        <f t="shared" si="1"/>
        <v>2085.2303918809253</v>
      </c>
      <c r="K11" s="199">
        <f t="shared" si="2"/>
        <v>160.40233783699423</v>
      </c>
      <c r="L11" s="657"/>
      <c r="M11" s="513">
        <f>RANK(K11, K$7:$K$21)</f>
        <v>8</v>
      </c>
      <c r="N11" s="641"/>
      <c r="O11" s="641"/>
      <c r="P11" s="534">
        <v>13</v>
      </c>
      <c r="Q11" s="535">
        <v>2117.1428571428578</v>
      </c>
      <c r="R11" s="535">
        <v>162.85714285714292</v>
      </c>
      <c r="S11" s="562">
        <f t="shared" si="12"/>
        <v>7</v>
      </c>
      <c r="T11" s="642"/>
      <c r="U11" s="534">
        <v>13</v>
      </c>
      <c r="V11" s="535">
        <v>2074.9322033898311</v>
      </c>
      <c r="W11" s="535">
        <v>159.61016949152548</v>
      </c>
      <c r="X11" s="562">
        <f t="shared" si="13"/>
        <v>7</v>
      </c>
      <c r="Y11" s="642"/>
      <c r="Z11" s="534">
        <v>13</v>
      </c>
      <c r="AA11" s="535">
        <v>2103.1636363636362</v>
      </c>
      <c r="AB11" s="535">
        <v>161.78181818181818</v>
      </c>
      <c r="AC11" s="562">
        <f t="shared" si="14"/>
        <v>7</v>
      </c>
      <c r="AD11" s="642"/>
      <c r="AE11" s="534">
        <v>13</v>
      </c>
      <c r="AF11" s="535">
        <v>2073.6986301369857</v>
      </c>
      <c r="AG11" s="535">
        <v>159.51527924130659</v>
      </c>
      <c r="AH11" s="562">
        <f t="shared" si="15"/>
        <v>8</v>
      </c>
      <c r="AI11" s="642"/>
      <c r="AJ11" s="534">
        <v>13</v>
      </c>
      <c r="AK11" s="535">
        <v>2074.5</v>
      </c>
      <c r="AL11" s="535">
        <v>159.57692307692307</v>
      </c>
      <c r="AM11" s="562">
        <f t="shared" si="16"/>
        <v>8</v>
      </c>
      <c r="AN11" s="642"/>
      <c r="AO11" s="534">
        <v>13</v>
      </c>
      <c r="AP11" s="535">
        <v>2074.090909090909</v>
      </c>
      <c r="AQ11" s="535">
        <v>159.54545454545453</v>
      </c>
      <c r="AR11" s="562">
        <f t="shared" si="17"/>
        <v>8</v>
      </c>
      <c r="AS11" s="642"/>
      <c r="AT11" s="534">
        <v>13</v>
      </c>
      <c r="AU11" s="535">
        <v>2079.0845070422538</v>
      </c>
      <c r="AV11" s="535">
        <v>159.92957746478876</v>
      </c>
      <c r="AW11" s="562">
        <f t="shared" si="18"/>
        <v>8</v>
      </c>
      <c r="AX11" s="642"/>
      <c r="AZ11" s="369" t="e">
        <f t="shared" si="10"/>
        <v>#N/A</v>
      </c>
      <c r="BA11" s="698"/>
    </row>
    <row r="12" spans="1:53" ht="14.25">
      <c r="A12" s="81"/>
      <c r="B12" s="676"/>
      <c r="C12" s="537">
        <v>6</v>
      </c>
      <c r="D12" s="351" t="s">
        <v>361</v>
      </c>
      <c r="E12" s="513">
        <v>10</v>
      </c>
      <c r="F12" s="513">
        <v>2769</v>
      </c>
      <c r="G12" s="513">
        <v>276.89999999999998</v>
      </c>
      <c r="H12" s="655"/>
      <c r="I12" s="538">
        <f t="shared" si="0"/>
        <v>10</v>
      </c>
      <c r="J12" s="538">
        <f t="shared" si="1"/>
        <v>2310.9844442406588</v>
      </c>
      <c r="K12" s="199">
        <f t="shared" si="2"/>
        <v>231.09844442406589</v>
      </c>
      <c r="L12" s="657"/>
      <c r="M12" s="513">
        <f>RANK(K12, K$7:$K$21)</f>
        <v>4</v>
      </c>
      <c r="N12" s="641"/>
      <c r="O12" s="641"/>
      <c r="P12" s="534">
        <v>10</v>
      </c>
      <c r="Q12" s="535">
        <v>2337.5094339622651</v>
      </c>
      <c r="R12" s="535">
        <v>233.75094339622652</v>
      </c>
      <c r="S12" s="562">
        <f t="shared" si="12"/>
        <v>4</v>
      </c>
      <c r="T12" s="642"/>
      <c r="U12" s="534">
        <v>10</v>
      </c>
      <c r="V12" s="535">
        <v>2319.1245283018879</v>
      </c>
      <c r="W12" s="535">
        <v>231.91245283018878</v>
      </c>
      <c r="X12" s="562">
        <f t="shared" si="13"/>
        <v>4</v>
      </c>
      <c r="Y12" s="642"/>
      <c r="Z12" s="534">
        <v>10</v>
      </c>
      <c r="AA12" s="535">
        <v>2378.6250000000009</v>
      </c>
      <c r="AB12" s="535">
        <v>237.8625000000001</v>
      </c>
      <c r="AC12" s="562">
        <f t="shared" si="14"/>
        <v>4</v>
      </c>
      <c r="AD12" s="642"/>
      <c r="AE12" s="534">
        <v>10</v>
      </c>
      <c r="AF12" s="535">
        <v>2391.6788321167883</v>
      </c>
      <c r="AG12" s="535">
        <v>239.16788321167883</v>
      </c>
      <c r="AH12" s="562">
        <f t="shared" si="15"/>
        <v>4</v>
      </c>
      <c r="AI12" s="642"/>
      <c r="AJ12" s="534">
        <v>10</v>
      </c>
      <c r="AK12" s="535">
        <v>2381.1834319526624</v>
      </c>
      <c r="AL12" s="535">
        <v>238.11834319526625</v>
      </c>
      <c r="AM12" s="562">
        <f t="shared" si="16"/>
        <v>4</v>
      </c>
      <c r="AN12" s="642"/>
      <c r="AO12" s="534">
        <v>10</v>
      </c>
      <c r="AP12" s="535">
        <v>2072.0869565217395</v>
      </c>
      <c r="AQ12" s="535">
        <v>207.20869565217396</v>
      </c>
      <c r="AR12" s="562">
        <f t="shared" si="17"/>
        <v>4</v>
      </c>
      <c r="AS12" s="642"/>
      <c r="AT12" s="534">
        <v>10</v>
      </c>
      <c r="AU12" s="535">
        <v>2296.6829268292677</v>
      </c>
      <c r="AV12" s="535">
        <v>229.66829268292676</v>
      </c>
      <c r="AW12" s="562">
        <f t="shared" si="18"/>
        <v>4</v>
      </c>
      <c r="AX12" s="642"/>
      <c r="AZ12" s="369" t="e">
        <f t="shared" si="10"/>
        <v>#N/A</v>
      </c>
      <c r="BA12" s="698"/>
    </row>
    <row r="13" spans="1:53" ht="14.25">
      <c r="A13" s="81"/>
      <c r="B13" s="676"/>
      <c r="C13" s="537">
        <v>7</v>
      </c>
      <c r="D13" s="351" t="s">
        <v>693</v>
      </c>
      <c r="E13" s="513">
        <v>11</v>
      </c>
      <c r="F13" s="513">
        <v>2250</v>
      </c>
      <c r="G13" s="513">
        <v>204.5</v>
      </c>
      <c r="H13" s="655"/>
      <c r="I13" s="538">
        <f t="shared" si="0"/>
        <v>11</v>
      </c>
      <c r="J13" s="538">
        <f t="shared" si="1"/>
        <v>2148.9356764230956</v>
      </c>
      <c r="K13" s="199">
        <f t="shared" si="2"/>
        <v>195.35778876573599</v>
      </c>
      <c r="L13" s="657"/>
      <c r="M13" s="513">
        <f>RANK(K13, K$7:$K$21)</f>
        <v>5</v>
      </c>
      <c r="N13" s="641"/>
      <c r="O13" s="641"/>
      <c r="P13" s="534">
        <v>11</v>
      </c>
      <c r="Q13" s="535">
        <v>2108.571428571428</v>
      </c>
      <c r="R13" s="535">
        <v>191.68831168831164</v>
      </c>
      <c r="S13" s="562">
        <f t="shared" si="12"/>
        <v>5</v>
      </c>
      <c r="T13" s="642"/>
      <c r="U13" s="534">
        <v>11</v>
      </c>
      <c r="V13" s="535">
        <v>2144.0454545454545</v>
      </c>
      <c r="W13" s="535">
        <v>194.91322314049586</v>
      </c>
      <c r="X13" s="562">
        <f t="shared" si="13"/>
        <v>5</v>
      </c>
      <c r="Y13" s="642"/>
      <c r="Z13" s="534">
        <v>11</v>
      </c>
      <c r="AA13" s="535">
        <v>2144.9999999999995</v>
      </c>
      <c r="AB13" s="535">
        <v>194.99999999999997</v>
      </c>
      <c r="AC13" s="562">
        <f t="shared" si="14"/>
        <v>5</v>
      </c>
      <c r="AD13" s="642"/>
      <c r="AE13" s="534">
        <v>11</v>
      </c>
      <c r="AF13" s="535">
        <v>2124.6728971962611</v>
      </c>
      <c r="AG13" s="535">
        <v>193.15208156329646</v>
      </c>
      <c r="AH13" s="562">
        <f t="shared" si="15"/>
        <v>5</v>
      </c>
      <c r="AI13" s="642"/>
      <c r="AJ13" s="534">
        <v>11</v>
      </c>
      <c r="AK13" s="535">
        <v>2195.0400000000004</v>
      </c>
      <c r="AL13" s="535">
        <v>199.54909090909095</v>
      </c>
      <c r="AM13" s="562">
        <f t="shared" si="16"/>
        <v>5</v>
      </c>
      <c r="AN13" s="642"/>
      <c r="AO13" s="534">
        <v>11</v>
      </c>
      <c r="AP13" s="535">
        <v>2128.7755102040824</v>
      </c>
      <c r="AQ13" s="535">
        <v>193.52504638218932</v>
      </c>
      <c r="AR13" s="562">
        <f t="shared" si="17"/>
        <v>5</v>
      </c>
      <c r="AS13" s="642"/>
      <c r="AT13" s="534">
        <v>11</v>
      </c>
      <c r="AU13" s="535">
        <v>2196.4444444444457</v>
      </c>
      <c r="AV13" s="535">
        <v>199.67676767676778</v>
      </c>
      <c r="AW13" s="562">
        <f t="shared" si="18"/>
        <v>5</v>
      </c>
      <c r="AX13" s="642"/>
      <c r="AZ13" s="369" t="e">
        <f t="shared" si="10"/>
        <v>#N/A</v>
      </c>
      <c r="BA13" s="698"/>
    </row>
    <row r="14" spans="1:53" ht="14.25">
      <c r="A14" s="81"/>
      <c r="B14" s="676"/>
      <c r="C14" s="537">
        <v>8</v>
      </c>
      <c r="D14" s="351" t="s">
        <v>357</v>
      </c>
      <c r="E14" s="513">
        <v>18</v>
      </c>
      <c r="F14" s="513">
        <v>1200</v>
      </c>
      <c r="G14" s="513">
        <v>66.666666666666671</v>
      </c>
      <c r="H14" s="655"/>
      <c r="I14" s="538">
        <f t="shared" si="0"/>
        <v>18.857142857142858</v>
      </c>
      <c r="J14" s="538">
        <f t="shared" si="1"/>
        <v>1221.9652928658918</v>
      </c>
      <c r="K14" s="199">
        <f t="shared" si="2"/>
        <v>64.821829671861195</v>
      </c>
      <c r="L14" s="657"/>
      <c r="M14" s="513">
        <f>RANK(K14, K$7:$K$21)</f>
        <v>9</v>
      </c>
      <c r="N14" s="641"/>
      <c r="O14" s="641"/>
      <c r="P14" s="534">
        <v>19</v>
      </c>
      <c r="Q14" s="535">
        <v>1227.5862068965516</v>
      </c>
      <c r="R14" s="535">
        <v>64.609800362976401</v>
      </c>
      <c r="S14" s="562">
        <f t="shared" si="12"/>
        <v>9</v>
      </c>
      <c r="T14" s="642"/>
      <c r="U14" s="534">
        <v>19</v>
      </c>
      <c r="V14" s="535">
        <v>1217.0370370370365</v>
      </c>
      <c r="W14" s="535">
        <v>64.054580896686133</v>
      </c>
      <c r="X14" s="562">
        <f t="shared" si="13"/>
        <v>9</v>
      </c>
      <c r="Y14" s="642"/>
      <c r="Z14" s="534">
        <v>19</v>
      </c>
      <c r="AA14" s="535">
        <v>1220.9302325581393</v>
      </c>
      <c r="AB14" s="535">
        <v>64.259485924112596</v>
      </c>
      <c r="AC14" s="562">
        <f t="shared" si="14"/>
        <v>9</v>
      </c>
      <c r="AD14" s="642"/>
      <c r="AE14" s="534">
        <v>19</v>
      </c>
      <c r="AF14" s="535">
        <v>1232.4590163934438</v>
      </c>
      <c r="AG14" s="535">
        <v>64.866264020707561</v>
      </c>
      <c r="AH14" s="562">
        <f t="shared" si="15"/>
        <v>9</v>
      </c>
      <c r="AI14" s="642"/>
      <c r="AJ14" s="534">
        <v>18</v>
      </c>
      <c r="AK14" s="535">
        <v>1215.8333333333323</v>
      </c>
      <c r="AL14" s="535">
        <v>67.546296296296248</v>
      </c>
      <c r="AM14" s="562">
        <f t="shared" si="16"/>
        <v>9</v>
      </c>
      <c r="AN14" s="642"/>
      <c r="AO14" s="534">
        <v>19</v>
      </c>
      <c r="AP14" s="535">
        <v>1218.9473684210527</v>
      </c>
      <c r="AQ14" s="535">
        <v>64.15512465373962</v>
      </c>
      <c r="AR14" s="562">
        <f t="shared" si="17"/>
        <v>9</v>
      </c>
      <c r="AS14" s="642"/>
      <c r="AT14" s="534">
        <v>19</v>
      </c>
      <c r="AU14" s="535">
        <v>1220.9638554216863</v>
      </c>
      <c r="AV14" s="535">
        <v>64.261255548509808</v>
      </c>
      <c r="AW14" s="562">
        <f t="shared" si="18"/>
        <v>9</v>
      </c>
      <c r="AX14" s="642"/>
      <c r="AZ14" s="369" t="e">
        <f t="shared" si="10"/>
        <v>#N/A</v>
      </c>
      <c r="BA14" s="698"/>
    </row>
    <row r="15" spans="1:53" ht="14.25">
      <c r="A15" s="81"/>
      <c r="B15" s="676"/>
      <c r="C15" s="537">
        <v>9</v>
      </c>
      <c r="D15" s="351" t="s">
        <v>707</v>
      </c>
      <c r="E15" s="513">
        <v>7</v>
      </c>
      <c r="F15" s="513">
        <v>2200</v>
      </c>
      <c r="G15" s="513">
        <v>314.28571428571428</v>
      </c>
      <c r="H15" s="655"/>
      <c r="I15" s="538">
        <f t="shared" si="0"/>
        <v>7</v>
      </c>
      <c r="J15" s="538">
        <f t="shared" si="1"/>
        <v>2063.0184672311634</v>
      </c>
      <c r="K15" s="199">
        <f t="shared" si="2"/>
        <v>294.71692389016624</v>
      </c>
      <c r="L15" s="657"/>
      <c r="M15" s="513">
        <f>RANK(K15, K$7:$K$21)</f>
        <v>3</v>
      </c>
      <c r="N15" s="641"/>
      <c r="O15" s="641"/>
      <c r="P15" s="534">
        <v>7</v>
      </c>
      <c r="Q15" s="535">
        <v>2006.8965517241368</v>
      </c>
      <c r="R15" s="535">
        <v>286.69950738916242</v>
      </c>
      <c r="S15" s="562">
        <f t="shared" si="12"/>
        <v>3</v>
      </c>
      <c r="T15" s="642"/>
      <c r="U15" s="534">
        <v>7</v>
      </c>
      <c r="V15" s="535">
        <v>2048.5714285714303</v>
      </c>
      <c r="W15" s="535">
        <v>292.65306122449005</v>
      </c>
      <c r="X15" s="562">
        <f t="shared" si="13"/>
        <v>3</v>
      </c>
      <c r="Y15" s="642"/>
      <c r="Z15" s="534">
        <v>7</v>
      </c>
      <c r="AA15" s="535">
        <v>2065.16129032258</v>
      </c>
      <c r="AB15" s="535">
        <v>295.02304147465429</v>
      </c>
      <c r="AC15" s="562">
        <f t="shared" si="14"/>
        <v>3</v>
      </c>
      <c r="AD15" s="642"/>
      <c r="AE15" s="534">
        <v>7</v>
      </c>
      <c r="AF15" s="535">
        <v>2106.6666666666679</v>
      </c>
      <c r="AG15" s="535">
        <v>300.95238095238113</v>
      </c>
      <c r="AH15" s="562">
        <f t="shared" si="15"/>
        <v>3</v>
      </c>
      <c r="AI15" s="642"/>
      <c r="AJ15" s="534">
        <v>7</v>
      </c>
      <c r="AK15" s="535">
        <v>2093.3333333333317</v>
      </c>
      <c r="AL15" s="535">
        <v>299.04761904761881</v>
      </c>
      <c r="AM15" s="562">
        <f t="shared" si="16"/>
        <v>3</v>
      </c>
      <c r="AN15" s="642"/>
      <c r="AO15" s="534">
        <v>7</v>
      </c>
      <c r="AP15" s="535">
        <v>2092.5000000000005</v>
      </c>
      <c r="AQ15" s="535">
        <v>298.9285714285715</v>
      </c>
      <c r="AR15" s="562">
        <f t="shared" si="17"/>
        <v>3</v>
      </c>
      <c r="AS15" s="642"/>
      <c r="AT15" s="534">
        <v>7</v>
      </c>
      <c r="AU15" s="535">
        <v>2027.9999999999991</v>
      </c>
      <c r="AV15" s="535">
        <v>289.71428571428561</v>
      </c>
      <c r="AW15" s="562">
        <f t="shared" si="18"/>
        <v>3</v>
      </c>
      <c r="AX15" s="642"/>
      <c r="AZ15" s="369" t="e">
        <f t="shared" si="10"/>
        <v>#N/A</v>
      </c>
      <c r="BA15" s="698"/>
    </row>
    <row r="16" spans="1:53" ht="14.25">
      <c r="A16" s="81"/>
      <c r="B16" s="676"/>
      <c r="C16" s="537">
        <v>10</v>
      </c>
      <c r="D16" s="351"/>
      <c r="E16" s="513"/>
      <c r="F16" s="513"/>
      <c r="G16" s="513"/>
      <c r="H16" s="655"/>
      <c r="I16" s="538" t="str">
        <f t="shared" si="0"/>
        <v>-</v>
      </c>
      <c r="J16" s="538" t="str">
        <f t="shared" si="1"/>
        <v>-</v>
      </c>
      <c r="K16" s="199" t="str">
        <f t="shared" si="2"/>
        <v>-</v>
      </c>
      <c r="L16" s="657"/>
      <c r="M16" s="513" t="e">
        <f>RANK(K16, K$7:$K$21)</f>
        <v>#VALUE!</v>
      </c>
      <c r="N16" s="641"/>
      <c r="O16" s="641"/>
      <c r="P16" s="534" t="s">
        <v>585</v>
      </c>
      <c r="Q16" s="535" t="s">
        <v>585</v>
      </c>
      <c r="R16" s="535" t="s">
        <v>585</v>
      </c>
      <c r="S16" s="562" t="e">
        <f t="shared" si="12"/>
        <v>#VALUE!</v>
      </c>
      <c r="T16" s="642"/>
      <c r="U16" s="534" t="s">
        <v>585</v>
      </c>
      <c r="V16" s="535" t="s">
        <v>585</v>
      </c>
      <c r="W16" s="535" t="s">
        <v>585</v>
      </c>
      <c r="X16" s="562" t="e">
        <f t="shared" si="13"/>
        <v>#VALUE!</v>
      </c>
      <c r="Y16" s="642"/>
      <c r="Z16" s="534" t="s">
        <v>585</v>
      </c>
      <c r="AA16" s="535" t="s">
        <v>585</v>
      </c>
      <c r="AB16" s="535" t="s">
        <v>585</v>
      </c>
      <c r="AC16" s="562" t="e">
        <f t="shared" si="14"/>
        <v>#VALUE!</v>
      </c>
      <c r="AD16" s="642"/>
      <c r="AE16" s="534" t="s">
        <v>585</v>
      </c>
      <c r="AF16" s="535" t="s">
        <v>585</v>
      </c>
      <c r="AG16" s="535" t="s">
        <v>585</v>
      </c>
      <c r="AH16" s="562" t="e">
        <f t="shared" si="15"/>
        <v>#VALUE!</v>
      </c>
      <c r="AI16" s="642"/>
      <c r="AJ16" s="534" t="s">
        <v>585</v>
      </c>
      <c r="AK16" s="535" t="s">
        <v>585</v>
      </c>
      <c r="AL16" s="535" t="s">
        <v>585</v>
      </c>
      <c r="AM16" s="562" t="e">
        <f t="shared" si="16"/>
        <v>#VALUE!</v>
      </c>
      <c r="AN16" s="642"/>
      <c r="AO16" s="534" t="s">
        <v>585</v>
      </c>
      <c r="AP16" s="535" t="s">
        <v>585</v>
      </c>
      <c r="AQ16" s="535" t="s">
        <v>585</v>
      </c>
      <c r="AR16" s="562" t="e">
        <f t="shared" si="17"/>
        <v>#VALUE!</v>
      </c>
      <c r="AS16" s="642"/>
      <c r="AT16" s="534" t="s">
        <v>585</v>
      </c>
      <c r="AU16" s="535" t="s">
        <v>585</v>
      </c>
      <c r="AV16" s="535" t="s">
        <v>585</v>
      </c>
      <c r="AW16" s="562" t="e">
        <f t="shared" si="18"/>
        <v>#VALUE!</v>
      </c>
      <c r="AX16" s="642"/>
      <c r="AZ16" s="369" t="e">
        <f t="shared" si="10"/>
        <v>#N/A</v>
      </c>
      <c r="BA16" s="698"/>
    </row>
    <row r="17" spans="2:53">
      <c r="B17" s="676"/>
      <c r="C17" s="537">
        <v>11</v>
      </c>
      <c r="D17" s="351"/>
      <c r="E17" s="513"/>
      <c r="F17" s="513"/>
      <c r="G17" s="513"/>
      <c r="H17" s="655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57"/>
      <c r="M17" s="513" t="e">
        <f>RANK(K17, K$7:$K$21)</f>
        <v>#VALUE!</v>
      </c>
      <c r="N17" s="641"/>
      <c r="O17" s="641"/>
      <c r="P17" s="534" t="s">
        <v>585</v>
      </c>
      <c r="Q17" s="535" t="s">
        <v>585</v>
      </c>
      <c r="R17" s="535" t="s">
        <v>585</v>
      </c>
      <c r="S17" s="562" t="e">
        <f t="shared" si="12"/>
        <v>#VALUE!</v>
      </c>
      <c r="T17" s="642"/>
      <c r="U17" s="534" t="s">
        <v>585</v>
      </c>
      <c r="V17" s="535" t="s">
        <v>585</v>
      </c>
      <c r="W17" s="535" t="s">
        <v>585</v>
      </c>
      <c r="X17" s="562" t="e">
        <f t="shared" si="13"/>
        <v>#VALUE!</v>
      </c>
      <c r="Y17" s="642"/>
      <c r="Z17" s="534" t="s">
        <v>585</v>
      </c>
      <c r="AA17" s="535" t="s">
        <v>585</v>
      </c>
      <c r="AB17" s="535" t="s">
        <v>585</v>
      </c>
      <c r="AC17" s="562" t="e">
        <f t="shared" si="14"/>
        <v>#VALUE!</v>
      </c>
      <c r="AD17" s="642"/>
      <c r="AE17" s="534" t="s">
        <v>585</v>
      </c>
      <c r="AF17" s="535" t="s">
        <v>585</v>
      </c>
      <c r="AG17" s="535" t="s">
        <v>585</v>
      </c>
      <c r="AH17" s="562" t="e">
        <f t="shared" si="15"/>
        <v>#VALUE!</v>
      </c>
      <c r="AI17" s="642"/>
      <c r="AJ17" s="534" t="s">
        <v>585</v>
      </c>
      <c r="AK17" s="535" t="s">
        <v>585</v>
      </c>
      <c r="AL17" s="535" t="s">
        <v>585</v>
      </c>
      <c r="AM17" s="562" t="e">
        <f t="shared" si="16"/>
        <v>#VALUE!</v>
      </c>
      <c r="AN17" s="642"/>
      <c r="AO17" s="534" t="s">
        <v>585</v>
      </c>
      <c r="AP17" s="535" t="s">
        <v>585</v>
      </c>
      <c r="AQ17" s="535" t="s">
        <v>585</v>
      </c>
      <c r="AR17" s="562" t="e">
        <f t="shared" si="17"/>
        <v>#VALUE!</v>
      </c>
      <c r="AS17" s="642"/>
      <c r="AT17" s="534" t="s">
        <v>585</v>
      </c>
      <c r="AU17" s="535" t="s">
        <v>585</v>
      </c>
      <c r="AV17" s="535" t="s">
        <v>585</v>
      </c>
      <c r="AW17" s="562" t="e">
        <f t="shared" si="18"/>
        <v>#VALUE!</v>
      </c>
      <c r="AX17" s="642"/>
      <c r="AZ17" s="369" t="e">
        <f t="shared" si="10"/>
        <v>#N/A</v>
      </c>
      <c r="BA17" s="698"/>
    </row>
    <row r="18" spans="2:53">
      <c r="B18" s="676"/>
      <c r="C18" s="537">
        <v>12</v>
      </c>
      <c r="D18" s="351"/>
      <c r="E18" s="513"/>
      <c r="F18" s="513"/>
      <c r="G18" s="513"/>
      <c r="H18" s="655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57"/>
      <c r="M18" s="513" t="e">
        <f>RANK(K18, K$7:$K$21)</f>
        <v>#VALUE!</v>
      </c>
      <c r="N18" s="641"/>
      <c r="O18" s="641"/>
      <c r="P18" s="534" t="s">
        <v>585</v>
      </c>
      <c r="Q18" s="535" t="s">
        <v>585</v>
      </c>
      <c r="R18" s="535" t="s">
        <v>585</v>
      </c>
      <c r="S18" s="562" t="e">
        <f t="shared" si="12"/>
        <v>#VALUE!</v>
      </c>
      <c r="T18" s="642"/>
      <c r="U18" s="534" t="s">
        <v>585</v>
      </c>
      <c r="V18" s="535" t="s">
        <v>585</v>
      </c>
      <c r="W18" s="535" t="s">
        <v>585</v>
      </c>
      <c r="X18" s="562" t="e">
        <f t="shared" si="13"/>
        <v>#VALUE!</v>
      </c>
      <c r="Y18" s="642"/>
      <c r="Z18" s="534" t="s">
        <v>585</v>
      </c>
      <c r="AA18" s="535" t="s">
        <v>585</v>
      </c>
      <c r="AB18" s="535" t="s">
        <v>585</v>
      </c>
      <c r="AC18" s="562" t="e">
        <f t="shared" si="14"/>
        <v>#VALUE!</v>
      </c>
      <c r="AD18" s="642"/>
      <c r="AE18" s="534" t="s">
        <v>585</v>
      </c>
      <c r="AF18" s="535" t="s">
        <v>585</v>
      </c>
      <c r="AG18" s="535" t="s">
        <v>585</v>
      </c>
      <c r="AH18" s="562" t="e">
        <f t="shared" si="15"/>
        <v>#VALUE!</v>
      </c>
      <c r="AI18" s="642"/>
      <c r="AJ18" s="534" t="s">
        <v>585</v>
      </c>
      <c r="AK18" s="535" t="s">
        <v>585</v>
      </c>
      <c r="AL18" s="535" t="s">
        <v>585</v>
      </c>
      <c r="AM18" s="562" t="e">
        <f t="shared" si="16"/>
        <v>#VALUE!</v>
      </c>
      <c r="AN18" s="642"/>
      <c r="AO18" s="534" t="s">
        <v>585</v>
      </c>
      <c r="AP18" s="535" t="s">
        <v>585</v>
      </c>
      <c r="AQ18" s="535" t="s">
        <v>585</v>
      </c>
      <c r="AR18" s="562" t="e">
        <f t="shared" si="17"/>
        <v>#VALUE!</v>
      </c>
      <c r="AS18" s="642"/>
      <c r="AT18" s="534" t="s">
        <v>585</v>
      </c>
      <c r="AU18" s="535" t="s">
        <v>585</v>
      </c>
      <c r="AV18" s="535" t="s">
        <v>585</v>
      </c>
      <c r="AW18" s="562" t="e">
        <f t="shared" si="18"/>
        <v>#VALUE!</v>
      </c>
      <c r="AX18" s="642"/>
      <c r="AZ18" s="369" t="e">
        <f t="shared" si="10"/>
        <v>#N/A</v>
      </c>
      <c r="BA18" s="698"/>
    </row>
    <row r="19" spans="2:53">
      <c r="B19" s="676"/>
      <c r="C19" s="537">
        <v>13</v>
      </c>
      <c r="D19" s="351"/>
      <c r="E19" s="513"/>
      <c r="F19" s="513"/>
      <c r="G19" s="513"/>
      <c r="H19" s="655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57"/>
      <c r="M19" s="513" t="e">
        <f>RANK(K19, K$7:$K$21)</f>
        <v>#VALUE!</v>
      </c>
      <c r="N19" s="641"/>
      <c r="O19" s="641"/>
      <c r="P19" s="534" t="s">
        <v>585</v>
      </c>
      <c r="Q19" s="535" t="s">
        <v>585</v>
      </c>
      <c r="R19" s="535" t="s">
        <v>585</v>
      </c>
      <c r="S19" s="562" t="e">
        <f t="shared" si="12"/>
        <v>#VALUE!</v>
      </c>
      <c r="T19" s="642"/>
      <c r="U19" s="534" t="s">
        <v>585</v>
      </c>
      <c r="V19" s="535" t="s">
        <v>585</v>
      </c>
      <c r="W19" s="535" t="s">
        <v>585</v>
      </c>
      <c r="X19" s="562" t="e">
        <f t="shared" si="13"/>
        <v>#VALUE!</v>
      </c>
      <c r="Y19" s="642"/>
      <c r="Z19" s="534" t="s">
        <v>585</v>
      </c>
      <c r="AA19" s="535" t="s">
        <v>585</v>
      </c>
      <c r="AB19" s="535" t="s">
        <v>585</v>
      </c>
      <c r="AC19" s="562" t="e">
        <f t="shared" si="14"/>
        <v>#VALUE!</v>
      </c>
      <c r="AD19" s="642"/>
      <c r="AE19" s="534" t="s">
        <v>585</v>
      </c>
      <c r="AF19" s="535" t="s">
        <v>585</v>
      </c>
      <c r="AG19" s="535" t="s">
        <v>585</v>
      </c>
      <c r="AH19" s="562" t="e">
        <f t="shared" si="15"/>
        <v>#VALUE!</v>
      </c>
      <c r="AI19" s="642"/>
      <c r="AJ19" s="534" t="s">
        <v>585</v>
      </c>
      <c r="AK19" s="535" t="s">
        <v>585</v>
      </c>
      <c r="AL19" s="535" t="s">
        <v>585</v>
      </c>
      <c r="AM19" s="562" t="e">
        <f t="shared" si="16"/>
        <v>#VALUE!</v>
      </c>
      <c r="AN19" s="642"/>
      <c r="AO19" s="534" t="s">
        <v>585</v>
      </c>
      <c r="AP19" s="535" t="s">
        <v>585</v>
      </c>
      <c r="AQ19" s="535" t="s">
        <v>585</v>
      </c>
      <c r="AR19" s="562" t="e">
        <f t="shared" si="17"/>
        <v>#VALUE!</v>
      </c>
      <c r="AS19" s="642"/>
      <c r="AT19" s="534" t="s">
        <v>585</v>
      </c>
      <c r="AU19" s="535" t="s">
        <v>585</v>
      </c>
      <c r="AV19" s="535" t="s">
        <v>585</v>
      </c>
      <c r="AW19" s="562" t="e">
        <f t="shared" si="18"/>
        <v>#VALUE!</v>
      </c>
      <c r="AX19" s="642"/>
      <c r="AZ19" s="369" t="e">
        <f t="shared" si="10"/>
        <v>#N/A</v>
      </c>
      <c r="BA19" s="698"/>
    </row>
    <row r="20" spans="2:53">
      <c r="B20" s="676"/>
      <c r="C20" s="537">
        <v>14</v>
      </c>
      <c r="D20" s="351"/>
      <c r="E20" s="513"/>
      <c r="F20" s="513"/>
      <c r="G20" s="513"/>
      <c r="H20" s="655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7"/>
      <c r="M20" s="513" t="e">
        <f>RANK(K20, K$7:$K$21)</f>
        <v>#VALUE!</v>
      </c>
      <c r="N20" s="641"/>
      <c r="O20" s="641"/>
      <c r="P20" s="534" t="s">
        <v>585</v>
      </c>
      <c r="Q20" s="535" t="s">
        <v>585</v>
      </c>
      <c r="R20" s="535" t="s">
        <v>585</v>
      </c>
      <c r="S20" s="562" t="e">
        <f t="shared" si="12"/>
        <v>#VALUE!</v>
      </c>
      <c r="T20" s="642"/>
      <c r="U20" s="534" t="s">
        <v>585</v>
      </c>
      <c r="V20" s="535" t="s">
        <v>585</v>
      </c>
      <c r="W20" s="535" t="s">
        <v>585</v>
      </c>
      <c r="X20" s="562" t="e">
        <f t="shared" si="13"/>
        <v>#VALUE!</v>
      </c>
      <c r="Y20" s="642"/>
      <c r="Z20" s="534" t="s">
        <v>585</v>
      </c>
      <c r="AA20" s="535" t="s">
        <v>585</v>
      </c>
      <c r="AB20" s="535" t="s">
        <v>585</v>
      </c>
      <c r="AC20" s="562" t="e">
        <f t="shared" si="14"/>
        <v>#VALUE!</v>
      </c>
      <c r="AD20" s="642"/>
      <c r="AE20" s="534" t="s">
        <v>585</v>
      </c>
      <c r="AF20" s="535" t="s">
        <v>585</v>
      </c>
      <c r="AG20" s="535" t="s">
        <v>585</v>
      </c>
      <c r="AH20" s="562" t="e">
        <f t="shared" si="15"/>
        <v>#VALUE!</v>
      </c>
      <c r="AI20" s="642"/>
      <c r="AJ20" s="534" t="s">
        <v>585</v>
      </c>
      <c r="AK20" s="535" t="s">
        <v>585</v>
      </c>
      <c r="AL20" s="535" t="s">
        <v>585</v>
      </c>
      <c r="AM20" s="562" t="e">
        <f t="shared" si="16"/>
        <v>#VALUE!</v>
      </c>
      <c r="AN20" s="642"/>
      <c r="AO20" s="534" t="s">
        <v>585</v>
      </c>
      <c r="AP20" s="535" t="s">
        <v>585</v>
      </c>
      <c r="AQ20" s="535" t="s">
        <v>585</v>
      </c>
      <c r="AR20" s="562" t="e">
        <f t="shared" si="17"/>
        <v>#VALUE!</v>
      </c>
      <c r="AS20" s="642"/>
      <c r="AT20" s="534" t="s">
        <v>585</v>
      </c>
      <c r="AU20" s="535" t="s">
        <v>585</v>
      </c>
      <c r="AV20" s="535" t="s">
        <v>585</v>
      </c>
      <c r="AW20" s="562" t="e">
        <f t="shared" si="18"/>
        <v>#VALUE!</v>
      </c>
      <c r="AX20" s="642"/>
      <c r="AZ20" s="369" t="e">
        <f t="shared" si="10"/>
        <v>#N/A</v>
      </c>
      <c r="BA20" s="698"/>
    </row>
    <row r="21" spans="2:53">
      <c r="B21" s="676"/>
      <c r="C21" s="537">
        <v>15</v>
      </c>
      <c r="D21" s="351"/>
      <c r="E21" s="513"/>
      <c r="F21" s="513"/>
      <c r="G21" s="513"/>
      <c r="H21" s="712"/>
      <c r="I21" s="513"/>
      <c r="J21" s="513"/>
      <c r="K21" s="540"/>
      <c r="L21" s="658"/>
      <c r="M21" s="513" t="e">
        <f>RANK(K21, K$7:$K$21)</f>
        <v>#N/A</v>
      </c>
      <c r="N21" s="641"/>
      <c r="O21" s="641"/>
      <c r="P21" s="534" t="s">
        <v>585</v>
      </c>
      <c r="Q21" s="535" t="s">
        <v>585</v>
      </c>
      <c r="R21" s="535" t="s">
        <v>585</v>
      </c>
      <c r="S21" s="562" t="e">
        <f t="shared" si="12"/>
        <v>#VALUE!</v>
      </c>
      <c r="T21" s="642"/>
      <c r="U21" s="534" t="s">
        <v>585</v>
      </c>
      <c r="V21" s="535" t="s">
        <v>585</v>
      </c>
      <c r="W21" s="535" t="s">
        <v>585</v>
      </c>
      <c r="X21" s="562" t="e">
        <f t="shared" si="13"/>
        <v>#VALUE!</v>
      </c>
      <c r="Y21" s="642"/>
      <c r="Z21" s="534" t="s">
        <v>585</v>
      </c>
      <c r="AA21" s="535" t="s">
        <v>585</v>
      </c>
      <c r="AB21" s="535" t="s">
        <v>585</v>
      </c>
      <c r="AC21" s="562" t="e">
        <f t="shared" si="14"/>
        <v>#VALUE!</v>
      </c>
      <c r="AD21" s="642"/>
      <c r="AE21" s="534" t="s">
        <v>585</v>
      </c>
      <c r="AF21" s="535" t="s">
        <v>585</v>
      </c>
      <c r="AG21" s="535" t="s">
        <v>585</v>
      </c>
      <c r="AH21" s="562" t="e">
        <f t="shared" si="15"/>
        <v>#VALUE!</v>
      </c>
      <c r="AI21" s="642"/>
      <c r="AJ21" s="534" t="s">
        <v>585</v>
      </c>
      <c r="AK21" s="535" t="s">
        <v>585</v>
      </c>
      <c r="AL21" s="535" t="s">
        <v>585</v>
      </c>
      <c r="AM21" s="562" t="e">
        <f t="shared" si="16"/>
        <v>#VALUE!</v>
      </c>
      <c r="AN21" s="642"/>
      <c r="AO21" s="534" t="s">
        <v>585</v>
      </c>
      <c r="AP21" s="535" t="s">
        <v>585</v>
      </c>
      <c r="AQ21" s="535" t="s">
        <v>585</v>
      </c>
      <c r="AR21" s="562" t="e">
        <f t="shared" si="17"/>
        <v>#VALUE!</v>
      </c>
      <c r="AS21" s="642"/>
      <c r="AT21" s="534" t="s">
        <v>585</v>
      </c>
      <c r="AU21" s="535" t="s">
        <v>585</v>
      </c>
      <c r="AV21" s="535" t="s">
        <v>585</v>
      </c>
      <c r="AW21" s="562" t="e">
        <f t="shared" si="18"/>
        <v>#VALUE!</v>
      </c>
      <c r="AX21" s="642"/>
      <c r="AZ21" s="369" t="e">
        <f t="shared" si="10"/>
        <v>#N/A</v>
      </c>
      <c r="BA21" s="698"/>
    </row>
    <row r="22" spans="2:53" ht="15.75">
      <c r="B22" s="680" t="s">
        <v>162</v>
      </c>
      <c r="C22" s="681"/>
      <c r="D22" s="681"/>
      <c r="E22" s="681"/>
      <c r="F22" s="681"/>
      <c r="G22" s="681"/>
      <c r="H22" s="681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68">
        <f>P2+7</f>
        <v>46238</v>
      </c>
      <c r="Q22" s="647"/>
      <c r="R22" s="647"/>
      <c r="S22" s="647"/>
      <c r="T22" s="647"/>
      <c r="U22" s="665">
        <f>P22+1</f>
        <v>46239</v>
      </c>
      <c r="V22" s="666"/>
      <c r="W22" s="666"/>
      <c r="X22" s="666"/>
      <c r="Y22" s="667"/>
      <c r="Z22" s="665">
        <f>U22+1</f>
        <v>46240</v>
      </c>
      <c r="AA22" s="666"/>
      <c r="AB22" s="666"/>
      <c r="AC22" s="666"/>
      <c r="AD22" s="667"/>
      <c r="AE22" s="665">
        <f>Z22+1</f>
        <v>46241</v>
      </c>
      <c r="AF22" s="666"/>
      <c r="AG22" s="666"/>
      <c r="AH22" s="666"/>
      <c r="AI22" s="667"/>
      <c r="AJ22" s="665">
        <f>AE22+1</f>
        <v>46242</v>
      </c>
      <c r="AK22" s="666"/>
      <c r="AL22" s="666"/>
      <c r="AM22" s="666"/>
      <c r="AN22" s="667"/>
      <c r="AO22" s="665">
        <f>AJ22+1</f>
        <v>46243</v>
      </c>
      <c r="AP22" s="666"/>
      <c r="AQ22" s="666"/>
      <c r="AR22" s="666"/>
      <c r="AS22" s="667"/>
      <c r="AT22" s="665">
        <f>AO22+1</f>
        <v>46244</v>
      </c>
      <c r="AU22" s="666"/>
      <c r="AV22" s="666"/>
      <c r="AW22" s="666"/>
      <c r="AX22" s="667"/>
    </row>
    <row r="23" spans="2:53" ht="15.75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45"/>
      <c r="O23" s="645"/>
      <c r="P23" s="668" t="s">
        <v>317</v>
      </c>
      <c r="Q23" s="647"/>
      <c r="R23" s="647"/>
      <c r="S23" s="647"/>
      <c r="T23" s="647"/>
      <c r="U23" s="668" t="s">
        <v>318</v>
      </c>
      <c r="V23" s="647"/>
      <c r="W23" s="647"/>
      <c r="X23" s="647"/>
      <c r="Y23" s="647"/>
      <c r="Z23" s="668" t="s">
        <v>319</v>
      </c>
      <c r="AA23" s="647"/>
      <c r="AB23" s="647"/>
      <c r="AC23" s="647"/>
      <c r="AD23" s="647"/>
      <c r="AE23" s="668" t="s">
        <v>320</v>
      </c>
      <c r="AF23" s="647"/>
      <c r="AG23" s="647"/>
      <c r="AH23" s="647"/>
      <c r="AI23" s="647"/>
      <c r="AJ23" s="668" t="s">
        <v>321</v>
      </c>
      <c r="AK23" s="647"/>
      <c r="AL23" s="647"/>
      <c r="AM23" s="647"/>
      <c r="AN23" s="647"/>
      <c r="AO23" s="668" t="s">
        <v>322</v>
      </c>
      <c r="AP23" s="647"/>
      <c r="AQ23" s="647"/>
      <c r="AR23" s="647"/>
      <c r="AS23" s="647"/>
      <c r="AT23" s="668" t="s">
        <v>323</v>
      </c>
      <c r="AU23" s="647"/>
      <c r="AV23" s="647"/>
      <c r="AW23" s="647"/>
      <c r="AX23" s="647"/>
    </row>
    <row r="24" spans="2:53">
      <c r="B24" s="641" t="s">
        <v>369</v>
      </c>
      <c r="C24" s="641" t="s">
        <v>379</v>
      </c>
      <c r="D24" s="641"/>
      <c r="E24" s="641" t="s">
        <v>370</v>
      </c>
      <c r="F24" s="641"/>
      <c r="G24" s="641"/>
      <c r="H24" s="673" t="s">
        <v>366</v>
      </c>
      <c r="I24" s="641" t="s">
        <v>371</v>
      </c>
      <c r="J24" s="641"/>
      <c r="K24" s="641"/>
      <c r="L24" s="673" t="s">
        <v>366</v>
      </c>
      <c r="M24" s="643" t="s">
        <v>367</v>
      </c>
      <c r="N24" s="641"/>
      <c r="O24" s="641" t="s">
        <v>372</v>
      </c>
      <c r="P24" s="659" t="s">
        <v>368</v>
      </c>
      <c r="Q24" s="660"/>
      <c r="R24" s="660"/>
      <c r="S24" s="661"/>
      <c r="T24" s="641" t="s">
        <v>366</v>
      </c>
      <c r="U24" s="659" t="s">
        <v>368</v>
      </c>
      <c r="V24" s="660"/>
      <c r="W24" s="660"/>
      <c r="X24" s="661"/>
      <c r="Y24" s="641" t="s">
        <v>366</v>
      </c>
      <c r="Z24" s="659" t="s">
        <v>368</v>
      </c>
      <c r="AA24" s="660"/>
      <c r="AB24" s="660"/>
      <c r="AC24" s="661"/>
      <c r="AD24" s="641" t="s">
        <v>366</v>
      </c>
      <c r="AE24" s="659" t="s">
        <v>368</v>
      </c>
      <c r="AF24" s="660"/>
      <c r="AG24" s="660"/>
      <c r="AH24" s="661"/>
      <c r="AI24" s="641" t="s">
        <v>366</v>
      </c>
      <c r="AJ24" s="659" t="s">
        <v>368</v>
      </c>
      <c r="AK24" s="660"/>
      <c r="AL24" s="660"/>
      <c r="AM24" s="661"/>
      <c r="AN24" s="641" t="s">
        <v>366</v>
      </c>
      <c r="AO24" s="659" t="s">
        <v>368</v>
      </c>
      <c r="AP24" s="660"/>
      <c r="AQ24" s="660"/>
      <c r="AR24" s="661"/>
      <c r="AS24" s="641" t="s">
        <v>366</v>
      </c>
      <c r="AT24" s="659" t="s">
        <v>368</v>
      </c>
      <c r="AU24" s="660"/>
      <c r="AV24" s="660"/>
      <c r="AW24" s="661"/>
      <c r="AX24" s="641" t="s">
        <v>366</v>
      </c>
      <c r="BA24" s="641" t="s">
        <v>547</v>
      </c>
    </row>
    <row r="25" spans="2:53">
      <c r="B25" s="641"/>
      <c r="C25" s="641"/>
      <c r="D25" s="641"/>
      <c r="E25" s="641" t="s">
        <v>373</v>
      </c>
      <c r="F25" s="641"/>
      <c r="G25" s="641"/>
      <c r="H25" s="674"/>
      <c r="I25" s="641" t="s">
        <v>373</v>
      </c>
      <c r="J25" s="641"/>
      <c r="K25" s="641"/>
      <c r="L25" s="674"/>
      <c r="M25" s="644"/>
      <c r="N25" s="641"/>
      <c r="O25" s="641"/>
      <c r="P25" s="659" t="s">
        <v>374</v>
      </c>
      <c r="Q25" s="660"/>
      <c r="R25" s="660"/>
      <c r="S25" s="661"/>
      <c r="T25" s="641"/>
      <c r="U25" s="659" t="s">
        <v>374</v>
      </c>
      <c r="V25" s="660"/>
      <c r="W25" s="660"/>
      <c r="X25" s="661"/>
      <c r="Y25" s="641"/>
      <c r="Z25" s="659" t="s">
        <v>374</v>
      </c>
      <c r="AA25" s="660"/>
      <c r="AB25" s="660"/>
      <c r="AC25" s="661"/>
      <c r="AD25" s="641"/>
      <c r="AE25" s="659" t="s">
        <v>374</v>
      </c>
      <c r="AF25" s="660"/>
      <c r="AG25" s="660"/>
      <c r="AH25" s="661"/>
      <c r="AI25" s="641"/>
      <c r="AJ25" s="659" t="s">
        <v>374</v>
      </c>
      <c r="AK25" s="660"/>
      <c r="AL25" s="660"/>
      <c r="AM25" s="661"/>
      <c r="AN25" s="641"/>
      <c r="AO25" s="659" t="s">
        <v>374</v>
      </c>
      <c r="AP25" s="660"/>
      <c r="AQ25" s="660"/>
      <c r="AR25" s="661"/>
      <c r="AS25" s="641"/>
      <c r="AT25" s="659" t="s">
        <v>374</v>
      </c>
      <c r="AU25" s="660"/>
      <c r="AV25" s="660"/>
      <c r="AW25" s="661"/>
      <c r="AX25" s="641"/>
      <c r="BA25" s="641"/>
    </row>
    <row r="26" spans="2:53">
      <c r="B26" s="641"/>
      <c r="C26" s="641"/>
      <c r="D26" s="641"/>
      <c r="E26" s="378" t="s">
        <v>375</v>
      </c>
      <c r="F26" s="378" t="s">
        <v>376</v>
      </c>
      <c r="G26" s="378" t="s">
        <v>377</v>
      </c>
      <c r="H26" s="675"/>
      <c r="I26" s="378" t="s">
        <v>375</v>
      </c>
      <c r="J26" s="378" t="s">
        <v>376</v>
      </c>
      <c r="K26" s="378" t="s">
        <v>377</v>
      </c>
      <c r="L26" s="675"/>
      <c r="M26" s="645"/>
      <c r="N26" s="641"/>
      <c r="O26" s="641"/>
      <c r="P26" s="378" t="s">
        <v>375</v>
      </c>
      <c r="Q26" s="378" t="s">
        <v>376</v>
      </c>
      <c r="R26" s="378" t="s">
        <v>377</v>
      </c>
      <c r="S26" s="378" t="s">
        <v>367</v>
      </c>
      <c r="T26" s="641"/>
      <c r="U26" s="378" t="s">
        <v>375</v>
      </c>
      <c r="V26" s="378" t="s">
        <v>376</v>
      </c>
      <c r="W26" s="378" t="s">
        <v>377</v>
      </c>
      <c r="X26" s="378" t="s">
        <v>367</v>
      </c>
      <c r="Y26" s="641"/>
      <c r="Z26" s="378" t="s">
        <v>375</v>
      </c>
      <c r="AA26" s="378" t="s">
        <v>376</v>
      </c>
      <c r="AB26" s="378" t="s">
        <v>377</v>
      </c>
      <c r="AC26" s="378" t="s">
        <v>367</v>
      </c>
      <c r="AD26" s="641"/>
      <c r="AE26" s="378" t="s">
        <v>375</v>
      </c>
      <c r="AF26" s="378" t="s">
        <v>376</v>
      </c>
      <c r="AG26" s="378" t="s">
        <v>377</v>
      </c>
      <c r="AH26" s="378" t="s">
        <v>367</v>
      </c>
      <c r="AI26" s="641"/>
      <c r="AJ26" s="378" t="s">
        <v>375</v>
      </c>
      <c r="AK26" s="378" t="s">
        <v>376</v>
      </c>
      <c r="AL26" s="378" t="s">
        <v>377</v>
      </c>
      <c r="AM26" s="378" t="s">
        <v>367</v>
      </c>
      <c r="AN26" s="641"/>
      <c r="AO26" s="378" t="s">
        <v>375</v>
      </c>
      <c r="AP26" s="378" t="s">
        <v>376</v>
      </c>
      <c r="AQ26" s="378" t="s">
        <v>377</v>
      </c>
      <c r="AR26" s="378" t="s">
        <v>367</v>
      </c>
      <c r="AS26" s="641"/>
      <c r="AT26" s="378" t="s">
        <v>375</v>
      </c>
      <c r="AU26" s="378" t="s">
        <v>376</v>
      </c>
      <c r="AV26" s="378" t="s">
        <v>377</v>
      </c>
      <c r="AW26" s="378" t="s">
        <v>367</v>
      </c>
      <c r="AX26" s="641"/>
      <c r="AZ26" s="367" t="s">
        <v>367</v>
      </c>
      <c r="BA26" s="641"/>
    </row>
    <row r="27" spans="2:53">
      <c r="B27" s="699" t="s">
        <v>378</v>
      </c>
      <c r="C27" s="380">
        <v>1</v>
      </c>
      <c r="D27" s="351" t="s">
        <v>358</v>
      </c>
      <c r="E27" s="513">
        <v>4</v>
      </c>
      <c r="F27" s="513">
        <v>2000</v>
      </c>
      <c r="G27" s="513">
        <v>500</v>
      </c>
      <c r="H27" s="654">
        <f>AVERAGE(G27:G41)</f>
        <v>265.00582010582008</v>
      </c>
      <c r="I27" s="381">
        <f t="shared" ref="I27:I40" si="19">IFERROR(AVERAGE(P27,U27,Z27,AE27,AJ27,AO27,AT27),"-")</f>
        <v>5</v>
      </c>
      <c r="J27" s="381">
        <f t="shared" ref="J27:J40" si="20">IFERROR(AVERAGE(Q27,V27,AA27,AF27,AK27,AP27,AU27),"-")</f>
        <v>2158.7565663557702</v>
      </c>
      <c r="K27" s="199">
        <f t="shared" ref="K27:K40" si="21">IFERROR(AVERAGE(R27,W27,AB27,AG27,AL27,AQ27,AV27),"-")</f>
        <v>431.75131327115412</v>
      </c>
      <c r="L27" s="656">
        <f>IFERROR(AVERAGE(K27:K41),"-")</f>
        <v>237.82164800993075</v>
      </c>
      <c r="M27" s="385">
        <f>RANK(K27, K$27:$K$41)</f>
        <v>1</v>
      </c>
      <c r="N27" s="641"/>
      <c r="O27" s="641"/>
      <c r="P27" s="556">
        <v>5</v>
      </c>
      <c r="Q27" s="557">
        <v>2101.1538461538471</v>
      </c>
      <c r="R27" s="557">
        <v>420.2307692307694</v>
      </c>
      <c r="S27" s="556">
        <f t="shared" ref="S27:S41" si="22">RANK(R27, R$27:R$41)</f>
        <v>2</v>
      </c>
      <c r="T27" s="636">
        <f t="shared" ref="T27" si="23">AVERAGE(R27:R41)</f>
        <v>236.34892597029159</v>
      </c>
      <c r="U27" s="556">
        <v>5</v>
      </c>
      <c r="V27" s="557">
        <v>2128.0851063829791</v>
      </c>
      <c r="W27" s="557">
        <v>425.61702127659584</v>
      </c>
      <c r="X27" s="556">
        <f t="shared" ref="X27:X41" si="24">RANK(W27, W$27:W$41)</f>
        <v>1</v>
      </c>
      <c r="Y27" s="636">
        <f t="shared" ref="Y27" si="25">AVERAGE(W27:W41)</f>
        <v>236.21494625462458</v>
      </c>
      <c r="Z27" s="556">
        <v>5</v>
      </c>
      <c r="AA27" s="557">
        <v>2184.5454545454545</v>
      </c>
      <c r="AB27" s="557">
        <v>436.90909090909088</v>
      </c>
      <c r="AC27" s="556">
        <f t="shared" ref="AC27:AC41" si="26">RANK(AB27, AB$27:AB$41)</f>
        <v>1</v>
      </c>
      <c r="AD27" s="636">
        <f t="shared" ref="AD27" si="27">AVERAGE(AB27:AB41)</f>
        <v>238.63842969344103</v>
      </c>
      <c r="AE27" s="556">
        <v>5</v>
      </c>
      <c r="AF27" s="557">
        <v>2194.2857142857147</v>
      </c>
      <c r="AG27" s="557">
        <v>438.85714285714295</v>
      </c>
      <c r="AH27" s="556">
        <f t="shared" ref="AH27:AH41" si="28">RANK(AG27, AG$27:AG$41)</f>
        <v>1</v>
      </c>
      <c r="AI27" s="636">
        <f t="shared" ref="AI27" si="29">AVERAGE(AG27:AG41)</f>
        <v>236.3192049850532</v>
      </c>
      <c r="AJ27" s="556">
        <v>5</v>
      </c>
      <c r="AK27" s="557">
        <v>2154.8571428571431</v>
      </c>
      <c r="AL27" s="557">
        <v>430.97142857142865</v>
      </c>
      <c r="AM27" s="556">
        <f t="shared" ref="AM27:AM41" si="30">RANK(AL27, AL$27:AL$41)</f>
        <v>2</v>
      </c>
      <c r="AN27" s="636">
        <f t="shared" ref="AN27" si="31">AVERAGE(AL27:AL41)</f>
        <v>238.28524480718008</v>
      </c>
      <c r="AO27" s="556">
        <v>5</v>
      </c>
      <c r="AP27" s="557">
        <v>2184.2307692307704</v>
      </c>
      <c r="AQ27" s="557">
        <v>436.8461538461541</v>
      </c>
      <c r="AR27" s="556">
        <f t="shared" ref="AR27:AR41" si="32">RANK(AQ27, AQ$27:AQ$41)</f>
        <v>1</v>
      </c>
      <c r="AS27" s="636">
        <f t="shared" ref="AS27" si="33">AVERAGE(AQ27:AQ41)</f>
        <v>240.2247003453293</v>
      </c>
      <c r="AT27" s="556">
        <v>5</v>
      </c>
      <c r="AU27" s="557">
        <v>2164.1379310344828</v>
      </c>
      <c r="AV27" s="557">
        <v>432.82758620689657</v>
      </c>
      <c r="AW27" s="556">
        <f t="shared" ref="AW27:AW41" si="34">RANK(AV27, AV$27:AV$41)</f>
        <v>2</v>
      </c>
      <c r="AX27" s="636">
        <f t="shared" ref="AX27" si="35">AVERAGE(AV27:AV41)</f>
        <v>248.61934587541347</v>
      </c>
      <c r="AZ27" s="368" t="e">
        <f t="shared" ref="AZ27:AZ41" si="36">RANK(AY27, AY$27:AY$41)</f>
        <v>#N/A</v>
      </c>
      <c r="BA27" s="636" t="e">
        <f t="shared" ref="BA27" si="37">AVERAGE(AY27:AY41)</f>
        <v>#DIV/0!</v>
      </c>
    </row>
    <row r="28" spans="2:53">
      <c r="B28" s="647"/>
      <c r="C28" s="380">
        <v>2</v>
      </c>
      <c r="D28" s="351" t="s">
        <v>428</v>
      </c>
      <c r="E28" s="513">
        <v>4</v>
      </c>
      <c r="F28" s="513">
        <v>2000</v>
      </c>
      <c r="G28" s="513">
        <v>500</v>
      </c>
      <c r="H28" s="655"/>
      <c r="I28" s="381">
        <f t="shared" si="19"/>
        <v>5</v>
      </c>
      <c r="J28" s="381">
        <f t="shared" si="20"/>
        <v>2154.8474528924462</v>
      </c>
      <c r="K28" s="199">
        <f t="shared" si="21"/>
        <v>430.96949057848923</v>
      </c>
      <c r="L28" s="657"/>
      <c r="M28" s="388">
        <f>RANK(K28, K$27:$K$41)</f>
        <v>2</v>
      </c>
      <c r="N28" s="641"/>
      <c r="O28" s="641"/>
      <c r="P28" s="556">
        <v>5</v>
      </c>
      <c r="Q28" s="557">
        <v>2149.5652173913045</v>
      </c>
      <c r="R28" s="557">
        <v>429.91304347826087</v>
      </c>
      <c r="S28" s="556">
        <f t="shared" si="22"/>
        <v>1</v>
      </c>
      <c r="T28" s="637"/>
      <c r="U28" s="556">
        <v>5</v>
      </c>
      <c r="V28" s="557">
        <v>2101.3333333333335</v>
      </c>
      <c r="W28" s="557">
        <v>420.26666666666671</v>
      </c>
      <c r="X28" s="556">
        <f t="shared" si="24"/>
        <v>2</v>
      </c>
      <c r="Y28" s="637"/>
      <c r="Z28" s="556">
        <v>5</v>
      </c>
      <c r="AA28" s="557">
        <v>2178.1395348837204</v>
      </c>
      <c r="AB28" s="557">
        <v>435.6279069767441</v>
      </c>
      <c r="AC28" s="556">
        <f t="shared" si="26"/>
        <v>2</v>
      </c>
      <c r="AD28" s="637"/>
      <c r="AE28" s="556">
        <v>5</v>
      </c>
      <c r="AF28" s="557">
        <v>2139.428571428572</v>
      </c>
      <c r="AG28" s="557">
        <v>427.88571428571441</v>
      </c>
      <c r="AH28" s="556">
        <f t="shared" si="28"/>
        <v>2</v>
      </c>
      <c r="AI28" s="637"/>
      <c r="AJ28" s="556">
        <v>5</v>
      </c>
      <c r="AK28" s="557">
        <v>2173.7142857142862</v>
      </c>
      <c r="AL28" s="557">
        <v>434.74285714285725</v>
      </c>
      <c r="AM28" s="556">
        <f t="shared" si="30"/>
        <v>1</v>
      </c>
      <c r="AN28" s="637"/>
      <c r="AO28" s="556">
        <v>5</v>
      </c>
      <c r="AP28" s="557">
        <v>2170.2127659574471</v>
      </c>
      <c r="AQ28" s="557">
        <v>434.04255319148945</v>
      </c>
      <c r="AR28" s="556">
        <f t="shared" si="32"/>
        <v>2</v>
      </c>
      <c r="AS28" s="637"/>
      <c r="AT28" s="556">
        <v>5</v>
      </c>
      <c r="AU28" s="557">
        <v>2171.538461538461</v>
      </c>
      <c r="AV28" s="557">
        <v>434.30769230769221</v>
      </c>
      <c r="AW28" s="556">
        <f t="shared" si="34"/>
        <v>1</v>
      </c>
      <c r="AX28" s="637"/>
      <c r="AZ28" s="368" t="e">
        <f t="shared" si="36"/>
        <v>#N/A</v>
      </c>
      <c r="BA28" s="637"/>
    </row>
    <row r="29" spans="2:53">
      <c r="B29" s="647"/>
      <c r="C29" s="380">
        <v>3</v>
      </c>
      <c r="D29" s="351" t="s">
        <v>359</v>
      </c>
      <c r="E29" s="513">
        <v>12</v>
      </c>
      <c r="F29" s="513">
        <v>2118</v>
      </c>
      <c r="G29" s="513">
        <v>176.5</v>
      </c>
      <c r="H29" s="655"/>
      <c r="I29" s="381">
        <f t="shared" si="19"/>
        <v>12</v>
      </c>
      <c r="J29" s="381">
        <f t="shared" si="20"/>
        <v>1914.3118694286222</v>
      </c>
      <c r="K29" s="199">
        <f t="shared" si="21"/>
        <v>159.52598911905187</v>
      </c>
      <c r="L29" s="657"/>
      <c r="M29" s="388">
        <f>RANK(K29, K$27:$K$41)</f>
        <v>7</v>
      </c>
      <c r="N29" s="641"/>
      <c r="O29" s="641"/>
      <c r="P29" s="556">
        <v>12</v>
      </c>
      <c r="Q29" s="557">
        <v>1935.9999999999991</v>
      </c>
      <c r="R29" s="557">
        <v>161.33333333333326</v>
      </c>
      <c r="S29" s="556">
        <f t="shared" si="22"/>
        <v>7</v>
      </c>
      <c r="T29" s="637"/>
      <c r="U29" s="556">
        <v>12</v>
      </c>
      <c r="V29" s="557">
        <v>1945.7142857142858</v>
      </c>
      <c r="W29" s="557">
        <v>162.14285714285714</v>
      </c>
      <c r="X29" s="556">
        <f t="shared" si="24"/>
        <v>7</v>
      </c>
      <c r="Y29" s="637"/>
      <c r="Z29" s="556">
        <v>12</v>
      </c>
      <c r="AA29" s="557">
        <v>1875.1764705882351</v>
      </c>
      <c r="AB29" s="557">
        <v>156.26470588235293</v>
      </c>
      <c r="AC29" s="556">
        <f t="shared" si="26"/>
        <v>7</v>
      </c>
      <c r="AD29" s="637"/>
      <c r="AE29" s="556">
        <v>12</v>
      </c>
      <c r="AF29" s="557">
        <v>1897.9591836734699</v>
      </c>
      <c r="AG29" s="557">
        <v>158.1632653061225</v>
      </c>
      <c r="AH29" s="556">
        <f t="shared" si="28"/>
        <v>7</v>
      </c>
      <c r="AI29" s="637"/>
      <c r="AJ29" s="556">
        <v>12</v>
      </c>
      <c r="AK29" s="557">
        <v>1897.0212765957449</v>
      </c>
      <c r="AL29" s="557">
        <v>158.08510638297875</v>
      </c>
      <c r="AM29" s="556">
        <f t="shared" si="30"/>
        <v>7</v>
      </c>
      <c r="AN29" s="637"/>
      <c r="AO29" s="556">
        <v>12</v>
      </c>
      <c r="AP29" s="557">
        <v>1933.9999999999991</v>
      </c>
      <c r="AQ29" s="557">
        <v>161.1666666666666</v>
      </c>
      <c r="AR29" s="556">
        <f t="shared" si="32"/>
        <v>7</v>
      </c>
      <c r="AS29" s="637"/>
      <c r="AT29" s="556" t="s">
        <v>585</v>
      </c>
      <c r="AU29" s="557" t="s">
        <v>585</v>
      </c>
      <c r="AV29" s="557" t="s">
        <v>585</v>
      </c>
      <c r="AW29" s="556" t="e">
        <f t="shared" si="34"/>
        <v>#VALUE!</v>
      </c>
      <c r="AX29" s="637"/>
      <c r="AZ29" s="368" t="e">
        <f t="shared" si="36"/>
        <v>#N/A</v>
      </c>
      <c r="BA29" s="637"/>
    </row>
    <row r="30" spans="2:53">
      <c r="B30" s="647"/>
      <c r="C30" s="380">
        <v>4</v>
      </c>
      <c r="D30" s="351" t="s">
        <v>572</v>
      </c>
      <c r="E30" s="513">
        <v>13</v>
      </c>
      <c r="F30" s="513">
        <v>2250</v>
      </c>
      <c r="G30" s="513">
        <v>173.1</v>
      </c>
      <c r="H30" s="655"/>
      <c r="I30" s="381">
        <f t="shared" si="19"/>
        <v>13</v>
      </c>
      <c r="J30" s="381">
        <f t="shared" si="20"/>
        <v>2037.8146701045009</v>
      </c>
      <c r="K30" s="199">
        <f t="shared" si="21"/>
        <v>156.75497462342315</v>
      </c>
      <c r="L30" s="657"/>
      <c r="M30" s="388">
        <f>RANK(K30, K$27:$K$41)</f>
        <v>8</v>
      </c>
      <c r="N30" s="641"/>
      <c r="O30" s="641"/>
      <c r="P30" s="556">
        <v>13</v>
      </c>
      <c r="Q30" s="557">
        <v>2070.5373134328361</v>
      </c>
      <c r="R30" s="557">
        <v>159.27210103329509</v>
      </c>
      <c r="S30" s="556">
        <f t="shared" si="22"/>
        <v>8</v>
      </c>
      <c r="T30" s="637"/>
      <c r="U30" s="556">
        <v>13</v>
      </c>
      <c r="V30" s="557">
        <v>2062.9000000000005</v>
      </c>
      <c r="W30" s="557">
        <v>158.68461538461543</v>
      </c>
      <c r="X30" s="556">
        <f t="shared" si="24"/>
        <v>8</v>
      </c>
      <c r="Y30" s="637"/>
      <c r="Z30" s="556">
        <v>13</v>
      </c>
      <c r="AA30" s="557">
        <v>1992.4615384615395</v>
      </c>
      <c r="AB30" s="557">
        <v>153.26627218934919</v>
      </c>
      <c r="AC30" s="556">
        <f t="shared" si="26"/>
        <v>8</v>
      </c>
      <c r="AD30" s="637"/>
      <c r="AE30" s="556">
        <v>13</v>
      </c>
      <c r="AF30" s="557">
        <v>2010.7894736842113</v>
      </c>
      <c r="AG30" s="557">
        <v>154.67611336032394</v>
      </c>
      <c r="AH30" s="556">
        <f t="shared" si="28"/>
        <v>8</v>
      </c>
      <c r="AI30" s="637"/>
      <c r="AJ30" s="556">
        <v>13</v>
      </c>
      <c r="AK30" s="557">
        <v>2013.9759036144571</v>
      </c>
      <c r="AL30" s="557">
        <v>154.92122335495824</v>
      </c>
      <c r="AM30" s="556">
        <f t="shared" si="30"/>
        <v>8</v>
      </c>
      <c r="AN30" s="637"/>
      <c r="AO30" s="556">
        <v>13</v>
      </c>
      <c r="AP30" s="557">
        <v>2056.1538461538466</v>
      </c>
      <c r="AQ30" s="557">
        <v>158.16568047337282</v>
      </c>
      <c r="AR30" s="556">
        <f t="shared" si="32"/>
        <v>8</v>
      </c>
      <c r="AS30" s="637"/>
      <c r="AT30" s="556">
        <v>13</v>
      </c>
      <c r="AU30" s="557">
        <v>2057.8846153846157</v>
      </c>
      <c r="AV30" s="557">
        <v>158.29881656804736</v>
      </c>
      <c r="AW30" s="556">
        <f t="shared" si="34"/>
        <v>7</v>
      </c>
      <c r="AX30" s="637"/>
      <c r="AZ30" s="368" t="e">
        <f t="shared" si="36"/>
        <v>#N/A</v>
      </c>
      <c r="BA30" s="637"/>
    </row>
    <row r="31" spans="2:53">
      <c r="B31" s="647"/>
      <c r="C31" s="380">
        <v>5</v>
      </c>
      <c r="D31" s="351" t="s">
        <v>360</v>
      </c>
      <c r="E31" s="513">
        <v>13</v>
      </c>
      <c r="F31" s="513">
        <v>2250</v>
      </c>
      <c r="G31" s="513">
        <v>173.1</v>
      </c>
      <c r="H31" s="655"/>
      <c r="I31" s="381">
        <f t="shared" si="19"/>
        <v>13</v>
      </c>
      <c r="J31" s="381">
        <f t="shared" si="20"/>
        <v>2210.856017800364</v>
      </c>
      <c r="K31" s="199">
        <f t="shared" si="21"/>
        <v>170.06584752310491</v>
      </c>
      <c r="L31" s="657"/>
      <c r="M31" s="388">
        <f>RANK(K31, K$27:$K$41)</f>
        <v>6</v>
      </c>
      <c r="N31" s="641"/>
      <c r="O31" s="641"/>
      <c r="P31" s="556">
        <v>13</v>
      </c>
      <c r="Q31" s="557">
        <v>2154.1935483870971</v>
      </c>
      <c r="R31" s="557">
        <v>165.7071960297767</v>
      </c>
      <c r="S31" s="556">
        <f t="shared" si="22"/>
        <v>6</v>
      </c>
      <c r="T31" s="637"/>
      <c r="U31" s="556">
        <v>13</v>
      </c>
      <c r="V31" s="557">
        <v>2177.8571428571422</v>
      </c>
      <c r="W31" s="557">
        <v>167.52747252747247</v>
      </c>
      <c r="X31" s="556">
        <f t="shared" si="24"/>
        <v>6</v>
      </c>
      <c r="Y31" s="637"/>
      <c r="Z31" s="556">
        <v>13</v>
      </c>
      <c r="AA31" s="557">
        <v>2245.8227848101278</v>
      </c>
      <c r="AB31" s="557">
        <v>172.7555988315483</v>
      </c>
      <c r="AC31" s="556">
        <f t="shared" si="26"/>
        <v>6</v>
      </c>
      <c r="AD31" s="637"/>
      <c r="AE31" s="556">
        <v>13</v>
      </c>
      <c r="AF31" s="557">
        <v>2224.5454545454545</v>
      </c>
      <c r="AG31" s="557">
        <v>171.11888111888112</v>
      </c>
      <c r="AH31" s="556">
        <f t="shared" si="28"/>
        <v>6</v>
      </c>
      <c r="AI31" s="637"/>
      <c r="AJ31" s="556">
        <v>13</v>
      </c>
      <c r="AK31" s="557">
        <v>2229.2957746478878</v>
      </c>
      <c r="AL31" s="557">
        <v>171.48429035752983</v>
      </c>
      <c r="AM31" s="556">
        <f t="shared" si="30"/>
        <v>6</v>
      </c>
      <c r="AN31" s="637"/>
      <c r="AO31" s="556">
        <v>13</v>
      </c>
      <c r="AP31" s="557">
        <v>2229.677419354839</v>
      </c>
      <c r="AQ31" s="557">
        <v>171.51364764267993</v>
      </c>
      <c r="AR31" s="556">
        <f t="shared" si="32"/>
        <v>6</v>
      </c>
      <c r="AS31" s="637"/>
      <c r="AT31" s="556">
        <v>13</v>
      </c>
      <c r="AU31" s="557">
        <v>2214.5999999999976</v>
      </c>
      <c r="AV31" s="557">
        <v>170.35384615384598</v>
      </c>
      <c r="AW31" s="556">
        <f t="shared" si="34"/>
        <v>6</v>
      </c>
      <c r="AX31" s="637"/>
      <c r="AZ31" s="368" t="e">
        <f t="shared" si="36"/>
        <v>#N/A</v>
      </c>
      <c r="BA31" s="637"/>
    </row>
    <row r="32" spans="2:53">
      <c r="B32" s="647"/>
      <c r="C32" s="380">
        <v>6</v>
      </c>
      <c r="D32" s="351" t="s">
        <v>361</v>
      </c>
      <c r="E32" s="513">
        <v>10</v>
      </c>
      <c r="F32" s="513">
        <v>2769</v>
      </c>
      <c r="G32" s="513">
        <v>276.89999999999998</v>
      </c>
      <c r="H32" s="655"/>
      <c r="I32" s="381">
        <f t="shared" si="19"/>
        <v>10</v>
      </c>
      <c r="J32" s="381">
        <f t="shared" si="20"/>
        <v>2451.9945272565783</v>
      </c>
      <c r="K32" s="199">
        <f t="shared" si="21"/>
        <v>245.19945272565789</v>
      </c>
      <c r="L32" s="657"/>
      <c r="M32" s="388">
        <f>RANK(K32, K$27:$K$41)</f>
        <v>4</v>
      </c>
      <c r="N32" s="641"/>
      <c r="O32" s="641"/>
      <c r="P32" s="556">
        <v>10</v>
      </c>
      <c r="Q32" s="557">
        <v>2386.045454545454</v>
      </c>
      <c r="R32" s="557">
        <v>238.60454545454542</v>
      </c>
      <c r="S32" s="556">
        <f t="shared" si="22"/>
        <v>4</v>
      </c>
      <c r="T32" s="637"/>
      <c r="U32" s="556">
        <v>10</v>
      </c>
      <c r="V32" s="557">
        <v>2415.349999999999</v>
      </c>
      <c r="W32" s="557">
        <v>241.53499999999991</v>
      </c>
      <c r="X32" s="556">
        <f t="shared" si="24"/>
        <v>4</v>
      </c>
      <c r="Y32" s="637"/>
      <c r="Z32" s="556">
        <v>10</v>
      </c>
      <c r="AA32" s="557">
        <v>2464.6829268292672</v>
      </c>
      <c r="AB32" s="557">
        <v>246.46829268292672</v>
      </c>
      <c r="AC32" s="556">
        <f t="shared" si="26"/>
        <v>4</v>
      </c>
      <c r="AD32" s="637"/>
      <c r="AE32" s="556">
        <v>10</v>
      </c>
      <c r="AF32" s="557">
        <v>2469.8048780487793</v>
      </c>
      <c r="AG32" s="557">
        <v>246.98048780487792</v>
      </c>
      <c r="AH32" s="556">
        <f t="shared" si="28"/>
        <v>4</v>
      </c>
      <c r="AI32" s="637"/>
      <c r="AJ32" s="556">
        <v>10</v>
      </c>
      <c r="AK32" s="557">
        <v>2485.4117647058829</v>
      </c>
      <c r="AL32" s="557">
        <v>248.54117647058828</v>
      </c>
      <c r="AM32" s="556">
        <f t="shared" si="30"/>
        <v>4</v>
      </c>
      <c r="AN32" s="637"/>
      <c r="AO32" s="556">
        <v>10</v>
      </c>
      <c r="AP32" s="557">
        <v>2461.9999999999995</v>
      </c>
      <c r="AQ32" s="557">
        <v>246.19999999999996</v>
      </c>
      <c r="AR32" s="556">
        <f t="shared" si="32"/>
        <v>4</v>
      </c>
      <c r="AS32" s="637"/>
      <c r="AT32" s="556">
        <v>10</v>
      </c>
      <c r="AU32" s="557">
        <v>2480.6666666666674</v>
      </c>
      <c r="AV32" s="557">
        <v>248.06666666666675</v>
      </c>
      <c r="AW32" s="556">
        <f t="shared" si="34"/>
        <v>4</v>
      </c>
      <c r="AX32" s="637"/>
      <c r="AZ32" s="368" t="e">
        <f t="shared" si="36"/>
        <v>#N/A</v>
      </c>
      <c r="BA32" s="637"/>
    </row>
    <row r="33" spans="2:53">
      <c r="B33" s="647"/>
      <c r="C33" s="380">
        <v>7</v>
      </c>
      <c r="D33" s="351" t="s">
        <v>693</v>
      </c>
      <c r="E33" s="513">
        <v>11</v>
      </c>
      <c r="F33" s="513">
        <v>2250</v>
      </c>
      <c r="G33" s="513">
        <v>204.5</v>
      </c>
      <c r="H33" s="655"/>
      <c r="I33" s="381">
        <f t="shared" si="19"/>
        <v>11</v>
      </c>
      <c r="J33" s="381">
        <f t="shared" si="20"/>
        <v>2227.4724260858188</v>
      </c>
      <c r="K33" s="199">
        <f t="shared" si="21"/>
        <v>202.497493280529</v>
      </c>
      <c r="L33" s="657"/>
      <c r="M33" s="388">
        <f>RANK(K33, K$27:$K$41)</f>
        <v>5</v>
      </c>
      <c r="N33" s="641"/>
      <c r="O33" s="641"/>
      <c r="P33" s="556">
        <v>11</v>
      </c>
      <c r="Q33" s="557">
        <v>2210.3999999999996</v>
      </c>
      <c r="R33" s="557">
        <v>200.94545454545451</v>
      </c>
      <c r="S33" s="556">
        <f t="shared" si="22"/>
        <v>5</v>
      </c>
      <c r="T33" s="637"/>
      <c r="U33" s="556">
        <v>11</v>
      </c>
      <c r="V33" s="557">
        <v>2224.6153846153857</v>
      </c>
      <c r="W33" s="557">
        <v>202.23776223776233</v>
      </c>
      <c r="X33" s="556">
        <f t="shared" si="24"/>
        <v>5</v>
      </c>
      <c r="Y33" s="637"/>
      <c r="Z33" s="556">
        <v>11</v>
      </c>
      <c r="AA33" s="557">
        <v>2216.90625</v>
      </c>
      <c r="AB33" s="557">
        <v>201.53693181818181</v>
      </c>
      <c r="AC33" s="556">
        <f t="shared" si="26"/>
        <v>5</v>
      </c>
      <c r="AD33" s="637"/>
      <c r="AE33" s="556">
        <v>11</v>
      </c>
      <c r="AF33" s="557">
        <v>2242.1904761904761</v>
      </c>
      <c r="AG33" s="557">
        <v>203.83549783549782</v>
      </c>
      <c r="AH33" s="556">
        <f t="shared" si="28"/>
        <v>5</v>
      </c>
      <c r="AI33" s="637"/>
      <c r="AJ33" s="556">
        <v>11</v>
      </c>
      <c r="AK33" s="557">
        <v>2238.599999999999</v>
      </c>
      <c r="AL33" s="557">
        <v>203.50909090909082</v>
      </c>
      <c r="AM33" s="556">
        <f t="shared" si="30"/>
        <v>5</v>
      </c>
      <c r="AN33" s="637"/>
      <c r="AO33" s="556">
        <v>11</v>
      </c>
      <c r="AP33" s="557">
        <v>2248.1333333333337</v>
      </c>
      <c r="AQ33" s="557">
        <v>204.3757575757576</v>
      </c>
      <c r="AR33" s="556">
        <f t="shared" si="32"/>
        <v>5</v>
      </c>
      <c r="AS33" s="637"/>
      <c r="AT33" s="556">
        <v>11</v>
      </c>
      <c r="AU33" s="557">
        <v>2211.4615384615395</v>
      </c>
      <c r="AV33" s="557">
        <v>201.04195804195814</v>
      </c>
      <c r="AW33" s="556">
        <f t="shared" si="34"/>
        <v>5</v>
      </c>
      <c r="AX33" s="637"/>
      <c r="AZ33" s="368" t="e">
        <f t="shared" si="36"/>
        <v>#N/A</v>
      </c>
      <c r="BA33" s="637"/>
    </row>
    <row r="34" spans="2:53">
      <c r="B34" s="647"/>
      <c r="C34" s="380">
        <v>8</v>
      </c>
      <c r="D34" s="351" t="s">
        <v>357</v>
      </c>
      <c r="E34" s="513">
        <v>18</v>
      </c>
      <c r="F34" s="513">
        <v>1200</v>
      </c>
      <c r="G34" s="513">
        <v>66.666666666666671</v>
      </c>
      <c r="H34" s="655"/>
      <c r="I34" s="381">
        <f t="shared" si="19"/>
        <v>18.142857142857142</v>
      </c>
      <c r="J34" s="381">
        <f t="shared" si="20"/>
        <v>1125.6501674726328</v>
      </c>
      <c r="K34" s="199">
        <f t="shared" si="21"/>
        <v>62.020156592546279</v>
      </c>
      <c r="L34" s="657"/>
      <c r="M34" s="388">
        <f>RANK(K34, K$27:$K$41)</f>
        <v>9</v>
      </c>
      <c r="N34" s="641"/>
      <c r="O34" s="641"/>
      <c r="P34" s="556">
        <v>19</v>
      </c>
      <c r="Q34" s="557">
        <v>1235.2173913043478</v>
      </c>
      <c r="R34" s="557">
        <v>65.011441647597252</v>
      </c>
      <c r="S34" s="556">
        <f t="shared" si="22"/>
        <v>9</v>
      </c>
      <c r="T34" s="637"/>
      <c r="U34" s="556">
        <v>18</v>
      </c>
      <c r="V34" s="557">
        <v>1119.7590361445777</v>
      </c>
      <c r="W34" s="557">
        <v>62.208835341365429</v>
      </c>
      <c r="X34" s="556">
        <f t="shared" si="24"/>
        <v>9</v>
      </c>
      <c r="Y34" s="637"/>
      <c r="Z34" s="556">
        <v>18</v>
      </c>
      <c r="AA34" s="557">
        <v>1117.0786516853932</v>
      </c>
      <c r="AB34" s="557">
        <v>62.059925093632955</v>
      </c>
      <c r="AC34" s="556">
        <f t="shared" si="26"/>
        <v>9</v>
      </c>
      <c r="AD34" s="637"/>
      <c r="AE34" s="556">
        <v>18</v>
      </c>
      <c r="AF34" s="557">
        <v>1094.1176470588223</v>
      </c>
      <c r="AG34" s="557">
        <v>60.784313725490129</v>
      </c>
      <c r="AH34" s="556">
        <f t="shared" si="28"/>
        <v>9</v>
      </c>
      <c r="AI34" s="637"/>
      <c r="AJ34" s="556">
        <v>18</v>
      </c>
      <c r="AK34" s="557">
        <v>1089.4736842105256</v>
      </c>
      <c r="AL34" s="557">
        <v>60.526315789473642</v>
      </c>
      <c r="AM34" s="556">
        <f t="shared" si="30"/>
        <v>9</v>
      </c>
      <c r="AN34" s="637"/>
      <c r="AO34" s="556">
        <v>18</v>
      </c>
      <c r="AP34" s="557">
        <v>1096.5714285714291</v>
      </c>
      <c r="AQ34" s="557">
        <v>60.920634920634953</v>
      </c>
      <c r="AR34" s="556">
        <f t="shared" si="32"/>
        <v>9</v>
      </c>
      <c r="AS34" s="637"/>
      <c r="AT34" s="556">
        <v>18</v>
      </c>
      <c r="AU34" s="557">
        <v>1127.3333333333333</v>
      </c>
      <c r="AV34" s="557">
        <v>62.629629629629626</v>
      </c>
      <c r="AW34" s="556">
        <f t="shared" si="34"/>
        <v>8</v>
      </c>
      <c r="AX34" s="637"/>
      <c r="AZ34" s="368" t="e">
        <f t="shared" si="36"/>
        <v>#N/A</v>
      </c>
      <c r="BA34" s="637"/>
    </row>
    <row r="35" spans="2:53">
      <c r="B35" s="647"/>
      <c r="C35" s="380">
        <v>9</v>
      </c>
      <c r="D35" s="351" t="s">
        <v>707</v>
      </c>
      <c r="E35" s="513">
        <v>7</v>
      </c>
      <c r="F35" s="513">
        <v>2200</v>
      </c>
      <c r="G35" s="513">
        <v>314.28571428571428</v>
      </c>
      <c r="H35" s="655"/>
      <c r="I35" s="381">
        <f t="shared" si="19"/>
        <v>7</v>
      </c>
      <c r="J35" s="381">
        <f t="shared" si="20"/>
        <v>1971.2708006279427</v>
      </c>
      <c r="K35" s="199">
        <f t="shared" si="21"/>
        <v>281.61011437542038</v>
      </c>
      <c r="L35" s="657"/>
      <c r="M35" s="388">
        <f>RANK(K35, K$27:$K$41)</f>
        <v>3</v>
      </c>
      <c r="N35" s="641"/>
      <c r="O35" s="641"/>
      <c r="P35" s="556">
        <v>7</v>
      </c>
      <c r="Q35" s="557">
        <v>2002.8571428571424</v>
      </c>
      <c r="R35" s="557">
        <v>286.12244897959175</v>
      </c>
      <c r="S35" s="556">
        <f t="shared" si="22"/>
        <v>3</v>
      </c>
      <c r="T35" s="637"/>
      <c r="U35" s="556">
        <v>7</v>
      </c>
      <c r="V35" s="557">
        <v>2000.0000000000005</v>
      </c>
      <c r="W35" s="557">
        <v>285.71428571428578</v>
      </c>
      <c r="X35" s="556">
        <f t="shared" si="24"/>
        <v>3</v>
      </c>
      <c r="Y35" s="637"/>
      <c r="Z35" s="556">
        <v>7</v>
      </c>
      <c r="AA35" s="557">
        <v>1979.9999999999991</v>
      </c>
      <c r="AB35" s="557">
        <v>282.85714285714272</v>
      </c>
      <c r="AC35" s="556">
        <f t="shared" si="26"/>
        <v>3</v>
      </c>
      <c r="AD35" s="637"/>
      <c r="AE35" s="556">
        <v>7</v>
      </c>
      <c r="AF35" s="557">
        <v>1851.9999999999966</v>
      </c>
      <c r="AG35" s="557">
        <v>264.5714285714281</v>
      </c>
      <c r="AH35" s="556">
        <f t="shared" si="28"/>
        <v>3</v>
      </c>
      <c r="AI35" s="637"/>
      <c r="AJ35" s="556">
        <v>7</v>
      </c>
      <c r="AK35" s="557">
        <v>1972.5000000000068</v>
      </c>
      <c r="AL35" s="557">
        <v>281.78571428571524</v>
      </c>
      <c r="AM35" s="556">
        <f t="shared" si="30"/>
        <v>3</v>
      </c>
      <c r="AN35" s="637"/>
      <c r="AO35" s="556">
        <v>7</v>
      </c>
      <c r="AP35" s="557">
        <v>2021.5384615384564</v>
      </c>
      <c r="AQ35" s="557">
        <v>288.79120879120808</v>
      </c>
      <c r="AR35" s="556">
        <f t="shared" si="32"/>
        <v>3</v>
      </c>
      <c r="AS35" s="637"/>
      <c r="AT35" s="556">
        <v>7</v>
      </c>
      <c r="AU35" s="557">
        <v>1969.9999999999973</v>
      </c>
      <c r="AV35" s="557">
        <v>281.42857142857105</v>
      </c>
      <c r="AW35" s="556">
        <f t="shared" si="34"/>
        <v>3</v>
      </c>
      <c r="AX35" s="637"/>
      <c r="AZ35" s="368" t="e">
        <f t="shared" si="36"/>
        <v>#N/A</v>
      </c>
      <c r="BA35" s="637"/>
    </row>
    <row r="36" spans="2:53">
      <c r="B36" s="647"/>
      <c r="C36" s="380">
        <v>10</v>
      </c>
      <c r="D36" s="351"/>
      <c r="E36" s="513"/>
      <c r="F36" s="513"/>
      <c r="G36" s="513"/>
      <c r="H36" s="655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57"/>
      <c r="M36" s="388" t="e">
        <f>RANK(K36, K$27:$K$41)</f>
        <v>#VALUE!</v>
      </c>
      <c r="N36" s="641"/>
      <c r="O36" s="641"/>
      <c r="P36" s="556" t="s">
        <v>585</v>
      </c>
      <c r="Q36" s="557" t="s">
        <v>585</v>
      </c>
      <c r="R36" s="557" t="s">
        <v>585</v>
      </c>
      <c r="S36" s="556" t="e">
        <f t="shared" si="22"/>
        <v>#VALUE!</v>
      </c>
      <c r="T36" s="637"/>
      <c r="U36" s="556" t="s">
        <v>585</v>
      </c>
      <c r="V36" s="557" t="s">
        <v>585</v>
      </c>
      <c r="W36" s="557" t="s">
        <v>585</v>
      </c>
      <c r="X36" s="556" t="e">
        <f t="shared" si="24"/>
        <v>#VALUE!</v>
      </c>
      <c r="Y36" s="637"/>
      <c r="Z36" s="556" t="s">
        <v>585</v>
      </c>
      <c r="AA36" s="557" t="s">
        <v>585</v>
      </c>
      <c r="AB36" s="557" t="s">
        <v>585</v>
      </c>
      <c r="AC36" s="556" t="e">
        <f t="shared" si="26"/>
        <v>#VALUE!</v>
      </c>
      <c r="AD36" s="637"/>
      <c r="AE36" s="556" t="s">
        <v>585</v>
      </c>
      <c r="AF36" s="557" t="s">
        <v>585</v>
      </c>
      <c r="AG36" s="557" t="s">
        <v>585</v>
      </c>
      <c r="AH36" s="556" t="e">
        <f t="shared" si="28"/>
        <v>#VALUE!</v>
      </c>
      <c r="AI36" s="637"/>
      <c r="AJ36" s="556" t="s">
        <v>585</v>
      </c>
      <c r="AK36" s="557" t="s">
        <v>585</v>
      </c>
      <c r="AL36" s="557" t="s">
        <v>585</v>
      </c>
      <c r="AM36" s="556" t="e">
        <f t="shared" si="30"/>
        <v>#VALUE!</v>
      </c>
      <c r="AN36" s="637"/>
      <c r="AO36" s="556" t="s">
        <v>585</v>
      </c>
      <c r="AP36" s="557" t="s">
        <v>585</v>
      </c>
      <c r="AQ36" s="557" t="s">
        <v>585</v>
      </c>
      <c r="AR36" s="556" t="e">
        <f t="shared" si="32"/>
        <v>#VALUE!</v>
      </c>
      <c r="AS36" s="637"/>
      <c r="AT36" s="556" t="s">
        <v>585</v>
      </c>
      <c r="AU36" s="557" t="s">
        <v>585</v>
      </c>
      <c r="AV36" s="557" t="s">
        <v>585</v>
      </c>
      <c r="AW36" s="556" t="e">
        <f t="shared" si="34"/>
        <v>#VALUE!</v>
      </c>
      <c r="AX36" s="637"/>
      <c r="AZ36" s="368" t="e">
        <f t="shared" si="36"/>
        <v>#N/A</v>
      </c>
      <c r="BA36" s="637"/>
    </row>
    <row r="37" spans="2:53">
      <c r="B37" s="647"/>
      <c r="C37" s="380">
        <v>11</v>
      </c>
      <c r="D37" s="351"/>
      <c r="E37" s="513"/>
      <c r="F37" s="513"/>
      <c r="G37" s="513"/>
      <c r="H37" s="655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57"/>
      <c r="M37" s="388" t="e">
        <f>RANK(K37, K$27:$K$41)</f>
        <v>#VALUE!</v>
      </c>
      <c r="N37" s="641"/>
      <c r="O37" s="641"/>
      <c r="P37" s="556" t="s">
        <v>585</v>
      </c>
      <c r="Q37" s="557" t="s">
        <v>585</v>
      </c>
      <c r="R37" s="557" t="s">
        <v>585</v>
      </c>
      <c r="S37" s="556" t="e">
        <f t="shared" si="22"/>
        <v>#VALUE!</v>
      </c>
      <c r="T37" s="637"/>
      <c r="U37" s="556" t="s">
        <v>585</v>
      </c>
      <c r="V37" s="557" t="s">
        <v>585</v>
      </c>
      <c r="W37" s="557" t="s">
        <v>585</v>
      </c>
      <c r="X37" s="556" t="e">
        <f t="shared" si="24"/>
        <v>#VALUE!</v>
      </c>
      <c r="Y37" s="637"/>
      <c r="Z37" s="556" t="s">
        <v>585</v>
      </c>
      <c r="AA37" s="557" t="s">
        <v>585</v>
      </c>
      <c r="AB37" s="557" t="s">
        <v>585</v>
      </c>
      <c r="AC37" s="556" t="e">
        <f t="shared" si="26"/>
        <v>#VALUE!</v>
      </c>
      <c r="AD37" s="637"/>
      <c r="AE37" s="556" t="s">
        <v>585</v>
      </c>
      <c r="AF37" s="557" t="s">
        <v>585</v>
      </c>
      <c r="AG37" s="557" t="s">
        <v>585</v>
      </c>
      <c r="AH37" s="556" t="e">
        <f t="shared" si="28"/>
        <v>#VALUE!</v>
      </c>
      <c r="AI37" s="637"/>
      <c r="AJ37" s="556" t="s">
        <v>585</v>
      </c>
      <c r="AK37" s="557" t="s">
        <v>585</v>
      </c>
      <c r="AL37" s="557" t="s">
        <v>585</v>
      </c>
      <c r="AM37" s="556" t="e">
        <f t="shared" si="30"/>
        <v>#VALUE!</v>
      </c>
      <c r="AN37" s="637"/>
      <c r="AO37" s="556" t="s">
        <v>585</v>
      </c>
      <c r="AP37" s="557" t="s">
        <v>585</v>
      </c>
      <c r="AQ37" s="557" t="s">
        <v>585</v>
      </c>
      <c r="AR37" s="556" t="e">
        <f t="shared" si="32"/>
        <v>#VALUE!</v>
      </c>
      <c r="AS37" s="637"/>
      <c r="AT37" s="556" t="s">
        <v>585</v>
      </c>
      <c r="AU37" s="557" t="s">
        <v>585</v>
      </c>
      <c r="AV37" s="557" t="s">
        <v>585</v>
      </c>
      <c r="AW37" s="556" t="e">
        <f t="shared" si="34"/>
        <v>#VALUE!</v>
      </c>
      <c r="AX37" s="637"/>
      <c r="AZ37" s="368" t="e">
        <f t="shared" si="36"/>
        <v>#N/A</v>
      </c>
      <c r="BA37" s="637"/>
    </row>
    <row r="38" spans="2:53">
      <c r="B38" s="647"/>
      <c r="C38" s="380">
        <v>12</v>
      </c>
      <c r="D38" s="351"/>
      <c r="E38" s="513"/>
      <c r="F38" s="513"/>
      <c r="G38" s="513"/>
      <c r="H38" s="655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57"/>
      <c r="M38" s="388" t="e">
        <f>RANK(K38, K$27:$K$41)</f>
        <v>#VALUE!</v>
      </c>
      <c r="N38" s="641"/>
      <c r="O38" s="641"/>
      <c r="P38" s="556" t="s">
        <v>585</v>
      </c>
      <c r="Q38" s="557" t="s">
        <v>585</v>
      </c>
      <c r="R38" s="557" t="s">
        <v>585</v>
      </c>
      <c r="S38" s="556" t="e">
        <f t="shared" si="22"/>
        <v>#VALUE!</v>
      </c>
      <c r="T38" s="637"/>
      <c r="U38" s="556" t="s">
        <v>585</v>
      </c>
      <c r="V38" s="557" t="s">
        <v>585</v>
      </c>
      <c r="W38" s="557" t="s">
        <v>585</v>
      </c>
      <c r="X38" s="556" t="e">
        <f t="shared" si="24"/>
        <v>#VALUE!</v>
      </c>
      <c r="Y38" s="637"/>
      <c r="Z38" s="556" t="s">
        <v>585</v>
      </c>
      <c r="AA38" s="557" t="s">
        <v>585</v>
      </c>
      <c r="AB38" s="557" t="s">
        <v>585</v>
      </c>
      <c r="AC38" s="556" t="e">
        <f t="shared" si="26"/>
        <v>#VALUE!</v>
      </c>
      <c r="AD38" s="637"/>
      <c r="AE38" s="556" t="s">
        <v>585</v>
      </c>
      <c r="AF38" s="557" t="s">
        <v>585</v>
      </c>
      <c r="AG38" s="557" t="s">
        <v>585</v>
      </c>
      <c r="AH38" s="556" t="e">
        <f t="shared" si="28"/>
        <v>#VALUE!</v>
      </c>
      <c r="AI38" s="637"/>
      <c r="AJ38" s="556" t="s">
        <v>585</v>
      </c>
      <c r="AK38" s="557" t="s">
        <v>585</v>
      </c>
      <c r="AL38" s="557" t="s">
        <v>585</v>
      </c>
      <c r="AM38" s="556" t="e">
        <f t="shared" si="30"/>
        <v>#VALUE!</v>
      </c>
      <c r="AN38" s="637"/>
      <c r="AO38" s="556" t="s">
        <v>585</v>
      </c>
      <c r="AP38" s="557" t="s">
        <v>585</v>
      </c>
      <c r="AQ38" s="557" t="s">
        <v>585</v>
      </c>
      <c r="AR38" s="556" t="e">
        <f t="shared" si="32"/>
        <v>#VALUE!</v>
      </c>
      <c r="AS38" s="637"/>
      <c r="AT38" s="556" t="s">
        <v>585</v>
      </c>
      <c r="AU38" s="557" t="s">
        <v>585</v>
      </c>
      <c r="AV38" s="557" t="s">
        <v>585</v>
      </c>
      <c r="AW38" s="556" t="e">
        <f t="shared" si="34"/>
        <v>#VALUE!</v>
      </c>
      <c r="AX38" s="637"/>
      <c r="AZ38" s="368" t="e">
        <f t="shared" si="36"/>
        <v>#N/A</v>
      </c>
      <c r="BA38" s="637"/>
    </row>
    <row r="39" spans="2:53">
      <c r="B39" s="647"/>
      <c r="C39" s="380">
        <v>13</v>
      </c>
      <c r="D39" s="351"/>
      <c r="E39" s="513"/>
      <c r="F39" s="513"/>
      <c r="G39" s="513"/>
      <c r="H39" s="655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57"/>
      <c r="M39" s="388" t="e">
        <f>RANK(K39, K$27:$K$41)</f>
        <v>#VALUE!</v>
      </c>
      <c r="N39" s="641"/>
      <c r="O39" s="641"/>
      <c r="P39" s="556" t="s">
        <v>585</v>
      </c>
      <c r="Q39" s="557" t="s">
        <v>585</v>
      </c>
      <c r="R39" s="557" t="s">
        <v>585</v>
      </c>
      <c r="S39" s="556" t="e">
        <f t="shared" si="22"/>
        <v>#VALUE!</v>
      </c>
      <c r="T39" s="637"/>
      <c r="U39" s="556" t="s">
        <v>585</v>
      </c>
      <c r="V39" s="557" t="s">
        <v>585</v>
      </c>
      <c r="W39" s="557" t="s">
        <v>585</v>
      </c>
      <c r="X39" s="556" t="e">
        <f t="shared" si="24"/>
        <v>#VALUE!</v>
      </c>
      <c r="Y39" s="637"/>
      <c r="Z39" s="556" t="s">
        <v>585</v>
      </c>
      <c r="AA39" s="557" t="s">
        <v>585</v>
      </c>
      <c r="AB39" s="557" t="s">
        <v>585</v>
      </c>
      <c r="AC39" s="556" t="e">
        <f t="shared" si="26"/>
        <v>#VALUE!</v>
      </c>
      <c r="AD39" s="637"/>
      <c r="AE39" s="556" t="s">
        <v>585</v>
      </c>
      <c r="AF39" s="557" t="s">
        <v>585</v>
      </c>
      <c r="AG39" s="557" t="s">
        <v>585</v>
      </c>
      <c r="AH39" s="556" t="e">
        <f t="shared" si="28"/>
        <v>#VALUE!</v>
      </c>
      <c r="AI39" s="637"/>
      <c r="AJ39" s="556" t="s">
        <v>585</v>
      </c>
      <c r="AK39" s="557" t="s">
        <v>585</v>
      </c>
      <c r="AL39" s="557" t="s">
        <v>585</v>
      </c>
      <c r="AM39" s="556" t="e">
        <f t="shared" si="30"/>
        <v>#VALUE!</v>
      </c>
      <c r="AN39" s="637"/>
      <c r="AO39" s="556" t="s">
        <v>585</v>
      </c>
      <c r="AP39" s="557" t="s">
        <v>585</v>
      </c>
      <c r="AQ39" s="557" t="s">
        <v>585</v>
      </c>
      <c r="AR39" s="556" t="e">
        <f t="shared" si="32"/>
        <v>#VALUE!</v>
      </c>
      <c r="AS39" s="637"/>
      <c r="AT39" s="556" t="s">
        <v>585</v>
      </c>
      <c r="AU39" s="557" t="s">
        <v>585</v>
      </c>
      <c r="AV39" s="557" t="s">
        <v>585</v>
      </c>
      <c r="AW39" s="556" t="e">
        <f t="shared" si="34"/>
        <v>#VALUE!</v>
      </c>
      <c r="AX39" s="637"/>
      <c r="AZ39" s="368" t="e">
        <f t="shared" si="36"/>
        <v>#N/A</v>
      </c>
      <c r="BA39" s="637"/>
    </row>
    <row r="40" spans="2:53">
      <c r="B40" s="647"/>
      <c r="C40" s="380">
        <v>14</v>
      </c>
      <c r="D40" s="351"/>
      <c r="E40" s="513"/>
      <c r="F40" s="513"/>
      <c r="G40" s="513"/>
      <c r="H40" s="655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7"/>
      <c r="M40" s="388" t="e">
        <f>RANK(K40, K$27:$K$41)</f>
        <v>#VALUE!</v>
      </c>
      <c r="N40" s="641"/>
      <c r="O40" s="641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7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7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7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7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7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7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7"/>
      <c r="AZ40" s="368" t="e">
        <f t="shared" si="36"/>
        <v>#N/A</v>
      </c>
      <c r="BA40" s="637"/>
    </row>
    <row r="41" spans="2:53">
      <c r="B41" s="647"/>
      <c r="C41" s="380">
        <v>15</v>
      </c>
      <c r="D41" s="351"/>
      <c r="E41" s="513"/>
      <c r="F41" s="513"/>
      <c r="G41" s="513"/>
      <c r="H41" s="712"/>
      <c r="I41" s="385"/>
      <c r="J41" s="385"/>
      <c r="K41" s="382"/>
      <c r="L41" s="658"/>
      <c r="M41" s="388" t="e">
        <f>RANK(K41, K$27:$K$41)</f>
        <v>#N/A</v>
      </c>
      <c r="N41" s="641"/>
      <c r="O41" s="641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8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8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8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8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8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8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8"/>
      <c r="AZ41" s="368" t="e">
        <f t="shared" si="36"/>
        <v>#N/A</v>
      </c>
      <c r="BA41" s="638"/>
    </row>
    <row r="42" spans="2:53" ht="15.75">
      <c r="B42" s="680" t="s">
        <v>162</v>
      </c>
      <c r="C42" s="681"/>
      <c r="D42" s="681"/>
      <c r="E42" s="681"/>
      <c r="F42" s="681"/>
      <c r="G42" s="681"/>
      <c r="H42" s="681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68">
        <f>P22+7</f>
        <v>46245</v>
      </c>
      <c r="Q42" s="647"/>
      <c r="R42" s="647"/>
      <c r="S42" s="647"/>
      <c r="T42" s="647"/>
      <c r="U42" s="665">
        <f>P42+1</f>
        <v>46246</v>
      </c>
      <c r="V42" s="666"/>
      <c r="W42" s="666"/>
      <c r="X42" s="666"/>
      <c r="Y42" s="667"/>
      <c r="Z42" s="665">
        <f>U42+1</f>
        <v>46247</v>
      </c>
      <c r="AA42" s="666"/>
      <c r="AB42" s="666"/>
      <c r="AC42" s="666"/>
      <c r="AD42" s="667"/>
      <c r="AE42" s="665">
        <f>Z42+1</f>
        <v>46248</v>
      </c>
      <c r="AF42" s="666"/>
      <c r="AG42" s="666"/>
      <c r="AH42" s="666"/>
      <c r="AI42" s="667"/>
      <c r="AJ42" s="665">
        <f>AE42+1</f>
        <v>46249</v>
      </c>
      <c r="AK42" s="666"/>
      <c r="AL42" s="666"/>
      <c r="AM42" s="666"/>
      <c r="AN42" s="667"/>
      <c r="AO42" s="665">
        <f>AJ42+1</f>
        <v>46250</v>
      </c>
      <c r="AP42" s="666"/>
      <c r="AQ42" s="666"/>
      <c r="AR42" s="666"/>
      <c r="AS42" s="667"/>
      <c r="AT42" s="665">
        <f>AO42+1</f>
        <v>46251</v>
      </c>
      <c r="AU42" s="666"/>
      <c r="AV42" s="666"/>
      <c r="AW42" s="666"/>
      <c r="AX42" s="667"/>
    </row>
    <row r="43" spans="2:53" ht="15.75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45"/>
      <c r="O43" s="645"/>
      <c r="P43" s="668" t="s">
        <v>317</v>
      </c>
      <c r="Q43" s="647"/>
      <c r="R43" s="647"/>
      <c r="S43" s="647"/>
      <c r="T43" s="647"/>
      <c r="U43" s="668" t="s">
        <v>318</v>
      </c>
      <c r="V43" s="647"/>
      <c r="W43" s="647"/>
      <c r="X43" s="647"/>
      <c r="Y43" s="647"/>
      <c r="Z43" s="668" t="s">
        <v>319</v>
      </c>
      <c r="AA43" s="647"/>
      <c r="AB43" s="647"/>
      <c r="AC43" s="647"/>
      <c r="AD43" s="647"/>
      <c r="AE43" s="668" t="s">
        <v>320</v>
      </c>
      <c r="AF43" s="647"/>
      <c r="AG43" s="647"/>
      <c r="AH43" s="647"/>
      <c r="AI43" s="647"/>
      <c r="AJ43" s="668" t="s">
        <v>321</v>
      </c>
      <c r="AK43" s="647"/>
      <c r="AL43" s="647"/>
      <c r="AM43" s="647"/>
      <c r="AN43" s="647"/>
      <c r="AO43" s="668" t="s">
        <v>322</v>
      </c>
      <c r="AP43" s="647"/>
      <c r="AQ43" s="647"/>
      <c r="AR43" s="647"/>
      <c r="AS43" s="647"/>
      <c r="AT43" s="668" t="s">
        <v>323</v>
      </c>
      <c r="AU43" s="647"/>
      <c r="AV43" s="647"/>
      <c r="AW43" s="647"/>
      <c r="AX43" s="647"/>
    </row>
    <row r="44" spans="2:53">
      <c r="B44" s="641" t="s">
        <v>369</v>
      </c>
      <c r="C44" s="641" t="s">
        <v>379</v>
      </c>
      <c r="D44" s="641"/>
      <c r="E44" s="641" t="s">
        <v>370</v>
      </c>
      <c r="F44" s="641"/>
      <c r="G44" s="641"/>
      <c r="H44" s="673" t="s">
        <v>366</v>
      </c>
      <c r="I44" s="641" t="s">
        <v>371</v>
      </c>
      <c r="J44" s="641"/>
      <c r="K44" s="641"/>
      <c r="L44" s="673" t="s">
        <v>366</v>
      </c>
      <c r="M44" s="643" t="s">
        <v>367</v>
      </c>
      <c r="N44" s="641"/>
      <c r="O44" s="641" t="s">
        <v>372</v>
      </c>
      <c r="P44" s="659" t="s">
        <v>368</v>
      </c>
      <c r="Q44" s="660"/>
      <c r="R44" s="660"/>
      <c r="S44" s="661"/>
      <c r="T44" s="641" t="s">
        <v>366</v>
      </c>
      <c r="U44" s="659" t="s">
        <v>368</v>
      </c>
      <c r="V44" s="660"/>
      <c r="W44" s="660"/>
      <c r="X44" s="661"/>
      <c r="Y44" s="641" t="s">
        <v>366</v>
      </c>
      <c r="Z44" s="659" t="s">
        <v>368</v>
      </c>
      <c r="AA44" s="660"/>
      <c r="AB44" s="660"/>
      <c r="AC44" s="661"/>
      <c r="AD44" s="641" t="s">
        <v>366</v>
      </c>
      <c r="AE44" s="659" t="s">
        <v>368</v>
      </c>
      <c r="AF44" s="660"/>
      <c r="AG44" s="660"/>
      <c r="AH44" s="661"/>
      <c r="AI44" s="641" t="s">
        <v>366</v>
      </c>
      <c r="AJ44" s="659" t="s">
        <v>368</v>
      </c>
      <c r="AK44" s="660"/>
      <c r="AL44" s="660"/>
      <c r="AM44" s="661"/>
      <c r="AN44" s="641" t="s">
        <v>366</v>
      </c>
      <c r="AO44" s="659" t="s">
        <v>368</v>
      </c>
      <c r="AP44" s="660"/>
      <c r="AQ44" s="660"/>
      <c r="AR44" s="661"/>
      <c r="AS44" s="641" t="s">
        <v>366</v>
      </c>
      <c r="AT44" s="659" t="s">
        <v>368</v>
      </c>
      <c r="AU44" s="660"/>
      <c r="AV44" s="660"/>
      <c r="AW44" s="661"/>
      <c r="AX44" s="641" t="s">
        <v>366</v>
      </c>
      <c r="BA44" s="641" t="s">
        <v>366</v>
      </c>
    </row>
    <row r="45" spans="2:53">
      <c r="B45" s="641"/>
      <c r="C45" s="641"/>
      <c r="D45" s="641"/>
      <c r="E45" s="641" t="s">
        <v>373</v>
      </c>
      <c r="F45" s="641"/>
      <c r="G45" s="641"/>
      <c r="H45" s="674"/>
      <c r="I45" s="641" t="s">
        <v>373</v>
      </c>
      <c r="J45" s="641"/>
      <c r="K45" s="641"/>
      <c r="L45" s="674"/>
      <c r="M45" s="644"/>
      <c r="N45" s="641"/>
      <c r="O45" s="641"/>
      <c r="P45" s="659" t="s">
        <v>374</v>
      </c>
      <c r="Q45" s="660"/>
      <c r="R45" s="660"/>
      <c r="S45" s="661"/>
      <c r="T45" s="641"/>
      <c r="U45" s="659" t="s">
        <v>374</v>
      </c>
      <c r="V45" s="660"/>
      <c r="W45" s="660"/>
      <c r="X45" s="661"/>
      <c r="Y45" s="641"/>
      <c r="Z45" s="659" t="s">
        <v>374</v>
      </c>
      <c r="AA45" s="660"/>
      <c r="AB45" s="660"/>
      <c r="AC45" s="661"/>
      <c r="AD45" s="641"/>
      <c r="AE45" s="659" t="s">
        <v>374</v>
      </c>
      <c r="AF45" s="660"/>
      <c r="AG45" s="660"/>
      <c r="AH45" s="661"/>
      <c r="AI45" s="641"/>
      <c r="AJ45" s="659" t="s">
        <v>374</v>
      </c>
      <c r="AK45" s="660"/>
      <c r="AL45" s="660"/>
      <c r="AM45" s="661"/>
      <c r="AN45" s="641"/>
      <c r="AO45" s="659" t="s">
        <v>374</v>
      </c>
      <c r="AP45" s="660"/>
      <c r="AQ45" s="660"/>
      <c r="AR45" s="661"/>
      <c r="AS45" s="641"/>
      <c r="AT45" s="659" t="s">
        <v>374</v>
      </c>
      <c r="AU45" s="660"/>
      <c r="AV45" s="660"/>
      <c r="AW45" s="661"/>
      <c r="AX45" s="641"/>
      <c r="BA45" s="641"/>
    </row>
    <row r="46" spans="2:53">
      <c r="B46" s="641"/>
      <c r="C46" s="641"/>
      <c r="D46" s="641"/>
      <c r="E46" s="378" t="s">
        <v>375</v>
      </c>
      <c r="F46" s="378" t="s">
        <v>376</v>
      </c>
      <c r="G46" s="378" t="s">
        <v>377</v>
      </c>
      <c r="H46" s="675"/>
      <c r="I46" s="378" t="s">
        <v>375</v>
      </c>
      <c r="J46" s="378" t="s">
        <v>376</v>
      </c>
      <c r="K46" s="378" t="s">
        <v>377</v>
      </c>
      <c r="L46" s="675"/>
      <c r="M46" s="645"/>
      <c r="N46" s="641"/>
      <c r="O46" s="641"/>
      <c r="P46" s="378" t="s">
        <v>375</v>
      </c>
      <c r="Q46" s="378" t="s">
        <v>376</v>
      </c>
      <c r="R46" s="378" t="s">
        <v>377</v>
      </c>
      <c r="S46" s="378" t="s">
        <v>367</v>
      </c>
      <c r="T46" s="641"/>
      <c r="U46" s="378" t="s">
        <v>375</v>
      </c>
      <c r="V46" s="378" t="s">
        <v>376</v>
      </c>
      <c r="W46" s="378" t="s">
        <v>377</v>
      </c>
      <c r="X46" s="378" t="s">
        <v>367</v>
      </c>
      <c r="Y46" s="641"/>
      <c r="Z46" s="378" t="s">
        <v>375</v>
      </c>
      <c r="AA46" s="378" t="s">
        <v>376</v>
      </c>
      <c r="AB46" s="378" t="s">
        <v>377</v>
      </c>
      <c r="AC46" s="378" t="s">
        <v>367</v>
      </c>
      <c r="AD46" s="641"/>
      <c r="AE46" s="378" t="s">
        <v>375</v>
      </c>
      <c r="AF46" s="378" t="s">
        <v>376</v>
      </c>
      <c r="AG46" s="378" t="s">
        <v>377</v>
      </c>
      <c r="AH46" s="378" t="s">
        <v>367</v>
      </c>
      <c r="AI46" s="641"/>
      <c r="AJ46" s="378" t="s">
        <v>375</v>
      </c>
      <c r="AK46" s="378" t="s">
        <v>376</v>
      </c>
      <c r="AL46" s="378" t="s">
        <v>377</v>
      </c>
      <c r="AM46" s="378" t="s">
        <v>367</v>
      </c>
      <c r="AN46" s="641"/>
      <c r="AO46" s="378" t="s">
        <v>375</v>
      </c>
      <c r="AP46" s="378" t="s">
        <v>376</v>
      </c>
      <c r="AQ46" s="378" t="s">
        <v>377</v>
      </c>
      <c r="AR46" s="378" t="s">
        <v>367</v>
      </c>
      <c r="AS46" s="641"/>
      <c r="AT46" s="378" t="s">
        <v>375</v>
      </c>
      <c r="AU46" s="378" t="s">
        <v>376</v>
      </c>
      <c r="AV46" s="378" t="s">
        <v>377</v>
      </c>
      <c r="AW46" s="378" t="s">
        <v>367</v>
      </c>
      <c r="AX46" s="641"/>
      <c r="AZ46" s="367" t="s">
        <v>560</v>
      </c>
      <c r="BA46" s="641"/>
    </row>
    <row r="47" spans="2:53">
      <c r="B47" s="699" t="s">
        <v>378</v>
      </c>
      <c r="C47" s="380">
        <v>1</v>
      </c>
      <c r="D47" s="351" t="s">
        <v>358</v>
      </c>
      <c r="E47" s="513">
        <v>4</v>
      </c>
      <c r="F47" s="513">
        <v>2000</v>
      </c>
      <c r="G47" s="513">
        <v>500</v>
      </c>
      <c r="H47" s="654">
        <f>AVERAGE(G47:G61)</f>
        <v>276.06904761904764</v>
      </c>
      <c r="I47" s="381">
        <f t="shared" ref="I47:I60" si="38">IFERROR(AVERAGE(P47,U47,Z47,AE47,AJ47,AO47,AT47),"-")</f>
        <v>5</v>
      </c>
      <c r="J47" s="381">
        <f t="shared" ref="J47:J60" si="39">IFERROR(AVERAGE(Q47,V47,AA47,AF47,AK47,AP47,AU47),"-")</f>
        <v>2105.7488307753115</v>
      </c>
      <c r="K47" s="199">
        <f t="shared" ref="K47:K60" si="40">IFERROR(AVERAGE(R47,W47,AB47,AG47,AL47,AQ47,AV47),"-")</f>
        <v>421.14976615506237</v>
      </c>
      <c r="L47" s="656">
        <f>IFERROR(AVERAGE(K47:K55),"-")</f>
        <v>239.42922442491036</v>
      </c>
      <c r="M47" s="420">
        <f>RANK(K47, K$47:$K$61)</f>
        <v>1</v>
      </c>
      <c r="N47" s="641"/>
      <c r="O47" s="641"/>
      <c r="P47" s="562">
        <v>5</v>
      </c>
      <c r="Q47" s="566">
        <v>2085.8823529411775</v>
      </c>
      <c r="R47" s="566">
        <v>417.17647058823547</v>
      </c>
      <c r="S47" s="562">
        <f t="shared" ref="S47:S61" si="41">RANK(R47, R$47:R$61)</f>
        <v>2</v>
      </c>
      <c r="T47" s="636">
        <f t="shared" ref="T47" si="42">AVERAGE(R47:R61)</f>
        <v>239.5802259059322</v>
      </c>
      <c r="U47" s="562">
        <v>5</v>
      </c>
      <c r="V47" s="566">
        <v>2100.0000000000005</v>
      </c>
      <c r="W47" s="566">
        <v>420.00000000000011</v>
      </c>
      <c r="X47" s="562">
        <f t="shared" ref="X47:X61" si="43">RANK(W47, W$47:W$61)</f>
        <v>2</v>
      </c>
      <c r="Y47" s="636">
        <f t="shared" ref="Y47" si="44">AVERAGE(W47:W61)</f>
        <v>239.50712147376299</v>
      </c>
      <c r="Z47" s="562">
        <v>5</v>
      </c>
      <c r="AA47" s="566">
        <v>2119.1489361702129</v>
      </c>
      <c r="AB47" s="566">
        <v>423.82978723404256</v>
      </c>
      <c r="AC47" s="562">
        <f t="shared" ref="AC47:AC61" si="45">RANK(AB47, AB$47:AB$61)</f>
        <v>2</v>
      </c>
      <c r="AD47" s="636">
        <f t="shared" ref="AD47" si="46">AVERAGE(AB47:AB61)</f>
        <v>240.09981027026811</v>
      </c>
      <c r="AE47" s="562">
        <v>5</v>
      </c>
      <c r="AF47" s="566">
        <v>2088.9473684210534</v>
      </c>
      <c r="AG47" s="566">
        <v>417.78947368421069</v>
      </c>
      <c r="AH47" s="562">
        <f t="shared" ref="AH47:AH61" si="47">RANK(AG47, AG$47:AG$61)</f>
        <v>2</v>
      </c>
      <c r="AI47" s="636">
        <f t="shared" ref="AI47" si="48">AVERAGE(AG47:AG61)</f>
        <v>239.36835529048116</v>
      </c>
      <c r="AJ47" s="562">
        <v>5</v>
      </c>
      <c r="AK47" s="566">
        <v>2117.3684210526326</v>
      </c>
      <c r="AL47" s="566">
        <v>423.47368421052653</v>
      </c>
      <c r="AM47" s="562">
        <f t="shared" ref="AM47:AM61" si="49">RANK(AL47, AL$47:AL$61)</f>
        <v>1</v>
      </c>
      <c r="AN47" s="636">
        <f t="shared" ref="AN47" si="50">AVERAGE(AL47:AL61)</f>
        <v>238.32360363421313</v>
      </c>
      <c r="AO47" s="562">
        <v>5</v>
      </c>
      <c r="AP47" s="566">
        <v>2137.894736842105</v>
      </c>
      <c r="AQ47" s="566">
        <v>427.57894736842098</v>
      </c>
      <c r="AR47" s="562">
        <f t="shared" ref="AR47:AR61" si="51">RANK(AQ47, AQ$47:AQ$61)</f>
        <v>1</v>
      </c>
      <c r="AS47" s="636">
        <f t="shared" ref="AS47" si="52">AVERAGE(AQ47:AQ61)</f>
        <v>239.40586130303444</v>
      </c>
      <c r="AT47" s="562">
        <v>5</v>
      </c>
      <c r="AU47" s="566">
        <v>2091.0000000000005</v>
      </c>
      <c r="AV47" s="566">
        <v>418.2000000000001</v>
      </c>
      <c r="AW47" s="562">
        <f t="shared" ref="AW47:AW61" si="53">RANK(AV47, AV$47:AV$61)</f>
        <v>2</v>
      </c>
      <c r="AX47" s="636">
        <f t="shared" ref="AX47" si="54">AVERAGE(AV47:AV61)</f>
        <v>239.71959309668065</v>
      </c>
      <c r="AZ47" s="368" t="e">
        <f t="shared" ref="AZ47:AZ61" si="55">RANK(AY47, AY$47:AY$61)</f>
        <v>#N/A</v>
      </c>
      <c r="BA47" s="636" t="e">
        <f t="shared" ref="BA47" si="56">AVERAGE(AY47:AY61)</f>
        <v>#DIV/0!</v>
      </c>
    </row>
    <row r="48" spans="2:53">
      <c r="B48" s="647"/>
      <c r="C48" s="380">
        <v>2</v>
      </c>
      <c r="D48" s="351" t="s">
        <v>428</v>
      </c>
      <c r="E48" s="513">
        <v>4</v>
      </c>
      <c r="F48" s="513">
        <v>2000</v>
      </c>
      <c r="G48" s="513">
        <v>500</v>
      </c>
      <c r="H48" s="655"/>
      <c r="I48" s="381">
        <f t="shared" si="38"/>
        <v>5</v>
      </c>
      <c r="J48" s="381">
        <f t="shared" si="39"/>
        <v>2105.2406979670409</v>
      </c>
      <c r="K48" s="199">
        <f t="shared" si="40"/>
        <v>421.04813959340811</v>
      </c>
      <c r="L48" s="657"/>
      <c r="M48" s="420">
        <f>RANK(K48, K$47:$K$61)</f>
        <v>2</v>
      </c>
      <c r="N48" s="641"/>
      <c r="O48" s="641"/>
      <c r="P48" s="562">
        <v>5</v>
      </c>
      <c r="Q48" s="566">
        <v>2094.782608695652</v>
      </c>
      <c r="R48" s="566">
        <v>418.95652173913038</v>
      </c>
      <c r="S48" s="562">
        <f t="shared" si="41"/>
        <v>1</v>
      </c>
      <c r="T48" s="637"/>
      <c r="U48" s="562">
        <v>5</v>
      </c>
      <c r="V48" s="566">
        <v>2113.3333333333335</v>
      </c>
      <c r="W48" s="566">
        <v>422.66666666666669</v>
      </c>
      <c r="X48" s="562">
        <f t="shared" si="43"/>
        <v>1</v>
      </c>
      <c r="Y48" s="637"/>
      <c r="Z48" s="562">
        <v>5</v>
      </c>
      <c r="AA48" s="566">
        <v>2120.8695652173915</v>
      </c>
      <c r="AB48" s="566">
        <v>424.17391304347831</v>
      </c>
      <c r="AC48" s="562">
        <f t="shared" si="45"/>
        <v>1</v>
      </c>
      <c r="AD48" s="637"/>
      <c r="AE48" s="562">
        <v>5</v>
      </c>
      <c r="AF48" s="566">
        <v>2112.9729729729738</v>
      </c>
      <c r="AG48" s="566">
        <v>422.59459459459475</v>
      </c>
      <c r="AH48" s="562">
        <f t="shared" si="47"/>
        <v>1</v>
      </c>
      <c r="AI48" s="637"/>
      <c r="AJ48" s="562">
        <v>5</v>
      </c>
      <c r="AK48" s="566">
        <v>2078.9189189189196</v>
      </c>
      <c r="AL48" s="566">
        <v>415.78378378378392</v>
      </c>
      <c r="AM48" s="562">
        <f t="shared" si="49"/>
        <v>2</v>
      </c>
      <c r="AN48" s="637"/>
      <c r="AO48" s="562">
        <v>5</v>
      </c>
      <c r="AP48" s="566">
        <v>2122.3529411764698</v>
      </c>
      <c r="AQ48" s="566">
        <v>424.47058823529397</v>
      </c>
      <c r="AR48" s="562">
        <f t="shared" si="51"/>
        <v>2</v>
      </c>
      <c r="AS48" s="637"/>
      <c r="AT48" s="562">
        <v>5</v>
      </c>
      <c r="AU48" s="566">
        <v>2093.454545454545</v>
      </c>
      <c r="AV48" s="566">
        <v>418.69090909090903</v>
      </c>
      <c r="AW48" s="562">
        <f t="shared" si="53"/>
        <v>1</v>
      </c>
      <c r="AX48" s="637"/>
      <c r="AZ48" s="368" t="e">
        <f t="shared" si="55"/>
        <v>#N/A</v>
      </c>
      <c r="BA48" s="637"/>
    </row>
    <row r="49" spans="2:53">
      <c r="B49" s="647"/>
      <c r="C49" s="380">
        <v>3</v>
      </c>
      <c r="D49" s="351" t="s">
        <v>572</v>
      </c>
      <c r="E49" s="513">
        <v>13</v>
      </c>
      <c r="F49" s="513">
        <v>2250</v>
      </c>
      <c r="G49" s="513">
        <v>173.1</v>
      </c>
      <c r="H49" s="655"/>
      <c r="I49" s="381">
        <f t="shared" si="38"/>
        <v>13</v>
      </c>
      <c r="J49" s="381">
        <f t="shared" si="39"/>
        <v>2121.8205395203508</v>
      </c>
      <c r="K49" s="199">
        <f t="shared" si="40"/>
        <v>163.21696457848853</v>
      </c>
      <c r="L49" s="657"/>
      <c r="M49" s="420">
        <f>RANK(K49, K$47:$K$61)</f>
        <v>7</v>
      </c>
      <c r="N49" s="641"/>
      <c r="O49" s="641"/>
      <c r="P49" s="562">
        <v>13</v>
      </c>
      <c r="Q49" s="566">
        <v>2091.2238805970146</v>
      </c>
      <c r="R49" s="566">
        <v>160.86337543053958</v>
      </c>
      <c r="S49" s="562">
        <f t="shared" si="41"/>
        <v>7</v>
      </c>
      <c r="T49" s="637"/>
      <c r="U49" s="562">
        <v>13</v>
      </c>
      <c r="V49" s="566">
        <v>2137.5</v>
      </c>
      <c r="W49" s="566">
        <v>164.42307692307693</v>
      </c>
      <c r="X49" s="562">
        <f t="shared" si="43"/>
        <v>7</v>
      </c>
      <c r="Y49" s="637"/>
      <c r="Z49" s="562">
        <v>13</v>
      </c>
      <c r="AA49" s="566">
        <v>2104.8837209302333</v>
      </c>
      <c r="AB49" s="566">
        <v>161.91413237924871</v>
      </c>
      <c r="AC49" s="562">
        <f t="shared" si="45"/>
        <v>7</v>
      </c>
      <c r="AD49" s="637"/>
      <c r="AE49" s="562">
        <v>13</v>
      </c>
      <c r="AF49" s="566">
        <v>2162.3999999999996</v>
      </c>
      <c r="AG49" s="566">
        <v>166.3384615384615</v>
      </c>
      <c r="AH49" s="562">
        <f t="shared" si="47"/>
        <v>7</v>
      </c>
      <c r="AI49" s="637"/>
      <c r="AJ49" s="562">
        <v>13</v>
      </c>
      <c r="AK49" s="566">
        <v>2133.75</v>
      </c>
      <c r="AL49" s="566">
        <v>164.13461538461539</v>
      </c>
      <c r="AM49" s="562">
        <f t="shared" si="49"/>
        <v>7</v>
      </c>
      <c r="AN49" s="637"/>
      <c r="AO49" s="562">
        <v>13</v>
      </c>
      <c r="AP49" s="566">
        <v>2096.1290322580639</v>
      </c>
      <c r="AQ49" s="566">
        <v>161.24069478908183</v>
      </c>
      <c r="AR49" s="562">
        <f t="shared" si="51"/>
        <v>7</v>
      </c>
      <c r="AS49" s="637"/>
      <c r="AT49" s="562">
        <v>13</v>
      </c>
      <c r="AU49" s="566">
        <v>2126.8571428571436</v>
      </c>
      <c r="AV49" s="566">
        <v>163.60439560439565</v>
      </c>
      <c r="AW49" s="562">
        <f t="shared" si="53"/>
        <v>7</v>
      </c>
      <c r="AX49" s="637"/>
      <c r="AZ49" s="368" t="e">
        <f t="shared" si="55"/>
        <v>#N/A</v>
      </c>
      <c r="BA49" s="637"/>
    </row>
    <row r="50" spans="2:53">
      <c r="B50" s="647"/>
      <c r="C50" s="380">
        <v>4</v>
      </c>
      <c r="D50" s="351" t="s">
        <v>360</v>
      </c>
      <c r="E50" s="513">
        <v>13</v>
      </c>
      <c r="F50" s="513">
        <v>2250</v>
      </c>
      <c r="G50" s="513">
        <v>173.1</v>
      </c>
      <c r="H50" s="655"/>
      <c r="I50" s="381">
        <f t="shared" si="38"/>
        <v>13</v>
      </c>
      <c r="J50" s="381">
        <f t="shared" si="39"/>
        <v>2201.2257455637673</v>
      </c>
      <c r="K50" s="199">
        <f t="shared" si="40"/>
        <v>169.32505735105903</v>
      </c>
      <c r="L50" s="657"/>
      <c r="M50" s="420">
        <f>RANK(K50, K$47:$K$61)</f>
        <v>6</v>
      </c>
      <c r="N50" s="641"/>
      <c r="O50" s="641"/>
      <c r="P50" s="562">
        <v>13</v>
      </c>
      <c r="Q50" s="566">
        <v>2187.3333333333335</v>
      </c>
      <c r="R50" s="566">
        <v>168.25641025641028</v>
      </c>
      <c r="S50" s="562">
        <f t="shared" si="41"/>
        <v>6</v>
      </c>
      <c r="T50" s="637"/>
      <c r="U50" s="562">
        <v>13</v>
      </c>
      <c r="V50" s="566">
        <v>2196.9767441860463</v>
      </c>
      <c r="W50" s="566">
        <v>168.99821109123434</v>
      </c>
      <c r="X50" s="562">
        <f t="shared" si="43"/>
        <v>6</v>
      </c>
      <c r="Y50" s="637"/>
      <c r="Z50" s="562">
        <v>13</v>
      </c>
      <c r="AA50" s="566">
        <v>2186.0240963855413</v>
      </c>
      <c r="AB50" s="566">
        <v>168.15569972196471</v>
      </c>
      <c r="AC50" s="562">
        <f t="shared" si="45"/>
        <v>6</v>
      </c>
      <c r="AD50" s="637"/>
      <c r="AE50" s="562">
        <v>13</v>
      </c>
      <c r="AF50" s="566">
        <v>2216.6197183098593</v>
      </c>
      <c r="AG50" s="566">
        <v>170.5092091007584</v>
      </c>
      <c r="AH50" s="562">
        <f t="shared" si="47"/>
        <v>6</v>
      </c>
      <c r="AI50" s="637"/>
      <c r="AJ50" s="562">
        <v>13</v>
      </c>
      <c r="AK50" s="566">
        <v>2198.1081081081093</v>
      </c>
      <c r="AL50" s="566">
        <v>169.08523908523918</v>
      </c>
      <c r="AM50" s="562">
        <f t="shared" si="49"/>
        <v>6</v>
      </c>
      <c r="AN50" s="637"/>
      <c r="AO50" s="562">
        <v>13</v>
      </c>
      <c r="AP50" s="566">
        <v>2216.2105263157896</v>
      </c>
      <c r="AQ50" s="566">
        <v>170.47773279352228</v>
      </c>
      <c r="AR50" s="562">
        <f t="shared" si="51"/>
        <v>6</v>
      </c>
      <c r="AS50" s="637"/>
      <c r="AT50" s="562">
        <v>13</v>
      </c>
      <c r="AU50" s="566">
        <v>2207.3076923076915</v>
      </c>
      <c r="AV50" s="566">
        <v>169.79289940828397</v>
      </c>
      <c r="AW50" s="562">
        <f t="shared" si="53"/>
        <v>6</v>
      </c>
      <c r="AX50" s="637"/>
      <c r="AZ50" s="368" t="e">
        <f t="shared" si="55"/>
        <v>#N/A</v>
      </c>
      <c r="BA50" s="637"/>
    </row>
    <row r="51" spans="2:53">
      <c r="B51" s="647"/>
      <c r="C51" s="380">
        <v>5</v>
      </c>
      <c r="D51" s="351" t="s">
        <v>361</v>
      </c>
      <c r="E51" s="513">
        <v>10</v>
      </c>
      <c r="F51" s="513">
        <v>2769</v>
      </c>
      <c r="G51" s="513">
        <v>276.89999999999998</v>
      </c>
      <c r="H51" s="655"/>
      <c r="I51" s="381">
        <f t="shared" si="38"/>
        <v>10</v>
      </c>
      <c r="J51" s="381">
        <f t="shared" si="39"/>
        <v>2415.237439420473</v>
      </c>
      <c r="K51" s="199">
        <f t="shared" si="40"/>
        <v>241.52374394204728</v>
      </c>
      <c r="L51" s="657"/>
      <c r="M51" s="420">
        <f>RANK(K51, K$47:$K$61)</f>
        <v>4</v>
      </c>
      <c r="N51" s="641"/>
      <c r="O51" s="641"/>
      <c r="P51" s="562">
        <v>10</v>
      </c>
      <c r="Q51" s="566">
        <v>2416.2711864406779</v>
      </c>
      <c r="R51" s="566">
        <v>241.62711864406779</v>
      </c>
      <c r="S51" s="562">
        <f t="shared" si="41"/>
        <v>4</v>
      </c>
      <c r="T51" s="637"/>
      <c r="U51" s="562">
        <v>10</v>
      </c>
      <c r="V51" s="566">
        <v>2414.666666666667</v>
      </c>
      <c r="W51" s="566">
        <v>241.4666666666667</v>
      </c>
      <c r="X51" s="562">
        <f t="shared" si="43"/>
        <v>4</v>
      </c>
      <c r="Y51" s="637"/>
      <c r="Z51" s="562">
        <v>10</v>
      </c>
      <c r="AA51" s="566">
        <v>2394.5121951219517</v>
      </c>
      <c r="AB51" s="566">
        <v>239.45121951219517</v>
      </c>
      <c r="AC51" s="562">
        <f t="shared" si="45"/>
        <v>4</v>
      </c>
      <c r="AD51" s="637"/>
      <c r="AE51" s="562">
        <v>10</v>
      </c>
      <c r="AF51" s="566">
        <v>2401.2676056338032</v>
      </c>
      <c r="AG51" s="566">
        <v>240.12676056338032</v>
      </c>
      <c r="AH51" s="562">
        <f t="shared" si="47"/>
        <v>4</v>
      </c>
      <c r="AI51" s="637"/>
      <c r="AJ51" s="562">
        <v>10</v>
      </c>
      <c r="AK51" s="566">
        <v>2430.8982035928148</v>
      </c>
      <c r="AL51" s="566">
        <v>243.08982035928148</v>
      </c>
      <c r="AM51" s="562">
        <f t="shared" si="49"/>
        <v>3</v>
      </c>
      <c r="AN51" s="637"/>
      <c r="AO51" s="562">
        <v>10</v>
      </c>
      <c r="AP51" s="566">
        <v>2429.546218487395</v>
      </c>
      <c r="AQ51" s="566">
        <v>242.95462184873949</v>
      </c>
      <c r="AR51" s="562">
        <f t="shared" si="51"/>
        <v>3</v>
      </c>
      <c r="AS51" s="637"/>
      <c r="AT51" s="562">
        <v>10</v>
      </c>
      <c r="AU51" s="566">
        <v>2419.5</v>
      </c>
      <c r="AV51" s="566">
        <v>241.95</v>
      </c>
      <c r="AW51" s="562">
        <f t="shared" si="53"/>
        <v>4</v>
      </c>
      <c r="AX51" s="637"/>
      <c r="AZ51" s="368" t="e">
        <f t="shared" si="55"/>
        <v>#N/A</v>
      </c>
      <c r="BA51" s="637"/>
    </row>
    <row r="52" spans="2:53">
      <c r="B52" s="647"/>
      <c r="C52" s="380">
        <v>6</v>
      </c>
      <c r="D52" s="351" t="s">
        <v>693</v>
      </c>
      <c r="E52" s="513">
        <v>11</v>
      </c>
      <c r="F52" s="513">
        <v>2250</v>
      </c>
      <c r="G52" s="513">
        <v>204.5</v>
      </c>
      <c r="H52" s="655"/>
      <c r="I52" s="381">
        <f t="shared" si="38"/>
        <v>11</v>
      </c>
      <c r="J52" s="381">
        <f t="shared" si="39"/>
        <v>2109.691876225394</v>
      </c>
      <c r="K52" s="199">
        <f t="shared" si="40"/>
        <v>191.79017056594489</v>
      </c>
      <c r="L52" s="657"/>
      <c r="M52" s="420">
        <f>RANK(K52, K$47:$K$61)</f>
        <v>5</v>
      </c>
      <c r="N52" s="641"/>
      <c r="O52" s="641"/>
      <c r="P52" s="562">
        <v>11</v>
      </c>
      <c r="Q52" s="566">
        <v>2132.4705882352937</v>
      </c>
      <c r="R52" s="566">
        <v>193.86096256684488</v>
      </c>
      <c r="S52" s="562">
        <f t="shared" si="41"/>
        <v>5</v>
      </c>
      <c r="T52" s="637"/>
      <c r="U52" s="562">
        <v>11</v>
      </c>
      <c r="V52" s="566">
        <v>2123.9310344827595</v>
      </c>
      <c r="W52" s="566">
        <v>193.08463949843269</v>
      </c>
      <c r="X52" s="562">
        <f t="shared" si="43"/>
        <v>5</v>
      </c>
      <c r="Y52" s="637"/>
      <c r="Z52" s="562">
        <v>11</v>
      </c>
      <c r="AA52" s="566">
        <v>2112.5783132530114</v>
      </c>
      <c r="AB52" s="566">
        <v>192.05257393209195</v>
      </c>
      <c r="AC52" s="562">
        <f t="shared" si="45"/>
        <v>5</v>
      </c>
      <c r="AD52" s="637"/>
      <c r="AE52" s="562">
        <v>11</v>
      </c>
      <c r="AF52" s="566">
        <v>2138.9577464788727</v>
      </c>
      <c r="AG52" s="566">
        <v>194.45070422535207</v>
      </c>
      <c r="AH52" s="562">
        <f t="shared" si="47"/>
        <v>5</v>
      </c>
      <c r="AI52" s="637"/>
      <c r="AJ52" s="562">
        <v>11</v>
      </c>
      <c r="AK52" s="566">
        <v>2089.2857142857147</v>
      </c>
      <c r="AL52" s="566">
        <v>189.93506493506496</v>
      </c>
      <c r="AM52" s="562">
        <f t="shared" si="49"/>
        <v>5</v>
      </c>
      <c r="AN52" s="637"/>
      <c r="AO52" s="562">
        <v>11</v>
      </c>
      <c r="AP52" s="566">
        <v>2075.4947368421049</v>
      </c>
      <c r="AQ52" s="566">
        <v>188.68133971291863</v>
      </c>
      <c r="AR52" s="562">
        <f t="shared" si="51"/>
        <v>5</v>
      </c>
      <c r="AS52" s="637"/>
      <c r="AT52" s="562">
        <v>11</v>
      </c>
      <c r="AU52" s="566">
        <v>2095.1249999999995</v>
      </c>
      <c r="AV52" s="566">
        <v>190.46590909090904</v>
      </c>
      <c r="AW52" s="562">
        <f t="shared" si="53"/>
        <v>5</v>
      </c>
      <c r="AX52" s="637"/>
      <c r="AZ52" s="368" t="e">
        <f t="shared" si="55"/>
        <v>#N/A</v>
      </c>
      <c r="BA52" s="637"/>
    </row>
    <row r="53" spans="2:53">
      <c r="B53" s="647"/>
      <c r="C53" s="380">
        <v>7</v>
      </c>
      <c r="D53" s="351" t="s">
        <v>357</v>
      </c>
      <c r="E53" s="513">
        <v>18</v>
      </c>
      <c r="F53" s="513">
        <v>1200</v>
      </c>
      <c r="G53" s="513">
        <v>66.666666666666671</v>
      </c>
      <c r="H53" s="655"/>
      <c r="I53" s="381">
        <f t="shared" si="38"/>
        <v>18.428571428571427</v>
      </c>
      <c r="J53" s="381">
        <f t="shared" si="39"/>
        <v>1150.8537750488231</v>
      </c>
      <c r="K53" s="199">
        <f t="shared" si="40"/>
        <v>62.434304161286484</v>
      </c>
      <c r="L53" s="657"/>
      <c r="M53" s="420">
        <f>RANK(K53, K$47:$K$61)</f>
        <v>8</v>
      </c>
      <c r="N53" s="641"/>
      <c r="O53" s="641"/>
      <c r="P53" s="562">
        <v>19</v>
      </c>
      <c r="Q53" s="566">
        <v>1203.2608695652175</v>
      </c>
      <c r="R53" s="566">
        <v>63.329519450800923</v>
      </c>
      <c r="S53" s="562">
        <f t="shared" si="41"/>
        <v>8</v>
      </c>
      <c r="T53" s="637"/>
      <c r="U53" s="562">
        <v>19</v>
      </c>
      <c r="V53" s="566">
        <v>1202.2222222222219</v>
      </c>
      <c r="W53" s="566">
        <v>63.274853801169577</v>
      </c>
      <c r="X53" s="562">
        <f t="shared" si="43"/>
        <v>8</v>
      </c>
      <c r="Y53" s="637"/>
      <c r="Z53" s="562">
        <v>19</v>
      </c>
      <c r="AA53" s="566">
        <v>1190.3448275862067</v>
      </c>
      <c r="AB53" s="566">
        <v>62.64972776769509</v>
      </c>
      <c r="AC53" s="562">
        <f t="shared" si="45"/>
        <v>8</v>
      </c>
      <c r="AD53" s="637"/>
      <c r="AE53" s="562">
        <v>18</v>
      </c>
      <c r="AF53" s="566">
        <v>1102.1917808219171</v>
      </c>
      <c r="AG53" s="566">
        <v>61.232876712328725</v>
      </c>
      <c r="AH53" s="562">
        <f t="shared" si="47"/>
        <v>8</v>
      </c>
      <c r="AI53" s="637"/>
      <c r="AJ53" s="562">
        <v>18</v>
      </c>
      <c r="AK53" s="566">
        <v>1121.5999999999992</v>
      </c>
      <c r="AL53" s="566">
        <v>62.311111111111067</v>
      </c>
      <c r="AM53" s="562">
        <f t="shared" si="49"/>
        <v>8</v>
      </c>
      <c r="AN53" s="637"/>
      <c r="AO53" s="562">
        <v>18</v>
      </c>
      <c r="AP53" s="566">
        <v>1112.7777777777783</v>
      </c>
      <c r="AQ53" s="566">
        <v>61.820987654321016</v>
      </c>
      <c r="AR53" s="562">
        <f t="shared" si="51"/>
        <v>8</v>
      </c>
      <c r="AS53" s="637"/>
      <c r="AT53" s="562">
        <v>18</v>
      </c>
      <c r="AU53" s="566">
        <v>1123.5789473684213</v>
      </c>
      <c r="AV53" s="566">
        <v>62.421052631578959</v>
      </c>
      <c r="AW53" s="562">
        <f t="shared" si="53"/>
        <v>8</v>
      </c>
      <c r="AX53" s="637"/>
      <c r="AZ53" s="368" t="e">
        <f t="shared" si="55"/>
        <v>#N/A</v>
      </c>
      <c r="BA53" s="637"/>
    </row>
    <row r="54" spans="2:53">
      <c r="B54" s="647"/>
      <c r="C54" s="380">
        <v>8</v>
      </c>
      <c r="D54" s="351" t="s">
        <v>707</v>
      </c>
      <c r="E54" s="513">
        <v>7</v>
      </c>
      <c r="F54" s="513">
        <v>2200</v>
      </c>
      <c r="G54" s="513">
        <v>314.28571428571428</v>
      </c>
      <c r="H54" s="655"/>
      <c r="I54" s="381">
        <f t="shared" si="38"/>
        <v>7</v>
      </c>
      <c r="J54" s="381">
        <f t="shared" si="39"/>
        <v>1714.6195433639043</v>
      </c>
      <c r="K54" s="199">
        <f t="shared" si="40"/>
        <v>244.94564905198632</v>
      </c>
      <c r="L54" s="657"/>
      <c r="M54" s="420">
        <f>RANK(K54, K$47:$K$61)</f>
        <v>3</v>
      </c>
      <c r="N54" s="641"/>
      <c r="O54" s="641"/>
      <c r="P54" s="562">
        <v>7</v>
      </c>
      <c r="Q54" s="566">
        <v>1767.9999999999968</v>
      </c>
      <c r="R54" s="566">
        <v>252.57142857142813</v>
      </c>
      <c r="S54" s="562">
        <f t="shared" si="41"/>
        <v>3</v>
      </c>
      <c r="T54" s="637"/>
      <c r="U54" s="562">
        <v>7</v>
      </c>
      <c r="V54" s="566">
        <v>1694.9999999999977</v>
      </c>
      <c r="W54" s="566">
        <v>242.14285714285683</v>
      </c>
      <c r="X54" s="562">
        <f t="shared" si="43"/>
        <v>3</v>
      </c>
      <c r="Y54" s="637"/>
      <c r="Z54" s="562">
        <v>7</v>
      </c>
      <c r="AA54" s="566">
        <v>1739.9999999999977</v>
      </c>
      <c r="AB54" s="566">
        <v>248.57142857142824</v>
      </c>
      <c r="AC54" s="562">
        <f t="shared" si="45"/>
        <v>3</v>
      </c>
      <c r="AD54" s="637"/>
      <c r="AE54" s="562">
        <v>7</v>
      </c>
      <c r="AF54" s="566">
        <v>1693.3333333333392</v>
      </c>
      <c r="AG54" s="566">
        <v>241.90476190476275</v>
      </c>
      <c r="AH54" s="562">
        <f t="shared" si="47"/>
        <v>3</v>
      </c>
      <c r="AI54" s="637"/>
      <c r="AJ54" s="562">
        <v>7</v>
      </c>
      <c r="AK54" s="566">
        <v>1671.4285714285775</v>
      </c>
      <c r="AL54" s="566">
        <v>238.77551020408251</v>
      </c>
      <c r="AM54" s="562">
        <f t="shared" si="49"/>
        <v>4</v>
      </c>
      <c r="AN54" s="637"/>
      <c r="AO54" s="562">
        <v>7</v>
      </c>
      <c r="AP54" s="566">
        <v>1666.1538461538416</v>
      </c>
      <c r="AQ54" s="566">
        <v>238.02197802197739</v>
      </c>
      <c r="AR54" s="562">
        <f t="shared" si="51"/>
        <v>4</v>
      </c>
      <c r="AS54" s="637"/>
      <c r="AT54" s="562">
        <v>7</v>
      </c>
      <c r="AU54" s="566">
        <v>1768.4210526315776</v>
      </c>
      <c r="AV54" s="566">
        <v>252.63157894736824</v>
      </c>
      <c r="AW54" s="562">
        <f t="shared" si="53"/>
        <v>3</v>
      </c>
      <c r="AX54" s="637"/>
      <c r="AZ54" s="368" t="e">
        <f t="shared" si="55"/>
        <v>#N/A</v>
      </c>
      <c r="BA54" s="637"/>
    </row>
    <row r="55" spans="2:53">
      <c r="B55" s="647"/>
      <c r="C55" s="380">
        <v>9</v>
      </c>
      <c r="D55" s="351"/>
      <c r="E55" s="513"/>
      <c r="F55" s="513"/>
      <c r="G55" s="513"/>
      <c r="H55" s="655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57"/>
      <c r="M55" s="420" t="e">
        <f>RANK(K55, K$47:$K$61)</f>
        <v>#VALUE!</v>
      </c>
      <c r="N55" s="641"/>
      <c r="O55" s="641"/>
      <c r="P55" s="562" t="s">
        <v>585</v>
      </c>
      <c r="Q55" s="566" t="s">
        <v>585</v>
      </c>
      <c r="R55" s="566" t="s">
        <v>585</v>
      </c>
      <c r="S55" s="562" t="e">
        <f t="shared" si="41"/>
        <v>#VALUE!</v>
      </c>
      <c r="T55" s="637"/>
      <c r="U55" s="562" t="s">
        <v>585</v>
      </c>
      <c r="V55" s="566" t="s">
        <v>585</v>
      </c>
      <c r="W55" s="566" t="s">
        <v>585</v>
      </c>
      <c r="X55" s="562" t="e">
        <f t="shared" si="43"/>
        <v>#VALUE!</v>
      </c>
      <c r="Y55" s="637"/>
      <c r="Z55" s="562" t="s">
        <v>585</v>
      </c>
      <c r="AA55" s="566" t="s">
        <v>585</v>
      </c>
      <c r="AB55" s="566" t="s">
        <v>585</v>
      </c>
      <c r="AC55" s="562" t="e">
        <f t="shared" si="45"/>
        <v>#VALUE!</v>
      </c>
      <c r="AD55" s="637"/>
      <c r="AE55" s="562" t="s">
        <v>585</v>
      </c>
      <c r="AF55" s="566" t="s">
        <v>585</v>
      </c>
      <c r="AG55" s="566" t="s">
        <v>585</v>
      </c>
      <c r="AH55" s="562" t="e">
        <f t="shared" si="47"/>
        <v>#VALUE!</v>
      </c>
      <c r="AI55" s="637"/>
      <c r="AJ55" s="562" t="s">
        <v>585</v>
      </c>
      <c r="AK55" s="566" t="s">
        <v>585</v>
      </c>
      <c r="AL55" s="566" t="s">
        <v>585</v>
      </c>
      <c r="AM55" s="562" t="e">
        <f t="shared" si="49"/>
        <v>#VALUE!</v>
      </c>
      <c r="AN55" s="637"/>
      <c r="AO55" s="562" t="s">
        <v>585</v>
      </c>
      <c r="AP55" s="566" t="s">
        <v>585</v>
      </c>
      <c r="AQ55" s="566" t="s">
        <v>585</v>
      </c>
      <c r="AR55" s="562" t="e">
        <f t="shared" si="51"/>
        <v>#VALUE!</v>
      </c>
      <c r="AS55" s="637"/>
      <c r="AT55" s="562" t="s">
        <v>585</v>
      </c>
      <c r="AU55" s="566" t="s">
        <v>585</v>
      </c>
      <c r="AV55" s="566" t="s">
        <v>585</v>
      </c>
      <c r="AW55" s="562" t="e">
        <f t="shared" si="53"/>
        <v>#VALUE!</v>
      </c>
      <c r="AX55" s="637"/>
      <c r="AZ55" s="368" t="e">
        <f t="shared" si="55"/>
        <v>#N/A</v>
      </c>
      <c r="BA55" s="637"/>
    </row>
    <row r="56" spans="2:53">
      <c r="B56" s="647"/>
      <c r="C56" s="380">
        <v>10</v>
      </c>
      <c r="D56" s="351"/>
      <c r="E56" s="513"/>
      <c r="F56" s="513"/>
      <c r="G56" s="513"/>
      <c r="H56" s="655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57"/>
      <c r="M56" s="420" t="e">
        <f>RANK(K56, K$47:$K$61)</f>
        <v>#VALUE!</v>
      </c>
      <c r="N56" s="641"/>
      <c r="O56" s="641"/>
      <c r="P56" s="562" t="s">
        <v>585</v>
      </c>
      <c r="Q56" s="566" t="s">
        <v>585</v>
      </c>
      <c r="R56" s="566" t="s">
        <v>585</v>
      </c>
      <c r="S56" s="562" t="e">
        <f t="shared" si="41"/>
        <v>#VALUE!</v>
      </c>
      <c r="T56" s="637"/>
      <c r="U56" s="562" t="s">
        <v>585</v>
      </c>
      <c r="V56" s="566" t="s">
        <v>585</v>
      </c>
      <c r="W56" s="566" t="s">
        <v>585</v>
      </c>
      <c r="X56" s="562" t="e">
        <f t="shared" si="43"/>
        <v>#VALUE!</v>
      </c>
      <c r="Y56" s="637"/>
      <c r="Z56" s="562" t="s">
        <v>585</v>
      </c>
      <c r="AA56" s="566" t="s">
        <v>585</v>
      </c>
      <c r="AB56" s="566" t="s">
        <v>585</v>
      </c>
      <c r="AC56" s="562" t="e">
        <f t="shared" si="45"/>
        <v>#VALUE!</v>
      </c>
      <c r="AD56" s="637"/>
      <c r="AE56" s="562" t="s">
        <v>585</v>
      </c>
      <c r="AF56" s="566" t="s">
        <v>585</v>
      </c>
      <c r="AG56" s="566" t="s">
        <v>585</v>
      </c>
      <c r="AH56" s="562" t="e">
        <f t="shared" si="47"/>
        <v>#VALUE!</v>
      </c>
      <c r="AI56" s="637"/>
      <c r="AJ56" s="562" t="s">
        <v>585</v>
      </c>
      <c r="AK56" s="566" t="s">
        <v>585</v>
      </c>
      <c r="AL56" s="566" t="s">
        <v>585</v>
      </c>
      <c r="AM56" s="562" t="e">
        <f t="shared" si="49"/>
        <v>#VALUE!</v>
      </c>
      <c r="AN56" s="637"/>
      <c r="AO56" s="562" t="s">
        <v>585</v>
      </c>
      <c r="AP56" s="566" t="s">
        <v>585</v>
      </c>
      <c r="AQ56" s="566" t="s">
        <v>585</v>
      </c>
      <c r="AR56" s="562" t="e">
        <f t="shared" si="51"/>
        <v>#VALUE!</v>
      </c>
      <c r="AS56" s="637"/>
      <c r="AT56" s="562" t="s">
        <v>585</v>
      </c>
      <c r="AU56" s="566" t="s">
        <v>585</v>
      </c>
      <c r="AV56" s="566" t="s">
        <v>585</v>
      </c>
      <c r="AW56" s="562" t="e">
        <f t="shared" si="53"/>
        <v>#VALUE!</v>
      </c>
      <c r="AX56" s="637"/>
      <c r="AZ56" s="368" t="e">
        <f t="shared" si="55"/>
        <v>#N/A</v>
      </c>
      <c r="BA56" s="637"/>
    </row>
    <row r="57" spans="2:53">
      <c r="B57" s="647"/>
      <c r="C57" s="380">
        <v>11</v>
      </c>
      <c r="D57" s="351"/>
      <c r="E57" s="513"/>
      <c r="F57" s="513"/>
      <c r="G57" s="513"/>
      <c r="H57" s="655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7"/>
      <c r="M57" s="420" t="e">
        <f>RANK(K57, K$47:$K$61)</f>
        <v>#VALUE!</v>
      </c>
      <c r="N57" s="641"/>
      <c r="O57" s="641"/>
      <c r="P57" s="562" t="s">
        <v>585</v>
      </c>
      <c r="Q57" s="566" t="s">
        <v>585</v>
      </c>
      <c r="R57" s="566" t="s">
        <v>585</v>
      </c>
      <c r="S57" s="562" t="e">
        <f t="shared" si="41"/>
        <v>#VALUE!</v>
      </c>
      <c r="T57" s="637"/>
      <c r="U57" s="562" t="s">
        <v>585</v>
      </c>
      <c r="V57" s="566" t="s">
        <v>585</v>
      </c>
      <c r="W57" s="566" t="s">
        <v>585</v>
      </c>
      <c r="X57" s="562" t="e">
        <f t="shared" si="43"/>
        <v>#VALUE!</v>
      </c>
      <c r="Y57" s="637"/>
      <c r="Z57" s="562" t="s">
        <v>585</v>
      </c>
      <c r="AA57" s="566" t="s">
        <v>585</v>
      </c>
      <c r="AB57" s="566" t="s">
        <v>585</v>
      </c>
      <c r="AC57" s="562" t="e">
        <f t="shared" si="45"/>
        <v>#VALUE!</v>
      </c>
      <c r="AD57" s="637"/>
      <c r="AE57" s="562" t="s">
        <v>585</v>
      </c>
      <c r="AF57" s="566" t="s">
        <v>585</v>
      </c>
      <c r="AG57" s="566" t="s">
        <v>585</v>
      </c>
      <c r="AH57" s="562" t="e">
        <f t="shared" si="47"/>
        <v>#VALUE!</v>
      </c>
      <c r="AI57" s="637"/>
      <c r="AJ57" s="562" t="s">
        <v>585</v>
      </c>
      <c r="AK57" s="566" t="s">
        <v>585</v>
      </c>
      <c r="AL57" s="566" t="s">
        <v>585</v>
      </c>
      <c r="AM57" s="562" t="e">
        <f t="shared" si="49"/>
        <v>#VALUE!</v>
      </c>
      <c r="AN57" s="637"/>
      <c r="AO57" s="562" t="s">
        <v>585</v>
      </c>
      <c r="AP57" s="566" t="s">
        <v>585</v>
      </c>
      <c r="AQ57" s="566" t="s">
        <v>585</v>
      </c>
      <c r="AR57" s="562" t="e">
        <f t="shared" si="51"/>
        <v>#VALUE!</v>
      </c>
      <c r="AS57" s="637"/>
      <c r="AT57" s="562" t="s">
        <v>585</v>
      </c>
      <c r="AU57" s="566" t="s">
        <v>585</v>
      </c>
      <c r="AV57" s="566" t="s">
        <v>585</v>
      </c>
      <c r="AW57" s="562" t="e">
        <f t="shared" si="53"/>
        <v>#VALUE!</v>
      </c>
      <c r="AX57" s="637"/>
      <c r="AZ57" s="368" t="e">
        <f t="shared" si="55"/>
        <v>#N/A</v>
      </c>
      <c r="BA57" s="637"/>
    </row>
    <row r="58" spans="2:53">
      <c r="B58" s="647"/>
      <c r="C58" s="380">
        <v>12</v>
      </c>
      <c r="D58" s="351"/>
      <c r="E58" s="513"/>
      <c r="F58" s="513"/>
      <c r="G58" s="513"/>
      <c r="H58" s="655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7"/>
      <c r="M58" s="420" t="e">
        <f>RANK(K58, K$47:$K$61)</f>
        <v>#VALUE!</v>
      </c>
      <c r="N58" s="641"/>
      <c r="O58" s="641"/>
      <c r="P58" s="562" t="s">
        <v>585</v>
      </c>
      <c r="Q58" s="566" t="s">
        <v>585</v>
      </c>
      <c r="R58" s="566" t="s">
        <v>585</v>
      </c>
      <c r="S58" s="562" t="e">
        <f t="shared" si="41"/>
        <v>#VALUE!</v>
      </c>
      <c r="T58" s="637"/>
      <c r="U58" s="562" t="s">
        <v>585</v>
      </c>
      <c r="V58" s="566" t="s">
        <v>585</v>
      </c>
      <c r="W58" s="566" t="s">
        <v>585</v>
      </c>
      <c r="X58" s="562" t="e">
        <f t="shared" si="43"/>
        <v>#VALUE!</v>
      </c>
      <c r="Y58" s="637"/>
      <c r="Z58" s="562" t="s">
        <v>585</v>
      </c>
      <c r="AA58" s="566" t="s">
        <v>585</v>
      </c>
      <c r="AB58" s="566" t="s">
        <v>585</v>
      </c>
      <c r="AC58" s="562" t="e">
        <f t="shared" si="45"/>
        <v>#VALUE!</v>
      </c>
      <c r="AD58" s="637"/>
      <c r="AE58" s="562" t="s">
        <v>585</v>
      </c>
      <c r="AF58" s="566" t="s">
        <v>585</v>
      </c>
      <c r="AG58" s="566" t="s">
        <v>585</v>
      </c>
      <c r="AH58" s="562" t="e">
        <f t="shared" si="47"/>
        <v>#VALUE!</v>
      </c>
      <c r="AI58" s="637"/>
      <c r="AJ58" s="562" t="s">
        <v>585</v>
      </c>
      <c r="AK58" s="566" t="s">
        <v>585</v>
      </c>
      <c r="AL58" s="566" t="s">
        <v>585</v>
      </c>
      <c r="AM58" s="562" t="e">
        <f t="shared" si="49"/>
        <v>#VALUE!</v>
      </c>
      <c r="AN58" s="637"/>
      <c r="AO58" s="562" t="s">
        <v>585</v>
      </c>
      <c r="AP58" s="566" t="s">
        <v>585</v>
      </c>
      <c r="AQ58" s="566" t="s">
        <v>585</v>
      </c>
      <c r="AR58" s="562" t="e">
        <f t="shared" si="51"/>
        <v>#VALUE!</v>
      </c>
      <c r="AS58" s="637"/>
      <c r="AT58" s="562" t="s">
        <v>585</v>
      </c>
      <c r="AU58" s="566" t="s">
        <v>585</v>
      </c>
      <c r="AV58" s="566" t="s">
        <v>585</v>
      </c>
      <c r="AW58" s="562" t="e">
        <f t="shared" si="53"/>
        <v>#VALUE!</v>
      </c>
      <c r="AX58" s="637"/>
      <c r="AZ58" s="368" t="e">
        <f t="shared" si="55"/>
        <v>#N/A</v>
      </c>
      <c r="BA58" s="637"/>
    </row>
    <row r="59" spans="2:53">
      <c r="B59" s="647"/>
      <c r="C59" s="380">
        <v>13</v>
      </c>
      <c r="D59" s="351"/>
      <c r="E59" s="513"/>
      <c r="F59" s="513"/>
      <c r="G59" s="513"/>
      <c r="H59" s="655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7"/>
      <c r="M59" s="420" t="e">
        <f>RANK(K59, K$47:$K$61)</f>
        <v>#VALUE!</v>
      </c>
      <c r="N59" s="641"/>
      <c r="O59" s="641"/>
      <c r="P59" s="562" t="s">
        <v>585</v>
      </c>
      <c r="Q59" s="566" t="s">
        <v>585</v>
      </c>
      <c r="R59" s="566" t="s">
        <v>585</v>
      </c>
      <c r="S59" s="562" t="e">
        <f t="shared" si="41"/>
        <v>#VALUE!</v>
      </c>
      <c r="T59" s="637"/>
      <c r="U59" s="562" t="s">
        <v>585</v>
      </c>
      <c r="V59" s="566" t="s">
        <v>585</v>
      </c>
      <c r="W59" s="566" t="s">
        <v>585</v>
      </c>
      <c r="X59" s="562" t="e">
        <f t="shared" si="43"/>
        <v>#VALUE!</v>
      </c>
      <c r="Y59" s="637"/>
      <c r="Z59" s="562" t="s">
        <v>585</v>
      </c>
      <c r="AA59" s="566" t="s">
        <v>585</v>
      </c>
      <c r="AB59" s="566" t="s">
        <v>585</v>
      </c>
      <c r="AC59" s="562" t="e">
        <f t="shared" si="45"/>
        <v>#VALUE!</v>
      </c>
      <c r="AD59" s="637"/>
      <c r="AE59" s="562" t="s">
        <v>585</v>
      </c>
      <c r="AF59" s="566" t="s">
        <v>585</v>
      </c>
      <c r="AG59" s="566" t="s">
        <v>585</v>
      </c>
      <c r="AH59" s="562" t="e">
        <f t="shared" si="47"/>
        <v>#VALUE!</v>
      </c>
      <c r="AI59" s="637"/>
      <c r="AJ59" s="562" t="s">
        <v>585</v>
      </c>
      <c r="AK59" s="566" t="s">
        <v>585</v>
      </c>
      <c r="AL59" s="566" t="s">
        <v>585</v>
      </c>
      <c r="AM59" s="562" t="e">
        <f t="shared" si="49"/>
        <v>#VALUE!</v>
      </c>
      <c r="AN59" s="637"/>
      <c r="AO59" s="562" t="s">
        <v>585</v>
      </c>
      <c r="AP59" s="566" t="s">
        <v>585</v>
      </c>
      <c r="AQ59" s="566" t="s">
        <v>585</v>
      </c>
      <c r="AR59" s="562" t="e">
        <f t="shared" si="51"/>
        <v>#VALUE!</v>
      </c>
      <c r="AS59" s="637"/>
      <c r="AT59" s="562" t="s">
        <v>585</v>
      </c>
      <c r="AU59" s="566" t="s">
        <v>585</v>
      </c>
      <c r="AV59" s="566" t="s">
        <v>585</v>
      </c>
      <c r="AW59" s="562" t="e">
        <f t="shared" si="53"/>
        <v>#VALUE!</v>
      </c>
      <c r="AX59" s="637"/>
      <c r="AZ59" s="368" t="e">
        <f t="shared" si="55"/>
        <v>#N/A</v>
      </c>
      <c r="BA59" s="637"/>
    </row>
    <row r="60" spans="2:53">
      <c r="B60" s="647"/>
      <c r="C60" s="380">
        <v>14</v>
      </c>
      <c r="D60" s="351"/>
      <c r="E60" s="513"/>
      <c r="F60" s="513"/>
      <c r="G60" s="513"/>
      <c r="H60" s="655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7"/>
      <c r="M60" s="420" t="e">
        <f>RANK(K60, K$47:$K$61)</f>
        <v>#VALUE!</v>
      </c>
      <c r="N60" s="641"/>
      <c r="O60" s="641"/>
      <c r="P60" s="562" t="s">
        <v>585</v>
      </c>
      <c r="Q60" s="566" t="s">
        <v>585</v>
      </c>
      <c r="R60" s="566" t="s">
        <v>585</v>
      </c>
      <c r="S60" s="562" t="e">
        <f t="shared" si="41"/>
        <v>#VALUE!</v>
      </c>
      <c r="T60" s="637"/>
      <c r="U60" s="562" t="s">
        <v>585</v>
      </c>
      <c r="V60" s="566" t="s">
        <v>585</v>
      </c>
      <c r="W60" s="566" t="s">
        <v>585</v>
      </c>
      <c r="X60" s="562" t="e">
        <f t="shared" si="43"/>
        <v>#VALUE!</v>
      </c>
      <c r="Y60" s="637"/>
      <c r="Z60" s="562" t="s">
        <v>585</v>
      </c>
      <c r="AA60" s="566" t="s">
        <v>585</v>
      </c>
      <c r="AB60" s="566" t="s">
        <v>585</v>
      </c>
      <c r="AC60" s="562" t="e">
        <f t="shared" si="45"/>
        <v>#VALUE!</v>
      </c>
      <c r="AD60" s="637"/>
      <c r="AE60" s="562" t="s">
        <v>585</v>
      </c>
      <c r="AF60" s="566" t="s">
        <v>585</v>
      </c>
      <c r="AG60" s="566" t="s">
        <v>585</v>
      </c>
      <c r="AH60" s="562" t="e">
        <f t="shared" si="47"/>
        <v>#VALUE!</v>
      </c>
      <c r="AI60" s="637"/>
      <c r="AJ60" s="562" t="s">
        <v>585</v>
      </c>
      <c r="AK60" s="566" t="s">
        <v>585</v>
      </c>
      <c r="AL60" s="566" t="s">
        <v>585</v>
      </c>
      <c r="AM60" s="562" t="e">
        <f t="shared" si="49"/>
        <v>#VALUE!</v>
      </c>
      <c r="AN60" s="637"/>
      <c r="AO60" s="562" t="s">
        <v>585</v>
      </c>
      <c r="AP60" s="566" t="s">
        <v>585</v>
      </c>
      <c r="AQ60" s="566" t="s">
        <v>585</v>
      </c>
      <c r="AR60" s="562" t="e">
        <f t="shared" si="51"/>
        <v>#VALUE!</v>
      </c>
      <c r="AS60" s="637"/>
      <c r="AT60" s="562" t="s">
        <v>585</v>
      </c>
      <c r="AU60" s="566" t="s">
        <v>585</v>
      </c>
      <c r="AV60" s="566" t="s">
        <v>585</v>
      </c>
      <c r="AW60" s="562" t="e">
        <f t="shared" si="53"/>
        <v>#VALUE!</v>
      </c>
      <c r="AX60" s="637"/>
      <c r="AZ60" s="368" t="e">
        <f t="shared" si="55"/>
        <v>#N/A</v>
      </c>
      <c r="BA60" s="637"/>
    </row>
    <row r="61" spans="2:53">
      <c r="B61" s="647"/>
      <c r="C61" s="380">
        <v>15</v>
      </c>
      <c r="D61" s="351"/>
      <c r="E61" s="513"/>
      <c r="F61" s="513"/>
      <c r="G61" s="513"/>
      <c r="H61" s="712"/>
      <c r="I61" s="385"/>
      <c r="J61" s="385"/>
      <c r="K61" s="382"/>
      <c r="L61" s="658"/>
      <c r="M61" s="420" t="e">
        <f>RANK(K61, K$47:$K$61)</f>
        <v>#N/A</v>
      </c>
      <c r="N61" s="641"/>
      <c r="O61" s="641"/>
      <c r="P61" s="562" t="s">
        <v>585</v>
      </c>
      <c r="Q61" s="566" t="s">
        <v>585</v>
      </c>
      <c r="R61" s="566" t="s">
        <v>585</v>
      </c>
      <c r="S61" s="562" t="e">
        <f t="shared" si="41"/>
        <v>#VALUE!</v>
      </c>
      <c r="T61" s="638"/>
      <c r="U61" s="562" t="s">
        <v>585</v>
      </c>
      <c r="V61" s="566" t="s">
        <v>585</v>
      </c>
      <c r="W61" s="566" t="s">
        <v>585</v>
      </c>
      <c r="X61" s="562" t="e">
        <f t="shared" si="43"/>
        <v>#VALUE!</v>
      </c>
      <c r="Y61" s="638"/>
      <c r="Z61" s="562" t="s">
        <v>585</v>
      </c>
      <c r="AA61" s="566" t="s">
        <v>585</v>
      </c>
      <c r="AB61" s="566" t="s">
        <v>585</v>
      </c>
      <c r="AC61" s="562" t="e">
        <f t="shared" si="45"/>
        <v>#VALUE!</v>
      </c>
      <c r="AD61" s="638"/>
      <c r="AE61" s="562" t="s">
        <v>585</v>
      </c>
      <c r="AF61" s="566" t="s">
        <v>585</v>
      </c>
      <c r="AG61" s="566" t="s">
        <v>585</v>
      </c>
      <c r="AH61" s="562" t="e">
        <f t="shared" si="47"/>
        <v>#VALUE!</v>
      </c>
      <c r="AI61" s="638"/>
      <c r="AJ61" s="562" t="s">
        <v>585</v>
      </c>
      <c r="AK61" s="566" t="s">
        <v>585</v>
      </c>
      <c r="AL61" s="566" t="s">
        <v>585</v>
      </c>
      <c r="AM61" s="562" t="e">
        <f t="shared" si="49"/>
        <v>#VALUE!</v>
      </c>
      <c r="AN61" s="638"/>
      <c r="AO61" s="562" t="s">
        <v>585</v>
      </c>
      <c r="AP61" s="566" t="s">
        <v>585</v>
      </c>
      <c r="AQ61" s="566" t="s">
        <v>585</v>
      </c>
      <c r="AR61" s="562" t="e">
        <f t="shared" si="51"/>
        <v>#VALUE!</v>
      </c>
      <c r="AS61" s="638"/>
      <c r="AT61" s="562" t="s">
        <v>585</v>
      </c>
      <c r="AU61" s="566" t="s">
        <v>585</v>
      </c>
      <c r="AV61" s="566" t="s">
        <v>585</v>
      </c>
      <c r="AW61" s="562" t="e">
        <f t="shared" si="53"/>
        <v>#VALUE!</v>
      </c>
      <c r="AX61" s="638"/>
      <c r="AZ61" s="368" t="e">
        <f t="shared" si="55"/>
        <v>#N/A</v>
      </c>
      <c r="BA61" s="638"/>
    </row>
    <row r="62" spans="2:53" ht="15.75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68">
        <f>P42+7</f>
        <v>46252</v>
      </c>
      <c r="Q62" s="647"/>
      <c r="R62" s="647"/>
      <c r="S62" s="647"/>
      <c r="T62" s="647"/>
      <c r="U62" s="665">
        <f>P62+1</f>
        <v>46253</v>
      </c>
      <c r="V62" s="666"/>
      <c r="W62" s="666"/>
      <c r="X62" s="666"/>
      <c r="Y62" s="667"/>
      <c r="Z62" s="665">
        <f>U62+1</f>
        <v>46254</v>
      </c>
      <c r="AA62" s="666"/>
      <c r="AB62" s="666"/>
      <c r="AC62" s="666"/>
      <c r="AD62" s="667"/>
      <c r="AE62" s="665">
        <f>Z62+1</f>
        <v>46255</v>
      </c>
      <c r="AF62" s="666"/>
      <c r="AG62" s="666"/>
      <c r="AH62" s="666"/>
      <c r="AI62" s="667"/>
      <c r="AJ62" s="665">
        <f>AE62+1</f>
        <v>46256</v>
      </c>
      <c r="AK62" s="666"/>
      <c r="AL62" s="666"/>
      <c r="AM62" s="666"/>
      <c r="AN62" s="667"/>
      <c r="AO62" s="665">
        <f>AJ62+1</f>
        <v>46257</v>
      </c>
      <c r="AP62" s="666"/>
      <c r="AQ62" s="666"/>
      <c r="AR62" s="666"/>
      <c r="AS62" s="667"/>
      <c r="AT62" s="665">
        <f>AO62+1</f>
        <v>46258</v>
      </c>
      <c r="AU62" s="666"/>
      <c r="AV62" s="666"/>
      <c r="AW62" s="666"/>
      <c r="AX62" s="667"/>
    </row>
    <row r="63" spans="2:53" ht="15.75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45"/>
      <c r="O63" s="645"/>
      <c r="P63" s="668" t="s">
        <v>317</v>
      </c>
      <c r="Q63" s="647"/>
      <c r="R63" s="647"/>
      <c r="S63" s="647"/>
      <c r="T63" s="647"/>
      <c r="U63" s="668" t="s">
        <v>318</v>
      </c>
      <c r="V63" s="647"/>
      <c r="W63" s="647"/>
      <c r="X63" s="647"/>
      <c r="Y63" s="647"/>
      <c r="Z63" s="668" t="s">
        <v>319</v>
      </c>
      <c r="AA63" s="647"/>
      <c r="AB63" s="647"/>
      <c r="AC63" s="647"/>
      <c r="AD63" s="647"/>
      <c r="AE63" s="668" t="s">
        <v>320</v>
      </c>
      <c r="AF63" s="647"/>
      <c r="AG63" s="647"/>
      <c r="AH63" s="647"/>
      <c r="AI63" s="647"/>
      <c r="AJ63" s="668" t="s">
        <v>321</v>
      </c>
      <c r="AK63" s="647"/>
      <c r="AL63" s="647"/>
      <c r="AM63" s="647"/>
      <c r="AN63" s="647"/>
      <c r="AO63" s="668" t="s">
        <v>322</v>
      </c>
      <c r="AP63" s="647"/>
      <c r="AQ63" s="647"/>
      <c r="AR63" s="647"/>
      <c r="AS63" s="647"/>
      <c r="AT63" s="668" t="s">
        <v>323</v>
      </c>
      <c r="AU63" s="647"/>
      <c r="AV63" s="647"/>
      <c r="AW63" s="647"/>
      <c r="AX63" s="647"/>
    </row>
    <row r="64" spans="2:53">
      <c r="B64" s="641" t="s">
        <v>369</v>
      </c>
      <c r="C64" s="641" t="s">
        <v>379</v>
      </c>
      <c r="D64" s="641"/>
      <c r="E64" s="641" t="s">
        <v>370</v>
      </c>
      <c r="F64" s="641"/>
      <c r="G64" s="641"/>
      <c r="H64" s="673" t="s">
        <v>366</v>
      </c>
      <c r="I64" s="641" t="s">
        <v>371</v>
      </c>
      <c r="J64" s="641"/>
      <c r="K64" s="641"/>
      <c r="L64" s="673" t="s">
        <v>366</v>
      </c>
      <c r="M64" s="643" t="s">
        <v>367</v>
      </c>
      <c r="N64" s="641"/>
      <c r="O64" s="641" t="s">
        <v>372</v>
      </c>
      <c r="P64" s="659" t="s">
        <v>368</v>
      </c>
      <c r="Q64" s="660"/>
      <c r="R64" s="660"/>
      <c r="S64" s="661"/>
      <c r="T64" s="641" t="s">
        <v>366</v>
      </c>
      <c r="U64" s="659" t="s">
        <v>368</v>
      </c>
      <c r="V64" s="660"/>
      <c r="W64" s="660"/>
      <c r="X64" s="661"/>
      <c r="Y64" s="641" t="s">
        <v>366</v>
      </c>
      <c r="Z64" s="659" t="s">
        <v>368</v>
      </c>
      <c r="AA64" s="660"/>
      <c r="AB64" s="660"/>
      <c r="AC64" s="661"/>
      <c r="AD64" s="641" t="s">
        <v>366</v>
      </c>
      <c r="AE64" s="659" t="s">
        <v>368</v>
      </c>
      <c r="AF64" s="660"/>
      <c r="AG64" s="660"/>
      <c r="AH64" s="661"/>
      <c r="AI64" s="641" t="s">
        <v>366</v>
      </c>
      <c r="AJ64" s="659" t="s">
        <v>368</v>
      </c>
      <c r="AK64" s="660"/>
      <c r="AL64" s="660"/>
      <c r="AM64" s="661"/>
      <c r="AN64" s="641" t="s">
        <v>366</v>
      </c>
      <c r="AO64" s="659" t="s">
        <v>368</v>
      </c>
      <c r="AP64" s="660"/>
      <c r="AQ64" s="660"/>
      <c r="AR64" s="661"/>
      <c r="AS64" s="641" t="s">
        <v>366</v>
      </c>
      <c r="AT64" s="659" t="s">
        <v>368</v>
      </c>
      <c r="AU64" s="660"/>
      <c r="AV64" s="660"/>
      <c r="AW64" s="661"/>
      <c r="AX64" s="641" t="s">
        <v>366</v>
      </c>
      <c r="BA64" s="641" t="s">
        <v>366</v>
      </c>
    </row>
    <row r="65" spans="2:53">
      <c r="B65" s="641"/>
      <c r="C65" s="641"/>
      <c r="D65" s="641"/>
      <c r="E65" s="641" t="s">
        <v>373</v>
      </c>
      <c r="F65" s="641"/>
      <c r="G65" s="641"/>
      <c r="H65" s="674"/>
      <c r="I65" s="641" t="s">
        <v>373</v>
      </c>
      <c r="J65" s="641"/>
      <c r="K65" s="641"/>
      <c r="L65" s="674"/>
      <c r="M65" s="644"/>
      <c r="N65" s="641"/>
      <c r="O65" s="641"/>
      <c r="P65" s="659" t="s">
        <v>374</v>
      </c>
      <c r="Q65" s="660"/>
      <c r="R65" s="660"/>
      <c r="S65" s="661"/>
      <c r="T65" s="641"/>
      <c r="U65" s="659" t="s">
        <v>374</v>
      </c>
      <c r="V65" s="660"/>
      <c r="W65" s="660"/>
      <c r="X65" s="661"/>
      <c r="Y65" s="641"/>
      <c r="Z65" s="659" t="s">
        <v>374</v>
      </c>
      <c r="AA65" s="660"/>
      <c r="AB65" s="660"/>
      <c r="AC65" s="661"/>
      <c r="AD65" s="641"/>
      <c r="AE65" s="659" t="s">
        <v>374</v>
      </c>
      <c r="AF65" s="660"/>
      <c r="AG65" s="660"/>
      <c r="AH65" s="661"/>
      <c r="AI65" s="641"/>
      <c r="AJ65" s="659" t="s">
        <v>374</v>
      </c>
      <c r="AK65" s="660"/>
      <c r="AL65" s="660"/>
      <c r="AM65" s="661"/>
      <c r="AN65" s="641"/>
      <c r="AO65" s="659" t="s">
        <v>374</v>
      </c>
      <c r="AP65" s="660"/>
      <c r="AQ65" s="660"/>
      <c r="AR65" s="661"/>
      <c r="AS65" s="641"/>
      <c r="AT65" s="659" t="s">
        <v>374</v>
      </c>
      <c r="AU65" s="660"/>
      <c r="AV65" s="660"/>
      <c r="AW65" s="661"/>
      <c r="AX65" s="641"/>
      <c r="BA65" s="641"/>
    </row>
    <row r="66" spans="2:53">
      <c r="B66" s="641"/>
      <c r="C66" s="641"/>
      <c r="D66" s="641"/>
      <c r="E66" s="378" t="s">
        <v>375</v>
      </c>
      <c r="F66" s="378" t="s">
        <v>376</v>
      </c>
      <c r="G66" s="378" t="s">
        <v>377</v>
      </c>
      <c r="H66" s="675"/>
      <c r="I66" s="378" t="s">
        <v>375</v>
      </c>
      <c r="J66" s="378" t="s">
        <v>376</v>
      </c>
      <c r="K66" s="378" t="s">
        <v>377</v>
      </c>
      <c r="L66" s="675"/>
      <c r="M66" s="645"/>
      <c r="N66" s="641"/>
      <c r="O66" s="641"/>
      <c r="P66" s="378" t="s">
        <v>375</v>
      </c>
      <c r="Q66" s="378" t="s">
        <v>376</v>
      </c>
      <c r="R66" s="378" t="s">
        <v>377</v>
      </c>
      <c r="S66" s="378" t="s">
        <v>367</v>
      </c>
      <c r="T66" s="641"/>
      <c r="U66" s="378" t="s">
        <v>375</v>
      </c>
      <c r="V66" s="378" t="s">
        <v>376</v>
      </c>
      <c r="W66" s="378" t="s">
        <v>377</v>
      </c>
      <c r="X66" s="378" t="s">
        <v>367</v>
      </c>
      <c r="Y66" s="641"/>
      <c r="Z66" s="378" t="s">
        <v>375</v>
      </c>
      <c r="AA66" s="378" t="s">
        <v>376</v>
      </c>
      <c r="AB66" s="378" t="s">
        <v>377</v>
      </c>
      <c r="AC66" s="378" t="s">
        <v>367</v>
      </c>
      <c r="AD66" s="641"/>
      <c r="AE66" s="378" t="s">
        <v>375</v>
      </c>
      <c r="AF66" s="378" t="s">
        <v>376</v>
      </c>
      <c r="AG66" s="378" t="s">
        <v>377</v>
      </c>
      <c r="AH66" s="378" t="s">
        <v>367</v>
      </c>
      <c r="AI66" s="641"/>
      <c r="AJ66" s="378" t="s">
        <v>375</v>
      </c>
      <c r="AK66" s="378" t="s">
        <v>376</v>
      </c>
      <c r="AL66" s="378" t="s">
        <v>377</v>
      </c>
      <c r="AM66" s="378" t="s">
        <v>367</v>
      </c>
      <c r="AN66" s="641"/>
      <c r="AO66" s="378" t="s">
        <v>375</v>
      </c>
      <c r="AP66" s="378" t="s">
        <v>376</v>
      </c>
      <c r="AQ66" s="378" t="s">
        <v>377</v>
      </c>
      <c r="AR66" s="378" t="s">
        <v>367</v>
      </c>
      <c r="AS66" s="641"/>
      <c r="AT66" s="378" t="s">
        <v>375</v>
      </c>
      <c r="AU66" s="378" t="s">
        <v>376</v>
      </c>
      <c r="AV66" s="378" t="s">
        <v>377</v>
      </c>
      <c r="AW66" s="378" t="s">
        <v>367</v>
      </c>
      <c r="AX66" s="641"/>
      <c r="AZ66" s="367" t="s">
        <v>367</v>
      </c>
      <c r="BA66" s="641"/>
    </row>
    <row r="67" spans="2:53">
      <c r="B67" s="699" t="s">
        <v>378</v>
      </c>
      <c r="C67" s="380">
        <v>1</v>
      </c>
      <c r="D67" s="351" t="s">
        <v>358</v>
      </c>
      <c r="E67" s="513">
        <v>4</v>
      </c>
      <c r="F67" s="513">
        <v>2000</v>
      </c>
      <c r="G67" s="513">
        <v>500</v>
      </c>
      <c r="H67" s="654">
        <f>AVERAGE(G67:G81)</f>
        <v>268.12198172198174</v>
      </c>
      <c r="I67" s="381">
        <f t="shared" ref="I67:I80" si="57">IFERROR(AVERAGE(P67,U67,Z67,AE67,AJ67,AO67,AT67),"-")</f>
        <v>5</v>
      </c>
      <c r="J67" s="381">
        <f t="shared" ref="J67:J80" si="58">IFERROR(AVERAGE(Q67,V67,AA67,AF67,AK67,AP67,AU67),"-")</f>
        <v>2079.5349737274469</v>
      </c>
      <c r="K67" s="199">
        <f t="shared" ref="K67:K80" si="59">IFERROR(AVERAGE(R67,W67,AB67,AG67,AL67,AQ67,AV67),"-")</f>
        <v>415.90699474548944</v>
      </c>
      <c r="L67" s="656">
        <f>IFERROR(AVERAGE(K67:K81),"-")</f>
        <v>232.55157262736651</v>
      </c>
      <c r="M67" s="385">
        <f>RANK(K67, K$67:$K$81)</f>
        <v>1</v>
      </c>
      <c r="N67" s="641"/>
      <c r="O67" s="641"/>
      <c r="P67" s="575">
        <v>5</v>
      </c>
      <c r="Q67" s="577">
        <v>2051.1111111111109</v>
      </c>
      <c r="R67" s="577">
        <v>410.22222222222217</v>
      </c>
      <c r="S67" s="575">
        <f t="shared" ref="S67:S81" si="60">RANK(R67, R$67:R$81)</f>
        <v>1</v>
      </c>
      <c r="T67" s="636">
        <f t="shared" ref="T67" si="61">AVERAGE(R67:R81)</f>
        <v>230.65297527954237</v>
      </c>
      <c r="U67" s="575">
        <v>5</v>
      </c>
      <c r="V67" s="577">
        <v>2088.260869565217</v>
      </c>
      <c r="W67" s="577">
        <v>417.65217391304338</v>
      </c>
      <c r="X67" s="575">
        <f t="shared" ref="X67:X81" si="62">RANK(W67, W$67:W$81)</f>
        <v>1</v>
      </c>
      <c r="Y67" s="636">
        <f t="shared" ref="Y67" si="63">AVERAGE(W67:W81)</f>
        <v>231.96526795832946</v>
      </c>
      <c r="Z67" s="575">
        <v>5</v>
      </c>
      <c r="AA67" s="577">
        <v>2070.6976744186045</v>
      </c>
      <c r="AB67" s="577">
        <v>414.1395348837209</v>
      </c>
      <c r="AC67" s="575">
        <f t="shared" ref="AC67:AC81" si="64">RANK(AB67, AB$67:AB$81)</f>
        <v>2</v>
      </c>
      <c r="AD67" s="636">
        <f t="shared" ref="AD67" si="65">AVERAGE(AB67:AB81)</f>
        <v>232.39549128671175</v>
      </c>
      <c r="AE67" s="575">
        <v>5</v>
      </c>
      <c r="AF67" s="577">
        <v>2107.2727272727275</v>
      </c>
      <c r="AG67" s="577">
        <v>421.4545454545455</v>
      </c>
      <c r="AH67" s="575">
        <f t="shared" ref="AH67:AH81" si="66">RANK(AG67, AG$67:AG$81)</f>
        <v>1</v>
      </c>
      <c r="AI67" s="636">
        <f t="shared" ref="AI67" si="67">AVERAGE(AG67:AG81)</f>
        <v>231.02296525635742</v>
      </c>
      <c r="AJ67" s="575">
        <v>5</v>
      </c>
      <c r="AK67" s="577">
        <v>2028.3333333333339</v>
      </c>
      <c r="AL67" s="577">
        <v>405.6666666666668</v>
      </c>
      <c r="AM67" s="575">
        <f t="shared" ref="AM67:AM81" si="68">RANK(AL67, AL$67:AL$81)</f>
        <v>2</v>
      </c>
      <c r="AN67" s="636">
        <f t="shared" ref="AN67" si="69">AVERAGE(AL67:AL81)</f>
        <v>232.30686490069061</v>
      </c>
      <c r="AO67" s="575">
        <v>5</v>
      </c>
      <c r="AP67" s="577">
        <v>2116.1538461538457</v>
      </c>
      <c r="AQ67" s="577">
        <v>423.23076923076917</v>
      </c>
      <c r="AR67" s="575">
        <f t="shared" ref="AR67:AR81" si="70">RANK(AQ67, AQ$67:AQ$81)</f>
        <v>1</v>
      </c>
      <c r="AS67" s="636">
        <f t="shared" ref="AS67" si="71">AVERAGE(AQ67:AQ81)</f>
        <v>234.11810946109802</v>
      </c>
      <c r="AT67" s="575">
        <v>5</v>
      </c>
      <c r="AU67" s="577">
        <v>2094.9152542372885</v>
      </c>
      <c r="AV67" s="577">
        <v>418.98305084745772</v>
      </c>
      <c r="AW67" s="575">
        <f t="shared" ref="AW67:AW81" si="72">RANK(AV67, AV$67:AV$81)</f>
        <v>1</v>
      </c>
      <c r="AX67" s="636">
        <f t="shared" ref="AX67" si="73">AVERAGE(AV67:AV81)</f>
        <v>235.39933424883591</v>
      </c>
      <c r="AZ67" s="368" t="e">
        <f t="shared" ref="AZ67:AZ81" si="74">RANK(AY67, AY$67:AY$81)</f>
        <v>#N/A</v>
      </c>
      <c r="BA67" s="636" t="e">
        <f t="shared" ref="BA67" si="75">AVERAGE(AY67:AY81)</f>
        <v>#DIV/0!</v>
      </c>
    </row>
    <row r="68" spans="2:53">
      <c r="B68" s="647"/>
      <c r="C68" s="380">
        <v>2</v>
      </c>
      <c r="D68" s="351" t="s">
        <v>428</v>
      </c>
      <c r="E68" s="513">
        <v>4</v>
      </c>
      <c r="F68" s="513">
        <v>2000</v>
      </c>
      <c r="G68" s="513">
        <v>500</v>
      </c>
      <c r="H68" s="655"/>
      <c r="I68" s="381">
        <f t="shared" si="57"/>
        <v>5</v>
      </c>
      <c r="J68" s="381">
        <f t="shared" si="58"/>
        <v>2068.6540405836076</v>
      </c>
      <c r="K68" s="199">
        <f t="shared" si="59"/>
        <v>413.73080811672156</v>
      </c>
      <c r="L68" s="657"/>
      <c r="M68" s="385">
        <f>RANK(K68, K$67:$K$81)</f>
        <v>2</v>
      </c>
      <c r="N68" s="641"/>
      <c r="O68" s="641"/>
      <c r="P68" s="575">
        <v>5</v>
      </c>
      <c r="Q68" s="577">
        <v>2032.5000000000005</v>
      </c>
      <c r="R68" s="577">
        <v>406.50000000000011</v>
      </c>
      <c r="S68" s="575">
        <f t="shared" si="60"/>
        <v>2</v>
      </c>
      <c r="T68" s="637"/>
      <c r="U68" s="575">
        <v>5</v>
      </c>
      <c r="V68" s="577">
        <v>2085.3658536585358</v>
      </c>
      <c r="W68" s="577">
        <v>417.07317073170714</v>
      </c>
      <c r="X68" s="575">
        <f t="shared" si="62"/>
        <v>2</v>
      </c>
      <c r="Y68" s="637"/>
      <c r="Z68" s="575">
        <v>5</v>
      </c>
      <c r="AA68" s="577">
        <v>2091.818181818182</v>
      </c>
      <c r="AB68" s="577">
        <v>418.36363636363637</v>
      </c>
      <c r="AC68" s="575">
        <f t="shared" si="64"/>
        <v>1</v>
      </c>
      <c r="AD68" s="637"/>
      <c r="AE68" s="575">
        <v>5</v>
      </c>
      <c r="AF68" s="577">
        <v>2043.4285714285718</v>
      </c>
      <c r="AG68" s="577">
        <v>408.68571428571437</v>
      </c>
      <c r="AH68" s="575">
        <f t="shared" si="66"/>
        <v>2</v>
      </c>
      <c r="AI68" s="637"/>
      <c r="AJ68" s="575">
        <v>5</v>
      </c>
      <c r="AK68" s="577">
        <v>2072.5714285714289</v>
      </c>
      <c r="AL68" s="577">
        <v>414.51428571428579</v>
      </c>
      <c r="AM68" s="575">
        <f t="shared" si="68"/>
        <v>1</v>
      </c>
      <c r="AN68" s="637"/>
      <c r="AO68" s="575">
        <v>5</v>
      </c>
      <c r="AP68" s="577">
        <v>2086.5306122448983</v>
      </c>
      <c r="AQ68" s="577">
        <v>417.30612244897964</v>
      </c>
      <c r="AR68" s="575">
        <f t="shared" si="70"/>
        <v>2</v>
      </c>
      <c r="AS68" s="637"/>
      <c r="AT68" s="575">
        <v>5</v>
      </c>
      <c r="AU68" s="577">
        <v>2068.363636363636</v>
      </c>
      <c r="AV68" s="577">
        <v>413.67272727272723</v>
      </c>
      <c r="AW68" s="575">
        <f t="shared" si="72"/>
        <v>2</v>
      </c>
      <c r="AX68" s="637"/>
      <c r="AZ68" s="368" t="e">
        <f t="shared" si="74"/>
        <v>#N/A</v>
      </c>
      <c r="BA68" s="637"/>
    </row>
    <row r="69" spans="2:53">
      <c r="B69" s="647"/>
      <c r="C69" s="380">
        <v>3</v>
      </c>
      <c r="D69" s="351" t="s">
        <v>572</v>
      </c>
      <c r="E69" s="513">
        <v>13</v>
      </c>
      <c r="F69" s="513">
        <v>2250</v>
      </c>
      <c r="G69" s="513">
        <v>173.1</v>
      </c>
      <c r="H69" s="655"/>
      <c r="I69" s="381">
        <f t="shared" si="57"/>
        <v>13</v>
      </c>
      <c r="J69" s="381">
        <f t="shared" si="58"/>
        <v>2114.1061558618562</v>
      </c>
      <c r="K69" s="199">
        <f t="shared" si="59"/>
        <v>162.62355045091201</v>
      </c>
      <c r="L69" s="657"/>
      <c r="M69" s="385">
        <f>RANK(K69, K$67:$K$81)</f>
        <v>7</v>
      </c>
      <c r="N69" s="641"/>
      <c r="O69" s="641"/>
      <c r="P69" s="575">
        <v>13</v>
      </c>
      <c r="Q69" s="577">
        <v>2083.0746268656717</v>
      </c>
      <c r="R69" s="577">
        <v>160.23650975889782</v>
      </c>
      <c r="S69" s="575">
        <f t="shared" si="60"/>
        <v>8</v>
      </c>
      <c r="T69" s="637"/>
      <c r="U69" s="575">
        <v>13</v>
      </c>
      <c r="V69" s="577">
        <v>2083.9024390243908</v>
      </c>
      <c r="W69" s="577">
        <v>160.30018761726083</v>
      </c>
      <c r="X69" s="575">
        <f t="shared" si="62"/>
        <v>8</v>
      </c>
      <c r="Y69" s="637"/>
      <c r="Z69" s="575">
        <v>13</v>
      </c>
      <c r="AA69" s="577">
        <v>2055.9036144578317</v>
      </c>
      <c r="AB69" s="577">
        <v>158.14643188137168</v>
      </c>
      <c r="AC69" s="575">
        <f t="shared" si="64"/>
        <v>8</v>
      </c>
      <c r="AD69" s="637"/>
      <c r="AE69" s="575">
        <v>13</v>
      </c>
      <c r="AF69" s="577">
        <v>2115.7894736842113</v>
      </c>
      <c r="AG69" s="577">
        <v>162.75303643724703</v>
      </c>
      <c r="AH69" s="575">
        <f t="shared" si="66"/>
        <v>7</v>
      </c>
      <c r="AI69" s="637"/>
      <c r="AJ69" s="575">
        <v>13</v>
      </c>
      <c r="AK69" s="577">
        <v>2113.5999999999995</v>
      </c>
      <c r="AL69" s="577">
        <v>162.58461538461535</v>
      </c>
      <c r="AM69" s="575">
        <f t="shared" si="68"/>
        <v>7</v>
      </c>
      <c r="AN69" s="637"/>
      <c r="AO69" s="575">
        <v>13</v>
      </c>
      <c r="AP69" s="577">
        <v>2172.3913043478256</v>
      </c>
      <c r="AQ69" s="577">
        <v>167.10702341137119</v>
      </c>
      <c r="AR69" s="575">
        <f t="shared" si="70"/>
        <v>7</v>
      </c>
      <c r="AS69" s="637"/>
      <c r="AT69" s="575">
        <v>13</v>
      </c>
      <c r="AU69" s="577">
        <v>2174.0816326530612</v>
      </c>
      <c r="AV69" s="577">
        <v>167.23704866562008</v>
      </c>
      <c r="AW69" s="575">
        <f t="shared" si="72"/>
        <v>7</v>
      </c>
      <c r="AX69" s="637"/>
      <c r="AZ69" s="368" t="e">
        <f t="shared" si="74"/>
        <v>#N/A</v>
      </c>
      <c r="BA69" s="637"/>
    </row>
    <row r="70" spans="2:53">
      <c r="B70" s="647"/>
      <c r="C70" s="380">
        <v>4</v>
      </c>
      <c r="D70" s="351" t="s">
        <v>360</v>
      </c>
      <c r="E70" s="513">
        <v>13</v>
      </c>
      <c r="F70" s="513">
        <v>2250</v>
      </c>
      <c r="G70" s="513">
        <v>173.1</v>
      </c>
      <c r="H70" s="655"/>
      <c r="I70" s="381">
        <f t="shared" si="57"/>
        <v>13</v>
      </c>
      <c r="J70" s="381">
        <f t="shared" si="58"/>
        <v>2114.0104472082139</v>
      </c>
      <c r="K70" s="199">
        <f t="shared" si="59"/>
        <v>162.6161882467857</v>
      </c>
      <c r="L70" s="657"/>
      <c r="M70" s="385">
        <f>RANK(K70, K$67:$K$81)</f>
        <v>8</v>
      </c>
      <c r="N70" s="641"/>
      <c r="O70" s="641"/>
      <c r="P70" s="575">
        <v>13</v>
      </c>
      <c r="Q70" s="577">
        <v>2099.9999999999995</v>
      </c>
      <c r="R70" s="577">
        <v>161.53846153846149</v>
      </c>
      <c r="S70" s="575">
        <f t="shared" si="60"/>
        <v>7</v>
      </c>
      <c r="T70" s="637"/>
      <c r="U70" s="575">
        <v>13</v>
      </c>
      <c r="V70" s="577">
        <v>2108.5714285714289</v>
      </c>
      <c r="W70" s="577">
        <v>162.19780219780222</v>
      </c>
      <c r="X70" s="575">
        <f t="shared" si="62"/>
        <v>7</v>
      </c>
      <c r="Y70" s="637"/>
      <c r="Z70" s="575">
        <v>13</v>
      </c>
      <c r="AA70" s="577">
        <v>2091.8518518518522</v>
      </c>
      <c r="AB70" s="577">
        <v>160.91168091168095</v>
      </c>
      <c r="AC70" s="575">
        <f t="shared" si="64"/>
        <v>7</v>
      </c>
      <c r="AD70" s="637"/>
      <c r="AE70" s="575">
        <v>13</v>
      </c>
      <c r="AF70" s="577">
        <v>2114.3283582089553</v>
      </c>
      <c r="AG70" s="577">
        <v>162.64064293915041</v>
      </c>
      <c r="AH70" s="575">
        <f t="shared" si="66"/>
        <v>8</v>
      </c>
      <c r="AI70" s="637"/>
      <c r="AJ70" s="575">
        <v>13</v>
      </c>
      <c r="AK70" s="577">
        <v>2090.5263157894733</v>
      </c>
      <c r="AL70" s="577">
        <v>160.80971659919027</v>
      </c>
      <c r="AM70" s="575">
        <f t="shared" si="68"/>
        <v>8</v>
      </c>
      <c r="AN70" s="637"/>
      <c r="AO70" s="575">
        <v>13</v>
      </c>
      <c r="AP70" s="577">
        <v>2139.5876288659792</v>
      </c>
      <c r="AQ70" s="577">
        <v>164.58366375892149</v>
      </c>
      <c r="AR70" s="575">
        <f t="shared" si="70"/>
        <v>8</v>
      </c>
      <c r="AS70" s="637"/>
      <c r="AT70" s="575">
        <v>13</v>
      </c>
      <c r="AU70" s="577">
        <v>2153.2075471698117</v>
      </c>
      <c r="AV70" s="577">
        <v>165.6313497822932</v>
      </c>
      <c r="AW70" s="575">
        <f t="shared" si="72"/>
        <v>8</v>
      </c>
      <c r="AX70" s="637"/>
      <c r="AZ70" s="368" t="e">
        <f t="shared" si="74"/>
        <v>#N/A</v>
      </c>
      <c r="BA70" s="637"/>
    </row>
    <row r="71" spans="2:53">
      <c r="B71" s="647"/>
      <c r="C71" s="380">
        <v>5</v>
      </c>
      <c r="D71" s="351" t="s">
        <v>361</v>
      </c>
      <c r="E71" s="513">
        <v>10</v>
      </c>
      <c r="F71" s="513">
        <v>2769</v>
      </c>
      <c r="G71" s="513">
        <v>276.89999999999998</v>
      </c>
      <c r="H71" s="655"/>
      <c r="I71" s="381">
        <f t="shared" si="57"/>
        <v>10</v>
      </c>
      <c r="J71" s="381">
        <f t="shared" si="58"/>
        <v>2531.6666807384058</v>
      </c>
      <c r="K71" s="199">
        <f t="shared" si="59"/>
        <v>253.16666807384058</v>
      </c>
      <c r="L71" s="657"/>
      <c r="M71" s="385">
        <f>RANK(K71, K$67:$K$81)</f>
        <v>3</v>
      </c>
      <c r="N71" s="641"/>
      <c r="O71" s="641"/>
      <c r="P71" s="575">
        <v>10</v>
      </c>
      <c r="Q71" s="577">
        <v>2519.6721311475403</v>
      </c>
      <c r="R71" s="577">
        <v>251.96721311475403</v>
      </c>
      <c r="S71" s="575">
        <f t="shared" si="60"/>
        <v>3</v>
      </c>
      <c r="T71" s="637"/>
      <c r="U71" s="575">
        <v>10</v>
      </c>
      <c r="V71" s="577">
        <v>2518.9221556886228</v>
      </c>
      <c r="W71" s="577">
        <v>251.89221556886227</v>
      </c>
      <c r="X71" s="575">
        <f t="shared" si="62"/>
        <v>3</v>
      </c>
      <c r="Y71" s="637"/>
      <c r="Z71" s="575">
        <v>10</v>
      </c>
      <c r="AA71" s="577">
        <v>2514.7200000000003</v>
      </c>
      <c r="AB71" s="577">
        <v>251.47200000000004</v>
      </c>
      <c r="AC71" s="575">
        <f t="shared" si="64"/>
        <v>3</v>
      </c>
      <c r="AD71" s="637"/>
      <c r="AE71" s="575">
        <v>10</v>
      </c>
      <c r="AF71" s="577">
        <v>2520.521739130435</v>
      </c>
      <c r="AG71" s="577">
        <v>252.0521739130435</v>
      </c>
      <c r="AH71" s="575">
        <f t="shared" si="66"/>
        <v>3</v>
      </c>
      <c r="AI71" s="637"/>
      <c r="AJ71" s="575">
        <v>10</v>
      </c>
      <c r="AK71" s="577">
        <v>2517.5172413793107</v>
      </c>
      <c r="AL71" s="577">
        <v>251.75172413793106</v>
      </c>
      <c r="AM71" s="575">
        <f t="shared" si="68"/>
        <v>4</v>
      </c>
      <c r="AN71" s="637"/>
      <c r="AO71" s="575">
        <v>10</v>
      </c>
      <c r="AP71" s="577">
        <v>2572.6153846153861</v>
      </c>
      <c r="AQ71" s="577">
        <v>257.26153846153863</v>
      </c>
      <c r="AR71" s="575">
        <f t="shared" si="70"/>
        <v>3</v>
      </c>
      <c r="AS71" s="637"/>
      <c r="AT71" s="575">
        <v>10</v>
      </c>
      <c r="AU71" s="577">
        <v>2557.6981132075462</v>
      </c>
      <c r="AV71" s="577">
        <v>255.76981132075463</v>
      </c>
      <c r="AW71" s="575">
        <f t="shared" si="72"/>
        <v>3</v>
      </c>
      <c r="AX71" s="637"/>
      <c r="AZ71" s="368" t="e">
        <f t="shared" si="74"/>
        <v>#N/A</v>
      </c>
      <c r="BA71" s="637"/>
    </row>
    <row r="72" spans="2:53">
      <c r="B72" s="647"/>
      <c r="C72" s="380">
        <v>6</v>
      </c>
      <c r="D72" s="351" t="s">
        <v>693</v>
      </c>
      <c r="E72" s="513">
        <v>11</v>
      </c>
      <c r="F72" s="513">
        <v>2250</v>
      </c>
      <c r="G72" s="513">
        <v>204.5</v>
      </c>
      <c r="H72" s="655"/>
      <c r="I72" s="381">
        <f t="shared" si="57"/>
        <v>11</v>
      </c>
      <c r="J72" s="381">
        <f t="shared" si="58"/>
        <v>2068.7030834879752</v>
      </c>
      <c r="K72" s="199">
        <f t="shared" si="59"/>
        <v>188.06391668072501</v>
      </c>
      <c r="L72" s="657"/>
      <c r="M72" s="385">
        <f>RANK(K72, K$67:$K$81)</f>
        <v>6</v>
      </c>
      <c r="N72" s="641"/>
      <c r="O72" s="641"/>
      <c r="P72" s="575">
        <v>11</v>
      </c>
      <c r="Q72" s="577">
        <v>2060.4230769230767</v>
      </c>
      <c r="R72" s="577">
        <v>187.3111888111888</v>
      </c>
      <c r="S72" s="575">
        <f t="shared" si="60"/>
        <v>6</v>
      </c>
      <c r="T72" s="637"/>
      <c r="U72" s="575">
        <v>11</v>
      </c>
      <c r="V72" s="577">
        <v>2046.2242990654208</v>
      </c>
      <c r="W72" s="577">
        <v>186.02039082412918</v>
      </c>
      <c r="X72" s="575">
        <f t="shared" si="62"/>
        <v>6</v>
      </c>
      <c r="Y72" s="637"/>
      <c r="Z72" s="575">
        <v>11</v>
      </c>
      <c r="AA72" s="577">
        <v>2065.4374999999995</v>
      </c>
      <c r="AB72" s="577">
        <v>187.76704545454541</v>
      </c>
      <c r="AC72" s="575">
        <f t="shared" si="64"/>
        <v>6</v>
      </c>
      <c r="AD72" s="637"/>
      <c r="AE72" s="575">
        <v>11</v>
      </c>
      <c r="AF72" s="577">
        <v>2095.5140186915887</v>
      </c>
      <c r="AG72" s="577">
        <v>190.50127442650808</v>
      </c>
      <c r="AH72" s="575">
        <f t="shared" si="66"/>
        <v>6</v>
      </c>
      <c r="AI72" s="637"/>
      <c r="AJ72" s="575">
        <v>11</v>
      </c>
      <c r="AK72" s="577">
        <v>2072.3437499999995</v>
      </c>
      <c r="AL72" s="577">
        <v>188.39488636363632</v>
      </c>
      <c r="AM72" s="575">
        <f t="shared" si="68"/>
        <v>6</v>
      </c>
      <c r="AN72" s="637"/>
      <c r="AO72" s="575">
        <v>11</v>
      </c>
      <c r="AP72" s="577">
        <v>2045.6948275862067</v>
      </c>
      <c r="AQ72" s="577">
        <v>185.97225705329151</v>
      </c>
      <c r="AR72" s="575">
        <f t="shared" si="70"/>
        <v>6</v>
      </c>
      <c r="AS72" s="637"/>
      <c r="AT72" s="575">
        <v>11</v>
      </c>
      <c r="AU72" s="577">
        <v>2095.2841121495326</v>
      </c>
      <c r="AV72" s="577">
        <v>190.48037383177569</v>
      </c>
      <c r="AW72" s="575">
        <f t="shared" si="72"/>
        <v>6</v>
      </c>
      <c r="AX72" s="637"/>
      <c r="AZ72" s="368" t="e">
        <f t="shared" si="74"/>
        <v>#N/A</v>
      </c>
      <c r="BA72" s="637"/>
    </row>
    <row r="73" spans="2:53">
      <c r="B73" s="647"/>
      <c r="C73" s="380">
        <v>7</v>
      </c>
      <c r="D73" s="351" t="s">
        <v>357</v>
      </c>
      <c r="E73" s="513">
        <v>18</v>
      </c>
      <c r="F73" s="513">
        <v>1200</v>
      </c>
      <c r="G73" s="513">
        <v>66.666666666666671</v>
      </c>
      <c r="H73" s="655"/>
      <c r="I73" s="381">
        <f t="shared" si="57"/>
        <v>18</v>
      </c>
      <c r="J73" s="381">
        <f t="shared" si="58"/>
        <v>1113.9767758718074</v>
      </c>
      <c r="K73" s="199">
        <f t="shared" si="59"/>
        <v>61.88759865954485</v>
      </c>
      <c r="L73" s="657"/>
      <c r="M73" s="385">
        <f>RANK(K73, K$67:$K$81)</f>
        <v>9</v>
      </c>
      <c r="N73" s="641"/>
      <c r="O73" s="641"/>
      <c r="P73" s="575">
        <v>18</v>
      </c>
      <c r="Q73" s="577">
        <v>1118.4466019417482</v>
      </c>
      <c r="R73" s="577">
        <v>62.135922330097124</v>
      </c>
      <c r="S73" s="575">
        <f t="shared" si="60"/>
        <v>9</v>
      </c>
      <c r="T73" s="637"/>
      <c r="U73" s="575">
        <v>18</v>
      </c>
      <c r="V73" s="577">
        <v>1113.1034482758619</v>
      </c>
      <c r="W73" s="577">
        <v>61.839080459770102</v>
      </c>
      <c r="X73" s="575">
        <f t="shared" si="62"/>
        <v>9</v>
      </c>
      <c r="Y73" s="637"/>
      <c r="Z73" s="575">
        <v>18</v>
      </c>
      <c r="AA73" s="577">
        <v>1115.2173913043478</v>
      </c>
      <c r="AB73" s="577">
        <v>61.95652173913043</v>
      </c>
      <c r="AC73" s="575">
        <f t="shared" si="64"/>
        <v>9</v>
      </c>
      <c r="AD73" s="637"/>
      <c r="AE73" s="575">
        <v>18</v>
      </c>
      <c r="AF73" s="577">
        <v>1121.9047619047631</v>
      </c>
      <c r="AG73" s="577">
        <v>62.328042328042393</v>
      </c>
      <c r="AH73" s="575">
        <f t="shared" si="66"/>
        <v>9</v>
      </c>
      <c r="AI73" s="637"/>
      <c r="AJ73" s="575">
        <v>18</v>
      </c>
      <c r="AK73" s="577">
        <v>1110.3999999999992</v>
      </c>
      <c r="AL73" s="577">
        <v>61.68888888888884</v>
      </c>
      <c r="AM73" s="575">
        <f t="shared" si="68"/>
        <v>9</v>
      </c>
      <c r="AN73" s="637"/>
      <c r="AO73" s="575">
        <v>18</v>
      </c>
      <c r="AP73" s="577">
        <v>1120.4494382022472</v>
      </c>
      <c r="AQ73" s="577">
        <v>62.247191011235955</v>
      </c>
      <c r="AR73" s="575">
        <f t="shared" si="70"/>
        <v>9</v>
      </c>
      <c r="AS73" s="637"/>
      <c r="AT73" s="575">
        <v>18</v>
      </c>
      <c r="AU73" s="577">
        <v>1098.3157894736844</v>
      </c>
      <c r="AV73" s="577">
        <v>61.01754385964913</v>
      </c>
      <c r="AW73" s="575">
        <f t="shared" si="72"/>
        <v>9</v>
      </c>
      <c r="AX73" s="637"/>
      <c r="AZ73" s="368" t="e">
        <f t="shared" si="74"/>
        <v>#N/A</v>
      </c>
      <c r="BA73" s="637"/>
    </row>
    <row r="74" spans="2:53">
      <c r="B74" s="647"/>
      <c r="C74" s="380">
        <v>8</v>
      </c>
      <c r="D74" s="351" t="s">
        <v>707</v>
      </c>
      <c r="E74" s="513">
        <v>7</v>
      </c>
      <c r="F74" s="513">
        <v>2200</v>
      </c>
      <c r="G74" s="513">
        <v>314.28571428571428</v>
      </c>
      <c r="H74" s="655"/>
      <c r="I74" s="381">
        <f t="shared" si="57"/>
        <v>7</v>
      </c>
      <c r="J74" s="381">
        <f t="shared" si="58"/>
        <v>1694.1700680272122</v>
      </c>
      <c r="K74" s="199">
        <f t="shared" si="59"/>
        <v>242.02429543245884</v>
      </c>
      <c r="L74" s="657"/>
      <c r="M74" s="385">
        <f>RANK(K74, K$67:$K$81)</f>
        <v>4</v>
      </c>
      <c r="N74" s="641"/>
      <c r="O74" s="641"/>
      <c r="P74" s="575">
        <v>7</v>
      </c>
      <c r="Q74" s="577">
        <v>1709.9999999999993</v>
      </c>
      <c r="R74" s="577">
        <v>244.28571428571419</v>
      </c>
      <c r="S74" s="575">
        <f t="shared" si="60"/>
        <v>4</v>
      </c>
      <c r="T74" s="637"/>
      <c r="U74" s="575">
        <v>7</v>
      </c>
      <c r="V74" s="577">
        <v>1673.9999999999995</v>
      </c>
      <c r="W74" s="577">
        <v>239.14285714285708</v>
      </c>
      <c r="X74" s="575">
        <f t="shared" si="62"/>
        <v>4</v>
      </c>
      <c r="Y74" s="637"/>
      <c r="Z74" s="575">
        <v>7</v>
      </c>
      <c r="AA74" s="577">
        <v>1733.3333333333319</v>
      </c>
      <c r="AB74" s="577">
        <v>247.61904761904742</v>
      </c>
      <c r="AC74" s="575">
        <f t="shared" si="64"/>
        <v>4</v>
      </c>
      <c r="AD74" s="637"/>
      <c r="AE74" s="575">
        <v>7</v>
      </c>
      <c r="AF74" s="577">
        <v>1584.0000000000057</v>
      </c>
      <c r="AG74" s="577">
        <v>226.2857142857151</v>
      </c>
      <c r="AH74" s="575">
        <f t="shared" si="66"/>
        <v>4</v>
      </c>
      <c r="AI74" s="637"/>
      <c r="AJ74" s="575">
        <v>7</v>
      </c>
      <c r="AK74" s="577">
        <v>1770.0000000000064</v>
      </c>
      <c r="AL74" s="577">
        <v>252.85714285714377</v>
      </c>
      <c r="AM74" s="575">
        <f t="shared" si="68"/>
        <v>3</v>
      </c>
      <c r="AN74" s="637"/>
      <c r="AO74" s="575">
        <v>7</v>
      </c>
      <c r="AP74" s="577">
        <v>1634.999999999998</v>
      </c>
      <c r="AQ74" s="577">
        <v>233.57142857142827</v>
      </c>
      <c r="AR74" s="575">
        <f t="shared" si="70"/>
        <v>4</v>
      </c>
      <c r="AS74" s="637"/>
      <c r="AT74" s="575">
        <v>7</v>
      </c>
      <c r="AU74" s="577">
        <v>1752.8571428571443</v>
      </c>
      <c r="AV74" s="577">
        <v>250.40816326530631</v>
      </c>
      <c r="AW74" s="575">
        <f t="shared" si="72"/>
        <v>4</v>
      </c>
      <c r="AX74" s="637"/>
      <c r="AZ74" s="368" t="e">
        <f t="shared" si="74"/>
        <v>#N/A</v>
      </c>
      <c r="BA74" s="637"/>
    </row>
    <row r="75" spans="2:53">
      <c r="B75" s="647"/>
      <c r="C75" s="380">
        <v>9</v>
      </c>
      <c r="D75" s="351" t="s">
        <v>785</v>
      </c>
      <c r="E75" s="513">
        <v>11</v>
      </c>
      <c r="F75" s="513">
        <v>2250</v>
      </c>
      <c r="G75" s="513">
        <v>204.54545454545453</v>
      </c>
      <c r="H75" s="655"/>
      <c r="I75" s="381">
        <f t="shared" si="57"/>
        <v>11</v>
      </c>
      <c r="J75" s="381">
        <f t="shared" si="58"/>
        <v>2122.3854656380272</v>
      </c>
      <c r="K75" s="199">
        <f t="shared" si="59"/>
        <v>192.9441332398207</v>
      </c>
      <c r="L75" s="657"/>
      <c r="M75" s="385">
        <f>RANK(K75, K$67:$K$81)</f>
        <v>5</v>
      </c>
      <c r="N75" s="641"/>
      <c r="O75" s="641"/>
      <c r="P75" s="575">
        <v>11</v>
      </c>
      <c r="Q75" s="577">
        <v>2108.4749999999999</v>
      </c>
      <c r="R75" s="577">
        <v>191.67954545454543</v>
      </c>
      <c r="S75" s="575">
        <f t="shared" si="60"/>
        <v>5</v>
      </c>
      <c r="T75" s="637"/>
      <c r="U75" s="575">
        <v>11</v>
      </c>
      <c r="V75" s="577">
        <v>2107.2648648648646</v>
      </c>
      <c r="W75" s="577">
        <v>191.56953316953314</v>
      </c>
      <c r="X75" s="575">
        <f t="shared" si="62"/>
        <v>5</v>
      </c>
      <c r="Y75" s="637"/>
      <c r="Z75" s="575">
        <v>11</v>
      </c>
      <c r="AA75" s="577">
        <v>2103.0187499999993</v>
      </c>
      <c r="AB75" s="577">
        <v>191.18352272727267</v>
      </c>
      <c r="AC75" s="575">
        <f t="shared" si="64"/>
        <v>5</v>
      </c>
      <c r="AD75" s="637"/>
      <c r="AE75" s="575">
        <v>11</v>
      </c>
      <c r="AF75" s="577">
        <v>2117.5609756097556</v>
      </c>
      <c r="AG75" s="577">
        <v>192.50554323725052</v>
      </c>
      <c r="AH75" s="575">
        <f t="shared" si="66"/>
        <v>5</v>
      </c>
      <c r="AI75" s="637"/>
      <c r="AJ75" s="575">
        <v>11</v>
      </c>
      <c r="AK75" s="577">
        <v>2117.4324324324321</v>
      </c>
      <c r="AL75" s="577">
        <v>192.49385749385746</v>
      </c>
      <c r="AM75" s="575">
        <f t="shared" si="68"/>
        <v>5</v>
      </c>
      <c r="AN75" s="637"/>
      <c r="AO75" s="575">
        <v>11</v>
      </c>
      <c r="AP75" s="577">
        <v>2153.6129032258073</v>
      </c>
      <c r="AQ75" s="577">
        <v>195.78299120234612</v>
      </c>
      <c r="AR75" s="575">
        <f t="shared" si="70"/>
        <v>5</v>
      </c>
      <c r="AS75" s="637"/>
      <c r="AT75" s="575">
        <v>11</v>
      </c>
      <c r="AU75" s="577">
        <v>2149.3333333333326</v>
      </c>
      <c r="AV75" s="577">
        <v>195.39393939393932</v>
      </c>
      <c r="AW75" s="575">
        <f t="shared" si="72"/>
        <v>5</v>
      </c>
      <c r="AX75" s="637"/>
      <c r="AZ75" s="368" t="e">
        <f t="shared" si="74"/>
        <v>#N/A</v>
      </c>
      <c r="BA75" s="637"/>
    </row>
    <row r="76" spans="2:53">
      <c r="B76" s="647"/>
      <c r="C76" s="380">
        <v>10</v>
      </c>
      <c r="D76" s="351"/>
      <c r="E76" s="513"/>
      <c r="F76" s="513"/>
      <c r="G76" s="513"/>
      <c r="H76" s="655"/>
      <c r="I76" s="381" t="str">
        <f t="shared" si="57"/>
        <v>-</v>
      </c>
      <c r="J76" s="381" t="str">
        <f t="shared" si="58"/>
        <v>-</v>
      </c>
      <c r="K76" s="199" t="str">
        <f t="shared" si="59"/>
        <v>-</v>
      </c>
      <c r="L76" s="657"/>
      <c r="M76" s="385" t="e">
        <f>RANK(K76, K$67:$K$81)</f>
        <v>#VALUE!</v>
      </c>
      <c r="N76" s="641"/>
      <c r="O76" s="641"/>
      <c r="P76" s="575" t="s">
        <v>585</v>
      </c>
      <c r="Q76" s="577" t="s">
        <v>585</v>
      </c>
      <c r="R76" s="577" t="s">
        <v>585</v>
      </c>
      <c r="S76" s="575" t="e">
        <f t="shared" si="60"/>
        <v>#VALUE!</v>
      </c>
      <c r="T76" s="637"/>
      <c r="U76" s="575" t="s">
        <v>585</v>
      </c>
      <c r="V76" s="577" t="s">
        <v>585</v>
      </c>
      <c r="W76" s="577" t="s">
        <v>585</v>
      </c>
      <c r="X76" s="575" t="e">
        <f t="shared" si="62"/>
        <v>#VALUE!</v>
      </c>
      <c r="Y76" s="637"/>
      <c r="Z76" s="575" t="s">
        <v>585</v>
      </c>
      <c r="AA76" s="577" t="s">
        <v>585</v>
      </c>
      <c r="AB76" s="577" t="s">
        <v>585</v>
      </c>
      <c r="AC76" s="575" t="e">
        <f t="shared" si="64"/>
        <v>#VALUE!</v>
      </c>
      <c r="AD76" s="637"/>
      <c r="AE76" s="575" t="s">
        <v>585</v>
      </c>
      <c r="AF76" s="577" t="s">
        <v>585</v>
      </c>
      <c r="AG76" s="577" t="s">
        <v>585</v>
      </c>
      <c r="AH76" s="575" t="e">
        <f t="shared" si="66"/>
        <v>#VALUE!</v>
      </c>
      <c r="AI76" s="637"/>
      <c r="AJ76" s="575" t="s">
        <v>585</v>
      </c>
      <c r="AK76" s="577" t="s">
        <v>585</v>
      </c>
      <c r="AL76" s="577" t="s">
        <v>585</v>
      </c>
      <c r="AM76" s="575" t="e">
        <f t="shared" si="68"/>
        <v>#VALUE!</v>
      </c>
      <c r="AN76" s="637"/>
      <c r="AO76" s="575" t="s">
        <v>585</v>
      </c>
      <c r="AP76" s="577" t="s">
        <v>585</v>
      </c>
      <c r="AQ76" s="577" t="s">
        <v>585</v>
      </c>
      <c r="AR76" s="575" t="e">
        <f t="shared" si="70"/>
        <v>#VALUE!</v>
      </c>
      <c r="AS76" s="637"/>
      <c r="AT76" s="575" t="s">
        <v>585</v>
      </c>
      <c r="AU76" s="577" t="s">
        <v>585</v>
      </c>
      <c r="AV76" s="577" t="s">
        <v>585</v>
      </c>
      <c r="AW76" s="575" t="e">
        <f t="shared" si="72"/>
        <v>#VALUE!</v>
      </c>
      <c r="AX76" s="637"/>
      <c r="AZ76" s="368" t="e">
        <f t="shared" si="74"/>
        <v>#N/A</v>
      </c>
      <c r="BA76" s="637"/>
    </row>
    <row r="77" spans="2:53">
      <c r="B77" s="647"/>
      <c r="C77" s="380">
        <v>11</v>
      </c>
      <c r="D77" s="351"/>
      <c r="E77" s="513"/>
      <c r="F77" s="513"/>
      <c r="G77" s="513"/>
      <c r="H77" s="655"/>
      <c r="I77" s="381" t="str">
        <f t="shared" si="57"/>
        <v>-</v>
      </c>
      <c r="J77" s="381" t="str">
        <f t="shared" si="58"/>
        <v>-</v>
      </c>
      <c r="K77" s="199" t="str">
        <f t="shared" si="59"/>
        <v>-</v>
      </c>
      <c r="L77" s="657"/>
      <c r="M77" s="385" t="e">
        <f>RANK(K77, K$67:$K$81)</f>
        <v>#VALUE!</v>
      </c>
      <c r="N77" s="641"/>
      <c r="O77" s="641"/>
      <c r="P77" s="575" t="s">
        <v>585</v>
      </c>
      <c r="Q77" s="577" t="s">
        <v>585</v>
      </c>
      <c r="R77" s="577" t="s">
        <v>585</v>
      </c>
      <c r="S77" s="575" t="e">
        <f t="shared" si="60"/>
        <v>#VALUE!</v>
      </c>
      <c r="T77" s="637"/>
      <c r="U77" s="575" t="s">
        <v>585</v>
      </c>
      <c r="V77" s="577" t="s">
        <v>585</v>
      </c>
      <c r="W77" s="577" t="s">
        <v>585</v>
      </c>
      <c r="X77" s="575" t="e">
        <f t="shared" si="62"/>
        <v>#VALUE!</v>
      </c>
      <c r="Y77" s="637"/>
      <c r="Z77" s="575" t="s">
        <v>585</v>
      </c>
      <c r="AA77" s="577" t="s">
        <v>585</v>
      </c>
      <c r="AB77" s="577" t="s">
        <v>585</v>
      </c>
      <c r="AC77" s="575" t="e">
        <f t="shared" si="64"/>
        <v>#VALUE!</v>
      </c>
      <c r="AD77" s="637"/>
      <c r="AE77" s="575" t="s">
        <v>585</v>
      </c>
      <c r="AF77" s="577" t="s">
        <v>585</v>
      </c>
      <c r="AG77" s="577" t="s">
        <v>585</v>
      </c>
      <c r="AH77" s="575" t="e">
        <f t="shared" si="66"/>
        <v>#VALUE!</v>
      </c>
      <c r="AI77" s="637"/>
      <c r="AJ77" s="575" t="s">
        <v>585</v>
      </c>
      <c r="AK77" s="577" t="s">
        <v>585</v>
      </c>
      <c r="AL77" s="577" t="s">
        <v>585</v>
      </c>
      <c r="AM77" s="575" t="e">
        <f t="shared" si="68"/>
        <v>#VALUE!</v>
      </c>
      <c r="AN77" s="637"/>
      <c r="AO77" s="575" t="s">
        <v>585</v>
      </c>
      <c r="AP77" s="577" t="s">
        <v>585</v>
      </c>
      <c r="AQ77" s="577" t="s">
        <v>585</v>
      </c>
      <c r="AR77" s="575" t="e">
        <f t="shared" si="70"/>
        <v>#VALUE!</v>
      </c>
      <c r="AS77" s="637"/>
      <c r="AT77" s="575" t="s">
        <v>585</v>
      </c>
      <c r="AU77" s="577" t="s">
        <v>585</v>
      </c>
      <c r="AV77" s="577" t="s">
        <v>585</v>
      </c>
      <c r="AW77" s="575" t="e">
        <f t="shared" si="72"/>
        <v>#VALUE!</v>
      </c>
      <c r="AX77" s="637"/>
      <c r="AZ77" s="368" t="e">
        <f t="shared" si="74"/>
        <v>#N/A</v>
      </c>
      <c r="BA77" s="637"/>
    </row>
    <row r="78" spans="2:53">
      <c r="B78" s="647"/>
      <c r="C78" s="380">
        <v>12</v>
      </c>
      <c r="D78" s="351"/>
      <c r="E78" s="513"/>
      <c r="F78" s="513"/>
      <c r="G78" s="513"/>
      <c r="H78" s="655"/>
      <c r="I78" s="381" t="str">
        <f t="shared" si="57"/>
        <v>-</v>
      </c>
      <c r="J78" s="381" t="str">
        <f t="shared" si="58"/>
        <v>-</v>
      </c>
      <c r="K78" s="199" t="str">
        <f t="shared" si="59"/>
        <v>-</v>
      </c>
      <c r="L78" s="657"/>
      <c r="M78" s="385" t="e">
        <f>RANK(K78, K$67:$K$81)</f>
        <v>#VALUE!</v>
      </c>
      <c r="N78" s="641"/>
      <c r="O78" s="641"/>
      <c r="P78" s="575" t="s">
        <v>585</v>
      </c>
      <c r="Q78" s="577" t="s">
        <v>585</v>
      </c>
      <c r="R78" s="577" t="s">
        <v>585</v>
      </c>
      <c r="S78" s="575" t="e">
        <f t="shared" si="60"/>
        <v>#VALUE!</v>
      </c>
      <c r="T78" s="637"/>
      <c r="U78" s="575" t="s">
        <v>585</v>
      </c>
      <c r="V78" s="577" t="s">
        <v>585</v>
      </c>
      <c r="W78" s="577" t="s">
        <v>585</v>
      </c>
      <c r="X78" s="575" t="e">
        <f t="shared" si="62"/>
        <v>#VALUE!</v>
      </c>
      <c r="Y78" s="637"/>
      <c r="Z78" s="575" t="s">
        <v>585</v>
      </c>
      <c r="AA78" s="577" t="s">
        <v>585</v>
      </c>
      <c r="AB78" s="577" t="s">
        <v>585</v>
      </c>
      <c r="AC78" s="575" t="e">
        <f t="shared" si="64"/>
        <v>#VALUE!</v>
      </c>
      <c r="AD78" s="637"/>
      <c r="AE78" s="575" t="s">
        <v>585</v>
      </c>
      <c r="AF78" s="577" t="s">
        <v>585</v>
      </c>
      <c r="AG78" s="577" t="s">
        <v>585</v>
      </c>
      <c r="AH78" s="575" t="e">
        <f t="shared" si="66"/>
        <v>#VALUE!</v>
      </c>
      <c r="AI78" s="637"/>
      <c r="AJ78" s="575" t="s">
        <v>585</v>
      </c>
      <c r="AK78" s="577" t="s">
        <v>585</v>
      </c>
      <c r="AL78" s="577" t="s">
        <v>585</v>
      </c>
      <c r="AM78" s="575" t="e">
        <f t="shared" si="68"/>
        <v>#VALUE!</v>
      </c>
      <c r="AN78" s="637"/>
      <c r="AO78" s="575" t="s">
        <v>585</v>
      </c>
      <c r="AP78" s="577" t="s">
        <v>585</v>
      </c>
      <c r="AQ78" s="577" t="s">
        <v>585</v>
      </c>
      <c r="AR78" s="575" t="e">
        <f t="shared" si="70"/>
        <v>#VALUE!</v>
      </c>
      <c r="AS78" s="637"/>
      <c r="AT78" s="575" t="s">
        <v>585</v>
      </c>
      <c r="AU78" s="577" t="s">
        <v>585</v>
      </c>
      <c r="AV78" s="577" t="s">
        <v>585</v>
      </c>
      <c r="AW78" s="575" t="e">
        <f t="shared" si="72"/>
        <v>#VALUE!</v>
      </c>
      <c r="AX78" s="637"/>
      <c r="AZ78" s="368" t="e">
        <f t="shared" si="74"/>
        <v>#N/A</v>
      </c>
      <c r="BA78" s="637"/>
    </row>
    <row r="79" spans="2:53">
      <c r="B79" s="647"/>
      <c r="C79" s="380">
        <v>13</v>
      </c>
      <c r="D79" s="351"/>
      <c r="E79" s="513"/>
      <c r="F79" s="513"/>
      <c r="G79" s="513"/>
      <c r="H79" s="655"/>
      <c r="I79" s="381" t="str">
        <f t="shared" si="57"/>
        <v>-</v>
      </c>
      <c r="J79" s="381" t="str">
        <f t="shared" si="58"/>
        <v>-</v>
      </c>
      <c r="K79" s="199" t="str">
        <f t="shared" si="59"/>
        <v>-</v>
      </c>
      <c r="L79" s="657"/>
      <c r="M79" s="385" t="e">
        <f>RANK(K79, K$67:$K$81)</f>
        <v>#VALUE!</v>
      </c>
      <c r="N79" s="641"/>
      <c r="O79" s="641"/>
      <c r="P79" s="575" t="s">
        <v>585</v>
      </c>
      <c r="Q79" s="577" t="s">
        <v>585</v>
      </c>
      <c r="R79" s="577" t="s">
        <v>585</v>
      </c>
      <c r="S79" s="575" t="e">
        <f t="shared" si="60"/>
        <v>#VALUE!</v>
      </c>
      <c r="T79" s="637"/>
      <c r="U79" s="575" t="s">
        <v>585</v>
      </c>
      <c r="V79" s="577" t="s">
        <v>585</v>
      </c>
      <c r="W79" s="577" t="s">
        <v>585</v>
      </c>
      <c r="X79" s="575" t="e">
        <f t="shared" si="62"/>
        <v>#VALUE!</v>
      </c>
      <c r="Y79" s="637"/>
      <c r="Z79" s="575" t="s">
        <v>585</v>
      </c>
      <c r="AA79" s="577" t="s">
        <v>585</v>
      </c>
      <c r="AB79" s="577" t="s">
        <v>585</v>
      </c>
      <c r="AC79" s="575" t="e">
        <f t="shared" si="64"/>
        <v>#VALUE!</v>
      </c>
      <c r="AD79" s="637"/>
      <c r="AE79" s="575" t="s">
        <v>585</v>
      </c>
      <c r="AF79" s="577" t="s">
        <v>585</v>
      </c>
      <c r="AG79" s="577" t="s">
        <v>585</v>
      </c>
      <c r="AH79" s="575" t="e">
        <f t="shared" si="66"/>
        <v>#VALUE!</v>
      </c>
      <c r="AI79" s="637"/>
      <c r="AJ79" s="575" t="s">
        <v>585</v>
      </c>
      <c r="AK79" s="577" t="s">
        <v>585</v>
      </c>
      <c r="AL79" s="577" t="s">
        <v>585</v>
      </c>
      <c r="AM79" s="575" t="e">
        <f t="shared" si="68"/>
        <v>#VALUE!</v>
      </c>
      <c r="AN79" s="637"/>
      <c r="AO79" s="575" t="s">
        <v>585</v>
      </c>
      <c r="AP79" s="577" t="s">
        <v>585</v>
      </c>
      <c r="AQ79" s="577" t="s">
        <v>585</v>
      </c>
      <c r="AR79" s="575" t="e">
        <f t="shared" si="70"/>
        <v>#VALUE!</v>
      </c>
      <c r="AS79" s="637"/>
      <c r="AT79" s="575" t="s">
        <v>585</v>
      </c>
      <c r="AU79" s="577" t="s">
        <v>585</v>
      </c>
      <c r="AV79" s="577" t="s">
        <v>585</v>
      </c>
      <c r="AW79" s="575" t="e">
        <f t="shared" si="72"/>
        <v>#VALUE!</v>
      </c>
      <c r="AX79" s="637"/>
      <c r="AZ79" s="368" t="e">
        <f t="shared" si="74"/>
        <v>#N/A</v>
      </c>
      <c r="BA79" s="637"/>
    </row>
    <row r="80" spans="2:53">
      <c r="B80" s="647"/>
      <c r="C80" s="380">
        <v>14</v>
      </c>
      <c r="D80" s="351"/>
      <c r="E80" s="513"/>
      <c r="F80" s="513"/>
      <c r="G80" s="513"/>
      <c r="H80" s="655"/>
      <c r="I80" s="381" t="str">
        <f t="shared" si="57"/>
        <v>-</v>
      </c>
      <c r="J80" s="381" t="str">
        <f t="shared" si="58"/>
        <v>-</v>
      </c>
      <c r="K80" s="199" t="str">
        <f t="shared" si="59"/>
        <v>-</v>
      </c>
      <c r="L80" s="657"/>
      <c r="M80" s="385" t="e">
        <f>RANK(K80, K$67:$K$81)</f>
        <v>#VALUE!</v>
      </c>
      <c r="N80" s="641"/>
      <c r="O80" s="641"/>
      <c r="P80" s="575" t="s">
        <v>585</v>
      </c>
      <c r="Q80" s="577" t="s">
        <v>585</v>
      </c>
      <c r="R80" s="577" t="s">
        <v>585</v>
      </c>
      <c r="S80" s="575" t="e">
        <f t="shared" si="60"/>
        <v>#VALUE!</v>
      </c>
      <c r="T80" s="637"/>
      <c r="U80" s="575" t="s">
        <v>585</v>
      </c>
      <c r="V80" s="577" t="s">
        <v>585</v>
      </c>
      <c r="W80" s="577" t="s">
        <v>585</v>
      </c>
      <c r="X80" s="575" t="e">
        <f t="shared" si="62"/>
        <v>#VALUE!</v>
      </c>
      <c r="Y80" s="637"/>
      <c r="Z80" s="575" t="s">
        <v>585</v>
      </c>
      <c r="AA80" s="577" t="s">
        <v>585</v>
      </c>
      <c r="AB80" s="577" t="s">
        <v>585</v>
      </c>
      <c r="AC80" s="575" t="e">
        <f t="shared" si="64"/>
        <v>#VALUE!</v>
      </c>
      <c r="AD80" s="637"/>
      <c r="AE80" s="575" t="s">
        <v>585</v>
      </c>
      <c r="AF80" s="577" t="s">
        <v>585</v>
      </c>
      <c r="AG80" s="577" t="s">
        <v>585</v>
      </c>
      <c r="AH80" s="575" t="e">
        <f t="shared" si="66"/>
        <v>#VALUE!</v>
      </c>
      <c r="AI80" s="637"/>
      <c r="AJ80" s="575" t="s">
        <v>585</v>
      </c>
      <c r="AK80" s="577" t="s">
        <v>585</v>
      </c>
      <c r="AL80" s="577" t="s">
        <v>585</v>
      </c>
      <c r="AM80" s="575" t="e">
        <f t="shared" si="68"/>
        <v>#VALUE!</v>
      </c>
      <c r="AN80" s="637"/>
      <c r="AO80" s="575" t="s">
        <v>585</v>
      </c>
      <c r="AP80" s="577" t="s">
        <v>585</v>
      </c>
      <c r="AQ80" s="577" t="s">
        <v>585</v>
      </c>
      <c r="AR80" s="575" t="e">
        <f t="shared" si="70"/>
        <v>#VALUE!</v>
      </c>
      <c r="AS80" s="637"/>
      <c r="AT80" s="575" t="s">
        <v>585</v>
      </c>
      <c r="AU80" s="577" t="s">
        <v>585</v>
      </c>
      <c r="AV80" s="577" t="s">
        <v>585</v>
      </c>
      <c r="AW80" s="575" t="e">
        <f t="shared" si="72"/>
        <v>#VALUE!</v>
      </c>
      <c r="AX80" s="637"/>
      <c r="AZ80" s="368" t="e">
        <f t="shared" si="74"/>
        <v>#N/A</v>
      </c>
      <c r="BA80" s="637"/>
    </row>
    <row r="81" spans="2:53">
      <c r="B81" s="647"/>
      <c r="C81" s="380">
        <v>15</v>
      </c>
      <c r="D81" s="351"/>
      <c r="E81" s="513"/>
      <c r="F81" s="513"/>
      <c r="G81" s="513"/>
      <c r="H81" s="712"/>
      <c r="I81" s="385"/>
      <c r="J81" s="385"/>
      <c r="K81" s="382"/>
      <c r="L81" s="658"/>
      <c r="M81" s="385" t="e">
        <f>RANK(K81, K$67:$K$81)</f>
        <v>#N/A</v>
      </c>
      <c r="N81" s="641"/>
      <c r="O81" s="641"/>
      <c r="P81" s="575" t="s">
        <v>585</v>
      </c>
      <c r="Q81" s="577" t="s">
        <v>585</v>
      </c>
      <c r="R81" s="577" t="s">
        <v>585</v>
      </c>
      <c r="S81" s="575" t="e">
        <f t="shared" si="60"/>
        <v>#VALUE!</v>
      </c>
      <c r="T81" s="638"/>
      <c r="U81" s="575" t="s">
        <v>585</v>
      </c>
      <c r="V81" s="577" t="s">
        <v>585</v>
      </c>
      <c r="W81" s="577" t="s">
        <v>585</v>
      </c>
      <c r="X81" s="575" t="e">
        <f t="shared" si="62"/>
        <v>#VALUE!</v>
      </c>
      <c r="Y81" s="638"/>
      <c r="Z81" s="575" t="s">
        <v>585</v>
      </c>
      <c r="AA81" s="577" t="s">
        <v>585</v>
      </c>
      <c r="AB81" s="577" t="s">
        <v>585</v>
      </c>
      <c r="AC81" s="575" t="e">
        <f t="shared" si="64"/>
        <v>#VALUE!</v>
      </c>
      <c r="AD81" s="638"/>
      <c r="AE81" s="575" t="s">
        <v>585</v>
      </c>
      <c r="AF81" s="577" t="s">
        <v>585</v>
      </c>
      <c r="AG81" s="577" t="s">
        <v>585</v>
      </c>
      <c r="AH81" s="575" t="e">
        <f t="shared" si="66"/>
        <v>#VALUE!</v>
      </c>
      <c r="AI81" s="638"/>
      <c r="AJ81" s="575" t="s">
        <v>585</v>
      </c>
      <c r="AK81" s="577" t="s">
        <v>585</v>
      </c>
      <c r="AL81" s="577" t="s">
        <v>585</v>
      </c>
      <c r="AM81" s="575" t="e">
        <f t="shared" si="68"/>
        <v>#VALUE!</v>
      </c>
      <c r="AN81" s="638"/>
      <c r="AO81" s="575" t="s">
        <v>585</v>
      </c>
      <c r="AP81" s="577" t="s">
        <v>585</v>
      </c>
      <c r="AQ81" s="577" t="s">
        <v>585</v>
      </c>
      <c r="AR81" s="575" t="e">
        <f t="shared" si="70"/>
        <v>#VALUE!</v>
      </c>
      <c r="AS81" s="638"/>
      <c r="AT81" s="575" t="s">
        <v>585</v>
      </c>
      <c r="AU81" s="577" t="s">
        <v>585</v>
      </c>
      <c r="AV81" s="577" t="s">
        <v>585</v>
      </c>
      <c r="AW81" s="575" t="e">
        <f t="shared" si="72"/>
        <v>#VALUE!</v>
      </c>
      <c r="AX81" s="638"/>
      <c r="AZ81" s="368" t="e">
        <f t="shared" si="74"/>
        <v>#N/A</v>
      </c>
      <c r="BA81" s="638"/>
    </row>
    <row r="82" spans="2:53" ht="15.75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68">
        <f>P62+7</f>
        <v>46259</v>
      </c>
      <c r="Q82" s="647"/>
      <c r="R82" s="647"/>
      <c r="S82" s="647"/>
      <c r="T82" s="647"/>
      <c r="U82" s="665">
        <f>P82+1</f>
        <v>46260</v>
      </c>
      <c r="V82" s="666"/>
      <c r="W82" s="666"/>
      <c r="X82" s="666"/>
      <c r="Y82" s="667"/>
      <c r="Z82" s="665">
        <f>U82+1</f>
        <v>46261</v>
      </c>
      <c r="AA82" s="666"/>
      <c r="AB82" s="666"/>
      <c r="AC82" s="666"/>
      <c r="AD82" s="667"/>
      <c r="AE82" s="665">
        <f>Z82+1</f>
        <v>46262</v>
      </c>
      <c r="AF82" s="666"/>
      <c r="AG82" s="666"/>
      <c r="AH82" s="666"/>
      <c r="AI82" s="667"/>
      <c r="AJ82" s="665">
        <f>AE82+1</f>
        <v>46263</v>
      </c>
      <c r="AK82" s="666"/>
      <c r="AL82" s="666"/>
      <c r="AM82" s="666"/>
      <c r="AN82" s="667"/>
      <c r="AO82" s="665">
        <f>AJ82+1</f>
        <v>46264</v>
      </c>
      <c r="AP82" s="666"/>
      <c r="AQ82" s="666"/>
      <c r="AR82" s="666"/>
      <c r="AS82" s="667"/>
      <c r="AT82" s="665">
        <f>AO82+1</f>
        <v>46265</v>
      </c>
      <c r="AU82" s="666"/>
      <c r="AV82" s="666"/>
      <c r="AW82" s="666"/>
      <c r="AX82" s="667"/>
    </row>
    <row r="83" spans="2:53" ht="15.75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45"/>
      <c r="O83" s="645"/>
      <c r="P83" s="668" t="s">
        <v>317</v>
      </c>
      <c r="Q83" s="647"/>
      <c r="R83" s="647"/>
      <c r="S83" s="647"/>
      <c r="T83" s="647"/>
      <c r="U83" s="668" t="s">
        <v>318</v>
      </c>
      <c r="V83" s="647"/>
      <c r="W83" s="647"/>
      <c r="X83" s="647"/>
      <c r="Y83" s="647"/>
      <c r="Z83" s="668" t="s">
        <v>319</v>
      </c>
      <c r="AA83" s="647"/>
      <c r="AB83" s="647"/>
      <c r="AC83" s="647"/>
      <c r="AD83" s="647"/>
      <c r="AE83" s="668" t="s">
        <v>320</v>
      </c>
      <c r="AF83" s="647"/>
      <c r="AG83" s="647"/>
      <c r="AH83" s="647"/>
      <c r="AI83" s="647"/>
      <c r="AJ83" s="668" t="s">
        <v>321</v>
      </c>
      <c r="AK83" s="647"/>
      <c r="AL83" s="647"/>
      <c r="AM83" s="647"/>
      <c r="AN83" s="647"/>
      <c r="AO83" s="668" t="s">
        <v>322</v>
      </c>
      <c r="AP83" s="647"/>
      <c r="AQ83" s="647"/>
      <c r="AR83" s="647"/>
      <c r="AS83" s="647"/>
      <c r="AT83" s="668" t="s">
        <v>323</v>
      </c>
      <c r="AU83" s="647"/>
      <c r="AV83" s="647"/>
      <c r="AW83" s="647"/>
      <c r="AX83" s="647"/>
    </row>
    <row r="84" spans="2:53">
      <c r="B84" s="641" t="s">
        <v>389</v>
      </c>
      <c r="C84" s="641" t="s">
        <v>379</v>
      </c>
      <c r="D84" s="641"/>
      <c r="E84" s="641" t="s">
        <v>370</v>
      </c>
      <c r="F84" s="641"/>
      <c r="G84" s="641"/>
      <c r="H84" s="673" t="s">
        <v>366</v>
      </c>
      <c r="I84" s="641" t="s">
        <v>371</v>
      </c>
      <c r="J84" s="641"/>
      <c r="K84" s="641"/>
      <c r="L84" s="673" t="s">
        <v>366</v>
      </c>
      <c r="M84" s="643" t="s">
        <v>367</v>
      </c>
      <c r="N84" s="641"/>
      <c r="O84" s="641" t="s">
        <v>372</v>
      </c>
      <c r="P84" s="659" t="s">
        <v>368</v>
      </c>
      <c r="Q84" s="660"/>
      <c r="R84" s="660"/>
      <c r="S84" s="661"/>
      <c r="T84" s="641" t="s">
        <v>366</v>
      </c>
      <c r="U84" s="659" t="s">
        <v>368</v>
      </c>
      <c r="V84" s="660"/>
      <c r="W84" s="660"/>
      <c r="X84" s="661"/>
      <c r="Y84" s="641" t="s">
        <v>366</v>
      </c>
      <c r="Z84" s="659" t="s">
        <v>368</v>
      </c>
      <c r="AA84" s="660"/>
      <c r="AB84" s="660"/>
      <c r="AC84" s="661"/>
      <c r="AD84" s="641" t="s">
        <v>366</v>
      </c>
      <c r="AE84" s="659" t="s">
        <v>368</v>
      </c>
      <c r="AF84" s="660"/>
      <c r="AG84" s="660"/>
      <c r="AH84" s="661"/>
      <c r="AI84" s="641" t="s">
        <v>366</v>
      </c>
      <c r="AJ84" s="659" t="s">
        <v>368</v>
      </c>
      <c r="AK84" s="660"/>
      <c r="AL84" s="660"/>
      <c r="AM84" s="661"/>
      <c r="AN84" s="641" t="s">
        <v>366</v>
      </c>
      <c r="AO84" s="659" t="s">
        <v>368</v>
      </c>
      <c r="AP84" s="660"/>
      <c r="AQ84" s="660"/>
      <c r="AR84" s="661"/>
      <c r="AS84" s="641" t="s">
        <v>366</v>
      </c>
      <c r="AT84" s="659" t="s">
        <v>368</v>
      </c>
      <c r="AU84" s="660"/>
      <c r="AV84" s="660"/>
      <c r="AW84" s="661"/>
      <c r="AX84" s="641" t="s">
        <v>366</v>
      </c>
      <c r="BA84" s="641" t="s">
        <v>366</v>
      </c>
    </row>
    <row r="85" spans="2:53">
      <c r="B85" s="641"/>
      <c r="C85" s="641"/>
      <c r="D85" s="641"/>
      <c r="E85" s="641" t="s">
        <v>373</v>
      </c>
      <c r="F85" s="641"/>
      <c r="G85" s="641"/>
      <c r="H85" s="674"/>
      <c r="I85" s="641" t="s">
        <v>373</v>
      </c>
      <c r="J85" s="641"/>
      <c r="K85" s="641"/>
      <c r="L85" s="674"/>
      <c r="M85" s="644"/>
      <c r="N85" s="641"/>
      <c r="O85" s="641"/>
      <c r="P85" s="659" t="s">
        <v>374</v>
      </c>
      <c r="Q85" s="660"/>
      <c r="R85" s="660"/>
      <c r="S85" s="661"/>
      <c r="T85" s="641"/>
      <c r="U85" s="659" t="s">
        <v>374</v>
      </c>
      <c r="V85" s="660"/>
      <c r="W85" s="660"/>
      <c r="X85" s="661"/>
      <c r="Y85" s="641"/>
      <c r="Z85" s="659" t="s">
        <v>374</v>
      </c>
      <c r="AA85" s="660"/>
      <c r="AB85" s="660"/>
      <c r="AC85" s="661"/>
      <c r="AD85" s="641"/>
      <c r="AE85" s="659" t="s">
        <v>374</v>
      </c>
      <c r="AF85" s="660"/>
      <c r="AG85" s="660"/>
      <c r="AH85" s="661"/>
      <c r="AI85" s="641"/>
      <c r="AJ85" s="659" t="s">
        <v>374</v>
      </c>
      <c r="AK85" s="660"/>
      <c r="AL85" s="660"/>
      <c r="AM85" s="661"/>
      <c r="AN85" s="641"/>
      <c r="AO85" s="659" t="s">
        <v>374</v>
      </c>
      <c r="AP85" s="660"/>
      <c r="AQ85" s="660"/>
      <c r="AR85" s="661"/>
      <c r="AS85" s="641"/>
      <c r="AT85" s="659" t="s">
        <v>374</v>
      </c>
      <c r="AU85" s="660"/>
      <c r="AV85" s="660"/>
      <c r="AW85" s="661"/>
      <c r="AX85" s="641"/>
      <c r="BA85" s="641"/>
    </row>
    <row r="86" spans="2:53">
      <c r="B86" s="641"/>
      <c r="C86" s="641"/>
      <c r="D86" s="641"/>
      <c r="E86" s="378" t="s">
        <v>375</v>
      </c>
      <c r="F86" s="378" t="s">
        <v>376</v>
      </c>
      <c r="G86" s="378" t="s">
        <v>377</v>
      </c>
      <c r="H86" s="675"/>
      <c r="I86" s="378" t="s">
        <v>375</v>
      </c>
      <c r="J86" s="378" t="s">
        <v>376</v>
      </c>
      <c r="K86" s="378" t="s">
        <v>377</v>
      </c>
      <c r="L86" s="675"/>
      <c r="M86" s="645"/>
      <c r="N86" s="641"/>
      <c r="O86" s="641"/>
      <c r="P86" s="378" t="s">
        <v>375</v>
      </c>
      <c r="Q86" s="378" t="s">
        <v>376</v>
      </c>
      <c r="R86" s="378" t="s">
        <v>377</v>
      </c>
      <c r="S86" s="378" t="s">
        <v>367</v>
      </c>
      <c r="T86" s="641"/>
      <c r="U86" s="378" t="s">
        <v>375</v>
      </c>
      <c r="V86" s="378" t="s">
        <v>376</v>
      </c>
      <c r="W86" s="378" t="s">
        <v>377</v>
      </c>
      <c r="X86" s="378" t="s">
        <v>367</v>
      </c>
      <c r="Y86" s="641"/>
      <c r="Z86" s="378" t="s">
        <v>375</v>
      </c>
      <c r="AA86" s="378" t="s">
        <v>376</v>
      </c>
      <c r="AB86" s="378" t="s">
        <v>377</v>
      </c>
      <c r="AC86" s="378" t="s">
        <v>367</v>
      </c>
      <c r="AD86" s="641"/>
      <c r="AE86" s="378" t="s">
        <v>375</v>
      </c>
      <c r="AF86" s="378" t="s">
        <v>376</v>
      </c>
      <c r="AG86" s="378" t="s">
        <v>377</v>
      </c>
      <c r="AH86" s="378" t="s">
        <v>367</v>
      </c>
      <c r="AI86" s="641"/>
      <c r="AJ86" s="378" t="s">
        <v>375</v>
      </c>
      <c r="AK86" s="378" t="s">
        <v>376</v>
      </c>
      <c r="AL86" s="378" t="s">
        <v>377</v>
      </c>
      <c r="AM86" s="378" t="s">
        <v>367</v>
      </c>
      <c r="AN86" s="641"/>
      <c r="AO86" s="378" t="s">
        <v>375</v>
      </c>
      <c r="AP86" s="378" t="s">
        <v>376</v>
      </c>
      <c r="AQ86" s="378" t="s">
        <v>377</v>
      </c>
      <c r="AR86" s="378" t="s">
        <v>367</v>
      </c>
      <c r="AS86" s="641"/>
      <c r="AT86" s="378" t="s">
        <v>375</v>
      </c>
      <c r="AU86" s="378" t="s">
        <v>376</v>
      </c>
      <c r="AV86" s="378" t="s">
        <v>377</v>
      </c>
      <c r="AW86" s="378" t="s">
        <v>367</v>
      </c>
      <c r="AX86" s="641"/>
      <c r="AZ86" s="367" t="s">
        <v>367</v>
      </c>
      <c r="BA86" s="641"/>
    </row>
    <row r="87" spans="2:53">
      <c r="B87" s="699" t="s">
        <v>403</v>
      </c>
      <c r="C87" s="380">
        <v>1</v>
      </c>
      <c r="D87" s="351"/>
      <c r="E87" s="513"/>
      <c r="F87" s="513"/>
      <c r="G87" s="513"/>
      <c r="H87" s="654" t="e">
        <f>AVERAGE(G87:G101)</f>
        <v>#DIV/0!</v>
      </c>
      <c r="I87" s="381" t="str">
        <f t="shared" ref="I87:I100" si="76">IFERROR(AVERAGE(P87,U87,Z87,AE87,AJ87,AO87,AT87),"-")</f>
        <v>-</v>
      </c>
      <c r="J87" s="381" t="str">
        <f t="shared" ref="J87:J100" si="77">IFERROR(AVERAGE(Q87,V87,AA87,AF87,AK87,AP87,AU87),"-")</f>
        <v>-</v>
      </c>
      <c r="K87" s="199" t="str">
        <f t="shared" ref="K87:K100" si="78">IFERROR(AVERAGE(R87,W87,AB87,AG87,AL87,AQ87,AV87),"-")</f>
        <v>-</v>
      </c>
      <c r="L87" s="656" t="str">
        <f>IFERROR(AVERAGE(K87:K101),"-")</f>
        <v>-</v>
      </c>
      <c r="M87" s="385" t="e">
        <f>RANK(K87, K$87:$K$101)</f>
        <v>#VALUE!</v>
      </c>
      <c r="N87" s="641"/>
      <c r="O87" s="641"/>
      <c r="P87" s="529"/>
      <c r="Q87" s="530"/>
      <c r="R87" s="530"/>
      <c r="S87" s="529"/>
      <c r="T87" s="642"/>
      <c r="U87" s="529"/>
      <c r="V87" s="530"/>
      <c r="W87" s="530"/>
      <c r="X87" s="529"/>
      <c r="Y87" s="642"/>
      <c r="Z87" s="529"/>
      <c r="AA87" s="530"/>
      <c r="AB87" s="530"/>
      <c r="AC87" s="529"/>
      <c r="AD87" s="642"/>
      <c r="AE87" s="529"/>
      <c r="AF87" s="530"/>
      <c r="AG87" s="530"/>
      <c r="AH87" s="529"/>
      <c r="AI87" s="642"/>
      <c r="AJ87" s="529"/>
      <c r="AK87" s="530"/>
      <c r="AL87" s="530"/>
      <c r="AM87" s="529"/>
      <c r="AN87" s="642"/>
      <c r="AO87" s="529"/>
      <c r="AP87" s="530"/>
      <c r="AQ87" s="530"/>
      <c r="AR87" s="529"/>
      <c r="AS87" s="642"/>
      <c r="AT87" s="529"/>
      <c r="AU87" s="530"/>
      <c r="AV87" s="530"/>
      <c r="AW87" s="529"/>
      <c r="AX87" s="642"/>
      <c r="AZ87" s="368" t="e">
        <f t="shared" ref="AZ87:AZ101" si="79">RANK(AY87, AY$87:AY$101)</f>
        <v>#N/A</v>
      </c>
      <c r="BA87" s="642" t="e">
        <f t="shared" ref="BA87" si="80">AVERAGE(AY87:AY101)</f>
        <v>#DIV/0!</v>
      </c>
    </row>
    <row r="88" spans="2:53">
      <c r="B88" s="647"/>
      <c r="C88" s="380">
        <v>2</v>
      </c>
      <c r="D88" s="351"/>
      <c r="E88" s="513"/>
      <c r="F88" s="513"/>
      <c r="G88" s="513"/>
      <c r="H88" s="655"/>
      <c r="I88" s="381" t="str">
        <f t="shared" si="76"/>
        <v>-</v>
      </c>
      <c r="J88" s="381" t="str">
        <f t="shared" si="77"/>
        <v>-</v>
      </c>
      <c r="K88" s="199" t="str">
        <f t="shared" si="78"/>
        <v>-</v>
      </c>
      <c r="L88" s="657"/>
      <c r="M88" s="425" t="e">
        <f>RANK(K88, K$87:$K$101)</f>
        <v>#VALUE!</v>
      </c>
      <c r="N88" s="641"/>
      <c r="O88" s="641"/>
      <c r="P88" s="529"/>
      <c r="Q88" s="530"/>
      <c r="R88" s="530"/>
      <c r="S88" s="529"/>
      <c r="T88" s="642"/>
      <c r="U88" s="529"/>
      <c r="V88" s="530"/>
      <c r="W88" s="530"/>
      <c r="X88" s="529"/>
      <c r="Y88" s="642"/>
      <c r="Z88" s="529"/>
      <c r="AA88" s="530"/>
      <c r="AB88" s="530"/>
      <c r="AC88" s="529"/>
      <c r="AD88" s="642"/>
      <c r="AE88" s="529"/>
      <c r="AF88" s="530"/>
      <c r="AG88" s="530"/>
      <c r="AH88" s="529"/>
      <c r="AI88" s="642"/>
      <c r="AJ88" s="529"/>
      <c r="AK88" s="530"/>
      <c r="AL88" s="530"/>
      <c r="AM88" s="529"/>
      <c r="AN88" s="642"/>
      <c r="AO88" s="529"/>
      <c r="AP88" s="530"/>
      <c r="AQ88" s="530"/>
      <c r="AR88" s="529"/>
      <c r="AS88" s="642"/>
      <c r="AT88" s="529"/>
      <c r="AU88" s="530"/>
      <c r="AV88" s="530"/>
      <c r="AW88" s="529"/>
      <c r="AX88" s="642"/>
      <c r="AZ88" s="368" t="e">
        <f t="shared" si="79"/>
        <v>#N/A</v>
      </c>
      <c r="BA88" s="642"/>
    </row>
    <row r="89" spans="2:53">
      <c r="B89" s="647"/>
      <c r="C89" s="380">
        <v>3</v>
      </c>
      <c r="D89" s="351"/>
      <c r="E89" s="513"/>
      <c r="F89" s="513"/>
      <c r="G89" s="513"/>
      <c r="H89" s="655"/>
      <c r="I89" s="381" t="str">
        <f t="shared" si="76"/>
        <v>-</v>
      </c>
      <c r="J89" s="381" t="str">
        <f t="shared" si="77"/>
        <v>-</v>
      </c>
      <c r="K89" s="199" t="str">
        <f t="shared" si="78"/>
        <v>-</v>
      </c>
      <c r="L89" s="657"/>
      <c r="M89" s="425" t="e">
        <f>RANK(K89, K$87:$K$101)</f>
        <v>#VALUE!</v>
      </c>
      <c r="N89" s="641"/>
      <c r="O89" s="641"/>
      <c r="P89" s="529"/>
      <c r="Q89" s="530"/>
      <c r="R89" s="530"/>
      <c r="S89" s="529"/>
      <c r="T89" s="642"/>
      <c r="U89" s="529"/>
      <c r="V89" s="530"/>
      <c r="W89" s="530"/>
      <c r="X89" s="529"/>
      <c r="Y89" s="642"/>
      <c r="Z89" s="529"/>
      <c r="AA89" s="530"/>
      <c r="AB89" s="530"/>
      <c r="AC89" s="529"/>
      <c r="AD89" s="642"/>
      <c r="AE89" s="529"/>
      <c r="AF89" s="530"/>
      <c r="AG89" s="530"/>
      <c r="AH89" s="529"/>
      <c r="AI89" s="642"/>
      <c r="AJ89" s="529"/>
      <c r="AK89" s="530"/>
      <c r="AL89" s="530"/>
      <c r="AM89" s="529"/>
      <c r="AN89" s="642"/>
      <c r="AO89" s="529"/>
      <c r="AP89" s="530"/>
      <c r="AQ89" s="530"/>
      <c r="AR89" s="529"/>
      <c r="AS89" s="642"/>
      <c r="AT89" s="529"/>
      <c r="AU89" s="530"/>
      <c r="AV89" s="530"/>
      <c r="AW89" s="529"/>
      <c r="AX89" s="642"/>
      <c r="AZ89" s="368" t="e">
        <f t="shared" si="79"/>
        <v>#N/A</v>
      </c>
      <c r="BA89" s="642"/>
    </row>
    <row r="90" spans="2:53">
      <c r="B90" s="647"/>
      <c r="C90" s="380">
        <v>4</v>
      </c>
      <c r="D90" s="351"/>
      <c r="E90" s="513"/>
      <c r="F90" s="513"/>
      <c r="G90" s="513"/>
      <c r="H90" s="655"/>
      <c r="I90" s="381" t="str">
        <f t="shared" si="76"/>
        <v>-</v>
      </c>
      <c r="J90" s="381" t="str">
        <f t="shared" si="77"/>
        <v>-</v>
      </c>
      <c r="K90" s="199" t="str">
        <f t="shared" si="78"/>
        <v>-</v>
      </c>
      <c r="L90" s="657"/>
      <c r="M90" s="425" t="e">
        <f>RANK(K90, K$87:$K$101)</f>
        <v>#VALUE!</v>
      </c>
      <c r="N90" s="641"/>
      <c r="O90" s="641"/>
      <c r="P90" s="529"/>
      <c r="Q90" s="530"/>
      <c r="R90" s="530"/>
      <c r="S90" s="529"/>
      <c r="T90" s="642"/>
      <c r="U90" s="529"/>
      <c r="V90" s="530"/>
      <c r="W90" s="530"/>
      <c r="X90" s="529"/>
      <c r="Y90" s="642"/>
      <c r="Z90" s="529"/>
      <c r="AA90" s="530"/>
      <c r="AB90" s="530"/>
      <c r="AC90" s="529"/>
      <c r="AD90" s="642"/>
      <c r="AE90" s="529"/>
      <c r="AF90" s="530"/>
      <c r="AG90" s="530"/>
      <c r="AH90" s="529"/>
      <c r="AI90" s="642"/>
      <c r="AJ90" s="529"/>
      <c r="AK90" s="530"/>
      <c r="AL90" s="530"/>
      <c r="AM90" s="529"/>
      <c r="AN90" s="642"/>
      <c r="AO90" s="529"/>
      <c r="AP90" s="530"/>
      <c r="AQ90" s="530"/>
      <c r="AR90" s="529"/>
      <c r="AS90" s="642"/>
      <c r="AT90" s="529"/>
      <c r="AU90" s="530"/>
      <c r="AV90" s="530"/>
      <c r="AW90" s="529"/>
      <c r="AX90" s="642"/>
      <c r="AZ90" s="368" t="e">
        <f t="shared" si="79"/>
        <v>#N/A</v>
      </c>
      <c r="BA90" s="642"/>
    </row>
    <row r="91" spans="2:53">
      <c r="B91" s="647"/>
      <c r="C91" s="380">
        <v>5</v>
      </c>
      <c r="D91" s="351"/>
      <c r="E91" s="513"/>
      <c r="F91" s="513"/>
      <c r="G91" s="513"/>
      <c r="H91" s="655"/>
      <c r="I91" s="381" t="str">
        <f t="shared" si="76"/>
        <v>-</v>
      </c>
      <c r="J91" s="381" t="str">
        <f t="shared" si="77"/>
        <v>-</v>
      </c>
      <c r="K91" s="199" t="str">
        <f t="shared" si="78"/>
        <v>-</v>
      </c>
      <c r="L91" s="657"/>
      <c r="M91" s="425" t="e">
        <f>RANK(K91, K$87:$K$101)</f>
        <v>#VALUE!</v>
      </c>
      <c r="N91" s="641"/>
      <c r="O91" s="641"/>
      <c r="P91" s="529"/>
      <c r="Q91" s="530"/>
      <c r="R91" s="530"/>
      <c r="S91" s="529"/>
      <c r="T91" s="642"/>
      <c r="U91" s="529"/>
      <c r="V91" s="530"/>
      <c r="W91" s="530"/>
      <c r="X91" s="529"/>
      <c r="Y91" s="642"/>
      <c r="Z91" s="529"/>
      <c r="AA91" s="530"/>
      <c r="AB91" s="530"/>
      <c r="AC91" s="529"/>
      <c r="AD91" s="642"/>
      <c r="AE91" s="529"/>
      <c r="AF91" s="530"/>
      <c r="AG91" s="530"/>
      <c r="AH91" s="529"/>
      <c r="AI91" s="642"/>
      <c r="AJ91" s="529"/>
      <c r="AK91" s="530"/>
      <c r="AL91" s="530"/>
      <c r="AM91" s="529"/>
      <c r="AN91" s="642"/>
      <c r="AO91" s="529"/>
      <c r="AP91" s="530"/>
      <c r="AQ91" s="530"/>
      <c r="AR91" s="529"/>
      <c r="AS91" s="642"/>
      <c r="AT91" s="529"/>
      <c r="AU91" s="530"/>
      <c r="AV91" s="530"/>
      <c r="AW91" s="529"/>
      <c r="AX91" s="642"/>
      <c r="AZ91" s="368" t="e">
        <f t="shared" si="79"/>
        <v>#N/A</v>
      </c>
      <c r="BA91" s="642"/>
    </row>
    <row r="92" spans="2:53">
      <c r="B92" s="647"/>
      <c r="C92" s="380">
        <v>6</v>
      </c>
      <c r="D92" s="351"/>
      <c r="E92" s="513"/>
      <c r="F92" s="513"/>
      <c r="G92" s="513"/>
      <c r="H92" s="655"/>
      <c r="I92" s="381" t="str">
        <f t="shared" si="76"/>
        <v>-</v>
      </c>
      <c r="J92" s="381" t="str">
        <f t="shared" si="77"/>
        <v>-</v>
      </c>
      <c r="K92" s="199" t="str">
        <f t="shared" si="78"/>
        <v>-</v>
      </c>
      <c r="L92" s="657"/>
      <c r="M92" s="425" t="e">
        <f>RANK(K92, K$87:$K$101)</f>
        <v>#VALUE!</v>
      </c>
      <c r="N92" s="641"/>
      <c r="O92" s="641"/>
      <c r="P92" s="529"/>
      <c r="Q92" s="530"/>
      <c r="R92" s="530"/>
      <c r="S92" s="529"/>
      <c r="T92" s="642"/>
      <c r="U92" s="529"/>
      <c r="V92" s="530"/>
      <c r="W92" s="530"/>
      <c r="X92" s="529"/>
      <c r="Y92" s="642"/>
      <c r="Z92" s="529"/>
      <c r="AA92" s="530"/>
      <c r="AB92" s="530"/>
      <c r="AC92" s="529"/>
      <c r="AD92" s="642"/>
      <c r="AE92" s="529"/>
      <c r="AF92" s="530"/>
      <c r="AG92" s="530"/>
      <c r="AH92" s="529"/>
      <c r="AI92" s="642"/>
      <c r="AJ92" s="529"/>
      <c r="AK92" s="530"/>
      <c r="AL92" s="530"/>
      <c r="AM92" s="529"/>
      <c r="AN92" s="642"/>
      <c r="AO92" s="529"/>
      <c r="AP92" s="530"/>
      <c r="AQ92" s="530"/>
      <c r="AR92" s="529"/>
      <c r="AS92" s="642"/>
      <c r="AT92" s="529"/>
      <c r="AU92" s="530"/>
      <c r="AV92" s="530"/>
      <c r="AW92" s="529"/>
      <c r="AX92" s="642"/>
      <c r="AZ92" s="368" t="e">
        <f t="shared" si="79"/>
        <v>#N/A</v>
      </c>
      <c r="BA92" s="642"/>
    </row>
    <row r="93" spans="2:53">
      <c r="B93" s="647"/>
      <c r="C93" s="380">
        <v>7</v>
      </c>
      <c r="D93" s="351"/>
      <c r="E93" s="513"/>
      <c r="F93" s="513"/>
      <c r="G93" s="513"/>
      <c r="H93" s="655"/>
      <c r="I93" s="381" t="str">
        <f t="shared" si="76"/>
        <v>-</v>
      </c>
      <c r="J93" s="381" t="str">
        <f t="shared" si="77"/>
        <v>-</v>
      </c>
      <c r="K93" s="199" t="str">
        <f t="shared" si="78"/>
        <v>-</v>
      </c>
      <c r="L93" s="657"/>
      <c r="M93" s="425" t="e">
        <f>RANK(K93, K$87:$K$101)</f>
        <v>#VALUE!</v>
      </c>
      <c r="N93" s="641"/>
      <c r="O93" s="641"/>
      <c r="P93" s="529"/>
      <c r="Q93" s="530"/>
      <c r="R93" s="530"/>
      <c r="S93" s="529"/>
      <c r="T93" s="642"/>
      <c r="U93" s="529"/>
      <c r="V93" s="530"/>
      <c r="W93" s="530"/>
      <c r="X93" s="529"/>
      <c r="Y93" s="642"/>
      <c r="Z93" s="529"/>
      <c r="AA93" s="530"/>
      <c r="AB93" s="530"/>
      <c r="AC93" s="529"/>
      <c r="AD93" s="642"/>
      <c r="AE93" s="529"/>
      <c r="AF93" s="530"/>
      <c r="AG93" s="530"/>
      <c r="AH93" s="529"/>
      <c r="AI93" s="642"/>
      <c r="AJ93" s="529"/>
      <c r="AK93" s="530"/>
      <c r="AL93" s="530"/>
      <c r="AM93" s="529"/>
      <c r="AN93" s="642"/>
      <c r="AO93" s="529"/>
      <c r="AP93" s="530"/>
      <c r="AQ93" s="530"/>
      <c r="AR93" s="529"/>
      <c r="AS93" s="642"/>
      <c r="AT93" s="529"/>
      <c r="AU93" s="530"/>
      <c r="AV93" s="530"/>
      <c r="AW93" s="529"/>
      <c r="AX93" s="642"/>
      <c r="AZ93" s="368" t="e">
        <f t="shared" si="79"/>
        <v>#N/A</v>
      </c>
      <c r="BA93" s="642"/>
    </row>
    <row r="94" spans="2:53">
      <c r="B94" s="647"/>
      <c r="C94" s="380">
        <v>8</v>
      </c>
      <c r="D94" s="351"/>
      <c r="E94" s="513"/>
      <c r="F94" s="513"/>
      <c r="G94" s="513"/>
      <c r="H94" s="655"/>
      <c r="I94" s="381" t="str">
        <f t="shared" si="76"/>
        <v>-</v>
      </c>
      <c r="J94" s="381" t="str">
        <f t="shared" si="77"/>
        <v>-</v>
      </c>
      <c r="K94" s="199" t="str">
        <f t="shared" si="78"/>
        <v>-</v>
      </c>
      <c r="L94" s="657"/>
      <c r="M94" s="425" t="e">
        <f>RANK(K94, K$87:$K$101)</f>
        <v>#VALUE!</v>
      </c>
      <c r="N94" s="641"/>
      <c r="O94" s="641"/>
      <c r="P94" s="529"/>
      <c r="Q94" s="530"/>
      <c r="R94" s="530"/>
      <c r="S94" s="529"/>
      <c r="T94" s="642"/>
      <c r="U94" s="529"/>
      <c r="V94" s="530"/>
      <c r="W94" s="530"/>
      <c r="X94" s="529"/>
      <c r="Y94" s="642"/>
      <c r="Z94" s="529"/>
      <c r="AA94" s="530"/>
      <c r="AB94" s="530"/>
      <c r="AC94" s="529"/>
      <c r="AD94" s="642"/>
      <c r="AE94" s="529"/>
      <c r="AF94" s="530"/>
      <c r="AG94" s="530"/>
      <c r="AH94" s="529"/>
      <c r="AI94" s="642"/>
      <c r="AJ94" s="529"/>
      <c r="AK94" s="530"/>
      <c r="AL94" s="530"/>
      <c r="AM94" s="529"/>
      <c r="AN94" s="642"/>
      <c r="AO94" s="529"/>
      <c r="AP94" s="530"/>
      <c r="AQ94" s="530"/>
      <c r="AR94" s="529"/>
      <c r="AS94" s="642"/>
      <c r="AT94" s="529"/>
      <c r="AU94" s="530"/>
      <c r="AV94" s="530"/>
      <c r="AW94" s="529"/>
      <c r="AX94" s="642"/>
      <c r="AZ94" s="368" t="e">
        <f t="shared" si="79"/>
        <v>#N/A</v>
      </c>
      <c r="BA94" s="642"/>
    </row>
    <row r="95" spans="2:53">
      <c r="B95" s="647"/>
      <c r="C95" s="380">
        <v>9</v>
      </c>
      <c r="D95" s="351"/>
      <c r="E95" s="513"/>
      <c r="F95" s="513"/>
      <c r="G95" s="513"/>
      <c r="H95" s="655"/>
      <c r="I95" s="381" t="str">
        <f t="shared" si="76"/>
        <v>-</v>
      </c>
      <c r="J95" s="381" t="str">
        <f t="shared" si="77"/>
        <v>-</v>
      </c>
      <c r="K95" s="199" t="str">
        <f t="shared" si="78"/>
        <v>-</v>
      </c>
      <c r="L95" s="657"/>
      <c r="M95" s="425" t="e">
        <f>RANK(K95, K$87:$K$101)</f>
        <v>#VALUE!</v>
      </c>
      <c r="N95" s="641"/>
      <c r="O95" s="641"/>
      <c r="P95" s="529"/>
      <c r="Q95" s="530"/>
      <c r="R95" s="530"/>
      <c r="S95" s="529"/>
      <c r="T95" s="642"/>
      <c r="U95" s="529"/>
      <c r="V95" s="530"/>
      <c r="W95" s="530"/>
      <c r="X95" s="529"/>
      <c r="Y95" s="642"/>
      <c r="Z95" s="529"/>
      <c r="AA95" s="530"/>
      <c r="AB95" s="530"/>
      <c r="AC95" s="529"/>
      <c r="AD95" s="642"/>
      <c r="AE95" s="529"/>
      <c r="AF95" s="530"/>
      <c r="AG95" s="530"/>
      <c r="AH95" s="529"/>
      <c r="AI95" s="642"/>
      <c r="AJ95" s="529"/>
      <c r="AK95" s="530"/>
      <c r="AL95" s="530"/>
      <c r="AM95" s="529"/>
      <c r="AN95" s="642"/>
      <c r="AO95" s="529"/>
      <c r="AP95" s="530"/>
      <c r="AQ95" s="530"/>
      <c r="AR95" s="529"/>
      <c r="AS95" s="642"/>
      <c r="AT95" s="529"/>
      <c r="AU95" s="530"/>
      <c r="AV95" s="530"/>
      <c r="AW95" s="529"/>
      <c r="AX95" s="642"/>
      <c r="AZ95" s="368" t="e">
        <f t="shared" si="79"/>
        <v>#N/A</v>
      </c>
      <c r="BA95" s="642"/>
    </row>
    <row r="96" spans="2:53">
      <c r="B96" s="647"/>
      <c r="C96" s="380">
        <v>10</v>
      </c>
      <c r="D96" s="351"/>
      <c r="E96" s="513"/>
      <c r="F96" s="513"/>
      <c r="G96" s="513"/>
      <c r="H96" s="655"/>
      <c r="I96" s="381" t="str">
        <f t="shared" si="76"/>
        <v>-</v>
      </c>
      <c r="J96" s="381" t="str">
        <f t="shared" si="77"/>
        <v>-</v>
      </c>
      <c r="K96" s="199" t="str">
        <f t="shared" si="78"/>
        <v>-</v>
      </c>
      <c r="L96" s="657"/>
      <c r="M96" s="425" t="e">
        <f>RANK(K96, K$87:$K$101)</f>
        <v>#VALUE!</v>
      </c>
      <c r="N96" s="641"/>
      <c r="O96" s="641"/>
      <c r="P96" s="529"/>
      <c r="Q96" s="530"/>
      <c r="R96" s="530"/>
      <c r="S96" s="529"/>
      <c r="T96" s="642"/>
      <c r="U96" s="529"/>
      <c r="V96" s="530"/>
      <c r="W96" s="530"/>
      <c r="X96" s="529"/>
      <c r="Y96" s="642"/>
      <c r="Z96" s="529"/>
      <c r="AA96" s="530"/>
      <c r="AB96" s="530"/>
      <c r="AC96" s="529"/>
      <c r="AD96" s="642"/>
      <c r="AE96" s="529"/>
      <c r="AF96" s="530"/>
      <c r="AG96" s="530"/>
      <c r="AH96" s="529"/>
      <c r="AI96" s="642"/>
      <c r="AJ96" s="529"/>
      <c r="AK96" s="530"/>
      <c r="AL96" s="530"/>
      <c r="AM96" s="529"/>
      <c r="AN96" s="642"/>
      <c r="AO96" s="529"/>
      <c r="AP96" s="530"/>
      <c r="AQ96" s="530"/>
      <c r="AR96" s="529"/>
      <c r="AS96" s="642"/>
      <c r="AT96" s="529"/>
      <c r="AU96" s="530"/>
      <c r="AV96" s="530"/>
      <c r="AW96" s="529"/>
      <c r="AX96" s="642"/>
      <c r="AZ96" s="368" t="e">
        <f t="shared" si="79"/>
        <v>#N/A</v>
      </c>
      <c r="BA96" s="642"/>
    </row>
    <row r="97" spans="2:53">
      <c r="B97" s="647"/>
      <c r="C97" s="380">
        <v>11</v>
      </c>
      <c r="D97" s="351"/>
      <c r="E97" s="513"/>
      <c r="F97" s="513"/>
      <c r="G97" s="513"/>
      <c r="H97" s="655"/>
      <c r="I97" s="381" t="str">
        <f t="shared" si="76"/>
        <v>-</v>
      </c>
      <c r="J97" s="381" t="str">
        <f t="shared" si="77"/>
        <v>-</v>
      </c>
      <c r="K97" s="199" t="str">
        <f t="shared" si="78"/>
        <v>-</v>
      </c>
      <c r="L97" s="657"/>
      <c r="M97" s="425" t="e">
        <f>RANK(K97, K$87:$K$101)</f>
        <v>#VALUE!</v>
      </c>
      <c r="N97" s="641"/>
      <c r="O97" s="641"/>
      <c r="P97" s="529"/>
      <c r="Q97" s="530"/>
      <c r="R97" s="530"/>
      <c r="S97" s="529"/>
      <c r="T97" s="642"/>
      <c r="U97" s="529"/>
      <c r="V97" s="530"/>
      <c r="W97" s="530"/>
      <c r="X97" s="529"/>
      <c r="Y97" s="642"/>
      <c r="Z97" s="529"/>
      <c r="AA97" s="530"/>
      <c r="AB97" s="530"/>
      <c r="AC97" s="529"/>
      <c r="AD97" s="642"/>
      <c r="AE97" s="529"/>
      <c r="AF97" s="530"/>
      <c r="AG97" s="530"/>
      <c r="AH97" s="529"/>
      <c r="AI97" s="642"/>
      <c r="AJ97" s="529"/>
      <c r="AK97" s="530"/>
      <c r="AL97" s="530"/>
      <c r="AM97" s="529"/>
      <c r="AN97" s="642"/>
      <c r="AO97" s="529"/>
      <c r="AP97" s="530"/>
      <c r="AQ97" s="530"/>
      <c r="AR97" s="529"/>
      <c r="AS97" s="642"/>
      <c r="AT97" s="529"/>
      <c r="AU97" s="530"/>
      <c r="AV97" s="530"/>
      <c r="AW97" s="529"/>
      <c r="AX97" s="642"/>
      <c r="AZ97" s="368" t="e">
        <f t="shared" si="79"/>
        <v>#N/A</v>
      </c>
      <c r="BA97" s="642"/>
    </row>
    <row r="98" spans="2:53">
      <c r="B98" s="647"/>
      <c r="C98" s="380">
        <v>12</v>
      </c>
      <c r="D98" s="351"/>
      <c r="E98" s="513"/>
      <c r="F98" s="513"/>
      <c r="G98" s="513"/>
      <c r="H98" s="655"/>
      <c r="I98" s="381" t="str">
        <f t="shared" si="76"/>
        <v>-</v>
      </c>
      <c r="J98" s="381" t="str">
        <f t="shared" si="77"/>
        <v>-</v>
      </c>
      <c r="K98" s="199" t="str">
        <f t="shared" si="78"/>
        <v>-</v>
      </c>
      <c r="L98" s="657"/>
      <c r="M98" s="425" t="e">
        <f>RANK(K98, K$87:$K$101)</f>
        <v>#VALUE!</v>
      </c>
      <c r="N98" s="641"/>
      <c r="O98" s="641"/>
      <c r="P98" s="529"/>
      <c r="Q98" s="530"/>
      <c r="R98" s="530"/>
      <c r="S98" s="529"/>
      <c r="T98" s="642"/>
      <c r="U98" s="529"/>
      <c r="V98" s="530"/>
      <c r="W98" s="530"/>
      <c r="X98" s="529"/>
      <c r="Y98" s="642"/>
      <c r="Z98" s="529"/>
      <c r="AA98" s="530"/>
      <c r="AB98" s="530"/>
      <c r="AC98" s="529"/>
      <c r="AD98" s="642"/>
      <c r="AE98" s="529"/>
      <c r="AF98" s="530"/>
      <c r="AG98" s="530"/>
      <c r="AH98" s="529"/>
      <c r="AI98" s="642"/>
      <c r="AJ98" s="529"/>
      <c r="AK98" s="530"/>
      <c r="AL98" s="530"/>
      <c r="AM98" s="529"/>
      <c r="AN98" s="642"/>
      <c r="AO98" s="529"/>
      <c r="AP98" s="530"/>
      <c r="AQ98" s="530"/>
      <c r="AR98" s="529"/>
      <c r="AS98" s="642"/>
      <c r="AT98" s="529"/>
      <c r="AU98" s="530"/>
      <c r="AV98" s="530"/>
      <c r="AW98" s="529"/>
      <c r="AX98" s="642"/>
      <c r="AZ98" s="368" t="e">
        <f t="shared" si="79"/>
        <v>#N/A</v>
      </c>
      <c r="BA98" s="642"/>
    </row>
    <row r="99" spans="2:53">
      <c r="B99" s="647"/>
      <c r="C99" s="380">
        <v>13</v>
      </c>
      <c r="D99" s="351"/>
      <c r="E99" s="513"/>
      <c r="F99" s="513"/>
      <c r="G99" s="513"/>
      <c r="H99" s="655"/>
      <c r="I99" s="381" t="str">
        <f t="shared" si="76"/>
        <v>-</v>
      </c>
      <c r="J99" s="381" t="str">
        <f t="shared" si="77"/>
        <v>-</v>
      </c>
      <c r="K99" s="199" t="str">
        <f t="shared" si="78"/>
        <v>-</v>
      </c>
      <c r="L99" s="657"/>
      <c r="M99" s="425" t="e">
        <f>RANK(K99, K$87:$K$101)</f>
        <v>#VALUE!</v>
      </c>
      <c r="N99" s="641"/>
      <c r="O99" s="641"/>
      <c r="P99" s="529"/>
      <c r="Q99" s="530"/>
      <c r="R99" s="530"/>
      <c r="S99" s="529"/>
      <c r="T99" s="642"/>
      <c r="U99" s="529"/>
      <c r="V99" s="530"/>
      <c r="W99" s="530"/>
      <c r="X99" s="529"/>
      <c r="Y99" s="642"/>
      <c r="Z99" s="529"/>
      <c r="AA99" s="530"/>
      <c r="AB99" s="530"/>
      <c r="AC99" s="529"/>
      <c r="AD99" s="642"/>
      <c r="AE99" s="529"/>
      <c r="AF99" s="530"/>
      <c r="AG99" s="530"/>
      <c r="AH99" s="529"/>
      <c r="AI99" s="642"/>
      <c r="AJ99" s="529"/>
      <c r="AK99" s="530"/>
      <c r="AL99" s="530"/>
      <c r="AM99" s="529"/>
      <c r="AN99" s="642"/>
      <c r="AO99" s="529"/>
      <c r="AP99" s="530"/>
      <c r="AQ99" s="530"/>
      <c r="AR99" s="529"/>
      <c r="AS99" s="642"/>
      <c r="AT99" s="529"/>
      <c r="AU99" s="530"/>
      <c r="AV99" s="530"/>
      <c r="AW99" s="529"/>
      <c r="AX99" s="642"/>
      <c r="AZ99" s="368" t="e">
        <f t="shared" si="79"/>
        <v>#N/A</v>
      </c>
      <c r="BA99" s="642"/>
    </row>
    <row r="100" spans="2:53">
      <c r="B100" s="647"/>
      <c r="C100" s="380">
        <v>14</v>
      </c>
      <c r="D100" s="351"/>
      <c r="E100" s="513"/>
      <c r="F100" s="513"/>
      <c r="G100" s="513"/>
      <c r="H100" s="655"/>
      <c r="I100" s="381" t="str">
        <f t="shared" si="76"/>
        <v>-</v>
      </c>
      <c r="J100" s="381" t="str">
        <f t="shared" si="77"/>
        <v>-</v>
      </c>
      <c r="K100" s="199" t="str">
        <f t="shared" si="78"/>
        <v>-</v>
      </c>
      <c r="L100" s="657"/>
      <c r="M100" s="425" t="e">
        <f>RANK(K100, K$87:$K$101)</f>
        <v>#VALUE!</v>
      </c>
      <c r="N100" s="641"/>
      <c r="O100" s="641"/>
      <c r="P100" s="529"/>
      <c r="Q100" s="530"/>
      <c r="R100" s="530"/>
      <c r="S100" s="529"/>
      <c r="T100" s="642"/>
      <c r="U100" s="529"/>
      <c r="V100" s="530"/>
      <c r="W100" s="530"/>
      <c r="X100" s="529"/>
      <c r="Y100" s="642"/>
      <c r="Z100" s="529"/>
      <c r="AA100" s="530"/>
      <c r="AB100" s="530"/>
      <c r="AC100" s="529"/>
      <c r="AD100" s="642"/>
      <c r="AE100" s="529"/>
      <c r="AF100" s="530"/>
      <c r="AG100" s="530"/>
      <c r="AH100" s="529"/>
      <c r="AI100" s="642"/>
      <c r="AJ100" s="529"/>
      <c r="AK100" s="530"/>
      <c r="AL100" s="530"/>
      <c r="AM100" s="529"/>
      <c r="AN100" s="642"/>
      <c r="AO100" s="529"/>
      <c r="AP100" s="530"/>
      <c r="AQ100" s="530"/>
      <c r="AR100" s="529"/>
      <c r="AS100" s="642"/>
      <c r="AT100" s="529"/>
      <c r="AU100" s="530"/>
      <c r="AV100" s="530"/>
      <c r="AW100" s="529"/>
      <c r="AX100" s="642"/>
      <c r="AZ100" s="368" t="e">
        <f t="shared" si="79"/>
        <v>#N/A</v>
      </c>
      <c r="BA100" s="642"/>
    </row>
    <row r="101" spans="2:53">
      <c r="B101" s="647"/>
      <c r="C101" s="380">
        <v>15</v>
      </c>
      <c r="D101" s="351"/>
      <c r="E101" s="513"/>
      <c r="F101" s="513"/>
      <c r="G101" s="513"/>
      <c r="H101" s="712"/>
      <c r="I101" s="385"/>
      <c r="J101" s="385"/>
      <c r="K101" s="382"/>
      <c r="L101" s="658"/>
      <c r="M101" s="425" t="e">
        <f>RANK(K101, K$87:$K$101)</f>
        <v>#N/A</v>
      </c>
      <c r="N101" s="641"/>
      <c r="O101" s="641"/>
      <c r="P101" s="529"/>
      <c r="Q101" s="530"/>
      <c r="R101" s="530"/>
      <c r="S101" s="529"/>
      <c r="T101" s="642"/>
      <c r="U101" s="529"/>
      <c r="V101" s="530"/>
      <c r="W101" s="530"/>
      <c r="X101" s="529"/>
      <c r="Y101" s="642"/>
      <c r="Z101" s="529"/>
      <c r="AA101" s="530"/>
      <c r="AB101" s="530"/>
      <c r="AC101" s="529"/>
      <c r="AD101" s="642"/>
      <c r="AE101" s="529"/>
      <c r="AF101" s="530"/>
      <c r="AG101" s="530"/>
      <c r="AH101" s="529"/>
      <c r="AI101" s="642"/>
      <c r="AJ101" s="529"/>
      <c r="AK101" s="530"/>
      <c r="AL101" s="530"/>
      <c r="AM101" s="529"/>
      <c r="AN101" s="642"/>
      <c r="AO101" s="529"/>
      <c r="AP101" s="530"/>
      <c r="AQ101" s="530"/>
      <c r="AR101" s="529"/>
      <c r="AS101" s="642"/>
      <c r="AT101" s="529"/>
      <c r="AU101" s="530"/>
      <c r="AV101" s="530"/>
      <c r="AW101" s="529"/>
      <c r="AX101" s="642"/>
      <c r="AZ101" s="368" t="e">
        <f t="shared" si="79"/>
        <v>#N/A</v>
      </c>
      <c r="BA101" s="642"/>
    </row>
    <row r="102" spans="2:53" ht="15.75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68">
        <f>P82+7</f>
        <v>46266</v>
      </c>
      <c r="Q102" s="647"/>
      <c r="R102" s="647"/>
      <c r="S102" s="647"/>
      <c r="T102" s="647"/>
      <c r="U102" s="665">
        <f>P102+1</f>
        <v>46267</v>
      </c>
      <c r="V102" s="666"/>
      <c r="W102" s="666"/>
      <c r="X102" s="666"/>
      <c r="Y102" s="667"/>
      <c r="Z102" s="665">
        <f>U102+1</f>
        <v>46268</v>
      </c>
      <c r="AA102" s="666"/>
      <c r="AB102" s="666"/>
      <c r="AC102" s="666"/>
      <c r="AD102" s="667"/>
      <c r="AE102" s="665">
        <f>Z102+1</f>
        <v>46269</v>
      </c>
      <c r="AF102" s="666"/>
      <c r="AG102" s="666"/>
      <c r="AH102" s="666"/>
      <c r="AI102" s="667"/>
      <c r="AJ102" s="665">
        <f>AE102+1</f>
        <v>46270</v>
      </c>
      <c r="AK102" s="666"/>
      <c r="AL102" s="666"/>
      <c r="AM102" s="666"/>
      <c r="AN102" s="667"/>
      <c r="AO102" s="665">
        <f>AJ102+1</f>
        <v>46271</v>
      </c>
      <c r="AP102" s="666"/>
      <c r="AQ102" s="666"/>
      <c r="AR102" s="666"/>
      <c r="AS102" s="667"/>
      <c r="AT102" s="665">
        <f>AO102+1</f>
        <v>46272</v>
      </c>
      <c r="AU102" s="666"/>
      <c r="AV102" s="666"/>
      <c r="AW102" s="666"/>
      <c r="AX102" s="667"/>
    </row>
    <row r="103" spans="2:53" ht="15.75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45"/>
      <c r="O103" s="645"/>
      <c r="P103" s="668" t="s">
        <v>158</v>
      </c>
      <c r="Q103" s="647"/>
      <c r="R103" s="647"/>
      <c r="S103" s="647"/>
      <c r="T103" s="647"/>
      <c r="U103" s="668" t="s">
        <v>114</v>
      </c>
      <c r="V103" s="647"/>
      <c r="W103" s="647"/>
      <c r="X103" s="647"/>
      <c r="Y103" s="647"/>
      <c r="Z103" s="668" t="s">
        <v>159</v>
      </c>
      <c r="AA103" s="647"/>
      <c r="AB103" s="647"/>
      <c r="AC103" s="647"/>
      <c r="AD103" s="647"/>
      <c r="AE103" s="668" t="s">
        <v>157</v>
      </c>
      <c r="AF103" s="647"/>
      <c r="AG103" s="647"/>
      <c r="AH103" s="647"/>
      <c r="AI103" s="647"/>
      <c r="AJ103" s="668" t="s">
        <v>160</v>
      </c>
      <c r="AK103" s="647"/>
      <c r="AL103" s="647"/>
      <c r="AM103" s="647"/>
      <c r="AN103" s="647"/>
      <c r="AO103" s="668" t="s">
        <v>115</v>
      </c>
      <c r="AP103" s="647"/>
      <c r="AQ103" s="647"/>
      <c r="AR103" s="647"/>
      <c r="AS103" s="647"/>
      <c r="AT103" s="668" t="s">
        <v>161</v>
      </c>
      <c r="AU103" s="647"/>
      <c r="AV103" s="647"/>
      <c r="AW103" s="647"/>
      <c r="AX103" s="647"/>
    </row>
    <row r="104" spans="2:53">
      <c r="B104" s="641" t="s">
        <v>516</v>
      </c>
      <c r="C104" s="641" t="s">
        <v>517</v>
      </c>
      <c r="D104" s="641"/>
      <c r="E104" s="641" t="s">
        <v>518</v>
      </c>
      <c r="F104" s="641"/>
      <c r="G104" s="641"/>
      <c r="H104" s="673" t="s">
        <v>519</v>
      </c>
      <c r="I104" s="641" t="s">
        <v>520</v>
      </c>
      <c r="J104" s="641"/>
      <c r="K104" s="641"/>
      <c r="L104" s="673" t="s">
        <v>366</v>
      </c>
      <c r="M104" s="643" t="s">
        <v>521</v>
      </c>
      <c r="N104" s="641"/>
      <c r="O104" s="641" t="s">
        <v>522</v>
      </c>
      <c r="P104" s="659" t="s">
        <v>523</v>
      </c>
      <c r="Q104" s="660"/>
      <c r="R104" s="660"/>
      <c r="S104" s="661"/>
      <c r="T104" s="641" t="s">
        <v>519</v>
      </c>
      <c r="U104" s="659" t="s">
        <v>523</v>
      </c>
      <c r="V104" s="660"/>
      <c r="W104" s="660"/>
      <c r="X104" s="661"/>
      <c r="Y104" s="641" t="s">
        <v>519</v>
      </c>
      <c r="Z104" s="659" t="s">
        <v>523</v>
      </c>
      <c r="AA104" s="660"/>
      <c r="AB104" s="660"/>
      <c r="AC104" s="661"/>
      <c r="AD104" s="641" t="s">
        <v>519</v>
      </c>
      <c r="AE104" s="659" t="s">
        <v>523</v>
      </c>
      <c r="AF104" s="660"/>
      <c r="AG104" s="660"/>
      <c r="AH104" s="661"/>
      <c r="AI104" s="641" t="s">
        <v>519</v>
      </c>
      <c r="AJ104" s="659" t="s">
        <v>523</v>
      </c>
      <c r="AK104" s="660"/>
      <c r="AL104" s="660"/>
      <c r="AM104" s="661"/>
      <c r="AN104" s="641" t="s">
        <v>519</v>
      </c>
      <c r="AO104" s="659" t="s">
        <v>523</v>
      </c>
      <c r="AP104" s="660"/>
      <c r="AQ104" s="660"/>
      <c r="AR104" s="661"/>
      <c r="AS104" s="641" t="s">
        <v>519</v>
      </c>
      <c r="AT104" s="659" t="s">
        <v>523</v>
      </c>
      <c r="AU104" s="660"/>
      <c r="AV104" s="660"/>
      <c r="AW104" s="661"/>
      <c r="AX104" s="641" t="s">
        <v>519</v>
      </c>
      <c r="BA104" s="641" t="s">
        <v>366</v>
      </c>
    </row>
    <row r="105" spans="2:53">
      <c r="B105" s="641"/>
      <c r="C105" s="641"/>
      <c r="D105" s="641"/>
      <c r="E105" s="641" t="s">
        <v>524</v>
      </c>
      <c r="F105" s="641"/>
      <c r="G105" s="641"/>
      <c r="H105" s="674"/>
      <c r="I105" s="641" t="s">
        <v>524</v>
      </c>
      <c r="J105" s="641"/>
      <c r="K105" s="641"/>
      <c r="L105" s="674"/>
      <c r="M105" s="644"/>
      <c r="N105" s="641"/>
      <c r="O105" s="641"/>
      <c r="P105" s="659" t="s">
        <v>525</v>
      </c>
      <c r="Q105" s="660"/>
      <c r="R105" s="660"/>
      <c r="S105" s="661"/>
      <c r="T105" s="641"/>
      <c r="U105" s="659" t="s">
        <v>525</v>
      </c>
      <c r="V105" s="660"/>
      <c r="W105" s="660"/>
      <c r="X105" s="661"/>
      <c r="Y105" s="641"/>
      <c r="Z105" s="659" t="s">
        <v>525</v>
      </c>
      <c r="AA105" s="660"/>
      <c r="AB105" s="660"/>
      <c r="AC105" s="661"/>
      <c r="AD105" s="641"/>
      <c r="AE105" s="659" t="s">
        <v>525</v>
      </c>
      <c r="AF105" s="660"/>
      <c r="AG105" s="660"/>
      <c r="AH105" s="661"/>
      <c r="AI105" s="641"/>
      <c r="AJ105" s="659" t="s">
        <v>525</v>
      </c>
      <c r="AK105" s="660"/>
      <c r="AL105" s="660"/>
      <c r="AM105" s="661"/>
      <c r="AN105" s="641"/>
      <c r="AO105" s="659" t="s">
        <v>525</v>
      </c>
      <c r="AP105" s="660"/>
      <c r="AQ105" s="660"/>
      <c r="AR105" s="661"/>
      <c r="AS105" s="641"/>
      <c r="AT105" s="659" t="s">
        <v>525</v>
      </c>
      <c r="AU105" s="660"/>
      <c r="AV105" s="660"/>
      <c r="AW105" s="661"/>
      <c r="AX105" s="641"/>
      <c r="BA105" s="641"/>
    </row>
    <row r="106" spans="2:53">
      <c r="B106" s="641"/>
      <c r="C106" s="641"/>
      <c r="D106" s="641"/>
      <c r="E106" s="345" t="s">
        <v>526</v>
      </c>
      <c r="F106" s="345" t="s">
        <v>527</v>
      </c>
      <c r="G106" s="345" t="s">
        <v>528</v>
      </c>
      <c r="H106" s="675"/>
      <c r="I106" s="345" t="s">
        <v>526</v>
      </c>
      <c r="J106" s="345" t="s">
        <v>527</v>
      </c>
      <c r="K106" s="345" t="s">
        <v>528</v>
      </c>
      <c r="L106" s="675"/>
      <c r="M106" s="645"/>
      <c r="N106" s="641"/>
      <c r="O106" s="641"/>
      <c r="P106" s="345" t="s">
        <v>526</v>
      </c>
      <c r="Q106" s="345" t="s">
        <v>527</v>
      </c>
      <c r="R106" s="345" t="s">
        <v>528</v>
      </c>
      <c r="S106" s="345" t="s">
        <v>521</v>
      </c>
      <c r="T106" s="641"/>
      <c r="U106" s="345" t="s">
        <v>526</v>
      </c>
      <c r="V106" s="345" t="s">
        <v>527</v>
      </c>
      <c r="W106" s="345" t="s">
        <v>528</v>
      </c>
      <c r="X106" s="345" t="s">
        <v>521</v>
      </c>
      <c r="Y106" s="641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41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41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41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41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41"/>
      <c r="AZ106" s="367" t="s">
        <v>521</v>
      </c>
      <c r="BA106" s="641"/>
    </row>
    <row r="107" spans="2:53">
      <c r="B107" s="699" t="s">
        <v>530</v>
      </c>
      <c r="C107" s="348">
        <v>1</v>
      </c>
      <c r="D107" s="351"/>
      <c r="E107" s="349"/>
      <c r="F107" s="349"/>
      <c r="G107" s="349"/>
      <c r="H107" s="654" t="e">
        <f>AVERAGE(G107:G121)</f>
        <v>#DIV/0!</v>
      </c>
      <c r="I107" s="363" t="str">
        <f t="shared" ref="I107:I120" si="81">IFERROR(AVERAGE(P107,U107,Z107,AE107,AJ107,AO107,AT107),"-")</f>
        <v>-</v>
      </c>
      <c r="J107" s="363" t="str">
        <f t="shared" ref="J107:J120" si="82">IFERROR(AVERAGE(Q107,V107,AA107,AF107,AK107,AP107,AU107),"-")</f>
        <v>-</v>
      </c>
      <c r="K107" s="199" t="str">
        <f t="shared" ref="K107:K120" si="83">IFERROR(AVERAGE(R107,W107,AB107,AG107,AL107,AQ107,AV107),"-")</f>
        <v>-</v>
      </c>
      <c r="L107" s="656" t="str">
        <f>IFERROR(AVERAGE(K107:K121),"-")</f>
        <v>-</v>
      </c>
      <c r="M107" s="349" t="e">
        <f>RANK(K107, K$107:$K$121)</f>
        <v>#VALUE!</v>
      </c>
      <c r="N107" s="641"/>
      <c r="O107" s="641"/>
      <c r="P107" s="510"/>
      <c r="Q107" s="512"/>
      <c r="R107" s="512"/>
      <c r="S107" s="510"/>
      <c r="T107" s="642"/>
      <c r="U107" s="510"/>
      <c r="V107" s="512"/>
      <c r="W107" s="512"/>
      <c r="X107" s="510"/>
      <c r="Y107" s="642"/>
      <c r="Z107" s="510"/>
      <c r="AA107" s="512"/>
      <c r="AB107" s="512"/>
      <c r="AC107" s="510"/>
      <c r="AD107" s="642"/>
      <c r="AE107" s="510"/>
      <c r="AF107" s="512"/>
      <c r="AG107" s="512"/>
      <c r="AH107" s="510"/>
      <c r="AI107" s="642"/>
      <c r="AJ107" s="510"/>
      <c r="AK107" s="512"/>
      <c r="AL107" s="512"/>
      <c r="AM107" s="510"/>
      <c r="AN107" s="642"/>
      <c r="AO107" s="510"/>
      <c r="AP107" s="512"/>
      <c r="AQ107" s="512"/>
      <c r="AR107" s="510"/>
      <c r="AS107" s="642"/>
      <c r="AT107" s="510"/>
      <c r="AU107" s="512"/>
      <c r="AV107" s="512"/>
      <c r="AW107" s="510"/>
      <c r="AX107" s="642"/>
      <c r="AZ107" s="369" t="e">
        <f t="shared" ref="AZ107:AZ121" si="84">RANK(AY107, AY$67:AY$81)</f>
        <v>#N/A</v>
      </c>
      <c r="BA107" s="698" t="e">
        <f t="shared" ref="BA107" si="85">AVERAGE(AY107:AY121)</f>
        <v>#DIV/0!</v>
      </c>
    </row>
    <row r="108" spans="2:53">
      <c r="B108" s="676"/>
      <c r="C108" s="348">
        <v>2</v>
      </c>
      <c r="D108" s="351"/>
      <c r="E108" s="349"/>
      <c r="F108" s="349"/>
      <c r="G108" s="349"/>
      <c r="H108" s="655"/>
      <c r="I108" s="363" t="str">
        <f t="shared" si="81"/>
        <v>-</v>
      </c>
      <c r="J108" s="363" t="str">
        <f t="shared" si="82"/>
        <v>-</v>
      </c>
      <c r="K108" s="199" t="str">
        <f t="shared" si="83"/>
        <v>-</v>
      </c>
      <c r="L108" s="657"/>
      <c r="M108" s="513" t="e">
        <f>RANK(K108, K$107:$K$121)</f>
        <v>#VALUE!</v>
      </c>
      <c r="N108" s="641"/>
      <c r="O108" s="641"/>
      <c r="P108" s="510"/>
      <c r="Q108" s="512"/>
      <c r="R108" s="512"/>
      <c r="S108" s="510"/>
      <c r="T108" s="642"/>
      <c r="U108" s="510"/>
      <c r="V108" s="512"/>
      <c r="W108" s="512"/>
      <c r="X108" s="510"/>
      <c r="Y108" s="642"/>
      <c r="Z108" s="510"/>
      <c r="AA108" s="512"/>
      <c r="AB108" s="512"/>
      <c r="AC108" s="510"/>
      <c r="AD108" s="642"/>
      <c r="AE108" s="510"/>
      <c r="AF108" s="512"/>
      <c r="AG108" s="512"/>
      <c r="AH108" s="510"/>
      <c r="AI108" s="642"/>
      <c r="AJ108" s="510"/>
      <c r="AK108" s="512"/>
      <c r="AL108" s="512"/>
      <c r="AM108" s="510"/>
      <c r="AN108" s="642"/>
      <c r="AO108" s="510"/>
      <c r="AP108" s="512"/>
      <c r="AQ108" s="512"/>
      <c r="AR108" s="510"/>
      <c r="AS108" s="642"/>
      <c r="AT108" s="510"/>
      <c r="AU108" s="512"/>
      <c r="AV108" s="512"/>
      <c r="AW108" s="510"/>
      <c r="AX108" s="642"/>
      <c r="AZ108" s="369" t="e">
        <f t="shared" si="84"/>
        <v>#N/A</v>
      </c>
      <c r="BA108" s="698"/>
    </row>
    <row r="109" spans="2:53">
      <c r="B109" s="676"/>
      <c r="C109" s="348">
        <v>3</v>
      </c>
      <c r="D109" s="351"/>
      <c r="E109" s="349"/>
      <c r="F109" s="349"/>
      <c r="G109" s="349"/>
      <c r="H109" s="655"/>
      <c r="I109" s="363" t="str">
        <f t="shared" si="81"/>
        <v>-</v>
      </c>
      <c r="J109" s="363" t="str">
        <f t="shared" si="82"/>
        <v>-</v>
      </c>
      <c r="K109" s="199" t="str">
        <f t="shared" si="83"/>
        <v>-</v>
      </c>
      <c r="L109" s="657"/>
      <c r="M109" s="513" t="e">
        <f>RANK(K109, K$107:$K$121)</f>
        <v>#VALUE!</v>
      </c>
      <c r="N109" s="641"/>
      <c r="O109" s="641"/>
      <c r="P109" s="510"/>
      <c r="Q109" s="512"/>
      <c r="R109" s="512"/>
      <c r="S109" s="510"/>
      <c r="T109" s="642"/>
      <c r="U109" s="510"/>
      <c r="V109" s="512"/>
      <c r="W109" s="512"/>
      <c r="X109" s="510"/>
      <c r="Y109" s="642"/>
      <c r="Z109" s="510"/>
      <c r="AA109" s="512"/>
      <c r="AB109" s="512"/>
      <c r="AC109" s="510"/>
      <c r="AD109" s="642"/>
      <c r="AE109" s="510"/>
      <c r="AF109" s="512"/>
      <c r="AG109" s="512"/>
      <c r="AH109" s="510"/>
      <c r="AI109" s="642"/>
      <c r="AJ109" s="510"/>
      <c r="AK109" s="512"/>
      <c r="AL109" s="512"/>
      <c r="AM109" s="510"/>
      <c r="AN109" s="642"/>
      <c r="AO109" s="510"/>
      <c r="AP109" s="512"/>
      <c r="AQ109" s="512"/>
      <c r="AR109" s="510"/>
      <c r="AS109" s="642"/>
      <c r="AT109" s="510"/>
      <c r="AU109" s="512"/>
      <c r="AV109" s="512"/>
      <c r="AW109" s="510"/>
      <c r="AX109" s="642"/>
      <c r="AZ109" s="369" t="e">
        <f t="shared" si="84"/>
        <v>#N/A</v>
      </c>
      <c r="BA109" s="698"/>
    </row>
    <row r="110" spans="2:53">
      <c r="B110" s="676"/>
      <c r="C110" s="348">
        <v>4</v>
      </c>
      <c r="D110" s="351"/>
      <c r="E110" s="349"/>
      <c r="F110" s="349"/>
      <c r="G110" s="349"/>
      <c r="H110" s="655"/>
      <c r="I110" s="363" t="str">
        <f t="shared" si="81"/>
        <v>-</v>
      </c>
      <c r="J110" s="363" t="str">
        <f t="shared" si="82"/>
        <v>-</v>
      </c>
      <c r="K110" s="199" t="str">
        <f t="shared" si="83"/>
        <v>-</v>
      </c>
      <c r="L110" s="657"/>
      <c r="M110" s="513" t="e">
        <f>RANK(K110, K$107:$K$121)</f>
        <v>#VALUE!</v>
      </c>
      <c r="N110" s="641"/>
      <c r="O110" s="641"/>
      <c r="P110" s="510"/>
      <c r="Q110" s="512"/>
      <c r="R110" s="512"/>
      <c r="S110" s="510"/>
      <c r="T110" s="642"/>
      <c r="U110" s="510"/>
      <c r="V110" s="512"/>
      <c r="W110" s="512"/>
      <c r="X110" s="510"/>
      <c r="Y110" s="642"/>
      <c r="Z110" s="510"/>
      <c r="AA110" s="512"/>
      <c r="AB110" s="512"/>
      <c r="AC110" s="510"/>
      <c r="AD110" s="642"/>
      <c r="AE110" s="510"/>
      <c r="AF110" s="512"/>
      <c r="AG110" s="512"/>
      <c r="AH110" s="510"/>
      <c r="AI110" s="642"/>
      <c r="AJ110" s="510"/>
      <c r="AK110" s="512"/>
      <c r="AL110" s="512"/>
      <c r="AM110" s="510"/>
      <c r="AN110" s="642"/>
      <c r="AO110" s="510"/>
      <c r="AP110" s="512"/>
      <c r="AQ110" s="512"/>
      <c r="AR110" s="510"/>
      <c r="AS110" s="642"/>
      <c r="AT110" s="510"/>
      <c r="AU110" s="512"/>
      <c r="AV110" s="512"/>
      <c r="AW110" s="510"/>
      <c r="AX110" s="642"/>
      <c r="AZ110" s="369" t="e">
        <f t="shared" si="84"/>
        <v>#N/A</v>
      </c>
      <c r="BA110" s="698"/>
    </row>
    <row r="111" spans="2:53">
      <c r="B111" s="676"/>
      <c r="C111" s="348">
        <v>5</v>
      </c>
      <c r="D111" s="351"/>
      <c r="E111" s="349"/>
      <c r="F111" s="349"/>
      <c r="G111" s="349"/>
      <c r="H111" s="655"/>
      <c r="I111" s="363" t="str">
        <f t="shared" si="81"/>
        <v>-</v>
      </c>
      <c r="J111" s="363" t="str">
        <f t="shared" si="82"/>
        <v>-</v>
      </c>
      <c r="K111" s="199" t="str">
        <f t="shared" si="83"/>
        <v>-</v>
      </c>
      <c r="L111" s="657"/>
      <c r="M111" s="513" t="e">
        <f>RANK(K111, K$107:$K$121)</f>
        <v>#VALUE!</v>
      </c>
      <c r="N111" s="641"/>
      <c r="O111" s="641"/>
      <c r="P111" s="510"/>
      <c r="Q111" s="512"/>
      <c r="R111" s="512"/>
      <c r="S111" s="510"/>
      <c r="T111" s="642"/>
      <c r="U111" s="510"/>
      <c r="V111" s="512"/>
      <c r="W111" s="512"/>
      <c r="X111" s="510"/>
      <c r="Y111" s="642"/>
      <c r="Z111" s="510"/>
      <c r="AA111" s="512"/>
      <c r="AB111" s="512"/>
      <c r="AC111" s="510"/>
      <c r="AD111" s="642"/>
      <c r="AE111" s="510"/>
      <c r="AF111" s="512"/>
      <c r="AG111" s="512"/>
      <c r="AH111" s="510"/>
      <c r="AI111" s="642"/>
      <c r="AJ111" s="510"/>
      <c r="AK111" s="512"/>
      <c r="AL111" s="512"/>
      <c r="AM111" s="510"/>
      <c r="AN111" s="642"/>
      <c r="AO111" s="510"/>
      <c r="AP111" s="512"/>
      <c r="AQ111" s="512"/>
      <c r="AR111" s="510"/>
      <c r="AS111" s="642"/>
      <c r="AT111" s="510"/>
      <c r="AU111" s="512"/>
      <c r="AV111" s="512"/>
      <c r="AW111" s="510"/>
      <c r="AX111" s="642"/>
      <c r="AZ111" s="369" t="e">
        <f t="shared" si="84"/>
        <v>#N/A</v>
      </c>
      <c r="BA111" s="698"/>
    </row>
    <row r="112" spans="2:53">
      <c r="B112" s="676"/>
      <c r="C112" s="348">
        <v>6</v>
      </c>
      <c r="D112" s="351"/>
      <c r="E112" s="349"/>
      <c r="F112" s="349"/>
      <c r="G112" s="349"/>
      <c r="H112" s="655"/>
      <c r="I112" s="363" t="str">
        <f t="shared" si="81"/>
        <v>-</v>
      </c>
      <c r="J112" s="363" t="str">
        <f t="shared" si="82"/>
        <v>-</v>
      </c>
      <c r="K112" s="199" t="str">
        <f t="shared" si="83"/>
        <v>-</v>
      </c>
      <c r="L112" s="657"/>
      <c r="M112" s="513" t="e">
        <f>RANK(K112, K$107:$K$121)</f>
        <v>#VALUE!</v>
      </c>
      <c r="N112" s="641"/>
      <c r="O112" s="641"/>
      <c r="P112" s="510"/>
      <c r="Q112" s="512"/>
      <c r="R112" s="512"/>
      <c r="S112" s="510"/>
      <c r="T112" s="642"/>
      <c r="U112" s="510"/>
      <c r="V112" s="512"/>
      <c r="W112" s="512"/>
      <c r="X112" s="510"/>
      <c r="Y112" s="642"/>
      <c r="Z112" s="510"/>
      <c r="AA112" s="512"/>
      <c r="AB112" s="512"/>
      <c r="AC112" s="510"/>
      <c r="AD112" s="642"/>
      <c r="AE112" s="510"/>
      <c r="AF112" s="512"/>
      <c r="AG112" s="512"/>
      <c r="AH112" s="510"/>
      <c r="AI112" s="642"/>
      <c r="AJ112" s="510"/>
      <c r="AK112" s="512"/>
      <c r="AL112" s="512"/>
      <c r="AM112" s="510"/>
      <c r="AN112" s="642"/>
      <c r="AO112" s="510"/>
      <c r="AP112" s="512"/>
      <c r="AQ112" s="512"/>
      <c r="AR112" s="510"/>
      <c r="AS112" s="642"/>
      <c r="AT112" s="510"/>
      <c r="AU112" s="512"/>
      <c r="AV112" s="512"/>
      <c r="AW112" s="510"/>
      <c r="AX112" s="642"/>
      <c r="AZ112" s="369" t="e">
        <f t="shared" si="84"/>
        <v>#N/A</v>
      </c>
      <c r="BA112" s="698"/>
    </row>
    <row r="113" spans="2:53">
      <c r="B113" s="676"/>
      <c r="C113" s="348">
        <v>7</v>
      </c>
      <c r="D113" s="351"/>
      <c r="E113" s="349"/>
      <c r="F113" s="349"/>
      <c r="G113" s="349"/>
      <c r="H113" s="655"/>
      <c r="I113" s="363" t="str">
        <f t="shared" si="81"/>
        <v>-</v>
      </c>
      <c r="J113" s="363" t="str">
        <f t="shared" si="82"/>
        <v>-</v>
      </c>
      <c r="K113" s="199" t="str">
        <f t="shared" si="83"/>
        <v>-</v>
      </c>
      <c r="L113" s="657"/>
      <c r="M113" s="513" t="e">
        <f>RANK(K113, K$107:$K$121)</f>
        <v>#VALUE!</v>
      </c>
      <c r="N113" s="641"/>
      <c r="O113" s="641"/>
      <c r="P113" s="510"/>
      <c r="Q113" s="512"/>
      <c r="R113" s="512"/>
      <c r="S113" s="510"/>
      <c r="T113" s="642"/>
      <c r="U113" s="510"/>
      <c r="V113" s="512"/>
      <c r="W113" s="512"/>
      <c r="X113" s="510"/>
      <c r="Y113" s="642"/>
      <c r="Z113" s="510"/>
      <c r="AA113" s="512"/>
      <c r="AB113" s="512"/>
      <c r="AC113" s="510"/>
      <c r="AD113" s="642"/>
      <c r="AE113" s="510"/>
      <c r="AF113" s="512"/>
      <c r="AG113" s="512"/>
      <c r="AH113" s="510"/>
      <c r="AI113" s="642"/>
      <c r="AJ113" s="510"/>
      <c r="AK113" s="512"/>
      <c r="AL113" s="512"/>
      <c r="AM113" s="510"/>
      <c r="AN113" s="642"/>
      <c r="AO113" s="510"/>
      <c r="AP113" s="512"/>
      <c r="AQ113" s="512"/>
      <c r="AR113" s="510"/>
      <c r="AS113" s="642"/>
      <c r="AT113" s="510"/>
      <c r="AU113" s="512"/>
      <c r="AV113" s="512"/>
      <c r="AW113" s="510"/>
      <c r="AX113" s="642"/>
      <c r="AZ113" s="369" t="e">
        <f t="shared" si="84"/>
        <v>#N/A</v>
      </c>
      <c r="BA113" s="698"/>
    </row>
    <row r="114" spans="2:53">
      <c r="B114" s="676"/>
      <c r="C114" s="348">
        <v>8</v>
      </c>
      <c r="D114" s="351"/>
      <c r="E114" s="349"/>
      <c r="F114" s="349"/>
      <c r="G114" s="349"/>
      <c r="H114" s="655"/>
      <c r="I114" s="363" t="str">
        <f t="shared" si="81"/>
        <v>-</v>
      </c>
      <c r="J114" s="363" t="str">
        <f t="shared" si="82"/>
        <v>-</v>
      </c>
      <c r="K114" s="199" t="str">
        <f t="shared" si="83"/>
        <v>-</v>
      </c>
      <c r="L114" s="657"/>
      <c r="M114" s="513" t="e">
        <f>RANK(K114, K$107:$K$121)</f>
        <v>#VALUE!</v>
      </c>
      <c r="N114" s="641"/>
      <c r="O114" s="641"/>
      <c r="P114" s="510"/>
      <c r="Q114" s="512"/>
      <c r="R114" s="512"/>
      <c r="S114" s="510"/>
      <c r="T114" s="642"/>
      <c r="U114" s="510"/>
      <c r="V114" s="512"/>
      <c r="W114" s="512"/>
      <c r="X114" s="510"/>
      <c r="Y114" s="642"/>
      <c r="Z114" s="510"/>
      <c r="AA114" s="512"/>
      <c r="AB114" s="512"/>
      <c r="AC114" s="510"/>
      <c r="AD114" s="642"/>
      <c r="AE114" s="510"/>
      <c r="AF114" s="512"/>
      <c r="AG114" s="512"/>
      <c r="AH114" s="510"/>
      <c r="AI114" s="642"/>
      <c r="AJ114" s="510"/>
      <c r="AK114" s="512"/>
      <c r="AL114" s="512"/>
      <c r="AM114" s="510"/>
      <c r="AN114" s="642"/>
      <c r="AO114" s="510"/>
      <c r="AP114" s="512"/>
      <c r="AQ114" s="512"/>
      <c r="AR114" s="510"/>
      <c r="AS114" s="642"/>
      <c r="AT114" s="510"/>
      <c r="AU114" s="512"/>
      <c r="AV114" s="512"/>
      <c r="AW114" s="510"/>
      <c r="AX114" s="642"/>
      <c r="AZ114" s="369" t="e">
        <f t="shared" si="84"/>
        <v>#N/A</v>
      </c>
      <c r="BA114" s="698"/>
    </row>
    <row r="115" spans="2:53">
      <c r="B115" s="676"/>
      <c r="C115" s="348">
        <v>9</v>
      </c>
      <c r="D115" s="351"/>
      <c r="E115" s="349"/>
      <c r="F115" s="349"/>
      <c r="G115" s="349"/>
      <c r="H115" s="655"/>
      <c r="I115" s="363" t="str">
        <f t="shared" si="81"/>
        <v>-</v>
      </c>
      <c r="J115" s="363" t="str">
        <f t="shared" si="82"/>
        <v>-</v>
      </c>
      <c r="K115" s="199" t="str">
        <f t="shared" si="83"/>
        <v>-</v>
      </c>
      <c r="L115" s="657"/>
      <c r="M115" s="513" t="e">
        <f>RANK(K115, K$107:$K$121)</f>
        <v>#VALUE!</v>
      </c>
      <c r="N115" s="641"/>
      <c r="O115" s="641"/>
      <c r="P115" s="510"/>
      <c r="Q115" s="512"/>
      <c r="R115" s="512"/>
      <c r="S115" s="510"/>
      <c r="T115" s="642"/>
      <c r="U115" s="510"/>
      <c r="V115" s="512"/>
      <c r="W115" s="512"/>
      <c r="X115" s="510"/>
      <c r="Y115" s="642"/>
      <c r="Z115" s="510"/>
      <c r="AA115" s="512"/>
      <c r="AB115" s="512"/>
      <c r="AC115" s="510"/>
      <c r="AD115" s="642"/>
      <c r="AE115" s="510"/>
      <c r="AF115" s="512"/>
      <c r="AG115" s="512"/>
      <c r="AH115" s="510"/>
      <c r="AI115" s="642"/>
      <c r="AJ115" s="510"/>
      <c r="AK115" s="512"/>
      <c r="AL115" s="512"/>
      <c r="AM115" s="510"/>
      <c r="AN115" s="642"/>
      <c r="AO115" s="510"/>
      <c r="AP115" s="512"/>
      <c r="AQ115" s="512"/>
      <c r="AR115" s="510"/>
      <c r="AS115" s="642"/>
      <c r="AT115" s="510"/>
      <c r="AU115" s="512"/>
      <c r="AV115" s="512"/>
      <c r="AW115" s="510"/>
      <c r="AX115" s="642"/>
      <c r="AZ115" s="369" t="e">
        <f t="shared" si="84"/>
        <v>#N/A</v>
      </c>
      <c r="BA115" s="698"/>
    </row>
    <row r="116" spans="2:53">
      <c r="B116" s="676"/>
      <c r="C116" s="348">
        <v>10</v>
      </c>
      <c r="D116" s="351"/>
      <c r="E116" s="349"/>
      <c r="F116" s="349"/>
      <c r="G116" s="349"/>
      <c r="H116" s="655"/>
      <c r="I116" s="363" t="str">
        <f t="shared" si="81"/>
        <v>-</v>
      </c>
      <c r="J116" s="363" t="str">
        <f t="shared" si="82"/>
        <v>-</v>
      </c>
      <c r="K116" s="199" t="str">
        <f t="shared" si="83"/>
        <v>-</v>
      </c>
      <c r="L116" s="657"/>
      <c r="M116" s="513" t="e">
        <f>RANK(K116, K$107:$K$121)</f>
        <v>#VALUE!</v>
      </c>
      <c r="N116" s="641"/>
      <c r="O116" s="641"/>
      <c r="P116" s="510"/>
      <c r="Q116" s="512"/>
      <c r="R116" s="512"/>
      <c r="S116" s="510"/>
      <c r="T116" s="642"/>
      <c r="U116" s="510"/>
      <c r="V116" s="512"/>
      <c r="W116" s="512"/>
      <c r="X116" s="510"/>
      <c r="Y116" s="642"/>
      <c r="Z116" s="510"/>
      <c r="AA116" s="512"/>
      <c r="AB116" s="512"/>
      <c r="AC116" s="510"/>
      <c r="AD116" s="642"/>
      <c r="AE116" s="510"/>
      <c r="AF116" s="512"/>
      <c r="AG116" s="512"/>
      <c r="AH116" s="510"/>
      <c r="AI116" s="642"/>
      <c r="AJ116" s="510"/>
      <c r="AK116" s="512"/>
      <c r="AL116" s="512"/>
      <c r="AM116" s="510"/>
      <c r="AN116" s="642"/>
      <c r="AO116" s="510"/>
      <c r="AP116" s="512"/>
      <c r="AQ116" s="512"/>
      <c r="AR116" s="510"/>
      <c r="AS116" s="642"/>
      <c r="AT116" s="510"/>
      <c r="AU116" s="512"/>
      <c r="AV116" s="512"/>
      <c r="AW116" s="510"/>
      <c r="AX116" s="642"/>
      <c r="AZ116" s="369" t="e">
        <f t="shared" si="84"/>
        <v>#N/A</v>
      </c>
      <c r="BA116" s="698"/>
    </row>
    <row r="117" spans="2:53">
      <c r="B117" s="676"/>
      <c r="C117" s="348">
        <v>11</v>
      </c>
      <c r="D117" s="351"/>
      <c r="E117" s="349"/>
      <c r="F117" s="349"/>
      <c r="G117" s="349"/>
      <c r="H117" s="655"/>
      <c r="I117" s="363" t="str">
        <f t="shared" si="81"/>
        <v>-</v>
      </c>
      <c r="J117" s="363" t="str">
        <f t="shared" si="82"/>
        <v>-</v>
      </c>
      <c r="K117" s="199" t="str">
        <f t="shared" si="83"/>
        <v>-</v>
      </c>
      <c r="L117" s="657"/>
      <c r="M117" s="513" t="e">
        <f>RANK(K117, K$107:$K$121)</f>
        <v>#VALUE!</v>
      </c>
      <c r="N117" s="641"/>
      <c r="O117" s="641"/>
      <c r="P117" s="510"/>
      <c r="Q117" s="512"/>
      <c r="R117" s="512"/>
      <c r="S117" s="510"/>
      <c r="T117" s="642"/>
      <c r="U117" s="510"/>
      <c r="V117" s="512"/>
      <c r="W117" s="512"/>
      <c r="X117" s="510"/>
      <c r="Y117" s="642"/>
      <c r="Z117" s="510"/>
      <c r="AA117" s="512"/>
      <c r="AB117" s="512"/>
      <c r="AC117" s="510"/>
      <c r="AD117" s="642"/>
      <c r="AE117" s="510"/>
      <c r="AF117" s="512"/>
      <c r="AG117" s="512"/>
      <c r="AH117" s="510"/>
      <c r="AI117" s="642"/>
      <c r="AJ117" s="510"/>
      <c r="AK117" s="512"/>
      <c r="AL117" s="512"/>
      <c r="AM117" s="510"/>
      <c r="AN117" s="642"/>
      <c r="AO117" s="510"/>
      <c r="AP117" s="512"/>
      <c r="AQ117" s="512"/>
      <c r="AR117" s="510"/>
      <c r="AS117" s="642"/>
      <c r="AT117" s="510"/>
      <c r="AU117" s="512"/>
      <c r="AV117" s="512"/>
      <c r="AW117" s="510"/>
      <c r="AX117" s="642"/>
      <c r="AZ117" s="369" t="e">
        <f t="shared" si="84"/>
        <v>#N/A</v>
      </c>
      <c r="BA117" s="698"/>
    </row>
    <row r="118" spans="2:53">
      <c r="B118" s="676"/>
      <c r="C118" s="348">
        <v>12</v>
      </c>
      <c r="D118" s="351"/>
      <c r="E118" s="349"/>
      <c r="F118" s="349"/>
      <c r="G118" s="349"/>
      <c r="H118" s="655"/>
      <c r="I118" s="363" t="str">
        <f t="shared" si="81"/>
        <v>-</v>
      </c>
      <c r="J118" s="363" t="str">
        <f t="shared" si="82"/>
        <v>-</v>
      </c>
      <c r="K118" s="199" t="str">
        <f t="shared" si="83"/>
        <v>-</v>
      </c>
      <c r="L118" s="657"/>
      <c r="M118" s="513" t="e">
        <f>RANK(K118, K$107:$K$121)</f>
        <v>#VALUE!</v>
      </c>
      <c r="N118" s="641"/>
      <c r="O118" s="641"/>
      <c r="P118" s="510"/>
      <c r="Q118" s="512"/>
      <c r="R118" s="512"/>
      <c r="S118" s="510"/>
      <c r="T118" s="642"/>
      <c r="U118" s="510"/>
      <c r="V118" s="512"/>
      <c r="W118" s="512"/>
      <c r="X118" s="510"/>
      <c r="Y118" s="642"/>
      <c r="Z118" s="510"/>
      <c r="AA118" s="512"/>
      <c r="AB118" s="512"/>
      <c r="AC118" s="510"/>
      <c r="AD118" s="642"/>
      <c r="AE118" s="510"/>
      <c r="AF118" s="512"/>
      <c r="AG118" s="512"/>
      <c r="AH118" s="510"/>
      <c r="AI118" s="642"/>
      <c r="AJ118" s="510"/>
      <c r="AK118" s="512"/>
      <c r="AL118" s="512"/>
      <c r="AM118" s="510"/>
      <c r="AN118" s="642"/>
      <c r="AO118" s="510"/>
      <c r="AP118" s="512"/>
      <c r="AQ118" s="512"/>
      <c r="AR118" s="510"/>
      <c r="AS118" s="642"/>
      <c r="AT118" s="510"/>
      <c r="AU118" s="512"/>
      <c r="AV118" s="512"/>
      <c r="AW118" s="510"/>
      <c r="AX118" s="642"/>
      <c r="AZ118" s="369" t="e">
        <f t="shared" si="84"/>
        <v>#N/A</v>
      </c>
      <c r="BA118" s="698"/>
    </row>
    <row r="119" spans="2:53">
      <c r="B119" s="676"/>
      <c r="C119" s="348">
        <v>13</v>
      </c>
      <c r="D119" s="351"/>
      <c r="E119" s="349"/>
      <c r="F119" s="349"/>
      <c r="G119" s="349"/>
      <c r="H119" s="655"/>
      <c r="I119" s="363" t="str">
        <f t="shared" si="81"/>
        <v>-</v>
      </c>
      <c r="J119" s="363" t="str">
        <f t="shared" si="82"/>
        <v>-</v>
      </c>
      <c r="K119" s="199" t="str">
        <f t="shared" si="83"/>
        <v>-</v>
      </c>
      <c r="L119" s="657"/>
      <c r="M119" s="513" t="e">
        <f>RANK(K119, K$107:$K$121)</f>
        <v>#VALUE!</v>
      </c>
      <c r="N119" s="641"/>
      <c r="O119" s="641"/>
      <c r="P119" s="510"/>
      <c r="Q119" s="512"/>
      <c r="R119" s="512"/>
      <c r="S119" s="510"/>
      <c r="T119" s="642"/>
      <c r="U119" s="510"/>
      <c r="V119" s="512"/>
      <c r="W119" s="512"/>
      <c r="X119" s="510"/>
      <c r="Y119" s="642"/>
      <c r="Z119" s="510"/>
      <c r="AA119" s="512"/>
      <c r="AB119" s="512"/>
      <c r="AC119" s="510"/>
      <c r="AD119" s="642"/>
      <c r="AE119" s="510"/>
      <c r="AF119" s="512"/>
      <c r="AG119" s="512"/>
      <c r="AH119" s="510"/>
      <c r="AI119" s="642"/>
      <c r="AJ119" s="510"/>
      <c r="AK119" s="512"/>
      <c r="AL119" s="512"/>
      <c r="AM119" s="510"/>
      <c r="AN119" s="642"/>
      <c r="AO119" s="510"/>
      <c r="AP119" s="512"/>
      <c r="AQ119" s="512"/>
      <c r="AR119" s="510"/>
      <c r="AS119" s="642"/>
      <c r="AT119" s="510"/>
      <c r="AU119" s="512"/>
      <c r="AV119" s="512"/>
      <c r="AW119" s="510"/>
      <c r="AX119" s="642"/>
      <c r="AZ119" s="369" t="e">
        <f t="shared" si="84"/>
        <v>#N/A</v>
      </c>
      <c r="BA119" s="698"/>
    </row>
    <row r="120" spans="2:53">
      <c r="B120" s="676"/>
      <c r="C120" s="348">
        <v>14</v>
      </c>
      <c r="D120" s="351"/>
      <c r="E120" s="349"/>
      <c r="F120" s="349"/>
      <c r="G120" s="349"/>
      <c r="H120" s="655"/>
      <c r="I120" s="363" t="str">
        <f t="shared" si="81"/>
        <v>-</v>
      </c>
      <c r="J120" s="363" t="str">
        <f t="shared" si="82"/>
        <v>-</v>
      </c>
      <c r="K120" s="199" t="str">
        <f t="shared" si="83"/>
        <v>-</v>
      </c>
      <c r="L120" s="657"/>
      <c r="M120" s="513" t="e">
        <f>RANK(K120, K$107:$K$121)</f>
        <v>#VALUE!</v>
      </c>
      <c r="N120" s="641"/>
      <c r="O120" s="641"/>
      <c r="P120" s="510"/>
      <c r="Q120" s="512"/>
      <c r="R120" s="512"/>
      <c r="S120" s="510"/>
      <c r="T120" s="642"/>
      <c r="U120" s="510"/>
      <c r="V120" s="512"/>
      <c r="W120" s="512"/>
      <c r="X120" s="510"/>
      <c r="Y120" s="642"/>
      <c r="Z120" s="510"/>
      <c r="AA120" s="512"/>
      <c r="AB120" s="512"/>
      <c r="AC120" s="510"/>
      <c r="AD120" s="642"/>
      <c r="AE120" s="510"/>
      <c r="AF120" s="512"/>
      <c r="AG120" s="512"/>
      <c r="AH120" s="510"/>
      <c r="AI120" s="642"/>
      <c r="AJ120" s="510"/>
      <c r="AK120" s="512"/>
      <c r="AL120" s="512"/>
      <c r="AM120" s="510"/>
      <c r="AN120" s="642"/>
      <c r="AO120" s="510"/>
      <c r="AP120" s="512"/>
      <c r="AQ120" s="512"/>
      <c r="AR120" s="510"/>
      <c r="AS120" s="642"/>
      <c r="AT120" s="510"/>
      <c r="AU120" s="512"/>
      <c r="AV120" s="512"/>
      <c r="AW120" s="510"/>
      <c r="AX120" s="642"/>
      <c r="AZ120" s="369" t="e">
        <f t="shared" si="84"/>
        <v>#N/A</v>
      </c>
      <c r="BA120" s="698"/>
    </row>
    <row r="121" spans="2:53">
      <c r="B121" s="676"/>
      <c r="C121" s="348">
        <v>15</v>
      </c>
      <c r="D121" s="351"/>
      <c r="E121" s="349"/>
      <c r="F121" s="349"/>
      <c r="G121" s="349"/>
      <c r="H121" s="712"/>
      <c r="I121" s="366"/>
      <c r="J121" s="366"/>
      <c r="K121" s="364"/>
      <c r="L121" s="658"/>
      <c r="M121" s="513" t="e">
        <f>RANK(K121, K$107:$K$121)</f>
        <v>#N/A</v>
      </c>
      <c r="N121" s="641"/>
      <c r="O121" s="641"/>
      <c r="P121" s="510"/>
      <c r="Q121" s="512"/>
      <c r="R121" s="512"/>
      <c r="S121" s="510"/>
      <c r="T121" s="642"/>
      <c r="U121" s="510"/>
      <c r="V121" s="512"/>
      <c r="W121" s="512"/>
      <c r="X121" s="510"/>
      <c r="Y121" s="642"/>
      <c r="Z121" s="510"/>
      <c r="AA121" s="512"/>
      <c r="AB121" s="512"/>
      <c r="AC121" s="510"/>
      <c r="AD121" s="642"/>
      <c r="AE121" s="510"/>
      <c r="AF121" s="512"/>
      <c r="AG121" s="512"/>
      <c r="AH121" s="510"/>
      <c r="AI121" s="642"/>
      <c r="AJ121" s="510"/>
      <c r="AK121" s="512"/>
      <c r="AL121" s="512"/>
      <c r="AM121" s="510"/>
      <c r="AN121" s="642"/>
      <c r="AO121" s="510"/>
      <c r="AP121" s="512"/>
      <c r="AQ121" s="512"/>
      <c r="AR121" s="510"/>
      <c r="AS121" s="642"/>
      <c r="AT121" s="510"/>
      <c r="AU121" s="512"/>
      <c r="AV121" s="512"/>
      <c r="AW121" s="510"/>
      <c r="AX121" s="642"/>
      <c r="AZ121" s="369" t="e">
        <f t="shared" si="84"/>
        <v>#N/A</v>
      </c>
      <c r="BA121" s="698"/>
    </row>
    <row r="123" spans="2:53" ht="15.75">
      <c r="B123" s="649" t="s">
        <v>485</v>
      </c>
      <c r="C123" s="650"/>
      <c r="D123" s="650"/>
      <c r="E123" s="650"/>
      <c r="F123" s="650"/>
      <c r="G123" s="650"/>
      <c r="H123" s="651"/>
      <c r="I123" s="307"/>
      <c r="J123" s="307"/>
      <c r="K123" s="307"/>
      <c r="L123" s="307"/>
      <c r="M123" s="308"/>
    </row>
    <row r="124" spans="2:53" ht="15.75">
      <c r="B124" s="652"/>
      <c r="C124" s="652"/>
      <c r="D124" s="652"/>
      <c r="E124" s="652"/>
      <c r="F124" s="652"/>
      <c r="G124" s="652"/>
      <c r="H124" s="652"/>
      <c r="I124" s="309"/>
      <c r="J124" s="309"/>
      <c r="K124" s="309"/>
      <c r="L124" s="309"/>
      <c r="M124" s="310"/>
    </row>
    <row r="125" spans="2:53">
      <c r="B125" s="641" t="s">
        <v>154</v>
      </c>
      <c r="C125" s="641" t="s">
        <v>379</v>
      </c>
      <c r="D125" s="641"/>
      <c r="E125" s="641" t="s">
        <v>370</v>
      </c>
      <c r="F125" s="641"/>
      <c r="G125" s="641"/>
      <c r="H125" s="673" t="s">
        <v>366</v>
      </c>
      <c r="I125" s="653" t="s">
        <v>371</v>
      </c>
      <c r="J125" s="653"/>
      <c r="K125" s="653"/>
      <c r="L125" s="706" t="s">
        <v>366</v>
      </c>
      <c r="M125" s="709" t="s">
        <v>367</v>
      </c>
    </row>
    <row r="126" spans="2:53">
      <c r="B126" s="641"/>
      <c r="C126" s="641"/>
      <c r="D126" s="641"/>
      <c r="E126" s="641" t="s">
        <v>373</v>
      </c>
      <c r="F126" s="641"/>
      <c r="G126" s="641"/>
      <c r="H126" s="674"/>
      <c r="I126" s="653" t="s">
        <v>373</v>
      </c>
      <c r="J126" s="653"/>
      <c r="K126" s="653"/>
      <c r="L126" s="707"/>
      <c r="M126" s="710"/>
    </row>
    <row r="127" spans="2:53">
      <c r="B127" s="641"/>
      <c r="C127" s="641"/>
      <c r="D127" s="641"/>
      <c r="E127" s="304" t="s">
        <v>375</v>
      </c>
      <c r="F127" s="304" t="s">
        <v>376</v>
      </c>
      <c r="G127" s="304" t="s">
        <v>377</v>
      </c>
      <c r="H127" s="675"/>
      <c r="I127" s="311" t="s">
        <v>375</v>
      </c>
      <c r="J127" s="311" t="s">
        <v>376</v>
      </c>
      <c r="K127" s="311" t="s">
        <v>377</v>
      </c>
      <c r="L127" s="708"/>
      <c r="M127" s="711"/>
    </row>
    <row r="128" spans="2:53">
      <c r="B128" s="699" t="s">
        <v>378</v>
      </c>
      <c r="C128" s="303">
        <v>1</v>
      </c>
      <c r="D128" s="225"/>
      <c r="E128" s="181"/>
      <c r="F128" s="303"/>
      <c r="G128" s="306"/>
      <c r="H128" s="700" t="e">
        <f>AVERAGE(G128:G142)</f>
        <v>#DIV/0!</v>
      </c>
      <c r="I128" s="198" t="e">
        <f t="shared" ref="I128:J138" si="86">AVERAGEIF($D$7:$D$121,$D128,I$7:I$121)</f>
        <v>#DIV/0!</v>
      </c>
      <c r="J128" s="198" t="e">
        <f t="shared" si="86"/>
        <v>#DIV/0!</v>
      </c>
      <c r="K128" s="198" t="e">
        <f t="shared" ref="K128:K138" si="87"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39">
      <c r="B129" s="647"/>
      <c r="C129" s="303">
        <v>2</v>
      </c>
      <c r="D129" s="225"/>
      <c r="E129" s="181"/>
      <c r="F129" s="303"/>
      <c r="G129" s="306"/>
      <c r="H129" s="701"/>
      <c r="I129" s="198" t="e">
        <f t="shared" si="86"/>
        <v>#DIV/0!</v>
      </c>
      <c r="J129" s="198" t="e">
        <f t="shared" si="86"/>
        <v>#DIV/0!</v>
      </c>
      <c r="K129" s="198" t="e">
        <f t="shared" si="87"/>
        <v>#DIV/0!</v>
      </c>
      <c r="L129" s="704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7"/>
      <c r="C130" s="303">
        <v>3</v>
      </c>
      <c r="D130" s="225"/>
      <c r="E130" s="181"/>
      <c r="F130" s="303"/>
      <c r="G130" s="306"/>
      <c r="H130" s="701"/>
      <c r="I130" s="198" t="e">
        <f t="shared" si="86"/>
        <v>#DIV/0!</v>
      </c>
      <c r="J130" s="198" t="e">
        <f t="shared" si="86"/>
        <v>#DIV/0!</v>
      </c>
      <c r="K130" s="198" t="e">
        <f t="shared" si="87"/>
        <v>#DIV/0!</v>
      </c>
      <c r="L130" s="704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7"/>
      <c r="C131" s="303">
        <v>4</v>
      </c>
      <c r="D131" s="225"/>
      <c r="E131" s="181"/>
      <c r="F131" s="303"/>
      <c r="G131" s="306"/>
      <c r="H131" s="701"/>
      <c r="I131" s="198" t="e">
        <f t="shared" si="86"/>
        <v>#DIV/0!</v>
      </c>
      <c r="J131" s="198" t="e">
        <f t="shared" si="86"/>
        <v>#DIV/0!</v>
      </c>
      <c r="K131" s="198" t="e">
        <f t="shared" si="87"/>
        <v>#DIV/0!</v>
      </c>
      <c r="L131" s="704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7"/>
      <c r="C132" s="303">
        <v>5</v>
      </c>
      <c r="D132" s="225"/>
      <c r="E132" s="181"/>
      <c r="F132" s="303"/>
      <c r="G132" s="306"/>
      <c r="H132" s="701"/>
      <c r="I132" s="198" t="e">
        <f t="shared" si="86"/>
        <v>#DIV/0!</v>
      </c>
      <c r="J132" s="198" t="e">
        <f t="shared" si="86"/>
        <v>#DIV/0!</v>
      </c>
      <c r="K132" s="198" t="e">
        <f t="shared" si="87"/>
        <v>#DIV/0!</v>
      </c>
      <c r="L132" s="704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7"/>
      <c r="C133" s="303">
        <v>6</v>
      </c>
      <c r="D133" s="312"/>
      <c r="E133" s="181"/>
      <c r="F133" s="303"/>
      <c r="G133" s="306"/>
      <c r="H133" s="701"/>
      <c r="I133" s="198" t="e">
        <f t="shared" si="86"/>
        <v>#DIV/0!</v>
      </c>
      <c r="J133" s="198" t="e">
        <f t="shared" si="86"/>
        <v>#DIV/0!</v>
      </c>
      <c r="K133" s="198" t="e">
        <f t="shared" si="87"/>
        <v>#DIV/0!</v>
      </c>
      <c r="L133" s="704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7"/>
      <c r="C134" s="303">
        <v>7</v>
      </c>
      <c r="D134" s="225"/>
      <c r="E134" s="181"/>
      <c r="F134" s="303"/>
      <c r="G134" s="306"/>
      <c r="H134" s="701"/>
      <c r="I134" s="198" t="e">
        <f t="shared" si="86"/>
        <v>#DIV/0!</v>
      </c>
      <c r="J134" s="198" t="e">
        <f t="shared" si="86"/>
        <v>#DIV/0!</v>
      </c>
      <c r="K134" s="198" t="e">
        <f t="shared" si="87"/>
        <v>#DIV/0!</v>
      </c>
      <c r="L134" s="704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7"/>
      <c r="C135" s="303">
        <v>8</v>
      </c>
      <c r="D135" s="225"/>
      <c r="E135" s="181"/>
      <c r="F135" s="303"/>
      <c r="G135" s="306"/>
      <c r="H135" s="701"/>
      <c r="I135" s="198" t="e">
        <f t="shared" si="86"/>
        <v>#DIV/0!</v>
      </c>
      <c r="J135" s="198" t="e">
        <f t="shared" si="86"/>
        <v>#DIV/0!</v>
      </c>
      <c r="K135" s="198" t="e">
        <f t="shared" si="87"/>
        <v>#DIV/0!</v>
      </c>
      <c r="L135" s="704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7"/>
      <c r="C136" s="303">
        <v>9</v>
      </c>
      <c r="D136" s="225"/>
      <c r="E136" s="303"/>
      <c r="F136" s="303"/>
      <c r="G136" s="303"/>
      <c r="H136" s="701"/>
      <c r="I136" s="198" t="e">
        <f t="shared" si="86"/>
        <v>#DIV/0!</v>
      </c>
      <c r="J136" s="198" t="e">
        <f t="shared" si="86"/>
        <v>#DIV/0!</v>
      </c>
      <c r="K136" s="198" t="e">
        <f t="shared" si="87"/>
        <v>#DIV/0!</v>
      </c>
      <c r="L136" s="704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7"/>
      <c r="C137" s="303">
        <v>10</v>
      </c>
      <c r="D137" s="225"/>
      <c r="E137" s="303"/>
      <c r="F137" s="303"/>
      <c r="G137" s="303"/>
      <c r="H137" s="701"/>
      <c r="I137" s="198" t="e">
        <f t="shared" si="86"/>
        <v>#DIV/0!</v>
      </c>
      <c r="J137" s="198" t="e">
        <f t="shared" si="86"/>
        <v>#DIV/0!</v>
      </c>
      <c r="K137" s="198" t="e">
        <f t="shared" si="87"/>
        <v>#DIV/0!</v>
      </c>
      <c r="L137" s="704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7"/>
      <c r="C138" s="303">
        <v>11</v>
      </c>
      <c r="D138" s="225"/>
      <c r="E138" s="303"/>
      <c r="F138" s="303"/>
      <c r="G138" s="303"/>
      <c r="H138" s="701"/>
      <c r="I138" s="198" t="e">
        <f t="shared" si="86"/>
        <v>#DIV/0!</v>
      </c>
      <c r="J138" s="198" t="e">
        <f t="shared" si="86"/>
        <v>#DIV/0!</v>
      </c>
      <c r="K138" s="198" t="e">
        <f t="shared" si="87"/>
        <v>#DIV/0!</v>
      </c>
      <c r="L138" s="704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7"/>
      <c r="C139" s="303">
        <v>12</v>
      </c>
      <c r="D139" s="225"/>
      <c r="E139" s="303"/>
      <c r="F139" s="303"/>
      <c r="G139" s="303"/>
      <c r="H139" s="701"/>
      <c r="I139" s="198"/>
      <c r="J139" s="198"/>
      <c r="K139" s="198"/>
      <c r="L139" s="704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7"/>
      <c r="C140" s="303">
        <v>13</v>
      </c>
      <c r="D140" s="225"/>
      <c r="E140" s="303"/>
      <c r="F140" s="303"/>
      <c r="G140" s="303"/>
      <c r="H140" s="701"/>
      <c r="I140" s="198"/>
      <c r="J140" s="198"/>
      <c r="K140" s="198"/>
      <c r="L140" s="704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7"/>
      <c r="C141" s="303">
        <v>14</v>
      </c>
      <c r="D141" s="225"/>
      <c r="E141" s="303"/>
      <c r="F141" s="303"/>
      <c r="G141" s="303"/>
      <c r="H141" s="701"/>
      <c r="I141" s="198"/>
      <c r="J141" s="198"/>
      <c r="K141" s="198"/>
      <c r="L141" s="704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7"/>
      <c r="C142" s="303">
        <v>15</v>
      </c>
      <c r="D142" s="225"/>
      <c r="E142" s="303"/>
      <c r="F142" s="303"/>
      <c r="G142" s="303"/>
      <c r="H142" s="702"/>
      <c r="I142" s="198"/>
      <c r="J142" s="198"/>
      <c r="K142" s="198"/>
      <c r="L142" s="705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0" zoomScale="55" zoomScaleNormal="55" workbookViewId="0">
      <pane xSplit="15" topLeftCell="P1" activePane="topRight" state="frozen"/>
      <selection activeCell="P6" sqref="P6"/>
      <selection pane="topRight" activeCell="M68" sqref="M68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148.95719150355137</v>
      </c>
    </row>
    <row r="2" spans="1:53" ht="15.75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43" t="s">
        <v>156</v>
      </c>
      <c r="O2" s="643" t="s">
        <v>155</v>
      </c>
      <c r="P2" s="668">
        <v>46231</v>
      </c>
      <c r="Q2" s="647"/>
      <c r="R2" s="647"/>
      <c r="S2" s="647"/>
      <c r="T2" s="647"/>
      <c r="U2" s="665">
        <f>P2+1</f>
        <v>46232</v>
      </c>
      <c r="V2" s="666"/>
      <c r="W2" s="666"/>
      <c r="X2" s="666"/>
      <c r="Y2" s="667"/>
      <c r="Z2" s="665">
        <f>U2+1</f>
        <v>46233</v>
      </c>
      <c r="AA2" s="666"/>
      <c r="AB2" s="666"/>
      <c r="AC2" s="666"/>
      <c r="AD2" s="667"/>
      <c r="AE2" s="665">
        <f>Z2+1</f>
        <v>46234</v>
      </c>
      <c r="AF2" s="666"/>
      <c r="AG2" s="666"/>
      <c r="AH2" s="666"/>
      <c r="AI2" s="667"/>
      <c r="AJ2" s="665">
        <f>AE2+1</f>
        <v>46235</v>
      </c>
      <c r="AK2" s="666"/>
      <c r="AL2" s="666"/>
      <c r="AM2" s="666"/>
      <c r="AN2" s="667"/>
      <c r="AO2" s="665">
        <f>AJ2+1</f>
        <v>46236</v>
      </c>
      <c r="AP2" s="666"/>
      <c r="AQ2" s="666"/>
      <c r="AR2" s="666"/>
      <c r="AS2" s="667"/>
      <c r="AT2" s="665">
        <f>AO2+1</f>
        <v>46237</v>
      </c>
      <c r="AU2" s="666"/>
      <c r="AV2" s="666"/>
      <c r="AW2" s="666"/>
      <c r="AX2" s="667"/>
    </row>
    <row r="3" spans="1:53" ht="15.75">
      <c r="A3" s="81"/>
      <c r="B3" s="713"/>
      <c r="C3" s="713"/>
      <c r="D3" s="713"/>
      <c r="E3" s="713"/>
      <c r="F3" s="713"/>
      <c r="G3" s="713"/>
      <c r="H3" s="713"/>
      <c r="I3" s="285"/>
      <c r="J3" s="285"/>
      <c r="K3" s="285"/>
      <c r="L3" s="285"/>
      <c r="M3" s="197"/>
      <c r="N3" s="645"/>
      <c r="O3" s="645"/>
      <c r="P3" s="668" t="s">
        <v>158</v>
      </c>
      <c r="Q3" s="647"/>
      <c r="R3" s="647"/>
      <c r="S3" s="647"/>
      <c r="T3" s="647"/>
      <c r="U3" s="668" t="s">
        <v>114</v>
      </c>
      <c r="V3" s="647"/>
      <c r="W3" s="647"/>
      <c r="X3" s="647"/>
      <c r="Y3" s="647"/>
      <c r="Z3" s="668" t="s">
        <v>159</v>
      </c>
      <c r="AA3" s="647"/>
      <c r="AB3" s="647"/>
      <c r="AC3" s="647"/>
      <c r="AD3" s="647"/>
      <c r="AE3" s="668" t="s">
        <v>157</v>
      </c>
      <c r="AF3" s="647"/>
      <c r="AG3" s="647"/>
      <c r="AH3" s="647"/>
      <c r="AI3" s="647"/>
      <c r="AJ3" s="668" t="s">
        <v>160</v>
      </c>
      <c r="AK3" s="647"/>
      <c r="AL3" s="647"/>
      <c r="AM3" s="647"/>
      <c r="AN3" s="647"/>
      <c r="AO3" s="668" t="s">
        <v>115</v>
      </c>
      <c r="AP3" s="647"/>
      <c r="AQ3" s="647"/>
      <c r="AR3" s="647"/>
      <c r="AS3" s="647"/>
      <c r="AT3" s="668" t="s">
        <v>161</v>
      </c>
      <c r="AU3" s="647"/>
      <c r="AV3" s="647"/>
      <c r="AW3" s="647"/>
      <c r="AX3" s="647"/>
    </row>
    <row r="4" spans="1:53" ht="14.25">
      <c r="A4" s="81"/>
      <c r="B4" s="641" t="s">
        <v>389</v>
      </c>
      <c r="C4" s="641" t="s">
        <v>379</v>
      </c>
      <c r="D4" s="641"/>
      <c r="E4" s="641" t="s">
        <v>370</v>
      </c>
      <c r="F4" s="641"/>
      <c r="G4" s="641"/>
      <c r="H4" s="673" t="s">
        <v>366</v>
      </c>
      <c r="I4" s="688" t="s">
        <v>371</v>
      </c>
      <c r="J4" s="688"/>
      <c r="K4" s="688"/>
      <c r="L4" s="689" t="s">
        <v>366</v>
      </c>
      <c r="M4" s="677" t="s">
        <v>367</v>
      </c>
      <c r="N4" s="641"/>
      <c r="O4" s="641" t="s">
        <v>372</v>
      </c>
      <c r="P4" s="659" t="s">
        <v>368</v>
      </c>
      <c r="Q4" s="660"/>
      <c r="R4" s="660"/>
      <c r="S4" s="661"/>
      <c r="T4" s="641" t="s">
        <v>366</v>
      </c>
      <c r="U4" s="659" t="s">
        <v>368</v>
      </c>
      <c r="V4" s="660"/>
      <c r="W4" s="660"/>
      <c r="X4" s="661"/>
      <c r="Y4" s="641" t="s">
        <v>366</v>
      </c>
      <c r="Z4" s="659" t="s">
        <v>368</v>
      </c>
      <c r="AA4" s="660"/>
      <c r="AB4" s="660"/>
      <c r="AC4" s="661"/>
      <c r="AD4" s="641" t="s">
        <v>366</v>
      </c>
      <c r="AE4" s="659" t="s">
        <v>368</v>
      </c>
      <c r="AF4" s="660"/>
      <c r="AG4" s="660"/>
      <c r="AH4" s="661"/>
      <c r="AI4" s="641" t="s">
        <v>366</v>
      </c>
      <c r="AJ4" s="659" t="s">
        <v>368</v>
      </c>
      <c r="AK4" s="660"/>
      <c r="AL4" s="660"/>
      <c r="AM4" s="661"/>
      <c r="AN4" s="641" t="s">
        <v>366</v>
      </c>
      <c r="AO4" s="659" t="s">
        <v>368</v>
      </c>
      <c r="AP4" s="660"/>
      <c r="AQ4" s="660"/>
      <c r="AR4" s="661"/>
      <c r="AS4" s="641" t="s">
        <v>366</v>
      </c>
      <c r="AT4" s="659" t="s">
        <v>368</v>
      </c>
      <c r="AU4" s="660"/>
      <c r="AV4" s="660"/>
      <c r="AW4" s="661"/>
      <c r="AX4" s="641" t="s">
        <v>366</v>
      </c>
      <c r="BA4" s="641" t="s">
        <v>366</v>
      </c>
    </row>
    <row r="5" spans="1:53" ht="14.25">
      <c r="A5" s="81"/>
      <c r="B5" s="641"/>
      <c r="C5" s="641"/>
      <c r="D5" s="641"/>
      <c r="E5" s="641" t="s">
        <v>373</v>
      </c>
      <c r="F5" s="641"/>
      <c r="G5" s="641"/>
      <c r="H5" s="674"/>
      <c r="I5" s="688" t="s">
        <v>373</v>
      </c>
      <c r="J5" s="688"/>
      <c r="K5" s="688"/>
      <c r="L5" s="690"/>
      <c r="M5" s="678"/>
      <c r="N5" s="641"/>
      <c r="O5" s="641"/>
      <c r="P5" s="659" t="s">
        <v>374</v>
      </c>
      <c r="Q5" s="660"/>
      <c r="R5" s="660"/>
      <c r="S5" s="661"/>
      <c r="T5" s="641"/>
      <c r="U5" s="659" t="s">
        <v>374</v>
      </c>
      <c r="V5" s="660"/>
      <c r="W5" s="660"/>
      <c r="X5" s="661"/>
      <c r="Y5" s="641"/>
      <c r="Z5" s="659" t="s">
        <v>374</v>
      </c>
      <c r="AA5" s="660"/>
      <c r="AB5" s="660"/>
      <c r="AC5" s="661"/>
      <c r="AD5" s="641"/>
      <c r="AE5" s="659" t="s">
        <v>374</v>
      </c>
      <c r="AF5" s="660"/>
      <c r="AG5" s="660"/>
      <c r="AH5" s="661"/>
      <c r="AI5" s="641"/>
      <c r="AJ5" s="659" t="s">
        <v>374</v>
      </c>
      <c r="AK5" s="660"/>
      <c r="AL5" s="660"/>
      <c r="AM5" s="661"/>
      <c r="AN5" s="641"/>
      <c r="AO5" s="659" t="s">
        <v>374</v>
      </c>
      <c r="AP5" s="660"/>
      <c r="AQ5" s="660"/>
      <c r="AR5" s="661"/>
      <c r="AS5" s="641"/>
      <c r="AT5" s="659" t="s">
        <v>374</v>
      </c>
      <c r="AU5" s="660"/>
      <c r="AV5" s="660"/>
      <c r="AW5" s="661"/>
      <c r="AX5" s="641"/>
      <c r="BA5" s="641"/>
    </row>
    <row r="6" spans="1:53" ht="14.25">
      <c r="A6" s="79"/>
      <c r="B6" s="641"/>
      <c r="C6" s="641"/>
      <c r="D6" s="641"/>
      <c r="E6" s="533" t="s">
        <v>375</v>
      </c>
      <c r="F6" s="533" t="s">
        <v>376</v>
      </c>
      <c r="G6" s="533" t="s">
        <v>377</v>
      </c>
      <c r="H6" s="675"/>
      <c r="I6" s="532" t="s">
        <v>375</v>
      </c>
      <c r="J6" s="532" t="s">
        <v>376</v>
      </c>
      <c r="K6" s="532" t="s">
        <v>377</v>
      </c>
      <c r="L6" s="691"/>
      <c r="M6" s="679"/>
      <c r="N6" s="641"/>
      <c r="O6" s="641"/>
      <c r="P6" s="533" t="s">
        <v>375</v>
      </c>
      <c r="Q6" s="533" t="s">
        <v>376</v>
      </c>
      <c r="R6" s="533" t="s">
        <v>377</v>
      </c>
      <c r="S6" s="533" t="s">
        <v>367</v>
      </c>
      <c r="T6" s="641"/>
      <c r="U6" s="533" t="s">
        <v>375</v>
      </c>
      <c r="V6" s="533" t="s">
        <v>376</v>
      </c>
      <c r="W6" s="533" t="s">
        <v>377</v>
      </c>
      <c r="X6" s="533" t="s">
        <v>367</v>
      </c>
      <c r="Y6" s="641"/>
      <c r="Z6" s="533" t="s">
        <v>375</v>
      </c>
      <c r="AA6" s="533" t="s">
        <v>376</v>
      </c>
      <c r="AB6" s="533" t="s">
        <v>377</v>
      </c>
      <c r="AC6" s="533" t="s">
        <v>367</v>
      </c>
      <c r="AD6" s="641"/>
      <c r="AE6" s="533" t="s">
        <v>375</v>
      </c>
      <c r="AF6" s="533" t="s">
        <v>376</v>
      </c>
      <c r="AG6" s="533" t="s">
        <v>377</v>
      </c>
      <c r="AH6" s="533" t="s">
        <v>367</v>
      </c>
      <c r="AI6" s="641"/>
      <c r="AJ6" s="533" t="s">
        <v>375</v>
      </c>
      <c r="AK6" s="533" t="s">
        <v>376</v>
      </c>
      <c r="AL6" s="533" t="s">
        <v>377</v>
      </c>
      <c r="AM6" s="533" t="s">
        <v>367</v>
      </c>
      <c r="AN6" s="641"/>
      <c r="AO6" s="533" t="s">
        <v>375</v>
      </c>
      <c r="AP6" s="533" t="s">
        <v>376</v>
      </c>
      <c r="AQ6" s="533" t="s">
        <v>377</v>
      </c>
      <c r="AR6" s="533" t="s">
        <v>367</v>
      </c>
      <c r="AS6" s="641"/>
      <c r="AT6" s="533" t="s">
        <v>375</v>
      </c>
      <c r="AU6" s="533" t="s">
        <v>376</v>
      </c>
      <c r="AV6" s="533" t="s">
        <v>377</v>
      </c>
      <c r="AW6" s="533" t="s">
        <v>367</v>
      </c>
      <c r="AX6" s="641"/>
      <c r="AZ6" s="367" t="s">
        <v>367</v>
      </c>
      <c r="BA6" s="641"/>
    </row>
    <row r="7" spans="1:53" ht="14.25">
      <c r="A7" s="81"/>
      <c r="B7" s="641" t="s">
        <v>404</v>
      </c>
      <c r="C7" s="534">
        <v>1</v>
      </c>
      <c r="D7" s="225" t="s">
        <v>694</v>
      </c>
      <c r="E7" s="535">
        <v>15</v>
      </c>
      <c r="F7" s="534">
        <v>2000</v>
      </c>
      <c r="G7" s="536">
        <v>100</v>
      </c>
      <c r="H7" s="700">
        <f>AVERAGE(G7:G21)</f>
        <v>100</v>
      </c>
      <c r="I7" s="538">
        <f t="shared" ref="I7:I20" si="0">IFERROR(AVERAGE(P7,U7,Z7,AE7,AJ7,AO7,AT7),"-")</f>
        <v>13</v>
      </c>
      <c r="J7" s="538">
        <f t="shared" ref="J7:J20" si="1">IFERROR(AVERAGE(Q7,V7,AA7,AF7,AK7,AP7,AU7),"-")</f>
        <v>1988.6714285714284</v>
      </c>
      <c r="K7" s="199">
        <f t="shared" ref="K7:K20" si="2">IFERROR(AVERAGE(R7,W7,AB7,AG7,AL7,AQ7,AV7),"-")</f>
        <v>152.97472527472524</v>
      </c>
      <c r="L7" s="656">
        <f>IFERROR(AVERAGE(K7:K21),"-")</f>
        <v>151.52425431711146</v>
      </c>
      <c r="M7" s="539">
        <f>RANK(K7, K$7:$K$21)</f>
        <v>1</v>
      </c>
      <c r="N7" s="641"/>
      <c r="O7" s="641"/>
      <c r="P7" s="534">
        <v>13</v>
      </c>
      <c r="Q7" s="535">
        <v>2003.9999999999977</v>
      </c>
      <c r="R7" s="535">
        <v>154.15384615384599</v>
      </c>
      <c r="S7" s="534">
        <f>RANK(R7, R$7:R$21)</f>
        <v>1</v>
      </c>
      <c r="T7" s="642">
        <f t="shared" ref="T7" si="3">AVERAGE(R7:R21)</f>
        <v>151.42307692307691</v>
      </c>
      <c r="U7" s="534">
        <v>13</v>
      </c>
      <c r="V7" s="535">
        <v>1947.4285714285697</v>
      </c>
      <c r="W7" s="535">
        <v>149.80219780219767</v>
      </c>
      <c r="X7" s="562">
        <f>RANK(W7, W$7:W$21)</f>
        <v>2</v>
      </c>
      <c r="Y7" s="642">
        <f t="shared" ref="Y7" si="4">AVERAGE(W7:W21)</f>
        <v>154.40109890109892</v>
      </c>
      <c r="Z7" s="534">
        <v>13</v>
      </c>
      <c r="AA7" s="535">
        <v>2048.5714285714266</v>
      </c>
      <c r="AB7" s="535">
        <v>157.58241758241743</v>
      </c>
      <c r="AC7" s="562">
        <f>RANK(AB7, AB$7:AB$21)</f>
        <v>1</v>
      </c>
      <c r="AD7" s="642">
        <f t="shared" ref="AD7" si="5">AVERAGE(AB7:AB21)</f>
        <v>152.598901098901</v>
      </c>
      <c r="AE7" s="534">
        <v>13</v>
      </c>
      <c r="AF7" s="535">
        <v>1783.2000000000005</v>
      </c>
      <c r="AG7" s="535">
        <v>137.16923076923081</v>
      </c>
      <c r="AH7" s="562">
        <f>RANK(AG7, AG$7:AG$21)</f>
        <v>2</v>
      </c>
      <c r="AI7" s="642">
        <f t="shared" ref="AI7" si="6">AVERAGE(AG7:AG21)</f>
        <v>144.43076923076924</v>
      </c>
      <c r="AJ7" s="534">
        <v>13</v>
      </c>
      <c r="AK7" s="535">
        <v>2105.9999999999991</v>
      </c>
      <c r="AL7" s="535">
        <v>161.99999999999994</v>
      </c>
      <c r="AM7" s="562">
        <f>RANK(AL7, AL$7:AL$21)</f>
        <v>1</v>
      </c>
      <c r="AN7" s="642">
        <f t="shared" ref="AN7" si="7">AVERAGE(AL7:AL21)</f>
        <v>153.69230769230779</v>
      </c>
      <c r="AO7" s="534">
        <v>13</v>
      </c>
      <c r="AP7" s="535">
        <v>2032.0000000000018</v>
      </c>
      <c r="AQ7" s="535">
        <v>156.30769230769243</v>
      </c>
      <c r="AR7" s="562">
        <f>RANK(AQ7, AQ$7:AQ$21)</f>
        <v>1</v>
      </c>
      <c r="AS7" s="642">
        <f t="shared" ref="AS7" si="8">AVERAGE(AQ7:AQ21)</f>
        <v>153.07692307692309</v>
      </c>
      <c r="AT7" s="534">
        <v>13</v>
      </c>
      <c r="AU7" s="535">
        <v>1999.5000000000032</v>
      </c>
      <c r="AV7" s="535">
        <v>153.80769230769255</v>
      </c>
      <c r="AW7" s="562">
        <f>RANK(AV7, AV$7:AV$21)</f>
        <v>1</v>
      </c>
      <c r="AX7" s="642">
        <f t="shared" ref="AX7" si="9">AVERAGE(AV7:AV21)</f>
        <v>151.04670329670336</v>
      </c>
      <c r="AZ7" s="368" t="e">
        <f t="shared" ref="AZ7:AZ21" si="10">RANK(AY7, AY$7:AY$21)</f>
        <v>#N/A</v>
      </c>
      <c r="BA7" s="642" t="e">
        <f t="shared" ref="BA7" si="11">AVERAGE(AY7:AY21)</f>
        <v>#DIV/0!</v>
      </c>
    </row>
    <row r="8" spans="1:53" ht="15" customHeight="1">
      <c r="A8" s="81"/>
      <c r="B8" s="647"/>
      <c r="C8" s="534">
        <v>2</v>
      </c>
      <c r="D8" s="225" t="s">
        <v>705</v>
      </c>
      <c r="E8" s="535">
        <v>13</v>
      </c>
      <c r="F8" s="534">
        <v>2000</v>
      </c>
      <c r="G8" s="536">
        <v>100</v>
      </c>
      <c r="H8" s="701"/>
      <c r="I8" s="538">
        <f t="shared" si="0"/>
        <v>13</v>
      </c>
      <c r="J8" s="538">
        <f t="shared" si="1"/>
        <v>1950.9591836734701</v>
      </c>
      <c r="K8" s="199">
        <f t="shared" si="2"/>
        <v>150.07378335949767</v>
      </c>
      <c r="L8" s="657"/>
      <c r="M8" s="565">
        <f>RANK(K8, K$7:$K$21)</f>
        <v>2</v>
      </c>
      <c r="N8" s="641"/>
      <c r="O8" s="641"/>
      <c r="P8" s="534">
        <v>13</v>
      </c>
      <c r="Q8" s="535">
        <v>1933.0000000000018</v>
      </c>
      <c r="R8" s="535">
        <v>148.69230769230782</v>
      </c>
      <c r="S8" s="562">
        <f t="shared" ref="S8:S21" si="12">RANK(R8, R$7:R$21)</f>
        <v>2</v>
      </c>
      <c r="T8" s="642"/>
      <c r="U8" s="534">
        <v>13</v>
      </c>
      <c r="V8" s="535">
        <v>2067.0000000000018</v>
      </c>
      <c r="W8" s="535">
        <v>159.00000000000014</v>
      </c>
      <c r="X8" s="562">
        <f t="shared" ref="X8:X21" si="13">RANK(W8, W$7:W$21)</f>
        <v>1</v>
      </c>
      <c r="Y8" s="642"/>
      <c r="Z8" s="534">
        <v>13</v>
      </c>
      <c r="AA8" s="535">
        <v>1918.9999999999991</v>
      </c>
      <c r="AB8" s="535">
        <v>147.61538461538456</v>
      </c>
      <c r="AC8" s="562">
        <f t="shared" ref="AC8:AC21" si="14">RANK(AB8, AB$7:AB$21)</f>
        <v>2</v>
      </c>
      <c r="AD8" s="642"/>
      <c r="AE8" s="534">
        <v>13</v>
      </c>
      <c r="AF8" s="535">
        <v>1972</v>
      </c>
      <c r="AG8" s="535">
        <v>151.69230769230768</v>
      </c>
      <c r="AH8" s="562">
        <f t="shared" ref="AH8:AH21" si="15">RANK(AG8, AG$7:AG$21)</f>
        <v>1</v>
      </c>
      <c r="AI8" s="642"/>
      <c r="AJ8" s="534">
        <v>13</v>
      </c>
      <c r="AK8" s="535">
        <v>1890.000000000003</v>
      </c>
      <c r="AL8" s="535">
        <v>145.38461538461561</v>
      </c>
      <c r="AM8" s="562">
        <f t="shared" ref="AM8:AM21" si="16">RANK(AL8, AL$7:AL$21)</f>
        <v>2</v>
      </c>
      <c r="AN8" s="642"/>
      <c r="AO8" s="534">
        <v>13</v>
      </c>
      <c r="AP8" s="535">
        <v>1947.9999999999993</v>
      </c>
      <c r="AQ8" s="535">
        <v>149.84615384615378</v>
      </c>
      <c r="AR8" s="562">
        <f t="shared" ref="AR8:AR21" si="17">RANK(AQ8, AQ$7:AQ$21)</f>
        <v>2</v>
      </c>
      <c r="AS8" s="642"/>
      <c r="AT8" s="534">
        <v>13</v>
      </c>
      <c r="AU8" s="535">
        <v>1927.714285714284</v>
      </c>
      <c r="AV8" s="535">
        <v>148.28571428571416</v>
      </c>
      <c r="AW8" s="562">
        <f t="shared" ref="AW8:AW21" si="18">RANK(AV8, AV$7:AV$21)</f>
        <v>2</v>
      </c>
      <c r="AX8" s="642"/>
      <c r="AZ8" s="368" t="e">
        <f t="shared" si="10"/>
        <v>#N/A</v>
      </c>
      <c r="BA8" s="642"/>
    </row>
    <row r="9" spans="1:53" ht="14.25">
      <c r="A9" s="81"/>
      <c r="B9" s="647"/>
      <c r="C9" s="534">
        <v>3</v>
      </c>
      <c r="D9" s="225"/>
      <c r="E9" s="535"/>
      <c r="F9" s="534"/>
      <c r="G9" s="536"/>
      <c r="H9" s="701"/>
      <c r="I9" s="538" t="str">
        <f t="shared" si="0"/>
        <v>-</v>
      </c>
      <c r="J9" s="538" t="str">
        <f t="shared" si="1"/>
        <v>-</v>
      </c>
      <c r="K9" s="199" t="str">
        <f t="shared" si="2"/>
        <v>-</v>
      </c>
      <c r="L9" s="657"/>
      <c r="M9" s="565" t="e">
        <f>RANK(K9, K$7:$K$21)</f>
        <v>#VALUE!</v>
      </c>
      <c r="N9" s="641"/>
      <c r="O9" s="641"/>
      <c r="P9" s="534" t="s">
        <v>585</v>
      </c>
      <c r="Q9" s="535" t="s">
        <v>585</v>
      </c>
      <c r="R9" s="535" t="s">
        <v>585</v>
      </c>
      <c r="S9" s="562" t="e">
        <f t="shared" si="12"/>
        <v>#VALUE!</v>
      </c>
      <c r="T9" s="642"/>
      <c r="U9" s="534" t="s">
        <v>585</v>
      </c>
      <c r="V9" s="535" t="s">
        <v>585</v>
      </c>
      <c r="W9" s="535" t="s">
        <v>585</v>
      </c>
      <c r="X9" s="562" t="e">
        <f t="shared" si="13"/>
        <v>#VALUE!</v>
      </c>
      <c r="Y9" s="642"/>
      <c r="Z9" s="534" t="s">
        <v>585</v>
      </c>
      <c r="AA9" s="535" t="s">
        <v>585</v>
      </c>
      <c r="AB9" s="535" t="s">
        <v>585</v>
      </c>
      <c r="AC9" s="562" t="e">
        <f t="shared" si="14"/>
        <v>#VALUE!</v>
      </c>
      <c r="AD9" s="642"/>
      <c r="AE9" s="534" t="s">
        <v>585</v>
      </c>
      <c r="AF9" s="535" t="s">
        <v>585</v>
      </c>
      <c r="AG9" s="535" t="s">
        <v>585</v>
      </c>
      <c r="AH9" s="562" t="e">
        <f t="shared" si="15"/>
        <v>#VALUE!</v>
      </c>
      <c r="AI9" s="642"/>
      <c r="AJ9" s="534" t="s">
        <v>585</v>
      </c>
      <c r="AK9" s="535" t="s">
        <v>585</v>
      </c>
      <c r="AL9" s="535" t="s">
        <v>585</v>
      </c>
      <c r="AM9" s="562" t="e">
        <f t="shared" si="16"/>
        <v>#VALUE!</v>
      </c>
      <c r="AN9" s="642"/>
      <c r="AO9" s="534" t="s">
        <v>585</v>
      </c>
      <c r="AP9" s="535" t="s">
        <v>585</v>
      </c>
      <c r="AQ9" s="535" t="s">
        <v>585</v>
      </c>
      <c r="AR9" s="562" t="e">
        <f t="shared" si="17"/>
        <v>#VALUE!</v>
      </c>
      <c r="AS9" s="642"/>
      <c r="AT9" s="534" t="s">
        <v>585</v>
      </c>
      <c r="AU9" s="535" t="s">
        <v>585</v>
      </c>
      <c r="AV9" s="535" t="s">
        <v>585</v>
      </c>
      <c r="AW9" s="562" t="e">
        <f t="shared" si="18"/>
        <v>#VALUE!</v>
      </c>
      <c r="AX9" s="642"/>
      <c r="AZ9" s="368" t="e">
        <f t="shared" si="10"/>
        <v>#N/A</v>
      </c>
      <c r="BA9" s="642"/>
    </row>
    <row r="10" spans="1:53" ht="14.25">
      <c r="A10" s="81"/>
      <c r="B10" s="647"/>
      <c r="C10" s="534">
        <v>4</v>
      </c>
      <c r="D10" s="225"/>
      <c r="E10" s="535"/>
      <c r="F10" s="534"/>
      <c r="G10" s="536"/>
      <c r="H10" s="701"/>
      <c r="I10" s="538" t="str">
        <f t="shared" si="0"/>
        <v>-</v>
      </c>
      <c r="J10" s="538" t="str">
        <f t="shared" si="1"/>
        <v>-</v>
      </c>
      <c r="K10" s="199" t="str">
        <f t="shared" si="2"/>
        <v>-</v>
      </c>
      <c r="L10" s="657"/>
      <c r="M10" s="565" t="e">
        <f>RANK(K10, K$7:$K$21)</f>
        <v>#VALUE!</v>
      </c>
      <c r="N10" s="641"/>
      <c r="O10" s="641"/>
      <c r="P10" s="534" t="s">
        <v>585</v>
      </c>
      <c r="Q10" s="535" t="s">
        <v>585</v>
      </c>
      <c r="R10" s="535" t="s">
        <v>585</v>
      </c>
      <c r="S10" s="562" t="e">
        <f t="shared" si="12"/>
        <v>#VALUE!</v>
      </c>
      <c r="T10" s="642"/>
      <c r="U10" s="534" t="s">
        <v>585</v>
      </c>
      <c r="V10" s="535" t="s">
        <v>585</v>
      </c>
      <c r="W10" s="535" t="s">
        <v>585</v>
      </c>
      <c r="X10" s="562" t="e">
        <f t="shared" si="13"/>
        <v>#VALUE!</v>
      </c>
      <c r="Y10" s="642"/>
      <c r="Z10" s="534" t="s">
        <v>585</v>
      </c>
      <c r="AA10" s="535" t="s">
        <v>585</v>
      </c>
      <c r="AB10" s="535" t="s">
        <v>585</v>
      </c>
      <c r="AC10" s="562" t="e">
        <f t="shared" si="14"/>
        <v>#VALUE!</v>
      </c>
      <c r="AD10" s="642"/>
      <c r="AE10" s="534" t="s">
        <v>585</v>
      </c>
      <c r="AF10" s="535" t="s">
        <v>585</v>
      </c>
      <c r="AG10" s="535" t="s">
        <v>585</v>
      </c>
      <c r="AH10" s="562" t="e">
        <f t="shared" si="15"/>
        <v>#VALUE!</v>
      </c>
      <c r="AI10" s="642"/>
      <c r="AJ10" s="534" t="s">
        <v>585</v>
      </c>
      <c r="AK10" s="535" t="s">
        <v>585</v>
      </c>
      <c r="AL10" s="535" t="s">
        <v>585</v>
      </c>
      <c r="AM10" s="562" t="e">
        <f t="shared" si="16"/>
        <v>#VALUE!</v>
      </c>
      <c r="AN10" s="642"/>
      <c r="AO10" s="534" t="s">
        <v>585</v>
      </c>
      <c r="AP10" s="535" t="s">
        <v>585</v>
      </c>
      <c r="AQ10" s="535" t="s">
        <v>585</v>
      </c>
      <c r="AR10" s="562" t="e">
        <f t="shared" si="17"/>
        <v>#VALUE!</v>
      </c>
      <c r="AS10" s="642"/>
      <c r="AT10" s="534" t="s">
        <v>585</v>
      </c>
      <c r="AU10" s="535" t="s">
        <v>585</v>
      </c>
      <c r="AV10" s="535" t="s">
        <v>585</v>
      </c>
      <c r="AW10" s="562" t="e">
        <f t="shared" si="18"/>
        <v>#VALUE!</v>
      </c>
      <c r="AX10" s="642"/>
      <c r="AZ10" s="368" t="e">
        <f t="shared" si="10"/>
        <v>#N/A</v>
      </c>
      <c r="BA10" s="642"/>
    </row>
    <row r="11" spans="1:53" ht="14.25">
      <c r="A11" s="81"/>
      <c r="B11" s="647"/>
      <c r="C11" s="534">
        <v>5</v>
      </c>
      <c r="D11" s="225"/>
      <c r="E11" s="535"/>
      <c r="F11" s="534"/>
      <c r="G11" s="536"/>
      <c r="H11" s="701"/>
      <c r="I11" s="538" t="str">
        <f t="shared" si="0"/>
        <v>-</v>
      </c>
      <c r="J11" s="538" t="str">
        <f t="shared" si="1"/>
        <v>-</v>
      </c>
      <c r="K11" s="199" t="str">
        <f t="shared" si="2"/>
        <v>-</v>
      </c>
      <c r="L11" s="657"/>
      <c r="M11" s="565" t="e">
        <f>RANK(K11, K$7:$K$21)</f>
        <v>#VALUE!</v>
      </c>
      <c r="N11" s="641"/>
      <c r="O11" s="641"/>
      <c r="P11" s="534" t="s">
        <v>585</v>
      </c>
      <c r="Q11" s="535" t="s">
        <v>585</v>
      </c>
      <c r="R11" s="535" t="s">
        <v>585</v>
      </c>
      <c r="S11" s="562" t="e">
        <f t="shared" si="12"/>
        <v>#VALUE!</v>
      </c>
      <c r="T11" s="642"/>
      <c r="U11" s="534" t="s">
        <v>585</v>
      </c>
      <c r="V11" s="535" t="s">
        <v>585</v>
      </c>
      <c r="W11" s="535" t="s">
        <v>585</v>
      </c>
      <c r="X11" s="562" t="e">
        <f t="shared" si="13"/>
        <v>#VALUE!</v>
      </c>
      <c r="Y11" s="642"/>
      <c r="Z11" s="534" t="s">
        <v>585</v>
      </c>
      <c r="AA11" s="535" t="s">
        <v>585</v>
      </c>
      <c r="AB11" s="535" t="s">
        <v>585</v>
      </c>
      <c r="AC11" s="562" t="e">
        <f t="shared" si="14"/>
        <v>#VALUE!</v>
      </c>
      <c r="AD11" s="642"/>
      <c r="AE11" s="534" t="s">
        <v>585</v>
      </c>
      <c r="AF11" s="535" t="s">
        <v>585</v>
      </c>
      <c r="AG11" s="535" t="s">
        <v>585</v>
      </c>
      <c r="AH11" s="562" t="e">
        <f t="shared" si="15"/>
        <v>#VALUE!</v>
      </c>
      <c r="AI11" s="642"/>
      <c r="AJ11" s="534" t="s">
        <v>585</v>
      </c>
      <c r="AK11" s="535" t="s">
        <v>585</v>
      </c>
      <c r="AL11" s="535" t="s">
        <v>585</v>
      </c>
      <c r="AM11" s="562" t="e">
        <f t="shared" si="16"/>
        <v>#VALUE!</v>
      </c>
      <c r="AN11" s="642"/>
      <c r="AO11" s="534" t="s">
        <v>585</v>
      </c>
      <c r="AP11" s="535" t="s">
        <v>585</v>
      </c>
      <c r="AQ11" s="535" t="s">
        <v>585</v>
      </c>
      <c r="AR11" s="562" t="e">
        <f t="shared" si="17"/>
        <v>#VALUE!</v>
      </c>
      <c r="AS11" s="642"/>
      <c r="AT11" s="534" t="s">
        <v>585</v>
      </c>
      <c r="AU11" s="535" t="s">
        <v>585</v>
      </c>
      <c r="AV11" s="535" t="s">
        <v>585</v>
      </c>
      <c r="AW11" s="562" t="e">
        <f t="shared" si="18"/>
        <v>#VALUE!</v>
      </c>
      <c r="AX11" s="642"/>
      <c r="AZ11" s="368" t="e">
        <f t="shared" si="10"/>
        <v>#N/A</v>
      </c>
      <c r="BA11" s="642"/>
    </row>
    <row r="12" spans="1:53" ht="14.25">
      <c r="A12" s="81"/>
      <c r="B12" s="647"/>
      <c r="C12" s="534">
        <v>6</v>
      </c>
      <c r="D12" s="225"/>
      <c r="E12" s="535"/>
      <c r="F12" s="534"/>
      <c r="G12" s="536"/>
      <c r="H12" s="701"/>
      <c r="I12" s="538" t="str">
        <f t="shared" si="0"/>
        <v>-</v>
      </c>
      <c r="J12" s="538" t="str">
        <f t="shared" si="1"/>
        <v>-</v>
      </c>
      <c r="K12" s="199" t="str">
        <f t="shared" si="2"/>
        <v>-</v>
      </c>
      <c r="L12" s="657"/>
      <c r="M12" s="565" t="e">
        <f>RANK(K12, K$7:$K$21)</f>
        <v>#VALUE!</v>
      </c>
      <c r="N12" s="641"/>
      <c r="O12" s="641"/>
      <c r="P12" s="534" t="s">
        <v>585</v>
      </c>
      <c r="Q12" s="535" t="s">
        <v>585</v>
      </c>
      <c r="R12" s="535" t="s">
        <v>585</v>
      </c>
      <c r="S12" s="562" t="e">
        <f t="shared" si="12"/>
        <v>#VALUE!</v>
      </c>
      <c r="T12" s="642"/>
      <c r="U12" s="534" t="s">
        <v>585</v>
      </c>
      <c r="V12" s="535" t="s">
        <v>585</v>
      </c>
      <c r="W12" s="535" t="s">
        <v>585</v>
      </c>
      <c r="X12" s="562" t="e">
        <f t="shared" si="13"/>
        <v>#VALUE!</v>
      </c>
      <c r="Y12" s="642"/>
      <c r="Z12" s="534" t="s">
        <v>585</v>
      </c>
      <c r="AA12" s="535" t="s">
        <v>585</v>
      </c>
      <c r="AB12" s="535" t="s">
        <v>585</v>
      </c>
      <c r="AC12" s="562" t="e">
        <f t="shared" si="14"/>
        <v>#VALUE!</v>
      </c>
      <c r="AD12" s="642"/>
      <c r="AE12" s="534" t="s">
        <v>585</v>
      </c>
      <c r="AF12" s="535" t="s">
        <v>585</v>
      </c>
      <c r="AG12" s="535" t="s">
        <v>585</v>
      </c>
      <c r="AH12" s="562" t="e">
        <f t="shared" si="15"/>
        <v>#VALUE!</v>
      </c>
      <c r="AI12" s="642"/>
      <c r="AJ12" s="534" t="s">
        <v>585</v>
      </c>
      <c r="AK12" s="535" t="s">
        <v>585</v>
      </c>
      <c r="AL12" s="535" t="s">
        <v>585</v>
      </c>
      <c r="AM12" s="562" t="e">
        <f t="shared" si="16"/>
        <v>#VALUE!</v>
      </c>
      <c r="AN12" s="642"/>
      <c r="AO12" s="534" t="s">
        <v>585</v>
      </c>
      <c r="AP12" s="535" t="s">
        <v>585</v>
      </c>
      <c r="AQ12" s="535" t="s">
        <v>585</v>
      </c>
      <c r="AR12" s="562" t="e">
        <f t="shared" si="17"/>
        <v>#VALUE!</v>
      </c>
      <c r="AS12" s="642"/>
      <c r="AT12" s="534" t="s">
        <v>585</v>
      </c>
      <c r="AU12" s="535" t="s">
        <v>585</v>
      </c>
      <c r="AV12" s="535" t="s">
        <v>585</v>
      </c>
      <c r="AW12" s="562" t="e">
        <f t="shared" si="18"/>
        <v>#VALUE!</v>
      </c>
      <c r="AX12" s="642"/>
      <c r="AZ12" s="368" t="e">
        <f t="shared" si="10"/>
        <v>#N/A</v>
      </c>
      <c r="BA12" s="642"/>
    </row>
    <row r="13" spans="1:53" ht="14.25">
      <c r="A13" s="81"/>
      <c r="B13" s="647"/>
      <c r="C13" s="534">
        <v>7</v>
      </c>
      <c r="D13" s="225"/>
      <c r="E13" s="535"/>
      <c r="F13" s="534"/>
      <c r="G13" s="536"/>
      <c r="H13" s="701"/>
      <c r="I13" s="538" t="str">
        <f t="shared" si="0"/>
        <v>-</v>
      </c>
      <c r="J13" s="538" t="str">
        <f t="shared" si="1"/>
        <v>-</v>
      </c>
      <c r="K13" s="199" t="str">
        <f t="shared" si="2"/>
        <v>-</v>
      </c>
      <c r="L13" s="657"/>
      <c r="M13" s="565" t="e">
        <f>RANK(K13, K$7:$K$21)</f>
        <v>#VALUE!</v>
      </c>
      <c r="N13" s="641"/>
      <c r="O13" s="641"/>
      <c r="P13" s="534" t="s">
        <v>585</v>
      </c>
      <c r="Q13" s="535" t="s">
        <v>585</v>
      </c>
      <c r="R13" s="535" t="s">
        <v>585</v>
      </c>
      <c r="S13" s="562" t="e">
        <f t="shared" si="12"/>
        <v>#VALUE!</v>
      </c>
      <c r="T13" s="642"/>
      <c r="U13" s="534" t="s">
        <v>585</v>
      </c>
      <c r="V13" s="535" t="s">
        <v>585</v>
      </c>
      <c r="W13" s="535" t="s">
        <v>585</v>
      </c>
      <c r="X13" s="562" t="e">
        <f t="shared" si="13"/>
        <v>#VALUE!</v>
      </c>
      <c r="Y13" s="642"/>
      <c r="Z13" s="534" t="s">
        <v>585</v>
      </c>
      <c r="AA13" s="535" t="s">
        <v>585</v>
      </c>
      <c r="AB13" s="535" t="s">
        <v>585</v>
      </c>
      <c r="AC13" s="562" t="e">
        <f t="shared" si="14"/>
        <v>#VALUE!</v>
      </c>
      <c r="AD13" s="642"/>
      <c r="AE13" s="534" t="s">
        <v>585</v>
      </c>
      <c r="AF13" s="535" t="s">
        <v>585</v>
      </c>
      <c r="AG13" s="535" t="s">
        <v>585</v>
      </c>
      <c r="AH13" s="562" t="e">
        <f t="shared" si="15"/>
        <v>#VALUE!</v>
      </c>
      <c r="AI13" s="642"/>
      <c r="AJ13" s="534" t="s">
        <v>585</v>
      </c>
      <c r="AK13" s="535" t="s">
        <v>585</v>
      </c>
      <c r="AL13" s="535" t="s">
        <v>585</v>
      </c>
      <c r="AM13" s="562" t="e">
        <f t="shared" si="16"/>
        <v>#VALUE!</v>
      </c>
      <c r="AN13" s="642"/>
      <c r="AO13" s="534" t="s">
        <v>585</v>
      </c>
      <c r="AP13" s="535" t="s">
        <v>585</v>
      </c>
      <c r="AQ13" s="535" t="s">
        <v>585</v>
      </c>
      <c r="AR13" s="562" t="e">
        <f t="shared" si="17"/>
        <v>#VALUE!</v>
      </c>
      <c r="AS13" s="642"/>
      <c r="AT13" s="534" t="s">
        <v>585</v>
      </c>
      <c r="AU13" s="535" t="s">
        <v>585</v>
      </c>
      <c r="AV13" s="535" t="s">
        <v>585</v>
      </c>
      <c r="AW13" s="562" t="e">
        <f t="shared" si="18"/>
        <v>#VALUE!</v>
      </c>
      <c r="AX13" s="642"/>
      <c r="AZ13" s="368" t="e">
        <f t="shared" si="10"/>
        <v>#N/A</v>
      </c>
      <c r="BA13" s="642"/>
    </row>
    <row r="14" spans="1:53" ht="14.25">
      <c r="A14" s="81"/>
      <c r="B14" s="647"/>
      <c r="C14" s="534">
        <v>8</v>
      </c>
      <c r="D14" s="225"/>
      <c r="E14" s="535"/>
      <c r="F14" s="534"/>
      <c r="G14" s="536"/>
      <c r="H14" s="701"/>
      <c r="I14" s="538" t="str">
        <f t="shared" si="0"/>
        <v>-</v>
      </c>
      <c r="J14" s="538" t="str">
        <f t="shared" si="1"/>
        <v>-</v>
      </c>
      <c r="K14" s="199" t="str">
        <f t="shared" si="2"/>
        <v>-</v>
      </c>
      <c r="L14" s="657"/>
      <c r="M14" s="565" t="e">
        <f>RANK(K14, K$7:$K$21)</f>
        <v>#VALUE!</v>
      </c>
      <c r="N14" s="641"/>
      <c r="O14" s="641"/>
      <c r="P14" s="534" t="s">
        <v>585</v>
      </c>
      <c r="Q14" s="535" t="s">
        <v>585</v>
      </c>
      <c r="R14" s="535" t="s">
        <v>585</v>
      </c>
      <c r="S14" s="562" t="e">
        <f t="shared" si="12"/>
        <v>#VALUE!</v>
      </c>
      <c r="T14" s="642"/>
      <c r="U14" s="534" t="s">
        <v>585</v>
      </c>
      <c r="V14" s="535" t="s">
        <v>585</v>
      </c>
      <c r="W14" s="535" t="s">
        <v>585</v>
      </c>
      <c r="X14" s="562" t="e">
        <f t="shared" si="13"/>
        <v>#VALUE!</v>
      </c>
      <c r="Y14" s="642"/>
      <c r="Z14" s="534" t="s">
        <v>585</v>
      </c>
      <c r="AA14" s="535" t="s">
        <v>585</v>
      </c>
      <c r="AB14" s="535" t="s">
        <v>585</v>
      </c>
      <c r="AC14" s="562" t="e">
        <f t="shared" si="14"/>
        <v>#VALUE!</v>
      </c>
      <c r="AD14" s="642"/>
      <c r="AE14" s="534" t="s">
        <v>585</v>
      </c>
      <c r="AF14" s="535" t="s">
        <v>585</v>
      </c>
      <c r="AG14" s="535" t="s">
        <v>585</v>
      </c>
      <c r="AH14" s="562" t="e">
        <f t="shared" si="15"/>
        <v>#VALUE!</v>
      </c>
      <c r="AI14" s="642"/>
      <c r="AJ14" s="534" t="s">
        <v>585</v>
      </c>
      <c r="AK14" s="535" t="s">
        <v>585</v>
      </c>
      <c r="AL14" s="535" t="s">
        <v>585</v>
      </c>
      <c r="AM14" s="562" t="e">
        <f t="shared" si="16"/>
        <v>#VALUE!</v>
      </c>
      <c r="AN14" s="642"/>
      <c r="AO14" s="534" t="s">
        <v>585</v>
      </c>
      <c r="AP14" s="535" t="s">
        <v>585</v>
      </c>
      <c r="AQ14" s="535" t="s">
        <v>585</v>
      </c>
      <c r="AR14" s="562" t="e">
        <f t="shared" si="17"/>
        <v>#VALUE!</v>
      </c>
      <c r="AS14" s="642"/>
      <c r="AT14" s="534" t="s">
        <v>585</v>
      </c>
      <c r="AU14" s="535" t="s">
        <v>585</v>
      </c>
      <c r="AV14" s="535" t="s">
        <v>585</v>
      </c>
      <c r="AW14" s="562" t="e">
        <f t="shared" si="18"/>
        <v>#VALUE!</v>
      </c>
      <c r="AX14" s="642"/>
      <c r="AZ14" s="368" t="e">
        <f t="shared" si="10"/>
        <v>#N/A</v>
      </c>
      <c r="BA14" s="642"/>
    </row>
    <row r="15" spans="1:53" ht="14.25">
      <c r="A15" s="81"/>
      <c r="B15" s="647"/>
      <c r="C15" s="534">
        <v>9</v>
      </c>
      <c r="D15" s="225"/>
      <c r="E15" s="535"/>
      <c r="F15" s="534"/>
      <c r="G15" s="536"/>
      <c r="H15" s="701"/>
      <c r="I15" s="538" t="str">
        <f t="shared" si="0"/>
        <v>-</v>
      </c>
      <c r="J15" s="538" t="str">
        <f t="shared" si="1"/>
        <v>-</v>
      </c>
      <c r="K15" s="199" t="str">
        <f t="shared" si="2"/>
        <v>-</v>
      </c>
      <c r="L15" s="657"/>
      <c r="M15" s="565" t="e">
        <f>RANK(K15, K$7:$K$21)</f>
        <v>#VALUE!</v>
      </c>
      <c r="N15" s="641"/>
      <c r="O15" s="641"/>
      <c r="P15" s="534" t="s">
        <v>585</v>
      </c>
      <c r="Q15" s="535" t="s">
        <v>585</v>
      </c>
      <c r="R15" s="535" t="s">
        <v>585</v>
      </c>
      <c r="S15" s="562" t="e">
        <f t="shared" si="12"/>
        <v>#VALUE!</v>
      </c>
      <c r="T15" s="642"/>
      <c r="U15" s="534" t="s">
        <v>585</v>
      </c>
      <c r="V15" s="535" t="s">
        <v>585</v>
      </c>
      <c r="W15" s="535" t="s">
        <v>585</v>
      </c>
      <c r="X15" s="562" t="e">
        <f t="shared" si="13"/>
        <v>#VALUE!</v>
      </c>
      <c r="Y15" s="642"/>
      <c r="Z15" s="534" t="s">
        <v>585</v>
      </c>
      <c r="AA15" s="535" t="s">
        <v>585</v>
      </c>
      <c r="AB15" s="535" t="s">
        <v>585</v>
      </c>
      <c r="AC15" s="562" t="e">
        <f t="shared" si="14"/>
        <v>#VALUE!</v>
      </c>
      <c r="AD15" s="642"/>
      <c r="AE15" s="534" t="s">
        <v>585</v>
      </c>
      <c r="AF15" s="535" t="s">
        <v>585</v>
      </c>
      <c r="AG15" s="535" t="s">
        <v>585</v>
      </c>
      <c r="AH15" s="562" t="e">
        <f t="shared" si="15"/>
        <v>#VALUE!</v>
      </c>
      <c r="AI15" s="642"/>
      <c r="AJ15" s="534" t="s">
        <v>585</v>
      </c>
      <c r="AK15" s="535" t="s">
        <v>585</v>
      </c>
      <c r="AL15" s="535" t="s">
        <v>585</v>
      </c>
      <c r="AM15" s="562" t="e">
        <f t="shared" si="16"/>
        <v>#VALUE!</v>
      </c>
      <c r="AN15" s="642"/>
      <c r="AO15" s="534" t="s">
        <v>585</v>
      </c>
      <c r="AP15" s="535" t="s">
        <v>585</v>
      </c>
      <c r="AQ15" s="535" t="s">
        <v>585</v>
      </c>
      <c r="AR15" s="562" t="e">
        <f t="shared" si="17"/>
        <v>#VALUE!</v>
      </c>
      <c r="AS15" s="642"/>
      <c r="AT15" s="534" t="s">
        <v>585</v>
      </c>
      <c r="AU15" s="535" t="s">
        <v>585</v>
      </c>
      <c r="AV15" s="535" t="s">
        <v>585</v>
      </c>
      <c r="AW15" s="562" t="e">
        <f t="shared" si="18"/>
        <v>#VALUE!</v>
      </c>
      <c r="AX15" s="642"/>
      <c r="AZ15" s="368" t="e">
        <f t="shared" si="10"/>
        <v>#N/A</v>
      </c>
      <c r="BA15" s="642"/>
    </row>
    <row r="16" spans="1:53" ht="14.25">
      <c r="A16" s="81"/>
      <c r="B16" s="647"/>
      <c r="C16" s="534">
        <v>10</v>
      </c>
      <c r="D16" s="225"/>
      <c r="E16" s="535"/>
      <c r="F16" s="534"/>
      <c r="G16" s="536"/>
      <c r="H16" s="701"/>
      <c r="I16" s="538" t="str">
        <f t="shared" si="0"/>
        <v>-</v>
      </c>
      <c r="J16" s="538" t="str">
        <f t="shared" si="1"/>
        <v>-</v>
      </c>
      <c r="K16" s="199" t="str">
        <f t="shared" si="2"/>
        <v>-</v>
      </c>
      <c r="L16" s="657"/>
      <c r="M16" s="565" t="e">
        <f>RANK(K16, K$7:$K$21)</f>
        <v>#VALUE!</v>
      </c>
      <c r="N16" s="641"/>
      <c r="O16" s="641"/>
      <c r="P16" s="534" t="s">
        <v>585</v>
      </c>
      <c r="Q16" s="535" t="s">
        <v>585</v>
      </c>
      <c r="R16" s="535" t="s">
        <v>585</v>
      </c>
      <c r="S16" s="562" t="e">
        <f t="shared" si="12"/>
        <v>#VALUE!</v>
      </c>
      <c r="T16" s="642"/>
      <c r="U16" s="534" t="s">
        <v>585</v>
      </c>
      <c r="V16" s="535" t="s">
        <v>585</v>
      </c>
      <c r="W16" s="535" t="s">
        <v>585</v>
      </c>
      <c r="X16" s="562" t="e">
        <f t="shared" si="13"/>
        <v>#VALUE!</v>
      </c>
      <c r="Y16" s="642"/>
      <c r="Z16" s="534" t="s">
        <v>585</v>
      </c>
      <c r="AA16" s="535" t="s">
        <v>585</v>
      </c>
      <c r="AB16" s="535" t="s">
        <v>585</v>
      </c>
      <c r="AC16" s="562" t="e">
        <f t="shared" si="14"/>
        <v>#VALUE!</v>
      </c>
      <c r="AD16" s="642"/>
      <c r="AE16" s="534" t="s">
        <v>585</v>
      </c>
      <c r="AF16" s="535" t="s">
        <v>585</v>
      </c>
      <c r="AG16" s="535" t="s">
        <v>585</v>
      </c>
      <c r="AH16" s="562" t="e">
        <f t="shared" si="15"/>
        <v>#VALUE!</v>
      </c>
      <c r="AI16" s="642"/>
      <c r="AJ16" s="534" t="s">
        <v>585</v>
      </c>
      <c r="AK16" s="535" t="s">
        <v>585</v>
      </c>
      <c r="AL16" s="535" t="s">
        <v>585</v>
      </c>
      <c r="AM16" s="562" t="e">
        <f t="shared" si="16"/>
        <v>#VALUE!</v>
      </c>
      <c r="AN16" s="642"/>
      <c r="AO16" s="534" t="s">
        <v>585</v>
      </c>
      <c r="AP16" s="535" t="s">
        <v>585</v>
      </c>
      <c r="AQ16" s="535" t="s">
        <v>585</v>
      </c>
      <c r="AR16" s="562" t="e">
        <f t="shared" si="17"/>
        <v>#VALUE!</v>
      </c>
      <c r="AS16" s="642"/>
      <c r="AT16" s="534" t="s">
        <v>585</v>
      </c>
      <c r="AU16" s="535" t="s">
        <v>585</v>
      </c>
      <c r="AV16" s="535" t="s">
        <v>585</v>
      </c>
      <c r="AW16" s="562" t="e">
        <f t="shared" si="18"/>
        <v>#VALUE!</v>
      </c>
      <c r="AX16" s="642"/>
      <c r="AZ16" s="368" t="e">
        <f t="shared" si="10"/>
        <v>#N/A</v>
      </c>
      <c r="BA16" s="642"/>
    </row>
    <row r="17" spans="2:53">
      <c r="B17" s="647"/>
      <c r="C17" s="534">
        <v>11</v>
      </c>
      <c r="D17" s="225"/>
      <c r="E17" s="535"/>
      <c r="F17" s="534"/>
      <c r="G17" s="536"/>
      <c r="H17" s="701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57"/>
      <c r="M17" s="565" t="e">
        <f>RANK(K17, K$7:$K$21)</f>
        <v>#VALUE!</v>
      </c>
      <c r="N17" s="641"/>
      <c r="O17" s="641"/>
      <c r="P17" s="534" t="s">
        <v>585</v>
      </c>
      <c r="Q17" s="535" t="s">
        <v>585</v>
      </c>
      <c r="R17" s="535" t="s">
        <v>585</v>
      </c>
      <c r="S17" s="562" t="e">
        <f t="shared" si="12"/>
        <v>#VALUE!</v>
      </c>
      <c r="T17" s="642"/>
      <c r="U17" s="534" t="s">
        <v>585</v>
      </c>
      <c r="V17" s="535" t="s">
        <v>585</v>
      </c>
      <c r="W17" s="535" t="s">
        <v>585</v>
      </c>
      <c r="X17" s="562" t="e">
        <f t="shared" si="13"/>
        <v>#VALUE!</v>
      </c>
      <c r="Y17" s="642"/>
      <c r="Z17" s="534" t="s">
        <v>585</v>
      </c>
      <c r="AA17" s="535" t="s">
        <v>585</v>
      </c>
      <c r="AB17" s="535" t="s">
        <v>585</v>
      </c>
      <c r="AC17" s="562" t="e">
        <f t="shared" si="14"/>
        <v>#VALUE!</v>
      </c>
      <c r="AD17" s="642"/>
      <c r="AE17" s="534" t="s">
        <v>585</v>
      </c>
      <c r="AF17" s="535" t="s">
        <v>585</v>
      </c>
      <c r="AG17" s="535" t="s">
        <v>585</v>
      </c>
      <c r="AH17" s="562" t="e">
        <f t="shared" si="15"/>
        <v>#VALUE!</v>
      </c>
      <c r="AI17" s="642"/>
      <c r="AJ17" s="534" t="s">
        <v>585</v>
      </c>
      <c r="AK17" s="535" t="s">
        <v>585</v>
      </c>
      <c r="AL17" s="535" t="s">
        <v>585</v>
      </c>
      <c r="AM17" s="562" t="e">
        <f t="shared" si="16"/>
        <v>#VALUE!</v>
      </c>
      <c r="AN17" s="642"/>
      <c r="AO17" s="534" t="s">
        <v>585</v>
      </c>
      <c r="AP17" s="535" t="s">
        <v>585</v>
      </c>
      <c r="AQ17" s="535" t="s">
        <v>585</v>
      </c>
      <c r="AR17" s="562" t="e">
        <f t="shared" si="17"/>
        <v>#VALUE!</v>
      </c>
      <c r="AS17" s="642"/>
      <c r="AT17" s="534" t="s">
        <v>585</v>
      </c>
      <c r="AU17" s="535" t="s">
        <v>585</v>
      </c>
      <c r="AV17" s="535" t="s">
        <v>585</v>
      </c>
      <c r="AW17" s="562" t="e">
        <f t="shared" si="18"/>
        <v>#VALUE!</v>
      </c>
      <c r="AX17" s="642"/>
      <c r="AZ17" s="368" t="e">
        <f t="shared" si="10"/>
        <v>#N/A</v>
      </c>
      <c r="BA17" s="642"/>
    </row>
    <row r="18" spans="2:53">
      <c r="B18" s="647"/>
      <c r="C18" s="534">
        <v>12</v>
      </c>
      <c r="D18" s="225"/>
      <c r="E18" s="535"/>
      <c r="F18" s="534"/>
      <c r="G18" s="536"/>
      <c r="H18" s="701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57"/>
      <c r="M18" s="565" t="e">
        <f>RANK(K18, K$7:$K$21)</f>
        <v>#VALUE!</v>
      </c>
      <c r="N18" s="641"/>
      <c r="O18" s="641"/>
      <c r="P18" s="534" t="s">
        <v>585</v>
      </c>
      <c r="Q18" s="535" t="s">
        <v>585</v>
      </c>
      <c r="R18" s="535" t="s">
        <v>585</v>
      </c>
      <c r="S18" s="562" t="e">
        <f t="shared" si="12"/>
        <v>#VALUE!</v>
      </c>
      <c r="T18" s="642"/>
      <c r="U18" s="534" t="s">
        <v>585</v>
      </c>
      <c r="V18" s="535" t="s">
        <v>585</v>
      </c>
      <c r="W18" s="535" t="s">
        <v>585</v>
      </c>
      <c r="X18" s="562" t="e">
        <f t="shared" si="13"/>
        <v>#VALUE!</v>
      </c>
      <c r="Y18" s="642"/>
      <c r="Z18" s="534" t="s">
        <v>585</v>
      </c>
      <c r="AA18" s="535" t="s">
        <v>585</v>
      </c>
      <c r="AB18" s="535" t="s">
        <v>585</v>
      </c>
      <c r="AC18" s="562" t="e">
        <f t="shared" si="14"/>
        <v>#VALUE!</v>
      </c>
      <c r="AD18" s="642"/>
      <c r="AE18" s="534" t="s">
        <v>585</v>
      </c>
      <c r="AF18" s="535" t="s">
        <v>585</v>
      </c>
      <c r="AG18" s="535" t="s">
        <v>585</v>
      </c>
      <c r="AH18" s="562" t="e">
        <f t="shared" si="15"/>
        <v>#VALUE!</v>
      </c>
      <c r="AI18" s="642"/>
      <c r="AJ18" s="534" t="s">
        <v>585</v>
      </c>
      <c r="AK18" s="535" t="s">
        <v>585</v>
      </c>
      <c r="AL18" s="535" t="s">
        <v>585</v>
      </c>
      <c r="AM18" s="562" t="e">
        <f t="shared" si="16"/>
        <v>#VALUE!</v>
      </c>
      <c r="AN18" s="642"/>
      <c r="AO18" s="534" t="s">
        <v>585</v>
      </c>
      <c r="AP18" s="535" t="s">
        <v>585</v>
      </c>
      <c r="AQ18" s="535" t="s">
        <v>585</v>
      </c>
      <c r="AR18" s="562" t="e">
        <f t="shared" si="17"/>
        <v>#VALUE!</v>
      </c>
      <c r="AS18" s="642"/>
      <c r="AT18" s="534" t="s">
        <v>585</v>
      </c>
      <c r="AU18" s="535" t="s">
        <v>585</v>
      </c>
      <c r="AV18" s="535" t="s">
        <v>585</v>
      </c>
      <c r="AW18" s="562" t="e">
        <f t="shared" si="18"/>
        <v>#VALUE!</v>
      </c>
      <c r="AX18" s="642"/>
      <c r="AZ18" s="368" t="e">
        <f t="shared" si="10"/>
        <v>#N/A</v>
      </c>
      <c r="BA18" s="642"/>
    </row>
    <row r="19" spans="2:53">
      <c r="B19" s="647"/>
      <c r="C19" s="534">
        <v>13</v>
      </c>
      <c r="D19" s="225"/>
      <c r="E19" s="535"/>
      <c r="F19" s="534"/>
      <c r="G19" s="536"/>
      <c r="H19" s="701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57"/>
      <c r="M19" s="565" t="e">
        <f>RANK(K19, K$7:$K$21)</f>
        <v>#VALUE!</v>
      </c>
      <c r="N19" s="641"/>
      <c r="O19" s="641"/>
      <c r="P19" s="534" t="s">
        <v>585</v>
      </c>
      <c r="Q19" s="535" t="s">
        <v>585</v>
      </c>
      <c r="R19" s="535" t="s">
        <v>585</v>
      </c>
      <c r="S19" s="562" t="e">
        <f t="shared" si="12"/>
        <v>#VALUE!</v>
      </c>
      <c r="T19" s="642"/>
      <c r="U19" s="534" t="s">
        <v>585</v>
      </c>
      <c r="V19" s="535" t="s">
        <v>585</v>
      </c>
      <c r="W19" s="535" t="s">
        <v>585</v>
      </c>
      <c r="X19" s="562" t="e">
        <f t="shared" si="13"/>
        <v>#VALUE!</v>
      </c>
      <c r="Y19" s="642"/>
      <c r="Z19" s="534" t="s">
        <v>585</v>
      </c>
      <c r="AA19" s="535" t="s">
        <v>585</v>
      </c>
      <c r="AB19" s="535" t="s">
        <v>585</v>
      </c>
      <c r="AC19" s="562" t="e">
        <f t="shared" si="14"/>
        <v>#VALUE!</v>
      </c>
      <c r="AD19" s="642"/>
      <c r="AE19" s="534" t="s">
        <v>585</v>
      </c>
      <c r="AF19" s="535" t="s">
        <v>585</v>
      </c>
      <c r="AG19" s="535" t="s">
        <v>585</v>
      </c>
      <c r="AH19" s="562" t="e">
        <f t="shared" si="15"/>
        <v>#VALUE!</v>
      </c>
      <c r="AI19" s="642"/>
      <c r="AJ19" s="534" t="s">
        <v>585</v>
      </c>
      <c r="AK19" s="535" t="s">
        <v>585</v>
      </c>
      <c r="AL19" s="535" t="s">
        <v>585</v>
      </c>
      <c r="AM19" s="562" t="e">
        <f t="shared" si="16"/>
        <v>#VALUE!</v>
      </c>
      <c r="AN19" s="642"/>
      <c r="AO19" s="534" t="s">
        <v>585</v>
      </c>
      <c r="AP19" s="535" t="s">
        <v>585</v>
      </c>
      <c r="AQ19" s="535" t="s">
        <v>585</v>
      </c>
      <c r="AR19" s="562" t="e">
        <f t="shared" si="17"/>
        <v>#VALUE!</v>
      </c>
      <c r="AS19" s="642"/>
      <c r="AT19" s="534" t="s">
        <v>585</v>
      </c>
      <c r="AU19" s="535" t="s">
        <v>585</v>
      </c>
      <c r="AV19" s="535" t="s">
        <v>585</v>
      </c>
      <c r="AW19" s="562" t="e">
        <f t="shared" si="18"/>
        <v>#VALUE!</v>
      </c>
      <c r="AX19" s="642"/>
      <c r="AZ19" s="368" t="e">
        <f t="shared" si="10"/>
        <v>#N/A</v>
      </c>
      <c r="BA19" s="642"/>
    </row>
    <row r="20" spans="2:53">
      <c r="B20" s="647"/>
      <c r="C20" s="534">
        <v>14</v>
      </c>
      <c r="D20" s="225"/>
      <c r="E20" s="535"/>
      <c r="F20" s="534"/>
      <c r="G20" s="536"/>
      <c r="H20" s="701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7"/>
      <c r="M20" s="565" t="e">
        <f>RANK(K20, K$7:$K$21)</f>
        <v>#VALUE!</v>
      </c>
      <c r="N20" s="641"/>
      <c r="O20" s="641"/>
      <c r="P20" s="534" t="s">
        <v>585</v>
      </c>
      <c r="Q20" s="535" t="s">
        <v>585</v>
      </c>
      <c r="R20" s="535" t="s">
        <v>585</v>
      </c>
      <c r="S20" s="562" t="e">
        <f t="shared" si="12"/>
        <v>#VALUE!</v>
      </c>
      <c r="T20" s="642"/>
      <c r="U20" s="534" t="s">
        <v>585</v>
      </c>
      <c r="V20" s="535" t="s">
        <v>585</v>
      </c>
      <c r="W20" s="535" t="s">
        <v>585</v>
      </c>
      <c r="X20" s="562" t="e">
        <f t="shared" si="13"/>
        <v>#VALUE!</v>
      </c>
      <c r="Y20" s="642"/>
      <c r="Z20" s="534" t="s">
        <v>585</v>
      </c>
      <c r="AA20" s="535" t="s">
        <v>585</v>
      </c>
      <c r="AB20" s="535" t="s">
        <v>585</v>
      </c>
      <c r="AC20" s="562" t="e">
        <f t="shared" si="14"/>
        <v>#VALUE!</v>
      </c>
      <c r="AD20" s="642"/>
      <c r="AE20" s="534" t="s">
        <v>585</v>
      </c>
      <c r="AF20" s="535" t="s">
        <v>585</v>
      </c>
      <c r="AG20" s="535" t="s">
        <v>585</v>
      </c>
      <c r="AH20" s="562" t="e">
        <f t="shared" si="15"/>
        <v>#VALUE!</v>
      </c>
      <c r="AI20" s="642"/>
      <c r="AJ20" s="534" t="s">
        <v>585</v>
      </c>
      <c r="AK20" s="535" t="s">
        <v>585</v>
      </c>
      <c r="AL20" s="535" t="s">
        <v>585</v>
      </c>
      <c r="AM20" s="562" t="e">
        <f t="shared" si="16"/>
        <v>#VALUE!</v>
      </c>
      <c r="AN20" s="642"/>
      <c r="AO20" s="534" t="s">
        <v>585</v>
      </c>
      <c r="AP20" s="535" t="s">
        <v>585</v>
      </c>
      <c r="AQ20" s="535" t="s">
        <v>585</v>
      </c>
      <c r="AR20" s="562" t="e">
        <f t="shared" si="17"/>
        <v>#VALUE!</v>
      </c>
      <c r="AS20" s="642"/>
      <c r="AT20" s="534" t="s">
        <v>585</v>
      </c>
      <c r="AU20" s="535" t="s">
        <v>585</v>
      </c>
      <c r="AV20" s="535" t="s">
        <v>585</v>
      </c>
      <c r="AW20" s="562" t="e">
        <f t="shared" si="18"/>
        <v>#VALUE!</v>
      </c>
      <c r="AX20" s="642"/>
      <c r="AZ20" s="368" t="e">
        <f t="shared" si="10"/>
        <v>#N/A</v>
      </c>
      <c r="BA20" s="642"/>
    </row>
    <row r="21" spans="2:53">
      <c r="B21" s="647"/>
      <c r="C21" s="534">
        <v>15</v>
      </c>
      <c r="D21" s="225"/>
      <c r="E21" s="535"/>
      <c r="F21" s="534"/>
      <c r="G21" s="536"/>
      <c r="H21" s="702"/>
      <c r="I21" s="201"/>
      <c r="J21" s="201"/>
      <c r="K21" s="201"/>
      <c r="L21" s="658"/>
      <c r="M21" s="565" t="e">
        <f>RANK(K21, K$7:$K$21)</f>
        <v>#N/A</v>
      </c>
      <c r="N21" s="641"/>
      <c r="O21" s="641"/>
      <c r="P21" s="534" t="s">
        <v>585</v>
      </c>
      <c r="Q21" s="535" t="s">
        <v>585</v>
      </c>
      <c r="R21" s="535" t="s">
        <v>585</v>
      </c>
      <c r="S21" s="562" t="e">
        <f t="shared" si="12"/>
        <v>#VALUE!</v>
      </c>
      <c r="T21" s="642"/>
      <c r="U21" s="534" t="s">
        <v>585</v>
      </c>
      <c r="V21" s="535" t="s">
        <v>585</v>
      </c>
      <c r="W21" s="535" t="s">
        <v>585</v>
      </c>
      <c r="X21" s="562" t="e">
        <f t="shared" si="13"/>
        <v>#VALUE!</v>
      </c>
      <c r="Y21" s="642"/>
      <c r="Z21" s="534" t="s">
        <v>585</v>
      </c>
      <c r="AA21" s="535" t="s">
        <v>585</v>
      </c>
      <c r="AB21" s="535" t="s">
        <v>585</v>
      </c>
      <c r="AC21" s="562" t="e">
        <f t="shared" si="14"/>
        <v>#VALUE!</v>
      </c>
      <c r="AD21" s="642"/>
      <c r="AE21" s="534" t="s">
        <v>585</v>
      </c>
      <c r="AF21" s="535" t="s">
        <v>585</v>
      </c>
      <c r="AG21" s="535" t="s">
        <v>585</v>
      </c>
      <c r="AH21" s="562" t="e">
        <f t="shared" si="15"/>
        <v>#VALUE!</v>
      </c>
      <c r="AI21" s="642"/>
      <c r="AJ21" s="534" t="s">
        <v>585</v>
      </c>
      <c r="AK21" s="535" t="s">
        <v>585</v>
      </c>
      <c r="AL21" s="535" t="s">
        <v>585</v>
      </c>
      <c r="AM21" s="562" t="e">
        <f t="shared" si="16"/>
        <v>#VALUE!</v>
      </c>
      <c r="AN21" s="642"/>
      <c r="AO21" s="534" t="s">
        <v>585</v>
      </c>
      <c r="AP21" s="535" t="s">
        <v>585</v>
      </c>
      <c r="AQ21" s="535" t="s">
        <v>585</v>
      </c>
      <c r="AR21" s="562" t="e">
        <f t="shared" si="17"/>
        <v>#VALUE!</v>
      </c>
      <c r="AS21" s="642"/>
      <c r="AT21" s="534" t="s">
        <v>585</v>
      </c>
      <c r="AU21" s="535" t="s">
        <v>585</v>
      </c>
      <c r="AV21" s="535" t="s">
        <v>585</v>
      </c>
      <c r="AW21" s="562" t="e">
        <f t="shared" si="18"/>
        <v>#VALUE!</v>
      </c>
      <c r="AX21" s="642"/>
      <c r="AZ21" s="368" t="e">
        <f t="shared" si="10"/>
        <v>#N/A</v>
      </c>
      <c r="BA21" s="642"/>
    </row>
    <row r="22" spans="2:53" ht="15.75">
      <c r="B22" s="680" t="s">
        <v>162</v>
      </c>
      <c r="C22" s="681"/>
      <c r="D22" s="681"/>
      <c r="E22" s="681"/>
      <c r="F22" s="681"/>
      <c r="G22" s="681"/>
      <c r="H22" s="681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68">
        <f>P2+7</f>
        <v>46238</v>
      </c>
      <c r="Q22" s="647"/>
      <c r="R22" s="647"/>
      <c r="S22" s="647"/>
      <c r="T22" s="647"/>
      <c r="U22" s="665">
        <f>P22+1</f>
        <v>46239</v>
      </c>
      <c r="V22" s="666"/>
      <c r="W22" s="666"/>
      <c r="X22" s="666"/>
      <c r="Y22" s="667"/>
      <c r="Z22" s="665">
        <f>U22+1</f>
        <v>46240</v>
      </c>
      <c r="AA22" s="666"/>
      <c r="AB22" s="666"/>
      <c r="AC22" s="666"/>
      <c r="AD22" s="667"/>
      <c r="AE22" s="665">
        <f>Z22+1</f>
        <v>46241</v>
      </c>
      <c r="AF22" s="666"/>
      <c r="AG22" s="666"/>
      <c r="AH22" s="666"/>
      <c r="AI22" s="667"/>
      <c r="AJ22" s="665">
        <f>AE22+1</f>
        <v>46242</v>
      </c>
      <c r="AK22" s="666"/>
      <c r="AL22" s="666"/>
      <c r="AM22" s="666"/>
      <c r="AN22" s="667"/>
      <c r="AO22" s="665">
        <f>AJ22+1</f>
        <v>46243</v>
      </c>
      <c r="AP22" s="666"/>
      <c r="AQ22" s="666"/>
      <c r="AR22" s="666"/>
      <c r="AS22" s="667"/>
      <c r="AT22" s="665">
        <f>AO22+1</f>
        <v>46244</v>
      </c>
      <c r="AU22" s="666"/>
      <c r="AV22" s="666"/>
      <c r="AW22" s="666"/>
      <c r="AX22" s="667"/>
    </row>
    <row r="23" spans="2:53" ht="15.75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45"/>
      <c r="O23" s="645"/>
      <c r="P23" s="668" t="s">
        <v>317</v>
      </c>
      <c r="Q23" s="647"/>
      <c r="R23" s="647"/>
      <c r="S23" s="647"/>
      <c r="T23" s="647"/>
      <c r="U23" s="668" t="s">
        <v>318</v>
      </c>
      <c r="V23" s="647"/>
      <c r="W23" s="647"/>
      <c r="X23" s="647"/>
      <c r="Y23" s="647"/>
      <c r="Z23" s="668" t="s">
        <v>319</v>
      </c>
      <c r="AA23" s="647"/>
      <c r="AB23" s="647"/>
      <c r="AC23" s="647"/>
      <c r="AD23" s="647"/>
      <c r="AE23" s="668" t="s">
        <v>320</v>
      </c>
      <c r="AF23" s="647"/>
      <c r="AG23" s="647"/>
      <c r="AH23" s="647"/>
      <c r="AI23" s="647"/>
      <c r="AJ23" s="668" t="s">
        <v>321</v>
      </c>
      <c r="AK23" s="647"/>
      <c r="AL23" s="647"/>
      <c r="AM23" s="647"/>
      <c r="AN23" s="647"/>
      <c r="AO23" s="668" t="s">
        <v>322</v>
      </c>
      <c r="AP23" s="647"/>
      <c r="AQ23" s="647"/>
      <c r="AR23" s="647"/>
      <c r="AS23" s="647"/>
      <c r="AT23" s="668" t="s">
        <v>323</v>
      </c>
      <c r="AU23" s="647"/>
      <c r="AV23" s="647"/>
      <c r="AW23" s="647"/>
      <c r="AX23" s="647"/>
    </row>
    <row r="24" spans="2:53">
      <c r="B24" s="641" t="s">
        <v>154</v>
      </c>
      <c r="C24" s="641" t="s">
        <v>379</v>
      </c>
      <c r="D24" s="641"/>
      <c r="E24" s="641" t="s">
        <v>370</v>
      </c>
      <c r="F24" s="641"/>
      <c r="G24" s="641"/>
      <c r="H24" s="673" t="s">
        <v>366</v>
      </c>
      <c r="I24" s="688" t="s">
        <v>371</v>
      </c>
      <c r="J24" s="688"/>
      <c r="K24" s="688"/>
      <c r="L24" s="689" t="s">
        <v>366</v>
      </c>
      <c r="M24" s="677" t="s">
        <v>367</v>
      </c>
      <c r="N24" s="641"/>
      <c r="O24" s="641" t="s">
        <v>372</v>
      </c>
      <c r="P24" s="659" t="s">
        <v>368</v>
      </c>
      <c r="Q24" s="660"/>
      <c r="R24" s="660"/>
      <c r="S24" s="661"/>
      <c r="T24" s="641" t="s">
        <v>366</v>
      </c>
      <c r="U24" s="659" t="s">
        <v>368</v>
      </c>
      <c r="V24" s="660"/>
      <c r="W24" s="660"/>
      <c r="X24" s="661"/>
      <c r="Y24" s="641" t="s">
        <v>366</v>
      </c>
      <c r="Z24" s="659" t="s">
        <v>368</v>
      </c>
      <c r="AA24" s="660"/>
      <c r="AB24" s="660"/>
      <c r="AC24" s="661"/>
      <c r="AD24" s="641" t="s">
        <v>366</v>
      </c>
      <c r="AE24" s="659" t="s">
        <v>368</v>
      </c>
      <c r="AF24" s="660"/>
      <c r="AG24" s="660"/>
      <c r="AH24" s="661"/>
      <c r="AI24" s="641" t="s">
        <v>366</v>
      </c>
      <c r="AJ24" s="659" t="s">
        <v>368</v>
      </c>
      <c r="AK24" s="660"/>
      <c r="AL24" s="660"/>
      <c r="AM24" s="661"/>
      <c r="AN24" s="641" t="s">
        <v>366</v>
      </c>
      <c r="AO24" s="659" t="s">
        <v>368</v>
      </c>
      <c r="AP24" s="660"/>
      <c r="AQ24" s="660"/>
      <c r="AR24" s="661"/>
      <c r="AS24" s="641" t="s">
        <v>366</v>
      </c>
      <c r="AT24" s="659" t="s">
        <v>368</v>
      </c>
      <c r="AU24" s="660"/>
      <c r="AV24" s="660"/>
      <c r="AW24" s="661"/>
      <c r="AX24" s="641" t="s">
        <v>366</v>
      </c>
      <c r="BA24" s="641" t="s">
        <v>366</v>
      </c>
    </row>
    <row r="25" spans="2:53">
      <c r="B25" s="641"/>
      <c r="C25" s="641"/>
      <c r="D25" s="641"/>
      <c r="E25" s="641" t="s">
        <v>373</v>
      </c>
      <c r="F25" s="641"/>
      <c r="G25" s="641"/>
      <c r="H25" s="674"/>
      <c r="I25" s="688" t="s">
        <v>373</v>
      </c>
      <c r="J25" s="688"/>
      <c r="K25" s="688"/>
      <c r="L25" s="690"/>
      <c r="M25" s="678"/>
      <c r="N25" s="641"/>
      <c r="O25" s="641"/>
      <c r="P25" s="659" t="s">
        <v>374</v>
      </c>
      <c r="Q25" s="660"/>
      <c r="R25" s="660"/>
      <c r="S25" s="661"/>
      <c r="T25" s="641"/>
      <c r="U25" s="659" t="s">
        <v>374</v>
      </c>
      <c r="V25" s="660"/>
      <c r="W25" s="660"/>
      <c r="X25" s="661"/>
      <c r="Y25" s="641"/>
      <c r="Z25" s="659" t="s">
        <v>374</v>
      </c>
      <c r="AA25" s="660"/>
      <c r="AB25" s="660"/>
      <c r="AC25" s="661"/>
      <c r="AD25" s="641"/>
      <c r="AE25" s="659" t="s">
        <v>374</v>
      </c>
      <c r="AF25" s="660"/>
      <c r="AG25" s="660"/>
      <c r="AH25" s="661"/>
      <c r="AI25" s="641"/>
      <c r="AJ25" s="659" t="s">
        <v>374</v>
      </c>
      <c r="AK25" s="660"/>
      <c r="AL25" s="660"/>
      <c r="AM25" s="661"/>
      <c r="AN25" s="641"/>
      <c r="AO25" s="659" t="s">
        <v>374</v>
      </c>
      <c r="AP25" s="660"/>
      <c r="AQ25" s="660"/>
      <c r="AR25" s="661"/>
      <c r="AS25" s="641"/>
      <c r="AT25" s="659" t="s">
        <v>374</v>
      </c>
      <c r="AU25" s="660"/>
      <c r="AV25" s="660"/>
      <c r="AW25" s="661"/>
      <c r="AX25" s="641"/>
      <c r="BA25" s="641"/>
    </row>
    <row r="26" spans="2:53">
      <c r="B26" s="641"/>
      <c r="C26" s="641"/>
      <c r="D26" s="641"/>
      <c r="E26" s="378" t="s">
        <v>375</v>
      </c>
      <c r="F26" s="378" t="s">
        <v>376</v>
      </c>
      <c r="G26" s="378" t="s">
        <v>377</v>
      </c>
      <c r="H26" s="675"/>
      <c r="I26" s="377" t="s">
        <v>375</v>
      </c>
      <c r="J26" s="377" t="s">
        <v>376</v>
      </c>
      <c r="K26" s="377" t="s">
        <v>377</v>
      </c>
      <c r="L26" s="691"/>
      <c r="M26" s="679"/>
      <c r="N26" s="641"/>
      <c r="O26" s="641"/>
      <c r="P26" s="378" t="s">
        <v>375</v>
      </c>
      <c r="Q26" s="378" t="s">
        <v>376</v>
      </c>
      <c r="R26" s="378" t="s">
        <v>377</v>
      </c>
      <c r="S26" s="378" t="s">
        <v>367</v>
      </c>
      <c r="T26" s="641"/>
      <c r="U26" s="378" t="s">
        <v>375</v>
      </c>
      <c r="V26" s="378" t="s">
        <v>376</v>
      </c>
      <c r="W26" s="378" t="s">
        <v>377</v>
      </c>
      <c r="X26" s="378" t="s">
        <v>367</v>
      </c>
      <c r="Y26" s="641"/>
      <c r="Z26" s="378" t="s">
        <v>375</v>
      </c>
      <c r="AA26" s="378" t="s">
        <v>376</v>
      </c>
      <c r="AB26" s="378" t="s">
        <v>377</v>
      </c>
      <c r="AC26" s="378" t="s">
        <v>367</v>
      </c>
      <c r="AD26" s="641"/>
      <c r="AE26" s="378" t="s">
        <v>375</v>
      </c>
      <c r="AF26" s="378" t="s">
        <v>376</v>
      </c>
      <c r="AG26" s="378" t="s">
        <v>377</v>
      </c>
      <c r="AH26" s="378" t="s">
        <v>367</v>
      </c>
      <c r="AI26" s="641"/>
      <c r="AJ26" s="378" t="s">
        <v>375</v>
      </c>
      <c r="AK26" s="378" t="s">
        <v>376</v>
      </c>
      <c r="AL26" s="378" t="s">
        <v>377</v>
      </c>
      <c r="AM26" s="378" t="s">
        <v>367</v>
      </c>
      <c r="AN26" s="641"/>
      <c r="AO26" s="378" t="s">
        <v>375</v>
      </c>
      <c r="AP26" s="378" t="s">
        <v>376</v>
      </c>
      <c r="AQ26" s="378" t="s">
        <v>377</v>
      </c>
      <c r="AR26" s="378" t="s">
        <v>367</v>
      </c>
      <c r="AS26" s="641"/>
      <c r="AT26" s="378" t="s">
        <v>375</v>
      </c>
      <c r="AU26" s="378" t="s">
        <v>376</v>
      </c>
      <c r="AV26" s="378" t="s">
        <v>377</v>
      </c>
      <c r="AW26" s="378" t="s">
        <v>367</v>
      </c>
      <c r="AX26" s="641"/>
      <c r="AZ26" s="367" t="s">
        <v>367</v>
      </c>
      <c r="BA26" s="641"/>
    </row>
    <row r="27" spans="2:53">
      <c r="B27" s="641" t="s">
        <v>380</v>
      </c>
      <c r="C27" s="379">
        <v>1</v>
      </c>
      <c r="D27" s="225" t="s">
        <v>694</v>
      </c>
      <c r="E27" s="535">
        <v>15</v>
      </c>
      <c r="F27" s="534">
        <v>2000</v>
      </c>
      <c r="G27" s="536">
        <v>100</v>
      </c>
      <c r="H27" s="700">
        <f>AVERAGE(G27:G41)</f>
        <v>100</v>
      </c>
      <c r="I27" s="381">
        <f t="shared" ref="I27:I40" si="19">IFERROR(AVERAGE(P27,U27,Z27,AE27,AJ27,AO27,AT27),"-")</f>
        <v>13</v>
      </c>
      <c r="J27" s="381">
        <f t="shared" ref="J27:J40" si="20">IFERROR(AVERAGE(Q27,V27,AA27,AF27,AK27,AP27,AU27),"-")</f>
        <v>1877.151020408163</v>
      </c>
      <c r="K27" s="199">
        <f t="shared" ref="K27:K40" si="21">IFERROR(AVERAGE(R27,W27,AB27,AG27,AL27,AQ27,AV27),"-")</f>
        <v>144.39623233908947</v>
      </c>
      <c r="L27" s="656">
        <f>IFERROR(AVERAGE(K27:K41),"-")</f>
        <v>146.88061059819302</v>
      </c>
      <c r="M27" s="383">
        <f>RANK(K27, K$24:$K$41)</f>
        <v>2</v>
      </c>
      <c r="N27" s="641"/>
      <c r="O27" s="641"/>
      <c r="P27" s="556">
        <v>13</v>
      </c>
      <c r="Q27" s="557">
        <v>1937.9999999999964</v>
      </c>
      <c r="R27" s="557">
        <v>149.07692307692281</v>
      </c>
      <c r="S27" s="556">
        <f t="shared" ref="S27:S41" si="22">RANK(R27, R$27:R$41)</f>
        <v>1</v>
      </c>
      <c r="T27" s="636">
        <f t="shared" ref="T27" si="23">AVERAGE(R27:R41)</f>
        <v>148.92307692307674</v>
      </c>
      <c r="U27" s="556">
        <v>13</v>
      </c>
      <c r="V27" s="557">
        <v>1831.9999999999966</v>
      </c>
      <c r="W27" s="557">
        <v>140.92307692307665</v>
      </c>
      <c r="X27" s="556">
        <f t="shared" ref="X27:X41" si="24">RANK(W27, W$27:W$41)</f>
        <v>2</v>
      </c>
      <c r="Y27" s="636">
        <f t="shared" ref="Y27" si="25">AVERAGE(W27:W41)</f>
        <v>146.23776223776201</v>
      </c>
      <c r="Z27" s="556">
        <v>13</v>
      </c>
      <c r="AA27" s="557">
        <v>2029.9999999999964</v>
      </c>
      <c r="AB27" s="557">
        <v>156.15384615384588</v>
      </c>
      <c r="AC27" s="556">
        <f t="shared" ref="AC27:AC41" si="26">RANK(AB27, AB$27:AB$41)</f>
        <v>1</v>
      </c>
      <c r="AD27" s="636">
        <f t="shared" ref="AD27" si="27">AVERAGE(AB27:AB41)</f>
        <v>155.4307692307691</v>
      </c>
      <c r="AE27" s="556">
        <v>13</v>
      </c>
      <c r="AF27" s="557">
        <v>1877.9999999999993</v>
      </c>
      <c r="AG27" s="557">
        <v>144.4615384615384</v>
      </c>
      <c r="AH27" s="556">
        <f t="shared" ref="AH27:AH41" si="28">RANK(AG27, AG$27:AG$41)</f>
        <v>2</v>
      </c>
      <c r="AI27" s="636">
        <f t="shared" ref="AI27" si="29">AVERAGE(AG27:AG41)</f>
        <v>146.82692307692304</v>
      </c>
      <c r="AJ27" s="556">
        <v>13</v>
      </c>
      <c r="AK27" s="557">
        <v>1620.0000000000057</v>
      </c>
      <c r="AL27" s="557">
        <v>124.61538461538505</v>
      </c>
      <c r="AM27" s="556">
        <f t="shared" ref="AM27:AM41" si="30">RANK(AL27, AL$27:AL$41)</f>
        <v>2</v>
      </c>
      <c r="AN27" s="636">
        <f t="shared" ref="AN27" si="31">AVERAGE(AL27:AL41)</f>
        <v>133.44230769230802</v>
      </c>
      <c r="AO27" s="556">
        <v>13</v>
      </c>
      <c r="AP27" s="557">
        <v>1963.2000000000071</v>
      </c>
      <c r="AQ27" s="557">
        <v>151.01538461538516</v>
      </c>
      <c r="AR27" s="556">
        <f t="shared" ref="AR27:AR41" si="32">RANK(AQ27, AQ$27:AQ$41)</f>
        <v>1</v>
      </c>
      <c r="AS27" s="636">
        <f t="shared" ref="AS27" si="33">AVERAGE(AQ27:AQ41)</f>
        <v>149.31188811188844</v>
      </c>
      <c r="AT27" s="556">
        <v>13</v>
      </c>
      <c r="AU27" s="557">
        <v>1878.8571428571408</v>
      </c>
      <c r="AV27" s="557">
        <v>144.52747252747238</v>
      </c>
      <c r="AW27" s="556">
        <f t="shared" ref="AW27:AW41" si="34">RANK(AV27, AV$27:AV$41)</f>
        <v>2</v>
      </c>
      <c r="AX27" s="636">
        <f t="shared" ref="AX27" si="35">AVERAGE(AV27:AV41)</f>
        <v>147.99154691462377</v>
      </c>
      <c r="AZ27" s="368" t="e">
        <f t="shared" ref="AZ27:AZ41" si="36">RANK(AY27, AY$27:AY$41)</f>
        <v>#N/A</v>
      </c>
      <c r="BA27" s="636" t="e">
        <f t="shared" ref="BA27" si="37">AVERAGE(AY27:AY41)</f>
        <v>#DIV/0!</v>
      </c>
    </row>
    <row r="28" spans="2:53">
      <c r="B28" s="647"/>
      <c r="C28" s="379">
        <v>2</v>
      </c>
      <c r="D28" s="225" t="s">
        <v>705</v>
      </c>
      <c r="E28" s="535">
        <v>13</v>
      </c>
      <c r="F28" s="534">
        <v>2000</v>
      </c>
      <c r="G28" s="536">
        <v>100</v>
      </c>
      <c r="H28" s="701"/>
      <c r="I28" s="381">
        <f t="shared" si="19"/>
        <v>13</v>
      </c>
      <c r="J28" s="381">
        <f t="shared" si="20"/>
        <v>1941.7448551448554</v>
      </c>
      <c r="K28" s="199">
        <f t="shared" si="21"/>
        <v>149.36498885729657</v>
      </c>
      <c r="L28" s="657"/>
      <c r="M28" s="387">
        <f>RANK(K28, K$24:$K$41)</f>
        <v>1</v>
      </c>
      <c r="N28" s="641"/>
      <c r="O28" s="641"/>
      <c r="P28" s="556">
        <v>13</v>
      </c>
      <c r="Q28" s="557">
        <v>1933.9999999999991</v>
      </c>
      <c r="R28" s="557">
        <v>148.76923076923069</v>
      </c>
      <c r="S28" s="556">
        <f t="shared" si="22"/>
        <v>2</v>
      </c>
      <c r="T28" s="637"/>
      <c r="U28" s="556">
        <v>13</v>
      </c>
      <c r="V28" s="557">
        <v>1970.1818181818164</v>
      </c>
      <c r="W28" s="557">
        <v>151.5524475524474</v>
      </c>
      <c r="X28" s="556">
        <f t="shared" si="24"/>
        <v>1</v>
      </c>
      <c r="Y28" s="637"/>
      <c r="Z28" s="556">
        <v>13</v>
      </c>
      <c r="AA28" s="557">
        <v>2011.2000000000007</v>
      </c>
      <c r="AB28" s="557">
        <v>154.70769230769235</v>
      </c>
      <c r="AC28" s="556">
        <f t="shared" si="26"/>
        <v>2</v>
      </c>
      <c r="AD28" s="637"/>
      <c r="AE28" s="556">
        <v>13</v>
      </c>
      <c r="AF28" s="557">
        <v>1939.4999999999993</v>
      </c>
      <c r="AG28" s="557">
        <v>149.19230769230765</v>
      </c>
      <c r="AH28" s="556">
        <f t="shared" si="28"/>
        <v>1</v>
      </c>
      <c r="AI28" s="637"/>
      <c r="AJ28" s="556">
        <v>13</v>
      </c>
      <c r="AK28" s="557">
        <v>1849.500000000003</v>
      </c>
      <c r="AL28" s="557">
        <v>142.269230769231</v>
      </c>
      <c r="AM28" s="556">
        <f t="shared" si="30"/>
        <v>1</v>
      </c>
      <c r="AN28" s="637"/>
      <c r="AO28" s="556">
        <v>13</v>
      </c>
      <c r="AP28" s="557">
        <v>1918.9090909090921</v>
      </c>
      <c r="AQ28" s="557">
        <v>147.60839160839171</v>
      </c>
      <c r="AR28" s="556">
        <f t="shared" si="32"/>
        <v>2</v>
      </c>
      <c r="AS28" s="637"/>
      <c r="AT28" s="556">
        <v>13</v>
      </c>
      <c r="AU28" s="557">
        <v>1968.9230769230765</v>
      </c>
      <c r="AV28" s="557">
        <v>151.45562130177512</v>
      </c>
      <c r="AW28" s="556">
        <f t="shared" si="34"/>
        <v>1</v>
      </c>
      <c r="AX28" s="637"/>
      <c r="AZ28" s="368" t="e">
        <f t="shared" si="36"/>
        <v>#N/A</v>
      </c>
      <c r="BA28" s="637"/>
    </row>
    <row r="29" spans="2:53">
      <c r="B29" s="647"/>
      <c r="C29" s="379">
        <v>3</v>
      </c>
      <c r="D29" s="225"/>
      <c r="E29" s="535"/>
      <c r="F29" s="534"/>
      <c r="G29" s="536"/>
      <c r="H29" s="701"/>
      <c r="I29" s="381" t="str">
        <f t="shared" si="19"/>
        <v>-</v>
      </c>
      <c r="J29" s="381" t="str">
        <f t="shared" si="20"/>
        <v>-</v>
      </c>
      <c r="K29" s="199" t="str">
        <f t="shared" si="21"/>
        <v>-</v>
      </c>
      <c r="L29" s="657"/>
      <c r="M29" s="387" t="e">
        <f>RANK(K29, K$24:$K$41)</f>
        <v>#VALUE!</v>
      </c>
      <c r="N29" s="641"/>
      <c r="O29" s="641"/>
      <c r="P29" s="556" t="s">
        <v>585</v>
      </c>
      <c r="Q29" s="557" t="s">
        <v>585</v>
      </c>
      <c r="R29" s="557" t="s">
        <v>585</v>
      </c>
      <c r="S29" s="556" t="e">
        <f t="shared" si="22"/>
        <v>#VALUE!</v>
      </c>
      <c r="T29" s="637"/>
      <c r="U29" s="556" t="s">
        <v>585</v>
      </c>
      <c r="V29" s="557" t="s">
        <v>585</v>
      </c>
      <c r="W29" s="557" t="s">
        <v>585</v>
      </c>
      <c r="X29" s="556" t="e">
        <f t="shared" si="24"/>
        <v>#VALUE!</v>
      </c>
      <c r="Y29" s="637"/>
      <c r="Z29" s="556" t="s">
        <v>585</v>
      </c>
      <c r="AA29" s="557" t="s">
        <v>585</v>
      </c>
      <c r="AB29" s="557" t="s">
        <v>585</v>
      </c>
      <c r="AC29" s="556" t="e">
        <f t="shared" si="26"/>
        <v>#VALUE!</v>
      </c>
      <c r="AD29" s="637"/>
      <c r="AE29" s="556" t="s">
        <v>585</v>
      </c>
      <c r="AF29" s="557" t="s">
        <v>585</v>
      </c>
      <c r="AG29" s="557" t="s">
        <v>585</v>
      </c>
      <c r="AH29" s="556" t="e">
        <f t="shared" si="28"/>
        <v>#VALUE!</v>
      </c>
      <c r="AI29" s="637"/>
      <c r="AJ29" s="556" t="s">
        <v>585</v>
      </c>
      <c r="AK29" s="557" t="s">
        <v>585</v>
      </c>
      <c r="AL29" s="557" t="s">
        <v>585</v>
      </c>
      <c r="AM29" s="556" t="e">
        <f t="shared" si="30"/>
        <v>#VALUE!</v>
      </c>
      <c r="AN29" s="637"/>
      <c r="AO29" s="556" t="s">
        <v>585</v>
      </c>
      <c r="AP29" s="557" t="s">
        <v>585</v>
      </c>
      <c r="AQ29" s="557" t="s">
        <v>585</v>
      </c>
      <c r="AR29" s="556" t="e">
        <f t="shared" si="32"/>
        <v>#VALUE!</v>
      </c>
      <c r="AS29" s="637"/>
      <c r="AT29" s="556" t="s">
        <v>585</v>
      </c>
      <c r="AU29" s="557" t="s">
        <v>585</v>
      </c>
      <c r="AV29" s="557" t="s">
        <v>585</v>
      </c>
      <c r="AW29" s="556" t="e">
        <f t="shared" si="34"/>
        <v>#VALUE!</v>
      </c>
      <c r="AX29" s="637"/>
      <c r="AZ29" s="368" t="e">
        <f t="shared" si="36"/>
        <v>#N/A</v>
      </c>
      <c r="BA29" s="637"/>
    </row>
    <row r="30" spans="2:53">
      <c r="B30" s="647"/>
      <c r="C30" s="379">
        <v>4</v>
      </c>
      <c r="D30" s="225"/>
      <c r="E30" s="535"/>
      <c r="F30" s="534"/>
      <c r="G30" s="536"/>
      <c r="H30" s="701"/>
      <c r="I30" s="381" t="str">
        <f t="shared" si="19"/>
        <v>-</v>
      </c>
      <c r="J30" s="381" t="str">
        <f t="shared" si="20"/>
        <v>-</v>
      </c>
      <c r="K30" s="199" t="str">
        <f t="shared" si="21"/>
        <v>-</v>
      </c>
      <c r="L30" s="657"/>
      <c r="M30" s="387" t="e">
        <f>RANK(K30, K$24:$K$41)</f>
        <v>#VALUE!</v>
      </c>
      <c r="N30" s="641"/>
      <c r="O30" s="641"/>
      <c r="P30" s="556" t="s">
        <v>585</v>
      </c>
      <c r="Q30" s="557" t="s">
        <v>585</v>
      </c>
      <c r="R30" s="557" t="s">
        <v>585</v>
      </c>
      <c r="S30" s="556" t="e">
        <f t="shared" si="22"/>
        <v>#VALUE!</v>
      </c>
      <c r="T30" s="637"/>
      <c r="U30" s="556" t="s">
        <v>585</v>
      </c>
      <c r="V30" s="557" t="s">
        <v>585</v>
      </c>
      <c r="W30" s="557" t="s">
        <v>585</v>
      </c>
      <c r="X30" s="556" t="e">
        <f t="shared" si="24"/>
        <v>#VALUE!</v>
      </c>
      <c r="Y30" s="637"/>
      <c r="Z30" s="556" t="s">
        <v>585</v>
      </c>
      <c r="AA30" s="557" t="s">
        <v>585</v>
      </c>
      <c r="AB30" s="557" t="s">
        <v>585</v>
      </c>
      <c r="AC30" s="556" t="e">
        <f t="shared" si="26"/>
        <v>#VALUE!</v>
      </c>
      <c r="AD30" s="637"/>
      <c r="AE30" s="556" t="s">
        <v>585</v>
      </c>
      <c r="AF30" s="557" t="s">
        <v>585</v>
      </c>
      <c r="AG30" s="557" t="s">
        <v>585</v>
      </c>
      <c r="AH30" s="556" t="e">
        <f t="shared" si="28"/>
        <v>#VALUE!</v>
      </c>
      <c r="AI30" s="637"/>
      <c r="AJ30" s="556" t="s">
        <v>585</v>
      </c>
      <c r="AK30" s="557" t="s">
        <v>585</v>
      </c>
      <c r="AL30" s="557" t="s">
        <v>585</v>
      </c>
      <c r="AM30" s="556" t="e">
        <f t="shared" si="30"/>
        <v>#VALUE!</v>
      </c>
      <c r="AN30" s="637"/>
      <c r="AO30" s="556" t="s">
        <v>585</v>
      </c>
      <c r="AP30" s="557" t="s">
        <v>585</v>
      </c>
      <c r="AQ30" s="557" t="s">
        <v>585</v>
      </c>
      <c r="AR30" s="556" t="e">
        <f t="shared" si="32"/>
        <v>#VALUE!</v>
      </c>
      <c r="AS30" s="637"/>
      <c r="AT30" s="556" t="s">
        <v>585</v>
      </c>
      <c r="AU30" s="557" t="s">
        <v>585</v>
      </c>
      <c r="AV30" s="557" t="s">
        <v>585</v>
      </c>
      <c r="AW30" s="556" t="e">
        <f t="shared" si="34"/>
        <v>#VALUE!</v>
      </c>
      <c r="AX30" s="637"/>
      <c r="AZ30" s="368" t="e">
        <f t="shared" si="36"/>
        <v>#N/A</v>
      </c>
      <c r="BA30" s="637"/>
    </row>
    <row r="31" spans="2:53">
      <c r="B31" s="647"/>
      <c r="C31" s="379">
        <v>5</v>
      </c>
      <c r="D31" s="225"/>
      <c r="E31" s="535"/>
      <c r="F31" s="534"/>
      <c r="G31" s="536"/>
      <c r="H31" s="701"/>
      <c r="I31" s="381" t="str">
        <f t="shared" si="19"/>
        <v>-</v>
      </c>
      <c r="J31" s="381" t="str">
        <f t="shared" si="20"/>
        <v>-</v>
      </c>
      <c r="K31" s="199" t="str">
        <f t="shared" si="21"/>
        <v>-</v>
      </c>
      <c r="L31" s="657"/>
      <c r="M31" s="387" t="e">
        <f>RANK(K31, K$24:$K$41)</f>
        <v>#VALUE!</v>
      </c>
      <c r="N31" s="641"/>
      <c r="O31" s="641"/>
      <c r="P31" s="556" t="s">
        <v>585</v>
      </c>
      <c r="Q31" s="557" t="s">
        <v>585</v>
      </c>
      <c r="R31" s="557" t="s">
        <v>585</v>
      </c>
      <c r="S31" s="556" t="e">
        <f t="shared" si="22"/>
        <v>#VALUE!</v>
      </c>
      <c r="T31" s="637"/>
      <c r="U31" s="556" t="s">
        <v>585</v>
      </c>
      <c r="V31" s="557" t="s">
        <v>585</v>
      </c>
      <c r="W31" s="557" t="s">
        <v>585</v>
      </c>
      <c r="X31" s="556" t="e">
        <f t="shared" si="24"/>
        <v>#VALUE!</v>
      </c>
      <c r="Y31" s="637"/>
      <c r="Z31" s="556" t="s">
        <v>585</v>
      </c>
      <c r="AA31" s="557" t="s">
        <v>585</v>
      </c>
      <c r="AB31" s="557" t="s">
        <v>585</v>
      </c>
      <c r="AC31" s="556" t="e">
        <f t="shared" si="26"/>
        <v>#VALUE!</v>
      </c>
      <c r="AD31" s="637"/>
      <c r="AE31" s="556" t="s">
        <v>585</v>
      </c>
      <c r="AF31" s="557" t="s">
        <v>585</v>
      </c>
      <c r="AG31" s="557" t="s">
        <v>585</v>
      </c>
      <c r="AH31" s="556" t="e">
        <f t="shared" si="28"/>
        <v>#VALUE!</v>
      </c>
      <c r="AI31" s="637"/>
      <c r="AJ31" s="556" t="s">
        <v>585</v>
      </c>
      <c r="AK31" s="557" t="s">
        <v>585</v>
      </c>
      <c r="AL31" s="557" t="s">
        <v>585</v>
      </c>
      <c r="AM31" s="556" t="e">
        <f t="shared" si="30"/>
        <v>#VALUE!</v>
      </c>
      <c r="AN31" s="637"/>
      <c r="AO31" s="556" t="s">
        <v>585</v>
      </c>
      <c r="AP31" s="557" t="s">
        <v>585</v>
      </c>
      <c r="AQ31" s="557" t="s">
        <v>585</v>
      </c>
      <c r="AR31" s="556" t="e">
        <f t="shared" si="32"/>
        <v>#VALUE!</v>
      </c>
      <c r="AS31" s="637"/>
      <c r="AT31" s="556" t="s">
        <v>585</v>
      </c>
      <c r="AU31" s="557" t="s">
        <v>585</v>
      </c>
      <c r="AV31" s="557" t="s">
        <v>585</v>
      </c>
      <c r="AW31" s="556" t="e">
        <f t="shared" si="34"/>
        <v>#VALUE!</v>
      </c>
      <c r="AX31" s="637"/>
      <c r="AZ31" s="368" t="e">
        <f t="shared" si="36"/>
        <v>#N/A</v>
      </c>
      <c r="BA31" s="637"/>
    </row>
    <row r="32" spans="2:53">
      <c r="B32" s="647"/>
      <c r="C32" s="379">
        <v>6</v>
      </c>
      <c r="D32" s="225"/>
      <c r="E32" s="535"/>
      <c r="F32" s="534"/>
      <c r="G32" s="536"/>
      <c r="H32" s="701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57"/>
      <c r="M32" s="387" t="e">
        <f>RANK(K32, K$24:$K$41)</f>
        <v>#VALUE!</v>
      </c>
      <c r="N32" s="641"/>
      <c r="O32" s="641"/>
      <c r="P32" s="556" t="s">
        <v>585</v>
      </c>
      <c r="Q32" s="557" t="s">
        <v>585</v>
      </c>
      <c r="R32" s="557" t="s">
        <v>585</v>
      </c>
      <c r="S32" s="556" t="e">
        <f t="shared" si="22"/>
        <v>#VALUE!</v>
      </c>
      <c r="T32" s="637"/>
      <c r="U32" s="556" t="s">
        <v>585</v>
      </c>
      <c r="V32" s="557" t="s">
        <v>585</v>
      </c>
      <c r="W32" s="557" t="s">
        <v>585</v>
      </c>
      <c r="X32" s="556" t="e">
        <f t="shared" si="24"/>
        <v>#VALUE!</v>
      </c>
      <c r="Y32" s="637"/>
      <c r="Z32" s="556" t="s">
        <v>585</v>
      </c>
      <c r="AA32" s="557" t="s">
        <v>585</v>
      </c>
      <c r="AB32" s="557" t="s">
        <v>585</v>
      </c>
      <c r="AC32" s="556" t="e">
        <f t="shared" si="26"/>
        <v>#VALUE!</v>
      </c>
      <c r="AD32" s="637"/>
      <c r="AE32" s="556" t="s">
        <v>585</v>
      </c>
      <c r="AF32" s="557" t="s">
        <v>585</v>
      </c>
      <c r="AG32" s="557" t="s">
        <v>585</v>
      </c>
      <c r="AH32" s="556" t="e">
        <f t="shared" si="28"/>
        <v>#VALUE!</v>
      </c>
      <c r="AI32" s="637"/>
      <c r="AJ32" s="556" t="s">
        <v>585</v>
      </c>
      <c r="AK32" s="557" t="s">
        <v>585</v>
      </c>
      <c r="AL32" s="557" t="s">
        <v>585</v>
      </c>
      <c r="AM32" s="556" t="e">
        <f t="shared" si="30"/>
        <v>#VALUE!</v>
      </c>
      <c r="AN32" s="637"/>
      <c r="AO32" s="556" t="s">
        <v>585</v>
      </c>
      <c r="AP32" s="557" t="s">
        <v>585</v>
      </c>
      <c r="AQ32" s="557" t="s">
        <v>585</v>
      </c>
      <c r="AR32" s="556" t="e">
        <f t="shared" si="32"/>
        <v>#VALUE!</v>
      </c>
      <c r="AS32" s="637"/>
      <c r="AT32" s="556" t="s">
        <v>585</v>
      </c>
      <c r="AU32" s="557" t="s">
        <v>585</v>
      </c>
      <c r="AV32" s="557" t="s">
        <v>585</v>
      </c>
      <c r="AW32" s="556" t="e">
        <f t="shared" si="34"/>
        <v>#VALUE!</v>
      </c>
      <c r="AX32" s="637"/>
      <c r="AZ32" s="368" t="e">
        <f t="shared" si="36"/>
        <v>#N/A</v>
      </c>
      <c r="BA32" s="637"/>
    </row>
    <row r="33" spans="2:53">
      <c r="B33" s="647"/>
      <c r="C33" s="379">
        <v>7</v>
      </c>
      <c r="D33" s="225"/>
      <c r="E33" s="535"/>
      <c r="F33" s="534"/>
      <c r="G33" s="536"/>
      <c r="H33" s="701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57"/>
      <c r="M33" s="387" t="e">
        <f>RANK(K33, K$24:$K$41)</f>
        <v>#VALUE!</v>
      </c>
      <c r="N33" s="641"/>
      <c r="O33" s="641"/>
      <c r="P33" s="556" t="s">
        <v>585</v>
      </c>
      <c r="Q33" s="557" t="s">
        <v>585</v>
      </c>
      <c r="R33" s="557" t="s">
        <v>585</v>
      </c>
      <c r="S33" s="556" t="e">
        <f t="shared" si="22"/>
        <v>#VALUE!</v>
      </c>
      <c r="T33" s="637"/>
      <c r="U33" s="556" t="s">
        <v>585</v>
      </c>
      <c r="V33" s="557" t="s">
        <v>585</v>
      </c>
      <c r="W33" s="557" t="s">
        <v>585</v>
      </c>
      <c r="X33" s="556" t="e">
        <f t="shared" si="24"/>
        <v>#VALUE!</v>
      </c>
      <c r="Y33" s="637"/>
      <c r="Z33" s="556" t="s">
        <v>585</v>
      </c>
      <c r="AA33" s="557" t="s">
        <v>585</v>
      </c>
      <c r="AB33" s="557" t="s">
        <v>585</v>
      </c>
      <c r="AC33" s="556" t="e">
        <f t="shared" si="26"/>
        <v>#VALUE!</v>
      </c>
      <c r="AD33" s="637"/>
      <c r="AE33" s="556" t="s">
        <v>585</v>
      </c>
      <c r="AF33" s="557" t="s">
        <v>585</v>
      </c>
      <c r="AG33" s="557" t="s">
        <v>585</v>
      </c>
      <c r="AH33" s="556" t="e">
        <f t="shared" si="28"/>
        <v>#VALUE!</v>
      </c>
      <c r="AI33" s="637"/>
      <c r="AJ33" s="556" t="s">
        <v>585</v>
      </c>
      <c r="AK33" s="557" t="s">
        <v>585</v>
      </c>
      <c r="AL33" s="557" t="s">
        <v>585</v>
      </c>
      <c r="AM33" s="556" t="e">
        <f t="shared" si="30"/>
        <v>#VALUE!</v>
      </c>
      <c r="AN33" s="637"/>
      <c r="AO33" s="556" t="s">
        <v>585</v>
      </c>
      <c r="AP33" s="557" t="s">
        <v>585</v>
      </c>
      <c r="AQ33" s="557" t="s">
        <v>585</v>
      </c>
      <c r="AR33" s="556" t="e">
        <f t="shared" si="32"/>
        <v>#VALUE!</v>
      </c>
      <c r="AS33" s="637"/>
      <c r="AT33" s="556" t="s">
        <v>585</v>
      </c>
      <c r="AU33" s="557" t="s">
        <v>585</v>
      </c>
      <c r="AV33" s="557" t="s">
        <v>585</v>
      </c>
      <c r="AW33" s="556" t="e">
        <f t="shared" si="34"/>
        <v>#VALUE!</v>
      </c>
      <c r="AX33" s="637"/>
      <c r="AZ33" s="368" t="e">
        <f t="shared" si="36"/>
        <v>#N/A</v>
      </c>
      <c r="BA33" s="637"/>
    </row>
    <row r="34" spans="2:53">
      <c r="B34" s="647"/>
      <c r="C34" s="379">
        <v>8</v>
      </c>
      <c r="D34" s="225"/>
      <c r="E34" s="535"/>
      <c r="F34" s="534"/>
      <c r="G34" s="536"/>
      <c r="H34" s="701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57"/>
      <c r="M34" s="387" t="e">
        <f>RANK(K34, K$24:$K$41)</f>
        <v>#VALUE!</v>
      </c>
      <c r="N34" s="641"/>
      <c r="O34" s="641"/>
      <c r="P34" s="556" t="s">
        <v>585</v>
      </c>
      <c r="Q34" s="557" t="s">
        <v>585</v>
      </c>
      <c r="R34" s="557" t="s">
        <v>585</v>
      </c>
      <c r="S34" s="556" t="e">
        <f t="shared" si="22"/>
        <v>#VALUE!</v>
      </c>
      <c r="T34" s="637"/>
      <c r="U34" s="556" t="s">
        <v>585</v>
      </c>
      <c r="V34" s="557" t="s">
        <v>585</v>
      </c>
      <c r="W34" s="557" t="s">
        <v>585</v>
      </c>
      <c r="X34" s="556" t="e">
        <f t="shared" si="24"/>
        <v>#VALUE!</v>
      </c>
      <c r="Y34" s="637"/>
      <c r="Z34" s="556" t="s">
        <v>585</v>
      </c>
      <c r="AA34" s="557" t="s">
        <v>585</v>
      </c>
      <c r="AB34" s="557" t="s">
        <v>585</v>
      </c>
      <c r="AC34" s="556" t="e">
        <f t="shared" si="26"/>
        <v>#VALUE!</v>
      </c>
      <c r="AD34" s="637"/>
      <c r="AE34" s="556" t="s">
        <v>585</v>
      </c>
      <c r="AF34" s="557" t="s">
        <v>585</v>
      </c>
      <c r="AG34" s="557" t="s">
        <v>585</v>
      </c>
      <c r="AH34" s="556" t="e">
        <f t="shared" si="28"/>
        <v>#VALUE!</v>
      </c>
      <c r="AI34" s="637"/>
      <c r="AJ34" s="556" t="s">
        <v>585</v>
      </c>
      <c r="AK34" s="557" t="s">
        <v>585</v>
      </c>
      <c r="AL34" s="557" t="s">
        <v>585</v>
      </c>
      <c r="AM34" s="556" t="e">
        <f t="shared" si="30"/>
        <v>#VALUE!</v>
      </c>
      <c r="AN34" s="637"/>
      <c r="AO34" s="556" t="s">
        <v>585</v>
      </c>
      <c r="AP34" s="557" t="s">
        <v>585</v>
      </c>
      <c r="AQ34" s="557" t="s">
        <v>585</v>
      </c>
      <c r="AR34" s="556" t="e">
        <f t="shared" si="32"/>
        <v>#VALUE!</v>
      </c>
      <c r="AS34" s="637"/>
      <c r="AT34" s="556" t="s">
        <v>585</v>
      </c>
      <c r="AU34" s="557" t="s">
        <v>585</v>
      </c>
      <c r="AV34" s="557" t="s">
        <v>585</v>
      </c>
      <c r="AW34" s="556" t="e">
        <f t="shared" si="34"/>
        <v>#VALUE!</v>
      </c>
      <c r="AX34" s="637"/>
      <c r="AZ34" s="368" t="e">
        <f t="shared" si="36"/>
        <v>#N/A</v>
      </c>
      <c r="BA34" s="637"/>
    </row>
    <row r="35" spans="2:53">
      <c r="B35" s="647"/>
      <c r="C35" s="379">
        <v>9</v>
      </c>
      <c r="D35" s="225"/>
      <c r="E35" s="535"/>
      <c r="F35" s="534"/>
      <c r="G35" s="536"/>
      <c r="H35" s="701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57"/>
      <c r="M35" s="387" t="e">
        <f>RANK(K35, K$24:$K$41)</f>
        <v>#VALUE!</v>
      </c>
      <c r="N35" s="641"/>
      <c r="O35" s="641"/>
      <c r="P35" s="556" t="s">
        <v>585</v>
      </c>
      <c r="Q35" s="557" t="s">
        <v>585</v>
      </c>
      <c r="R35" s="557" t="s">
        <v>585</v>
      </c>
      <c r="S35" s="556" t="e">
        <f t="shared" si="22"/>
        <v>#VALUE!</v>
      </c>
      <c r="T35" s="637"/>
      <c r="U35" s="556" t="s">
        <v>585</v>
      </c>
      <c r="V35" s="557" t="s">
        <v>585</v>
      </c>
      <c r="W35" s="557" t="s">
        <v>585</v>
      </c>
      <c r="X35" s="556" t="e">
        <f t="shared" si="24"/>
        <v>#VALUE!</v>
      </c>
      <c r="Y35" s="637"/>
      <c r="Z35" s="556" t="s">
        <v>585</v>
      </c>
      <c r="AA35" s="557" t="s">
        <v>585</v>
      </c>
      <c r="AB35" s="557" t="s">
        <v>585</v>
      </c>
      <c r="AC35" s="556" t="e">
        <f t="shared" si="26"/>
        <v>#VALUE!</v>
      </c>
      <c r="AD35" s="637"/>
      <c r="AE35" s="556" t="s">
        <v>585</v>
      </c>
      <c r="AF35" s="557" t="s">
        <v>585</v>
      </c>
      <c r="AG35" s="557" t="s">
        <v>585</v>
      </c>
      <c r="AH35" s="556" t="e">
        <f t="shared" si="28"/>
        <v>#VALUE!</v>
      </c>
      <c r="AI35" s="637"/>
      <c r="AJ35" s="556" t="s">
        <v>585</v>
      </c>
      <c r="AK35" s="557" t="s">
        <v>585</v>
      </c>
      <c r="AL35" s="557" t="s">
        <v>585</v>
      </c>
      <c r="AM35" s="556" t="e">
        <f t="shared" si="30"/>
        <v>#VALUE!</v>
      </c>
      <c r="AN35" s="637"/>
      <c r="AO35" s="556" t="s">
        <v>585</v>
      </c>
      <c r="AP35" s="557" t="s">
        <v>585</v>
      </c>
      <c r="AQ35" s="557" t="s">
        <v>585</v>
      </c>
      <c r="AR35" s="556" t="e">
        <f t="shared" si="32"/>
        <v>#VALUE!</v>
      </c>
      <c r="AS35" s="637"/>
      <c r="AT35" s="556" t="s">
        <v>585</v>
      </c>
      <c r="AU35" s="557" t="s">
        <v>585</v>
      </c>
      <c r="AV35" s="557" t="s">
        <v>585</v>
      </c>
      <c r="AW35" s="556" t="e">
        <f t="shared" si="34"/>
        <v>#VALUE!</v>
      </c>
      <c r="AX35" s="637"/>
      <c r="AZ35" s="368" t="e">
        <f t="shared" si="36"/>
        <v>#N/A</v>
      </c>
      <c r="BA35" s="637"/>
    </row>
    <row r="36" spans="2:53">
      <c r="B36" s="647"/>
      <c r="C36" s="379">
        <v>10</v>
      </c>
      <c r="D36" s="225"/>
      <c r="E36" s="535"/>
      <c r="F36" s="534"/>
      <c r="G36" s="536"/>
      <c r="H36" s="701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57"/>
      <c r="M36" s="387" t="e">
        <f>RANK(K36, K$24:$K$41)</f>
        <v>#VALUE!</v>
      </c>
      <c r="N36" s="641"/>
      <c r="O36" s="641"/>
      <c r="P36" s="556" t="s">
        <v>585</v>
      </c>
      <c r="Q36" s="557" t="s">
        <v>585</v>
      </c>
      <c r="R36" s="557" t="s">
        <v>585</v>
      </c>
      <c r="S36" s="556" t="e">
        <f t="shared" si="22"/>
        <v>#VALUE!</v>
      </c>
      <c r="T36" s="637"/>
      <c r="U36" s="556" t="s">
        <v>585</v>
      </c>
      <c r="V36" s="557" t="s">
        <v>585</v>
      </c>
      <c r="W36" s="557" t="s">
        <v>585</v>
      </c>
      <c r="X36" s="556" t="e">
        <f t="shared" si="24"/>
        <v>#VALUE!</v>
      </c>
      <c r="Y36" s="637"/>
      <c r="Z36" s="556" t="s">
        <v>585</v>
      </c>
      <c r="AA36" s="557" t="s">
        <v>585</v>
      </c>
      <c r="AB36" s="557" t="s">
        <v>585</v>
      </c>
      <c r="AC36" s="556" t="e">
        <f t="shared" si="26"/>
        <v>#VALUE!</v>
      </c>
      <c r="AD36" s="637"/>
      <c r="AE36" s="556" t="s">
        <v>585</v>
      </c>
      <c r="AF36" s="557" t="s">
        <v>585</v>
      </c>
      <c r="AG36" s="557" t="s">
        <v>585</v>
      </c>
      <c r="AH36" s="556" t="e">
        <f t="shared" si="28"/>
        <v>#VALUE!</v>
      </c>
      <c r="AI36" s="637"/>
      <c r="AJ36" s="556" t="s">
        <v>585</v>
      </c>
      <c r="AK36" s="557" t="s">
        <v>585</v>
      </c>
      <c r="AL36" s="557" t="s">
        <v>585</v>
      </c>
      <c r="AM36" s="556" t="e">
        <f t="shared" si="30"/>
        <v>#VALUE!</v>
      </c>
      <c r="AN36" s="637"/>
      <c r="AO36" s="556" t="s">
        <v>585</v>
      </c>
      <c r="AP36" s="557" t="s">
        <v>585</v>
      </c>
      <c r="AQ36" s="557" t="s">
        <v>585</v>
      </c>
      <c r="AR36" s="556" t="e">
        <f t="shared" si="32"/>
        <v>#VALUE!</v>
      </c>
      <c r="AS36" s="637"/>
      <c r="AT36" s="556" t="s">
        <v>585</v>
      </c>
      <c r="AU36" s="557" t="s">
        <v>585</v>
      </c>
      <c r="AV36" s="557" t="s">
        <v>585</v>
      </c>
      <c r="AW36" s="556" t="e">
        <f t="shared" si="34"/>
        <v>#VALUE!</v>
      </c>
      <c r="AX36" s="637"/>
      <c r="AZ36" s="368" t="e">
        <f t="shared" si="36"/>
        <v>#N/A</v>
      </c>
      <c r="BA36" s="637"/>
    </row>
    <row r="37" spans="2:53">
      <c r="B37" s="647"/>
      <c r="C37" s="379">
        <v>11</v>
      </c>
      <c r="D37" s="225"/>
      <c r="E37" s="535"/>
      <c r="F37" s="534"/>
      <c r="G37" s="536"/>
      <c r="H37" s="701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57"/>
      <c r="M37" s="387" t="e">
        <f>RANK(K37, K$24:$K$41)</f>
        <v>#VALUE!</v>
      </c>
      <c r="N37" s="641"/>
      <c r="O37" s="641"/>
      <c r="P37" s="556" t="s">
        <v>585</v>
      </c>
      <c r="Q37" s="557" t="s">
        <v>585</v>
      </c>
      <c r="R37" s="557" t="s">
        <v>585</v>
      </c>
      <c r="S37" s="556" t="e">
        <f t="shared" si="22"/>
        <v>#VALUE!</v>
      </c>
      <c r="T37" s="637"/>
      <c r="U37" s="556" t="s">
        <v>585</v>
      </c>
      <c r="V37" s="557" t="s">
        <v>585</v>
      </c>
      <c r="W37" s="557" t="s">
        <v>585</v>
      </c>
      <c r="X37" s="556" t="e">
        <f t="shared" si="24"/>
        <v>#VALUE!</v>
      </c>
      <c r="Y37" s="637"/>
      <c r="Z37" s="556" t="s">
        <v>585</v>
      </c>
      <c r="AA37" s="557" t="s">
        <v>585</v>
      </c>
      <c r="AB37" s="557" t="s">
        <v>585</v>
      </c>
      <c r="AC37" s="556" t="e">
        <f t="shared" si="26"/>
        <v>#VALUE!</v>
      </c>
      <c r="AD37" s="637"/>
      <c r="AE37" s="556" t="s">
        <v>585</v>
      </c>
      <c r="AF37" s="557" t="s">
        <v>585</v>
      </c>
      <c r="AG37" s="557" t="s">
        <v>585</v>
      </c>
      <c r="AH37" s="556" t="e">
        <f t="shared" si="28"/>
        <v>#VALUE!</v>
      </c>
      <c r="AI37" s="637"/>
      <c r="AJ37" s="556" t="s">
        <v>585</v>
      </c>
      <c r="AK37" s="557" t="s">
        <v>585</v>
      </c>
      <c r="AL37" s="557" t="s">
        <v>585</v>
      </c>
      <c r="AM37" s="556" t="e">
        <f t="shared" si="30"/>
        <v>#VALUE!</v>
      </c>
      <c r="AN37" s="637"/>
      <c r="AO37" s="556" t="s">
        <v>585</v>
      </c>
      <c r="AP37" s="557" t="s">
        <v>585</v>
      </c>
      <c r="AQ37" s="557" t="s">
        <v>585</v>
      </c>
      <c r="AR37" s="556" t="e">
        <f t="shared" si="32"/>
        <v>#VALUE!</v>
      </c>
      <c r="AS37" s="637"/>
      <c r="AT37" s="556" t="s">
        <v>585</v>
      </c>
      <c r="AU37" s="557" t="s">
        <v>585</v>
      </c>
      <c r="AV37" s="557" t="s">
        <v>585</v>
      </c>
      <c r="AW37" s="556" t="e">
        <f t="shared" si="34"/>
        <v>#VALUE!</v>
      </c>
      <c r="AX37" s="637"/>
      <c r="AZ37" s="368" t="e">
        <f t="shared" si="36"/>
        <v>#N/A</v>
      </c>
      <c r="BA37" s="637"/>
    </row>
    <row r="38" spans="2:53">
      <c r="B38" s="647"/>
      <c r="C38" s="379">
        <v>12</v>
      </c>
      <c r="D38" s="225"/>
      <c r="E38" s="535"/>
      <c r="F38" s="534"/>
      <c r="G38" s="536"/>
      <c r="H38" s="701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57"/>
      <c r="M38" s="387" t="e">
        <f>RANK(K38, K$24:$K$41)</f>
        <v>#VALUE!</v>
      </c>
      <c r="N38" s="641"/>
      <c r="O38" s="641"/>
      <c r="P38" s="556" t="s">
        <v>585</v>
      </c>
      <c r="Q38" s="557" t="s">
        <v>585</v>
      </c>
      <c r="R38" s="557" t="s">
        <v>585</v>
      </c>
      <c r="S38" s="556" t="e">
        <f t="shared" si="22"/>
        <v>#VALUE!</v>
      </c>
      <c r="T38" s="637"/>
      <c r="U38" s="556" t="s">
        <v>585</v>
      </c>
      <c r="V38" s="557" t="s">
        <v>585</v>
      </c>
      <c r="W38" s="557" t="s">
        <v>585</v>
      </c>
      <c r="X38" s="556" t="e">
        <f t="shared" si="24"/>
        <v>#VALUE!</v>
      </c>
      <c r="Y38" s="637"/>
      <c r="Z38" s="556" t="s">
        <v>585</v>
      </c>
      <c r="AA38" s="557" t="s">
        <v>585</v>
      </c>
      <c r="AB38" s="557" t="s">
        <v>585</v>
      </c>
      <c r="AC38" s="556" t="e">
        <f t="shared" si="26"/>
        <v>#VALUE!</v>
      </c>
      <c r="AD38" s="637"/>
      <c r="AE38" s="556" t="s">
        <v>585</v>
      </c>
      <c r="AF38" s="557" t="s">
        <v>585</v>
      </c>
      <c r="AG38" s="557" t="s">
        <v>585</v>
      </c>
      <c r="AH38" s="556" t="e">
        <f t="shared" si="28"/>
        <v>#VALUE!</v>
      </c>
      <c r="AI38" s="637"/>
      <c r="AJ38" s="556" t="s">
        <v>585</v>
      </c>
      <c r="AK38" s="557" t="s">
        <v>585</v>
      </c>
      <c r="AL38" s="557" t="s">
        <v>585</v>
      </c>
      <c r="AM38" s="556" t="e">
        <f t="shared" si="30"/>
        <v>#VALUE!</v>
      </c>
      <c r="AN38" s="637"/>
      <c r="AO38" s="556" t="s">
        <v>585</v>
      </c>
      <c r="AP38" s="557" t="s">
        <v>585</v>
      </c>
      <c r="AQ38" s="557" t="s">
        <v>585</v>
      </c>
      <c r="AR38" s="556" t="e">
        <f t="shared" si="32"/>
        <v>#VALUE!</v>
      </c>
      <c r="AS38" s="637"/>
      <c r="AT38" s="556" t="s">
        <v>585</v>
      </c>
      <c r="AU38" s="557" t="s">
        <v>585</v>
      </c>
      <c r="AV38" s="557" t="s">
        <v>585</v>
      </c>
      <c r="AW38" s="556" t="e">
        <f t="shared" si="34"/>
        <v>#VALUE!</v>
      </c>
      <c r="AX38" s="637"/>
      <c r="AZ38" s="368" t="e">
        <f t="shared" si="36"/>
        <v>#N/A</v>
      </c>
      <c r="BA38" s="637"/>
    </row>
    <row r="39" spans="2:53">
      <c r="B39" s="647"/>
      <c r="C39" s="379">
        <v>13</v>
      </c>
      <c r="D39" s="225"/>
      <c r="E39" s="535"/>
      <c r="F39" s="534"/>
      <c r="G39" s="536"/>
      <c r="H39" s="701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57"/>
      <c r="M39" s="387" t="e">
        <f>RANK(K39, K$24:$K$41)</f>
        <v>#VALUE!</v>
      </c>
      <c r="N39" s="641"/>
      <c r="O39" s="641"/>
      <c r="P39" s="556" t="s">
        <v>585</v>
      </c>
      <c r="Q39" s="557" t="s">
        <v>585</v>
      </c>
      <c r="R39" s="557" t="s">
        <v>585</v>
      </c>
      <c r="S39" s="556" t="e">
        <f t="shared" si="22"/>
        <v>#VALUE!</v>
      </c>
      <c r="T39" s="637"/>
      <c r="U39" s="556" t="s">
        <v>585</v>
      </c>
      <c r="V39" s="557" t="s">
        <v>585</v>
      </c>
      <c r="W39" s="557" t="s">
        <v>585</v>
      </c>
      <c r="X39" s="556" t="e">
        <f t="shared" si="24"/>
        <v>#VALUE!</v>
      </c>
      <c r="Y39" s="637"/>
      <c r="Z39" s="556" t="s">
        <v>585</v>
      </c>
      <c r="AA39" s="557" t="s">
        <v>585</v>
      </c>
      <c r="AB39" s="557" t="s">
        <v>585</v>
      </c>
      <c r="AC39" s="556" t="e">
        <f t="shared" si="26"/>
        <v>#VALUE!</v>
      </c>
      <c r="AD39" s="637"/>
      <c r="AE39" s="556" t="s">
        <v>585</v>
      </c>
      <c r="AF39" s="557" t="s">
        <v>585</v>
      </c>
      <c r="AG39" s="557" t="s">
        <v>585</v>
      </c>
      <c r="AH39" s="556" t="e">
        <f t="shared" si="28"/>
        <v>#VALUE!</v>
      </c>
      <c r="AI39" s="637"/>
      <c r="AJ39" s="556" t="s">
        <v>585</v>
      </c>
      <c r="AK39" s="557" t="s">
        <v>585</v>
      </c>
      <c r="AL39" s="557" t="s">
        <v>585</v>
      </c>
      <c r="AM39" s="556" t="e">
        <f t="shared" si="30"/>
        <v>#VALUE!</v>
      </c>
      <c r="AN39" s="637"/>
      <c r="AO39" s="556" t="s">
        <v>585</v>
      </c>
      <c r="AP39" s="557" t="s">
        <v>585</v>
      </c>
      <c r="AQ39" s="557" t="s">
        <v>585</v>
      </c>
      <c r="AR39" s="556" t="e">
        <f t="shared" si="32"/>
        <v>#VALUE!</v>
      </c>
      <c r="AS39" s="637"/>
      <c r="AT39" s="556" t="s">
        <v>585</v>
      </c>
      <c r="AU39" s="557" t="s">
        <v>585</v>
      </c>
      <c r="AV39" s="557" t="s">
        <v>585</v>
      </c>
      <c r="AW39" s="556" t="e">
        <f t="shared" si="34"/>
        <v>#VALUE!</v>
      </c>
      <c r="AX39" s="637"/>
      <c r="AZ39" s="368" t="e">
        <f t="shared" si="36"/>
        <v>#N/A</v>
      </c>
      <c r="BA39" s="637"/>
    </row>
    <row r="40" spans="2:53">
      <c r="B40" s="647"/>
      <c r="C40" s="379">
        <v>14</v>
      </c>
      <c r="D40" s="225"/>
      <c r="E40" s="535"/>
      <c r="F40" s="534"/>
      <c r="G40" s="536"/>
      <c r="H40" s="701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7"/>
      <c r="M40" s="387" t="e">
        <f>RANK(K40, K$24:$K$41)</f>
        <v>#VALUE!</v>
      </c>
      <c r="N40" s="641"/>
      <c r="O40" s="641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7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7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7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7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7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7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7"/>
      <c r="AZ40" s="368" t="e">
        <f t="shared" si="36"/>
        <v>#N/A</v>
      </c>
      <c r="BA40" s="637"/>
    </row>
    <row r="41" spans="2:53">
      <c r="B41" s="647"/>
      <c r="C41" s="379">
        <v>15</v>
      </c>
      <c r="D41" s="225"/>
      <c r="E41" s="535"/>
      <c r="F41" s="534"/>
      <c r="G41" s="536"/>
      <c r="H41" s="702"/>
      <c r="I41" s="201"/>
      <c r="J41" s="201"/>
      <c r="K41" s="201"/>
      <c r="L41" s="658"/>
      <c r="M41" s="386" t="e">
        <f>RANK(K41, K$24:$K$41)</f>
        <v>#N/A</v>
      </c>
      <c r="N41" s="641"/>
      <c r="O41" s="641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8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8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8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8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8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8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8"/>
      <c r="AZ41" s="368" t="e">
        <f t="shared" si="36"/>
        <v>#N/A</v>
      </c>
      <c r="BA41" s="638"/>
    </row>
    <row r="42" spans="2:53" ht="15.75">
      <c r="B42" s="680" t="s">
        <v>162</v>
      </c>
      <c r="C42" s="681"/>
      <c r="D42" s="681"/>
      <c r="E42" s="681"/>
      <c r="F42" s="681"/>
      <c r="G42" s="681"/>
      <c r="H42" s="681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68">
        <f>P22+7</f>
        <v>46245</v>
      </c>
      <c r="Q42" s="647"/>
      <c r="R42" s="647"/>
      <c r="S42" s="647"/>
      <c r="T42" s="647"/>
      <c r="U42" s="665">
        <f>P42+1</f>
        <v>46246</v>
      </c>
      <c r="V42" s="666"/>
      <c r="W42" s="666"/>
      <c r="X42" s="666"/>
      <c r="Y42" s="667"/>
      <c r="Z42" s="665">
        <f>U42+1</f>
        <v>46247</v>
      </c>
      <c r="AA42" s="666"/>
      <c r="AB42" s="666"/>
      <c r="AC42" s="666"/>
      <c r="AD42" s="667"/>
      <c r="AE42" s="665">
        <f>Z42+1</f>
        <v>46248</v>
      </c>
      <c r="AF42" s="666"/>
      <c r="AG42" s="666"/>
      <c r="AH42" s="666"/>
      <c r="AI42" s="667"/>
      <c r="AJ42" s="665">
        <f>AE42+1</f>
        <v>46249</v>
      </c>
      <c r="AK42" s="666"/>
      <c r="AL42" s="666"/>
      <c r="AM42" s="666"/>
      <c r="AN42" s="667"/>
      <c r="AO42" s="665">
        <f>AJ42+1</f>
        <v>46250</v>
      </c>
      <c r="AP42" s="666"/>
      <c r="AQ42" s="666"/>
      <c r="AR42" s="666"/>
      <c r="AS42" s="667"/>
      <c r="AT42" s="665">
        <f>AO42+1</f>
        <v>46251</v>
      </c>
      <c r="AU42" s="666"/>
      <c r="AV42" s="666"/>
      <c r="AW42" s="666"/>
      <c r="AX42" s="667"/>
    </row>
    <row r="43" spans="2:53" ht="15.75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45"/>
      <c r="O43" s="645"/>
      <c r="P43" s="668" t="s">
        <v>317</v>
      </c>
      <c r="Q43" s="647"/>
      <c r="R43" s="647"/>
      <c r="S43" s="647"/>
      <c r="T43" s="647"/>
      <c r="U43" s="668" t="s">
        <v>318</v>
      </c>
      <c r="V43" s="647"/>
      <c r="W43" s="647"/>
      <c r="X43" s="647"/>
      <c r="Y43" s="647"/>
      <c r="Z43" s="668" t="s">
        <v>319</v>
      </c>
      <c r="AA43" s="647"/>
      <c r="AB43" s="647"/>
      <c r="AC43" s="647"/>
      <c r="AD43" s="647"/>
      <c r="AE43" s="668" t="s">
        <v>320</v>
      </c>
      <c r="AF43" s="647"/>
      <c r="AG43" s="647"/>
      <c r="AH43" s="647"/>
      <c r="AI43" s="647"/>
      <c r="AJ43" s="668" t="s">
        <v>321</v>
      </c>
      <c r="AK43" s="647"/>
      <c r="AL43" s="647"/>
      <c r="AM43" s="647"/>
      <c r="AN43" s="647"/>
      <c r="AO43" s="668" t="s">
        <v>322</v>
      </c>
      <c r="AP43" s="647"/>
      <c r="AQ43" s="647"/>
      <c r="AR43" s="647"/>
      <c r="AS43" s="647"/>
      <c r="AT43" s="668" t="s">
        <v>323</v>
      </c>
      <c r="AU43" s="647"/>
      <c r="AV43" s="647"/>
      <c r="AW43" s="647"/>
      <c r="AX43" s="647"/>
    </row>
    <row r="44" spans="2:53">
      <c r="B44" s="641" t="s">
        <v>453</v>
      </c>
      <c r="C44" s="641" t="s">
        <v>379</v>
      </c>
      <c r="D44" s="641"/>
      <c r="E44" s="641" t="s">
        <v>370</v>
      </c>
      <c r="F44" s="641"/>
      <c r="G44" s="641"/>
      <c r="H44" s="673" t="s">
        <v>366</v>
      </c>
      <c r="I44" s="688" t="s">
        <v>371</v>
      </c>
      <c r="J44" s="688"/>
      <c r="K44" s="688"/>
      <c r="L44" s="689" t="s">
        <v>366</v>
      </c>
      <c r="M44" s="677" t="s">
        <v>367</v>
      </c>
      <c r="N44" s="641"/>
      <c r="O44" s="641" t="s">
        <v>372</v>
      </c>
      <c r="P44" s="659" t="s">
        <v>368</v>
      </c>
      <c r="Q44" s="660"/>
      <c r="R44" s="660"/>
      <c r="S44" s="661"/>
      <c r="T44" s="641" t="s">
        <v>366</v>
      </c>
      <c r="U44" s="659" t="s">
        <v>368</v>
      </c>
      <c r="V44" s="660"/>
      <c r="W44" s="660"/>
      <c r="X44" s="661"/>
      <c r="Y44" s="641" t="s">
        <v>366</v>
      </c>
      <c r="Z44" s="659" t="s">
        <v>368</v>
      </c>
      <c r="AA44" s="660"/>
      <c r="AB44" s="660"/>
      <c r="AC44" s="661"/>
      <c r="AD44" s="641" t="s">
        <v>366</v>
      </c>
      <c r="AE44" s="659" t="s">
        <v>368</v>
      </c>
      <c r="AF44" s="660"/>
      <c r="AG44" s="660"/>
      <c r="AH44" s="661"/>
      <c r="AI44" s="641" t="s">
        <v>366</v>
      </c>
      <c r="AJ44" s="659" t="s">
        <v>368</v>
      </c>
      <c r="AK44" s="660"/>
      <c r="AL44" s="660"/>
      <c r="AM44" s="661"/>
      <c r="AN44" s="641" t="s">
        <v>366</v>
      </c>
      <c r="AO44" s="659" t="s">
        <v>368</v>
      </c>
      <c r="AP44" s="660"/>
      <c r="AQ44" s="660"/>
      <c r="AR44" s="661"/>
      <c r="AS44" s="641" t="s">
        <v>366</v>
      </c>
      <c r="AT44" s="659" t="s">
        <v>368</v>
      </c>
      <c r="AU44" s="660"/>
      <c r="AV44" s="660"/>
      <c r="AW44" s="661"/>
      <c r="AX44" s="641" t="s">
        <v>366</v>
      </c>
      <c r="BA44" s="641" t="s">
        <v>366</v>
      </c>
    </row>
    <row r="45" spans="2:53">
      <c r="B45" s="641"/>
      <c r="C45" s="641"/>
      <c r="D45" s="641"/>
      <c r="E45" s="641" t="s">
        <v>373</v>
      </c>
      <c r="F45" s="641"/>
      <c r="G45" s="641"/>
      <c r="H45" s="674"/>
      <c r="I45" s="688" t="s">
        <v>373</v>
      </c>
      <c r="J45" s="688"/>
      <c r="K45" s="688"/>
      <c r="L45" s="690"/>
      <c r="M45" s="678"/>
      <c r="N45" s="641"/>
      <c r="O45" s="641"/>
      <c r="P45" s="659" t="s">
        <v>374</v>
      </c>
      <c r="Q45" s="660"/>
      <c r="R45" s="660"/>
      <c r="S45" s="661"/>
      <c r="T45" s="641"/>
      <c r="U45" s="659" t="s">
        <v>374</v>
      </c>
      <c r="V45" s="660"/>
      <c r="W45" s="660"/>
      <c r="X45" s="661"/>
      <c r="Y45" s="641"/>
      <c r="Z45" s="659" t="s">
        <v>374</v>
      </c>
      <c r="AA45" s="660"/>
      <c r="AB45" s="660"/>
      <c r="AC45" s="661"/>
      <c r="AD45" s="641"/>
      <c r="AE45" s="659" t="s">
        <v>374</v>
      </c>
      <c r="AF45" s="660"/>
      <c r="AG45" s="660"/>
      <c r="AH45" s="661"/>
      <c r="AI45" s="641"/>
      <c r="AJ45" s="659" t="s">
        <v>374</v>
      </c>
      <c r="AK45" s="660"/>
      <c r="AL45" s="660"/>
      <c r="AM45" s="661"/>
      <c r="AN45" s="641"/>
      <c r="AO45" s="659" t="s">
        <v>374</v>
      </c>
      <c r="AP45" s="660"/>
      <c r="AQ45" s="660"/>
      <c r="AR45" s="661"/>
      <c r="AS45" s="641"/>
      <c r="AT45" s="659" t="s">
        <v>374</v>
      </c>
      <c r="AU45" s="660"/>
      <c r="AV45" s="660"/>
      <c r="AW45" s="661"/>
      <c r="AX45" s="641"/>
      <c r="BA45" s="641"/>
    </row>
    <row r="46" spans="2:53">
      <c r="B46" s="641"/>
      <c r="C46" s="641"/>
      <c r="D46" s="641"/>
      <c r="E46" s="378" t="s">
        <v>375</v>
      </c>
      <c r="F46" s="378" t="s">
        <v>376</v>
      </c>
      <c r="G46" s="378" t="s">
        <v>377</v>
      </c>
      <c r="H46" s="675"/>
      <c r="I46" s="377" t="s">
        <v>375</v>
      </c>
      <c r="J46" s="377" t="s">
        <v>376</v>
      </c>
      <c r="K46" s="377" t="s">
        <v>377</v>
      </c>
      <c r="L46" s="691"/>
      <c r="M46" s="679"/>
      <c r="N46" s="641"/>
      <c r="O46" s="641"/>
      <c r="P46" s="378" t="s">
        <v>375</v>
      </c>
      <c r="Q46" s="378" t="s">
        <v>376</v>
      </c>
      <c r="R46" s="378" t="s">
        <v>377</v>
      </c>
      <c r="S46" s="378" t="s">
        <v>367</v>
      </c>
      <c r="T46" s="641"/>
      <c r="U46" s="378" t="s">
        <v>375</v>
      </c>
      <c r="V46" s="378" t="s">
        <v>376</v>
      </c>
      <c r="W46" s="378" t="s">
        <v>377</v>
      </c>
      <c r="X46" s="378" t="s">
        <v>367</v>
      </c>
      <c r="Y46" s="641"/>
      <c r="Z46" s="378" t="s">
        <v>375</v>
      </c>
      <c r="AA46" s="378" t="s">
        <v>376</v>
      </c>
      <c r="AB46" s="378" t="s">
        <v>377</v>
      </c>
      <c r="AC46" s="378" t="s">
        <v>367</v>
      </c>
      <c r="AD46" s="641"/>
      <c r="AE46" s="378" t="s">
        <v>375</v>
      </c>
      <c r="AF46" s="378" t="s">
        <v>376</v>
      </c>
      <c r="AG46" s="378" t="s">
        <v>377</v>
      </c>
      <c r="AH46" s="378" t="s">
        <v>367</v>
      </c>
      <c r="AI46" s="641"/>
      <c r="AJ46" s="378" t="s">
        <v>375</v>
      </c>
      <c r="AK46" s="378" t="s">
        <v>376</v>
      </c>
      <c r="AL46" s="378" t="s">
        <v>377</v>
      </c>
      <c r="AM46" s="378" t="s">
        <v>367</v>
      </c>
      <c r="AN46" s="641"/>
      <c r="AO46" s="378" t="s">
        <v>375</v>
      </c>
      <c r="AP46" s="378" t="s">
        <v>376</v>
      </c>
      <c r="AQ46" s="378" t="s">
        <v>377</v>
      </c>
      <c r="AR46" s="378" t="s">
        <v>367</v>
      </c>
      <c r="AS46" s="641"/>
      <c r="AT46" s="378" t="s">
        <v>375</v>
      </c>
      <c r="AU46" s="378" t="s">
        <v>376</v>
      </c>
      <c r="AV46" s="378" t="s">
        <v>377</v>
      </c>
      <c r="AW46" s="378" t="s">
        <v>367</v>
      </c>
      <c r="AX46" s="641"/>
      <c r="AZ46" s="367" t="s">
        <v>367</v>
      </c>
      <c r="BA46" s="641"/>
    </row>
    <row r="47" spans="2:53">
      <c r="B47" s="641" t="s">
        <v>466</v>
      </c>
      <c r="C47" s="379">
        <v>1</v>
      </c>
      <c r="D47" s="225" t="s">
        <v>694</v>
      </c>
      <c r="E47" s="535">
        <v>15</v>
      </c>
      <c r="F47" s="534">
        <v>2000</v>
      </c>
      <c r="G47" s="536">
        <v>100</v>
      </c>
      <c r="H47" s="700">
        <f>AVERAGE(G47:G61)</f>
        <v>100</v>
      </c>
      <c r="I47" s="381">
        <f t="shared" ref="I47:I60" si="38">IFERROR(AVERAGE(P47,U47,Z47,AE47,AJ47,AO47,AT47),"-")</f>
        <v>13</v>
      </c>
      <c r="J47" s="381">
        <f t="shared" ref="J47:J60" si="39">IFERROR(AVERAGE(Q47,V47,AA47,AF47,AK47,AP47,AU47),"-")</f>
        <v>1888.599999999999</v>
      </c>
      <c r="K47" s="199">
        <f t="shared" ref="K47:K60" si="40">IFERROR(AVERAGE(R47,W47,AB47,AG47,AL47,AQ47,AV47),"-")</f>
        <v>145.276923076923</v>
      </c>
      <c r="L47" s="656">
        <f>IFERROR(AVERAGE(K47:K61),"-")</f>
        <v>147.65659340659343</v>
      </c>
      <c r="M47" s="383">
        <f>RANK(K47, K$47:$K$61)</f>
        <v>2</v>
      </c>
      <c r="N47" s="641"/>
      <c r="O47" s="641"/>
      <c r="P47" s="562">
        <v>13</v>
      </c>
      <c r="Q47" s="566">
        <v>1848.0000000000005</v>
      </c>
      <c r="R47" s="566">
        <v>142.15384615384619</v>
      </c>
      <c r="S47" s="562">
        <f t="shared" ref="S47:S61" si="41">RANK(R47, R$47:R$61)</f>
        <v>2</v>
      </c>
      <c r="T47" s="636">
        <f t="shared" ref="T47" si="42">AVERAGE(R47:R61)</f>
        <v>150.27692307692325</v>
      </c>
      <c r="U47" s="562">
        <v>13</v>
      </c>
      <c r="V47" s="566">
        <v>2219.9999999999991</v>
      </c>
      <c r="W47" s="566">
        <v>170.76923076923069</v>
      </c>
      <c r="X47" s="562">
        <f t="shared" ref="X47:X61" si="43">RANK(W47, W$47:W$61)</f>
        <v>1</v>
      </c>
      <c r="Y47" s="636">
        <f t="shared" ref="Y47" si="44">AVERAGE(W47:W61)</f>
        <v>158.07692307692318</v>
      </c>
      <c r="Z47" s="562">
        <v>13</v>
      </c>
      <c r="AA47" s="566">
        <v>1934.4000000000005</v>
      </c>
      <c r="AB47" s="566">
        <v>148.80000000000004</v>
      </c>
      <c r="AC47" s="562">
        <f t="shared" ref="AC47:AC61" si="45">RANK(AB47, AB$47:AB$61)</f>
        <v>1</v>
      </c>
      <c r="AD47" s="636">
        <f t="shared" ref="AD47" si="46">AVERAGE(AB47:AB61)</f>
        <v>148.15384615384619</v>
      </c>
      <c r="AE47" s="562">
        <v>13</v>
      </c>
      <c r="AF47" s="566">
        <v>2111.9999999999964</v>
      </c>
      <c r="AG47" s="566">
        <v>162.46153846153817</v>
      </c>
      <c r="AH47" s="562">
        <f t="shared" ref="AH47:AH61" si="47">RANK(AG47, AG$47:AG$61)</f>
        <v>1</v>
      </c>
      <c r="AI47" s="636">
        <f t="shared" ref="AI47" si="48">AVERAGE(AG47:AG61)</f>
        <v>153.51923076923072</v>
      </c>
      <c r="AJ47" s="562">
        <v>13</v>
      </c>
      <c r="AK47" s="566">
        <v>1108.8000000000002</v>
      </c>
      <c r="AL47" s="566">
        <v>85.292307692307702</v>
      </c>
      <c r="AM47" s="562">
        <f t="shared" ref="AM47:AM61" si="49">RANK(AL47, AL$47:AL$61)</f>
        <v>2</v>
      </c>
      <c r="AN47" s="636">
        <f t="shared" ref="AN47" si="50">AVERAGE(AL47:AL61)</f>
        <v>121.68461538461536</v>
      </c>
      <c r="AO47" s="562">
        <v>13</v>
      </c>
      <c r="AP47" s="566">
        <v>2102.9999999999995</v>
      </c>
      <c r="AQ47" s="566">
        <v>161.76923076923075</v>
      </c>
      <c r="AR47" s="562">
        <f t="shared" ref="AR47:AR61" si="51">RANK(AQ47, AQ$47:AQ$61)</f>
        <v>1</v>
      </c>
      <c r="AS47" s="636">
        <f t="shared" ref="AS47" si="52">AVERAGE(AQ47:AQ61)</f>
        <v>148.99999999999994</v>
      </c>
      <c r="AT47" s="562">
        <v>13</v>
      </c>
      <c r="AU47" s="566">
        <v>1893.9999999999966</v>
      </c>
      <c r="AV47" s="566">
        <v>145.69230769230742</v>
      </c>
      <c r="AW47" s="562">
        <f t="shared" ref="AW47:AW61" si="53">RANK(AV47, AV$47:AV$61)</f>
        <v>2</v>
      </c>
      <c r="AX47" s="636">
        <f t="shared" ref="AX47" si="54">AVERAGE(AV47:AV61)</f>
        <v>152.8846153846153</v>
      </c>
      <c r="AZ47" s="368" t="e">
        <f t="shared" ref="AZ47:AZ61" si="55">RANK(AY47, AY$47:AY$61)</f>
        <v>#N/A</v>
      </c>
      <c r="BA47" s="636" t="e">
        <f t="shared" ref="BA47" si="56">AVERAGE(AY47:AY61)</f>
        <v>#DIV/0!</v>
      </c>
    </row>
    <row r="48" spans="2:53">
      <c r="B48" s="647"/>
      <c r="C48" s="379">
        <v>2</v>
      </c>
      <c r="D48" s="225" t="s">
        <v>705</v>
      </c>
      <c r="E48" s="535">
        <v>13</v>
      </c>
      <c r="F48" s="534">
        <v>2000</v>
      </c>
      <c r="G48" s="536">
        <v>100</v>
      </c>
      <c r="H48" s="701"/>
      <c r="I48" s="381">
        <f t="shared" si="38"/>
        <v>13</v>
      </c>
      <c r="J48" s="381">
        <f t="shared" si="39"/>
        <v>1950.4714285714304</v>
      </c>
      <c r="K48" s="199">
        <f t="shared" si="40"/>
        <v>150.03626373626386</v>
      </c>
      <c r="L48" s="657"/>
      <c r="M48" s="419">
        <f>RANK(K48, K$47:$K$61)</f>
        <v>1</v>
      </c>
      <c r="N48" s="641"/>
      <c r="O48" s="641"/>
      <c r="P48" s="562">
        <v>13</v>
      </c>
      <c r="Q48" s="566">
        <v>2059.2000000000044</v>
      </c>
      <c r="R48" s="566">
        <v>158.40000000000035</v>
      </c>
      <c r="S48" s="562">
        <f t="shared" si="41"/>
        <v>1</v>
      </c>
      <c r="T48" s="637"/>
      <c r="U48" s="562">
        <v>13</v>
      </c>
      <c r="V48" s="566">
        <v>1890.0000000000039</v>
      </c>
      <c r="W48" s="566">
        <v>145.38461538461567</v>
      </c>
      <c r="X48" s="562">
        <f t="shared" si="43"/>
        <v>2</v>
      </c>
      <c r="Y48" s="637"/>
      <c r="Z48" s="562">
        <v>13</v>
      </c>
      <c r="AA48" s="566">
        <v>1917.6000000000004</v>
      </c>
      <c r="AB48" s="566">
        <v>147.50769230769234</v>
      </c>
      <c r="AC48" s="562">
        <f t="shared" si="45"/>
        <v>2</v>
      </c>
      <c r="AD48" s="637"/>
      <c r="AE48" s="562">
        <v>13</v>
      </c>
      <c r="AF48" s="566">
        <v>1879.500000000003</v>
      </c>
      <c r="AG48" s="566">
        <v>144.57692307692329</v>
      </c>
      <c r="AH48" s="562">
        <f t="shared" si="47"/>
        <v>2</v>
      </c>
      <c r="AI48" s="637"/>
      <c r="AJ48" s="562">
        <v>13</v>
      </c>
      <c r="AK48" s="566">
        <v>2054.9999999999991</v>
      </c>
      <c r="AL48" s="566">
        <v>158.07692307692301</v>
      </c>
      <c r="AM48" s="562">
        <f t="shared" si="49"/>
        <v>1</v>
      </c>
      <c r="AN48" s="637"/>
      <c r="AO48" s="562">
        <v>13</v>
      </c>
      <c r="AP48" s="566">
        <v>1770.9999999999991</v>
      </c>
      <c r="AQ48" s="566">
        <v>136.23076923076917</v>
      </c>
      <c r="AR48" s="562">
        <f t="shared" si="51"/>
        <v>2</v>
      </c>
      <c r="AS48" s="637"/>
      <c r="AT48" s="562">
        <v>13</v>
      </c>
      <c r="AU48" s="566">
        <v>2081.0000000000018</v>
      </c>
      <c r="AV48" s="566">
        <v>160.07692307692321</v>
      </c>
      <c r="AW48" s="562">
        <f t="shared" si="53"/>
        <v>1</v>
      </c>
      <c r="AX48" s="637"/>
      <c r="AZ48" s="368" t="e">
        <f t="shared" si="55"/>
        <v>#N/A</v>
      </c>
      <c r="BA48" s="637"/>
    </row>
    <row r="49" spans="2:53">
      <c r="B49" s="647"/>
      <c r="C49" s="379">
        <v>3</v>
      </c>
      <c r="D49" s="225"/>
      <c r="E49" s="535"/>
      <c r="F49" s="534"/>
      <c r="G49" s="536"/>
      <c r="H49" s="701"/>
      <c r="I49" s="381" t="str">
        <f t="shared" si="38"/>
        <v>-</v>
      </c>
      <c r="J49" s="381" t="str">
        <f t="shared" si="39"/>
        <v>-</v>
      </c>
      <c r="K49" s="199" t="str">
        <f t="shared" si="40"/>
        <v>-</v>
      </c>
      <c r="L49" s="657"/>
      <c r="M49" s="419" t="e">
        <f>RANK(K49, K$47:$K$61)</f>
        <v>#VALUE!</v>
      </c>
      <c r="N49" s="641"/>
      <c r="O49" s="641"/>
      <c r="P49" s="562" t="s">
        <v>585</v>
      </c>
      <c r="Q49" s="566" t="s">
        <v>585</v>
      </c>
      <c r="R49" s="566" t="s">
        <v>585</v>
      </c>
      <c r="S49" s="562" t="e">
        <f t="shared" si="41"/>
        <v>#VALUE!</v>
      </c>
      <c r="T49" s="637"/>
      <c r="U49" s="562" t="s">
        <v>585</v>
      </c>
      <c r="V49" s="566" t="s">
        <v>585</v>
      </c>
      <c r="W49" s="566" t="s">
        <v>585</v>
      </c>
      <c r="X49" s="562" t="e">
        <f t="shared" si="43"/>
        <v>#VALUE!</v>
      </c>
      <c r="Y49" s="637"/>
      <c r="Z49" s="562" t="s">
        <v>585</v>
      </c>
      <c r="AA49" s="566" t="s">
        <v>585</v>
      </c>
      <c r="AB49" s="566" t="s">
        <v>585</v>
      </c>
      <c r="AC49" s="562" t="e">
        <f t="shared" si="45"/>
        <v>#VALUE!</v>
      </c>
      <c r="AD49" s="637"/>
      <c r="AE49" s="562" t="s">
        <v>585</v>
      </c>
      <c r="AF49" s="566" t="s">
        <v>585</v>
      </c>
      <c r="AG49" s="566" t="s">
        <v>585</v>
      </c>
      <c r="AH49" s="562" t="e">
        <f t="shared" si="47"/>
        <v>#VALUE!</v>
      </c>
      <c r="AI49" s="637"/>
      <c r="AJ49" s="562" t="s">
        <v>585</v>
      </c>
      <c r="AK49" s="566" t="s">
        <v>585</v>
      </c>
      <c r="AL49" s="566" t="s">
        <v>585</v>
      </c>
      <c r="AM49" s="562" t="e">
        <f t="shared" si="49"/>
        <v>#VALUE!</v>
      </c>
      <c r="AN49" s="637"/>
      <c r="AO49" s="562" t="s">
        <v>585</v>
      </c>
      <c r="AP49" s="566" t="s">
        <v>585</v>
      </c>
      <c r="AQ49" s="566" t="s">
        <v>585</v>
      </c>
      <c r="AR49" s="562" t="e">
        <f t="shared" si="51"/>
        <v>#VALUE!</v>
      </c>
      <c r="AS49" s="637"/>
      <c r="AT49" s="562" t="s">
        <v>585</v>
      </c>
      <c r="AU49" s="566" t="s">
        <v>585</v>
      </c>
      <c r="AV49" s="566" t="s">
        <v>585</v>
      </c>
      <c r="AW49" s="562" t="e">
        <f t="shared" si="53"/>
        <v>#VALUE!</v>
      </c>
      <c r="AX49" s="637"/>
      <c r="AZ49" s="368" t="e">
        <f t="shared" si="55"/>
        <v>#N/A</v>
      </c>
      <c r="BA49" s="637"/>
    </row>
    <row r="50" spans="2:53">
      <c r="B50" s="647"/>
      <c r="C50" s="379">
        <v>4</v>
      </c>
      <c r="D50" s="225"/>
      <c r="E50" s="535"/>
      <c r="F50" s="534"/>
      <c r="G50" s="536"/>
      <c r="H50" s="701"/>
      <c r="I50" s="381" t="str">
        <f t="shared" si="38"/>
        <v>-</v>
      </c>
      <c r="J50" s="381" t="str">
        <f t="shared" si="39"/>
        <v>-</v>
      </c>
      <c r="K50" s="199" t="str">
        <f t="shared" si="40"/>
        <v>-</v>
      </c>
      <c r="L50" s="657"/>
      <c r="M50" s="419" t="e">
        <f>RANK(K50, K$47:$K$61)</f>
        <v>#VALUE!</v>
      </c>
      <c r="N50" s="641"/>
      <c r="O50" s="641"/>
      <c r="P50" s="562" t="s">
        <v>585</v>
      </c>
      <c r="Q50" s="566" t="s">
        <v>585</v>
      </c>
      <c r="R50" s="566" t="s">
        <v>585</v>
      </c>
      <c r="S50" s="562" t="e">
        <f t="shared" si="41"/>
        <v>#VALUE!</v>
      </c>
      <c r="T50" s="637"/>
      <c r="U50" s="562" t="s">
        <v>585</v>
      </c>
      <c r="V50" s="566" t="s">
        <v>585</v>
      </c>
      <c r="W50" s="566" t="s">
        <v>585</v>
      </c>
      <c r="X50" s="562" t="e">
        <f t="shared" si="43"/>
        <v>#VALUE!</v>
      </c>
      <c r="Y50" s="637"/>
      <c r="Z50" s="562" t="s">
        <v>585</v>
      </c>
      <c r="AA50" s="566" t="s">
        <v>585</v>
      </c>
      <c r="AB50" s="566" t="s">
        <v>585</v>
      </c>
      <c r="AC50" s="562" t="e">
        <f t="shared" si="45"/>
        <v>#VALUE!</v>
      </c>
      <c r="AD50" s="637"/>
      <c r="AE50" s="562" t="s">
        <v>585</v>
      </c>
      <c r="AF50" s="566" t="s">
        <v>585</v>
      </c>
      <c r="AG50" s="566" t="s">
        <v>585</v>
      </c>
      <c r="AH50" s="562" t="e">
        <f t="shared" si="47"/>
        <v>#VALUE!</v>
      </c>
      <c r="AI50" s="637"/>
      <c r="AJ50" s="562" t="s">
        <v>585</v>
      </c>
      <c r="AK50" s="566" t="s">
        <v>585</v>
      </c>
      <c r="AL50" s="566" t="s">
        <v>585</v>
      </c>
      <c r="AM50" s="562" t="e">
        <f t="shared" si="49"/>
        <v>#VALUE!</v>
      </c>
      <c r="AN50" s="637"/>
      <c r="AO50" s="562" t="s">
        <v>585</v>
      </c>
      <c r="AP50" s="566" t="s">
        <v>585</v>
      </c>
      <c r="AQ50" s="566" t="s">
        <v>585</v>
      </c>
      <c r="AR50" s="562" t="e">
        <f t="shared" si="51"/>
        <v>#VALUE!</v>
      </c>
      <c r="AS50" s="637"/>
      <c r="AT50" s="562" t="s">
        <v>585</v>
      </c>
      <c r="AU50" s="566" t="s">
        <v>585</v>
      </c>
      <c r="AV50" s="566" t="s">
        <v>585</v>
      </c>
      <c r="AW50" s="562" t="e">
        <f t="shared" si="53"/>
        <v>#VALUE!</v>
      </c>
      <c r="AX50" s="637"/>
      <c r="AZ50" s="368" t="e">
        <f t="shared" si="55"/>
        <v>#N/A</v>
      </c>
      <c r="BA50" s="637"/>
    </row>
    <row r="51" spans="2:53">
      <c r="B51" s="647"/>
      <c r="C51" s="379">
        <v>5</v>
      </c>
      <c r="D51" s="225"/>
      <c r="E51" s="535"/>
      <c r="F51" s="534"/>
      <c r="G51" s="536"/>
      <c r="H51" s="701"/>
      <c r="I51" s="381" t="str">
        <f t="shared" si="38"/>
        <v>-</v>
      </c>
      <c r="J51" s="381" t="str">
        <f t="shared" si="39"/>
        <v>-</v>
      </c>
      <c r="K51" s="199" t="str">
        <f t="shared" si="40"/>
        <v>-</v>
      </c>
      <c r="L51" s="657"/>
      <c r="M51" s="419" t="e">
        <f>RANK(K51, K$47:$K$61)</f>
        <v>#VALUE!</v>
      </c>
      <c r="N51" s="641"/>
      <c r="O51" s="641"/>
      <c r="P51" s="562" t="s">
        <v>585</v>
      </c>
      <c r="Q51" s="566" t="s">
        <v>585</v>
      </c>
      <c r="R51" s="566" t="s">
        <v>585</v>
      </c>
      <c r="S51" s="562" t="e">
        <f t="shared" si="41"/>
        <v>#VALUE!</v>
      </c>
      <c r="T51" s="637"/>
      <c r="U51" s="562" t="s">
        <v>585</v>
      </c>
      <c r="V51" s="566" t="s">
        <v>585</v>
      </c>
      <c r="W51" s="566" t="s">
        <v>585</v>
      </c>
      <c r="X51" s="562" t="e">
        <f t="shared" si="43"/>
        <v>#VALUE!</v>
      </c>
      <c r="Y51" s="637"/>
      <c r="Z51" s="562" t="s">
        <v>585</v>
      </c>
      <c r="AA51" s="566" t="s">
        <v>585</v>
      </c>
      <c r="AB51" s="566" t="s">
        <v>585</v>
      </c>
      <c r="AC51" s="562" t="e">
        <f t="shared" si="45"/>
        <v>#VALUE!</v>
      </c>
      <c r="AD51" s="637"/>
      <c r="AE51" s="562" t="s">
        <v>585</v>
      </c>
      <c r="AF51" s="566" t="s">
        <v>585</v>
      </c>
      <c r="AG51" s="566" t="s">
        <v>585</v>
      </c>
      <c r="AH51" s="562" t="e">
        <f t="shared" si="47"/>
        <v>#VALUE!</v>
      </c>
      <c r="AI51" s="637"/>
      <c r="AJ51" s="562" t="s">
        <v>585</v>
      </c>
      <c r="AK51" s="566" t="s">
        <v>585</v>
      </c>
      <c r="AL51" s="566" t="s">
        <v>585</v>
      </c>
      <c r="AM51" s="562" t="e">
        <f t="shared" si="49"/>
        <v>#VALUE!</v>
      </c>
      <c r="AN51" s="637"/>
      <c r="AO51" s="562" t="s">
        <v>585</v>
      </c>
      <c r="AP51" s="566" t="s">
        <v>585</v>
      </c>
      <c r="AQ51" s="566" t="s">
        <v>585</v>
      </c>
      <c r="AR51" s="562" t="e">
        <f t="shared" si="51"/>
        <v>#VALUE!</v>
      </c>
      <c r="AS51" s="637"/>
      <c r="AT51" s="562" t="s">
        <v>585</v>
      </c>
      <c r="AU51" s="566" t="s">
        <v>585</v>
      </c>
      <c r="AV51" s="566" t="s">
        <v>585</v>
      </c>
      <c r="AW51" s="562" t="e">
        <f t="shared" si="53"/>
        <v>#VALUE!</v>
      </c>
      <c r="AX51" s="637"/>
      <c r="AZ51" s="368" t="e">
        <f t="shared" si="55"/>
        <v>#N/A</v>
      </c>
      <c r="BA51" s="637"/>
    </row>
    <row r="52" spans="2:53">
      <c r="B52" s="647"/>
      <c r="C52" s="379">
        <v>6</v>
      </c>
      <c r="D52" s="225"/>
      <c r="E52" s="535"/>
      <c r="F52" s="534"/>
      <c r="G52" s="536"/>
      <c r="H52" s="701"/>
      <c r="I52" s="381" t="str">
        <f t="shared" si="38"/>
        <v>-</v>
      </c>
      <c r="J52" s="381" t="str">
        <f t="shared" si="39"/>
        <v>-</v>
      </c>
      <c r="K52" s="199" t="str">
        <f t="shared" si="40"/>
        <v>-</v>
      </c>
      <c r="L52" s="657"/>
      <c r="M52" s="419" t="e">
        <f>RANK(K52, K$47:$K$61)</f>
        <v>#VALUE!</v>
      </c>
      <c r="N52" s="641"/>
      <c r="O52" s="641"/>
      <c r="P52" s="562" t="s">
        <v>585</v>
      </c>
      <c r="Q52" s="566" t="s">
        <v>585</v>
      </c>
      <c r="R52" s="566" t="s">
        <v>585</v>
      </c>
      <c r="S52" s="562" t="e">
        <f t="shared" si="41"/>
        <v>#VALUE!</v>
      </c>
      <c r="T52" s="637"/>
      <c r="U52" s="562" t="s">
        <v>585</v>
      </c>
      <c r="V52" s="566" t="s">
        <v>585</v>
      </c>
      <c r="W52" s="566" t="s">
        <v>585</v>
      </c>
      <c r="X52" s="562" t="e">
        <f t="shared" si="43"/>
        <v>#VALUE!</v>
      </c>
      <c r="Y52" s="637"/>
      <c r="Z52" s="562" t="s">
        <v>585</v>
      </c>
      <c r="AA52" s="566" t="s">
        <v>585</v>
      </c>
      <c r="AB52" s="566" t="s">
        <v>585</v>
      </c>
      <c r="AC52" s="562" t="e">
        <f t="shared" si="45"/>
        <v>#VALUE!</v>
      </c>
      <c r="AD52" s="637"/>
      <c r="AE52" s="562" t="s">
        <v>585</v>
      </c>
      <c r="AF52" s="566" t="s">
        <v>585</v>
      </c>
      <c r="AG52" s="566" t="s">
        <v>585</v>
      </c>
      <c r="AH52" s="562" t="e">
        <f t="shared" si="47"/>
        <v>#VALUE!</v>
      </c>
      <c r="AI52" s="637"/>
      <c r="AJ52" s="562" t="s">
        <v>585</v>
      </c>
      <c r="AK52" s="566" t="s">
        <v>585</v>
      </c>
      <c r="AL52" s="566" t="s">
        <v>585</v>
      </c>
      <c r="AM52" s="562" t="e">
        <f t="shared" si="49"/>
        <v>#VALUE!</v>
      </c>
      <c r="AN52" s="637"/>
      <c r="AO52" s="562" t="s">
        <v>585</v>
      </c>
      <c r="AP52" s="566" t="s">
        <v>585</v>
      </c>
      <c r="AQ52" s="566" t="s">
        <v>585</v>
      </c>
      <c r="AR52" s="562" t="e">
        <f t="shared" si="51"/>
        <v>#VALUE!</v>
      </c>
      <c r="AS52" s="637"/>
      <c r="AT52" s="562" t="s">
        <v>585</v>
      </c>
      <c r="AU52" s="566" t="s">
        <v>585</v>
      </c>
      <c r="AV52" s="566" t="s">
        <v>585</v>
      </c>
      <c r="AW52" s="562" t="e">
        <f t="shared" si="53"/>
        <v>#VALUE!</v>
      </c>
      <c r="AX52" s="637"/>
      <c r="AZ52" s="368" t="e">
        <f t="shared" si="55"/>
        <v>#N/A</v>
      </c>
      <c r="BA52" s="637"/>
    </row>
    <row r="53" spans="2:53">
      <c r="B53" s="647"/>
      <c r="C53" s="379">
        <v>7</v>
      </c>
      <c r="D53" s="225"/>
      <c r="E53" s="535"/>
      <c r="F53" s="534"/>
      <c r="G53" s="536"/>
      <c r="H53" s="701"/>
      <c r="I53" s="381" t="str">
        <f t="shared" si="38"/>
        <v>-</v>
      </c>
      <c r="J53" s="381" t="str">
        <f t="shared" si="39"/>
        <v>-</v>
      </c>
      <c r="K53" s="199" t="str">
        <f t="shared" si="40"/>
        <v>-</v>
      </c>
      <c r="L53" s="657"/>
      <c r="M53" s="419" t="e">
        <f>RANK(K53, K$47:$K$61)</f>
        <v>#VALUE!</v>
      </c>
      <c r="N53" s="641"/>
      <c r="O53" s="641"/>
      <c r="P53" s="562" t="s">
        <v>585</v>
      </c>
      <c r="Q53" s="566" t="s">
        <v>585</v>
      </c>
      <c r="R53" s="566" t="s">
        <v>585</v>
      </c>
      <c r="S53" s="562" t="e">
        <f t="shared" si="41"/>
        <v>#VALUE!</v>
      </c>
      <c r="T53" s="637"/>
      <c r="U53" s="562" t="s">
        <v>585</v>
      </c>
      <c r="V53" s="566" t="s">
        <v>585</v>
      </c>
      <c r="W53" s="566" t="s">
        <v>585</v>
      </c>
      <c r="X53" s="562" t="e">
        <f t="shared" si="43"/>
        <v>#VALUE!</v>
      </c>
      <c r="Y53" s="637"/>
      <c r="Z53" s="562" t="s">
        <v>585</v>
      </c>
      <c r="AA53" s="566" t="s">
        <v>585</v>
      </c>
      <c r="AB53" s="566" t="s">
        <v>585</v>
      </c>
      <c r="AC53" s="562" t="e">
        <f t="shared" si="45"/>
        <v>#VALUE!</v>
      </c>
      <c r="AD53" s="637"/>
      <c r="AE53" s="562" t="s">
        <v>585</v>
      </c>
      <c r="AF53" s="566" t="s">
        <v>585</v>
      </c>
      <c r="AG53" s="566" t="s">
        <v>585</v>
      </c>
      <c r="AH53" s="562" t="e">
        <f t="shared" si="47"/>
        <v>#VALUE!</v>
      </c>
      <c r="AI53" s="637"/>
      <c r="AJ53" s="562" t="s">
        <v>585</v>
      </c>
      <c r="AK53" s="566" t="s">
        <v>585</v>
      </c>
      <c r="AL53" s="566" t="s">
        <v>585</v>
      </c>
      <c r="AM53" s="562" t="e">
        <f t="shared" si="49"/>
        <v>#VALUE!</v>
      </c>
      <c r="AN53" s="637"/>
      <c r="AO53" s="562" t="s">
        <v>585</v>
      </c>
      <c r="AP53" s="566" t="s">
        <v>585</v>
      </c>
      <c r="AQ53" s="566" t="s">
        <v>585</v>
      </c>
      <c r="AR53" s="562" t="e">
        <f t="shared" si="51"/>
        <v>#VALUE!</v>
      </c>
      <c r="AS53" s="637"/>
      <c r="AT53" s="562" t="s">
        <v>585</v>
      </c>
      <c r="AU53" s="566" t="s">
        <v>585</v>
      </c>
      <c r="AV53" s="566" t="s">
        <v>585</v>
      </c>
      <c r="AW53" s="562" t="e">
        <f t="shared" si="53"/>
        <v>#VALUE!</v>
      </c>
      <c r="AX53" s="637"/>
      <c r="AZ53" s="368" t="e">
        <f t="shared" si="55"/>
        <v>#N/A</v>
      </c>
      <c r="BA53" s="637"/>
    </row>
    <row r="54" spans="2:53">
      <c r="B54" s="647"/>
      <c r="C54" s="379">
        <v>8</v>
      </c>
      <c r="D54" s="225"/>
      <c r="E54" s="535"/>
      <c r="F54" s="534"/>
      <c r="G54" s="536"/>
      <c r="H54" s="701"/>
      <c r="I54" s="381" t="str">
        <f t="shared" si="38"/>
        <v>-</v>
      </c>
      <c r="J54" s="381" t="str">
        <f t="shared" si="39"/>
        <v>-</v>
      </c>
      <c r="K54" s="199" t="str">
        <f t="shared" si="40"/>
        <v>-</v>
      </c>
      <c r="L54" s="657"/>
      <c r="M54" s="419" t="e">
        <f>RANK(K54, K$47:$K$61)</f>
        <v>#VALUE!</v>
      </c>
      <c r="N54" s="641"/>
      <c r="O54" s="641"/>
      <c r="P54" s="562" t="s">
        <v>585</v>
      </c>
      <c r="Q54" s="566" t="s">
        <v>585</v>
      </c>
      <c r="R54" s="566" t="s">
        <v>585</v>
      </c>
      <c r="S54" s="562" t="e">
        <f t="shared" si="41"/>
        <v>#VALUE!</v>
      </c>
      <c r="T54" s="637"/>
      <c r="U54" s="562" t="s">
        <v>585</v>
      </c>
      <c r="V54" s="566" t="s">
        <v>585</v>
      </c>
      <c r="W54" s="566" t="s">
        <v>585</v>
      </c>
      <c r="X54" s="562" t="e">
        <f t="shared" si="43"/>
        <v>#VALUE!</v>
      </c>
      <c r="Y54" s="637"/>
      <c r="Z54" s="562" t="s">
        <v>585</v>
      </c>
      <c r="AA54" s="566" t="s">
        <v>585</v>
      </c>
      <c r="AB54" s="566" t="s">
        <v>585</v>
      </c>
      <c r="AC54" s="562" t="e">
        <f t="shared" si="45"/>
        <v>#VALUE!</v>
      </c>
      <c r="AD54" s="637"/>
      <c r="AE54" s="562" t="s">
        <v>585</v>
      </c>
      <c r="AF54" s="566" t="s">
        <v>585</v>
      </c>
      <c r="AG54" s="566" t="s">
        <v>585</v>
      </c>
      <c r="AH54" s="562" t="e">
        <f t="shared" si="47"/>
        <v>#VALUE!</v>
      </c>
      <c r="AI54" s="637"/>
      <c r="AJ54" s="562" t="s">
        <v>585</v>
      </c>
      <c r="AK54" s="566" t="s">
        <v>585</v>
      </c>
      <c r="AL54" s="566" t="s">
        <v>585</v>
      </c>
      <c r="AM54" s="562" t="e">
        <f t="shared" si="49"/>
        <v>#VALUE!</v>
      </c>
      <c r="AN54" s="637"/>
      <c r="AO54" s="562" t="s">
        <v>585</v>
      </c>
      <c r="AP54" s="566" t="s">
        <v>585</v>
      </c>
      <c r="AQ54" s="566" t="s">
        <v>585</v>
      </c>
      <c r="AR54" s="562" t="e">
        <f t="shared" si="51"/>
        <v>#VALUE!</v>
      </c>
      <c r="AS54" s="637"/>
      <c r="AT54" s="562" t="s">
        <v>585</v>
      </c>
      <c r="AU54" s="566" t="s">
        <v>585</v>
      </c>
      <c r="AV54" s="566" t="s">
        <v>585</v>
      </c>
      <c r="AW54" s="562" t="e">
        <f t="shared" si="53"/>
        <v>#VALUE!</v>
      </c>
      <c r="AX54" s="637"/>
      <c r="AZ54" s="368" t="e">
        <f t="shared" si="55"/>
        <v>#N/A</v>
      </c>
      <c r="BA54" s="637"/>
    </row>
    <row r="55" spans="2:53">
      <c r="B55" s="647"/>
      <c r="C55" s="379">
        <v>9</v>
      </c>
      <c r="D55" s="225"/>
      <c r="E55" s="535"/>
      <c r="F55" s="534"/>
      <c r="G55" s="536"/>
      <c r="H55" s="701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57"/>
      <c r="M55" s="419" t="e">
        <f>RANK(K55, K$47:$K$61)</f>
        <v>#VALUE!</v>
      </c>
      <c r="N55" s="641"/>
      <c r="O55" s="641"/>
      <c r="P55" s="562" t="s">
        <v>585</v>
      </c>
      <c r="Q55" s="566" t="s">
        <v>585</v>
      </c>
      <c r="R55" s="566" t="s">
        <v>585</v>
      </c>
      <c r="S55" s="562" t="e">
        <f t="shared" si="41"/>
        <v>#VALUE!</v>
      </c>
      <c r="T55" s="637"/>
      <c r="U55" s="562" t="s">
        <v>585</v>
      </c>
      <c r="V55" s="566" t="s">
        <v>585</v>
      </c>
      <c r="W55" s="566" t="s">
        <v>585</v>
      </c>
      <c r="X55" s="562" t="e">
        <f t="shared" si="43"/>
        <v>#VALUE!</v>
      </c>
      <c r="Y55" s="637"/>
      <c r="Z55" s="562" t="s">
        <v>585</v>
      </c>
      <c r="AA55" s="566" t="s">
        <v>585</v>
      </c>
      <c r="AB55" s="566" t="s">
        <v>585</v>
      </c>
      <c r="AC55" s="562" t="e">
        <f t="shared" si="45"/>
        <v>#VALUE!</v>
      </c>
      <c r="AD55" s="637"/>
      <c r="AE55" s="562" t="s">
        <v>585</v>
      </c>
      <c r="AF55" s="566" t="s">
        <v>585</v>
      </c>
      <c r="AG55" s="566" t="s">
        <v>585</v>
      </c>
      <c r="AH55" s="562" t="e">
        <f t="shared" si="47"/>
        <v>#VALUE!</v>
      </c>
      <c r="AI55" s="637"/>
      <c r="AJ55" s="562" t="s">
        <v>585</v>
      </c>
      <c r="AK55" s="566" t="s">
        <v>585</v>
      </c>
      <c r="AL55" s="566" t="s">
        <v>585</v>
      </c>
      <c r="AM55" s="562" t="e">
        <f t="shared" si="49"/>
        <v>#VALUE!</v>
      </c>
      <c r="AN55" s="637"/>
      <c r="AO55" s="562" t="s">
        <v>585</v>
      </c>
      <c r="AP55" s="566" t="s">
        <v>585</v>
      </c>
      <c r="AQ55" s="566" t="s">
        <v>585</v>
      </c>
      <c r="AR55" s="562" t="e">
        <f t="shared" si="51"/>
        <v>#VALUE!</v>
      </c>
      <c r="AS55" s="637"/>
      <c r="AT55" s="562" t="s">
        <v>585</v>
      </c>
      <c r="AU55" s="566" t="s">
        <v>585</v>
      </c>
      <c r="AV55" s="566" t="s">
        <v>585</v>
      </c>
      <c r="AW55" s="562" t="e">
        <f t="shared" si="53"/>
        <v>#VALUE!</v>
      </c>
      <c r="AX55" s="637"/>
      <c r="AZ55" s="368" t="e">
        <f t="shared" si="55"/>
        <v>#N/A</v>
      </c>
      <c r="BA55" s="637"/>
    </row>
    <row r="56" spans="2:53">
      <c r="B56" s="647"/>
      <c r="C56" s="379">
        <v>10</v>
      </c>
      <c r="D56" s="225"/>
      <c r="E56" s="535"/>
      <c r="F56" s="534"/>
      <c r="G56" s="536"/>
      <c r="H56" s="701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57"/>
      <c r="M56" s="419" t="e">
        <f>RANK(K56, K$47:$K$61)</f>
        <v>#VALUE!</v>
      </c>
      <c r="N56" s="641"/>
      <c r="O56" s="641"/>
      <c r="P56" s="562" t="s">
        <v>585</v>
      </c>
      <c r="Q56" s="566" t="s">
        <v>585</v>
      </c>
      <c r="R56" s="566" t="s">
        <v>585</v>
      </c>
      <c r="S56" s="562" t="e">
        <f t="shared" si="41"/>
        <v>#VALUE!</v>
      </c>
      <c r="T56" s="637"/>
      <c r="U56" s="562" t="s">
        <v>585</v>
      </c>
      <c r="V56" s="566" t="s">
        <v>585</v>
      </c>
      <c r="W56" s="566" t="s">
        <v>585</v>
      </c>
      <c r="X56" s="562" t="e">
        <f t="shared" si="43"/>
        <v>#VALUE!</v>
      </c>
      <c r="Y56" s="637"/>
      <c r="Z56" s="562" t="s">
        <v>585</v>
      </c>
      <c r="AA56" s="566" t="s">
        <v>585</v>
      </c>
      <c r="AB56" s="566" t="s">
        <v>585</v>
      </c>
      <c r="AC56" s="562" t="e">
        <f t="shared" si="45"/>
        <v>#VALUE!</v>
      </c>
      <c r="AD56" s="637"/>
      <c r="AE56" s="562" t="s">
        <v>585</v>
      </c>
      <c r="AF56" s="566" t="s">
        <v>585</v>
      </c>
      <c r="AG56" s="566" t="s">
        <v>585</v>
      </c>
      <c r="AH56" s="562" t="e">
        <f t="shared" si="47"/>
        <v>#VALUE!</v>
      </c>
      <c r="AI56" s="637"/>
      <c r="AJ56" s="562" t="s">
        <v>585</v>
      </c>
      <c r="AK56" s="566" t="s">
        <v>585</v>
      </c>
      <c r="AL56" s="566" t="s">
        <v>585</v>
      </c>
      <c r="AM56" s="562" t="e">
        <f t="shared" si="49"/>
        <v>#VALUE!</v>
      </c>
      <c r="AN56" s="637"/>
      <c r="AO56" s="562" t="s">
        <v>585</v>
      </c>
      <c r="AP56" s="566" t="s">
        <v>585</v>
      </c>
      <c r="AQ56" s="566" t="s">
        <v>585</v>
      </c>
      <c r="AR56" s="562" t="e">
        <f t="shared" si="51"/>
        <v>#VALUE!</v>
      </c>
      <c r="AS56" s="637"/>
      <c r="AT56" s="562" t="s">
        <v>585</v>
      </c>
      <c r="AU56" s="566" t="s">
        <v>585</v>
      </c>
      <c r="AV56" s="566" t="s">
        <v>585</v>
      </c>
      <c r="AW56" s="562" t="e">
        <f t="shared" si="53"/>
        <v>#VALUE!</v>
      </c>
      <c r="AX56" s="637"/>
      <c r="AZ56" s="368" t="e">
        <f t="shared" si="55"/>
        <v>#N/A</v>
      </c>
      <c r="BA56" s="637"/>
    </row>
    <row r="57" spans="2:53">
      <c r="B57" s="647"/>
      <c r="C57" s="379">
        <v>11</v>
      </c>
      <c r="D57" s="225"/>
      <c r="E57" s="535"/>
      <c r="F57" s="534"/>
      <c r="G57" s="536"/>
      <c r="H57" s="701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7"/>
      <c r="M57" s="419" t="e">
        <f>RANK(K57, K$47:$K$61)</f>
        <v>#VALUE!</v>
      </c>
      <c r="N57" s="641"/>
      <c r="O57" s="641"/>
      <c r="P57" s="562" t="s">
        <v>585</v>
      </c>
      <c r="Q57" s="566" t="s">
        <v>585</v>
      </c>
      <c r="R57" s="566" t="s">
        <v>585</v>
      </c>
      <c r="S57" s="562" t="e">
        <f t="shared" si="41"/>
        <v>#VALUE!</v>
      </c>
      <c r="T57" s="637"/>
      <c r="U57" s="562" t="s">
        <v>585</v>
      </c>
      <c r="V57" s="566" t="s">
        <v>585</v>
      </c>
      <c r="W57" s="566" t="s">
        <v>585</v>
      </c>
      <c r="X57" s="562" t="e">
        <f t="shared" si="43"/>
        <v>#VALUE!</v>
      </c>
      <c r="Y57" s="637"/>
      <c r="Z57" s="562" t="s">
        <v>585</v>
      </c>
      <c r="AA57" s="566" t="s">
        <v>585</v>
      </c>
      <c r="AB57" s="566" t="s">
        <v>585</v>
      </c>
      <c r="AC57" s="562" t="e">
        <f t="shared" si="45"/>
        <v>#VALUE!</v>
      </c>
      <c r="AD57" s="637"/>
      <c r="AE57" s="562" t="s">
        <v>585</v>
      </c>
      <c r="AF57" s="566" t="s">
        <v>585</v>
      </c>
      <c r="AG57" s="566" t="s">
        <v>585</v>
      </c>
      <c r="AH57" s="562" t="e">
        <f t="shared" si="47"/>
        <v>#VALUE!</v>
      </c>
      <c r="AI57" s="637"/>
      <c r="AJ57" s="562" t="s">
        <v>585</v>
      </c>
      <c r="AK57" s="566" t="s">
        <v>585</v>
      </c>
      <c r="AL57" s="566" t="s">
        <v>585</v>
      </c>
      <c r="AM57" s="562" t="e">
        <f t="shared" si="49"/>
        <v>#VALUE!</v>
      </c>
      <c r="AN57" s="637"/>
      <c r="AO57" s="562" t="s">
        <v>585</v>
      </c>
      <c r="AP57" s="566" t="s">
        <v>585</v>
      </c>
      <c r="AQ57" s="566" t="s">
        <v>585</v>
      </c>
      <c r="AR57" s="562" t="e">
        <f t="shared" si="51"/>
        <v>#VALUE!</v>
      </c>
      <c r="AS57" s="637"/>
      <c r="AT57" s="562" t="s">
        <v>585</v>
      </c>
      <c r="AU57" s="566" t="s">
        <v>585</v>
      </c>
      <c r="AV57" s="566" t="s">
        <v>585</v>
      </c>
      <c r="AW57" s="562" t="e">
        <f t="shared" si="53"/>
        <v>#VALUE!</v>
      </c>
      <c r="AX57" s="637"/>
      <c r="AZ57" s="368" t="e">
        <f t="shared" si="55"/>
        <v>#N/A</v>
      </c>
      <c r="BA57" s="637"/>
    </row>
    <row r="58" spans="2:53">
      <c r="B58" s="647"/>
      <c r="C58" s="379">
        <v>12</v>
      </c>
      <c r="D58" s="225"/>
      <c r="E58" s="535"/>
      <c r="F58" s="534"/>
      <c r="G58" s="536"/>
      <c r="H58" s="701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7"/>
      <c r="M58" s="419" t="e">
        <f>RANK(K58, K$47:$K$61)</f>
        <v>#VALUE!</v>
      </c>
      <c r="N58" s="641"/>
      <c r="O58" s="641"/>
      <c r="P58" s="562" t="s">
        <v>585</v>
      </c>
      <c r="Q58" s="566" t="s">
        <v>585</v>
      </c>
      <c r="R58" s="566" t="s">
        <v>585</v>
      </c>
      <c r="S58" s="562" t="e">
        <f t="shared" si="41"/>
        <v>#VALUE!</v>
      </c>
      <c r="T58" s="637"/>
      <c r="U58" s="562" t="s">
        <v>585</v>
      </c>
      <c r="V58" s="566" t="s">
        <v>585</v>
      </c>
      <c r="W58" s="566" t="s">
        <v>585</v>
      </c>
      <c r="X58" s="562" t="e">
        <f t="shared" si="43"/>
        <v>#VALUE!</v>
      </c>
      <c r="Y58" s="637"/>
      <c r="Z58" s="562" t="s">
        <v>585</v>
      </c>
      <c r="AA58" s="566" t="s">
        <v>585</v>
      </c>
      <c r="AB58" s="566" t="s">
        <v>585</v>
      </c>
      <c r="AC58" s="562" t="e">
        <f t="shared" si="45"/>
        <v>#VALUE!</v>
      </c>
      <c r="AD58" s="637"/>
      <c r="AE58" s="562" t="s">
        <v>585</v>
      </c>
      <c r="AF58" s="566" t="s">
        <v>585</v>
      </c>
      <c r="AG58" s="566" t="s">
        <v>585</v>
      </c>
      <c r="AH58" s="562" t="e">
        <f t="shared" si="47"/>
        <v>#VALUE!</v>
      </c>
      <c r="AI58" s="637"/>
      <c r="AJ58" s="562" t="s">
        <v>585</v>
      </c>
      <c r="AK58" s="566" t="s">
        <v>585</v>
      </c>
      <c r="AL58" s="566" t="s">
        <v>585</v>
      </c>
      <c r="AM58" s="562" t="e">
        <f t="shared" si="49"/>
        <v>#VALUE!</v>
      </c>
      <c r="AN58" s="637"/>
      <c r="AO58" s="562" t="s">
        <v>585</v>
      </c>
      <c r="AP58" s="566" t="s">
        <v>585</v>
      </c>
      <c r="AQ58" s="566" t="s">
        <v>585</v>
      </c>
      <c r="AR58" s="562" t="e">
        <f t="shared" si="51"/>
        <v>#VALUE!</v>
      </c>
      <c r="AS58" s="637"/>
      <c r="AT58" s="562" t="s">
        <v>585</v>
      </c>
      <c r="AU58" s="566" t="s">
        <v>585</v>
      </c>
      <c r="AV58" s="566" t="s">
        <v>585</v>
      </c>
      <c r="AW58" s="562" t="e">
        <f t="shared" si="53"/>
        <v>#VALUE!</v>
      </c>
      <c r="AX58" s="637"/>
      <c r="AZ58" s="368" t="e">
        <f t="shared" si="55"/>
        <v>#N/A</v>
      </c>
      <c r="BA58" s="637"/>
    </row>
    <row r="59" spans="2:53">
      <c r="B59" s="647"/>
      <c r="C59" s="379">
        <v>13</v>
      </c>
      <c r="D59" s="225"/>
      <c r="E59" s="535"/>
      <c r="F59" s="534"/>
      <c r="G59" s="536"/>
      <c r="H59" s="701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7"/>
      <c r="M59" s="419" t="e">
        <f>RANK(K59, K$47:$K$61)</f>
        <v>#VALUE!</v>
      </c>
      <c r="N59" s="641"/>
      <c r="O59" s="641"/>
      <c r="P59" s="562" t="s">
        <v>585</v>
      </c>
      <c r="Q59" s="566" t="s">
        <v>585</v>
      </c>
      <c r="R59" s="566" t="s">
        <v>585</v>
      </c>
      <c r="S59" s="562" t="e">
        <f t="shared" si="41"/>
        <v>#VALUE!</v>
      </c>
      <c r="T59" s="637"/>
      <c r="U59" s="562" t="s">
        <v>585</v>
      </c>
      <c r="V59" s="566" t="s">
        <v>585</v>
      </c>
      <c r="W59" s="566" t="s">
        <v>585</v>
      </c>
      <c r="X59" s="562" t="e">
        <f t="shared" si="43"/>
        <v>#VALUE!</v>
      </c>
      <c r="Y59" s="637"/>
      <c r="Z59" s="562" t="s">
        <v>585</v>
      </c>
      <c r="AA59" s="566" t="s">
        <v>585</v>
      </c>
      <c r="AB59" s="566" t="s">
        <v>585</v>
      </c>
      <c r="AC59" s="562" t="e">
        <f t="shared" si="45"/>
        <v>#VALUE!</v>
      </c>
      <c r="AD59" s="637"/>
      <c r="AE59" s="562" t="s">
        <v>585</v>
      </c>
      <c r="AF59" s="566" t="s">
        <v>585</v>
      </c>
      <c r="AG59" s="566" t="s">
        <v>585</v>
      </c>
      <c r="AH59" s="562" t="e">
        <f t="shared" si="47"/>
        <v>#VALUE!</v>
      </c>
      <c r="AI59" s="637"/>
      <c r="AJ59" s="562" t="s">
        <v>585</v>
      </c>
      <c r="AK59" s="566" t="s">
        <v>585</v>
      </c>
      <c r="AL59" s="566" t="s">
        <v>585</v>
      </c>
      <c r="AM59" s="562" t="e">
        <f t="shared" si="49"/>
        <v>#VALUE!</v>
      </c>
      <c r="AN59" s="637"/>
      <c r="AO59" s="562" t="s">
        <v>585</v>
      </c>
      <c r="AP59" s="566" t="s">
        <v>585</v>
      </c>
      <c r="AQ59" s="566" t="s">
        <v>585</v>
      </c>
      <c r="AR59" s="562" t="e">
        <f t="shared" si="51"/>
        <v>#VALUE!</v>
      </c>
      <c r="AS59" s="637"/>
      <c r="AT59" s="562" t="s">
        <v>585</v>
      </c>
      <c r="AU59" s="566" t="s">
        <v>585</v>
      </c>
      <c r="AV59" s="566" t="s">
        <v>585</v>
      </c>
      <c r="AW59" s="562" t="e">
        <f t="shared" si="53"/>
        <v>#VALUE!</v>
      </c>
      <c r="AX59" s="637"/>
      <c r="AZ59" s="368" t="e">
        <f t="shared" si="55"/>
        <v>#N/A</v>
      </c>
      <c r="BA59" s="637"/>
    </row>
    <row r="60" spans="2:53">
      <c r="B60" s="647"/>
      <c r="C60" s="379">
        <v>14</v>
      </c>
      <c r="D60" s="225"/>
      <c r="E60" s="535"/>
      <c r="F60" s="534"/>
      <c r="G60" s="536"/>
      <c r="H60" s="701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7"/>
      <c r="M60" s="419" t="e">
        <f>RANK(K60, K$47:$K$61)</f>
        <v>#VALUE!</v>
      </c>
      <c r="N60" s="641"/>
      <c r="O60" s="641"/>
      <c r="P60" s="562" t="s">
        <v>585</v>
      </c>
      <c r="Q60" s="566" t="s">
        <v>585</v>
      </c>
      <c r="R60" s="566" t="s">
        <v>585</v>
      </c>
      <c r="S60" s="562" t="e">
        <f t="shared" si="41"/>
        <v>#VALUE!</v>
      </c>
      <c r="T60" s="637"/>
      <c r="U60" s="562" t="s">
        <v>585</v>
      </c>
      <c r="V60" s="566" t="s">
        <v>585</v>
      </c>
      <c r="W60" s="566" t="s">
        <v>585</v>
      </c>
      <c r="X60" s="562" t="e">
        <f t="shared" si="43"/>
        <v>#VALUE!</v>
      </c>
      <c r="Y60" s="637"/>
      <c r="Z60" s="562" t="s">
        <v>585</v>
      </c>
      <c r="AA60" s="566" t="s">
        <v>585</v>
      </c>
      <c r="AB60" s="566" t="s">
        <v>585</v>
      </c>
      <c r="AC60" s="562" t="e">
        <f t="shared" si="45"/>
        <v>#VALUE!</v>
      </c>
      <c r="AD60" s="637"/>
      <c r="AE60" s="562" t="s">
        <v>585</v>
      </c>
      <c r="AF60" s="566" t="s">
        <v>585</v>
      </c>
      <c r="AG60" s="566" t="s">
        <v>585</v>
      </c>
      <c r="AH60" s="562" t="e">
        <f t="shared" si="47"/>
        <v>#VALUE!</v>
      </c>
      <c r="AI60" s="637"/>
      <c r="AJ60" s="562" t="s">
        <v>585</v>
      </c>
      <c r="AK60" s="566" t="s">
        <v>585</v>
      </c>
      <c r="AL60" s="566" t="s">
        <v>585</v>
      </c>
      <c r="AM60" s="562" t="e">
        <f t="shared" si="49"/>
        <v>#VALUE!</v>
      </c>
      <c r="AN60" s="637"/>
      <c r="AO60" s="562" t="s">
        <v>585</v>
      </c>
      <c r="AP60" s="566" t="s">
        <v>585</v>
      </c>
      <c r="AQ60" s="566" t="s">
        <v>585</v>
      </c>
      <c r="AR60" s="562" t="e">
        <f t="shared" si="51"/>
        <v>#VALUE!</v>
      </c>
      <c r="AS60" s="637"/>
      <c r="AT60" s="562" t="s">
        <v>585</v>
      </c>
      <c r="AU60" s="566" t="s">
        <v>585</v>
      </c>
      <c r="AV60" s="566" t="s">
        <v>585</v>
      </c>
      <c r="AW60" s="562" t="e">
        <f t="shared" si="53"/>
        <v>#VALUE!</v>
      </c>
      <c r="AX60" s="637"/>
      <c r="AZ60" s="368" t="e">
        <f t="shared" si="55"/>
        <v>#N/A</v>
      </c>
      <c r="BA60" s="637"/>
    </row>
    <row r="61" spans="2:53">
      <c r="B61" s="647"/>
      <c r="C61" s="379">
        <v>15</v>
      </c>
      <c r="D61" s="225"/>
      <c r="E61" s="535"/>
      <c r="F61" s="534"/>
      <c r="G61" s="536"/>
      <c r="H61" s="702"/>
      <c r="I61" s="201"/>
      <c r="J61" s="201"/>
      <c r="K61" s="201"/>
      <c r="L61" s="658"/>
      <c r="M61" s="419" t="e">
        <f>RANK(K61, K$47:$K$61)</f>
        <v>#N/A</v>
      </c>
      <c r="N61" s="641"/>
      <c r="O61" s="641"/>
      <c r="P61" s="562" t="s">
        <v>585</v>
      </c>
      <c r="Q61" s="566" t="s">
        <v>585</v>
      </c>
      <c r="R61" s="566" t="s">
        <v>585</v>
      </c>
      <c r="S61" s="562" t="e">
        <f t="shared" si="41"/>
        <v>#VALUE!</v>
      </c>
      <c r="T61" s="638"/>
      <c r="U61" s="562" t="s">
        <v>585</v>
      </c>
      <c r="V61" s="566" t="s">
        <v>585</v>
      </c>
      <c r="W61" s="566" t="s">
        <v>585</v>
      </c>
      <c r="X61" s="562" t="e">
        <f t="shared" si="43"/>
        <v>#VALUE!</v>
      </c>
      <c r="Y61" s="638"/>
      <c r="Z61" s="562" t="s">
        <v>585</v>
      </c>
      <c r="AA61" s="566" t="s">
        <v>585</v>
      </c>
      <c r="AB61" s="566" t="s">
        <v>585</v>
      </c>
      <c r="AC61" s="562" t="e">
        <f t="shared" si="45"/>
        <v>#VALUE!</v>
      </c>
      <c r="AD61" s="638"/>
      <c r="AE61" s="562" t="s">
        <v>585</v>
      </c>
      <c r="AF61" s="566" t="s">
        <v>585</v>
      </c>
      <c r="AG61" s="566" t="s">
        <v>585</v>
      </c>
      <c r="AH61" s="562" t="e">
        <f t="shared" si="47"/>
        <v>#VALUE!</v>
      </c>
      <c r="AI61" s="638"/>
      <c r="AJ61" s="562" t="s">
        <v>585</v>
      </c>
      <c r="AK61" s="566" t="s">
        <v>585</v>
      </c>
      <c r="AL61" s="566" t="s">
        <v>585</v>
      </c>
      <c r="AM61" s="562" t="e">
        <f t="shared" si="49"/>
        <v>#VALUE!</v>
      </c>
      <c r="AN61" s="638"/>
      <c r="AO61" s="562" t="s">
        <v>585</v>
      </c>
      <c r="AP61" s="566" t="s">
        <v>585</v>
      </c>
      <c r="AQ61" s="566" t="s">
        <v>585</v>
      </c>
      <c r="AR61" s="562" t="e">
        <f t="shared" si="51"/>
        <v>#VALUE!</v>
      </c>
      <c r="AS61" s="638"/>
      <c r="AT61" s="562" t="s">
        <v>585</v>
      </c>
      <c r="AU61" s="566" t="s">
        <v>585</v>
      </c>
      <c r="AV61" s="566" t="s">
        <v>585</v>
      </c>
      <c r="AW61" s="562" t="e">
        <f t="shared" si="53"/>
        <v>#VALUE!</v>
      </c>
      <c r="AX61" s="638"/>
      <c r="AZ61" s="368" t="e">
        <f t="shared" si="55"/>
        <v>#N/A</v>
      </c>
      <c r="BA61" s="638"/>
    </row>
    <row r="62" spans="2:53" ht="15.75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68">
        <f>P42+7</f>
        <v>46252</v>
      </c>
      <c r="Q62" s="647"/>
      <c r="R62" s="647"/>
      <c r="S62" s="647"/>
      <c r="T62" s="647"/>
      <c r="U62" s="665">
        <f>P62+1</f>
        <v>46253</v>
      </c>
      <c r="V62" s="666"/>
      <c r="W62" s="666"/>
      <c r="X62" s="666"/>
      <c r="Y62" s="667"/>
      <c r="Z62" s="665">
        <f>U62+1</f>
        <v>46254</v>
      </c>
      <c r="AA62" s="666"/>
      <c r="AB62" s="666"/>
      <c r="AC62" s="666"/>
      <c r="AD62" s="667"/>
      <c r="AE62" s="665">
        <f>Z62+1</f>
        <v>46255</v>
      </c>
      <c r="AF62" s="666"/>
      <c r="AG62" s="666"/>
      <c r="AH62" s="666"/>
      <c r="AI62" s="667"/>
      <c r="AJ62" s="665">
        <f>AE62+1</f>
        <v>46256</v>
      </c>
      <c r="AK62" s="666"/>
      <c r="AL62" s="666"/>
      <c r="AM62" s="666"/>
      <c r="AN62" s="667"/>
      <c r="AO62" s="665">
        <f>AJ62+1</f>
        <v>46257</v>
      </c>
      <c r="AP62" s="666"/>
      <c r="AQ62" s="666"/>
      <c r="AR62" s="666"/>
      <c r="AS62" s="667"/>
      <c r="AT62" s="665">
        <f>AO62+1</f>
        <v>46258</v>
      </c>
      <c r="AU62" s="666"/>
      <c r="AV62" s="666"/>
      <c r="AW62" s="666"/>
      <c r="AX62" s="667"/>
    </row>
    <row r="63" spans="2:53" ht="15.75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45"/>
      <c r="O63" s="645"/>
      <c r="P63" s="668" t="s">
        <v>317</v>
      </c>
      <c r="Q63" s="647"/>
      <c r="R63" s="647"/>
      <c r="S63" s="647"/>
      <c r="T63" s="647"/>
      <c r="U63" s="668" t="s">
        <v>318</v>
      </c>
      <c r="V63" s="647"/>
      <c r="W63" s="647"/>
      <c r="X63" s="647"/>
      <c r="Y63" s="647"/>
      <c r="Z63" s="668" t="s">
        <v>319</v>
      </c>
      <c r="AA63" s="647"/>
      <c r="AB63" s="647"/>
      <c r="AC63" s="647"/>
      <c r="AD63" s="647"/>
      <c r="AE63" s="668" t="s">
        <v>320</v>
      </c>
      <c r="AF63" s="647"/>
      <c r="AG63" s="647"/>
      <c r="AH63" s="647"/>
      <c r="AI63" s="647"/>
      <c r="AJ63" s="668" t="s">
        <v>321</v>
      </c>
      <c r="AK63" s="647"/>
      <c r="AL63" s="647"/>
      <c r="AM63" s="647"/>
      <c r="AN63" s="647"/>
      <c r="AO63" s="668" t="s">
        <v>322</v>
      </c>
      <c r="AP63" s="647"/>
      <c r="AQ63" s="647"/>
      <c r="AR63" s="647"/>
      <c r="AS63" s="647"/>
      <c r="AT63" s="668" t="s">
        <v>323</v>
      </c>
      <c r="AU63" s="647"/>
      <c r="AV63" s="647"/>
      <c r="AW63" s="647"/>
      <c r="AX63" s="647"/>
    </row>
    <row r="64" spans="2:53">
      <c r="B64" s="641" t="s">
        <v>369</v>
      </c>
      <c r="C64" s="673" t="s">
        <v>379</v>
      </c>
      <c r="D64" s="685"/>
      <c r="E64" s="659" t="s">
        <v>370</v>
      </c>
      <c r="F64" s="660"/>
      <c r="G64" s="661"/>
      <c r="H64" s="643" t="s">
        <v>366</v>
      </c>
      <c r="I64" s="692" t="s">
        <v>371</v>
      </c>
      <c r="J64" s="693"/>
      <c r="K64" s="694"/>
      <c r="L64" s="677" t="s">
        <v>366</v>
      </c>
      <c r="M64" s="677" t="s">
        <v>367</v>
      </c>
      <c r="N64" s="643"/>
      <c r="O64" s="643" t="s">
        <v>372</v>
      </c>
      <c r="P64" s="659" t="s">
        <v>368</v>
      </c>
      <c r="Q64" s="660"/>
      <c r="R64" s="660"/>
      <c r="S64" s="661"/>
      <c r="T64" s="643" t="s">
        <v>366</v>
      </c>
      <c r="U64" s="659" t="s">
        <v>368</v>
      </c>
      <c r="V64" s="660"/>
      <c r="W64" s="660"/>
      <c r="X64" s="661"/>
      <c r="Y64" s="643" t="s">
        <v>366</v>
      </c>
      <c r="Z64" s="659" t="s">
        <v>368</v>
      </c>
      <c r="AA64" s="660"/>
      <c r="AB64" s="660"/>
      <c r="AC64" s="661"/>
      <c r="AD64" s="643" t="s">
        <v>366</v>
      </c>
      <c r="AE64" s="659" t="s">
        <v>368</v>
      </c>
      <c r="AF64" s="660"/>
      <c r="AG64" s="660"/>
      <c r="AH64" s="661"/>
      <c r="AI64" s="643" t="s">
        <v>366</v>
      </c>
      <c r="AJ64" s="659" t="s">
        <v>368</v>
      </c>
      <c r="AK64" s="660"/>
      <c r="AL64" s="660"/>
      <c r="AM64" s="661"/>
      <c r="AN64" s="643" t="s">
        <v>366</v>
      </c>
      <c r="AO64" s="659" t="s">
        <v>368</v>
      </c>
      <c r="AP64" s="660"/>
      <c r="AQ64" s="660"/>
      <c r="AR64" s="661"/>
      <c r="AS64" s="643" t="s">
        <v>366</v>
      </c>
      <c r="AT64" s="659" t="s">
        <v>368</v>
      </c>
      <c r="AU64" s="660"/>
      <c r="AV64" s="660"/>
      <c r="AW64" s="661"/>
      <c r="AX64" s="643" t="s">
        <v>366</v>
      </c>
      <c r="BA64" s="641" t="s">
        <v>366</v>
      </c>
    </row>
    <row r="65" spans="2:53">
      <c r="B65" s="641"/>
      <c r="C65" s="674"/>
      <c r="D65" s="686"/>
      <c r="E65" s="659" t="s">
        <v>373</v>
      </c>
      <c r="F65" s="660"/>
      <c r="G65" s="661"/>
      <c r="H65" s="644"/>
      <c r="I65" s="692" t="s">
        <v>373</v>
      </c>
      <c r="J65" s="693"/>
      <c r="K65" s="694"/>
      <c r="L65" s="678"/>
      <c r="M65" s="678"/>
      <c r="N65" s="644"/>
      <c r="O65" s="644"/>
      <c r="P65" s="659" t="s">
        <v>374</v>
      </c>
      <c r="Q65" s="660"/>
      <c r="R65" s="660"/>
      <c r="S65" s="661"/>
      <c r="T65" s="644"/>
      <c r="U65" s="659" t="s">
        <v>374</v>
      </c>
      <c r="V65" s="660"/>
      <c r="W65" s="660"/>
      <c r="X65" s="661"/>
      <c r="Y65" s="644"/>
      <c r="Z65" s="659" t="s">
        <v>374</v>
      </c>
      <c r="AA65" s="660"/>
      <c r="AB65" s="660"/>
      <c r="AC65" s="661"/>
      <c r="AD65" s="644"/>
      <c r="AE65" s="659" t="s">
        <v>374</v>
      </c>
      <c r="AF65" s="660"/>
      <c r="AG65" s="660"/>
      <c r="AH65" s="661"/>
      <c r="AI65" s="644"/>
      <c r="AJ65" s="659" t="s">
        <v>374</v>
      </c>
      <c r="AK65" s="660"/>
      <c r="AL65" s="660"/>
      <c r="AM65" s="661"/>
      <c r="AN65" s="644"/>
      <c r="AO65" s="659" t="s">
        <v>374</v>
      </c>
      <c r="AP65" s="660"/>
      <c r="AQ65" s="660"/>
      <c r="AR65" s="661"/>
      <c r="AS65" s="644"/>
      <c r="AT65" s="659" t="s">
        <v>374</v>
      </c>
      <c r="AU65" s="660"/>
      <c r="AV65" s="660"/>
      <c r="AW65" s="661"/>
      <c r="AX65" s="644"/>
      <c r="BA65" s="641"/>
    </row>
    <row r="66" spans="2:53">
      <c r="B66" s="641"/>
      <c r="C66" s="675"/>
      <c r="D66" s="687"/>
      <c r="E66" s="522" t="s">
        <v>375</v>
      </c>
      <c r="F66" s="522" t="s">
        <v>376</v>
      </c>
      <c r="G66" s="522" t="s">
        <v>377</v>
      </c>
      <c r="H66" s="645"/>
      <c r="I66" s="521" t="s">
        <v>375</v>
      </c>
      <c r="J66" s="521" t="s">
        <v>376</v>
      </c>
      <c r="K66" s="521" t="s">
        <v>377</v>
      </c>
      <c r="L66" s="679"/>
      <c r="M66" s="679"/>
      <c r="N66" s="644"/>
      <c r="O66" s="644"/>
      <c r="P66" s="522" t="s">
        <v>375</v>
      </c>
      <c r="Q66" s="522" t="s">
        <v>376</v>
      </c>
      <c r="R66" s="522" t="s">
        <v>377</v>
      </c>
      <c r="S66" s="522" t="s">
        <v>367</v>
      </c>
      <c r="T66" s="645"/>
      <c r="U66" s="522" t="s">
        <v>375</v>
      </c>
      <c r="V66" s="522" t="s">
        <v>376</v>
      </c>
      <c r="W66" s="522" t="s">
        <v>377</v>
      </c>
      <c r="X66" s="522" t="s">
        <v>367</v>
      </c>
      <c r="Y66" s="645"/>
      <c r="Z66" s="522" t="s">
        <v>375</v>
      </c>
      <c r="AA66" s="522" t="s">
        <v>376</v>
      </c>
      <c r="AB66" s="522" t="s">
        <v>377</v>
      </c>
      <c r="AC66" s="522" t="s">
        <v>367</v>
      </c>
      <c r="AD66" s="645"/>
      <c r="AE66" s="522" t="s">
        <v>375</v>
      </c>
      <c r="AF66" s="522" t="s">
        <v>376</v>
      </c>
      <c r="AG66" s="522" t="s">
        <v>377</v>
      </c>
      <c r="AH66" s="522" t="s">
        <v>367</v>
      </c>
      <c r="AI66" s="645"/>
      <c r="AJ66" s="522" t="s">
        <v>375</v>
      </c>
      <c r="AK66" s="522" t="s">
        <v>376</v>
      </c>
      <c r="AL66" s="522" t="s">
        <v>377</v>
      </c>
      <c r="AM66" s="522" t="s">
        <v>367</v>
      </c>
      <c r="AN66" s="645"/>
      <c r="AO66" s="522" t="s">
        <v>375</v>
      </c>
      <c r="AP66" s="522" t="s">
        <v>376</v>
      </c>
      <c r="AQ66" s="522" t="s">
        <v>377</v>
      </c>
      <c r="AR66" s="522" t="s">
        <v>367</v>
      </c>
      <c r="AS66" s="645"/>
      <c r="AT66" s="522" t="s">
        <v>375</v>
      </c>
      <c r="AU66" s="522" t="s">
        <v>376</v>
      </c>
      <c r="AV66" s="522" t="s">
        <v>377</v>
      </c>
      <c r="AW66" s="522" t="s">
        <v>367</v>
      </c>
      <c r="AX66" s="645"/>
      <c r="AZ66" s="367" t="s">
        <v>367</v>
      </c>
      <c r="BA66" s="641"/>
    </row>
    <row r="67" spans="2:53">
      <c r="B67" s="641" t="s">
        <v>380</v>
      </c>
      <c r="C67" s="523">
        <v>1</v>
      </c>
      <c r="D67" s="225" t="s">
        <v>694</v>
      </c>
      <c r="E67" s="524">
        <v>15</v>
      </c>
      <c r="F67" s="523">
        <v>2000</v>
      </c>
      <c r="G67" s="525">
        <v>100</v>
      </c>
      <c r="H67" s="636">
        <f>AVERAGE(G67:G81)</f>
        <v>100</v>
      </c>
      <c r="I67" s="526">
        <f t="shared" ref="I67:I80" si="57">IFERROR(AVERAGE(P67,U67,Z67,AE67,AJ67,AO67,AT67),"-")</f>
        <v>13</v>
      </c>
      <c r="J67" s="526">
        <f t="shared" ref="J67:J80" si="58">IFERROR(AVERAGE(Q67,V67,AA67,AF67,AK67,AP67,AU67),"-")</f>
        <v>1996.7499999999986</v>
      </c>
      <c r="K67" s="199">
        <f t="shared" ref="K67:K80" si="59">IFERROR(AVERAGE(R67,W67,AB67,AG67,AL67,AQ67,AV67),"-")</f>
        <v>153.59615384615375</v>
      </c>
      <c r="L67" s="695">
        <f>IFERROR(AVERAGE(K67:K81),"-")</f>
        <v>149.76730769230755</v>
      </c>
      <c r="M67" s="527">
        <f>RANK(K67, K$67:$K$81)</f>
        <v>1</v>
      </c>
      <c r="N67" s="644"/>
      <c r="O67" s="644"/>
      <c r="P67" s="575">
        <v>13</v>
      </c>
      <c r="Q67" s="577">
        <v>2075.9999999999991</v>
      </c>
      <c r="R67" s="577">
        <v>159.69230769230762</v>
      </c>
      <c r="S67" s="575">
        <f t="shared" ref="S67:S81" si="60">RANK(R67, R$67:R$81)</f>
        <v>1</v>
      </c>
      <c r="T67" s="636">
        <f t="shared" ref="T67" si="61">AVERAGE(R67:R81)</f>
        <v>152.81538461538449</v>
      </c>
      <c r="U67" s="575">
        <v>13</v>
      </c>
      <c r="V67" s="577">
        <v>2024.9999999999991</v>
      </c>
      <c r="W67" s="577">
        <v>155.76923076923069</v>
      </c>
      <c r="X67" s="575">
        <f t="shared" ref="X67:X81" si="62">RANK(W67, W$67:W$81)</f>
        <v>1</v>
      </c>
      <c r="Y67" s="636">
        <f t="shared" ref="Y67" si="63">AVERAGE(W67:W81)</f>
        <v>155.76923076923069</v>
      </c>
      <c r="Z67" s="575">
        <v>13</v>
      </c>
      <c r="AA67" s="577">
        <v>2117.9999999999995</v>
      </c>
      <c r="AB67" s="577">
        <v>162.92307692307688</v>
      </c>
      <c r="AC67" s="575">
        <f t="shared" ref="AC67:AC81" si="64">RANK(AB67, AB$67:AB$81)</f>
        <v>1</v>
      </c>
      <c r="AD67" s="636">
        <f t="shared" ref="AD67" si="65">AVERAGE(AB67:AB81)</f>
        <v>162.92307692307688</v>
      </c>
      <c r="AE67" s="575">
        <v>13</v>
      </c>
      <c r="AF67" s="577">
        <v>1767.9999999999968</v>
      </c>
      <c r="AG67" s="577">
        <v>135.99999999999974</v>
      </c>
      <c r="AH67" s="575">
        <f t="shared" ref="AH67:AH81" si="66">RANK(AG67, AG$67:AG$81)</f>
        <v>1</v>
      </c>
      <c r="AI67" s="636">
        <f t="shared" ref="AI67" si="67">AVERAGE(AG67:AG81)</f>
        <v>135.99999999999974</v>
      </c>
      <c r="AJ67" s="575" t="s">
        <v>585</v>
      </c>
      <c r="AK67" s="577" t="s">
        <v>585</v>
      </c>
      <c r="AL67" s="577" t="s">
        <v>585</v>
      </c>
      <c r="AM67" s="575" t="e">
        <f t="shared" ref="AM67:AM81" si="68">RANK(AL67, AL$67:AL$81)</f>
        <v>#VALUE!</v>
      </c>
      <c r="AN67" s="636" t="e">
        <f t="shared" ref="AN67" si="69">AVERAGE(AL67:AL81)</f>
        <v>#DIV/0!</v>
      </c>
      <c r="AO67" s="575" t="s">
        <v>585</v>
      </c>
      <c r="AP67" s="577" t="s">
        <v>585</v>
      </c>
      <c r="AQ67" s="577" t="s">
        <v>585</v>
      </c>
      <c r="AR67" s="575" t="e">
        <f t="shared" ref="AR67:AR81" si="70">RANK(AQ67, AQ$67:AQ$81)</f>
        <v>#VALUE!</v>
      </c>
      <c r="AS67" s="636" t="e">
        <f t="shared" ref="AS67" si="71">AVERAGE(AQ67:AQ81)</f>
        <v>#DIV/0!</v>
      </c>
      <c r="AT67" s="575" t="s">
        <v>585</v>
      </c>
      <c r="AU67" s="577" t="s">
        <v>585</v>
      </c>
      <c r="AV67" s="577" t="s">
        <v>585</v>
      </c>
      <c r="AW67" s="575" t="e">
        <f t="shared" ref="AW67:AW81" si="72">RANK(AV67, AV$67:AV$81)</f>
        <v>#VALUE!</v>
      </c>
      <c r="AX67" s="636" t="e">
        <f t="shared" ref="AX67" si="73">AVERAGE(AV67:AV81)</f>
        <v>#DIV/0!</v>
      </c>
      <c r="AZ67" s="368" t="e">
        <f t="shared" ref="AZ67:AZ81" si="74">RANK(AY67, AY$67:AY$81)</f>
        <v>#N/A</v>
      </c>
      <c r="BA67" s="636" t="e">
        <f t="shared" ref="BA67" si="75">AVERAGE(AY67:AY81)</f>
        <v>#DIV/0!</v>
      </c>
    </row>
    <row r="68" spans="2:53">
      <c r="B68" s="647"/>
      <c r="C68" s="523">
        <v>2</v>
      </c>
      <c r="D68" s="225" t="s">
        <v>705</v>
      </c>
      <c r="E68" s="524">
        <v>13</v>
      </c>
      <c r="F68" s="523">
        <v>2000</v>
      </c>
      <c r="G68" s="525">
        <v>100</v>
      </c>
      <c r="H68" s="637"/>
      <c r="I68" s="526">
        <f t="shared" si="57"/>
        <v>13</v>
      </c>
      <c r="J68" s="526">
        <f t="shared" si="58"/>
        <v>1897.1999999999975</v>
      </c>
      <c r="K68" s="199">
        <f t="shared" si="59"/>
        <v>145.93846153846135</v>
      </c>
      <c r="L68" s="696"/>
      <c r="M68" s="527">
        <f>RANK(K68, K$67:$K$81)</f>
        <v>2</v>
      </c>
      <c r="N68" s="644"/>
      <c r="O68" s="644"/>
      <c r="P68" s="575">
        <v>13</v>
      </c>
      <c r="Q68" s="577">
        <v>1897.1999999999975</v>
      </c>
      <c r="R68" s="577">
        <v>145.93846153846135</v>
      </c>
      <c r="S68" s="575">
        <f t="shared" si="60"/>
        <v>2</v>
      </c>
      <c r="T68" s="637"/>
      <c r="U68" s="575" t="s">
        <v>585</v>
      </c>
      <c r="V68" s="577" t="s">
        <v>585</v>
      </c>
      <c r="W68" s="577" t="s">
        <v>585</v>
      </c>
      <c r="X68" s="575" t="e">
        <f t="shared" si="62"/>
        <v>#VALUE!</v>
      </c>
      <c r="Y68" s="637"/>
      <c r="Z68" s="575" t="s">
        <v>585</v>
      </c>
      <c r="AA68" s="577" t="s">
        <v>585</v>
      </c>
      <c r="AB68" s="577" t="s">
        <v>585</v>
      </c>
      <c r="AC68" s="575" t="e">
        <f t="shared" si="64"/>
        <v>#VALUE!</v>
      </c>
      <c r="AD68" s="637"/>
      <c r="AE68" s="575" t="s">
        <v>585</v>
      </c>
      <c r="AF68" s="577" t="s">
        <v>585</v>
      </c>
      <c r="AG68" s="577" t="s">
        <v>585</v>
      </c>
      <c r="AH68" s="575" t="e">
        <f t="shared" si="66"/>
        <v>#VALUE!</v>
      </c>
      <c r="AI68" s="637"/>
      <c r="AJ68" s="575" t="s">
        <v>585</v>
      </c>
      <c r="AK68" s="577" t="s">
        <v>585</v>
      </c>
      <c r="AL68" s="577" t="s">
        <v>585</v>
      </c>
      <c r="AM68" s="575" t="e">
        <f t="shared" si="68"/>
        <v>#VALUE!</v>
      </c>
      <c r="AN68" s="637"/>
      <c r="AO68" s="575" t="s">
        <v>585</v>
      </c>
      <c r="AP68" s="577" t="s">
        <v>585</v>
      </c>
      <c r="AQ68" s="577" t="s">
        <v>585</v>
      </c>
      <c r="AR68" s="575" t="e">
        <f t="shared" si="70"/>
        <v>#VALUE!</v>
      </c>
      <c r="AS68" s="637"/>
      <c r="AT68" s="575" t="s">
        <v>585</v>
      </c>
      <c r="AU68" s="577" t="s">
        <v>585</v>
      </c>
      <c r="AV68" s="577" t="s">
        <v>585</v>
      </c>
      <c r="AW68" s="575" t="e">
        <f t="shared" si="72"/>
        <v>#VALUE!</v>
      </c>
      <c r="AX68" s="637"/>
      <c r="AZ68" s="368" t="e">
        <f t="shared" si="74"/>
        <v>#N/A</v>
      </c>
      <c r="BA68" s="637"/>
    </row>
    <row r="69" spans="2:53">
      <c r="B69" s="647"/>
      <c r="C69" s="523">
        <v>3</v>
      </c>
      <c r="D69" s="225"/>
      <c r="E69" s="524"/>
      <c r="F69" s="523"/>
      <c r="G69" s="525"/>
      <c r="H69" s="637"/>
      <c r="I69" s="526" t="str">
        <f t="shared" si="57"/>
        <v>-</v>
      </c>
      <c r="J69" s="526" t="str">
        <f t="shared" si="58"/>
        <v>-</v>
      </c>
      <c r="K69" s="199" t="str">
        <f t="shared" si="59"/>
        <v>-</v>
      </c>
      <c r="L69" s="696"/>
      <c r="M69" s="527" t="e">
        <f>RANK(K69, K$87:$K$101)</f>
        <v>#VALUE!</v>
      </c>
      <c r="N69" s="644"/>
      <c r="O69" s="644"/>
      <c r="P69" s="575" t="s">
        <v>585</v>
      </c>
      <c r="Q69" s="577" t="s">
        <v>585</v>
      </c>
      <c r="R69" s="577" t="s">
        <v>585</v>
      </c>
      <c r="S69" s="575" t="e">
        <f t="shared" si="60"/>
        <v>#VALUE!</v>
      </c>
      <c r="T69" s="637"/>
      <c r="U69" s="575" t="s">
        <v>585</v>
      </c>
      <c r="V69" s="577" t="s">
        <v>585</v>
      </c>
      <c r="W69" s="577" t="s">
        <v>585</v>
      </c>
      <c r="X69" s="575" t="e">
        <f t="shared" si="62"/>
        <v>#VALUE!</v>
      </c>
      <c r="Y69" s="637"/>
      <c r="Z69" s="575" t="s">
        <v>585</v>
      </c>
      <c r="AA69" s="577" t="s">
        <v>585</v>
      </c>
      <c r="AB69" s="577" t="s">
        <v>585</v>
      </c>
      <c r="AC69" s="575" t="e">
        <f t="shared" si="64"/>
        <v>#VALUE!</v>
      </c>
      <c r="AD69" s="637"/>
      <c r="AE69" s="575" t="s">
        <v>585</v>
      </c>
      <c r="AF69" s="577" t="s">
        <v>585</v>
      </c>
      <c r="AG69" s="577" t="s">
        <v>585</v>
      </c>
      <c r="AH69" s="575" t="e">
        <f t="shared" si="66"/>
        <v>#VALUE!</v>
      </c>
      <c r="AI69" s="637"/>
      <c r="AJ69" s="575" t="s">
        <v>585</v>
      </c>
      <c r="AK69" s="577" t="s">
        <v>585</v>
      </c>
      <c r="AL69" s="577" t="s">
        <v>585</v>
      </c>
      <c r="AM69" s="575" t="e">
        <f t="shared" si="68"/>
        <v>#VALUE!</v>
      </c>
      <c r="AN69" s="637"/>
      <c r="AO69" s="575" t="s">
        <v>585</v>
      </c>
      <c r="AP69" s="577" t="s">
        <v>585</v>
      </c>
      <c r="AQ69" s="577" t="s">
        <v>585</v>
      </c>
      <c r="AR69" s="575" t="e">
        <f t="shared" si="70"/>
        <v>#VALUE!</v>
      </c>
      <c r="AS69" s="637"/>
      <c r="AT69" s="575" t="s">
        <v>585</v>
      </c>
      <c r="AU69" s="577" t="s">
        <v>585</v>
      </c>
      <c r="AV69" s="577" t="s">
        <v>585</v>
      </c>
      <c r="AW69" s="575" t="e">
        <f t="shared" si="72"/>
        <v>#VALUE!</v>
      </c>
      <c r="AX69" s="637"/>
      <c r="AZ69" s="368" t="e">
        <f t="shared" si="74"/>
        <v>#N/A</v>
      </c>
      <c r="BA69" s="637"/>
    </row>
    <row r="70" spans="2:53">
      <c r="B70" s="647"/>
      <c r="C70" s="523">
        <v>4</v>
      </c>
      <c r="D70" s="225"/>
      <c r="E70" s="524"/>
      <c r="F70" s="523"/>
      <c r="G70" s="525"/>
      <c r="H70" s="637"/>
      <c r="I70" s="526" t="str">
        <f t="shared" si="57"/>
        <v>-</v>
      </c>
      <c r="J70" s="526" t="str">
        <f t="shared" si="58"/>
        <v>-</v>
      </c>
      <c r="K70" s="199" t="str">
        <f t="shared" si="59"/>
        <v>-</v>
      </c>
      <c r="L70" s="696"/>
      <c r="M70" s="527" t="e">
        <f>RANK(K70, K$87:$K$101)</f>
        <v>#VALUE!</v>
      </c>
      <c r="N70" s="644"/>
      <c r="O70" s="644"/>
      <c r="P70" s="575" t="s">
        <v>585</v>
      </c>
      <c r="Q70" s="577" t="s">
        <v>585</v>
      </c>
      <c r="R70" s="577" t="s">
        <v>585</v>
      </c>
      <c r="S70" s="575" t="e">
        <f t="shared" si="60"/>
        <v>#VALUE!</v>
      </c>
      <c r="T70" s="637"/>
      <c r="U70" s="575" t="s">
        <v>585</v>
      </c>
      <c r="V70" s="577" t="s">
        <v>585</v>
      </c>
      <c r="W70" s="577" t="s">
        <v>585</v>
      </c>
      <c r="X70" s="575" t="e">
        <f t="shared" si="62"/>
        <v>#VALUE!</v>
      </c>
      <c r="Y70" s="637"/>
      <c r="Z70" s="575" t="s">
        <v>585</v>
      </c>
      <c r="AA70" s="577" t="s">
        <v>585</v>
      </c>
      <c r="AB70" s="577" t="s">
        <v>585</v>
      </c>
      <c r="AC70" s="575" t="e">
        <f t="shared" si="64"/>
        <v>#VALUE!</v>
      </c>
      <c r="AD70" s="637"/>
      <c r="AE70" s="575" t="s">
        <v>585</v>
      </c>
      <c r="AF70" s="577" t="s">
        <v>585</v>
      </c>
      <c r="AG70" s="577" t="s">
        <v>585</v>
      </c>
      <c r="AH70" s="575" t="e">
        <f t="shared" si="66"/>
        <v>#VALUE!</v>
      </c>
      <c r="AI70" s="637"/>
      <c r="AJ70" s="575" t="s">
        <v>585</v>
      </c>
      <c r="AK70" s="577" t="s">
        <v>585</v>
      </c>
      <c r="AL70" s="577" t="s">
        <v>585</v>
      </c>
      <c r="AM70" s="575" t="e">
        <f t="shared" si="68"/>
        <v>#VALUE!</v>
      </c>
      <c r="AN70" s="637"/>
      <c r="AO70" s="575" t="s">
        <v>585</v>
      </c>
      <c r="AP70" s="577" t="s">
        <v>585</v>
      </c>
      <c r="AQ70" s="577" t="s">
        <v>585</v>
      </c>
      <c r="AR70" s="575" t="e">
        <f t="shared" si="70"/>
        <v>#VALUE!</v>
      </c>
      <c r="AS70" s="637"/>
      <c r="AT70" s="575" t="s">
        <v>585</v>
      </c>
      <c r="AU70" s="577" t="s">
        <v>585</v>
      </c>
      <c r="AV70" s="577" t="s">
        <v>585</v>
      </c>
      <c r="AW70" s="575" t="e">
        <f t="shared" si="72"/>
        <v>#VALUE!</v>
      </c>
      <c r="AX70" s="637"/>
      <c r="AZ70" s="368" t="e">
        <f t="shared" si="74"/>
        <v>#N/A</v>
      </c>
      <c r="BA70" s="637"/>
    </row>
    <row r="71" spans="2:53">
      <c r="B71" s="647"/>
      <c r="C71" s="523">
        <v>5</v>
      </c>
      <c r="D71" s="225"/>
      <c r="E71" s="524"/>
      <c r="F71" s="523"/>
      <c r="G71" s="525"/>
      <c r="H71" s="637"/>
      <c r="I71" s="526" t="str">
        <f t="shared" si="57"/>
        <v>-</v>
      </c>
      <c r="J71" s="526" t="str">
        <f t="shared" si="58"/>
        <v>-</v>
      </c>
      <c r="K71" s="199" t="str">
        <f t="shared" si="59"/>
        <v>-</v>
      </c>
      <c r="L71" s="696"/>
      <c r="M71" s="527" t="e">
        <f>RANK(K71, K$87:$K$101)</f>
        <v>#VALUE!</v>
      </c>
      <c r="N71" s="644"/>
      <c r="O71" s="644"/>
      <c r="P71" s="575" t="s">
        <v>585</v>
      </c>
      <c r="Q71" s="577" t="s">
        <v>585</v>
      </c>
      <c r="R71" s="577" t="s">
        <v>585</v>
      </c>
      <c r="S71" s="575" t="e">
        <f t="shared" si="60"/>
        <v>#VALUE!</v>
      </c>
      <c r="T71" s="637"/>
      <c r="U71" s="575" t="s">
        <v>585</v>
      </c>
      <c r="V71" s="577" t="s">
        <v>585</v>
      </c>
      <c r="W71" s="577" t="s">
        <v>585</v>
      </c>
      <c r="X71" s="575" t="e">
        <f t="shared" si="62"/>
        <v>#VALUE!</v>
      </c>
      <c r="Y71" s="637"/>
      <c r="Z71" s="575" t="s">
        <v>585</v>
      </c>
      <c r="AA71" s="577" t="s">
        <v>585</v>
      </c>
      <c r="AB71" s="577" t="s">
        <v>585</v>
      </c>
      <c r="AC71" s="575" t="e">
        <f t="shared" si="64"/>
        <v>#VALUE!</v>
      </c>
      <c r="AD71" s="637"/>
      <c r="AE71" s="575" t="s">
        <v>585</v>
      </c>
      <c r="AF71" s="577" t="s">
        <v>585</v>
      </c>
      <c r="AG71" s="577" t="s">
        <v>585</v>
      </c>
      <c r="AH71" s="575" t="e">
        <f t="shared" si="66"/>
        <v>#VALUE!</v>
      </c>
      <c r="AI71" s="637"/>
      <c r="AJ71" s="575" t="s">
        <v>585</v>
      </c>
      <c r="AK71" s="577" t="s">
        <v>585</v>
      </c>
      <c r="AL71" s="577" t="s">
        <v>585</v>
      </c>
      <c r="AM71" s="575" t="e">
        <f t="shared" si="68"/>
        <v>#VALUE!</v>
      </c>
      <c r="AN71" s="637"/>
      <c r="AO71" s="575" t="s">
        <v>585</v>
      </c>
      <c r="AP71" s="577" t="s">
        <v>585</v>
      </c>
      <c r="AQ71" s="577" t="s">
        <v>585</v>
      </c>
      <c r="AR71" s="575" t="e">
        <f t="shared" si="70"/>
        <v>#VALUE!</v>
      </c>
      <c r="AS71" s="637"/>
      <c r="AT71" s="575" t="s">
        <v>585</v>
      </c>
      <c r="AU71" s="577" t="s">
        <v>585</v>
      </c>
      <c r="AV71" s="577" t="s">
        <v>585</v>
      </c>
      <c r="AW71" s="575" t="e">
        <f t="shared" si="72"/>
        <v>#VALUE!</v>
      </c>
      <c r="AX71" s="637"/>
      <c r="AZ71" s="368" t="e">
        <f t="shared" si="74"/>
        <v>#N/A</v>
      </c>
      <c r="BA71" s="637"/>
    </row>
    <row r="72" spans="2:53">
      <c r="B72" s="647"/>
      <c r="C72" s="523">
        <v>6</v>
      </c>
      <c r="D72" s="225"/>
      <c r="E72" s="524"/>
      <c r="F72" s="523"/>
      <c r="G72" s="525"/>
      <c r="H72" s="637"/>
      <c r="I72" s="526" t="str">
        <f t="shared" si="57"/>
        <v>-</v>
      </c>
      <c r="J72" s="526" t="str">
        <f t="shared" si="58"/>
        <v>-</v>
      </c>
      <c r="K72" s="199" t="str">
        <f t="shared" si="59"/>
        <v>-</v>
      </c>
      <c r="L72" s="696"/>
      <c r="M72" s="527" t="e">
        <f>RANK(K72, K$87:$K$101)</f>
        <v>#VALUE!</v>
      </c>
      <c r="N72" s="644"/>
      <c r="O72" s="644"/>
      <c r="P72" s="575" t="s">
        <v>585</v>
      </c>
      <c r="Q72" s="577" t="s">
        <v>585</v>
      </c>
      <c r="R72" s="577" t="s">
        <v>585</v>
      </c>
      <c r="S72" s="575" t="e">
        <f t="shared" si="60"/>
        <v>#VALUE!</v>
      </c>
      <c r="T72" s="637"/>
      <c r="U72" s="575" t="s">
        <v>585</v>
      </c>
      <c r="V72" s="577" t="s">
        <v>585</v>
      </c>
      <c r="W72" s="577" t="s">
        <v>585</v>
      </c>
      <c r="X72" s="575" t="e">
        <f t="shared" si="62"/>
        <v>#VALUE!</v>
      </c>
      <c r="Y72" s="637"/>
      <c r="Z72" s="575" t="s">
        <v>585</v>
      </c>
      <c r="AA72" s="577" t="s">
        <v>585</v>
      </c>
      <c r="AB72" s="577" t="s">
        <v>585</v>
      </c>
      <c r="AC72" s="575" t="e">
        <f t="shared" si="64"/>
        <v>#VALUE!</v>
      </c>
      <c r="AD72" s="637"/>
      <c r="AE72" s="575" t="s">
        <v>585</v>
      </c>
      <c r="AF72" s="577" t="s">
        <v>585</v>
      </c>
      <c r="AG72" s="577" t="s">
        <v>585</v>
      </c>
      <c r="AH72" s="575" t="e">
        <f t="shared" si="66"/>
        <v>#VALUE!</v>
      </c>
      <c r="AI72" s="637"/>
      <c r="AJ72" s="575" t="s">
        <v>585</v>
      </c>
      <c r="AK72" s="577" t="s">
        <v>585</v>
      </c>
      <c r="AL72" s="577" t="s">
        <v>585</v>
      </c>
      <c r="AM72" s="575" t="e">
        <f t="shared" si="68"/>
        <v>#VALUE!</v>
      </c>
      <c r="AN72" s="637"/>
      <c r="AO72" s="575" t="s">
        <v>585</v>
      </c>
      <c r="AP72" s="577" t="s">
        <v>585</v>
      </c>
      <c r="AQ72" s="577" t="s">
        <v>585</v>
      </c>
      <c r="AR72" s="575" t="e">
        <f t="shared" si="70"/>
        <v>#VALUE!</v>
      </c>
      <c r="AS72" s="637"/>
      <c r="AT72" s="575" t="s">
        <v>585</v>
      </c>
      <c r="AU72" s="577" t="s">
        <v>585</v>
      </c>
      <c r="AV72" s="577" t="s">
        <v>585</v>
      </c>
      <c r="AW72" s="575" t="e">
        <f t="shared" si="72"/>
        <v>#VALUE!</v>
      </c>
      <c r="AX72" s="637"/>
      <c r="AZ72" s="368" t="e">
        <f t="shared" si="74"/>
        <v>#N/A</v>
      </c>
      <c r="BA72" s="637"/>
    </row>
    <row r="73" spans="2:53">
      <c r="B73" s="647"/>
      <c r="C73" s="523">
        <v>7</v>
      </c>
      <c r="D73" s="225"/>
      <c r="E73" s="524"/>
      <c r="F73" s="523"/>
      <c r="G73" s="525"/>
      <c r="H73" s="637"/>
      <c r="I73" s="526" t="str">
        <f t="shared" si="57"/>
        <v>-</v>
      </c>
      <c r="J73" s="526" t="str">
        <f t="shared" si="58"/>
        <v>-</v>
      </c>
      <c r="K73" s="199" t="str">
        <f t="shared" si="59"/>
        <v>-</v>
      </c>
      <c r="L73" s="696"/>
      <c r="M73" s="527" t="e">
        <f>RANK(K73, K$87:$K$101)</f>
        <v>#VALUE!</v>
      </c>
      <c r="N73" s="644"/>
      <c r="O73" s="644"/>
      <c r="P73" s="575" t="s">
        <v>585</v>
      </c>
      <c r="Q73" s="577" t="s">
        <v>585</v>
      </c>
      <c r="R73" s="577" t="s">
        <v>585</v>
      </c>
      <c r="S73" s="575" t="e">
        <f t="shared" si="60"/>
        <v>#VALUE!</v>
      </c>
      <c r="T73" s="637"/>
      <c r="U73" s="575" t="s">
        <v>585</v>
      </c>
      <c r="V73" s="577" t="s">
        <v>585</v>
      </c>
      <c r="W73" s="577" t="s">
        <v>585</v>
      </c>
      <c r="X73" s="575" t="e">
        <f t="shared" si="62"/>
        <v>#VALUE!</v>
      </c>
      <c r="Y73" s="637"/>
      <c r="Z73" s="575" t="s">
        <v>585</v>
      </c>
      <c r="AA73" s="577" t="s">
        <v>585</v>
      </c>
      <c r="AB73" s="577" t="s">
        <v>585</v>
      </c>
      <c r="AC73" s="575" t="e">
        <f t="shared" si="64"/>
        <v>#VALUE!</v>
      </c>
      <c r="AD73" s="637"/>
      <c r="AE73" s="575" t="s">
        <v>585</v>
      </c>
      <c r="AF73" s="577" t="s">
        <v>585</v>
      </c>
      <c r="AG73" s="577" t="s">
        <v>585</v>
      </c>
      <c r="AH73" s="575" t="e">
        <f t="shared" si="66"/>
        <v>#VALUE!</v>
      </c>
      <c r="AI73" s="637"/>
      <c r="AJ73" s="575" t="s">
        <v>585</v>
      </c>
      <c r="AK73" s="577" t="s">
        <v>585</v>
      </c>
      <c r="AL73" s="577" t="s">
        <v>585</v>
      </c>
      <c r="AM73" s="575" t="e">
        <f t="shared" si="68"/>
        <v>#VALUE!</v>
      </c>
      <c r="AN73" s="637"/>
      <c r="AO73" s="575" t="s">
        <v>585</v>
      </c>
      <c r="AP73" s="577" t="s">
        <v>585</v>
      </c>
      <c r="AQ73" s="577" t="s">
        <v>585</v>
      </c>
      <c r="AR73" s="575" t="e">
        <f t="shared" si="70"/>
        <v>#VALUE!</v>
      </c>
      <c r="AS73" s="637"/>
      <c r="AT73" s="575" t="s">
        <v>585</v>
      </c>
      <c r="AU73" s="577" t="s">
        <v>585</v>
      </c>
      <c r="AV73" s="577" t="s">
        <v>585</v>
      </c>
      <c r="AW73" s="575" t="e">
        <f t="shared" si="72"/>
        <v>#VALUE!</v>
      </c>
      <c r="AX73" s="637"/>
      <c r="AZ73" s="368" t="e">
        <f t="shared" si="74"/>
        <v>#N/A</v>
      </c>
      <c r="BA73" s="637"/>
    </row>
    <row r="74" spans="2:53">
      <c r="B74" s="647"/>
      <c r="C74" s="523">
        <v>8</v>
      </c>
      <c r="D74" s="225"/>
      <c r="E74" s="524"/>
      <c r="F74" s="523"/>
      <c r="G74" s="525"/>
      <c r="H74" s="637"/>
      <c r="I74" s="526" t="str">
        <f t="shared" si="57"/>
        <v>-</v>
      </c>
      <c r="J74" s="526" t="str">
        <f t="shared" si="58"/>
        <v>-</v>
      </c>
      <c r="K74" s="199" t="str">
        <f t="shared" si="59"/>
        <v>-</v>
      </c>
      <c r="L74" s="696"/>
      <c r="M74" s="527" t="e">
        <f>RANK(K74, K$87:$K$101)</f>
        <v>#VALUE!</v>
      </c>
      <c r="N74" s="644"/>
      <c r="O74" s="644"/>
      <c r="P74" s="575" t="s">
        <v>585</v>
      </c>
      <c r="Q74" s="577" t="s">
        <v>585</v>
      </c>
      <c r="R74" s="577" t="s">
        <v>585</v>
      </c>
      <c r="S74" s="575" t="e">
        <f t="shared" si="60"/>
        <v>#VALUE!</v>
      </c>
      <c r="T74" s="637"/>
      <c r="U74" s="575" t="s">
        <v>585</v>
      </c>
      <c r="V74" s="577" t="s">
        <v>585</v>
      </c>
      <c r="W74" s="577" t="s">
        <v>585</v>
      </c>
      <c r="X74" s="575" t="e">
        <f t="shared" si="62"/>
        <v>#VALUE!</v>
      </c>
      <c r="Y74" s="637"/>
      <c r="Z74" s="575" t="s">
        <v>585</v>
      </c>
      <c r="AA74" s="577" t="s">
        <v>585</v>
      </c>
      <c r="AB74" s="577" t="s">
        <v>585</v>
      </c>
      <c r="AC74" s="575" t="e">
        <f t="shared" si="64"/>
        <v>#VALUE!</v>
      </c>
      <c r="AD74" s="637"/>
      <c r="AE74" s="575" t="s">
        <v>585</v>
      </c>
      <c r="AF74" s="577" t="s">
        <v>585</v>
      </c>
      <c r="AG74" s="577" t="s">
        <v>585</v>
      </c>
      <c r="AH74" s="575" t="e">
        <f t="shared" si="66"/>
        <v>#VALUE!</v>
      </c>
      <c r="AI74" s="637"/>
      <c r="AJ74" s="575" t="s">
        <v>585</v>
      </c>
      <c r="AK74" s="577" t="s">
        <v>585</v>
      </c>
      <c r="AL74" s="577" t="s">
        <v>585</v>
      </c>
      <c r="AM74" s="575" t="e">
        <f t="shared" si="68"/>
        <v>#VALUE!</v>
      </c>
      <c r="AN74" s="637"/>
      <c r="AO74" s="575" t="s">
        <v>585</v>
      </c>
      <c r="AP74" s="577" t="s">
        <v>585</v>
      </c>
      <c r="AQ74" s="577" t="s">
        <v>585</v>
      </c>
      <c r="AR74" s="575" t="e">
        <f t="shared" si="70"/>
        <v>#VALUE!</v>
      </c>
      <c r="AS74" s="637"/>
      <c r="AT74" s="575" t="s">
        <v>585</v>
      </c>
      <c r="AU74" s="577" t="s">
        <v>585</v>
      </c>
      <c r="AV74" s="577" t="s">
        <v>585</v>
      </c>
      <c r="AW74" s="575" t="e">
        <f t="shared" si="72"/>
        <v>#VALUE!</v>
      </c>
      <c r="AX74" s="637"/>
      <c r="AZ74" s="368" t="e">
        <f t="shared" si="74"/>
        <v>#N/A</v>
      </c>
      <c r="BA74" s="637"/>
    </row>
    <row r="75" spans="2:53">
      <c r="B75" s="647"/>
      <c r="C75" s="523">
        <v>9</v>
      </c>
      <c r="D75" s="225"/>
      <c r="E75" s="524"/>
      <c r="F75" s="523"/>
      <c r="G75" s="525"/>
      <c r="H75" s="637"/>
      <c r="I75" s="526" t="str">
        <f t="shared" si="57"/>
        <v>-</v>
      </c>
      <c r="J75" s="526" t="str">
        <f t="shared" si="58"/>
        <v>-</v>
      </c>
      <c r="K75" s="199" t="str">
        <f t="shared" si="59"/>
        <v>-</v>
      </c>
      <c r="L75" s="696"/>
      <c r="M75" s="527" t="e">
        <f>RANK(K75, K$87:$K$101)</f>
        <v>#VALUE!</v>
      </c>
      <c r="N75" s="644"/>
      <c r="O75" s="644"/>
      <c r="P75" s="575" t="s">
        <v>585</v>
      </c>
      <c r="Q75" s="577" t="s">
        <v>585</v>
      </c>
      <c r="R75" s="577" t="s">
        <v>585</v>
      </c>
      <c r="S75" s="575" t="e">
        <f t="shared" si="60"/>
        <v>#VALUE!</v>
      </c>
      <c r="T75" s="637"/>
      <c r="U75" s="575" t="s">
        <v>585</v>
      </c>
      <c r="V75" s="577" t="s">
        <v>585</v>
      </c>
      <c r="W75" s="577" t="s">
        <v>585</v>
      </c>
      <c r="X75" s="575" t="e">
        <f t="shared" si="62"/>
        <v>#VALUE!</v>
      </c>
      <c r="Y75" s="637"/>
      <c r="Z75" s="575" t="s">
        <v>585</v>
      </c>
      <c r="AA75" s="577" t="s">
        <v>585</v>
      </c>
      <c r="AB75" s="577" t="s">
        <v>585</v>
      </c>
      <c r="AC75" s="575" t="e">
        <f t="shared" si="64"/>
        <v>#VALUE!</v>
      </c>
      <c r="AD75" s="637"/>
      <c r="AE75" s="575" t="s">
        <v>585</v>
      </c>
      <c r="AF75" s="577" t="s">
        <v>585</v>
      </c>
      <c r="AG75" s="577" t="s">
        <v>585</v>
      </c>
      <c r="AH75" s="575" t="e">
        <f t="shared" si="66"/>
        <v>#VALUE!</v>
      </c>
      <c r="AI75" s="637"/>
      <c r="AJ75" s="575" t="s">
        <v>585</v>
      </c>
      <c r="AK75" s="577" t="s">
        <v>585</v>
      </c>
      <c r="AL75" s="577" t="s">
        <v>585</v>
      </c>
      <c r="AM75" s="575" t="e">
        <f t="shared" si="68"/>
        <v>#VALUE!</v>
      </c>
      <c r="AN75" s="637"/>
      <c r="AO75" s="575" t="s">
        <v>585</v>
      </c>
      <c r="AP75" s="577" t="s">
        <v>585</v>
      </c>
      <c r="AQ75" s="577" t="s">
        <v>585</v>
      </c>
      <c r="AR75" s="575" t="e">
        <f t="shared" si="70"/>
        <v>#VALUE!</v>
      </c>
      <c r="AS75" s="637"/>
      <c r="AT75" s="575" t="s">
        <v>585</v>
      </c>
      <c r="AU75" s="577" t="s">
        <v>585</v>
      </c>
      <c r="AV75" s="577" t="s">
        <v>585</v>
      </c>
      <c r="AW75" s="575" t="e">
        <f t="shared" si="72"/>
        <v>#VALUE!</v>
      </c>
      <c r="AX75" s="637"/>
      <c r="AZ75" s="368" t="e">
        <f t="shared" si="74"/>
        <v>#N/A</v>
      </c>
      <c r="BA75" s="637"/>
    </row>
    <row r="76" spans="2:53">
      <c r="B76" s="647"/>
      <c r="C76" s="523">
        <v>10</v>
      </c>
      <c r="D76" s="225"/>
      <c r="E76" s="524"/>
      <c r="F76" s="523"/>
      <c r="G76" s="525"/>
      <c r="H76" s="637"/>
      <c r="I76" s="526" t="str">
        <f t="shared" si="57"/>
        <v>-</v>
      </c>
      <c r="J76" s="526" t="str">
        <f t="shared" si="58"/>
        <v>-</v>
      </c>
      <c r="K76" s="199" t="str">
        <f t="shared" si="59"/>
        <v>-</v>
      </c>
      <c r="L76" s="696"/>
      <c r="M76" s="527" t="e">
        <f>RANK(K76, K$87:$K$101)</f>
        <v>#VALUE!</v>
      </c>
      <c r="N76" s="644"/>
      <c r="O76" s="644"/>
      <c r="P76" s="575" t="s">
        <v>585</v>
      </c>
      <c r="Q76" s="577" t="s">
        <v>585</v>
      </c>
      <c r="R76" s="577" t="s">
        <v>585</v>
      </c>
      <c r="S76" s="575" t="e">
        <f t="shared" si="60"/>
        <v>#VALUE!</v>
      </c>
      <c r="T76" s="637"/>
      <c r="U76" s="575" t="s">
        <v>585</v>
      </c>
      <c r="V76" s="577" t="s">
        <v>585</v>
      </c>
      <c r="W76" s="577" t="s">
        <v>585</v>
      </c>
      <c r="X76" s="575" t="e">
        <f t="shared" si="62"/>
        <v>#VALUE!</v>
      </c>
      <c r="Y76" s="637"/>
      <c r="Z76" s="575" t="s">
        <v>585</v>
      </c>
      <c r="AA76" s="577" t="s">
        <v>585</v>
      </c>
      <c r="AB76" s="577" t="s">
        <v>585</v>
      </c>
      <c r="AC76" s="575" t="e">
        <f t="shared" si="64"/>
        <v>#VALUE!</v>
      </c>
      <c r="AD76" s="637"/>
      <c r="AE76" s="575" t="s">
        <v>585</v>
      </c>
      <c r="AF76" s="577" t="s">
        <v>585</v>
      </c>
      <c r="AG76" s="577" t="s">
        <v>585</v>
      </c>
      <c r="AH76" s="575" t="e">
        <f t="shared" si="66"/>
        <v>#VALUE!</v>
      </c>
      <c r="AI76" s="637"/>
      <c r="AJ76" s="575" t="s">
        <v>585</v>
      </c>
      <c r="AK76" s="577" t="s">
        <v>585</v>
      </c>
      <c r="AL76" s="577" t="s">
        <v>585</v>
      </c>
      <c r="AM76" s="575" t="e">
        <f t="shared" si="68"/>
        <v>#VALUE!</v>
      </c>
      <c r="AN76" s="637"/>
      <c r="AO76" s="575" t="s">
        <v>585</v>
      </c>
      <c r="AP76" s="577" t="s">
        <v>585</v>
      </c>
      <c r="AQ76" s="577" t="s">
        <v>585</v>
      </c>
      <c r="AR76" s="575" t="e">
        <f t="shared" si="70"/>
        <v>#VALUE!</v>
      </c>
      <c r="AS76" s="637"/>
      <c r="AT76" s="575" t="s">
        <v>585</v>
      </c>
      <c r="AU76" s="577" t="s">
        <v>585</v>
      </c>
      <c r="AV76" s="577" t="s">
        <v>585</v>
      </c>
      <c r="AW76" s="575" t="e">
        <f t="shared" si="72"/>
        <v>#VALUE!</v>
      </c>
      <c r="AX76" s="637"/>
      <c r="AZ76" s="368" t="e">
        <f t="shared" si="74"/>
        <v>#N/A</v>
      </c>
      <c r="BA76" s="637"/>
    </row>
    <row r="77" spans="2:53">
      <c r="B77" s="647"/>
      <c r="C77" s="523">
        <v>11</v>
      </c>
      <c r="D77" s="225"/>
      <c r="E77" s="524"/>
      <c r="F77" s="523"/>
      <c r="G77" s="525"/>
      <c r="H77" s="637"/>
      <c r="I77" s="526" t="str">
        <f t="shared" si="57"/>
        <v>-</v>
      </c>
      <c r="J77" s="526" t="str">
        <f t="shared" si="58"/>
        <v>-</v>
      </c>
      <c r="K77" s="199" t="str">
        <f t="shared" si="59"/>
        <v>-</v>
      </c>
      <c r="L77" s="696"/>
      <c r="M77" s="527" t="e">
        <f>RANK(K77, K$87:$K$101)</f>
        <v>#VALUE!</v>
      </c>
      <c r="N77" s="644"/>
      <c r="O77" s="644"/>
      <c r="P77" s="575" t="s">
        <v>585</v>
      </c>
      <c r="Q77" s="577" t="s">
        <v>585</v>
      </c>
      <c r="R77" s="577" t="s">
        <v>585</v>
      </c>
      <c r="S77" s="575" t="e">
        <f t="shared" si="60"/>
        <v>#VALUE!</v>
      </c>
      <c r="T77" s="637"/>
      <c r="U77" s="575" t="s">
        <v>585</v>
      </c>
      <c r="V77" s="577" t="s">
        <v>585</v>
      </c>
      <c r="W77" s="577" t="s">
        <v>585</v>
      </c>
      <c r="X77" s="575" t="e">
        <f t="shared" si="62"/>
        <v>#VALUE!</v>
      </c>
      <c r="Y77" s="637"/>
      <c r="Z77" s="575" t="s">
        <v>585</v>
      </c>
      <c r="AA77" s="577" t="s">
        <v>585</v>
      </c>
      <c r="AB77" s="577" t="s">
        <v>585</v>
      </c>
      <c r="AC77" s="575" t="e">
        <f t="shared" si="64"/>
        <v>#VALUE!</v>
      </c>
      <c r="AD77" s="637"/>
      <c r="AE77" s="575" t="s">
        <v>585</v>
      </c>
      <c r="AF77" s="577" t="s">
        <v>585</v>
      </c>
      <c r="AG77" s="577" t="s">
        <v>585</v>
      </c>
      <c r="AH77" s="575" t="e">
        <f t="shared" si="66"/>
        <v>#VALUE!</v>
      </c>
      <c r="AI77" s="637"/>
      <c r="AJ77" s="575" t="s">
        <v>585</v>
      </c>
      <c r="AK77" s="577" t="s">
        <v>585</v>
      </c>
      <c r="AL77" s="577" t="s">
        <v>585</v>
      </c>
      <c r="AM77" s="575" t="e">
        <f t="shared" si="68"/>
        <v>#VALUE!</v>
      </c>
      <c r="AN77" s="637"/>
      <c r="AO77" s="575" t="s">
        <v>585</v>
      </c>
      <c r="AP77" s="577" t="s">
        <v>585</v>
      </c>
      <c r="AQ77" s="577" t="s">
        <v>585</v>
      </c>
      <c r="AR77" s="575" t="e">
        <f t="shared" si="70"/>
        <v>#VALUE!</v>
      </c>
      <c r="AS77" s="637"/>
      <c r="AT77" s="575" t="s">
        <v>585</v>
      </c>
      <c r="AU77" s="577" t="s">
        <v>585</v>
      </c>
      <c r="AV77" s="577" t="s">
        <v>585</v>
      </c>
      <c r="AW77" s="575" t="e">
        <f t="shared" si="72"/>
        <v>#VALUE!</v>
      </c>
      <c r="AX77" s="637"/>
      <c r="AZ77" s="368" t="e">
        <f t="shared" si="74"/>
        <v>#N/A</v>
      </c>
      <c r="BA77" s="637"/>
    </row>
    <row r="78" spans="2:53">
      <c r="B78" s="647"/>
      <c r="C78" s="523">
        <v>12</v>
      </c>
      <c r="D78" s="225"/>
      <c r="E78" s="524"/>
      <c r="F78" s="523"/>
      <c r="G78" s="525"/>
      <c r="H78" s="637"/>
      <c r="I78" s="526" t="str">
        <f t="shared" si="57"/>
        <v>-</v>
      </c>
      <c r="J78" s="526" t="str">
        <f t="shared" si="58"/>
        <v>-</v>
      </c>
      <c r="K78" s="199" t="str">
        <f t="shared" si="59"/>
        <v>-</v>
      </c>
      <c r="L78" s="696"/>
      <c r="M78" s="527" t="e">
        <f>RANK(K78, K$87:$K$101)</f>
        <v>#VALUE!</v>
      </c>
      <c r="N78" s="644"/>
      <c r="O78" s="644"/>
      <c r="P78" s="575" t="s">
        <v>585</v>
      </c>
      <c r="Q78" s="577" t="s">
        <v>585</v>
      </c>
      <c r="R78" s="577" t="s">
        <v>585</v>
      </c>
      <c r="S78" s="575" t="e">
        <f t="shared" si="60"/>
        <v>#VALUE!</v>
      </c>
      <c r="T78" s="637"/>
      <c r="U78" s="575" t="s">
        <v>585</v>
      </c>
      <c r="V78" s="577" t="s">
        <v>585</v>
      </c>
      <c r="W78" s="577" t="s">
        <v>585</v>
      </c>
      <c r="X78" s="575" t="e">
        <f t="shared" si="62"/>
        <v>#VALUE!</v>
      </c>
      <c r="Y78" s="637"/>
      <c r="Z78" s="575" t="s">
        <v>585</v>
      </c>
      <c r="AA78" s="577" t="s">
        <v>585</v>
      </c>
      <c r="AB78" s="577" t="s">
        <v>585</v>
      </c>
      <c r="AC78" s="575" t="e">
        <f t="shared" si="64"/>
        <v>#VALUE!</v>
      </c>
      <c r="AD78" s="637"/>
      <c r="AE78" s="575" t="s">
        <v>585</v>
      </c>
      <c r="AF78" s="577" t="s">
        <v>585</v>
      </c>
      <c r="AG78" s="577" t="s">
        <v>585</v>
      </c>
      <c r="AH78" s="575" t="e">
        <f t="shared" si="66"/>
        <v>#VALUE!</v>
      </c>
      <c r="AI78" s="637"/>
      <c r="AJ78" s="575" t="s">
        <v>585</v>
      </c>
      <c r="AK78" s="577" t="s">
        <v>585</v>
      </c>
      <c r="AL78" s="577" t="s">
        <v>585</v>
      </c>
      <c r="AM78" s="575" t="e">
        <f t="shared" si="68"/>
        <v>#VALUE!</v>
      </c>
      <c r="AN78" s="637"/>
      <c r="AO78" s="575" t="s">
        <v>585</v>
      </c>
      <c r="AP78" s="577" t="s">
        <v>585</v>
      </c>
      <c r="AQ78" s="577" t="s">
        <v>585</v>
      </c>
      <c r="AR78" s="575" t="e">
        <f t="shared" si="70"/>
        <v>#VALUE!</v>
      </c>
      <c r="AS78" s="637"/>
      <c r="AT78" s="575" t="s">
        <v>585</v>
      </c>
      <c r="AU78" s="577" t="s">
        <v>585</v>
      </c>
      <c r="AV78" s="577" t="s">
        <v>585</v>
      </c>
      <c r="AW78" s="575" t="e">
        <f t="shared" si="72"/>
        <v>#VALUE!</v>
      </c>
      <c r="AX78" s="637"/>
      <c r="AZ78" s="368" t="e">
        <f t="shared" si="74"/>
        <v>#N/A</v>
      </c>
      <c r="BA78" s="637"/>
    </row>
    <row r="79" spans="2:53">
      <c r="B79" s="647"/>
      <c r="C79" s="523">
        <v>13</v>
      </c>
      <c r="D79" s="225"/>
      <c r="E79" s="524"/>
      <c r="F79" s="523"/>
      <c r="G79" s="525"/>
      <c r="H79" s="637"/>
      <c r="I79" s="526" t="str">
        <f t="shared" si="57"/>
        <v>-</v>
      </c>
      <c r="J79" s="526" t="str">
        <f t="shared" si="58"/>
        <v>-</v>
      </c>
      <c r="K79" s="199" t="str">
        <f t="shared" si="59"/>
        <v>-</v>
      </c>
      <c r="L79" s="696"/>
      <c r="M79" s="527" t="e">
        <f>RANK(K79, K$87:$K$101)</f>
        <v>#VALUE!</v>
      </c>
      <c r="N79" s="644"/>
      <c r="O79" s="644"/>
      <c r="P79" s="575" t="s">
        <v>585</v>
      </c>
      <c r="Q79" s="577" t="s">
        <v>585</v>
      </c>
      <c r="R79" s="577" t="s">
        <v>585</v>
      </c>
      <c r="S79" s="575" t="e">
        <f t="shared" si="60"/>
        <v>#VALUE!</v>
      </c>
      <c r="T79" s="637"/>
      <c r="U79" s="575" t="s">
        <v>585</v>
      </c>
      <c r="V79" s="577" t="s">
        <v>585</v>
      </c>
      <c r="W79" s="577" t="s">
        <v>585</v>
      </c>
      <c r="X79" s="575" t="e">
        <f t="shared" si="62"/>
        <v>#VALUE!</v>
      </c>
      <c r="Y79" s="637"/>
      <c r="Z79" s="575" t="s">
        <v>585</v>
      </c>
      <c r="AA79" s="577" t="s">
        <v>585</v>
      </c>
      <c r="AB79" s="577" t="s">
        <v>585</v>
      </c>
      <c r="AC79" s="575" t="e">
        <f t="shared" si="64"/>
        <v>#VALUE!</v>
      </c>
      <c r="AD79" s="637"/>
      <c r="AE79" s="575" t="s">
        <v>585</v>
      </c>
      <c r="AF79" s="577" t="s">
        <v>585</v>
      </c>
      <c r="AG79" s="577" t="s">
        <v>585</v>
      </c>
      <c r="AH79" s="575" t="e">
        <f t="shared" si="66"/>
        <v>#VALUE!</v>
      </c>
      <c r="AI79" s="637"/>
      <c r="AJ79" s="575" t="s">
        <v>585</v>
      </c>
      <c r="AK79" s="577" t="s">
        <v>585</v>
      </c>
      <c r="AL79" s="577" t="s">
        <v>585</v>
      </c>
      <c r="AM79" s="575" t="e">
        <f t="shared" si="68"/>
        <v>#VALUE!</v>
      </c>
      <c r="AN79" s="637"/>
      <c r="AO79" s="575" t="s">
        <v>585</v>
      </c>
      <c r="AP79" s="577" t="s">
        <v>585</v>
      </c>
      <c r="AQ79" s="577" t="s">
        <v>585</v>
      </c>
      <c r="AR79" s="575" t="e">
        <f t="shared" si="70"/>
        <v>#VALUE!</v>
      </c>
      <c r="AS79" s="637"/>
      <c r="AT79" s="575" t="s">
        <v>585</v>
      </c>
      <c r="AU79" s="577" t="s">
        <v>585</v>
      </c>
      <c r="AV79" s="577" t="s">
        <v>585</v>
      </c>
      <c r="AW79" s="575" t="e">
        <f t="shared" si="72"/>
        <v>#VALUE!</v>
      </c>
      <c r="AX79" s="637"/>
      <c r="AZ79" s="368" t="e">
        <f t="shared" si="74"/>
        <v>#N/A</v>
      </c>
      <c r="BA79" s="637"/>
    </row>
    <row r="80" spans="2:53">
      <c r="B80" s="647"/>
      <c r="C80" s="523">
        <v>14</v>
      </c>
      <c r="D80" s="225"/>
      <c r="E80" s="524"/>
      <c r="F80" s="523"/>
      <c r="G80" s="525"/>
      <c r="H80" s="637"/>
      <c r="I80" s="526" t="str">
        <f t="shared" si="57"/>
        <v>-</v>
      </c>
      <c r="J80" s="526" t="str">
        <f t="shared" si="58"/>
        <v>-</v>
      </c>
      <c r="K80" s="199" t="str">
        <f t="shared" si="59"/>
        <v>-</v>
      </c>
      <c r="L80" s="696"/>
      <c r="M80" s="527" t="e">
        <f>RANK(K80, K$87:$K$101)</f>
        <v>#VALUE!</v>
      </c>
      <c r="N80" s="644"/>
      <c r="O80" s="644"/>
      <c r="P80" s="575" t="s">
        <v>585</v>
      </c>
      <c r="Q80" s="577" t="s">
        <v>585</v>
      </c>
      <c r="R80" s="577" t="s">
        <v>585</v>
      </c>
      <c r="S80" s="575" t="e">
        <f t="shared" si="60"/>
        <v>#VALUE!</v>
      </c>
      <c r="T80" s="637"/>
      <c r="U80" s="575" t="s">
        <v>585</v>
      </c>
      <c r="V80" s="577" t="s">
        <v>585</v>
      </c>
      <c r="W80" s="577" t="s">
        <v>585</v>
      </c>
      <c r="X80" s="575" t="e">
        <f t="shared" si="62"/>
        <v>#VALUE!</v>
      </c>
      <c r="Y80" s="637"/>
      <c r="Z80" s="575" t="s">
        <v>585</v>
      </c>
      <c r="AA80" s="577" t="s">
        <v>585</v>
      </c>
      <c r="AB80" s="577" t="s">
        <v>585</v>
      </c>
      <c r="AC80" s="575" t="e">
        <f t="shared" si="64"/>
        <v>#VALUE!</v>
      </c>
      <c r="AD80" s="637"/>
      <c r="AE80" s="575" t="s">
        <v>585</v>
      </c>
      <c r="AF80" s="577" t="s">
        <v>585</v>
      </c>
      <c r="AG80" s="577" t="s">
        <v>585</v>
      </c>
      <c r="AH80" s="575" t="e">
        <f t="shared" si="66"/>
        <v>#VALUE!</v>
      </c>
      <c r="AI80" s="637"/>
      <c r="AJ80" s="575" t="s">
        <v>585</v>
      </c>
      <c r="AK80" s="577" t="s">
        <v>585</v>
      </c>
      <c r="AL80" s="577" t="s">
        <v>585</v>
      </c>
      <c r="AM80" s="575" t="e">
        <f t="shared" si="68"/>
        <v>#VALUE!</v>
      </c>
      <c r="AN80" s="637"/>
      <c r="AO80" s="575" t="s">
        <v>585</v>
      </c>
      <c r="AP80" s="577" t="s">
        <v>585</v>
      </c>
      <c r="AQ80" s="577" t="s">
        <v>585</v>
      </c>
      <c r="AR80" s="575" t="e">
        <f t="shared" si="70"/>
        <v>#VALUE!</v>
      </c>
      <c r="AS80" s="637"/>
      <c r="AT80" s="575" t="s">
        <v>585</v>
      </c>
      <c r="AU80" s="577" t="s">
        <v>585</v>
      </c>
      <c r="AV80" s="577" t="s">
        <v>585</v>
      </c>
      <c r="AW80" s="575" t="e">
        <f t="shared" si="72"/>
        <v>#VALUE!</v>
      </c>
      <c r="AX80" s="637"/>
      <c r="AZ80" s="368" t="e">
        <f t="shared" si="74"/>
        <v>#N/A</v>
      </c>
      <c r="BA80" s="637"/>
    </row>
    <row r="81" spans="2:53">
      <c r="B81" s="647"/>
      <c r="C81" s="523">
        <v>15</v>
      </c>
      <c r="D81" s="225"/>
      <c r="E81" s="524"/>
      <c r="F81" s="523"/>
      <c r="G81" s="525"/>
      <c r="H81" s="638"/>
      <c r="I81" s="526" t="str">
        <f t="shared" ref="I81" si="76">IFERROR(AVERAGE(P81,U81,Z81,AE81,AJ81,AO81,AT81),"-")</f>
        <v>-</v>
      </c>
      <c r="J81" s="526" t="str">
        <f t="shared" ref="J81" si="77">IFERROR(AVERAGE(Q81,V81,AA81,AF81,AK81,AP81,AU81),"-")</f>
        <v>-</v>
      </c>
      <c r="K81" s="199" t="str">
        <f t="shared" ref="K81" si="78">IFERROR(AVERAGE(R81,W81,AB81,AG81,AL81,AQ81,AV81),"-")</f>
        <v>-</v>
      </c>
      <c r="L81" s="697"/>
      <c r="M81" s="526" t="e">
        <f>RANK(K81, K$87:$K$101)</f>
        <v>#VALUE!</v>
      </c>
      <c r="N81" s="645"/>
      <c r="O81" s="645"/>
      <c r="P81" s="575" t="s">
        <v>585</v>
      </c>
      <c r="Q81" s="577" t="s">
        <v>585</v>
      </c>
      <c r="R81" s="577" t="s">
        <v>585</v>
      </c>
      <c r="S81" s="575" t="e">
        <f t="shared" si="60"/>
        <v>#VALUE!</v>
      </c>
      <c r="T81" s="638"/>
      <c r="U81" s="575" t="s">
        <v>585</v>
      </c>
      <c r="V81" s="577" t="s">
        <v>585</v>
      </c>
      <c r="W81" s="577" t="s">
        <v>585</v>
      </c>
      <c r="X81" s="575" t="e">
        <f t="shared" si="62"/>
        <v>#VALUE!</v>
      </c>
      <c r="Y81" s="638"/>
      <c r="Z81" s="575" t="s">
        <v>585</v>
      </c>
      <c r="AA81" s="577" t="s">
        <v>585</v>
      </c>
      <c r="AB81" s="577" t="s">
        <v>585</v>
      </c>
      <c r="AC81" s="575" t="e">
        <f t="shared" si="64"/>
        <v>#VALUE!</v>
      </c>
      <c r="AD81" s="638"/>
      <c r="AE81" s="575" t="s">
        <v>585</v>
      </c>
      <c r="AF81" s="577" t="s">
        <v>585</v>
      </c>
      <c r="AG81" s="577" t="s">
        <v>585</v>
      </c>
      <c r="AH81" s="575" t="e">
        <f t="shared" si="66"/>
        <v>#VALUE!</v>
      </c>
      <c r="AI81" s="638"/>
      <c r="AJ81" s="575" t="s">
        <v>585</v>
      </c>
      <c r="AK81" s="577" t="s">
        <v>585</v>
      </c>
      <c r="AL81" s="577" t="s">
        <v>585</v>
      </c>
      <c r="AM81" s="575" t="e">
        <f t="shared" si="68"/>
        <v>#VALUE!</v>
      </c>
      <c r="AN81" s="638"/>
      <c r="AO81" s="575" t="s">
        <v>585</v>
      </c>
      <c r="AP81" s="577" t="s">
        <v>585</v>
      </c>
      <c r="AQ81" s="577" t="s">
        <v>585</v>
      </c>
      <c r="AR81" s="575" t="e">
        <f t="shared" si="70"/>
        <v>#VALUE!</v>
      </c>
      <c r="AS81" s="638"/>
      <c r="AT81" s="575" t="s">
        <v>585</v>
      </c>
      <c r="AU81" s="577" t="s">
        <v>585</v>
      </c>
      <c r="AV81" s="577" t="s">
        <v>585</v>
      </c>
      <c r="AW81" s="575" t="e">
        <f t="shared" si="72"/>
        <v>#VALUE!</v>
      </c>
      <c r="AX81" s="638"/>
      <c r="AZ81" s="368" t="e">
        <f t="shared" si="74"/>
        <v>#N/A</v>
      </c>
      <c r="BA81" s="638"/>
    </row>
    <row r="82" spans="2:53" ht="15.75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68">
        <f>P62+7</f>
        <v>46259</v>
      </c>
      <c r="Q82" s="647"/>
      <c r="R82" s="647"/>
      <c r="S82" s="647"/>
      <c r="T82" s="647"/>
      <c r="U82" s="665">
        <f>P82+1</f>
        <v>46260</v>
      </c>
      <c r="V82" s="666"/>
      <c r="W82" s="666"/>
      <c r="X82" s="666"/>
      <c r="Y82" s="667"/>
      <c r="Z82" s="665">
        <f>U82+1</f>
        <v>46261</v>
      </c>
      <c r="AA82" s="666"/>
      <c r="AB82" s="666"/>
      <c r="AC82" s="666"/>
      <c r="AD82" s="667"/>
      <c r="AE82" s="665">
        <f>Z82+1</f>
        <v>46262</v>
      </c>
      <c r="AF82" s="666"/>
      <c r="AG82" s="666"/>
      <c r="AH82" s="666"/>
      <c r="AI82" s="667"/>
      <c r="AJ82" s="665">
        <f>AE82+1</f>
        <v>46263</v>
      </c>
      <c r="AK82" s="666"/>
      <c r="AL82" s="666"/>
      <c r="AM82" s="666"/>
      <c r="AN82" s="667"/>
      <c r="AO82" s="665">
        <f>AJ82+1</f>
        <v>46264</v>
      </c>
      <c r="AP82" s="666"/>
      <c r="AQ82" s="666"/>
      <c r="AR82" s="666"/>
      <c r="AS82" s="667"/>
      <c r="AT82" s="665">
        <f>AO82+1</f>
        <v>46265</v>
      </c>
      <c r="AU82" s="666"/>
      <c r="AV82" s="666"/>
      <c r="AW82" s="666"/>
      <c r="AX82" s="667"/>
    </row>
    <row r="83" spans="2:53" ht="15.75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45"/>
      <c r="O83" s="645"/>
      <c r="P83" s="668" t="s">
        <v>317</v>
      </c>
      <c r="Q83" s="647"/>
      <c r="R83" s="647"/>
      <c r="S83" s="647"/>
      <c r="T83" s="647"/>
      <c r="U83" s="668" t="s">
        <v>318</v>
      </c>
      <c r="V83" s="647"/>
      <c r="W83" s="647"/>
      <c r="X83" s="647"/>
      <c r="Y83" s="647"/>
      <c r="Z83" s="668" t="s">
        <v>319</v>
      </c>
      <c r="AA83" s="647"/>
      <c r="AB83" s="647"/>
      <c r="AC83" s="647"/>
      <c r="AD83" s="647"/>
      <c r="AE83" s="668" t="s">
        <v>320</v>
      </c>
      <c r="AF83" s="647"/>
      <c r="AG83" s="647"/>
      <c r="AH83" s="647"/>
      <c r="AI83" s="647"/>
      <c r="AJ83" s="668" t="s">
        <v>321</v>
      </c>
      <c r="AK83" s="647"/>
      <c r="AL83" s="647"/>
      <c r="AM83" s="647"/>
      <c r="AN83" s="647"/>
      <c r="AO83" s="668" t="s">
        <v>322</v>
      </c>
      <c r="AP83" s="647"/>
      <c r="AQ83" s="647"/>
      <c r="AR83" s="647"/>
      <c r="AS83" s="647"/>
      <c r="AT83" s="668" t="s">
        <v>323</v>
      </c>
      <c r="AU83" s="647"/>
      <c r="AV83" s="647"/>
      <c r="AW83" s="647"/>
      <c r="AX83" s="647"/>
    </row>
    <row r="84" spans="2:53">
      <c r="B84" s="641" t="s">
        <v>389</v>
      </c>
      <c r="C84" s="641" t="s">
        <v>379</v>
      </c>
      <c r="D84" s="641"/>
      <c r="E84" s="641" t="s">
        <v>370</v>
      </c>
      <c r="F84" s="641"/>
      <c r="G84" s="641"/>
      <c r="H84" s="673" t="s">
        <v>366</v>
      </c>
      <c r="I84" s="688" t="s">
        <v>371</v>
      </c>
      <c r="J84" s="688"/>
      <c r="K84" s="688"/>
      <c r="L84" s="689" t="s">
        <v>366</v>
      </c>
      <c r="M84" s="677" t="s">
        <v>367</v>
      </c>
      <c r="N84" s="641"/>
      <c r="O84" s="641" t="s">
        <v>372</v>
      </c>
      <c r="P84" s="659" t="s">
        <v>368</v>
      </c>
      <c r="Q84" s="660"/>
      <c r="R84" s="660"/>
      <c r="S84" s="661"/>
      <c r="T84" s="641" t="s">
        <v>366</v>
      </c>
      <c r="U84" s="659" t="s">
        <v>368</v>
      </c>
      <c r="V84" s="660"/>
      <c r="W84" s="660"/>
      <c r="X84" s="661"/>
      <c r="Y84" s="641" t="s">
        <v>366</v>
      </c>
      <c r="Z84" s="659" t="s">
        <v>368</v>
      </c>
      <c r="AA84" s="660"/>
      <c r="AB84" s="660"/>
      <c r="AC84" s="661"/>
      <c r="AD84" s="641" t="s">
        <v>366</v>
      </c>
      <c r="AE84" s="659" t="s">
        <v>368</v>
      </c>
      <c r="AF84" s="660"/>
      <c r="AG84" s="660"/>
      <c r="AH84" s="661"/>
      <c r="AI84" s="641" t="s">
        <v>366</v>
      </c>
      <c r="AJ84" s="659" t="s">
        <v>368</v>
      </c>
      <c r="AK84" s="660"/>
      <c r="AL84" s="660"/>
      <c r="AM84" s="661"/>
      <c r="AN84" s="641" t="s">
        <v>366</v>
      </c>
      <c r="AO84" s="659" t="s">
        <v>368</v>
      </c>
      <c r="AP84" s="660"/>
      <c r="AQ84" s="660"/>
      <c r="AR84" s="661"/>
      <c r="AS84" s="641" t="s">
        <v>366</v>
      </c>
      <c r="AT84" s="659" t="s">
        <v>368</v>
      </c>
      <c r="AU84" s="660"/>
      <c r="AV84" s="660"/>
      <c r="AW84" s="661"/>
      <c r="AX84" s="641" t="s">
        <v>366</v>
      </c>
      <c r="BA84" s="641" t="s">
        <v>366</v>
      </c>
    </row>
    <row r="85" spans="2:53">
      <c r="B85" s="641"/>
      <c r="C85" s="641"/>
      <c r="D85" s="641"/>
      <c r="E85" s="641" t="s">
        <v>373</v>
      </c>
      <c r="F85" s="641"/>
      <c r="G85" s="641"/>
      <c r="H85" s="674"/>
      <c r="I85" s="688" t="s">
        <v>373</v>
      </c>
      <c r="J85" s="688"/>
      <c r="K85" s="688"/>
      <c r="L85" s="690"/>
      <c r="M85" s="678"/>
      <c r="N85" s="641"/>
      <c r="O85" s="641"/>
      <c r="P85" s="659" t="s">
        <v>374</v>
      </c>
      <c r="Q85" s="660"/>
      <c r="R85" s="660"/>
      <c r="S85" s="661"/>
      <c r="T85" s="641"/>
      <c r="U85" s="659" t="s">
        <v>374</v>
      </c>
      <c r="V85" s="660"/>
      <c r="W85" s="660"/>
      <c r="X85" s="661"/>
      <c r="Y85" s="641"/>
      <c r="Z85" s="659" t="s">
        <v>374</v>
      </c>
      <c r="AA85" s="660"/>
      <c r="AB85" s="660"/>
      <c r="AC85" s="661"/>
      <c r="AD85" s="641"/>
      <c r="AE85" s="659" t="s">
        <v>374</v>
      </c>
      <c r="AF85" s="660"/>
      <c r="AG85" s="660"/>
      <c r="AH85" s="661"/>
      <c r="AI85" s="641"/>
      <c r="AJ85" s="659" t="s">
        <v>374</v>
      </c>
      <c r="AK85" s="660"/>
      <c r="AL85" s="660"/>
      <c r="AM85" s="661"/>
      <c r="AN85" s="641"/>
      <c r="AO85" s="659" t="s">
        <v>374</v>
      </c>
      <c r="AP85" s="660"/>
      <c r="AQ85" s="660"/>
      <c r="AR85" s="661"/>
      <c r="AS85" s="641"/>
      <c r="AT85" s="659" t="s">
        <v>374</v>
      </c>
      <c r="AU85" s="660"/>
      <c r="AV85" s="660"/>
      <c r="AW85" s="661"/>
      <c r="AX85" s="641"/>
      <c r="BA85" s="641"/>
    </row>
    <row r="86" spans="2:53">
      <c r="B86" s="641"/>
      <c r="C86" s="641"/>
      <c r="D86" s="641"/>
      <c r="E86" s="378" t="s">
        <v>375</v>
      </c>
      <c r="F86" s="378" t="s">
        <v>376</v>
      </c>
      <c r="G86" s="378" t="s">
        <v>377</v>
      </c>
      <c r="H86" s="675"/>
      <c r="I86" s="377" t="s">
        <v>375</v>
      </c>
      <c r="J86" s="377" t="s">
        <v>376</v>
      </c>
      <c r="K86" s="377" t="s">
        <v>377</v>
      </c>
      <c r="L86" s="691"/>
      <c r="M86" s="679"/>
      <c r="N86" s="641"/>
      <c r="O86" s="641"/>
      <c r="P86" s="378" t="s">
        <v>375</v>
      </c>
      <c r="Q86" s="378" t="s">
        <v>376</v>
      </c>
      <c r="R86" s="378" t="s">
        <v>377</v>
      </c>
      <c r="S86" s="378" t="s">
        <v>367</v>
      </c>
      <c r="T86" s="641"/>
      <c r="U86" s="378" t="s">
        <v>375</v>
      </c>
      <c r="V86" s="378" t="s">
        <v>376</v>
      </c>
      <c r="W86" s="378" t="s">
        <v>377</v>
      </c>
      <c r="X86" s="378" t="s">
        <v>367</v>
      </c>
      <c r="Y86" s="641"/>
      <c r="Z86" s="378" t="s">
        <v>375</v>
      </c>
      <c r="AA86" s="378" t="s">
        <v>376</v>
      </c>
      <c r="AB86" s="378" t="s">
        <v>377</v>
      </c>
      <c r="AC86" s="378" t="s">
        <v>367</v>
      </c>
      <c r="AD86" s="641"/>
      <c r="AE86" s="378" t="s">
        <v>375</v>
      </c>
      <c r="AF86" s="378" t="s">
        <v>376</v>
      </c>
      <c r="AG86" s="378" t="s">
        <v>377</v>
      </c>
      <c r="AH86" s="378" t="s">
        <v>367</v>
      </c>
      <c r="AI86" s="641"/>
      <c r="AJ86" s="378" t="s">
        <v>375</v>
      </c>
      <c r="AK86" s="378" t="s">
        <v>376</v>
      </c>
      <c r="AL86" s="378" t="s">
        <v>377</v>
      </c>
      <c r="AM86" s="378" t="s">
        <v>367</v>
      </c>
      <c r="AN86" s="641"/>
      <c r="AO86" s="378" t="s">
        <v>375</v>
      </c>
      <c r="AP86" s="378" t="s">
        <v>376</v>
      </c>
      <c r="AQ86" s="378" t="s">
        <v>377</v>
      </c>
      <c r="AR86" s="378" t="s">
        <v>367</v>
      </c>
      <c r="AS86" s="641"/>
      <c r="AT86" s="378" t="s">
        <v>375</v>
      </c>
      <c r="AU86" s="378" t="s">
        <v>376</v>
      </c>
      <c r="AV86" s="378" t="s">
        <v>377</v>
      </c>
      <c r="AW86" s="378" t="s">
        <v>367</v>
      </c>
      <c r="AX86" s="641"/>
      <c r="AZ86" s="367" t="s">
        <v>367</v>
      </c>
      <c r="BA86" s="641"/>
    </row>
    <row r="87" spans="2:53">
      <c r="B87" s="641" t="s">
        <v>404</v>
      </c>
      <c r="C87" s="379">
        <v>1</v>
      </c>
      <c r="D87" s="225"/>
      <c r="E87" s="519"/>
      <c r="F87" s="516"/>
      <c r="G87" s="515"/>
      <c r="H87" s="700" t="e">
        <f>AVERAGE(G87:G101)</f>
        <v>#DIV/0!</v>
      </c>
      <c r="I87" s="381" t="str">
        <f t="shared" ref="I87:I100" si="79">IFERROR(AVERAGE(P87,U87,Z87,AE87,AJ87,AO87,AT87),"-")</f>
        <v>-</v>
      </c>
      <c r="J87" s="381" t="str">
        <f t="shared" ref="J87:J100" si="80">IFERROR(AVERAGE(Q87,V87,AA87,AF87,AK87,AP87,AU87),"-")</f>
        <v>-</v>
      </c>
      <c r="K87" s="199" t="str">
        <f t="shared" ref="K87:K100" si="81">IFERROR(AVERAGE(R87,W87,AB87,AG87,AL87,AQ87,AV87),"-")</f>
        <v>-</v>
      </c>
      <c r="L87" s="656" t="str">
        <f>IFERROR(AVERAGE(K87:K101),"-")</f>
        <v>-</v>
      </c>
      <c r="M87" s="383" t="e">
        <f>RANK(K87, K$87:$K$101)</f>
        <v>#VALUE!</v>
      </c>
      <c r="N87" s="641"/>
      <c r="O87" s="641"/>
      <c r="P87" s="529"/>
      <c r="Q87" s="530"/>
      <c r="R87" s="530"/>
      <c r="S87" s="529"/>
      <c r="T87" s="642"/>
      <c r="U87" s="529"/>
      <c r="V87" s="530"/>
      <c r="W87" s="530"/>
      <c r="X87" s="529"/>
      <c r="Y87" s="642"/>
      <c r="Z87" s="529"/>
      <c r="AA87" s="530"/>
      <c r="AB87" s="530"/>
      <c r="AC87" s="529"/>
      <c r="AD87" s="642"/>
      <c r="AE87" s="529"/>
      <c r="AF87" s="530"/>
      <c r="AG87" s="530"/>
      <c r="AH87" s="529"/>
      <c r="AI87" s="642"/>
      <c r="AJ87" s="529"/>
      <c r="AK87" s="530"/>
      <c r="AL87" s="530"/>
      <c r="AM87" s="529"/>
      <c r="AN87" s="642"/>
      <c r="AO87" s="529"/>
      <c r="AP87" s="530"/>
      <c r="AQ87" s="530"/>
      <c r="AR87" s="529"/>
      <c r="AS87" s="642"/>
      <c r="AT87" s="529"/>
      <c r="AU87" s="530"/>
      <c r="AV87" s="530"/>
      <c r="AW87" s="529"/>
      <c r="AX87" s="642"/>
      <c r="AZ87" s="368" t="e">
        <f t="shared" ref="AZ87:AZ101" si="82">RANK(AY87, AY$87:AY$101)</f>
        <v>#N/A</v>
      </c>
      <c r="BA87" s="642" t="e">
        <f t="shared" ref="BA87" si="83">AVERAGE(AY87:AY101)</f>
        <v>#DIV/0!</v>
      </c>
    </row>
    <row r="88" spans="2:53">
      <c r="B88" s="647"/>
      <c r="C88" s="379">
        <v>2</v>
      </c>
      <c r="D88" s="225"/>
      <c r="E88" s="519"/>
      <c r="F88" s="516"/>
      <c r="G88" s="515"/>
      <c r="H88" s="701"/>
      <c r="I88" s="381" t="str">
        <f t="shared" si="79"/>
        <v>-</v>
      </c>
      <c r="J88" s="381" t="str">
        <f t="shared" si="80"/>
        <v>-</v>
      </c>
      <c r="K88" s="199" t="str">
        <f t="shared" si="81"/>
        <v>-</v>
      </c>
      <c r="L88" s="657"/>
      <c r="M88" s="383" t="e">
        <f>RANK(K88, K$87:$K$101)</f>
        <v>#VALUE!</v>
      </c>
      <c r="N88" s="641"/>
      <c r="O88" s="641"/>
      <c r="P88" s="529"/>
      <c r="Q88" s="530"/>
      <c r="R88" s="530"/>
      <c r="S88" s="529"/>
      <c r="T88" s="642"/>
      <c r="U88" s="529"/>
      <c r="V88" s="530"/>
      <c r="W88" s="530"/>
      <c r="X88" s="529"/>
      <c r="Y88" s="642"/>
      <c r="Z88" s="529"/>
      <c r="AA88" s="530"/>
      <c r="AB88" s="530"/>
      <c r="AC88" s="529"/>
      <c r="AD88" s="642"/>
      <c r="AE88" s="529"/>
      <c r="AF88" s="530"/>
      <c r="AG88" s="530"/>
      <c r="AH88" s="529"/>
      <c r="AI88" s="642"/>
      <c r="AJ88" s="529"/>
      <c r="AK88" s="530"/>
      <c r="AL88" s="530"/>
      <c r="AM88" s="529"/>
      <c r="AN88" s="642"/>
      <c r="AO88" s="529"/>
      <c r="AP88" s="530"/>
      <c r="AQ88" s="530"/>
      <c r="AR88" s="529"/>
      <c r="AS88" s="642"/>
      <c r="AT88" s="529"/>
      <c r="AU88" s="530"/>
      <c r="AV88" s="530"/>
      <c r="AW88" s="529"/>
      <c r="AX88" s="642"/>
      <c r="AZ88" s="368" t="e">
        <f t="shared" si="82"/>
        <v>#N/A</v>
      </c>
      <c r="BA88" s="642"/>
    </row>
    <row r="89" spans="2:53">
      <c r="B89" s="647"/>
      <c r="C89" s="379">
        <v>3</v>
      </c>
      <c r="D89" s="225"/>
      <c r="E89" s="519"/>
      <c r="F89" s="516"/>
      <c r="G89" s="515"/>
      <c r="H89" s="701"/>
      <c r="I89" s="381" t="str">
        <f t="shared" si="79"/>
        <v>-</v>
      </c>
      <c r="J89" s="381" t="str">
        <f t="shared" si="80"/>
        <v>-</v>
      </c>
      <c r="K89" s="199" t="str">
        <f t="shared" si="81"/>
        <v>-</v>
      </c>
      <c r="L89" s="657"/>
      <c r="M89" s="383" t="e">
        <f>RANK(K89, K$87:$K$101)</f>
        <v>#VALUE!</v>
      </c>
      <c r="N89" s="641"/>
      <c r="O89" s="641"/>
      <c r="P89" s="529"/>
      <c r="Q89" s="530"/>
      <c r="R89" s="530"/>
      <c r="S89" s="529"/>
      <c r="T89" s="642"/>
      <c r="U89" s="529"/>
      <c r="V89" s="530"/>
      <c r="W89" s="530"/>
      <c r="X89" s="529"/>
      <c r="Y89" s="642"/>
      <c r="Z89" s="529"/>
      <c r="AA89" s="530"/>
      <c r="AB89" s="530"/>
      <c r="AC89" s="529"/>
      <c r="AD89" s="642"/>
      <c r="AE89" s="529"/>
      <c r="AF89" s="530"/>
      <c r="AG89" s="530"/>
      <c r="AH89" s="529"/>
      <c r="AI89" s="642"/>
      <c r="AJ89" s="529"/>
      <c r="AK89" s="530"/>
      <c r="AL89" s="530"/>
      <c r="AM89" s="529"/>
      <c r="AN89" s="642"/>
      <c r="AO89" s="529"/>
      <c r="AP89" s="530"/>
      <c r="AQ89" s="530"/>
      <c r="AR89" s="529"/>
      <c r="AS89" s="642"/>
      <c r="AT89" s="529"/>
      <c r="AU89" s="530"/>
      <c r="AV89" s="530"/>
      <c r="AW89" s="529"/>
      <c r="AX89" s="642"/>
      <c r="AZ89" s="368" t="e">
        <f t="shared" si="82"/>
        <v>#N/A</v>
      </c>
      <c r="BA89" s="642"/>
    </row>
    <row r="90" spans="2:53">
      <c r="B90" s="647"/>
      <c r="C90" s="379">
        <v>4</v>
      </c>
      <c r="D90" s="225"/>
      <c r="E90" s="519"/>
      <c r="F90" s="516"/>
      <c r="G90" s="515"/>
      <c r="H90" s="701"/>
      <c r="I90" s="381" t="str">
        <f t="shared" si="79"/>
        <v>-</v>
      </c>
      <c r="J90" s="381" t="str">
        <f t="shared" si="80"/>
        <v>-</v>
      </c>
      <c r="K90" s="199" t="str">
        <f t="shared" si="81"/>
        <v>-</v>
      </c>
      <c r="L90" s="657"/>
      <c r="M90" s="383" t="e">
        <f>RANK(K90, K$87:$K$101)</f>
        <v>#VALUE!</v>
      </c>
      <c r="N90" s="641"/>
      <c r="O90" s="641"/>
      <c r="P90" s="529"/>
      <c r="Q90" s="530"/>
      <c r="R90" s="530"/>
      <c r="S90" s="529"/>
      <c r="T90" s="642"/>
      <c r="U90" s="529"/>
      <c r="V90" s="530"/>
      <c r="W90" s="530"/>
      <c r="X90" s="529"/>
      <c r="Y90" s="642"/>
      <c r="Z90" s="529"/>
      <c r="AA90" s="530"/>
      <c r="AB90" s="530"/>
      <c r="AC90" s="529"/>
      <c r="AD90" s="642"/>
      <c r="AE90" s="529"/>
      <c r="AF90" s="530"/>
      <c r="AG90" s="530"/>
      <c r="AH90" s="529"/>
      <c r="AI90" s="642"/>
      <c r="AJ90" s="529"/>
      <c r="AK90" s="530"/>
      <c r="AL90" s="530"/>
      <c r="AM90" s="529"/>
      <c r="AN90" s="642"/>
      <c r="AO90" s="529"/>
      <c r="AP90" s="530"/>
      <c r="AQ90" s="530"/>
      <c r="AR90" s="529"/>
      <c r="AS90" s="642"/>
      <c r="AT90" s="529"/>
      <c r="AU90" s="530"/>
      <c r="AV90" s="530"/>
      <c r="AW90" s="529"/>
      <c r="AX90" s="642"/>
      <c r="AZ90" s="368" t="e">
        <f t="shared" si="82"/>
        <v>#N/A</v>
      </c>
      <c r="BA90" s="642"/>
    </row>
    <row r="91" spans="2:53">
      <c r="B91" s="647"/>
      <c r="C91" s="379">
        <v>5</v>
      </c>
      <c r="D91" s="225"/>
      <c r="E91" s="519"/>
      <c r="F91" s="516"/>
      <c r="G91" s="515"/>
      <c r="H91" s="701"/>
      <c r="I91" s="381" t="str">
        <f t="shared" si="79"/>
        <v>-</v>
      </c>
      <c r="J91" s="381" t="str">
        <f t="shared" si="80"/>
        <v>-</v>
      </c>
      <c r="K91" s="199" t="str">
        <f t="shared" si="81"/>
        <v>-</v>
      </c>
      <c r="L91" s="657"/>
      <c r="M91" s="383" t="e">
        <f>RANK(K91, K$87:$K$101)</f>
        <v>#VALUE!</v>
      </c>
      <c r="N91" s="641"/>
      <c r="O91" s="641"/>
      <c r="P91" s="529"/>
      <c r="Q91" s="530"/>
      <c r="R91" s="530"/>
      <c r="S91" s="529"/>
      <c r="T91" s="642"/>
      <c r="U91" s="529"/>
      <c r="V91" s="530"/>
      <c r="W91" s="530"/>
      <c r="X91" s="529"/>
      <c r="Y91" s="642"/>
      <c r="Z91" s="529"/>
      <c r="AA91" s="530"/>
      <c r="AB91" s="530"/>
      <c r="AC91" s="529"/>
      <c r="AD91" s="642"/>
      <c r="AE91" s="529"/>
      <c r="AF91" s="530"/>
      <c r="AG91" s="530"/>
      <c r="AH91" s="529"/>
      <c r="AI91" s="642"/>
      <c r="AJ91" s="529"/>
      <c r="AK91" s="530"/>
      <c r="AL91" s="530"/>
      <c r="AM91" s="529"/>
      <c r="AN91" s="642"/>
      <c r="AO91" s="529"/>
      <c r="AP91" s="530"/>
      <c r="AQ91" s="530"/>
      <c r="AR91" s="529"/>
      <c r="AS91" s="642"/>
      <c r="AT91" s="529"/>
      <c r="AU91" s="530"/>
      <c r="AV91" s="530"/>
      <c r="AW91" s="529"/>
      <c r="AX91" s="642"/>
      <c r="AZ91" s="368" t="e">
        <f t="shared" si="82"/>
        <v>#N/A</v>
      </c>
      <c r="BA91" s="642"/>
    </row>
    <row r="92" spans="2:53">
      <c r="B92" s="647"/>
      <c r="C92" s="379">
        <v>6</v>
      </c>
      <c r="D92" s="225"/>
      <c r="E92" s="519"/>
      <c r="F92" s="516"/>
      <c r="G92" s="515"/>
      <c r="H92" s="701"/>
      <c r="I92" s="381" t="str">
        <f t="shared" si="79"/>
        <v>-</v>
      </c>
      <c r="J92" s="381" t="str">
        <f t="shared" si="80"/>
        <v>-</v>
      </c>
      <c r="K92" s="199" t="str">
        <f t="shared" si="81"/>
        <v>-</v>
      </c>
      <c r="L92" s="657"/>
      <c r="M92" s="383" t="e">
        <f>RANK(K92, K$87:$K$101)</f>
        <v>#VALUE!</v>
      </c>
      <c r="N92" s="641"/>
      <c r="O92" s="641"/>
      <c r="P92" s="529"/>
      <c r="Q92" s="530"/>
      <c r="R92" s="530"/>
      <c r="S92" s="529"/>
      <c r="T92" s="642"/>
      <c r="U92" s="529"/>
      <c r="V92" s="530"/>
      <c r="W92" s="530"/>
      <c r="X92" s="529"/>
      <c r="Y92" s="642"/>
      <c r="Z92" s="529"/>
      <c r="AA92" s="530"/>
      <c r="AB92" s="530"/>
      <c r="AC92" s="529"/>
      <c r="AD92" s="642"/>
      <c r="AE92" s="529"/>
      <c r="AF92" s="530"/>
      <c r="AG92" s="530"/>
      <c r="AH92" s="529"/>
      <c r="AI92" s="642"/>
      <c r="AJ92" s="529"/>
      <c r="AK92" s="530"/>
      <c r="AL92" s="530"/>
      <c r="AM92" s="529"/>
      <c r="AN92" s="642"/>
      <c r="AO92" s="529"/>
      <c r="AP92" s="530"/>
      <c r="AQ92" s="530"/>
      <c r="AR92" s="529"/>
      <c r="AS92" s="642"/>
      <c r="AT92" s="529"/>
      <c r="AU92" s="530"/>
      <c r="AV92" s="530"/>
      <c r="AW92" s="529"/>
      <c r="AX92" s="642"/>
      <c r="AZ92" s="368" t="e">
        <f t="shared" si="82"/>
        <v>#N/A</v>
      </c>
      <c r="BA92" s="642"/>
    </row>
    <row r="93" spans="2:53">
      <c r="B93" s="647"/>
      <c r="C93" s="379">
        <v>7</v>
      </c>
      <c r="D93" s="225"/>
      <c r="E93" s="519"/>
      <c r="F93" s="516"/>
      <c r="G93" s="515"/>
      <c r="H93" s="701"/>
      <c r="I93" s="381" t="str">
        <f t="shared" si="79"/>
        <v>-</v>
      </c>
      <c r="J93" s="381" t="str">
        <f t="shared" si="80"/>
        <v>-</v>
      </c>
      <c r="K93" s="199" t="str">
        <f t="shared" si="81"/>
        <v>-</v>
      </c>
      <c r="L93" s="657"/>
      <c r="M93" s="383" t="e">
        <f>RANK(K93, K$87:$K$101)</f>
        <v>#VALUE!</v>
      </c>
      <c r="N93" s="641"/>
      <c r="O93" s="641"/>
      <c r="P93" s="529"/>
      <c r="Q93" s="530"/>
      <c r="R93" s="530"/>
      <c r="S93" s="529"/>
      <c r="T93" s="642"/>
      <c r="U93" s="529"/>
      <c r="V93" s="530"/>
      <c r="W93" s="530"/>
      <c r="X93" s="529"/>
      <c r="Y93" s="642"/>
      <c r="Z93" s="529"/>
      <c r="AA93" s="530"/>
      <c r="AB93" s="530"/>
      <c r="AC93" s="529"/>
      <c r="AD93" s="642"/>
      <c r="AE93" s="529"/>
      <c r="AF93" s="530"/>
      <c r="AG93" s="530"/>
      <c r="AH93" s="529"/>
      <c r="AI93" s="642"/>
      <c r="AJ93" s="529"/>
      <c r="AK93" s="530"/>
      <c r="AL93" s="530"/>
      <c r="AM93" s="529"/>
      <c r="AN93" s="642"/>
      <c r="AO93" s="529"/>
      <c r="AP93" s="530"/>
      <c r="AQ93" s="530"/>
      <c r="AR93" s="529"/>
      <c r="AS93" s="642"/>
      <c r="AT93" s="529"/>
      <c r="AU93" s="530"/>
      <c r="AV93" s="530"/>
      <c r="AW93" s="529"/>
      <c r="AX93" s="642"/>
      <c r="AZ93" s="368" t="e">
        <f t="shared" si="82"/>
        <v>#N/A</v>
      </c>
      <c r="BA93" s="642"/>
    </row>
    <row r="94" spans="2:53">
      <c r="B94" s="647"/>
      <c r="C94" s="379">
        <v>8</v>
      </c>
      <c r="D94" s="225"/>
      <c r="E94" s="519"/>
      <c r="F94" s="516"/>
      <c r="G94" s="515"/>
      <c r="H94" s="701"/>
      <c r="I94" s="381" t="str">
        <f t="shared" si="79"/>
        <v>-</v>
      </c>
      <c r="J94" s="381" t="str">
        <f t="shared" si="80"/>
        <v>-</v>
      </c>
      <c r="K94" s="199" t="str">
        <f t="shared" si="81"/>
        <v>-</v>
      </c>
      <c r="L94" s="657"/>
      <c r="M94" s="383" t="e">
        <f>RANK(K94, K$87:$K$101)</f>
        <v>#VALUE!</v>
      </c>
      <c r="N94" s="641"/>
      <c r="O94" s="641"/>
      <c r="P94" s="529"/>
      <c r="Q94" s="530"/>
      <c r="R94" s="530"/>
      <c r="S94" s="529"/>
      <c r="T94" s="642"/>
      <c r="U94" s="529"/>
      <c r="V94" s="530"/>
      <c r="W94" s="530"/>
      <c r="X94" s="529"/>
      <c r="Y94" s="642"/>
      <c r="Z94" s="529"/>
      <c r="AA94" s="530"/>
      <c r="AB94" s="530"/>
      <c r="AC94" s="529"/>
      <c r="AD94" s="642"/>
      <c r="AE94" s="529"/>
      <c r="AF94" s="530"/>
      <c r="AG94" s="530"/>
      <c r="AH94" s="529"/>
      <c r="AI94" s="642"/>
      <c r="AJ94" s="529"/>
      <c r="AK94" s="530"/>
      <c r="AL94" s="530"/>
      <c r="AM94" s="529"/>
      <c r="AN94" s="642"/>
      <c r="AO94" s="529"/>
      <c r="AP94" s="530"/>
      <c r="AQ94" s="530"/>
      <c r="AR94" s="529"/>
      <c r="AS94" s="642"/>
      <c r="AT94" s="529"/>
      <c r="AU94" s="530"/>
      <c r="AV94" s="530"/>
      <c r="AW94" s="529"/>
      <c r="AX94" s="642"/>
      <c r="AZ94" s="368" t="e">
        <f t="shared" si="82"/>
        <v>#N/A</v>
      </c>
      <c r="BA94" s="642"/>
    </row>
    <row r="95" spans="2:53">
      <c r="B95" s="647"/>
      <c r="C95" s="379">
        <v>9</v>
      </c>
      <c r="D95" s="225"/>
      <c r="E95" s="519"/>
      <c r="F95" s="516"/>
      <c r="G95" s="515"/>
      <c r="H95" s="701"/>
      <c r="I95" s="381" t="str">
        <f t="shared" si="79"/>
        <v>-</v>
      </c>
      <c r="J95" s="381" t="str">
        <f t="shared" si="80"/>
        <v>-</v>
      </c>
      <c r="K95" s="199" t="str">
        <f t="shared" si="81"/>
        <v>-</v>
      </c>
      <c r="L95" s="657"/>
      <c r="M95" s="383" t="e">
        <f>RANK(K95, K$87:$K$101)</f>
        <v>#VALUE!</v>
      </c>
      <c r="N95" s="641"/>
      <c r="O95" s="641"/>
      <c r="P95" s="529"/>
      <c r="Q95" s="530"/>
      <c r="R95" s="530"/>
      <c r="S95" s="529"/>
      <c r="T95" s="642"/>
      <c r="U95" s="529"/>
      <c r="V95" s="530"/>
      <c r="W95" s="530"/>
      <c r="X95" s="529"/>
      <c r="Y95" s="642"/>
      <c r="Z95" s="529"/>
      <c r="AA95" s="530"/>
      <c r="AB95" s="530"/>
      <c r="AC95" s="529"/>
      <c r="AD95" s="642"/>
      <c r="AE95" s="529"/>
      <c r="AF95" s="530"/>
      <c r="AG95" s="530"/>
      <c r="AH95" s="529"/>
      <c r="AI95" s="642"/>
      <c r="AJ95" s="529"/>
      <c r="AK95" s="530"/>
      <c r="AL95" s="530"/>
      <c r="AM95" s="529"/>
      <c r="AN95" s="642"/>
      <c r="AO95" s="529"/>
      <c r="AP95" s="530"/>
      <c r="AQ95" s="530"/>
      <c r="AR95" s="529"/>
      <c r="AS95" s="642"/>
      <c r="AT95" s="529"/>
      <c r="AU95" s="530"/>
      <c r="AV95" s="530"/>
      <c r="AW95" s="529"/>
      <c r="AX95" s="642"/>
      <c r="AZ95" s="368" t="e">
        <f t="shared" si="82"/>
        <v>#N/A</v>
      </c>
      <c r="BA95" s="642"/>
    </row>
    <row r="96" spans="2:53">
      <c r="B96" s="647"/>
      <c r="C96" s="379">
        <v>10</v>
      </c>
      <c r="D96" s="225"/>
      <c r="E96" s="519"/>
      <c r="F96" s="516"/>
      <c r="G96" s="515"/>
      <c r="H96" s="701"/>
      <c r="I96" s="381" t="str">
        <f t="shared" si="79"/>
        <v>-</v>
      </c>
      <c r="J96" s="381" t="str">
        <f t="shared" si="80"/>
        <v>-</v>
      </c>
      <c r="K96" s="199" t="str">
        <f t="shared" si="81"/>
        <v>-</v>
      </c>
      <c r="L96" s="657"/>
      <c r="M96" s="383" t="e">
        <f>RANK(K96, K$87:$K$101)</f>
        <v>#VALUE!</v>
      </c>
      <c r="N96" s="641"/>
      <c r="O96" s="641"/>
      <c r="P96" s="529"/>
      <c r="Q96" s="530"/>
      <c r="R96" s="530"/>
      <c r="S96" s="529"/>
      <c r="T96" s="642"/>
      <c r="U96" s="529"/>
      <c r="V96" s="530"/>
      <c r="W96" s="530"/>
      <c r="X96" s="529"/>
      <c r="Y96" s="642"/>
      <c r="Z96" s="529"/>
      <c r="AA96" s="530"/>
      <c r="AB96" s="530"/>
      <c r="AC96" s="529"/>
      <c r="AD96" s="642"/>
      <c r="AE96" s="529"/>
      <c r="AF96" s="530"/>
      <c r="AG96" s="530"/>
      <c r="AH96" s="529"/>
      <c r="AI96" s="642"/>
      <c r="AJ96" s="529"/>
      <c r="AK96" s="530"/>
      <c r="AL96" s="530"/>
      <c r="AM96" s="529"/>
      <c r="AN96" s="642"/>
      <c r="AO96" s="529"/>
      <c r="AP96" s="530"/>
      <c r="AQ96" s="530"/>
      <c r="AR96" s="529"/>
      <c r="AS96" s="642"/>
      <c r="AT96" s="529"/>
      <c r="AU96" s="530"/>
      <c r="AV96" s="530"/>
      <c r="AW96" s="529"/>
      <c r="AX96" s="642"/>
      <c r="AZ96" s="368" t="e">
        <f t="shared" si="82"/>
        <v>#N/A</v>
      </c>
      <c r="BA96" s="642"/>
    </row>
    <row r="97" spans="2:53">
      <c r="B97" s="647"/>
      <c r="C97" s="379">
        <v>11</v>
      </c>
      <c r="D97" s="225"/>
      <c r="E97" s="519"/>
      <c r="F97" s="516"/>
      <c r="G97" s="515"/>
      <c r="H97" s="701"/>
      <c r="I97" s="381" t="str">
        <f t="shared" si="79"/>
        <v>-</v>
      </c>
      <c r="J97" s="381" t="str">
        <f t="shared" si="80"/>
        <v>-</v>
      </c>
      <c r="K97" s="199" t="str">
        <f t="shared" si="81"/>
        <v>-</v>
      </c>
      <c r="L97" s="657"/>
      <c r="M97" s="383" t="e">
        <f>RANK(K97, K$87:$K$101)</f>
        <v>#VALUE!</v>
      </c>
      <c r="N97" s="641"/>
      <c r="O97" s="641"/>
      <c r="P97" s="529"/>
      <c r="Q97" s="530"/>
      <c r="R97" s="530"/>
      <c r="S97" s="529"/>
      <c r="T97" s="642"/>
      <c r="U97" s="529"/>
      <c r="V97" s="530"/>
      <c r="W97" s="530"/>
      <c r="X97" s="529"/>
      <c r="Y97" s="642"/>
      <c r="Z97" s="529"/>
      <c r="AA97" s="530"/>
      <c r="AB97" s="530"/>
      <c r="AC97" s="529"/>
      <c r="AD97" s="642"/>
      <c r="AE97" s="529"/>
      <c r="AF97" s="530"/>
      <c r="AG97" s="530"/>
      <c r="AH97" s="529"/>
      <c r="AI97" s="642"/>
      <c r="AJ97" s="529"/>
      <c r="AK97" s="530"/>
      <c r="AL97" s="530"/>
      <c r="AM97" s="529"/>
      <c r="AN97" s="642"/>
      <c r="AO97" s="529"/>
      <c r="AP97" s="530"/>
      <c r="AQ97" s="530"/>
      <c r="AR97" s="529"/>
      <c r="AS97" s="642"/>
      <c r="AT97" s="529"/>
      <c r="AU97" s="530"/>
      <c r="AV97" s="530"/>
      <c r="AW97" s="529"/>
      <c r="AX97" s="642"/>
      <c r="AZ97" s="368" t="e">
        <f t="shared" si="82"/>
        <v>#N/A</v>
      </c>
      <c r="BA97" s="642"/>
    </row>
    <row r="98" spans="2:53">
      <c r="B98" s="647"/>
      <c r="C98" s="379">
        <v>12</v>
      </c>
      <c r="D98" s="225"/>
      <c r="E98" s="519"/>
      <c r="F98" s="516"/>
      <c r="G98" s="515"/>
      <c r="H98" s="701"/>
      <c r="I98" s="381" t="str">
        <f t="shared" si="79"/>
        <v>-</v>
      </c>
      <c r="J98" s="381" t="str">
        <f t="shared" si="80"/>
        <v>-</v>
      </c>
      <c r="K98" s="199" t="str">
        <f t="shared" si="81"/>
        <v>-</v>
      </c>
      <c r="L98" s="657"/>
      <c r="M98" s="383" t="e">
        <f>RANK(K98, K$87:$K$101)</f>
        <v>#VALUE!</v>
      </c>
      <c r="N98" s="641"/>
      <c r="O98" s="641"/>
      <c r="P98" s="529"/>
      <c r="Q98" s="530"/>
      <c r="R98" s="530"/>
      <c r="S98" s="529"/>
      <c r="T98" s="642"/>
      <c r="U98" s="529"/>
      <c r="V98" s="530"/>
      <c r="W98" s="530"/>
      <c r="X98" s="529"/>
      <c r="Y98" s="642"/>
      <c r="Z98" s="529"/>
      <c r="AA98" s="530"/>
      <c r="AB98" s="530"/>
      <c r="AC98" s="529"/>
      <c r="AD98" s="642"/>
      <c r="AE98" s="529"/>
      <c r="AF98" s="530"/>
      <c r="AG98" s="530"/>
      <c r="AH98" s="529"/>
      <c r="AI98" s="642"/>
      <c r="AJ98" s="529"/>
      <c r="AK98" s="530"/>
      <c r="AL98" s="530"/>
      <c r="AM98" s="529"/>
      <c r="AN98" s="642"/>
      <c r="AO98" s="529"/>
      <c r="AP98" s="530"/>
      <c r="AQ98" s="530"/>
      <c r="AR98" s="529"/>
      <c r="AS98" s="642"/>
      <c r="AT98" s="529"/>
      <c r="AU98" s="530"/>
      <c r="AV98" s="530"/>
      <c r="AW98" s="529"/>
      <c r="AX98" s="642"/>
      <c r="AZ98" s="368" t="e">
        <f t="shared" si="82"/>
        <v>#N/A</v>
      </c>
      <c r="BA98" s="642"/>
    </row>
    <row r="99" spans="2:53">
      <c r="B99" s="647"/>
      <c r="C99" s="379">
        <v>13</v>
      </c>
      <c r="D99" s="225"/>
      <c r="E99" s="519"/>
      <c r="F99" s="516"/>
      <c r="G99" s="515"/>
      <c r="H99" s="701"/>
      <c r="I99" s="381" t="str">
        <f t="shared" si="79"/>
        <v>-</v>
      </c>
      <c r="J99" s="381" t="str">
        <f t="shared" si="80"/>
        <v>-</v>
      </c>
      <c r="K99" s="199" t="str">
        <f t="shared" si="81"/>
        <v>-</v>
      </c>
      <c r="L99" s="657"/>
      <c r="M99" s="383" t="e">
        <f>RANK(K99, K$87:$K$101)</f>
        <v>#VALUE!</v>
      </c>
      <c r="N99" s="641"/>
      <c r="O99" s="641"/>
      <c r="P99" s="529"/>
      <c r="Q99" s="530"/>
      <c r="R99" s="530"/>
      <c r="S99" s="529"/>
      <c r="T99" s="642"/>
      <c r="U99" s="529"/>
      <c r="V99" s="530"/>
      <c r="W99" s="530"/>
      <c r="X99" s="529"/>
      <c r="Y99" s="642"/>
      <c r="Z99" s="529"/>
      <c r="AA99" s="530"/>
      <c r="AB99" s="530"/>
      <c r="AC99" s="529"/>
      <c r="AD99" s="642"/>
      <c r="AE99" s="529"/>
      <c r="AF99" s="530"/>
      <c r="AG99" s="530"/>
      <c r="AH99" s="529"/>
      <c r="AI99" s="642"/>
      <c r="AJ99" s="529"/>
      <c r="AK99" s="530"/>
      <c r="AL99" s="530"/>
      <c r="AM99" s="529"/>
      <c r="AN99" s="642"/>
      <c r="AO99" s="529"/>
      <c r="AP99" s="530"/>
      <c r="AQ99" s="530"/>
      <c r="AR99" s="529"/>
      <c r="AS99" s="642"/>
      <c r="AT99" s="529"/>
      <c r="AU99" s="530"/>
      <c r="AV99" s="530"/>
      <c r="AW99" s="529"/>
      <c r="AX99" s="642"/>
      <c r="AZ99" s="368" t="e">
        <f t="shared" si="82"/>
        <v>#N/A</v>
      </c>
      <c r="BA99" s="642"/>
    </row>
    <row r="100" spans="2:53">
      <c r="B100" s="647"/>
      <c r="C100" s="379">
        <v>14</v>
      </c>
      <c r="D100" s="225"/>
      <c r="E100" s="519"/>
      <c r="F100" s="516"/>
      <c r="G100" s="515"/>
      <c r="H100" s="701"/>
      <c r="I100" s="381" t="str">
        <f t="shared" si="79"/>
        <v>-</v>
      </c>
      <c r="J100" s="381" t="str">
        <f t="shared" si="80"/>
        <v>-</v>
      </c>
      <c r="K100" s="199" t="str">
        <f t="shared" si="81"/>
        <v>-</v>
      </c>
      <c r="L100" s="657"/>
      <c r="M100" s="383" t="e">
        <f>RANK(K100, K$87:$K$101)</f>
        <v>#VALUE!</v>
      </c>
      <c r="N100" s="641"/>
      <c r="O100" s="641"/>
      <c r="P100" s="529"/>
      <c r="Q100" s="530"/>
      <c r="R100" s="530"/>
      <c r="S100" s="529"/>
      <c r="T100" s="642"/>
      <c r="U100" s="529"/>
      <c r="V100" s="530"/>
      <c r="W100" s="530"/>
      <c r="X100" s="529"/>
      <c r="Y100" s="642"/>
      <c r="Z100" s="529"/>
      <c r="AA100" s="530"/>
      <c r="AB100" s="530"/>
      <c r="AC100" s="529"/>
      <c r="AD100" s="642"/>
      <c r="AE100" s="529"/>
      <c r="AF100" s="530"/>
      <c r="AG100" s="530"/>
      <c r="AH100" s="529"/>
      <c r="AI100" s="642"/>
      <c r="AJ100" s="529"/>
      <c r="AK100" s="530"/>
      <c r="AL100" s="530"/>
      <c r="AM100" s="529"/>
      <c r="AN100" s="642"/>
      <c r="AO100" s="529"/>
      <c r="AP100" s="530"/>
      <c r="AQ100" s="530"/>
      <c r="AR100" s="529"/>
      <c r="AS100" s="642"/>
      <c r="AT100" s="529"/>
      <c r="AU100" s="530"/>
      <c r="AV100" s="530"/>
      <c r="AW100" s="529"/>
      <c r="AX100" s="642"/>
      <c r="AZ100" s="368" t="e">
        <f t="shared" si="82"/>
        <v>#N/A</v>
      </c>
      <c r="BA100" s="642"/>
    </row>
    <row r="101" spans="2:53">
      <c r="B101" s="647"/>
      <c r="C101" s="379">
        <v>15</v>
      </c>
      <c r="D101" s="225"/>
      <c r="E101" s="519"/>
      <c r="F101" s="516"/>
      <c r="G101" s="515"/>
      <c r="H101" s="702"/>
      <c r="I101" s="201"/>
      <c r="J101" s="201"/>
      <c r="K101" s="201"/>
      <c r="L101" s="658"/>
      <c r="M101" s="381" t="e">
        <f>RANK(K101, K$87:$K$101)</f>
        <v>#N/A</v>
      </c>
      <c r="N101" s="641"/>
      <c r="O101" s="641"/>
      <c r="P101" s="529"/>
      <c r="Q101" s="530"/>
      <c r="R101" s="530"/>
      <c r="S101" s="529"/>
      <c r="T101" s="642"/>
      <c r="U101" s="529"/>
      <c r="V101" s="530"/>
      <c r="W101" s="530"/>
      <c r="X101" s="529"/>
      <c r="Y101" s="642"/>
      <c r="Z101" s="529"/>
      <c r="AA101" s="530"/>
      <c r="AB101" s="530"/>
      <c r="AC101" s="529"/>
      <c r="AD101" s="642"/>
      <c r="AE101" s="529"/>
      <c r="AF101" s="530"/>
      <c r="AG101" s="530"/>
      <c r="AH101" s="529"/>
      <c r="AI101" s="642"/>
      <c r="AJ101" s="529"/>
      <c r="AK101" s="530"/>
      <c r="AL101" s="530"/>
      <c r="AM101" s="529"/>
      <c r="AN101" s="642"/>
      <c r="AO101" s="529"/>
      <c r="AP101" s="530"/>
      <c r="AQ101" s="530"/>
      <c r="AR101" s="529"/>
      <c r="AS101" s="642"/>
      <c r="AT101" s="529"/>
      <c r="AU101" s="530"/>
      <c r="AV101" s="530"/>
      <c r="AW101" s="529"/>
      <c r="AX101" s="642"/>
      <c r="AZ101" s="368" t="e">
        <f t="shared" si="82"/>
        <v>#N/A</v>
      </c>
      <c r="BA101" s="642"/>
    </row>
    <row r="102" spans="2:53" ht="15.75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68">
        <f>P82+7</f>
        <v>46266</v>
      </c>
      <c r="Q102" s="647"/>
      <c r="R102" s="647"/>
      <c r="S102" s="647"/>
      <c r="T102" s="647"/>
      <c r="U102" s="665">
        <f>P102+1</f>
        <v>46267</v>
      </c>
      <c r="V102" s="666"/>
      <c r="W102" s="666"/>
      <c r="X102" s="666"/>
      <c r="Y102" s="667"/>
      <c r="Z102" s="665">
        <f>U102+1</f>
        <v>46268</v>
      </c>
      <c r="AA102" s="666"/>
      <c r="AB102" s="666"/>
      <c r="AC102" s="666"/>
      <c r="AD102" s="667"/>
      <c r="AE102" s="665">
        <f>Z102+1</f>
        <v>46269</v>
      </c>
      <c r="AF102" s="666"/>
      <c r="AG102" s="666"/>
      <c r="AH102" s="666"/>
      <c r="AI102" s="667"/>
      <c r="AJ102" s="665">
        <f>AE102+1</f>
        <v>46270</v>
      </c>
      <c r="AK102" s="666"/>
      <c r="AL102" s="666"/>
      <c r="AM102" s="666"/>
      <c r="AN102" s="667"/>
      <c r="AO102" s="665">
        <f>AJ102+1</f>
        <v>46271</v>
      </c>
      <c r="AP102" s="666"/>
      <c r="AQ102" s="666"/>
      <c r="AR102" s="666"/>
      <c r="AS102" s="667"/>
      <c r="AT102" s="665">
        <f>AO102+1</f>
        <v>46272</v>
      </c>
      <c r="AU102" s="666"/>
      <c r="AV102" s="666"/>
      <c r="AW102" s="666"/>
      <c r="AX102" s="667"/>
    </row>
    <row r="103" spans="2:53" ht="15.75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45"/>
      <c r="O103" s="645"/>
      <c r="P103" s="668" t="s">
        <v>158</v>
      </c>
      <c r="Q103" s="647"/>
      <c r="R103" s="647"/>
      <c r="S103" s="647"/>
      <c r="T103" s="647"/>
      <c r="U103" s="668" t="s">
        <v>114</v>
      </c>
      <c r="V103" s="647"/>
      <c r="W103" s="647"/>
      <c r="X103" s="647"/>
      <c r="Y103" s="647"/>
      <c r="Z103" s="668" t="s">
        <v>159</v>
      </c>
      <c r="AA103" s="647"/>
      <c r="AB103" s="647"/>
      <c r="AC103" s="647"/>
      <c r="AD103" s="647"/>
      <c r="AE103" s="668" t="s">
        <v>157</v>
      </c>
      <c r="AF103" s="647"/>
      <c r="AG103" s="647"/>
      <c r="AH103" s="647"/>
      <c r="AI103" s="647"/>
      <c r="AJ103" s="668" t="s">
        <v>160</v>
      </c>
      <c r="AK103" s="647"/>
      <c r="AL103" s="647"/>
      <c r="AM103" s="647"/>
      <c r="AN103" s="647"/>
      <c r="AO103" s="668" t="s">
        <v>115</v>
      </c>
      <c r="AP103" s="647"/>
      <c r="AQ103" s="647"/>
      <c r="AR103" s="647"/>
      <c r="AS103" s="647"/>
      <c r="AT103" s="668" t="s">
        <v>161</v>
      </c>
      <c r="AU103" s="647"/>
      <c r="AV103" s="647"/>
      <c r="AW103" s="647"/>
      <c r="AX103" s="647"/>
    </row>
    <row r="104" spans="2:53">
      <c r="B104" s="641" t="s">
        <v>154</v>
      </c>
      <c r="C104" s="641" t="s">
        <v>379</v>
      </c>
      <c r="D104" s="641"/>
      <c r="E104" s="641" t="s">
        <v>370</v>
      </c>
      <c r="F104" s="641"/>
      <c r="G104" s="641"/>
      <c r="H104" s="673" t="s">
        <v>366</v>
      </c>
      <c r="I104" s="688" t="s">
        <v>371</v>
      </c>
      <c r="J104" s="688"/>
      <c r="K104" s="688"/>
      <c r="L104" s="689" t="s">
        <v>366</v>
      </c>
      <c r="M104" s="677" t="s">
        <v>367</v>
      </c>
      <c r="N104" s="641"/>
      <c r="O104" s="641" t="s">
        <v>372</v>
      </c>
      <c r="P104" s="659" t="s">
        <v>368</v>
      </c>
      <c r="Q104" s="660"/>
      <c r="R104" s="660"/>
      <c r="S104" s="661"/>
      <c r="T104" s="641" t="s">
        <v>366</v>
      </c>
      <c r="U104" s="659" t="s">
        <v>368</v>
      </c>
      <c r="V104" s="660"/>
      <c r="W104" s="660"/>
      <c r="X104" s="661"/>
      <c r="Y104" s="641" t="s">
        <v>366</v>
      </c>
      <c r="Z104" s="659" t="s">
        <v>368</v>
      </c>
      <c r="AA104" s="660"/>
      <c r="AB104" s="660"/>
      <c r="AC104" s="661"/>
      <c r="AD104" s="641" t="s">
        <v>366</v>
      </c>
      <c r="AE104" s="659" t="s">
        <v>368</v>
      </c>
      <c r="AF104" s="660"/>
      <c r="AG104" s="660"/>
      <c r="AH104" s="661"/>
      <c r="AI104" s="641" t="s">
        <v>366</v>
      </c>
      <c r="AJ104" s="659" t="s">
        <v>368</v>
      </c>
      <c r="AK104" s="660"/>
      <c r="AL104" s="660"/>
      <c r="AM104" s="661"/>
      <c r="AN104" s="641" t="s">
        <v>366</v>
      </c>
      <c r="AO104" s="659" t="s">
        <v>368</v>
      </c>
      <c r="AP104" s="660"/>
      <c r="AQ104" s="660"/>
      <c r="AR104" s="661"/>
      <c r="AS104" s="641" t="s">
        <v>366</v>
      </c>
      <c r="AT104" s="659" t="s">
        <v>368</v>
      </c>
      <c r="AU104" s="660"/>
      <c r="AV104" s="660"/>
      <c r="AW104" s="661"/>
      <c r="AX104" s="641" t="s">
        <v>366</v>
      </c>
      <c r="BA104" s="641" t="s">
        <v>366</v>
      </c>
    </row>
    <row r="105" spans="2:53">
      <c r="B105" s="641"/>
      <c r="C105" s="641"/>
      <c r="D105" s="641"/>
      <c r="E105" s="641" t="s">
        <v>373</v>
      </c>
      <c r="F105" s="641"/>
      <c r="G105" s="641"/>
      <c r="H105" s="674"/>
      <c r="I105" s="688" t="s">
        <v>373</v>
      </c>
      <c r="J105" s="688"/>
      <c r="K105" s="688"/>
      <c r="L105" s="690"/>
      <c r="M105" s="678"/>
      <c r="N105" s="641"/>
      <c r="O105" s="641"/>
      <c r="P105" s="659" t="s">
        <v>374</v>
      </c>
      <c r="Q105" s="660"/>
      <c r="R105" s="660"/>
      <c r="S105" s="661"/>
      <c r="T105" s="641"/>
      <c r="U105" s="659" t="s">
        <v>374</v>
      </c>
      <c r="V105" s="660"/>
      <c r="W105" s="660"/>
      <c r="X105" s="661"/>
      <c r="Y105" s="641"/>
      <c r="Z105" s="659" t="s">
        <v>374</v>
      </c>
      <c r="AA105" s="660"/>
      <c r="AB105" s="660"/>
      <c r="AC105" s="661"/>
      <c r="AD105" s="641"/>
      <c r="AE105" s="659" t="s">
        <v>374</v>
      </c>
      <c r="AF105" s="660"/>
      <c r="AG105" s="660"/>
      <c r="AH105" s="661"/>
      <c r="AI105" s="641"/>
      <c r="AJ105" s="659" t="s">
        <v>374</v>
      </c>
      <c r="AK105" s="660"/>
      <c r="AL105" s="660"/>
      <c r="AM105" s="661"/>
      <c r="AN105" s="641"/>
      <c r="AO105" s="659" t="s">
        <v>374</v>
      </c>
      <c r="AP105" s="660"/>
      <c r="AQ105" s="660"/>
      <c r="AR105" s="661"/>
      <c r="AS105" s="641"/>
      <c r="AT105" s="659" t="s">
        <v>374</v>
      </c>
      <c r="AU105" s="660"/>
      <c r="AV105" s="660"/>
      <c r="AW105" s="661"/>
      <c r="AX105" s="641"/>
      <c r="BA105" s="641"/>
    </row>
    <row r="106" spans="2:53">
      <c r="B106" s="641"/>
      <c r="C106" s="641"/>
      <c r="D106" s="641"/>
      <c r="E106" s="304" t="s">
        <v>375</v>
      </c>
      <c r="F106" s="304" t="s">
        <v>376</v>
      </c>
      <c r="G106" s="304" t="s">
        <v>377</v>
      </c>
      <c r="H106" s="675"/>
      <c r="I106" s="305" t="s">
        <v>375</v>
      </c>
      <c r="J106" s="305" t="s">
        <v>376</v>
      </c>
      <c r="K106" s="305" t="s">
        <v>377</v>
      </c>
      <c r="L106" s="691"/>
      <c r="M106" s="679"/>
      <c r="N106" s="641"/>
      <c r="O106" s="641"/>
      <c r="P106" s="304" t="s">
        <v>375</v>
      </c>
      <c r="Q106" s="304" t="s">
        <v>376</v>
      </c>
      <c r="R106" s="304" t="s">
        <v>377</v>
      </c>
      <c r="S106" s="304" t="s">
        <v>367</v>
      </c>
      <c r="T106" s="641"/>
      <c r="U106" s="304" t="s">
        <v>375</v>
      </c>
      <c r="V106" s="304" t="s">
        <v>376</v>
      </c>
      <c r="W106" s="304" t="s">
        <v>377</v>
      </c>
      <c r="X106" s="304" t="s">
        <v>367</v>
      </c>
      <c r="Y106" s="641"/>
      <c r="Z106" s="304" t="s">
        <v>375</v>
      </c>
      <c r="AA106" s="304" t="s">
        <v>376</v>
      </c>
      <c r="AB106" s="304" t="s">
        <v>377</v>
      </c>
      <c r="AC106" s="304" t="s">
        <v>367</v>
      </c>
      <c r="AD106" s="641"/>
      <c r="AE106" s="304" t="s">
        <v>375</v>
      </c>
      <c r="AF106" s="304" t="s">
        <v>376</v>
      </c>
      <c r="AG106" s="304" t="s">
        <v>377</v>
      </c>
      <c r="AH106" s="304" t="s">
        <v>367</v>
      </c>
      <c r="AI106" s="641"/>
      <c r="AJ106" s="304" t="s">
        <v>375</v>
      </c>
      <c r="AK106" s="304" t="s">
        <v>376</v>
      </c>
      <c r="AL106" s="304" t="s">
        <v>377</v>
      </c>
      <c r="AM106" s="304" t="s">
        <v>367</v>
      </c>
      <c r="AN106" s="641"/>
      <c r="AO106" s="304" t="s">
        <v>375</v>
      </c>
      <c r="AP106" s="304" t="s">
        <v>376</v>
      </c>
      <c r="AQ106" s="304" t="s">
        <v>377</v>
      </c>
      <c r="AR106" s="304" t="s">
        <v>367</v>
      </c>
      <c r="AS106" s="641"/>
      <c r="AT106" s="304" t="s">
        <v>375</v>
      </c>
      <c r="AU106" s="304" t="s">
        <v>376</v>
      </c>
      <c r="AV106" s="304" t="s">
        <v>377</v>
      </c>
      <c r="AW106" s="304" t="s">
        <v>367</v>
      </c>
      <c r="AX106" s="641"/>
      <c r="AZ106" s="367" t="s">
        <v>367</v>
      </c>
      <c r="BA106" s="641"/>
    </row>
    <row r="107" spans="2:53">
      <c r="B107" s="641" t="s">
        <v>380</v>
      </c>
      <c r="C107" s="303">
        <v>1</v>
      </c>
      <c r="D107" s="225"/>
      <c r="E107" s="181"/>
      <c r="F107" s="303"/>
      <c r="G107" s="306"/>
      <c r="H107" s="700" t="e">
        <f>AVERAGE(G107:G121)</f>
        <v>#DIV/0!</v>
      </c>
      <c r="I107" s="363" t="str">
        <f t="shared" ref="I107:I120" si="84">IFERROR(AVERAGE(P107,U107,Z107,AE107,AJ107,AO107,AT107),"-")</f>
        <v>-</v>
      </c>
      <c r="J107" s="363" t="str">
        <f t="shared" ref="J107:J120" si="85">IFERROR(AVERAGE(Q107,V107,AA107,AF107,AK107,AP107,AU107),"-")</f>
        <v>-</v>
      </c>
      <c r="K107" s="199" t="str">
        <f t="shared" ref="K107:K120" si="86">IFERROR(AVERAGE(R107,W107,AB107,AG107,AL107,AQ107,AV107),"-")</f>
        <v>-</v>
      </c>
      <c r="L107" s="656" t="str">
        <f>IFERROR(AVERAGE(K107:K121),"-")</f>
        <v>-</v>
      </c>
      <c r="M107" s="513" t="e">
        <f>RANK(K107, K$107:$K$121)</f>
        <v>#VALUE!</v>
      </c>
      <c r="N107" s="641"/>
      <c r="O107" s="641"/>
      <c r="P107" s="510"/>
      <c r="Q107" s="512"/>
      <c r="R107" s="512"/>
      <c r="S107" s="510"/>
      <c r="T107" s="642"/>
      <c r="U107" s="510"/>
      <c r="V107" s="512"/>
      <c r="W107" s="512"/>
      <c r="X107" s="510"/>
      <c r="Y107" s="642"/>
      <c r="Z107" s="510"/>
      <c r="AA107" s="512"/>
      <c r="AB107" s="512"/>
      <c r="AC107" s="510"/>
      <c r="AD107" s="642"/>
      <c r="AE107" s="510"/>
      <c r="AF107" s="512"/>
      <c r="AG107" s="512"/>
      <c r="AH107" s="510"/>
      <c r="AI107" s="642"/>
      <c r="AJ107" s="510"/>
      <c r="AK107" s="512"/>
      <c r="AL107" s="512"/>
      <c r="AM107" s="510"/>
      <c r="AN107" s="642"/>
      <c r="AO107" s="510"/>
      <c r="AP107" s="512"/>
      <c r="AQ107" s="512"/>
      <c r="AR107" s="510"/>
      <c r="AS107" s="642"/>
      <c r="AT107" s="510"/>
      <c r="AU107" s="512"/>
      <c r="AV107" s="512"/>
      <c r="AW107" s="510"/>
      <c r="AX107" s="642"/>
      <c r="AZ107" s="368" t="e">
        <f>RANK(AY107, AY$107:AY$121)</f>
        <v>#N/A</v>
      </c>
      <c r="BA107" s="642" t="e">
        <f>AVERAGE(AY107:AY121)</f>
        <v>#DIV/0!</v>
      </c>
    </row>
    <row r="108" spans="2:53">
      <c r="B108" s="647"/>
      <c r="C108" s="303">
        <v>2</v>
      </c>
      <c r="D108" s="225"/>
      <c r="E108" s="181"/>
      <c r="F108" s="303"/>
      <c r="G108" s="306"/>
      <c r="H108" s="701"/>
      <c r="I108" s="363" t="str">
        <f t="shared" si="84"/>
        <v>-</v>
      </c>
      <c r="J108" s="363" t="str">
        <f t="shared" si="85"/>
        <v>-</v>
      </c>
      <c r="K108" s="199" t="str">
        <f t="shared" si="86"/>
        <v>-</v>
      </c>
      <c r="L108" s="657"/>
      <c r="M108" s="513" t="e">
        <f>RANK(K108, K$107:$K$121)</f>
        <v>#VALUE!</v>
      </c>
      <c r="N108" s="641"/>
      <c r="O108" s="641"/>
      <c r="P108" s="510"/>
      <c r="Q108" s="512"/>
      <c r="R108" s="512"/>
      <c r="S108" s="510"/>
      <c r="T108" s="642"/>
      <c r="U108" s="510"/>
      <c r="V108" s="512"/>
      <c r="W108" s="512"/>
      <c r="X108" s="510"/>
      <c r="Y108" s="642"/>
      <c r="Z108" s="510"/>
      <c r="AA108" s="512"/>
      <c r="AB108" s="512"/>
      <c r="AC108" s="510"/>
      <c r="AD108" s="642"/>
      <c r="AE108" s="510"/>
      <c r="AF108" s="512"/>
      <c r="AG108" s="512"/>
      <c r="AH108" s="510"/>
      <c r="AI108" s="642"/>
      <c r="AJ108" s="510"/>
      <c r="AK108" s="512"/>
      <c r="AL108" s="512"/>
      <c r="AM108" s="510"/>
      <c r="AN108" s="642"/>
      <c r="AO108" s="510"/>
      <c r="AP108" s="512"/>
      <c r="AQ108" s="512"/>
      <c r="AR108" s="510"/>
      <c r="AS108" s="642"/>
      <c r="AT108" s="510"/>
      <c r="AU108" s="512"/>
      <c r="AV108" s="512"/>
      <c r="AW108" s="510"/>
      <c r="AX108" s="642"/>
      <c r="AZ108" s="368" t="e">
        <f t="shared" ref="AZ108:AZ121" si="87">RANK(AY108, AY$107:AY$121)</f>
        <v>#N/A</v>
      </c>
      <c r="BA108" s="642"/>
    </row>
    <row r="109" spans="2:53">
      <c r="B109" s="647"/>
      <c r="C109" s="303">
        <v>3</v>
      </c>
      <c r="D109" s="225"/>
      <c r="E109" s="181"/>
      <c r="F109" s="303"/>
      <c r="G109" s="306"/>
      <c r="H109" s="701"/>
      <c r="I109" s="363" t="str">
        <f t="shared" si="84"/>
        <v>-</v>
      </c>
      <c r="J109" s="363" t="str">
        <f t="shared" si="85"/>
        <v>-</v>
      </c>
      <c r="K109" s="199" t="str">
        <f t="shared" si="86"/>
        <v>-</v>
      </c>
      <c r="L109" s="657"/>
      <c r="M109" s="513" t="e">
        <f>RANK(K109, K$107:$K$121)</f>
        <v>#VALUE!</v>
      </c>
      <c r="N109" s="641"/>
      <c r="O109" s="641"/>
      <c r="P109" s="510"/>
      <c r="Q109" s="512"/>
      <c r="R109" s="512"/>
      <c r="S109" s="510"/>
      <c r="T109" s="642"/>
      <c r="U109" s="510"/>
      <c r="V109" s="512"/>
      <c r="W109" s="512"/>
      <c r="X109" s="510"/>
      <c r="Y109" s="642"/>
      <c r="Z109" s="510"/>
      <c r="AA109" s="512"/>
      <c r="AB109" s="512"/>
      <c r="AC109" s="510"/>
      <c r="AD109" s="642"/>
      <c r="AE109" s="510"/>
      <c r="AF109" s="512"/>
      <c r="AG109" s="512"/>
      <c r="AH109" s="510"/>
      <c r="AI109" s="642"/>
      <c r="AJ109" s="510"/>
      <c r="AK109" s="512"/>
      <c r="AL109" s="512"/>
      <c r="AM109" s="510"/>
      <c r="AN109" s="642"/>
      <c r="AO109" s="510"/>
      <c r="AP109" s="512"/>
      <c r="AQ109" s="512"/>
      <c r="AR109" s="510"/>
      <c r="AS109" s="642"/>
      <c r="AT109" s="510"/>
      <c r="AU109" s="512"/>
      <c r="AV109" s="512"/>
      <c r="AW109" s="510"/>
      <c r="AX109" s="642"/>
      <c r="AZ109" s="368" t="e">
        <f t="shared" si="87"/>
        <v>#N/A</v>
      </c>
      <c r="BA109" s="642"/>
    </row>
    <row r="110" spans="2:53">
      <c r="B110" s="647"/>
      <c r="C110" s="303">
        <v>4</v>
      </c>
      <c r="D110" s="225"/>
      <c r="E110" s="181"/>
      <c r="F110" s="303"/>
      <c r="G110" s="306"/>
      <c r="H110" s="701"/>
      <c r="I110" s="363" t="str">
        <f t="shared" si="84"/>
        <v>-</v>
      </c>
      <c r="J110" s="363" t="str">
        <f t="shared" si="85"/>
        <v>-</v>
      </c>
      <c r="K110" s="199" t="str">
        <f t="shared" si="86"/>
        <v>-</v>
      </c>
      <c r="L110" s="657"/>
      <c r="M110" s="513" t="e">
        <f>RANK(K110, K$107:$K$121)</f>
        <v>#VALUE!</v>
      </c>
      <c r="N110" s="641"/>
      <c r="O110" s="641"/>
      <c r="P110" s="510"/>
      <c r="Q110" s="512"/>
      <c r="R110" s="512"/>
      <c r="S110" s="510"/>
      <c r="T110" s="642"/>
      <c r="U110" s="510"/>
      <c r="V110" s="512"/>
      <c r="W110" s="512"/>
      <c r="X110" s="510"/>
      <c r="Y110" s="642"/>
      <c r="Z110" s="510"/>
      <c r="AA110" s="512"/>
      <c r="AB110" s="512"/>
      <c r="AC110" s="510"/>
      <c r="AD110" s="642"/>
      <c r="AE110" s="510"/>
      <c r="AF110" s="512"/>
      <c r="AG110" s="512"/>
      <c r="AH110" s="510"/>
      <c r="AI110" s="642"/>
      <c r="AJ110" s="510"/>
      <c r="AK110" s="512"/>
      <c r="AL110" s="512"/>
      <c r="AM110" s="510"/>
      <c r="AN110" s="642"/>
      <c r="AO110" s="510"/>
      <c r="AP110" s="512"/>
      <c r="AQ110" s="512"/>
      <c r="AR110" s="510"/>
      <c r="AS110" s="642"/>
      <c r="AT110" s="510"/>
      <c r="AU110" s="512"/>
      <c r="AV110" s="512"/>
      <c r="AW110" s="510"/>
      <c r="AX110" s="642"/>
      <c r="AZ110" s="368" t="e">
        <f t="shared" si="87"/>
        <v>#N/A</v>
      </c>
      <c r="BA110" s="642"/>
    </row>
    <row r="111" spans="2:53">
      <c r="B111" s="647"/>
      <c r="C111" s="303">
        <v>5</v>
      </c>
      <c r="D111" s="225"/>
      <c r="E111" s="181"/>
      <c r="F111" s="303"/>
      <c r="G111" s="306"/>
      <c r="H111" s="701"/>
      <c r="I111" s="363" t="str">
        <f t="shared" si="84"/>
        <v>-</v>
      </c>
      <c r="J111" s="363" t="str">
        <f t="shared" si="85"/>
        <v>-</v>
      </c>
      <c r="K111" s="199" t="str">
        <f t="shared" si="86"/>
        <v>-</v>
      </c>
      <c r="L111" s="657"/>
      <c r="M111" s="513" t="e">
        <f>RANK(K111, K$107:$K$121)</f>
        <v>#VALUE!</v>
      </c>
      <c r="N111" s="641"/>
      <c r="O111" s="641"/>
      <c r="P111" s="510"/>
      <c r="Q111" s="512"/>
      <c r="R111" s="512"/>
      <c r="S111" s="510"/>
      <c r="T111" s="642"/>
      <c r="U111" s="510"/>
      <c r="V111" s="512"/>
      <c r="W111" s="512"/>
      <c r="X111" s="510"/>
      <c r="Y111" s="642"/>
      <c r="Z111" s="510"/>
      <c r="AA111" s="512"/>
      <c r="AB111" s="512"/>
      <c r="AC111" s="510"/>
      <c r="AD111" s="642"/>
      <c r="AE111" s="510"/>
      <c r="AF111" s="512"/>
      <c r="AG111" s="512"/>
      <c r="AH111" s="510"/>
      <c r="AI111" s="642"/>
      <c r="AJ111" s="510"/>
      <c r="AK111" s="512"/>
      <c r="AL111" s="512"/>
      <c r="AM111" s="510"/>
      <c r="AN111" s="642"/>
      <c r="AO111" s="510"/>
      <c r="AP111" s="512"/>
      <c r="AQ111" s="512"/>
      <c r="AR111" s="510"/>
      <c r="AS111" s="642"/>
      <c r="AT111" s="510"/>
      <c r="AU111" s="512"/>
      <c r="AV111" s="512"/>
      <c r="AW111" s="510"/>
      <c r="AX111" s="642"/>
      <c r="AZ111" s="368" t="e">
        <f t="shared" si="87"/>
        <v>#N/A</v>
      </c>
      <c r="BA111" s="642"/>
    </row>
    <row r="112" spans="2:53">
      <c r="B112" s="647"/>
      <c r="C112" s="303">
        <v>6</v>
      </c>
      <c r="D112" s="225"/>
      <c r="E112" s="181"/>
      <c r="F112" s="303"/>
      <c r="G112" s="306"/>
      <c r="H112" s="701"/>
      <c r="I112" s="363" t="str">
        <f t="shared" si="84"/>
        <v>-</v>
      </c>
      <c r="J112" s="363" t="str">
        <f t="shared" si="85"/>
        <v>-</v>
      </c>
      <c r="K112" s="199" t="str">
        <f t="shared" si="86"/>
        <v>-</v>
      </c>
      <c r="L112" s="657"/>
      <c r="M112" s="513" t="e">
        <f>RANK(K112, K$107:$K$121)</f>
        <v>#VALUE!</v>
      </c>
      <c r="N112" s="641"/>
      <c r="O112" s="641"/>
      <c r="P112" s="510"/>
      <c r="Q112" s="512"/>
      <c r="R112" s="512"/>
      <c r="S112" s="510"/>
      <c r="T112" s="642"/>
      <c r="U112" s="510"/>
      <c r="V112" s="512"/>
      <c r="W112" s="512"/>
      <c r="X112" s="510"/>
      <c r="Y112" s="642"/>
      <c r="Z112" s="510"/>
      <c r="AA112" s="512"/>
      <c r="AB112" s="512"/>
      <c r="AC112" s="510"/>
      <c r="AD112" s="642"/>
      <c r="AE112" s="510"/>
      <c r="AF112" s="512"/>
      <c r="AG112" s="512"/>
      <c r="AH112" s="510"/>
      <c r="AI112" s="642"/>
      <c r="AJ112" s="510"/>
      <c r="AK112" s="512"/>
      <c r="AL112" s="512"/>
      <c r="AM112" s="510"/>
      <c r="AN112" s="642"/>
      <c r="AO112" s="510"/>
      <c r="AP112" s="512"/>
      <c r="AQ112" s="512"/>
      <c r="AR112" s="510"/>
      <c r="AS112" s="642"/>
      <c r="AT112" s="510"/>
      <c r="AU112" s="512"/>
      <c r="AV112" s="512"/>
      <c r="AW112" s="510"/>
      <c r="AX112" s="642"/>
      <c r="AZ112" s="368" t="e">
        <f t="shared" si="87"/>
        <v>#N/A</v>
      </c>
      <c r="BA112" s="642"/>
    </row>
    <row r="113" spans="2:53">
      <c r="B113" s="647"/>
      <c r="C113" s="303">
        <v>7</v>
      </c>
      <c r="D113" s="225"/>
      <c r="E113" s="181"/>
      <c r="F113" s="303"/>
      <c r="G113" s="306"/>
      <c r="H113" s="701"/>
      <c r="I113" s="363" t="str">
        <f t="shared" si="84"/>
        <v>-</v>
      </c>
      <c r="J113" s="363" t="str">
        <f t="shared" si="85"/>
        <v>-</v>
      </c>
      <c r="K113" s="199" t="str">
        <f t="shared" si="86"/>
        <v>-</v>
      </c>
      <c r="L113" s="657"/>
      <c r="M113" s="513" t="e">
        <f>RANK(K113, K$107:$K$121)</f>
        <v>#VALUE!</v>
      </c>
      <c r="N113" s="641"/>
      <c r="O113" s="641"/>
      <c r="P113" s="510"/>
      <c r="Q113" s="512"/>
      <c r="R113" s="512"/>
      <c r="S113" s="510"/>
      <c r="T113" s="642"/>
      <c r="U113" s="510"/>
      <c r="V113" s="512"/>
      <c r="W113" s="512"/>
      <c r="X113" s="510"/>
      <c r="Y113" s="642"/>
      <c r="Z113" s="510"/>
      <c r="AA113" s="512"/>
      <c r="AB113" s="512"/>
      <c r="AC113" s="510"/>
      <c r="AD113" s="642"/>
      <c r="AE113" s="510"/>
      <c r="AF113" s="512"/>
      <c r="AG113" s="512"/>
      <c r="AH113" s="510"/>
      <c r="AI113" s="642"/>
      <c r="AJ113" s="510"/>
      <c r="AK113" s="512"/>
      <c r="AL113" s="512"/>
      <c r="AM113" s="510"/>
      <c r="AN113" s="642"/>
      <c r="AO113" s="510"/>
      <c r="AP113" s="512"/>
      <c r="AQ113" s="512"/>
      <c r="AR113" s="510"/>
      <c r="AS113" s="642"/>
      <c r="AT113" s="510"/>
      <c r="AU113" s="512"/>
      <c r="AV113" s="512"/>
      <c r="AW113" s="510"/>
      <c r="AX113" s="642"/>
      <c r="AZ113" s="368" t="e">
        <f t="shared" si="87"/>
        <v>#N/A</v>
      </c>
      <c r="BA113" s="642"/>
    </row>
    <row r="114" spans="2:53">
      <c r="B114" s="647"/>
      <c r="C114" s="303">
        <v>8</v>
      </c>
      <c r="D114" s="225"/>
      <c r="E114" s="181"/>
      <c r="F114" s="303"/>
      <c r="G114" s="306"/>
      <c r="H114" s="701"/>
      <c r="I114" s="363" t="str">
        <f t="shared" si="84"/>
        <v>-</v>
      </c>
      <c r="J114" s="363" t="str">
        <f t="shared" si="85"/>
        <v>-</v>
      </c>
      <c r="K114" s="199" t="str">
        <f t="shared" si="86"/>
        <v>-</v>
      </c>
      <c r="L114" s="657"/>
      <c r="M114" s="513" t="e">
        <f>RANK(K114, K$107:$K$121)</f>
        <v>#VALUE!</v>
      </c>
      <c r="N114" s="641"/>
      <c r="O114" s="641"/>
      <c r="P114" s="510"/>
      <c r="Q114" s="512"/>
      <c r="R114" s="512"/>
      <c r="S114" s="510"/>
      <c r="T114" s="642"/>
      <c r="U114" s="510"/>
      <c r="V114" s="512"/>
      <c r="W114" s="512"/>
      <c r="X114" s="510"/>
      <c r="Y114" s="642"/>
      <c r="Z114" s="510"/>
      <c r="AA114" s="512"/>
      <c r="AB114" s="512"/>
      <c r="AC114" s="510"/>
      <c r="AD114" s="642"/>
      <c r="AE114" s="510"/>
      <c r="AF114" s="512"/>
      <c r="AG114" s="512"/>
      <c r="AH114" s="510"/>
      <c r="AI114" s="642"/>
      <c r="AJ114" s="510"/>
      <c r="AK114" s="512"/>
      <c r="AL114" s="512"/>
      <c r="AM114" s="510"/>
      <c r="AN114" s="642"/>
      <c r="AO114" s="510"/>
      <c r="AP114" s="512"/>
      <c r="AQ114" s="512"/>
      <c r="AR114" s="510"/>
      <c r="AS114" s="642"/>
      <c r="AT114" s="510"/>
      <c r="AU114" s="512"/>
      <c r="AV114" s="512"/>
      <c r="AW114" s="510"/>
      <c r="AX114" s="642"/>
      <c r="AZ114" s="368" t="e">
        <f t="shared" si="87"/>
        <v>#N/A</v>
      </c>
      <c r="BA114" s="642"/>
    </row>
    <row r="115" spans="2:53">
      <c r="B115" s="647"/>
      <c r="C115" s="303">
        <v>9</v>
      </c>
      <c r="D115" s="225"/>
      <c r="E115" s="181"/>
      <c r="F115" s="303"/>
      <c r="G115" s="306"/>
      <c r="H115" s="701"/>
      <c r="I115" s="363" t="str">
        <f t="shared" si="84"/>
        <v>-</v>
      </c>
      <c r="J115" s="363" t="str">
        <f t="shared" si="85"/>
        <v>-</v>
      </c>
      <c r="K115" s="199" t="str">
        <f t="shared" si="86"/>
        <v>-</v>
      </c>
      <c r="L115" s="657"/>
      <c r="M115" s="513" t="e">
        <f>RANK(K115, K$107:$K$121)</f>
        <v>#VALUE!</v>
      </c>
      <c r="N115" s="641"/>
      <c r="O115" s="641"/>
      <c r="P115" s="510"/>
      <c r="Q115" s="512"/>
      <c r="R115" s="512"/>
      <c r="S115" s="510"/>
      <c r="T115" s="642"/>
      <c r="U115" s="510"/>
      <c r="V115" s="512"/>
      <c r="W115" s="512"/>
      <c r="X115" s="510"/>
      <c r="Y115" s="642"/>
      <c r="Z115" s="510"/>
      <c r="AA115" s="512"/>
      <c r="AB115" s="512"/>
      <c r="AC115" s="510"/>
      <c r="AD115" s="642"/>
      <c r="AE115" s="510"/>
      <c r="AF115" s="512"/>
      <c r="AG115" s="512"/>
      <c r="AH115" s="510"/>
      <c r="AI115" s="642"/>
      <c r="AJ115" s="510"/>
      <c r="AK115" s="512"/>
      <c r="AL115" s="512"/>
      <c r="AM115" s="510"/>
      <c r="AN115" s="642"/>
      <c r="AO115" s="510"/>
      <c r="AP115" s="512"/>
      <c r="AQ115" s="512"/>
      <c r="AR115" s="510"/>
      <c r="AS115" s="642"/>
      <c r="AT115" s="510"/>
      <c r="AU115" s="512"/>
      <c r="AV115" s="512"/>
      <c r="AW115" s="510"/>
      <c r="AX115" s="642"/>
      <c r="AZ115" s="368" t="e">
        <f t="shared" si="87"/>
        <v>#N/A</v>
      </c>
      <c r="BA115" s="642"/>
    </row>
    <row r="116" spans="2:53">
      <c r="B116" s="647"/>
      <c r="C116" s="303">
        <v>10</v>
      </c>
      <c r="D116" s="225"/>
      <c r="E116" s="181"/>
      <c r="F116" s="303"/>
      <c r="G116" s="306"/>
      <c r="H116" s="701"/>
      <c r="I116" s="363" t="str">
        <f t="shared" si="84"/>
        <v>-</v>
      </c>
      <c r="J116" s="363" t="str">
        <f t="shared" si="85"/>
        <v>-</v>
      </c>
      <c r="K116" s="199" t="str">
        <f t="shared" si="86"/>
        <v>-</v>
      </c>
      <c r="L116" s="657"/>
      <c r="M116" s="513" t="e">
        <f>RANK(K116, K$107:$K$121)</f>
        <v>#VALUE!</v>
      </c>
      <c r="N116" s="641"/>
      <c r="O116" s="641"/>
      <c r="P116" s="510"/>
      <c r="Q116" s="512"/>
      <c r="R116" s="512"/>
      <c r="S116" s="510"/>
      <c r="T116" s="642"/>
      <c r="U116" s="510"/>
      <c r="V116" s="512"/>
      <c r="W116" s="512"/>
      <c r="X116" s="510"/>
      <c r="Y116" s="642"/>
      <c r="Z116" s="510"/>
      <c r="AA116" s="512"/>
      <c r="AB116" s="512"/>
      <c r="AC116" s="510"/>
      <c r="AD116" s="642"/>
      <c r="AE116" s="510"/>
      <c r="AF116" s="512"/>
      <c r="AG116" s="512"/>
      <c r="AH116" s="510"/>
      <c r="AI116" s="642"/>
      <c r="AJ116" s="510"/>
      <c r="AK116" s="512"/>
      <c r="AL116" s="512"/>
      <c r="AM116" s="510"/>
      <c r="AN116" s="642"/>
      <c r="AO116" s="510"/>
      <c r="AP116" s="512"/>
      <c r="AQ116" s="512"/>
      <c r="AR116" s="510"/>
      <c r="AS116" s="642"/>
      <c r="AT116" s="510"/>
      <c r="AU116" s="512"/>
      <c r="AV116" s="512"/>
      <c r="AW116" s="510"/>
      <c r="AX116" s="642"/>
      <c r="AZ116" s="368" t="e">
        <f t="shared" si="87"/>
        <v>#N/A</v>
      </c>
      <c r="BA116" s="642"/>
    </row>
    <row r="117" spans="2:53">
      <c r="B117" s="647"/>
      <c r="C117" s="303">
        <v>11</v>
      </c>
      <c r="D117" s="225"/>
      <c r="E117" s="181"/>
      <c r="F117" s="303"/>
      <c r="G117" s="306"/>
      <c r="H117" s="701"/>
      <c r="I117" s="363" t="str">
        <f t="shared" si="84"/>
        <v>-</v>
      </c>
      <c r="J117" s="363" t="str">
        <f t="shared" si="85"/>
        <v>-</v>
      </c>
      <c r="K117" s="199" t="str">
        <f t="shared" si="86"/>
        <v>-</v>
      </c>
      <c r="L117" s="657"/>
      <c r="M117" s="513" t="e">
        <f>RANK(K117, K$107:$K$121)</f>
        <v>#VALUE!</v>
      </c>
      <c r="N117" s="641"/>
      <c r="O117" s="641"/>
      <c r="P117" s="510"/>
      <c r="Q117" s="512"/>
      <c r="R117" s="512"/>
      <c r="S117" s="510"/>
      <c r="T117" s="642"/>
      <c r="U117" s="510"/>
      <c r="V117" s="512"/>
      <c r="W117" s="512"/>
      <c r="X117" s="510"/>
      <c r="Y117" s="642"/>
      <c r="Z117" s="510"/>
      <c r="AA117" s="512"/>
      <c r="AB117" s="512"/>
      <c r="AC117" s="510"/>
      <c r="AD117" s="642"/>
      <c r="AE117" s="510"/>
      <c r="AF117" s="512"/>
      <c r="AG117" s="512"/>
      <c r="AH117" s="510"/>
      <c r="AI117" s="642"/>
      <c r="AJ117" s="510"/>
      <c r="AK117" s="512"/>
      <c r="AL117" s="512"/>
      <c r="AM117" s="510"/>
      <c r="AN117" s="642"/>
      <c r="AO117" s="510"/>
      <c r="AP117" s="512"/>
      <c r="AQ117" s="512"/>
      <c r="AR117" s="510"/>
      <c r="AS117" s="642"/>
      <c r="AT117" s="510"/>
      <c r="AU117" s="512"/>
      <c r="AV117" s="512"/>
      <c r="AW117" s="510"/>
      <c r="AX117" s="642"/>
      <c r="AZ117" s="368" t="e">
        <f t="shared" si="87"/>
        <v>#N/A</v>
      </c>
      <c r="BA117" s="642"/>
    </row>
    <row r="118" spans="2:53">
      <c r="B118" s="647"/>
      <c r="C118" s="303">
        <v>12</v>
      </c>
      <c r="D118" s="225"/>
      <c r="E118" s="181"/>
      <c r="F118" s="303"/>
      <c r="G118" s="306"/>
      <c r="H118" s="701"/>
      <c r="I118" s="363" t="str">
        <f t="shared" si="84"/>
        <v>-</v>
      </c>
      <c r="J118" s="363" t="str">
        <f t="shared" si="85"/>
        <v>-</v>
      </c>
      <c r="K118" s="199" t="str">
        <f t="shared" si="86"/>
        <v>-</v>
      </c>
      <c r="L118" s="657"/>
      <c r="M118" s="513" t="e">
        <f>RANK(K118, K$107:$K$121)</f>
        <v>#VALUE!</v>
      </c>
      <c r="N118" s="641"/>
      <c r="O118" s="641"/>
      <c r="P118" s="510"/>
      <c r="Q118" s="512"/>
      <c r="R118" s="512"/>
      <c r="S118" s="510"/>
      <c r="T118" s="642"/>
      <c r="U118" s="510"/>
      <c r="V118" s="512"/>
      <c r="W118" s="512"/>
      <c r="X118" s="510"/>
      <c r="Y118" s="642"/>
      <c r="Z118" s="510"/>
      <c r="AA118" s="512"/>
      <c r="AB118" s="512"/>
      <c r="AC118" s="510"/>
      <c r="AD118" s="642"/>
      <c r="AE118" s="510"/>
      <c r="AF118" s="512"/>
      <c r="AG118" s="512"/>
      <c r="AH118" s="510"/>
      <c r="AI118" s="642"/>
      <c r="AJ118" s="510"/>
      <c r="AK118" s="512"/>
      <c r="AL118" s="512"/>
      <c r="AM118" s="510"/>
      <c r="AN118" s="642"/>
      <c r="AO118" s="510"/>
      <c r="AP118" s="512"/>
      <c r="AQ118" s="512"/>
      <c r="AR118" s="510"/>
      <c r="AS118" s="642"/>
      <c r="AT118" s="510"/>
      <c r="AU118" s="512"/>
      <c r="AV118" s="512"/>
      <c r="AW118" s="510"/>
      <c r="AX118" s="642"/>
      <c r="AZ118" s="368" t="e">
        <f t="shared" si="87"/>
        <v>#N/A</v>
      </c>
      <c r="BA118" s="642"/>
    </row>
    <row r="119" spans="2:53">
      <c r="B119" s="647"/>
      <c r="C119" s="303">
        <v>13</v>
      </c>
      <c r="D119" s="225"/>
      <c r="E119" s="181"/>
      <c r="F119" s="303"/>
      <c r="G119" s="306"/>
      <c r="H119" s="701"/>
      <c r="I119" s="363" t="str">
        <f t="shared" si="84"/>
        <v>-</v>
      </c>
      <c r="J119" s="363" t="str">
        <f t="shared" si="85"/>
        <v>-</v>
      </c>
      <c r="K119" s="199" t="str">
        <f t="shared" si="86"/>
        <v>-</v>
      </c>
      <c r="L119" s="657"/>
      <c r="M119" s="513" t="e">
        <f>RANK(K119, K$107:$K$121)</f>
        <v>#VALUE!</v>
      </c>
      <c r="N119" s="641"/>
      <c r="O119" s="641"/>
      <c r="P119" s="510"/>
      <c r="Q119" s="512"/>
      <c r="R119" s="512"/>
      <c r="S119" s="510"/>
      <c r="T119" s="642"/>
      <c r="U119" s="510"/>
      <c r="V119" s="512"/>
      <c r="W119" s="512"/>
      <c r="X119" s="510"/>
      <c r="Y119" s="642"/>
      <c r="Z119" s="510"/>
      <c r="AA119" s="512"/>
      <c r="AB119" s="512"/>
      <c r="AC119" s="510"/>
      <c r="AD119" s="642"/>
      <c r="AE119" s="510"/>
      <c r="AF119" s="512"/>
      <c r="AG119" s="512"/>
      <c r="AH119" s="510"/>
      <c r="AI119" s="642"/>
      <c r="AJ119" s="510"/>
      <c r="AK119" s="512"/>
      <c r="AL119" s="512"/>
      <c r="AM119" s="510"/>
      <c r="AN119" s="642"/>
      <c r="AO119" s="510"/>
      <c r="AP119" s="512"/>
      <c r="AQ119" s="512"/>
      <c r="AR119" s="510"/>
      <c r="AS119" s="642"/>
      <c r="AT119" s="510"/>
      <c r="AU119" s="512"/>
      <c r="AV119" s="512"/>
      <c r="AW119" s="510"/>
      <c r="AX119" s="642"/>
      <c r="AZ119" s="368" t="e">
        <f t="shared" si="87"/>
        <v>#N/A</v>
      </c>
      <c r="BA119" s="642"/>
    </row>
    <row r="120" spans="2:53">
      <c r="B120" s="647"/>
      <c r="C120" s="303">
        <v>14</v>
      </c>
      <c r="D120" s="225"/>
      <c r="E120" s="181"/>
      <c r="F120" s="303"/>
      <c r="G120" s="306"/>
      <c r="H120" s="701"/>
      <c r="I120" s="363" t="str">
        <f t="shared" si="84"/>
        <v>-</v>
      </c>
      <c r="J120" s="363" t="str">
        <f t="shared" si="85"/>
        <v>-</v>
      </c>
      <c r="K120" s="199" t="str">
        <f t="shared" si="86"/>
        <v>-</v>
      </c>
      <c r="L120" s="657"/>
      <c r="M120" s="513" t="e">
        <f>RANK(K120, K$107:$K$121)</f>
        <v>#VALUE!</v>
      </c>
      <c r="N120" s="641"/>
      <c r="O120" s="641"/>
      <c r="P120" s="510"/>
      <c r="Q120" s="512"/>
      <c r="R120" s="512"/>
      <c r="S120" s="510"/>
      <c r="T120" s="642"/>
      <c r="U120" s="510"/>
      <c r="V120" s="512"/>
      <c r="W120" s="512"/>
      <c r="X120" s="510"/>
      <c r="Y120" s="642"/>
      <c r="Z120" s="510"/>
      <c r="AA120" s="512"/>
      <c r="AB120" s="512"/>
      <c r="AC120" s="510"/>
      <c r="AD120" s="642"/>
      <c r="AE120" s="510"/>
      <c r="AF120" s="512"/>
      <c r="AG120" s="512"/>
      <c r="AH120" s="510"/>
      <c r="AI120" s="642"/>
      <c r="AJ120" s="510"/>
      <c r="AK120" s="512"/>
      <c r="AL120" s="512"/>
      <c r="AM120" s="510"/>
      <c r="AN120" s="642"/>
      <c r="AO120" s="510"/>
      <c r="AP120" s="512"/>
      <c r="AQ120" s="512"/>
      <c r="AR120" s="510"/>
      <c r="AS120" s="642"/>
      <c r="AT120" s="510"/>
      <c r="AU120" s="512"/>
      <c r="AV120" s="512"/>
      <c r="AW120" s="510"/>
      <c r="AX120" s="642"/>
      <c r="AZ120" s="368" t="e">
        <f t="shared" si="87"/>
        <v>#N/A</v>
      </c>
      <c r="BA120" s="642"/>
    </row>
    <row r="121" spans="2:53">
      <c r="B121" s="647"/>
      <c r="C121" s="303">
        <v>15</v>
      </c>
      <c r="D121" s="225"/>
      <c r="E121" s="181"/>
      <c r="F121" s="303"/>
      <c r="G121" s="306"/>
      <c r="H121" s="702"/>
      <c r="I121" s="201"/>
      <c r="J121" s="201"/>
      <c r="K121" s="201"/>
      <c r="L121" s="658"/>
      <c r="M121" s="513" t="e">
        <f>RANK(K121, K$107:$K$121)</f>
        <v>#N/A</v>
      </c>
      <c r="N121" s="641"/>
      <c r="O121" s="641"/>
      <c r="P121" s="510"/>
      <c r="Q121" s="512"/>
      <c r="R121" s="512"/>
      <c r="S121" s="510"/>
      <c r="T121" s="642"/>
      <c r="U121" s="510"/>
      <c r="V121" s="512"/>
      <c r="W121" s="512"/>
      <c r="X121" s="510"/>
      <c r="Y121" s="642"/>
      <c r="Z121" s="510"/>
      <c r="AA121" s="512"/>
      <c r="AB121" s="512"/>
      <c r="AC121" s="510"/>
      <c r="AD121" s="642"/>
      <c r="AE121" s="510"/>
      <c r="AF121" s="512"/>
      <c r="AG121" s="512"/>
      <c r="AH121" s="510"/>
      <c r="AI121" s="642"/>
      <c r="AJ121" s="510"/>
      <c r="AK121" s="512"/>
      <c r="AL121" s="512"/>
      <c r="AM121" s="510"/>
      <c r="AN121" s="642"/>
      <c r="AO121" s="510"/>
      <c r="AP121" s="512"/>
      <c r="AQ121" s="512"/>
      <c r="AR121" s="510"/>
      <c r="AS121" s="642"/>
      <c r="AT121" s="510"/>
      <c r="AU121" s="512"/>
      <c r="AV121" s="512"/>
      <c r="AW121" s="510"/>
      <c r="AX121" s="642"/>
      <c r="AZ121" s="368" t="e">
        <f t="shared" si="87"/>
        <v>#N/A</v>
      </c>
      <c r="BA121" s="642"/>
    </row>
    <row r="123" spans="2:53" ht="15.75">
      <c r="B123" s="649" t="s">
        <v>472</v>
      </c>
      <c r="C123" s="650"/>
      <c r="D123" s="650"/>
      <c r="E123" s="650"/>
      <c r="F123" s="650"/>
      <c r="G123" s="650"/>
      <c r="H123" s="651"/>
      <c r="I123" s="307"/>
      <c r="J123" s="307"/>
      <c r="K123" s="307"/>
      <c r="L123" s="307"/>
      <c r="M123" s="308"/>
    </row>
    <row r="124" spans="2:53" ht="15.75">
      <c r="B124" s="652"/>
      <c r="C124" s="652"/>
      <c r="D124" s="652"/>
      <c r="E124" s="652"/>
      <c r="F124" s="652"/>
      <c r="G124" s="652"/>
      <c r="H124" s="652"/>
      <c r="I124" s="309"/>
      <c r="J124" s="309"/>
      <c r="K124" s="309"/>
      <c r="L124" s="309"/>
      <c r="M124" s="310"/>
    </row>
    <row r="125" spans="2:53">
      <c r="B125" s="641" t="s">
        <v>473</v>
      </c>
      <c r="C125" s="641" t="s">
        <v>474</v>
      </c>
      <c r="D125" s="641"/>
      <c r="E125" s="641" t="s">
        <v>475</v>
      </c>
      <c r="F125" s="641"/>
      <c r="G125" s="641"/>
      <c r="H125" s="673" t="s">
        <v>476</v>
      </c>
      <c r="I125" s="653" t="s">
        <v>477</v>
      </c>
      <c r="J125" s="653"/>
      <c r="K125" s="653"/>
      <c r="L125" s="706" t="s">
        <v>476</v>
      </c>
      <c r="M125" s="709" t="s">
        <v>478</v>
      </c>
    </row>
    <row r="126" spans="2:53">
      <c r="B126" s="641"/>
      <c r="C126" s="641"/>
      <c r="D126" s="641"/>
      <c r="E126" s="641" t="s">
        <v>479</v>
      </c>
      <c r="F126" s="641"/>
      <c r="G126" s="641"/>
      <c r="H126" s="674"/>
      <c r="I126" s="653" t="s">
        <v>479</v>
      </c>
      <c r="J126" s="653"/>
      <c r="K126" s="653"/>
      <c r="L126" s="707"/>
      <c r="M126" s="710"/>
    </row>
    <row r="127" spans="2:53">
      <c r="B127" s="641"/>
      <c r="C127" s="641"/>
      <c r="D127" s="641"/>
      <c r="E127" s="304" t="s">
        <v>480</v>
      </c>
      <c r="F127" s="304" t="s">
        <v>481</v>
      </c>
      <c r="G127" s="304" t="s">
        <v>482</v>
      </c>
      <c r="H127" s="675"/>
      <c r="I127" s="311" t="s">
        <v>480</v>
      </c>
      <c r="J127" s="311" t="s">
        <v>481</v>
      </c>
      <c r="K127" s="311" t="s">
        <v>482</v>
      </c>
      <c r="L127" s="708"/>
      <c r="M127" s="711"/>
    </row>
    <row r="128" spans="2:53">
      <c r="B128" s="641" t="s">
        <v>486</v>
      </c>
      <c r="C128" s="303">
        <v>1</v>
      </c>
      <c r="D128" s="225"/>
      <c r="E128" s="181"/>
      <c r="F128" s="303"/>
      <c r="G128" s="306"/>
      <c r="H128" s="700" t="e">
        <f>AVERAGE(G128:G142)</f>
        <v>#DIV/0!</v>
      </c>
      <c r="I128" s="198" t="e">
        <f t="shared" ref="I128:J128" si="88">AVERAGEIF($D$7:$D$121,$D128,I$7:I$121)</f>
        <v>#DIV/0!</v>
      </c>
      <c r="J128" s="198" t="e">
        <f t="shared" si="88"/>
        <v>#DIV/0!</v>
      </c>
      <c r="K128" s="198" t="e">
        <f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39">
      <c r="B129" s="647"/>
      <c r="C129" s="303">
        <v>2</v>
      </c>
      <c r="D129" s="225"/>
      <c r="E129" s="181"/>
      <c r="F129" s="303"/>
      <c r="G129" s="306"/>
      <c r="H129" s="701"/>
      <c r="I129" s="198"/>
      <c r="J129" s="198"/>
      <c r="K129" s="198"/>
      <c r="L129" s="704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7"/>
      <c r="C130" s="303">
        <v>3</v>
      </c>
      <c r="D130" s="225"/>
      <c r="E130" s="181"/>
      <c r="F130" s="303"/>
      <c r="G130" s="306"/>
      <c r="H130" s="701"/>
      <c r="I130" s="198"/>
      <c r="J130" s="198"/>
      <c r="K130" s="198"/>
      <c r="L130" s="704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7"/>
      <c r="C131" s="303">
        <v>4</v>
      </c>
      <c r="D131" s="225"/>
      <c r="E131" s="181"/>
      <c r="F131" s="303"/>
      <c r="G131" s="306"/>
      <c r="H131" s="701"/>
      <c r="I131" s="198"/>
      <c r="J131" s="198"/>
      <c r="K131" s="198"/>
      <c r="L131" s="704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7"/>
      <c r="C132" s="303">
        <v>5</v>
      </c>
      <c r="D132" s="225"/>
      <c r="E132" s="181"/>
      <c r="F132" s="303"/>
      <c r="G132" s="306"/>
      <c r="H132" s="701"/>
      <c r="I132" s="198"/>
      <c r="J132" s="198"/>
      <c r="K132" s="198"/>
      <c r="L132" s="704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7"/>
      <c r="C133" s="303">
        <v>6</v>
      </c>
      <c r="D133" s="312"/>
      <c r="E133" s="181"/>
      <c r="F133" s="303"/>
      <c r="G133" s="306"/>
      <c r="H133" s="701"/>
      <c r="I133" s="198"/>
      <c r="J133" s="198"/>
      <c r="K133" s="198"/>
      <c r="L133" s="704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7"/>
      <c r="C134" s="303">
        <v>7</v>
      </c>
      <c r="D134" s="225"/>
      <c r="E134" s="181"/>
      <c r="F134" s="303"/>
      <c r="G134" s="306"/>
      <c r="H134" s="701"/>
      <c r="I134" s="198"/>
      <c r="J134" s="198"/>
      <c r="K134" s="198"/>
      <c r="L134" s="704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7"/>
      <c r="C135" s="303">
        <v>8</v>
      </c>
      <c r="D135" s="225"/>
      <c r="E135" s="181"/>
      <c r="F135" s="303"/>
      <c r="G135" s="306"/>
      <c r="H135" s="701"/>
      <c r="I135" s="198"/>
      <c r="J135" s="198"/>
      <c r="K135" s="198"/>
      <c r="L135" s="704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7"/>
      <c r="C136" s="303">
        <v>9</v>
      </c>
      <c r="D136" s="225"/>
      <c r="E136" s="303"/>
      <c r="F136" s="303"/>
      <c r="G136" s="303"/>
      <c r="H136" s="701"/>
      <c r="I136" s="198"/>
      <c r="J136" s="198"/>
      <c r="K136" s="198"/>
      <c r="L136" s="704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7"/>
      <c r="C137" s="303">
        <v>10</v>
      </c>
      <c r="D137" s="225"/>
      <c r="E137" s="303"/>
      <c r="F137" s="303"/>
      <c r="G137" s="303"/>
      <c r="H137" s="701"/>
      <c r="I137" s="198"/>
      <c r="J137" s="198"/>
      <c r="K137" s="198"/>
      <c r="L137" s="704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7"/>
      <c r="C138" s="303">
        <v>11</v>
      </c>
      <c r="D138" s="225"/>
      <c r="E138" s="303"/>
      <c r="F138" s="303"/>
      <c r="G138" s="303"/>
      <c r="H138" s="701"/>
      <c r="I138" s="198"/>
      <c r="J138" s="198"/>
      <c r="K138" s="198"/>
      <c r="L138" s="704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7"/>
      <c r="C139" s="303">
        <v>12</v>
      </c>
      <c r="D139" s="225"/>
      <c r="E139" s="303"/>
      <c r="F139" s="303"/>
      <c r="G139" s="303"/>
      <c r="H139" s="701"/>
      <c r="I139" s="198"/>
      <c r="J139" s="198"/>
      <c r="K139" s="198"/>
      <c r="L139" s="704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7"/>
      <c r="C140" s="303">
        <v>13</v>
      </c>
      <c r="D140" s="225"/>
      <c r="E140" s="303"/>
      <c r="F140" s="303"/>
      <c r="G140" s="303"/>
      <c r="H140" s="701"/>
      <c r="I140" s="198"/>
      <c r="J140" s="198"/>
      <c r="K140" s="198"/>
      <c r="L140" s="704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7"/>
      <c r="C141" s="303">
        <v>14</v>
      </c>
      <c r="D141" s="225"/>
      <c r="E141" s="303"/>
      <c r="F141" s="303"/>
      <c r="G141" s="303"/>
      <c r="H141" s="701"/>
      <c r="I141" s="198"/>
      <c r="J141" s="198"/>
      <c r="K141" s="198"/>
      <c r="L141" s="704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7"/>
      <c r="C142" s="303">
        <v>15</v>
      </c>
      <c r="D142" s="225"/>
      <c r="E142" s="303"/>
      <c r="F142" s="303"/>
      <c r="G142" s="303"/>
      <c r="H142" s="702"/>
      <c r="I142" s="198"/>
      <c r="J142" s="198"/>
      <c r="K142" s="198"/>
      <c r="L142" s="705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93" zoomScale="55" zoomScaleNormal="55" workbookViewId="0">
      <pane xSplit="15" topLeftCell="P1" activePane="topRight" state="frozen"/>
      <selection activeCell="T87" activeCellId="6" sqref="AW87:AX101 AR87:AS101 AM87:AN101 AH87:AI101 AC87:AD101 X87:Y101 S87:T101"/>
      <selection pane="topRight" activeCell="T112" sqref="T112:T1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AVERAGE(L7,L42,L77,L112,L147,L182)</f>
        <v>90.057655678840774</v>
      </c>
    </row>
    <row r="2" spans="1:53" ht="15.75">
      <c r="A2" s="81"/>
      <c r="B2" s="669" t="s">
        <v>162</v>
      </c>
      <c r="C2" s="670"/>
      <c r="D2" s="670"/>
      <c r="E2" s="670"/>
      <c r="F2" s="670"/>
      <c r="G2" s="670"/>
      <c r="H2" s="671"/>
      <c r="I2" s="207"/>
      <c r="J2" s="207"/>
      <c r="K2" s="207"/>
      <c r="L2" s="207"/>
      <c r="M2" s="206"/>
      <c r="N2" s="643" t="s">
        <v>156</v>
      </c>
      <c r="O2" s="643" t="s">
        <v>105</v>
      </c>
      <c r="P2" s="665">
        <v>46231</v>
      </c>
      <c r="Q2" s="666"/>
      <c r="R2" s="666"/>
      <c r="S2" s="666"/>
      <c r="T2" s="667"/>
      <c r="U2" s="665">
        <f>P2+1</f>
        <v>46232</v>
      </c>
      <c r="V2" s="666"/>
      <c r="W2" s="666"/>
      <c r="X2" s="666"/>
      <c r="Y2" s="667"/>
      <c r="Z2" s="665">
        <f>U2+1</f>
        <v>46233</v>
      </c>
      <c r="AA2" s="666"/>
      <c r="AB2" s="666"/>
      <c r="AC2" s="666"/>
      <c r="AD2" s="667"/>
      <c r="AE2" s="665">
        <f>Z2+1</f>
        <v>46234</v>
      </c>
      <c r="AF2" s="666"/>
      <c r="AG2" s="666"/>
      <c r="AH2" s="666"/>
      <c r="AI2" s="667"/>
      <c r="AJ2" s="665">
        <f>AE2+1</f>
        <v>46235</v>
      </c>
      <c r="AK2" s="666"/>
      <c r="AL2" s="666"/>
      <c r="AM2" s="666"/>
      <c r="AN2" s="667"/>
      <c r="AO2" s="665">
        <f>AJ2+1</f>
        <v>46236</v>
      </c>
      <c r="AP2" s="666"/>
      <c r="AQ2" s="666"/>
      <c r="AR2" s="666"/>
      <c r="AS2" s="667"/>
      <c r="AT2" s="665">
        <f>AO2+1</f>
        <v>46237</v>
      </c>
      <c r="AU2" s="666"/>
      <c r="AV2" s="666"/>
      <c r="AW2" s="666"/>
      <c r="AX2" s="667"/>
    </row>
    <row r="3" spans="1:53" ht="15.75">
      <c r="A3" s="81"/>
      <c r="B3" s="672"/>
      <c r="C3" s="672"/>
      <c r="D3" s="672"/>
      <c r="E3" s="672"/>
      <c r="F3" s="672"/>
      <c r="G3" s="672"/>
      <c r="H3" s="672"/>
      <c r="I3" s="204"/>
      <c r="J3" s="204"/>
      <c r="K3" s="204"/>
      <c r="L3" s="204"/>
      <c r="M3" s="205"/>
      <c r="N3" s="645"/>
      <c r="O3" s="645"/>
      <c r="P3" s="668" t="s">
        <v>158</v>
      </c>
      <c r="Q3" s="647"/>
      <c r="R3" s="647"/>
      <c r="S3" s="647"/>
      <c r="T3" s="647"/>
      <c r="U3" s="668" t="s">
        <v>114</v>
      </c>
      <c r="V3" s="647"/>
      <c r="W3" s="647"/>
      <c r="X3" s="647"/>
      <c r="Y3" s="647"/>
      <c r="Z3" s="668" t="s">
        <v>159</v>
      </c>
      <c r="AA3" s="647"/>
      <c r="AB3" s="647"/>
      <c r="AC3" s="647"/>
      <c r="AD3" s="647"/>
      <c r="AE3" s="668" t="s">
        <v>157</v>
      </c>
      <c r="AF3" s="647"/>
      <c r="AG3" s="647"/>
      <c r="AH3" s="647"/>
      <c r="AI3" s="647"/>
      <c r="AJ3" s="668" t="s">
        <v>160</v>
      </c>
      <c r="AK3" s="647"/>
      <c r="AL3" s="647"/>
      <c r="AM3" s="647"/>
      <c r="AN3" s="647"/>
      <c r="AO3" s="668" t="s">
        <v>115</v>
      </c>
      <c r="AP3" s="647"/>
      <c r="AQ3" s="647"/>
      <c r="AR3" s="647"/>
      <c r="AS3" s="647"/>
      <c r="AT3" s="668" t="s">
        <v>161</v>
      </c>
      <c r="AU3" s="647"/>
      <c r="AV3" s="647"/>
      <c r="AW3" s="647"/>
      <c r="AX3" s="647"/>
    </row>
    <row r="4" spans="1:53" ht="14.25">
      <c r="A4" s="81"/>
      <c r="B4" s="641" t="s">
        <v>154</v>
      </c>
      <c r="C4" s="641" t="s">
        <v>379</v>
      </c>
      <c r="D4" s="641"/>
      <c r="E4" s="641" t="s">
        <v>370</v>
      </c>
      <c r="F4" s="641"/>
      <c r="G4" s="641"/>
      <c r="H4" s="673" t="s">
        <v>366</v>
      </c>
      <c r="I4" s="688" t="s">
        <v>371</v>
      </c>
      <c r="J4" s="688"/>
      <c r="K4" s="688"/>
      <c r="L4" s="689" t="s">
        <v>366</v>
      </c>
      <c r="M4" s="677" t="s">
        <v>367</v>
      </c>
      <c r="N4" s="641"/>
      <c r="O4" s="641" t="s">
        <v>372</v>
      </c>
      <c r="P4" s="659" t="s">
        <v>368</v>
      </c>
      <c r="Q4" s="660"/>
      <c r="R4" s="660"/>
      <c r="S4" s="661"/>
      <c r="T4" s="641" t="s">
        <v>366</v>
      </c>
      <c r="U4" s="659" t="s">
        <v>368</v>
      </c>
      <c r="V4" s="660"/>
      <c r="W4" s="660"/>
      <c r="X4" s="661"/>
      <c r="Y4" s="641" t="s">
        <v>366</v>
      </c>
      <c r="Z4" s="659" t="s">
        <v>368</v>
      </c>
      <c r="AA4" s="660"/>
      <c r="AB4" s="660"/>
      <c r="AC4" s="661"/>
      <c r="AD4" s="641" t="s">
        <v>366</v>
      </c>
      <c r="AE4" s="659" t="s">
        <v>368</v>
      </c>
      <c r="AF4" s="660"/>
      <c r="AG4" s="660"/>
      <c r="AH4" s="661"/>
      <c r="AI4" s="641" t="s">
        <v>366</v>
      </c>
      <c r="AJ4" s="659" t="s">
        <v>368</v>
      </c>
      <c r="AK4" s="660"/>
      <c r="AL4" s="660"/>
      <c r="AM4" s="661"/>
      <c r="AN4" s="641" t="s">
        <v>366</v>
      </c>
      <c r="AO4" s="659" t="s">
        <v>368</v>
      </c>
      <c r="AP4" s="660"/>
      <c r="AQ4" s="660"/>
      <c r="AR4" s="661"/>
      <c r="AS4" s="641" t="s">
        <v>366</v>
      </c>
      <c r="AT4" s="659" t="s">
        <v>368</v>
      </c>
      <c r="AU4" s="660"/>
      <c r="AV4" s="660"/>
      <c r="AW4" s="661"/>
      <c r="AX4" s="641" t="s">
        <v>366</v>
      </c>
      <c r="BA4" s="641" t="s">
        <v>366</v>
      </c>
    </row>
    <row r="5" spans="1:53" ht="14.25">
      <c r="A5" s="81"/>
      <c r="B5" s="641"/>
      <c r="C5" s="641"/>
      <c r="D5" s="641"/>
      <c r="E5" s="641" t="s">
        <v>373</v>
      </c>
      <c r="F5" s="641"/>
      <c r="G5" s="641"/>
      <c r="H5" s="674"/>
      <c r="I5" s="688" t="s">
        <v>373</v>
      </c>
      <c r="J5" s="688"/>
      <c r="K5" s="688"/>
      <c r="L5" s="690"/>
      <c r="M5" s="678"/>
      <c r="N5" s="641"/>
      <c r="O5" s="641"/>
      <c r="P5" s="659" t="s">
        <v>374</v>
      </c>
      <c r="Q5" s="660"/>
      <c r="R5" s="660"/>
      <c r="S5" s="661"/>
      <c r="T5" s="641"/>
      <c r="U5" s="659" t="s">
        <v>374</v>
      </c>
      <c r="V5" s="660"/>
      <c r="W5" s="660"/>
      <c r="X5" s="661"/>
      <c r="Y5" s="641"/>
      <c r="Z5" s="659" t="s">
        <v>374</v>
      </c>
      <c r="AA5" s="660"/>
      <c r="AB5" s="660"/>
      <c r="AC5" s="661"/>
      <c r="AD5" s="641"/>
      <c r="AE5" s="659" t="s">
        <v>374</v>
      </c>
      <c r="AF5" s="660"/>
      <c r="AG5" s="660"/>
      <c r="AH5" s="661"/>
      <c r="AI5" s="641"/>
      <c r="AJ5" s="659" t="s">
        <v>374</v>
      </c>
      <c r="AK5" s="660"/>
      <c r="AL5" s="660"/>
      <c r="AM5" s="661"/>
      <c r="AN5" s="641"/>
      <c r="AO5" s="659" t="s">
        <v>374</v>
      </c>
      <c r="AP5" s="660"/>
      <c r="AQ5" s="660"/>
      <c r="AR5" s="661"/>
      <c r="AS5" s="641"/>
      <c r="AT5" s="659" t="s">
        <v>374</v>
      </c>
      <c r="AU5" s="660"/>
      <c r="AV5" s="660"/>
      <c r="AW5" s="661"/>
      <c r="AX5" s="641"/>
      <c r="BA5" s="641"/>
    </row>
    <row r="6" spans="1:53" ht="14.25">
      <c r="A6" s="79"/>
      <c r="B6" s="641"/>
      <c r="C6" s="641"/>
      <c r="D6" s="641"/>
      <c r="E6" s="533" t="s">
        <v>375</v>
      </c>
      <c r="F6" s="533" t="s">
        <v>376</v>
      </c>
      <c r="G6" s="533" t="s">
        <v>377</v>
      </c>
      <c r="H6" s="675"/>
      <c r="I6" s="532" t="s">
        <v>375</v>
      </c>
      <c r="J6" s="532" t="s">
        <v>376</v>
      </c>
      <c r="K6" s="532" t="s">
        <v>377</v>
      </c>
      <c r="L6" s="691"/>
      <c r="M6" s="679"/>
      <c r="N6" s="641"/>
      <c r="O6" s="641"/>
      <c r="P6" s="533" t="s">
        <v>375</v>
      </c>
      <c r="Q6" s="533" t="s">
        <v>376</v>
      </c>
      <c r="R6" s="533" t="s">
        <v>377</v>
      </c>
      <c r="S6" s="533" t="s">
        <v>367</v>
      </c>
      <c r="T6" s="641"/>
      <c r="U6" s="533" t="s">
        <v>375</v>
      </c>
      <c r="V6" s="533" t="s">
        <v>376</v>
      </c>
      <c r="W6" s="533" t="s">
        <v>377</v>
      </c>
      <c r="X6" s="533" t="s">
        <v>367</v>
      </c>
      <c r="Y6" s="641"/>
      <c r="Z6" s="533" t="s">
        <v>375</v>
      </c>
      <c r="AA6" s="533" t="s">
        <v>376</v>
      </c>
      <c r="AB6" s="533" t="s">
        <v>377</v>
      </c>
      <c r="AC6" s="533" t="s">
        <v>367</v>
      </c>
      <c r="AD6" s="641"/>
      <c r="AE6" s="533" t="s">
        <v>375</v>
      </c>
      <c r="AF6" s="533" t="s">
        <v>376</v>
      </c>
      <c r="AG6" s="533" t="s">
        <v>377</v>
      </c>
      <c r="AH6" s="533" t="s">
        <v>367</v>
      </c>
      <c r="AI6" s="641"/>
      <c r="AJ6" s="533" t="s">
        <v>375</v>
      </c>
      <c r="AK6" s="533" t="s">
        <v>376</v>
      </c>
      <c r="AL6" s="533" t="s">
        <v>377</v>
      </c>
      <c r="AM6" s="533" t="s">
        <v>367</v>
      </c>
      <c r="AN6" s="641"/>
      <c r="AO6" s="533" t="s">
        <v>375</v>
      </c>
      <c r="AP6" s="533" t="s">
        <v>376</v>
      </c>
      <c r="AQ6" s="533" t="s">
        <v>377</v>
      </c>
      <c r="AR6" s="533" t="s">
        <v>367</v>
      </c>
      <c r="AS6" s="641"/>
      <c r="AT6" s="533" t="s">
        <v>375</v>
      </c>
      <c r="AU6" s="533" t="s">
        <v>376</v>
      </c>
      <c r="AV6" s="533" t="s">
        <v>377</v>
      </c>
      <c r="AW6" s="533" t="s">
        <v>367</v>
      </c>
      <c r="AX6" s="641"/>
      <c r="AZ6" s="367" t="s">
        <v>367</v>
      </c>
      <c r="BA6" s="641"/>
    </row>
    <row r="7" spans="1:53" ht="14.25">
      <c r="A7" s="81"/>
      <c r="B7" s="641" t="s">
        <v>134</v>
      </c>
      <c r="C7" s="534">
        <v>1</v>
      </c>
      <c r="D7" s="201" t="s">
        <v>342</v>
      </c>
      <c r="E7" s="538">
        <v>6</v>
      </c>
      <c r="F7" s="201">
        <v>1500</v>
      </c>
      <c r="G7" s="199">
        <v>250</v>
      </c>
      <c r="H7" s="700">
        <f>AVERAGE(G7:G36)</f>
        <v>100.51696400416888</v>
      </c>
      <c r="I7" s="538">
        <f>IFERROR(AVERAGE(P7,U7,Z7,AE7,AJ7,AO7,AT7),"-")</f>
        <v>6</v>
      </c>
      <c r="J7" s="538">
        <f>IFERROR(AVERAGE(Q7,V7,AA7,AF7,AK7,AP7,AU7),"-")</f>
        <v>1434.7400981153999</v>
      </c>
      <c r="K7" s="199">
        <f>IFERROR(AVERAGE(R7,W7,AB7,AG7,AL7,AQ7,AV7),"-")</f>
        <v>239.12334968589994</v>
      </c>
      <c r="L7" s="656">
        <f>IFERROR(AVERAGE(K7:K36),"-")</f>
        <v>89.354207090771524</v>
      </c>
      <c r="M7" s="539">
        <f>RANK(K7, K$7:$K$36)</f>
        <v>1</v>
      </c>
      <c r="N7" s="641"/>
      <c r="O7" s="641"/>
      <c r="P7" s="534">
        <v>6</v>
      </c>
      <c r="Q7" s="535">
        <v>1445.1287671232878</v>
      </c>
      <c r="R7" s="535">
        <v>240.85479452054798</v>
      </c>
      <c r="S7" s="534">
        <f>RANK(R7, R$7:R$36)</f>
        <v>1</v>
      </c>
      <c r="T7" s="642">
        <f>AVERAGE(R7:R36)</f>
        <v>89.744042352395354</v>
      </c>
      <c r="U7" s="534">
        <v>6</v>
      </c>
      <c r="V7" s="535">
        <v>1438.889795918368</v>
      </c>
      <c r="W7" s="535">
        <v>239.81496598639467</v>
      </c>
      <c r="X7" s="562">
        <f>RANK(W7, W$7:W$36)</f>
        <v>1</v>
      </c>
      <c r="Y7" s="642">
        <f>AVERAGE(W7:W36)</f>
        <v>89.108685595437166</v>
      </c>
      <c r="Z7" s="534">
        <v>6</v>
      </c>
      <c r="AA7" s="535">
        <v>1424.7918367346945</v>
      </c>
      <c r="AB7" s="535">
        <v>237.46530612244908</v>
      </c>
      <c r="AC7" s="562">
        <f>RANK(AB7, AB$7:AB$36)</f>
        <v>1</v>
      </c>
      <c r="AD7" s="642">
        <f>AVERAGE(AB7:AB36)</f>
        <v>89.331193551161093</v>
      </c>
      <c r="AE7" s="534">
        <v>6</v>
      </c>
      <c r="AF7" s="535">
        <v>1427.2379562043795</v>
      </c>
      <c r="AG7" s="535">
        <v>237.87299270072992</v>
      </c>
      <c r="AH7" s="562">
        <f>RANK(AG7, AG$7:AG$36)</f>
        <v>1</v>
      </c>
      <c r="AI7" s="642">
        <f>AVERAGE(AG7:AG36)</f>
        <v>89.760601460513215</v>
      </c>
      <c r="AJ7" s="534">
        <v>6</v>
      </c>
      <c r="AK7" s="535">
        <v>1453.3999999999999</v>
      </c>
      <c r="AL7" s="535">
        <v>242.23333333333332</v>
      </c>
      <c r="AM7" s="562">
        <f>RANK(AL7, AL$7:AL$36)</f>
        <v>1</v>
      </c>
      <c r="AN7" s="642">
        <f>AVERAGE(AL7:AL36)</f>
        <v>89.056702058636731</v>
      </c>
      <c r="AO7" s="534">
        <v>6</v>
      </c>
      <c r="AP7" s="535">
        <v>1435.5428571428577</v>
      </c>
      <c r="AQ7" s="535">
        <v>239.25714285714295</v>
      </c>
      <c r="AR7" s="562">
        <f>RANK(AQ7, AQ$7:AQ$36)</f>
        <v>1</v>
      </c>
      <c r="AS7" s="642">
        <f>AVERAGE(AQ7:AQ36)</f>
        <v>89.135721392286527</v>
      </c>
      <c r="AT7" s="534">
        <v>6</v>
      </c>
      <c r="AU7" s="535">
        <v>1418.1894736842105</v>
      </c>
      <c r="AV7" s="535">
        <v>236.36491228070176</v>
      </c>
      <c r="AW7" s="562">
        <f>RANK(AV7, AV$7:AV$36)</f>
        <v>2</v>
      </c>
      <c r="AX7" s="642">
        <f>AVERAGE(AV7:AV36)</f>
        <v>89.342503224970599</v>
      </c>
      <c r="AZ7" s="368" t="e">
        <f>RANK(AY7, AY$7:AY$36)</f>
        <v>#N/A</v>
      </c>
      <c r="BA7" s="642" t="e">
        <f>AVERAGE(AY7:AY36)</f>
        <v>#DIV/0!</v>
      </c>
    </row>
    <row r="8" spans="1:53" ht="15" customHeight="1">
      <c r="A8" s="81"/>
      <c r="B8" s="647"/>
      <c r="C8" s="534">
        <v>2</v>
      </c>
      <c r="D8" s="201" t="s">
        <v>586</v>
      </c>
      <c r="E8" s="538">
        <v>6</v>
      </c>
      <c r="F8" s="201">
        <v>1636</v>
      </c>
      <c r="G8" s="199">
        <v>272.66666666666669</v>
      </c>
      <c r="H8" s="701"/>
      <c r="I8" s="538">
        <f t="shared" ref="I8:I36" si="0">IFERROR(AVERAGE(P8,U8,Z8,AE8,AJ8,AO8,AT8),"-")</f>
        <v>6</v>
      </c>
      <c r="J8" s="538">
        <f t="shared" ref="J8:J36" si="1">IFERROR(AVERAGE(Q8,V8,AA8,AF8,AK8,AP8,AU8),"-")</f>
        <v>1419.8217575489398</v>
      </c>
      <c r="K8" s="199">
        <f t="shared" ref="K8:K36" si="2">IFERROR(AVERAGE(R8,W8,AB8,AG8,AL8,AQ8,AV8),"-")</f>
        <v>236.63695959148995</v>
      </c>
      <c r="L8" s="657"/>
      <c r="M8" s="565">
        <f>RANK(K8, K$7:$K$36)</f>
        <v>2</v>
      </c>
      <c r="N8" s="641"/>
      <c r="O8" s="641"/>
      <c r="P8" s="534">
        <v>6</v>
      </c>
      <c r="Q8" s="535">
        <v>1434.6268656716418</v>
      </c>
      <c r="R8" s="535">
        <v>239.1044776119403</v>
      </c>
      <c r="S8" s="562">
        <f t="shared" ref="S8:S36" si="3">RANK(R8, R$7:R$36)</f>
        <v>2</v>
      </c>
      <c r="T8" s="642"/>
      <c r="U8" s="534">
        <v>6</v>
      </c>
      <c r="V8" s="535">
        <v>1414.4117647058824</v>
      </c>
      <c r="W8" s="535">
        <v>235.73529411764707</v>
      </c>
      <c r="X8" s="562">
        <f t="shared" ref="X8:X36" si="4">RANK(W8, W$7:W$36)</f>
        <v>2</v>
      </c>
      <c r="Y8" s="642"/>
      <c r="Z8" s="534">
        <v>6</v>
      </c>
      <c r="AA8" s="535">
        <v>1406.9565217391305</v>
      </c>
      <c r="AB8" s="535">
        <v>234.49275362318841</v>
      </c>
      <c r="AC8" s="562">
        <f t="shared" ref="AC8:AC36" si="5">RANK(AB8, AB$7:AB$36)</f>
        <v>2</v>
      </c>
      <c r="AD8" s="642"/>
      <c r="AE8" s="534">
        <v>6</v>
      </c>
      <c r="AF8" s="535">
        <v>1390.3846153846162</v>
      </c>
      <c r="AG8" s="535">
        <v>231.73076923076937</v>
      </c>
      <c r="AH8" s="562">
        <f t="shared" ref="AH8:AH36" si="6">RANK(AG8, AG$7:AG$36)</f>
        <v>2</v>
      </c>
      <c r="AI8" s="642"/>
      <c r="AJ8" s="534">
        <v>6</v>
      </c>
      <c r="AK8" s="535">
        <v>1445.1063829787236</v>
      </c>
      <c r="AL8" s="535">
        <v>240.85106382978725</v>
      </c>
      <c r="AM8" s="562">
        <f t="shared" ref="AM8:AM36" si="7">RANK(AL8, AL$7:AL$36)</f>
        <v>2</v>
      </c>
      <c r="AN8" s="642"/>
      <c r="AO8" s="534">
        <v>6</v>
      </c>
      <c r="AP8" s="535">
        <v>1413.4426229508192</v>
      </c>
      <c r="AQ8" s="535">
        <v>235.5737704918032</v>
      </c>
      <c r="AR8" s="562">
        <f t="shared" ref="AR8:AR36" si="8">RANK(AQ8, AQ$7:AQ$36)</f>
        <v>2</v>
      </c>
      <c r="AS8" s="642"/>
      <c r="AT8" s="534">
        <v>6</v>
      </c>
      <c r="AU8" s="535">
        <v>1433.8235294117649</v>
      </c>
      <c r="AV8" s="535">
        <v>238.97058823529414</v>
      </c>
      <c r="AW8" s="562">
        <f t="shared" ref="AW8:AW36" si="9">RANK(AV8, AV$7:AV$36)</f>
        <v>1</v>
      </c>
      <c r="AX8" s="642"/>
      <c r="AZ8" s="368" t="e">
        <f t="shared" ref="AZ8:AZ36" si="10">RANK(AY8, AY$7:AY$36)</f>
        <v>#N/A</v>
      </c>
      <c r="BA8" s="642"/>
    </row>
    <row r="9" spans="1:53" ht="14.25">
      <c r="A9" s="81"/>
      <c r="B9" s="647"/>
      <c r="C9" s="534">
        <v>3</v>
      </c>
      <c r="D9" s="201" t="s">
        <v>578</v>
      </c>
      <c r="E9" s="538">
        <v>16</v>
      </c>
      <c r="F9" s="201">
        <v>1500</v>
      </c>
      <c r="G9" s="199">
        <v>93.75</v>
      </c>
      <c r="H9" s="701"/>
      <c r="I9" s="538">
        <f t="shared" si="0"/>
        <v>16.857142857142858</v>
      </c>
      <c r="J9" s="538">
        <f t="shared" si="1"/>
        <v>1390.5237929689135</v>
      </c>
      <c r="K9" s="199">
        <f t="shared" si="2"/>
        <v>82.514919510505351</v>
      </c>
      <c r="L9" s="657"/>
      <c r="M9" s="565">
        <f>RANK(K9, K$7:$K$36)</f>
        <v>9</v>
      </c>
      <c r="N9" s="641"/>
      <c r="O9" s="641"/>
      <c r="P9" s="534">
        <v>17</v>
      </c>
      <c r="Q9" s="535">
        <v>1397.217391304348</v>
      </c>
      <c r="R9" s="535">
        <v>82.18925831202047</v>
      </c>
      <c r="S9" s="562">
        <f t="shared" si="3"/>
        <v>9</v>
      </c>
      <c r="T9" s="642"/>
      <c r="U9" s="534">
        <v>17</v>
      </c>
      <c r="V9" s="535">
        <v>1385.2173913043478</v>
      </c>
      <c r="W9" s="535">
        <v>81.483375959079282</v>
      </c>
      <c r="X9" s="562">
        <f t="shared" si="4"/>
        <v>8</v>
      </c>
      <c r="Y9" s="642"/>
      <c r="Z9" s="534">
        <v>17</v>
      </c>
      <c r="AA9" s="535">
        <v>1402.2857142857138</v>
      </c>
      <c r="AB9" s="535">
        <v>82.487394957983156</v>
      </c>
      <c r="AC9" s="562">
        <f t="shared" si="5"/>
        <v>8</v>
      </c>
      <c r="AD9" s="642"/>
      <c r="AE9" s="534">
        <v>16</v>
      </c>
      <c r="AF9" s="535">
        <v>1369.7419354838703</v>
      </c>
      <c r="AG9" s="535">
        <v>85.608870967741893</v>
      </c>
      <c r="AH9" s="562">
        <f t="shared" si="6"/>
        <v>8</v>
      </c>
      <c r="AI9" s="642"/>
      <c r="AJ9" s="534">
        <v>17</v>
      </c>
      <c r="AK9" s="535">
        <v>1394.6666666666663</v>
      </c>
      <c r="AL9" s="535">
        <v>82.039215686274488</v>
      </c>
      <c r="AM9" s="562">
        <f t="shared" si="7"/>
        <v>8</v>
      </c>
      <c r="AN9" s="642"/>
      <c r="AO9" s="534">
        <v>17</v>
      </c>
      <c r="AP9" s="535">
        <v>1383.9428571428557</v>
      </c>
      <c r="AQ9" s="535">
        <v>81.408403361344455</v>
      </c>
      <c r="AR9" s="562">
        <f t="shared" si="8"/>
        <v>8</v>
      </c>
      <c r="AS9" s="642"/>
      <c r="AT9" s="534">
        <v>17</v>
      </c>
      <c r="AU9" s="535">
        <v>1400.5945945945932</v>
      </c>
      <c r="AV9" s="535">
        <v>82.387917329093725</v>
      </c>
      <c r="AW9" s="562">
        <f t="shared" si="9"/>
        <v>8</v>
      </c>
      <c r="AX9" s="642"/>
      <c r="AZ9" s="368" t="e">
        <f t="shared" si="10"/>
        <v>#N/A</v>
      </c>
      <c r="BA9" s="642"/>
    </row>
    <row r="10" spans="1:53" ht="14.25">
      <c r="A10" s="81"/>
      <c r="B10" s="647"/>
      <c r="C10" s="534">
        <v>4</v>
      </c>
      <c r="D10" s="201" t="s">
        <v>549</v>
      </c>
      <c r="E10" s="538">
        <v>18</v>
      </c>
      <c r="F10" s="201">
        <v>1500</v>
      </c>
      <c r="G10" s="199">
        <v>83.333333333333329</v>
      </c>
      <c r="H10" s="701"/>
      <c r="I10" s="538">
        <f t="shared" si="0"/>
        <v>18</v>
      </c>
      <c r="J10" s="538">
        <f t="shared" si="1"/>
        <v>1302.7917706332337</v>
      </c>
      <c r="K10" s="199">
        <f t="shared" si="2"/>
        <v>72.377320590735209</v>
      </c>
      <c r="L10" s="657"/>
      <c r="M10" s="565">
        <f>RANK(K10, K$7:$K$36)</f>
        <v>17</v>
      </c>
      <c r="N10" s="641"/>
      <c r="O10" s="641"/>
      <c r="P10" s="534">
        <v>18</v>
      </c>
      <c r="Q10" s="535">
        <v>1340.4878048780483</v>
      </c>
      <c r="R10" s="535">
        <v>74.471544715447124</v>
      </c>
      <c r="S10" s="562">
        <f t="shared" si="3"/>
        <v>16</v>
      </c>
      <c r="T10" s="642"/>
      <c r="U10" s="534">
        <v>18</v>
      </c>
      <c r="V10" s="535">
        <v>1309.4999999999995</v>
      </c>
      <c r="W10" s="535">
        <v>72.749999999999972</v>
      </c>
      <c r="X10" s="562">
        <f t="shared" si="4"/>
        <v>16</v>
      </c>
      <c r="Y10" s="642"/>
      <c r="Z10" s="534">
        <v>18</v>
      </c>
      <c r="AA10" s="535">
        <v>1305.4054054054045</v>
      </c>
      <c r="AB10" s="535">
        <v>72.522522522522479</v>
      </c>
      <c r="AC10" s="562">
        <f t="shared" si="5"/>
        <v>17</v>
      </c>
      <c r="AD10" s="642"/>
      <c r="AE10" s="534">
        <v>18</v>
      </c>
      <c r="AF10" s="535">
        <v>1303.6363636363651</v>
      </c>
      <c r="AG10" s="535">
        <v>72.424242424242507</v>
      </c>
      <c r="AH10" s="562">
        <f t="shared" si="6"/>
        <v>17</v>
      </c>
      <c r="AI10" s="642"/>
      <c r="AJ10" s="534">
        <v>18</v>
      </c>
      <c r="AK10" s="535">
        <v>1226.6666666666656</v>
      </c>
      <c r="AL10" s="535">
        <v>68.148148148148096</v>
      </c>
      <c r="AM10" s="562">
        <f t="shared" si="7"/>
        <v>21</v>
      </c>
      <c r="AN10" s="642"/>
      <c r="AO10" s="534">
        <v>18</v>
      </c>
      <c r="AP10" s="535">
        <v>1333.8461538461531</v>
      </c>
      <c r="AQ10" s="535">
        <v>74.10256410256406</v>
      </c>
      <c r="AR10" s="562">
        <f t="shared" si="8"/>
        <v>16</v>
      </c>
      <c r="AS10" s="642"/>
      <c r="AT10" s="534">
        <v>18</v>
      </c>
      <c r="AU10" s="535">
        <v>1300</v>
      </c>
      <c r="AV10" s="535">
        <v>72.222222222222229</v>
      </c>
      <c r="AW10" s="562">
        <f t="shared" si="9"/>
        <v>17</v>
      </c>
      <c r="AX10" s="642"/>
      <c r="AZ10" s="368" t="e">
        <f t="shared" si="10"/>
        <v>#N/A</v>
      </c>
      <c r="BA10" s="642"/>
    </row>
    <row r="11" spans="1:53" ht="14.25">
      <c r="A11" s="81"/>
      <c r="B11" s="647"/>
      <c r="C11" s="534">
        <v>5</v>
      </c>
      <c r="D11" s="201" t="s">
        <v>344</v>
      </c>
      <c r="E11" s="538">
        <v>16</v>
      </c>
      <c r="F11" s="201">
        <v>1565</v>
      </c>
      <c r="G11" s="199">
        <v>97.8125</v>
      </c>
      <c r="H11" s="701"/>
      <c r="I11" s="538">
        <f t="shared" si="0"/>
        <v>16</v>
      </c>
      <c r="J11" s="538">
        <f t="shared" si="1"/>
        <v>1366.0331258357462</v>
      </c>
      <c r="K11" s="199">
        <f t="shared" si="2"/>
        <v>85.377070364734138</v>
      </c>
      <c r="L11" s="657"/>
      <c r="M11" s="565">
        <f>RANK(K11, K$7:$K$36)</f>
        <v>6</v>
      </c>
      <c r="N11" s="641"/>
      <c r="O11" s="641"/>
      <c r="P11" s="534">
        <v>16</v>
      </c>
      <c r="Q11" s="535">
        <v>1355.6962025316448</v>
      </c>
      <c r="R11" s="535">
        <v>84.731012658227797</v>
      </c>
      <c r="S11" s="562">
        <f t="shared" si="3"/>
        <v>7</v>
      </c>
      <c r="T11" s="642"/>
      <c r="U11" s="534">
        <v>16</v>
      </c>
      <c r="V11" s="535">
        <v>1347.4999999999989</v>
      </c>
      <c r="W11" s="535">
        <v>84.218749999999929</v>
      </c>
      <c r="X11" s="562">
        <f t="shared" si="4"/>
        <v>7</v>
      </c>
      <c r="Y11" s="642"/>
      <c r="Z11" s="534">
        <v>16</v>
      </c>
      <c r="AA11" s="535">
        <v>1374.5454545454561</v>
      </c>
      <c r="AB11" s="535">
        <v>85.909090909091006</v>
      </c>
      <c r="AC11" s="562">
        <f t="shared" si="5"/>
        <v>6</v>
      </c>
      <c r="AD11" s="642"/>
      <c r="AE11" s="534">
        <v>16</v>
      </c>
      <c r="AF11" s="535">
        <v>1371.8644067796622</v>
      </c>
      <c r="AG11" s="535">
        <v>85.741525423728888</v>
      </c>
      <c r="AH11" s="562">
        <f t="shared" si="6"/>
        <v>7</v>
      </c>
      <c r="AI11" s="642"/>
      <c r="AJ11" s="534">
        <v>16</v>
      </c>
      <c r="AK11" s="535">
        <v>1366.7647058823511</v>
      </c>
      <c r="AL11" s="535">
        <v>85.422794117646944</v>
      </c>
      <c r="AM11" s="562">
        <f t="shared" si="7"/>
        <v>6</v>
      </c>
      <c r="AN11" s="642"/>
      <c r="AO11" s="534">
        <v>16</v>
      </c>
      <c r="AP11" s="535">
        <v>1374.7499999999995</v>
      </c>
      <c r="AQ11" s="535">
        <v>85.921874999999972</v>
      </c>
      <c r="AR11" s="562">
        <f t="shared" si="8"/>
        <v>4</v>
      </c>
      <c r="AS11" s="642"/>
      <c r="AT11" s="534">
        <v>16</v>
      </c>
      <c r="AU11" s="535">
        <v>1371.1111111111106</v>
      </c>
      <c r="AV11" s="535">
        <v>85.694444444444414</v>
      </c>
      <c r="AW11" s="562">
        <f t="shared" si="9"/>
        <v>6</v>
      </c>
      <c r="AX11" s="642"/>
      <c r="AZ11" s="368" t="e">
        <f t="shared" si="10"/>
        <v>#N/A</v>
      </c>
      <c r="BA11" s="642"/>
    </row>
    <row r="12" spans="1:53" ht="14.25">
      <c r="A12" s="81"/>
      <c r="B12" s="647"/>
      <c r="C12" s="534">
        <v>6</v>
      </c>
      <c r="D12" s="201" t="s">
        <v>627</v>
      </c>
      <c r="E12" s="538">
        <v>20</v>
      </c>
      <c r="F12" s="201">
        <v>1440</v>
      </c>
      <c r="G12" s="199">
        <v>72</v>
      </c>
      <c r="H12" s="701"/>
      <c r="I12" s="538">
        <f t="shared" si="0"/>
        <v>20.142857142857142</v>
      </c>
      <c r="J12" s="538">
        <f t="shared" si="1"/>
        <v>1272.2369501869637</v>
      </c>
      <c r="K12" s="199">
        <f t="shared" si="2"/>
        <v>63.182510774654304</v>
      </c>
      <c r="L12" s="657"/>
      <c r="M12" s="565">
        <f>RANK(K12, K$7:$K$36)</f>
        <v>23</v>
      </c>
      <c r="N12" s="641"/>
      <c r="O12" s="641"/>
      <c r="P12" s="534">
        <v>20</v>
      </c>
      <c r="Q12" s="535">
        <v>1275.2238805970164</v>
      </c>
      <c r="R12" s="535">
        <v>63.76119402985082</v>
      </c>
      <c r="S12" s="562">
        <f t="shared" si="3"/>
        <v>23</v>
      </c>
      <c r="T12" s="642"/>
      <c r="U12" s="534">
        <v>20</v>
      </c>
      <c r="V12" s="535">
        <v>1287.6190476190491</v>
      </c>
      <c r="W12" s="535">
        <v>64.380952380952451</v>
      </c>
      <c r="X12" s="562">
        <f t="shared" si="4"/>
        <v>23</v>
      </c>
      <c r="Y12" s="642"/>
      <c r="Z12" s="534">
        <v>20</v>
      </c>
      <c r="AA12" s="535">
        <v>1264.9180327868864</v>
      </c>
      <c r="AB12" s="535">
        <v>63.245901639344325</v>
      </c>
      <c r="AC12" s="562">
        <f t="shared" si="5"/>
        <v>23</v>
      </c>
      <c r="AD12" s="642"/>
      <c r="AE12" s="534">
        <v>20</v>
      </c>
      <c r="AF12" s="535">
        <v>1278.1132075471705</v>
      </c>
      <c r="AG12" s="535">
        <v>63.905660377358529</v>
      </c>
      <c r="AH12" s="562">
        <f t="shared" si="6"/>
        <v>23</v>
      </c>
      <c r="AI12" s="642"/>
      <c r="AJ12" s="534">
        <v>20</v>
      </c>
      <c r="AK12" s="535">
        <v>1255.5000000000002</v>
      </c>
      <c r="AL12" s="535">
        <v>62.775000000000013</v>
      </c>
      <c r="AM12" s="562">
        <f t="shared" si="7"/>
        <v>23</v>
      </c>
      <c r="AN12" s="642"/>
      <c r="AO12" s="534">
        <v>20</v>
      </c>
      <c r="AP12" s="535">
        <v>1282.0344827586216</v>
      </c>
      <c r="AQ12" s="535">
        <v>64.101724137931086</v>
      </c>
      <c r="AR12" s="562">
        <f t="shared" si="8"/>
        <v>23</v>
      </c>
      <c r="AS12" s="642"/>
      <c r="AT12" s="534">
        <v>21</v>
      </c>
      <c r="AU12" s="535">
        <v>1262.2500000000016</v>
      </c>
      <c r="AV12" s="535">
        <v>60.107142857142932</v>
      </c>
      <c r="AW12" s="562">
        <f t="shared" si="9"/>
        <v>23</v>
      </c>
      <c r="AX12" s="642"/>
      <c r="AZ12" s="368" t="e">
        <f t="shared" si="10"/>
        <v>#N/A</v>
      </c>
      <c r="BA12" s="642"/>
    </row>
    <row r="13" spans="1:53" ht="14.25">
      <c r="A13" s="81"/>
      <c r="B13" s="647"/>
      <c r="C13" s="534">
        <v>7</v>
      </c>
      <c r="D13" s="201" t="s">
        <v>601</v>
      </c>
      <c r="E13" s="538">
        <v>16</v>
      </c>
      <c r="F13" s="201">
        <v>1500</v>
      </c>
      <c r="G13" s="199">
        <v>93.75</v>
      </c>
      <c r="H13" s="701"/>
      <c r="I13" s="538">
        <f t="shared" si="0"/>
        <v>16</v>
      </c>
      <c r="J13" s="538">
        <f t="shared" si="1"/>
        <v>1375.5709476475699</v>
      </c>
      <c r="K13" s="199">
        <f t="shared" si="2"/>
        <v>85.973184227973121</v>
      </c>
      <c r="L13" s="657"/>
      <c r="M13" s="565">
        <f>RANK(K13, K$7:$K$36)</f>
        <v>5</v>
      </c>
      <c r="N13" s="641"/>
      <c r="O13" s="641"/>
      <c r="P13" s="534">
        <v>16</v>
      </c>
      <c r="Q13" s="535">
        <v>1381.0000000000011</v>
      </c>
      <c r="R13" s="535">
        <v>86.312500000000071</v>
      </c>
      <c r="S13" s="562">
        <f t="shared" si="3"/>
        <v>5</v>
      </c>
      <c r="T13" s="642"/>
      <c r="U13" s="534">
        <v>16</v>
      </c>
      <c r="V13" s="535">
        <v>1377.8947368421063</v>
      </c>
      <c r="W13" s="535">
        <v>86.118421052631646</v>
      </c>
      <c r="X13" s="562">
        <f t="shared" si="4"/>
        <v>5</v>
      </c>
      <c r="Y13" s="642"/>
      <c r="Z13" s="534">
        <v>16</v>
      </c>
      <c r="AA13" s="535">
        <v>1400.0000000000007</v>
      </c>
      <c r="AB13" s="535">
        <v>87.500000000000043</v>
      </c>
      <c r="AC13" s="562">
        <f t="shared" si="5"/>
        <v>4</v>
      </c>
      <c r="AD13" s="642"/>
      <c r="AE13" s="534">
        <v>16</v>
      </c>
      <c r="AF13" s="535">
        <v>1380.0000000000005</v>
      </c>
      <c r="AG13" s="535">
        <v>86.250000000000028</v>
      </c>
      <c r="AH13" s="562">
        <f t="shared" si="6"/>
        <v>6</v>
      </c>
      <c r="AI13" s="642"/>
      <c r="AJ13" s="534">
        <v>16</v>
      </c>
      <c r="AK13" s="535">
        <v>1373.7500000000005</v>
      </c>
      <c r="AL13" s="535">
        <v>85.859375000000028</v>
      </c>
      <c r="AM13" s="562">
        <f t="shared" si="7"/>
        <v>5</v>
      </c>
      <c r="AN13" s="642"/>
      <c r="AO13" s="534">
        <v>16</v>
      </c>
      <c r="AP13" s="535">
        <v>1352.5423728813571</v>
      </c>
      <c r="AQ13" s="535">
        <v>84.533898305084819</v>
      </c>
      <c r="AR13" s="562">
        <f t="shared" si="8"/>
        <v>6</v>
      </c>
      <c r="AS13" s="642"/>
      <c r="AT13" s="534">
        <v>16</v>
      </c>
      <c r="AU13" s="535">
        <v>1363.8095238095252</v>
      </c>
      <c r="AV13" s="535">
        <v>85.238095238095326</v>
      </c>
      <c r="AW13" s="562">
        <f t="shared" si="9"/>
        <v>7</v>
      </c>
      <c r="AX13" s="642"/>
      <c r="AZ13" s="368" t="e">
        <f t="shared" si="10"/>
        <v>#N/A</v>
      </c>
      <c r="BA13" s="642"/>
    </row>
    <row r="14" spans="1:53" ht="14.25">
      <c r="A14" s="81"/>
      <c r="B14" s="647"/>
      <c r="C14" s="534">
        <v>8</v>
      </c>
      <c r="D14" s="201" t="s">
        <v>574</v>
      </c>
      <c r="E14" s="538">
        <v>18</v>
      </c>
      <c r="F14" s="201">
        <v>1636</v>
      </c>
      <c r="G14" s="199">
        <v>90.888888888888886</v>
      </c>
      <c r="H14" s="701"/>
      <c r="I14" s="538">
        <f t="shared" si="0"/>
        <v>18</v>
      </c>
      <c r="J14" s="538">
        <f t="shared" si="1"/>
        <v>1409.8358485091114</v>
      </c>
      <c r="K14" s="199">
        <f t="shared" si="2"/>
        <v>78.324213806061735</v>
      </c>
      <c r="L14" s="657"/>
      <c r="M14" s="565">
        <f>RANK(K14, K$7:$K$36)</f>
        <v>12</v>
      </c>
      <c r="N14" s="641"/>
      <c r="O14" s="641"/>
      <c r="P14" s="534">
        <v>18</v>
      </c>
      <c r="Q14" s="535">
        <v>1405.1612903225819</v>
      </c>
      <c r="R14" s="535">
        <v>78.064516129032327</v>
      </c>
      <c r="S14" s="562">
        <f t="shared" si="3"/>
        <v>12</v>
      </c>
      <c r="T14" s="642"/>
      <c r="U14" s="534">
        <v>18</v>
      </c>
      <c r="V14" s="535">
        <v>1408.4745762711877</v>
      </c>
      <c r="W14" s="535">
        <v>78.248587570621538</v>
      </c>
      <c r="X14" s="562">
        <f t="shared" si="4"/>
        <v>11</v>
      </c>
      <c r="Y14" s="642"/>
      <c r="Z14" s="534">
        <v>18</v>
      </c>
      <c r="AA14" s="535">
        <v>1402.0408163265308</v>
      </c>
      <c r="AB14" s="535">
        <v>77.891156462585045</v>
      </c>
      <c r="AC14" s="562">
        <f t="shared" si="5"/>
        <v>12</v>
      </c>
      <c r="AD14" s="642"/>
      <c r="AE14" s="534">
        <v>18</v>
      </c>
      <c r="AF14" s="535">
        <v>1417.9591836734696</v>
      </c>
      <c r="AG14" s="535">
        <v>78.775510204081641</v>
      </c>
      <c r="AH14" s="562">
        <f t="shared" si="6"/>
        <v>12</v>
      </c>
      <c r="AI14" s="642"/>
      <c r="AJ14" s="534">
        <v>18</v>
      </c>
      <c r="AK14" s="535">
        <v>1406.4406779661028</v>
      </c>
      <c r="AL14" s="535">
        <v>78.135593220339047</v>
      </c>
      <c r="AM14" s="562">
        <f t="shared" si="7"/>
        <v>12</v>
      </c>
      <c r="AN14" s="642"/>
      <c r="AO14" s="534">
        <v>18</v>
      </c>
      <c r="AP14" s="535">
        <v>1412.3809523809537</v>
      </c>
      <c r="AQ14" s="535">
        <v>78.46560846560854</v>
      </c>
      <c r="AR14" s="562">
        <f t="shared" si="8"/>
        <v>13</v>
      </c>
      <c r="AS14" s="642"/>
      <c r="AT14" s="534">
        <v>18</v>
      </c>
      <c r="AU14" s="535">
        <v>1416.3934426229521</v>
      </c>
      <c r="AV14" s="535">
        <v>78.688524590164008</v>
      </c>
      <c r="AW14" s="562">
        <f t="shared" si="9"/>
        <v>12</v>
      </c>
      <c r="AX14" s="642"/>
      <c r="AZ14" s="368" t="e">
        <f t="shared" si="10"/>
        <v>#N/A</v>
      </c>
      <c r="BA14" s="642"/>
    </row>
    <row r="15" spans="1:53" ht="14.25">
      <c r="A15" s="81"/>
      <c r="B15" s="647"/>
      <c r="C15" s="534">
        <v>9</v>
      </c>
      <c r="D15" s="201" t="s">
        <v>575</v>
      </c>
      <c r="E15" s="538">
        <v>18</v>
      </c>
      <c r="F15" s="201">
        <v>1636</v>
      </c>
      <c r="G15" s="199">
        <v>90.888888888888886</v>
      </c>
      <c r="H15" s="701"/>
      <c r="I15" s="538">
        <f t="shared" si="0"/>
        <v>18</v>
      </c>
      <c r="J15" s="538">
        <f t="shared" si="1"/>
        <v>1428.5727005087751</v>
      </c>
      <c r="K15" s="199">
        <f t="shared" si="2"/>
        <v>79.365150028265276</v>
      </c>
      <c r="L15" s="657"/>
      <c r="M15" s="565">
        <f>RANK(K15, K$7:$K$36)</f>
        <v>11</v>
      </c>
      <c r="N15" s="641"/>
      <c r="O15" s="641"/>
      <c r="P15" s="534">
        <v>18</v>
      </c>
      <c r="Q15" s="535">
        <v>1438.8235294117653</v>
      </c>
      <c r="R15" s="535">
        <v>79.934640522875853</v>
      </c>
      <c r="S15" s="562">
        <f t="shared" si="3"/>
        <v>11</v>
      </c>
      <c r="T15" s="642"/>
      <c r="U15" s="534">
        <v>18</v>
      </c>
      <c r="V15" s="535">
        <v>1406.2500000000005</v>
      </c>
      <c r="W15" s="535">
        <v>78.125000000000028</v>
      </c>
      <c r="X15" s="562">
        <f t="shared" si="4"/>
        <v>12</v>
      </c>
      <c r="Y15" s="642"/>
      <c r="Z15" s="534">
        <v>18</v>
      </c>
      <c r="AA15" s="535">
        <v>1415.9999999999995</v>
      </c>
      <c r="AB15" s="535">
        <v>78.666666666666643</v>
      </c>
      <c r="AC15" s="562">
        <f t="shared" si="5"/>
        <v>11</v>
      </c>
      <c r="AD15" s="642"/>
      <c r="AE15" s="534">
        <v>18</v>
      </c>
      <c r="AF15" s="535">
        <v>1419.9999999999993</v>
      </c>
      <c r="AG15" s="535">
        <v>78.888888888888857</v>
      </c>
      <c r="AH15" s="562">
        <f t="shared" si="6"/>
        <v>11</v>
      </c>
      <c r="AI15" s="642"/>
      <c r="AJ15" s="534">
        <v>18</v>
      </c>
      <c r="AK15" s="535">
        <v>1441.3333333333333</v>
      </c>
      <c r="AL15" s="535">
        <v>80.074074074074076</v>
      </c>
      <c r="AM15" s="562">
        <f t="shared" si="7"/>
        <v>9</v>
      </c>
      <c r="AN15" s="642"/>
      <c r="AO15" s="534">
        <v>18</v>
      </c>
      <c r="AP15" s="535">
        <v>1435.102040816327</v>
      </c>
      <c r="AQ15" s="535">
        <v>79.727891156462604</v>
      </c>
      <c r="AR15" s="562">
        <f t="shared" si="8"/>
        <v>10</v>
      </c>
      <c r="AS15" s="642"/>
      <c r="AT15" s="534">
        <v>18</v>
      </c>
      <c r="AU15" s="535">
        <v>1442.5000000000005</v>
      </c>
      <c r="AV15" s="535">
        <v>80.138888888888914</v>
      </c>
      <c r="AW15" s="562">
        <f t="shared" si="9"/>
        <v>11</v>
      </c>
      <c r="AX15" s="642"/>
      <c r="AZ15" s="368" t="e">
        <f t="shared" si="10"/>
        <v>#N/A</v>
      </c>
      <c r="BA15" s="642"/>
    </row>
    <row r="16" spans="1:53" ht="14.25">
      <c r="A16" s="81"/>
      <c r="B16" s="647"/>
      <c r="C16" s="534">
        <v>10</v>
      </c>
      <c r="D16" s="201" t="s">
        <v>332</v>
      </c>
      <c r="E16" s="538">
        <v>17</v>
      </c>
      <c r="F16" s="201">
        <v>1500</v>
      </c>
      <c r="G16" s="199">
        <v>88.235294117647058</v>
      </c>
      <c r="H16" s="701"/>
      <c r="I16" s="538">
        <f t="shared" si="0"/>
        <v>17</v>
      </c>
      <c r="J16" s="538">
        <f t="shared" si="1"/>
        <v>1361.9643555501457</v>
      </c>
      <c r="K16" s="199">
        <f t="shared" si="2"/>
        <v>80.115550326479152</v>
      </c>
      <c r="L16" s="657"/>
      <c r="M16" s="565">
        <f>RANK(K16, K$7:$K$36)</f>
        <v>10</v>
      </c>
      <c r="N16" s="641"/>
      <c r="O16" s="641"/>
      <c r="P16" s="534">
        <v>17</v>
      </c>
      <c r="Q16" s="535">
        <v>1378.6363636363635</v>
      </c>
      <c r="R16" s="535">
        <v>81.096256684491976</v>
      </c>
      <c r="S16" s="562">
        <f t="shared" si="3"/>
        <v>10</v>
      </c>
      <c r="T16" s="642"/>
      <c r="U16" s="534">
        <v>17</v>
      </c>
      <c r="V16" s="535">
        <v>1348</v>
      </c>
      <c r="W16" s="535">
        <v>79.294117647058826</v>
      </c>
      <c r="X16" s="562">
        <f t="shared" si="4"/>
        <v>10</v>
      </c>
      <c r="Y16" s="642"/>
      <c r="Z16" s="534">
        <v>17</v>
      </c>
      <c r="AA16" s="535">
        <v>1371.1764705882335</v>
      </c>
      <c r="AB16" s="535">
        <v>80.657439446366681</v>
      </c>
      <c r="AC16" s="562">
        <f t="shared" si="5"/>
        <v>10</v>
      </c>
      <c r="AD16" s="642"/>
      <c r="AE16" s="534">
        <v>17</v>
      </c>
      <c r="AF16" s="535">
        <v>1349.9999999999989</v>
      </c>
      <c r="AG16" s="535">
        <v>79.411764705882291</v>
      </c>
      <c r="AH16" s="562">
        <f t="shared" si="6"/>
        <v>10</v>
      </c>
      <c r="AI16" s="642"/>
      <c r="AJ16" s="534">
        <v>17</v>
      </c>
      <c r="AK16" s="535">
        <v>1339.5348837209301</v>
      </c>
      <c r="AL16" s="535">
        <v>78.79616963064295</v>
      </c>
      <c r="AM16" s="562">
        <f t="shared" si="7"/>
        <v>11</v>
      </c>
      <c r="AN16" s="642"/>
      <c r="AO16" s="534">
        <v>17</v>
      </c>
      <c r="AP16" s="535">
        <v>1376.1702127659578</v>
      </c>
      <c r="AQ16" s="535">
        <v>80.951188986232808</v>
      </c>
      <c r="AR16" s="562">
        <f t="shared" si="8"/>
        <v>9</v>
      </c>
      <c r="AS16" s="642"/>
      <c r="AT16" s="534">
        <v>17</v>
      </c>
      <c r="AU16" s="535">
        <v>1370.2325581395348</v>
      </c>
      <c r="AV16" s="535">
        <v>80.601915184678518</v>
      </c>
      <c r="AW16" s="562">
        <f t="shared" si="9"/>
        <v>10</v>
      </c>
      <c r="AX16" s="642"/>
      <c r="AZ16" s="368" t="e">
        <f t="shared" si="10"/>
        <v>#N/A</v>
      </c>
      <c r="BA16" s="642"/>
    </row>
    <row r="17" spans="2:53">
      <c r="B17" s="647"/>
      <c r="C17" s="534">
        <v>11</v>
      </c>
      <c r="D17" s="201" t="s">
        <v>512</v>
      </c>
      <c r="E17" s="538">
        <v>20</v>
      </c>
      <c r="F17" s="201">
        <v>1440</v>
      </c>
      <c r="G17" s="199">
        <v>72</v>
      </c>
      <c r="H17" s="701"/>
      <c r="I17" s="538">
        <f t="shared" si="0"/>
        <v>20</v>
      </c>
      <c r="J17" s="538">
        <f t="shared" si="1"/>
        <v>1304.3531735194879</v>
      </c>
      <c r="K17" s="199">
        <f t="shared" si="2"/>
        <v>65.217658675974391</v>
      </c>
      <c r="L17" s="657"/>
      <c r="M17" s="565">
        <f>RANK(K17, K$7:$K$36)</f>
        <v>22</v>
      </c>
      <c r="N17" s="641"/>
      <c r="O17" s="641"/>
      <c r="P17" s="534">
        <v>20</v>
      </c>
      <c r="Q17" s="535">
        <v>1293.2432432432422</v>
      </c>
      <c r="R17" s="535">
        <v>64.662162162162105</v>
      </c>
      <c r="S17" s="562">
        <f t="shared" si="3"/>
        <v>22</v>
      </c>
      <c r="T17" s="642"/>
      <c r="U17" s="534">
        <v>20</v>
      </c>
      <c r="V17" s="535">
        <v>1297.9411764705865</v>
      </c>
      <c r="W17" s="535">
        <v>64.897058823529321</v>
      </c>
      <c r="X17" s="562">
        <f t="shared" si="4"/>
        <v>22</v>
      </c>
      <c r="Y17" s="642"/>
      <c r="Z17" s="534">
        <v>20</v>
      </c>
      <c r="AA17" s="535">
        <v>1294.1379310344837</v>
      </c>
      <c r="AB17" s="535">
        <v>64.706896551724185</v>
      </c>
      <c r="AC17" s="562">
        <f t="shared" si="5"/>
        <v>22</v>
      </c>
      <c r="AD17" s="642"/>
      <c r="AE17" s="534">
        <v>20</v>
      </c>
      <c r="AF17" s="535">
        <v>1310.9433962264159</v>
      </c>
      <c r="AG17" s="535">
        <v>65.547169811320799</v>
      </c>
      <c r="AH17" s="562">
        <f t="shared" si="6"/>
        <v>22</v>
      </c>
      <c r="AI17" s="642"/>
      <c r="AJ17" s="534">
        <v>20</v>
      </c>
      <c r="AK17" s="535">
        <v>1325.3731343283566</v>
      </c>
      <c r="AL17" s="535">
        <v>66.268656716417837</v>
      </c>
      <c r="AM17" s="562">
        <f t="shared" si="7"/>
        <v>22</v>
      </c>
      <c r="AN17" s="642"/>
      <c r="AO17" s="534">
        <v>20</v>
      </c>
      <c r="AP17" s="535">
        <v>1320.8333333333323</v>
      </c>
      <c r="AQ17" s="535">
        <v>66.041666666666615</v>
      </c>
      <c r="AR17" s="562">
        <f t="shared" si="8"/>
        <v>22</v>
      </c>
      <c r="AS17" s="642"/>
      <c r="AT17" s="534">
        <v>20</v>
      </c>
      <c r="AU17" s="535">
        <v>1287.9999999999991</v>
      </c>
      <c r="AV17" s="535">
        <v>64.399999999999949</v>
      </c>
      <c r="AW17" s="562">
        <f t="shared" si="9"/>
        <v>22</v>
      </c>
      <c r="AX17" s="642"/>
      <c r="AZ17" s="368" t="e">
        <f t="shared" si="10"/>
        <v>#N/A</v>
      </c>
      <c r="BA17" s="642"/>
    </row>
    <row r="18" spans="2:53">
      <c r="B18" s="647"/>
      <c r="C18" s="534">
        <v>12</v>
      </c>
      <c r="D18" s="201" t="s">
        <v>345</v>
      </c>
      <c r="E18" s="538">
        <v>14</v>
      </c>
      <c r="F18" s="201">
        <v>1440</v>
      </c>
      <c r="G18" s="199">
        <v>102.85714285714286</v>
      </c>
      <c r="H18" s="701"/>
      <c r="I18" s="538">
        <f t="shared" si="0"/>
        <v>15</v>
      </c>
      <c r="J18" s="538">
        <f t="shared" si="1"/>
        <v>1300.4208766793633</v>
      </c>
      <c r="K18" s="199">
        <f t="shared" si="2"/>
        <v>86.694725111957567</v>
      </c>
      <c r="L18" s="657"/>
      <c r="M18" s="565">
        <f>RANK(K18, K$7:$K$36)</f>
        <v>4</v>
      </c>
      <c r="N18" s="641"/>
      <c r="O18" s="641"/>
      <c r="P18" s="534">
        <v>15</v>
      </c>
      <c r="Q18" s="535">
        <v>1324.8979591836739</v>
      </c>
      <c r="R18" s="535">
        <v>88.326530612244923</v>
      </c>
      <c r="S18" s="562">
        <f t="shared" si="3"/>
        <v>4</v>
      </c>
      <c r="T18" s="642"/>
      <c r="U18" s="534">
        <v>15</v>
      </c>
      <c r="V18" s="535">
        <v>1296.9230769230776</v>
      </c>
      <c r="W18" s="535">
        <v>86.46153846153851</v>
      </c>
      <c r="X18" s="562">
        <f t="shared" si="4"/>
        <v>4</v>
      </c>
      <c r="Y18" s="642"/>
      <c r="Z18" s="534">
        <v>15</v>
      </c>
      <c r="AA18" s="535">
        <v>1271.4285714285709</v>
      </c>
      <c r="AB18" s="535">
        <v>84.761904761904731</v>
      </c>
      <c r="AC18" s="562">
        <f t="shared" si="5"/>
        <v>7</v>
      </c>
      <c r="AD18" s="642"/>
      <c r="AE18" s="534">
        <v>15</v>
      </c>
      <c r="AF18" s="535">
        <v>1326.9767441860463</v>
      </c>
      <c r="AG18" s="535">
        <v>88.465116279069747</v>
      </c>
      <c r="AH18" s="562">
        <f t="shared" si="6"/>
        <v>4</v>
      </c>
      <c r="AI18" s="642"/>
      <c r="AJ18" s="534">
        <v>15</v>
      </c>
      <c r="AK18" s="535">
        <v>1291.698113207548</v>
      </c>
      <c r="AL18" s="535">
        <v>86.113207547169864</v>
      </c>
      <c r="AM18" s="562">
        <f t="shared" si="7"/>
        <v>4</v>
      </c>
      <c r="AN18" s="642"/>
      <c r="AO18" s="534">
        <v>15</v>
      </c>
      <c r="AP18" s="535">
        <v>1286.3157894736851</v>
      </c>
      <c r="AQ18" s="535">
        <v>85.754385964912345</v>
      </c>
      <c r="AR18" s="562">
        <f t="shared" si="8"/>
        <v>5</v>
      </c>
      <c r="AS18" s="642"/>
      <c r="AT18" s="534">
        <v>15</v>
      </c>
      <c r="AU18" s="535">
        <v>1304.7058823529417</v>
      </c>
      <c r="AV18" s="535">
        <v>86.980392156862777</v>
      </c>
      <c r="AW18" s="562">
        <f t="shared" si="9"/>
        <v>5</v>
      </c>
      <c r="AX18" s="642"/>
      <c r="AZ18" s="368" t="e">
        <f t="shared" si="10"/>
        <v>#N/A</v>
      </c>
      <c r="BA18" s="642"/>
    </row>
    <row r="19" spans="2:53">
      <c r="B19" s="647"/>
      <c r="C19" s="534">
        <v>13</v>
      </c>
      <c r="D19" s="201" t="s">
        <v>327</v>
      </c>
      <c r="E19" s="538">
        <v>19</v>
      </c>
      <c r="F19" s="201">
        <v>1440</v>
      </c>
      <c r="G19" s="199">
        <v>75.78947368421052</v>
      </c>
      <c r="H19" s="701"/>
      <c r="I19" s="538">
        <f t="shared" si="0"/>
        <v>19</v>
      </c>
      <c r="J19" s="538">
        <f t="shared" si="1"/>
        <v>1312.9079250850743</v>
      </c>
      <c r="K19" s="199">
        <f t="shared" si="2"/>
        <v>69.100417109740775</v>
      </c>
      <c r="L19" s="657"/>
      <c r="M19" s="565">
        <f>RANK(K19, K$7:$K$36)</f>
        <v>20</v>
      </c>
      <c r="N19" s="641"/>
      <c r="O19" s="641"/>
      <c r="P19" s="534">
        <v>19</v>
      </c>
      <c r="Q19" s="535">
        <v>1302.6506024096382</v>
      </c>
      <c r="R19" s="535">
        <v>68.560558021559899</v>
      </c>
      <c r="S19" s="562">
        <f t="shared" si="3"/>
        <v>21</v>
      </c>
      <c r="T19" s="642"/>
      <c r="U19" s="534">
        <v>19</v>
      </c>
      <c r="V19" s="535">
        <v>1331.5384615384608</v>
      </c>
      <c r="W19" s="535">
        <v>70.080971659918987</v>
      </c>
      <c r="X19" s="562">
        <f t="shared" si="4"/>
        <v>19</v>
      </c>
      <c r="Y19" s="642"/>
      <c r="Z19" s="534">
        <v>19</v>
      </c>
      <c r="AA19" s="535">
        <v>1290.8571428571415</v>
      </c>
      <c r="AB19" s="535">
        <v>67.939849624060074</v>
      </c>
      <c r="AC19" s="562">
        <f t="shared" si="5"/>
        <v>20</v>
      </c>
      <c r="AD19" s="642"/>
      <c r="AE19" s="534">
        <v>19</v>
      </c>
      <c r="AF19" s="535">
        <v>1319.0476190476204</v>
      </c>
      <c r="AG19" s="535">
        <v>69.423558897243183</v>
      </c>
      <c r="AH19" s="562">
        <f t="shared" si="6"/>
        <v>19</v>
      </c>
      <c r="AI19" s="642"/>
      <c r="AJ19" s="534">
        <v>19</v>
      </c>
      <c r="AK19" s="535">
        <v>1298.7341772151892</v>
      </c>
      <c r="AL19" s="535">
        <v>68.354430379746802</v>
      </c>
      <c r="AM19" s="562">
        <f t="shared" si="7"/>
        <v>20</v>
      </c>
      <c r="AN19" s="642"/>
      <c r="AO19" s="534">
        <v>19</v>
      </c>
      <c r="AP19" s="535">
        <v>1335.3846153846148</v>
      </c>
      <c r="AQ19" s="535">
        <v>70.283400809716568</v>
      </c>
      <c r="AR19" s="562">
        <f t="shared" si="8"/>
        <v>17</v>
      </c>
      <c r="AS19" s="642"/>
      <c r="AT19" s="534">
        <v>19</v>
      </c>
      <c r="AU19" s="535">
        <v>1312.1428571428569</v>
      </c>
      <c r="AV19" s="535">
        <v>69.060150375939841</v>
      </c>
      <c r="AW19" s="562">
        <f t="shared" si="9"/>
        <v>20</v>
      </c>
      <c r="AX19" s="642"/>
      <c r="AZ19" s="368" t="e">
        <f t="shared" si="10"/>
        <v>#N/A</v>
      </c>
      <c r="BA19" s="642"/>
    </row>
    <row r="20" spans="2:53">
      <c r="B20" s="647"/>
      <c r="C20" s="534">
        <v>14</v>
      </c>
      <c r="D20" s="201" t="s">
        <v>343</v>
      </c>
      <c r="E20" s="538">
        <v>19</v>
      </c>
      <c r="F20" s="201">
        <v>1440</v>
      </c>
      <c r="G20" s="199">
        <v>75.78947368421052</v>
      </c>
      <c r="H20" s="701"/>
      <c r="I20" s="538">
        <f t="shared" si="0"/>
        <v>19</v>
      </c>
      <c r="J20" s="538">
        <f t="shared" si="1"/>
        <v>1313.7197062114653</v>
      </c>
      <c r="K20" s="199">
        <f t="shared" si="2"/>
        <v>69.143142432182387</v>
      </c>
      <c r="L20" s="657"/>
      <c r="M20" s="565">
        <f>RANK(K20, K$7:$K$36)</f>
        <v>19</v>
      </c>
      <c r="N20" s="641"/>
      <c r="O20" s="641"/>
      <c r="P20" s="534">
        <v>19</v>
      </c>
      <c r="Q20" s="535">
        <v>1315.6521739130421</v>
      </c>
      <c r="R20" s="535">
        <v>69.244851258581164</v>
      </c>
      <c r="S20" s="562">
        <f t="shared" si="3"/>
        <v>19</v>
      </c>
      <c r="T20" s="642"/>
      <c r="U20" s="534">
        <v>19</v>
      </c>
      <c r="V20" s="535">
        <v>1331.803278688526</v>
      </c>
      <c r="W20" s="535">
        <v>70.094909404659262</v>
      </c>
      <c r="X20" s="562">
        <f t="shared" si="4"/>
        <v>18</v>
      </c>
      <c r="Y20" s="642"/>
      <c r="Z20" s="534">
        <v>19</v>
      </c>
      <c r="AA20" s="535">
        <v>1324.3636363636374</v>
      </c>
      <c r="AB20" s="535">
        <v>69.703349282296699</v>
      </c>
      <c r="AC20" s="562">
        <f t="shared" si="5"/>
        <v>19</v>
      </c>
      <c r="AD20" s="642"/>
      <c r="AE20" s="534">
        <v>19</v>
      </c>
      <c r="AF20" s="535">
        <v>1300.0000000000009</v>
      </c>
      <c r="AG20" s="535">
        <v>68.421052631579002</v>
      </c>
      <c r="AH20" s="562">
        <f t="shared" si="6"/>
        <v>21</v>
      </c>
      <c r="AI20" s="642"/>
      <c r="AJ20" s="534">
        <v>19</v>
      </c>
      <c r="AK20" s="535">
        <v>1300.3125000000016</v>
      </c>
      <c r="AL20" s="535">
        <v>68.437500000000085</v>
      </c>
      <c r="AM20" s="562">
        <f t="shared" si="7"/>
        <v>19</v>
      </c>
      <c r="AN20" s="642"/>
      <c r="AO20" s="534">
        <v>19</v>
      </c>
      <c r="AP20" s="535">
        <v>1296.5217391304334</v>
      </c>
      <c r="AQ20" s="535">
        <v>68.237986270022816</v>
      </c>
      <c r="AR20" s="562">
        <f t="shared" si="8"/>
        <v>21</v>
      </c>
      <c r="AS20" s="642"/>
      <c r="AT20" s="534">
        <v>19</v>
      </c>
      <c r="AU20" s="535">
        <v>1327.3846153846168</v>
      </c>
      <c r="AV20" s="535">
        <v>69.862348178137722</v>
      </c>
      <c r="AW20" s="562">
        <f t="shared" si="9"/>
        <v>19</v>
      </c>
      <c r="AX20" s="642"/>
      <c r="AZ20" s="368" t="e">
        <f t="shared" si="10"/>
        <v>#N/A</v>
      </c>
      <c r="BA20" s="642"/>
    </row>
    <row r="21" spans="2:53">
      <c r="B21" s="647"/>
      <c r="C21" s="534">
        <v>15</v>
      </c>
      <c r="D21" s="201" t="s">
        <v>581</v>
      </c>
      <c r="E21" s="538">
        <v>18</v>
      </c>
      <c r="F21" s="201">
        <v>1500</v>
      </c>
      <c r="G21" s="199">
        <v>83.333333333333329</v>
      </c>
      <c r="H21" s="701"/>
      <c r="I21" s="538">
        <f t="shared" si="0"/>
        <v>18</v>
      </c>
      <c r="J21" s="538">
        <f t="shared" si="1"/>
        <v>1371.9711649363114</v>
      </c>
      <c r="K21" s="199">
        <f t="shared" si="2"/>
        <v>76.220620274239522</v>
      </c>
      <c r="L21" s="657"/>
      <c r="M21" s="565">
        <f>RANK(K21, K$7:$K$36)</f>
        <v>15</v>
      </c>
      <c r="N21" s="641"/>
      <c r="O21" s="641"/>
      <c r="P21" s="534">
        <v>18</v>
      </c>
      <c r="Q21" s="535">
        <v>1369.0000000000014</v>
      </c>
      <c r="R21" s="535">
        <v>76.055555555555628</v>
      </c>
      <c r="S21" s="562">
        <f t="shared" si="3"/>
        <v>15</v>
      </c>
      <c r="T21" s="642"/>
      <c r="U21" s="534">
        <v>18</v>
      </c>
      <c r="V21" s="535">
        <v>1380.0000000000011</v>
      </c>
      <c r="W21" s="535">
        <v>76.666666666666728</v>
      </c>
      <c r="X21" s="562">
        <f t="shared" si="4"/>
        <v>13</v>
      </c>
      <c r="Y21" s="642"/>
      <c r="Z21" s="534">
        <v>18</v>
      </c>
      <c r="AA21" s="535">
        <v>1357.7777777777785</v>
      </c>
      <c r="AB21" s="535">
        <v>75.432098765432144</v>
      </c>
      <c r="AC21" s="562">
        <f t="shared" si="5"/>
        <v>15</v>
      </c>
      <c r="AD21" s="642"/>
      <c r="AE21" s="534">
        <v>18</v>
      </c>
      <c r="AF21" s="535">
        <v>1383.9130434782608</v>
      </c>
      <c r="AG21" s="535">
        <v>76.884057971014485</v>
      </c>
      <c r="AH21" s="562">
        <f t="shared" si="6"/>
        <v>15</v>
      </c>
      <c r="AI21" s="642"/>
      <c r="AJ21" s="534">
        <v>18</v>
      </c>
      <c r="AK21" s="535">
        <v>1369.7872340425533</v>
      </c>
      <c r="AL21" s="535">
        <v>76.099290780141857</v>
      </c>
      <c r="AM21" s="562">
        <f t="shared" si="7"/>
        <v>15</v>
      </c>
      <c r="AN21" s="642"/>
      <c r="AO21" s="534">
        <v>18</v>
      </c>
      <c r="AP21" s="535">
        <v>1391.3846153846146</v>
      </c>
      <c r="AQ21" s="535">
        <v>77.299145299145252</v>
      </c>
      <c r="AR21" s="562">
        <f t="shared" si="8"/>
        <v>14</v>
      </c>
      <c r="AS21" s="642"/>
      <c r="AT21" s="534">
        <v>18</v>
      </c>
      <c r="AU21" s="535">
        <v>1351.9354838709689</v>
      </c>
      <c r="AV21" s="535">
        <v>75.107526881720503</v>
      </c>
      <c r="AW21" s="562">
        <f t="shared" si="9"/>
        <v>16</v>
      </c>
      <c r="AX21" s="642"/>
      <c r="AZ21" s="368" t="e">
        <f t="shared" si="10"/>
        <v>#N/A</v>
      </c>
      <c r="BA21" s="642"/>
    </row>
    <row r="22" spans="2:53">
      <c r="B22" s="647"/>
      <c r="C22" s="534">
        <v>16</v>
      </c>
      <c r="D22" s="201" t="s">
        <v>509</v>
      </c>
      <c r="E22" s="538">
        <v>17</v>
      </c>
      <c r="F22" s="201">
        <v>1440</v>
      </c>
      <c r="G22" s="199">
        <v>84.705882352941174</v>
      </c>
      <c r="H22" s="701"/>
      <c r="I22" s="538">
        <f t="shared" si="0"/>
        <v>17</v>
      </c>
      <c r="J22" s="538">
        <f t="shared" si="1"/>
        <v>1300.3429678091322</v>
      </c>
      <c r="K22" s="199">
        <f t="shared" si="2"/>
        <v>76.490762812301881</v>
      </c>
      <c r="L22" s="657"/>
      <c r="M22" s="565">
        <f>RANK(K22, K$7:$K$36)</f>
        <v>14</v>
      </c>
      <c r="N22" s="641"/>
      <c r="O22" s="641"/>
      <c r="P22" s="534">
        <v>17</v>
      </c>
      <c r="Q22" s="535">
        <v>1321.5789473684201</v>
      </c>
      <c r="R22" s="535">
        <v>77.739938080495307</v>
      </c>
      <c r="S22" s="562">
        <f t="shared" si="3"/>
        <v>13</v>
      </c>
      <c r="T22" s="642"/>
      <c r="U22" s="534">
        <v>17</v>
      </c>
      <c r="V22" s="535">
        <v>1274.9999999999995</v>
      </c>
      <c r="W22" s="535">
        <v>74.999999999999972</v>
      </c>
      <c r="X22" s="562">
        <f t="shared" si="4"/>
        <v>15</v>
      </c>
      <c r="Y22" s="642"/>
      <c r="Z22" s="534">
        <v>17</v>
      </c>
      <c r="AA22" s="535">
        <v>1283.6363636363619</v>
      </c>
      <c r="AB22" s="535">
        <v>75.508021390374225</v>
      </c>
      <c r="AC22" s="562">
        <f t="shared" si="5"/>
        <v>14</v>
      </c>
      <c r="AD22" s="642"/>
      <c r="AE22" s="534">
        <v>17</v>
      </c>
      <c r="AF22" s="535">
        <v>1327.9999999999977</v>
      </c>
      <c r="AG22" s="535">
        <v>78.117647058823394</v>
      </c>
      <c r="AH22" s="562">
        <f t="shared" si="6"/>
        <v>13</v>
      </c>
      <c r="AI22" s="642"/>
      <c r="AJ22" s="534">
        <v>17</v>
      </c>
      <c r="AK22" s="535">
        <v>1308.9473684210516</v>
      </c>
      <c r="AL22" s="535">
        <v>76.996904024767744</v>
      </c>
      <c r="AM22" s="562">
        <f t="shared" si="7"/>
        <v>13</v>
      </c>
      <c r="AN22" s="642"/>
      <c r="AO22" s="534">
        <v>17</v>
      </c>
      <c r="AP22" s="535">
        <v>1288.571428571428</v>
      </c>
      <c r="AQ22" s="535">
        <v>75.798319327731065</v>
      </c>
      <c r="AR22" s="562">
        <f t="shared" si="8"/>
        <v>15</v>
      </c>
      <c r="AS22" s="642"/>
      <c r="AT22" s="534">
        <v>17</v>
      </c>
      <c r="AU22" s="535">
        <v>1296.6666666666656</v>
      </c>
      <c r="AV22" s="535">
        <v>76.274509803921504</v>
      </c>
      <c r="AW22" s="562">
        <f t="shared" si="9"/>
        <v>14</v>
      </c>
      <c r="AX22" s="642"/>
      <c r="AZ22" s="368" t="e">
        <f t="shared" si="10"/>
        <v>#N/A</v>
      </c>
      <c r="BA22" s="642"/>
    </row>
    <row r="23" spans="2:53">
      <c r="B23" s="647"/>
      <c r="C23" s="534">
        <v>17</v>
      </c>
      <c r="D23" s="201" t="s">
        <v>603</v>
      </c>
      <c r="E23" s="538">
        <v>16</v>
      </c>
      <c r="F23" s="201">
        <v>1636</v>
      </c>
      <c r="G23" s="199">
        <v>102.25</v>
      </c>
      <c r="H23" s="701"/>
      <c r="I23" s="538">
        <f t="shared" si="0"/>
        <v>16</v>
      </c>
      <c r="J23" s="538">
        <f t="shared" si="1"/>
        <v>1401.7087002340177</v>
      </c>
      <c r="K23" s="199">
        <f t="shared" si="2"/>
        <v>87.606793764626104</v>
      </c>
      <c r="L23" s="657"/>
      <c r="M23" s="565">
        <f>RANK(K23, K$7:$K$36)</f>
        <v>3</v>
      </c>
      <c r="N23" s="641"/>
      <c r="O23" s="641"/>
      <c r="P23" s="534">
        <v>16</v>
      </c>
      <c r="Q23" s="535">
        <v>1420.9756097560971</v>
      </c>
      <c r="R23" s="535">
        <v>88.810975609756071</v>
      </c>
      <c r="S23" s="562">
        <f t="shared" si="3"/>
        <v>3</v>
      </c>
      <c r="T23" s="642"/>
      <c r="U23" s="534">
        <v>16</v>
      </c>
      <c r="V23" s="535">
        <v>1411.3636363636365</v>
      </c>
      <c r="W23" s="535">
        <v>88.21022727272728</v>
      </c>
      <c r="X23" s="562">
        <f t="shared" si="4"/>
        <v>3</v>
      </c>
      <c r="Y23" s="642"/>
      <c r="Z23" s="534">
        <v>16</v>
      </c>
      <c r="AA23" s="535">
        <v>1391.2499999999982</v>
      </c>
      <c r="AB23" s="535">
        <v>86.953124999999886</v>
      </c>
      <c r="AC23" s="562">
        <f t="shared" si="5"/>
        <v>5</v>
      </c>
      <c r="AD23" s="642"/>
      <c r="AE23" s="534">
        <v>16</v>
      </c>
      <c r="AF23" s="535">
        <v>1389.3749999999982</v>
      </c>
      <c r="AG23" s="535">
        <v>86.835937499999886</v>
      </c>
      <c r="AH23" s="562">
        <f t="shared" si="6"/>
        <v>5</v>
      </c>
      <c r="AI23" s="642"/>
      <c r="AJ23" s="534">
        <v>16</v>
      </c>
      <c r="AK23" s="535">
        <v>1389.2307692307686</v>
      </c>
      <c r="AL23" s="535">
        <v>86.826923076923038</v>
      </c>
      <c r="AM23" s="562">
        <f t="shared" si="7"/>
        <v>3</v>
      </c>
      <c r="AN23" s="642"/>
      <c r="AO23" s="534">
        <v>16</v>
      </c>
      <c r="AP23" s="535">
        <v>1411.304347826087</v>
      </c>
      <c r="AQ23" s="535">
        <v>88.206521739130437</v>
      </c>
      <c r="AR23" s="562">
        <f t="shared" si="8"/>
        <v>3</v>
      </c>
      <c r="AS23" s="642"/>
      <c r="AT23" s="534">
        <v>16</v>
      </c>
      <c r="AU23" s="535">
        <v>1398.4615384615377</v>
      </c>
      <c r="AV23" s="535">
        <v>87.403846153846104</v>
      </c>
      <c r="AW23" s="562">
        <f t="shared" si="9"/>
        <v>3</v>
      </c>
      <c r="AX23" s="642"/>
      <c r="AZ23" s="368" t="e">
        <f t="shared" si="10"/>
        <v>#N/A</v>
      </c>
      <c r="BA23" s="642"/>
    </row>
    <row r="24" spans="2:53">
      <c r="B24" s="647"/>
      <c r="C24" s="534">
        <v>18</v>
      </c>
      <c r="D24" s="201" t="s">
        <v>615</v>
      </c>
      <c r="E24" s="538">
        <v>16</v>
      </c>
      <c r="F24" s="201">
        <v>1500</v>
      </c>
      <c r="G24" s="199">
        <v>93.75</v>
      </c>
      <c r="H24" s="701"/>
      <c r="I24" s="538">
        <f t="shared" si="0"/>
        <v>16.571428571428573</v>
      </c>
      <c r="J24" s="538">
        <f t="shared" si="1"/>
        <v>1369.189602729462</v>
      </c>
      <c r="K24" s="199">
        <f t="shared" si="2"/>
        <v>82.711036152960602</v>
      </c>
      <c r="L24" s="657"/>
      <c r="M24" s="565">
        <f>RANK(K24, K$7:$K$36)</f>
        <v>8</v>
      </c>
      <c r="N24" s="641"/>
      <c r="O24" s="641"/>
      <c r="P24" s="534">
        <v>16</v>
      </c>
      <c r="Q24" s="535">
        <v>1377.64705882353</v>
      </c>
      <c r="R24" s="535">
        <v>86.102941176470623</v>
      </c>
      <c r="S24" s="562">
        <f t="shared" si="3"/>
        <v>6</v>
      </c>
      <c r="T24" s="642"/>
      <c r="U24" s="534">
        <v>16</v>
      </c>
      <c r="V24" s="535">
        <v>1361.8867924528308</v>
      </c>
      <c r="W24" s="535">
        <v>85.117924528301927</v>
      </c>
      <c r="X24" s="562">
        <f t="shared" si="4"/>
        <v>6</v>
      </c>
      <c r="Y24" s="642"/>
      <c r="Z24" s="534">
        <v>17</v>
      </c>
      <c r="AA24" s="535">
        <v>1381.4999999999995</v>
      </c>
      <c r="AB24" s="535">
        <v>81.264705882352914</v>
      </c>
      <c r="AC24" s="562">
        <f t="shared" si="5"/>
        <v>9</v>
      </c>
      <c r="AD24" s="642"/>
      <c r="AE24" s="534">
        <v>17</v>
      </c>
      <c r="AF24" s="535">
        <v>1358.4615384615377</v>
      </c>
      <c r="AG24" s="535">
        <v>79.909502262443397</v>
      </c>
      <c r="AH24" s="562">
        <f t="shared" si="6"/>
        <v>9</v>
      </c>
      <c r="AI24" s="642"/>
      <c r="AJ24" s="534">
        <v>17</v>
      </c>
      <c r="AK24" s="535">
        <v>1357.8260869565217</v>
      </c>
      <c r="AL24" s="535">
        <v>79.872122762148337</v>
      </c>
      <c r="AM24" s="562">
        <f t="shared" si="7"/>
        <v>10</v>
      </c>
      <c r="AN24" s="642"/>
      <c r="AO24" s="534">
        <v>17</v>
      </c>
      <c r="AP24" s="535">
        <v>1353.9622641509441</v>
      </c>
      <c r="AQ24" s="535">
        <v>79.644839067702591</v>
      </c>
      <c r="AR24" s="562">
        <f t="shared" si="8"/>
        <v>11</v>
      </c>
      <c r="AS24" s="642"/>
      <c r="AT24" s="534">
        <v>16</v>
      </c>
      <c r="AU24" s="535">
        <v>1393.0434782608695</v>
      </c>
      <c r="AV24" s="535">
        <v>87.065217391304344</v>
      </c>
      <c r="AW24" s="562">
        <f t="shared" si="9"/>
        <v>4</v>
      </c>
      <c r="AX24" s="642"/>
      <c r="AZ24" s="368" t="e">
        <f t="shared" si="10"/>
        <v>#N/A</v>
      </c>
      <c r="BA24" s="642"/>
    </row>
    <row r="25" spans="2:53">
      <c r="B25" s="647"/>
      <c r="C25" s="534">
        <v>19</v>
      </c>
      <c r="D25" s="201" t="s">
        <v>611</v>
      </c>
      <c r="E25" s="538">
        <v>16</v>
      </c>
      <c r="F25" s="201">
        <v>1500</v>
      </c>
      <c r="G25" s="199">
        <v>93.75</v>
      </c>
      <c r="H25" s="701"/>
      <c r="I25" s="538">
        <f t="shared" si="0"/>
        <v>15.428571428571429</v>
      </c>
      <c r="J25" s="538">
        <f t="shared" si="1"/>
        <v>1312.1919008107684</v>
      </c>
      <c r="K25" s="199">
        <f t="shared" si="2"/>
        <v>85.343124073605438</v>
      </c>
      <c r="L25" s="657"/>
      <c r="M25" s="565">
        <f>RANK(K25, K$7:$K$36)</f>
        <v>7</v>
      </c>
      <c r="N25" s="641"/>
      <c r="O25" s="641"/>
      <c r="P25" s="534">
        <v>16</v>
      </c>
      <c r="Q25" s="535">
        <v>1316.0526315789464</v>
      </c>
      <c r="R25" s="535">
        <v>82.253289473684148</v>
      </c>
      <c r="S25" s="562">
        <f t="shared" si="3"/>
        <v>8</v>
      </c>
      <c r="T25" s="642"/>
      <c r="U25" s="534">
        <v>16</v>
      </c>
      <c r="V25" s="535">
        <v>1302.857142857142</v>
      </c>
      <c r="W25" s="535">
        <v>81.428571428571374</v>
      </c>
      <c r="X25" s="562">
        <f t="shared" si="4"/>
        <v>9</v>
      </c>
      <c r="Y25" s="642"/>
      <c r="Z25" s="534">
        <v>14</v>
      </c>
      <c r="AA25" s="535">
        <v>1303.8095238095252</v>
      </c>
      <c r="AB25" s="535">
        <v>93.129251700680371</v>
      </c>
      <c r="AC25" s="562">
        <f t="shared" si="5"/>
        <v>3</v>
      </c>
      <c r="AD25" s="642"/>
      <c r="AE25" s="534">
        <v>14</v>
      </c>
      <c r="AF25" s="535">
        <v>1307.7966101694926</v>
      </c>
      <c r="AG25" s="535">
        <v>93.414043583535189</v>
      </c>
      <c r="AH25" s="562">
        <f t="shared" si="6"/>
        <v>3</v>
      </c>
      <c r="AI25" s="642"/>
      <c r="AJ25" s="534">
        <v>16</v>
      </c>
      <c r="AK25" s="535">
        <v>1335.1999999999989</v>
      </c>
      <c r="AL25" s="535">
        <v>83.449999999999932</v>
      </c>
      <c r="AM25" s="562">
        <f t="shared" si="7"/>
        <v>7</v>
      </c>
      <c r="AN25" s="642"/>
      <c r="AO25" s="534">
        <v>16</v>
      </c>
      <c r="AP25" s="535">
        <v>1313.599999999999</v>
      </c>
      <c r="AQ25" s="535">
        <v>82.099999999999937</v>
      </c>
      <c r="AR25" s="562">
        <f t="shared" si="8"/>
        <v>7</v>
      </c>
      <c r="AS25" s="642"/>
      <c r="AT25" s="534">
        <v>16</v>
      </c>
      <c r="AU25" s="535">
        <v>1306.0273972602729</v>
      </c>
      <c r="AV25" s="535">
        <v>81.626712328767056</v>
      </c>
      <c r="AW25" s="562">
        <f t="shared" si="9"/>
        <v>9</v>
      </c>
      <c r="AX25" s="642"/>
      <c r="AZ25" s="368" t="e">
        <f t="shared" si="10"/>
        <v>#N/A</v>
      </c>
      <c r="BA25" s="642"/>
    </row>
    <row r="26" spans="2:53">
      <c r="B26" s="647"/>
      <c r="C26" s="534">
        <v>20</v>
      </c>
      <c r="D26" s="201" t="s">
        <v>619</v>
      </c>
      <c r="E26" s="538">
        <v>16</v>
      </c>
      <c r="F26" s="201">
        <v>1440</v>
      </c>
      <c r="G26" s="199">
        <v>90</v>
      </c>
      <c r="H26" s="701"/>
      <c r="I26" s="538">
        <f t="shared" si="0"/>
        <v>15.571428571428571</v>
      </c>
      <c r="J26" s="538">
        <f t="shared" si="1"/>
        <v>1126.602040816327</v>
      </c>
      <c r="K26" s="199">
        <f t="shared" si="2"/>
        <v>72.429209183673507</v>
      </c>
      <c r="L26" s="657"/>
      <c r="M26" s="565">
        <f>RANK(K26, K$7:$K$36)</f>
        <v>16</v>
      </c>
      <c r="N26" s="641"/>
      <c r="O26" s="641"/>
      <c r="P26" s="534">
        <v>16</v>
      </c>
      <c r="Q26" s="535">
        <v>1122.8571428571404</v>
      </c>
      <c r="R26" s="535">
        <v>70.178571428571274</v>
      </c>
      <c r="S26" s="562">
        <f t="shared" si="3"/>
        <v>18</v>
      </c>
      <c r="T26" s="642"/>
      <c r="U26" s="534">
        <v>16</v>
      </c>
      <c r="V26" s="535">
        <v>1137.999999999998</v>
      </c>
      <c r="W26" s="535">
        <v>71.124999999999872</v>
      </c>
      <c r="X26" s="562">
        <f t="shared" si="4"/>
        <v>17</v>
      </c>
      <c r="Y26" s="642"/>
      <c r="Z26" s="534">
        <v>15</v>
      </c>
      <c r="AA26" s="535">
        <v>1122.8571428571468</v>
      </c>
      <c r="AB26" s="535">
        <v>74.857142857143117</v>
      </c>
      <c r="AC26" s="562">
        <f t="shared" si="5"/>
        <v>16</v>
      </c>
      <c r="AD26" s="642"/>
      <c r="AE26" s="534">
        <v>15</v>
      </c>
      <c r="AF26" s="535">
        <v>1125.0000000000041</v>
      </c>
      <c r="AG26" s="535">
        <v>75.00000000000027</v>
      </c>
      <c r="AH26" s="562">
        <f t="shared" si="6"/>
        <v>16</v>
      </c>
      <c r="AI26" s="642"/>
      <c r="AJ26" s="534">
        <v>16</v>
      </c>
      <c r="AK26" s="535">
        <v>1127.4999999999964</v>
      </c>
      <c r="AL26" s="535">
        <v>70.468749999999773</v>
      </c>
      <c r="AM26" s="562">
        <f t="shared" si="7"/>
        <v>16</v>
      </c>
      <c r="AN26" s="642"/>
      <c r="AO26" s="534">
        <v>16</v>
      </c>
      <c r="AP26" s="535">
        <v>1109.9999999999984</v>
      </c>
      <c r="AQ26" s="535">
        <v>69.374999999999901</v>
      </c>
      <c r="AR26" s="562">
        <f t="shared" si="8"/>
        <v>19</v>
      </c>
      <c r="AS26" s="642"/>
      <c r="AT26" s="534">
        <v>15</v>
      </c>
      <c r="AU26" s="535">
        <v>1140.0000000000041</v>
      </c>
      <c r="AV26" s="535">
        <v>76.00000000000027</v>
      </c>
      <c r="AW26" s="562">
        <f t="shared" si="9"/>
        <v>15</v>
      </c>
      <c r="AX26" s="642"/>
      <c r="AZ26" s="368" t="e">
        <f t="shared" si="10"/>
        <v>#N/A</v>
      </c>
      <c r="BA26" s="642"/>
    </row>
    <row r="27" spans="2:53">
      <c r="B27" s="647"/>
      <c r="C27" s="534">
        <v>21</v>
      </c>
      <c r="D27" s="201" t="s">
        <v>629</v>
      </c>
      <c r="E27" s="538">
        <v>19</v>
      </c>
      <c r="F27" s="201">
        <v>1440</v>
      </c>
      <c r="G27" s="199">
        <v>75.78947368421052</v>
      </c>
      <c r="H27" s="701"/>
      <c r="I27" s="538">
        <f t="shared" si="0"/>
        <v>19</v>
      </c>
      <c r="J27" s="538">
        <f t="shared" si="1"/>
        <v>1308.2971260301492</v>
      </c>
      <c r="K27" s="199">
        <f t="shared" si="2"/>
        <v>68.857743475271022</v>
      </c>
      <c r="L27" s="657"/>
      <c r="M27" s="565">
        <f>RANK(K27, K$7:$K$36)</f>
        <v>21</v>
      </c>
      <c r="N27" s="641"/>
      <c r="O27" s="641"/>
      <c r="P27" s="534">
        <v>19</v>
      </c>
      <c r="Q27" s="535">
        <v>1309.4736842105274</v>
      </c>
      <c r="R27" s="535">
        <v>68.919667590027757</v>
      </c>
      <c r="S27" s="562">
        <f t="shared" si="3"/>
        <v>20</v>
      </c>
      <c r="T27" s="642"/>
      <c r="U27" s="534">
        <v>19</v>
      </c>
      <c r="V27" s="535">
        <v>1300.677966101696</v>
      </c>
      <c r="W27" s="535">
        <v>68.456735057984005</v>
      </c>
      <c r="X27" s="562">
        <f t="shared" si="4"/>
        <v>21</v>
      </c>
      <c r="Y27" s="642"/>
      <c r="Z27" s="534">
        <v>19</v>
      </c>
      <c r="AA27" s="535">
        <v>1285.909090909091</v>
      </c>
      <c r="AB27" s="535">
        <v>67.679425837320579</v>
      </c>
      <c r="AC27" s="562">
        <f t="shared" si="5"/>
        <v>21</v>
      </c>
      <c r="AD27" s="642"/>
      <c r="AE27" s="534">
        <v>19</v>
      </c>
      <c r="AF27" s="535">
        <v>1317.1428571428567</v>
      </c>
      <c r="AG27" s="535">
        <v>69.323308270676662</v>
      </c>
      <c r="AH27" s="562">
        <f t="shared" si="6"/>
        <v>20</v>
      </c>
      <c r="AI27" s="642"/>
      <c r="AJ27" s="534">
        <v>19</v>
      </c>
      <c r="AK27" s="535">
        <v>1318.8888888888896</v>
      </c>
      <c r="AL27" s="535">
        <v>69.415204678362613</v>
      </c>
      <c r="AM27" s="562">
        <f t="shared" si="7"/>
        <v>18</v>
      </c>
      <c r="AN27" s="642"/>
      <c r="AO27" s="534">
        <v>19</v>
      </c>
      <c r="AP27" s="535">
        <v>1318.9285714285725</v>
      </c>
      <c r="AQ27" s="535">
        <v>69.417293233082759</v>
      </c>
      <c r="AR27" s="562">
        <f t="shared" si="8"/>
        <v>18</v>
      </c>
      <c r="AS27" s="642"/>
      <c r="AT27" s="534">
        <v>19</v>
      </c>
      <c r="AU27" s="535">
        <v>1307.0588235294122</v>
      </c>
      <c r="AV27" s="535">
        <v>68.792569659442748</v>
      </c>
      <c r="AW27" s="562">
        <f t="shared" si="9"/>
        <v>21</v>
      </c>
      <c r="AX27" s="642"/>
      <c r="AZ27" s="368" t="e">
        <f t="shared" si="10"/>
        <v>#N/A</v>
      </c>
      <c r="BA27" s="642"/>
    </row>
    <row r="28" spans="2:53">
      <c r="B28" s="647"/>
      <c r="C28" s="534">
        <v>22</v>
      </c>
      <c r="D28" s="201" t="s">
        <v>700</v>
      </c>
      <c r="E28" s="538">
        <v>21</v>
      </c>
      <c r="F28" s="201">
        <v>1440</v>
      </c>
      <c r="G28" s="199">
        <v>68.571428571428569</v>
      </c>
      <c r="H28" s="701"/>
      <c r="I28" s="538">
        <f t="shared" si="0"/>
        <v>20.857142857142858</v>
      </c>
      <c r="J28" s="538">
        <f t="shared" si="1"/>
        <v>1139.3381263689437</v>
      </c>
      <c r="K28" s="199">
        <f t="shared" si="2"/>
        <v>54.614209248861251</v>
      </c>
      <c r="L28" s="657"/>
      <c r="M28" s="565">
        <f>RANK(K28, K$7:$K$36)</f>
        <v>24</v>
      </c>
      <c r="N28" s="641"/>
      <c r="O28" s="641"/>
      <c r="P28" s="534">
        <v>21</v>
      </c>
      <c r="Q28" s="535">
        <v>1137.4647887323933</v>
      </c>
      <c r="R28" s="535">
        <v>54.164989939637778</v>
      </c>
      <c r="S28" s="562">
        <f t="shared" si="3"/>
        <v>24</v>
      </c>
      <c r="T28" s="642"/>
      <c r="U28" s="534">
        <v>21</v>
      </c>
      <c r="V28" s="535">
        <v>1163.4782608695641</v>
      </c>
      <c r="W28" s="535">
        <v>55.40372670807448</v>
      </c>
      <c r="X28" s="562">
        <f t="shared" si="4"/>
        <v>24</v>
      </c>
      <c r="Y28" s="642"/>
      <c r="Z28" s="534">
        <v>21</v>
      </c>
      <c r="AA28" s="535">
        <v>1137.6923076923083</v>
      </c>
      <c r="AB28" s="535">
        <v>54.175824175824204</v>
      </c>
      <c r="AC28" s="562">
        <f t="shared" si="5"/>
        <v>24</v>
      </c>
      <c r="AD28" s="642"/>
      <c r="AE28" s="534">
        <v>21</v>
      </c>
      <c r="AF28" s="535">
        <v>1165.882352941177</v>
      </c>
      <c r="AG28" s="535">
        <v>55.518207282913195</v>
      </c>
      <c r="AH28" s="562">
        <f t="shared" si="6"/>
        <v>24</v>
      </c>
      <c r="AI28" s="642"/>
      <c r="AJ28" s="534">
        <v>21</v>
      </c>
      <c r="AK28" s="535">
        <v>1141.9354838709687</v>
      </c>
      <c r="AL28" s="535">
        <v>54.377880184331843</v>
      </c>
      <c r="AM28" s="562">
        <f t="shared" si="7"/>
        <v>24</v>
      </c>
      <c r="AN28" s="642"/>
      <c r="AO28" s="534">
        <v>21</v>
      </c>
      <c r="AP28" s="535">
        <v>1170.4761904761917</v>
      </c>
      <c r="AQ28" s="535">
        <v>55.736961451247225</v>
      </c>
      <c r="AR28" s="562">
        <f t="shared" si="8"/>
        <v>24</v>
      </c>
      <c r="AS28" s="642"/>
      <c r="AT28" s="534">
        <v>20</v>
      </c>
      <c r="AU28" s="535">
        <v>1058.4375000000014</v>
      </c>
      <c r="AV28" s="535">
        <v>52.921875000000071</v>
      </c>
      <c r="AW28" s="562">
        <f t="shared" si="9"/>
        <v>24</v>
      </c>
      <c r="AX28" s="642"/>
      <c r="AZ28" s="368" t="e">
        <f t="shared" si="10"/>
        <v>#N/A</v>
      </c>
      <c r="BA28" s="642"/>
    </row>
    <row r="29" spans="2:53">
      <c r="B29" s="647"/>
      <c r="C29" s="534">
        <v>23</v>
      </c>
      <c r="D29" s="201" t="s">
        <v>702</v>
      </c>
      <c r="E29" s="538">
        <v>19</v>
      </c>
      <c r="F29" s="201">
        <v>1440</v>
      </c>
      <c r="G29" s="199">
        <v>75.78947368421052</v>
      </c>
      <c r="H29" s="701"/>
      <c r="I29" s="538">
        <f t="shared" si="0"/>
        <v>19</v>
      </c>
      <c r="J29" s="538">
        <f t="shared" si="1"/>
        <v>1325.9053314850114</v>
      </c>
      <c r="K29" s="199">
        <f t="shared" si="2"/>
        <v>69.784491130790073</v>
      </c>
      <c r="L29" s="657"/>
      <c r="M29" s="565">
        <f>RANK(K29, K$7:$K$36)</f>
        <v>18</v>
      </c>
      <c r="N29" s="641"/>
      <c r="O29" s="641"/>
      <c r="P29" s="534">
        <v>19</v>
      </c>
      <c r="Q29" s="535">
        <v>1346.3013698630127</v>
      </c>
      <c r="R29" s="535">
        <v>70.857966834895407</v>
      </c>
      <c r="S29" s="562">
        <f t="shared" si="3"/>
        <v>17</v>
      </c>
      <c r="T29" s="642"/>
      <c r="U29" s="534">
        <v>19</v>
      </c>
      <c r="V29" s="535">
        <v>1321.6666666666656</v>
      </c>
      <c r="W29" s="535">
        <v>69.561403508771875</v>
      </c>
      <c r="X29" s="562">
        <f t="shared" si="4"/>
        <v>20</v>
      </c>
      <c r="Y29" s="642"/>
      <c r="Z29" s="534">
        <v>19</v>
      </c>
      <c r="AA29" s="535">
        <v>1335.7377049180341</v>
      </c>
      <c r="AB29" s="535">
        <v>70.301984469370211</v>
      </c>
      <c r="AC29" s="562">
        <f t="shared" si="5"/>
        <v>18</v>
      </c>
      <c r="AD29" s="642"/>
      <c r="AE29" s="534">
        <v>19</v>
      </c>
      <c r="AF29" s="535">
        <v>1320.0000000000014</v>
      </c>
      <c r="AG29" s="535">
        <v>69.473684210526386</v>
      </c>
      <c r="AH29" s="562">
        <f t="shared" si="6"/>
        <v>18</v>
      </c>
      <c r="AI29" s="642"/>
      <c r="AJ29" s="534">
        <v>19</v>
      </c>
      <c r="AK29" s="535">
        <v>1326.6666666666656</v>
      </c>
      <c r="AL29" s="535">
        <v>69.82456140350871</v>
      </c>
      <c r="AM29" s="562">
        <f t="shared" si="7"/>
        <v>17</v>
      </c>
      <c r="AN29" s="642"/>
      <c r="AO29" s="534">
        <v>19</v>
      </c>
      <c r="AP29" s="535">
        <v>1302.6315789473674</v>
      </c>
      <c r="AQ29" s="535">
        <v>68.559556786703553</v>
      </c>
      <c r="AR29" s="562">
        <f t="shared" si="8"/>
        <v>20</v>
      </c>
      <c r="AS29" s="642"/>
      <c r="AT29" s="534">
        <v>19</v>
      </c>
      <c r="AU29" s="535">
        <v>1328.3333333333323</v>
      </c>
      <c r="AV29" s="535">
        <v>69.912280701754341</v>
      </c>
      <c r="AW29" s="562">
        <f t="shared" si="9"/>
        <v>18</v>
      </c>
      <c r="AX29" s="642"/>
      <c r="AZ29" s="368" t="e">
        <f t="shared" si="10"/>
        <v>#N/A</v>
      </c>
      <c r="BA29" s="642"/>
    </row>
    <row r="30" spans="2:53">
      <c r="B30" s="647"/>
      <c r="C30" s="534">
        <v>24</v>
      </c>
      <c r="D30" s="201" t="s">
        <v>713</v>
      </c>
      <c r="E30" s="538">
        <v>17</v>
      </c>
      <c r="F30" s="201">
        <v>1440</v>
      </c>
      <c r="G30" s="199">
        <v>84.705882352941174</v>
      </c>
      <c r="H30" s="701"/>
      <c r="I30" s="538">
        <f t="shared" si="0"/>
        <v>17</v>
      </c>
      <c r="J30" s="538">
        <f t="shared" si="1"/>
        <v>1314.0457330340755</v>
      </c>
      <c r="K30" s="199">
        <f t="shared" si="2"/>
        <v>77.296807825533847</v>
      </c>
      <c r="L30" s="657"/>
      <c r="M30" s="565">
        <f>RANK(K30, K$7:$K$36)</f>
        <v>13</v>
      </c>
      <c r="N30" s="641"/>
      <c r="O30" s="641"/>
      <c r="P30" s="534">
        <v>17</v>
      </c>
      <c r="Q30" s="535">
        <v>1316.799999999999</v>
      </c>
      <c r="R30" s="535">
        <v>77.458823529411703</v>
      </c>
      <c r="S30" s="562">
        <f t="shared" si="3"/>
        <v>14</v>
      </c>
      <c r="T30" s="642"/>
      <c r="U30" s="534">
        <v>17</v>
      </c>
      <c r="V30" s="535">
        <v>1290.8823529411748</v>
      </c>
      <c r="W30" s="535">
        <v>75.934256055363221</v>
      </c>
      <c r="X30" s="562">
        <f t="shared" si="4"/>
        <v>14</v>
      </c>
      <c r="Y30" s="642"/>
      <c r="Z30" s="534">
        <v>17</v>
      </c>
      <c r="AA30" s="535">
        <v>1303.8461538461547</v>
      </c>
      <c r="AB30" s="535">
        <v>76.696832579185568</v>
      </c>
      <c r="AC30" s="562">
        <f t="shared" si="5"/>
        <v>13</v>
      </c>
      <c r="AD30" s="642"/>
      <c r="AE30" s="534">
        <v>17</v>
      </c>
      <c r="AF30" s="535">
        <v>1314.2857142857138</v>
      </c>
      <c r="AG30" s="535">
        <v>77.310924369747866</v>
      </c>
      <c r="AH30" s="562">
        <f t="shared" si="6"/>
        <v>14</v>
      </c>
      <c r="AI30" s="642"/>
      <c r="AJ30" s="534">
        <v>17</v>
      </c>
      <c r="AK30" s="535">
        <v>1300.8510638297876</v>
      </c>
      <c r="AL30" s="535">
        <v>76.520650813516909</v>
      </c>
      <c r="AM30" s="562">
        <f t="shared" si="7"/>
        <v>14</v>
      </c>
      <c r="AN30" s="642"/>
      <c r="AO30" s="534">
        <v>17</v>
      </c>
      <c r="AP30" s="535">
        <v>1338.8888888888896</v>
      </c>
      <c r="AQ30" s="535">
        <v>78.758169934640563</v>
      </c>
      <c r="AR30" s="562">
        <f t="shared" si="8"/>
        <v>12</v>
      </c>
      <c r="AS30" s="642"/>
      <c r="AT30" s="534">
        <v>17</v>
      </c>
      <c r="AU30" s="535">
        <v>1332.7659574468087</v>
      </c>
      <c r="AV30" s="535">
        <v>78.397997496871099</v>
      </c>
      <c r="AW30" s="562">
        <f t="shared" si="9"/>
        <v>13</v>
      </c>
      <c r="AX30" s="642"/>
      <c r="AZ30" s="368" t="e">
        <f t="shared" si="10"/>
        <v>#N/A</v>
      </c>
      <c r="BA30" s="642"/>
    </row>
    <row r="31" spans="2:53">
      <c r="B31" s="647"/>
      <c r="C31" s="534">
        <v>25</v>
      </c>
      <c r="D31" s="201"/>
      <c r="E31" s="538"/>
      <c r="F31" s="201"/>
      <c r="G31" s="199"/>
      <c r="H31" s="701"/>
      <c r="I31" s="538" t="str">
        <f t="shared" si="0"/>
        <v>-</v>
      </c>
      <c r="J31" s="538" t="str">
        <f t="shared" si="1"/>
        <v>-</v>
      </c>
      <c r="K31" s="199" t="str">
        <f t="shared" si="2"/>
        <v>-</v>
      </c>
      <c r="L31" s="657"/>
      <c r="M31" s="565" t="e">
        <f>RANK(K31, K$7:$K$36)</f>
        <v>#VALUE!</v>
      </c>
      <c r="N31" s="641"/>
      <c r="O31" s="641"/>
      <c r="P31" s="534" t="s">
        <v>585</v>
      </c>
      <c r="Q31" s="535" t="s">
        <v>585</v>
      </c>
      <c r="R31" s="535" t="s">
        <v>585</v>
      </c>
      <c r="S31" s="562" t="e">
        <f t="shared" si="3"/>
        <v>#VALUE!</v>
      </c>
      <c r="T31" s="642"/>
      <c r="U31" s="534" t="s">
        <v>585</v>
      </c>
      <c r="V31" s="535" t="s">
        <v>585</v>
      </c>
      <c r="W31" s="535" t="s">
        <v>585</v>
      </c>
      <c r="X31" s="562" t="e">
        <f t="shared" si="4"/>
        <v>#VALUE!</v>
      </c>
      <c r="Y31" s="642"/>
      <c r="Z31" s="534" t="s">
        <v>585</v>
      </c>
      <c r="AA31" s="535" t="s">
        <v>585</v>
      </c>
      <c r="AB31" s="535" t="s">
        <v>585</v>
      </c>
      <c r="AC31" s="562" t="e">
        <f t="shared" si="5"/>
        <v>#VALUE!</v>
      </c>
      <c r="AD31" s="642"/>
      <c r="AE31" s="534" t="s">
        <v>585</v>
      </c>
      <c r="AF31" s="535" t="s">
        <v>585</v>
      </c>
      <c r="AG31" s="535" t="s">
        <v>585</v>
      </c>
      <c r="AH31" s="562" t="e">
        <f t="shared" si="6"/>
        <v>#VALUE!</v>
      </c>
      <c r="AI31" s="642"/>
      <c r="AJ31" s="534" t="s">
        <v>585</v>
      </c>
      <c r="AK31" s="535" t="s">
        <v>585</v>
      </c>
      <c r="AL31" s="535" t="s">
        <v>585</v>
      </c>
      <c r="AM31" s="562" t="e">
        <f t="shared" si="7"/>
        <v>#VALUE!</v>
      </c>
      <c r="AN31" s="642"/>
      <c r="AO31" s="534" t="s">
        <v>585</v>
      </c>
      <c r="AP31" s="535" t="s">
        <v>585</v>
      </c>
      <c r="AQ31" s="535" t="s">
        <v>585</v>
      </c>
      <c r="AR31" s="562" t="e">
        <f t="shared" si="8"/>
        <v>#VALUE!</v>
      </c>
      <c r="AS31" s="642"/>
      <c r="AT31" s="534" t="s">
        <v>585</v>
      </c>
      <c r="AU31" s="535" t="s">
        <v>585</v>
      </c>
      <c r="AV31" s="535" t="s">
        <v>585</v>
      </c>
      <c r="AW31" s="562" t="e">
        <f t="shared" si="9"/>
        <v>#VALUE!</v>
      </c>
      <c r="AX31" s="642"/>
      <c r="AZ31" s="368" t="e">
        <f t="shared" si="10"/>
        <v>#N/A</v>
      </c>
      <c r="BA31" s="642"/>
    </row>
    <row r="32" spans="2:53">
      <c r="B32" s="647"/>
      <c r="C32" s="534">
        <v>26</v>
      </c>
      <c r="D32" s="201"/>
      <c r="E32" s="538"/>
      <c r="F32" s="201"/>
      <c r="G32" s="199"/>
      <c r="H32" s="701"/>
      <c r="I32" s="538" t="str">
        <f t="shared" si="0"/>
        <v>-</v>
      </c>
      <c r="J32" s="538" t="str">
        <f t="shared" si="1"/>
        <v>-</v>
      </c>
      <c r="K32" s="199" t="str">
        <f t="shared" si="2"/>
        <v>-</v>
      </c>
      <c r="L32" s="657"/>
      <c r="M32" s="565" t="e">
        <f>RANK(K32, K$7:$K$36)</f>
        <v>#VALUE!</v>
      </c>
      <c r="N32" s="641"/>
      <c r="O32" s="641"/>
      <c r="P32" s="534" t="s">
        <v>585</v>
      </c>
      <c r="Q32" s="535" t="s">
        <v>585</v>
      </c>
      <c r="R32" s="535" t="s">
        <v>585</v>
      </c>
      <c r="S32" s="562" t="e">
        <f t="shared" si="3"/>
        <v>#VALUE!</v>
      </c>
      <c r="T32" s="642"/>
      <c r="U32" s="534" t="s">
        <v>585</v>
      </c>
      <c r="V32" s="535" t="s">
        <v>585</v>
      </c>
      <c r="W32" s="535" t="s">
        <v>585</v>
      </c>
      <c r="X32" s="562" t="e">
        <f t="shared" si="4"/>
        <v>#VALUE!</v>
      </c>
      <c r="Y32" s="642"/>
      <c r="Z32" s="534" t="s">
        <v>585</v>
      </c>
      <c r="AA32" s="535" t="s">
        <v>585</v>
      </c>
      <c r="AB32" s="535" t="s">
        <v>585</v>
      </c>
      <c r="AC32" s="562" t="e">
        <f t="shared" si="5"/>
        <v>#VALUE!</v>
      </c>
      <c r="AD32" s="642"/>
      <c r="AE32" s="534" t="s">
        <v>585</v>
      </c>
      <c r="AF32" s="535" t="s">
        <v>585</v>
      </c>
      <c r="AG32" s="535" t="s">
        <v>585</v>
      </c>
      <c r="AH32" s="562" t="e">
        <f t="shared" si="6"/>
        <v>#VALUE!</v>
      </c>
      <c r="AI32" s="642"/>
      <c r="AJ32" s="534" t="s">
        <v>585</v>
      </c>
      <c r="AK32" s="535" t="s">
        <v>585</v>
      </c>
      <c r="AL32" s="535" t="s">
        <v>585</v>
      </c>
      <c r="AM32" s="562" t="e">
        <f t="shared" si="7"/>
        <v>#VALUE!</v>
      </c>
      <c r="AN32" s="642"/>
      <c r="AO32" s="534" t="s">
        <v>585</v>
      </c>
      <c r="AP32" s="535" t="s">
        <v>585</v>
      </c>
      <c r="AQ32" s="535" t="s">
        <v>585</v>
      </c>
      <c r="AR32" s="562" t="e">
        <f t="shared" si="8"/>
        <v>#VALUE!</v>
      </c>
      <c r="AS32" s="642"/>
      <c r="AT32" s="534" t="s">
        <v>585</v>
      </c>
      <c r="AU32" s="535" t="s">
        <v>585</v>
      </c>
      <c r="AV32" s="535" t="s">
        <v>585</v>
      </c>
      <c r="AW32" s="562" t="e">
        <f t="shared" si="9"/>
        <v>#VALUE!</v>
      </c>
      <c r="AX32" s="642"/>
      <c r="AZ32" s="368" t="e">
        <f t="shared" si="10"/>
        <v>#N/A</v>
      </c>
      <c r="BA32" s="642"/>
    </row>
    <row r="33" spans="2:53">
      <c r="B33" s="647"/>
      <c r="C33" s="534">
        <v>27</v>
      </c>
      <c r="D33" s="201"/>
      <c r="E33" s="538"/>
      <c r="F33" s="201"/>
      <c r="G33" s="199"/>
      <c r="H33" s="701"/>
      <c r="I33" s="538" t="str">
        <f t="shared" si="0"/>
        <v>-</v>
      </c>
      <c r="J33" s="538" t="str">
        <f t="shared" si="1"/>
        <v>-</v>
      </c>
      <c r="K33" s="199" t="str">
        <f t="shared" si="2"/>
        <v>-</v>
      </c>
      <c r="L33" s="657"/>
      <c r="M33" s="565" t="e">
        <f>RANK(K33, K$7:$K$36)</f>
        <v>#VALUE!</v>
      </c>
      <c r="N33" s="641"/>
      <c r="O33" s="641"/>
      <c r="P33" s="534" t="s">
        <v>585</v>
      </c>
      <c r="Q33" s="535" t="s">
        <v>585</v>
      </c>
      <c r="R33" s="535" t="s">
        <v>585</v>
      </c>
      <c r="S33" s="562" t="e">
        <f t="shared" si="3"/>
        <v>#VALUE!</v>
      </c>
      <c r="T33" s="642"/>
      <c r="U33" s="534" t="s">
        <v>585</v>
      </c>
      <c r="V33" s="535" t="s">
        <v>585</v>
      </c>
      <c r="W33" s="535" t="s">
        <v>585</v>
      </c>
      <c r="X33" s="562" t="e">
        <f t="shared" si="4"/>
        <v>#VALUE!</v>
      </c>
      <c r="Y33" s="642"/>
      <c r="Z33" s="534" t="s">
        <v>585</v>
      </c>
      <c r="AA33" s="535" t="s">
        <v>585</v>
      </c>
      <c r="AB33" s="535" t="s">
        <v>585</v>
      </c>
      <c r="AC33" s="562" t="e">
        <f t="shared" si="5"/>
        <v>#VALUE!</v>
      </c>
      <c r="AD33" s="642"/>
      <c r="AE33" s="534" t="s">
        <v>585</v>
      </c>
      <c r="AF33" s="535" t="s">
        <v>585</v>
      </c>
      <c r="AG33" s="535" t="s">
        <v>585</v>
      </c>
      <c r="AH33" s="562" t="e">
        <f t="shared" si="6"/>
        <v>#VALUE!</v>
      </c>
      <c r="AI33" s="642"/>
      <c r="AJ33" s="534" t="s">
        <v>585</v>
      </c>
      <c r="AK33" s="535" t="s">
        <v>585</v>
      </c>
      <c r="AL33" s="535" t="s">
        <v>585</v>
      </c>
      <c r="AM33" s="562" t="e">
        <f t="shared" si="7"/>
        <v>#VALUE!</v>
      </c>
      <c r="AN33" s="642"/>
      <c r="AO33" s="534" t="s">
        <v>585</v>
      </c>
      <c r="AP33" s="535" t="s">
        <v>585</v>
      </c>
      <c r="AQ33" s="535" t="s">
        <v>585</v>
      </c>
      <c r="AR33" s="562" t="e">
        <f t="shared" si="8"/>
        <v>#VALUE!</v>
      </c>
      <c r="AS33" s="642"/>
      <c r="AT33" s="534" t="s">
        <v>585</v>
      </c>
      <c r="AU33" s="535" t="s">
        <v>585</v>
      </c>
      <c r="AV33" s="535" t="s">
        <v>585</v>
      </c>
      <c r="AW33" s="562" t="e">
        <f t="shared" si="9"/>
        <v>#VALUE!</v>
      </c>
      <c r="AX33" s="642"/>
      <c r="AZ33" s="368" t="e">
        <f t="shared" si="10"/>
        <v>#N/A</v>
      </c>
      <c r="BA33" s="642"/>
    </row>
    <row r="34" spans="2:53">
      <c r="B34" s="647"/>
      <c r="C34" s="534">
        <v>28</v>
      </c>
      <c r="D34" s="201"/>
      <c r="E34" s="538"/>
      <c r="F34" s="201"/>
      <c r="G34" s="199"/>
      <c r="H34" s="701"/>
      <c r="I34" s="538" t="str">
        <f t="shared" si="0"/>
        <v>-</v>
      </c>
      <c r="J34" s="538" t="str">
        <f t="shared" si="1"/>
        <v>-</v>
      </c>
      <c r="K34" s="199" t="str">
        <f t="shared" si="2"/>
        <v>-</v>
      </c>
      <c r="L34" s="657"/>
      <c r="M34" s="565" t="e">
        <f>RANK(K34, K$7:$K$36)</f>
        <v>#VALUE!</v>
      </c>
      <c r="N34" s="641"/>
      <c r="O34" s="641"/>
      <c r="P34" s="534" t="s">
        <v>585</v>
      </c>
      <c r="Q34" s="535" t="s">
        <v>585</v>
      </c>
      <c r="R34" s="535" t="s">
        <v>585</v>
      </c>
      <c r="S34" s="562" t="e">
        <f t="shared" si="3"/>
        <v>#VALUE!</v>
      </c>
      <c r="T34" s="642"/>
      <c r="U34" s="534" t="s">
        <v>585</v>
      </c>
      <c r="V34" s="535" t="s">
        <v>585</v>
      </c>
      <c r="W34" s="535" t="s">
        <v>585</v>
      </c>
      <c r="X34" s="562" t="e">
        <f t="shared" si="4"/>
        <v>#VALUE!</v>
      </c>
      <c r="Y34" s="642"/>
      <c r="Z34" s="534" t="s">
        <v>585</v>
      </c>
      <c r="AA34" s="535" t="s">
        <v>585</v>
      </c>
      <c r="AB34" s="535" t="s">
        <v>585</v>
      </c>
      <c r="AC34" s="562" t="e">
        <f t="shared" si="5"/>
        <v>#VALUE!</v>
      </c>
      <c r="AD34" s="642"/>
      <c r="AE34" s="534" t="s">
        <v>585</v>
      </c>
      <c r="AF34" s="535" t="s">
        <v>585</v>
      </c>
      <c r="AG34" s="535" t="s">
        <v>585</v>
      </c>
      <c r="AH34" s="562" t="e">
        <f t="shared" si="6"/>
        <v>#VALUE!</v>
      </c>
      <c r="AI34" s="642"/>
      <c r="AJ34" s="534" t="s">
        <v>585</v>
      </c>
      <c r="AK34" s="535" t="s">
        <v>585</v>
      </c>
      <c r="AL34" s="535" t="s">
        <v>585</v>
      </c>
      <c r="AM34" s="562" t="e">
        <f t="shared" si="7"/>
        <v>#VALUE!</v>
      </c>
      <c r="AN34" s="642"/>
      <c r="AO34" s="534" t="s">
        <v>585</v>
      </c>
      <c r="AP34" s="535" t="s">
        <v>585</v>
      </c>
      <c r="AQ34" s="535" t="s">
        <v>585</v>
      </c>
      <c r="AR34" s="562" t="e">
        <f t="shared" si="8"/>
        <v>#VALUE!</v>
      </c>
      <c r="AS34" s="642"/>
      <c r="AT34" s="534" t="s">
        <v>585</v>
      </c>
      <c r="AU34" s="535" t="s">
        <v>585</v>
      </c>
      <c r="AV34" s="535" t="s">
        <v>585</v>
      </c>
      <c r="AW34" s="562" t="e">
        <f t="shared" si="9"/>
        <v>#VALUE!</v>
      </c>
      <c r="AX34" s="642"/>
      <c r="AZ34" s="368" t="e">
        <f t="shared" si="10"/>
        <v>#N/A</v>
      </c>
      <c r="BA34" s="642"/>
    </row>
    <row r="35" spans="2:53">
      <c r="B35" s="647"/>
      <c r="C35" s="534">
        <v>29</v>
      </c>
      <c r="D35" s="201"/>
      <c r="E35" s="538"/>
      <c r="F35" s="201"/>
      <c r="G35" s="199"/>
      <c r="H35" s="701"/>
      <c r="I35" s="538" t="str">
        <f t="shared" si="0"/>
        <v>-</v>
      </c>
      <c r="J35" s="538" t="str">
        <f t="shared" si="1"/>
        <v>-</v>
      </c>
      <c r="K35" s="199" t="str">
        <f t="shared" si="2"/>
        <v>-</v>
      </c>
      <c r="L35" s="657"/>
      <c r="M35" s="565" t="e">
        <f>RANK(K35, K$7:$K$36)</f>
        <v>#VALUE!</v>
      </c>
      <c r="N35" s="641"/>
      <c r="O35" s="641"/>
      <c r="P35" s="534" t="s">
        <v>585</v>
      </c>
      <c r="Q35" s="535" t="s">
        <v>585</v>
      </c>
      <c r="R35" s="535" t="s">
        <v>585</v>
      </c>
      <c r="S35" s="562" t="e">
        <f t="shared" si="3"/>
        <v>#VALUE!</v>
      </c>
      <c r="T35" s="642"/>
      <c r="U35" s="534" t="s">
        <v>585</v>
      </c>
      <c r="V35" s="535" t="s">
        <v>585</v>
      </c>
      <c r="W35" s="535" t="s">
        <v>585</v>
      </c>
      <c r="X35" s="562" t="e">
        <f t="shared" si="4"/>
        <v>#VALUE!</v>
      </c>
      <c r="Y35" s="642"/>
      <c r="Z35" s="534" t="s">
        <v>585</v>
      </c>
      <c r="AA35" s="535" t="s">
        <v>585</v>
      </c>
      <c r="AB35" s="535" t="s">
        <v>585</v>
      </c>
      <c r="AC35" s="562" t="e">
        <f t="shared" si="5"/>
        <v>#VALUE!</v>
      </c>
      <c r="AD35" s="642"/>
      <c r="AE35" s="534" t="s">
        <v>585</v>
      </c>
      <c r="AF35" s="535" t="s">
        <v>585</v>
      </c>
      <c r="AG35" s="535" t="s">
        <v>585</v>
      </c>
      <c r="AH35" s="562" t="e">
        <f t="shared" si="6"/>
        <v>#VALUE!</v>
      </c>
      <c r="AI35" s="642"/>
      <c r="AJ35" s="534" t="s">
        <v>585</v>
      </c>
      <c r="AK35" s="535" t="s">
        <v>585</v>
      </c>
      <c r="AL35" s="535" t="s">
        <v>585</v>
      </c>
      <c r="AM35" s="562" t="e">
        <f t="shared" si="7"/>
        <v>#VALUE!</v>
      </c>
      <c r="AN35" s="642"/>
      <c r="AO35" s="534" t="s">
        <v>585</v>
      </c>
      <c r="AP35" s="535" t="s">
        <v>585</v>
      </c>
      <c r="AQ35" s="535" t="s">
        <v>585</v>
      </c>
      <c r="AR35" s="562" t="e">
        <f t="shared" si="8"/>
        <v>#VALUE!</v>
      </c>
      <c r="AS35" s="642"/>
      <c r="AT35" s="534" t="s">
        <v>585</v>
      </c>
      <c r="AU35" s="535" t="s">
        <v>585</v>
      </c>
      <c r="AV35" s="535" t="s">
        <v>585</v>
      </c>
      <c r="AW35" s="562" t="e">
        <f t="shared" si="9"/>
        <v>#VALUE!</v>
      </c>
      <c r="AX35" s="642"/>
      <c r="AZ35" s="368" t="e">
        <f t="shared" si="10"/>
        <v>#N/A</v>
      </c>
      <c r="BA35" s="642"/>
    </row>
    <row r="36" spans="2:53">
      <c r="B36" s="647"/>
      <c r="C36" s="534">
        <v>30</v>
      </c>
      <c r="D36" s="201"/>
      <c r="E36" s="538"/>
      <c r="F36" s="201"/>
      <c r="G36" s="199"/>
      <c r="H36" s="702"/>
      <c r="I36" s="538" t="str">
        <f t="shared" si="0"/>
        <v>-</v>
      </c>
      <c r="J36" s="538" t="str">
        <f t="shared" si="1"/>
        <v>-</v>
      </c>
      <c r="K36" s="199" t="str">
        <f t="shared" si="2"/>
        <v>-</v>
      </c>
      <c r="L36" s="658"/>
      <c r="M36" s="565" t="e">
        <f>RANK(K36, K$7:$K$36)</f>
        <v>#VALUE!</v>
      </c>
      <c r="N36" s="641"/>
      <c r="O36" s="641"/>
      <c r="P36" s="534" t="s">
        <v>585</v>
      </c>
      <c r="Q36" s="535" t="s">
        <v>585</v>
      </c>
      <c r="R36" s="535" t="s">
        <v>585</v>
      </c>
      <c r="S36" s="562" t="e">
        <f t="shared" si="3"/>
        <v>#VALUE!</v>
      </c>
      <c r="T36" s="642"/>
      <c r="U36" s="534" t="s">
        <v>585</v>
      </c>
      <c r="V36" s="535" t="s">
        <v>585</v>
      </c>
      <c r="W36" s="535" t="s">
        <v>585</v>
      </c>
      <c r="X36" s="562" t="e">
        <f t="shared" si="4"/>
        <v>#VALUE!</v>
      </c>
      <c r="Y36" s="642"/>
      <c r="Z36" s="534" t="s">
        <v>585</v>
      </c>
      <c r="AA36" s="535" t="s">
        <v>585</v>
      </c>
      <c r="AB36" s="535" t="s">
        <v>585</v>
      </c>
      <c r="AC36" s="562" t="e">
        <f t="shared" si="5"/>
        <v>#VALUE!</v>
      </c>
      <c r="AD36" s="642"/>
      <c r="AE36" s="534" t="s">
        <v>585</v>
      </c>
      <c r="AF36" s="535" t="s">
        <v>585</v>
      </c>
      <c r="AG36" s="535" t="s">
        <v>585</v>
      </c>
      <c r="AH36" s="562" t="e">
        <f t="shared" si="6"/>
        <v>#VALUE!</v>
      </c>
      <c r="AI36" s="642"/>
      <c r="AJ36" s="534" t="s">
        <v>585</v>
      </c>
      <c r="AK36" s="535" t="s">
        <v>585</v>
      </c>
      <c r="AL36" s="535" t="s">
        <v>585</v>
      </c>
      <c r="AM36" s="562" t="e">
        <f t="shared" si="7"/>
        <v>#VALUE!</v>
      </c>
      <c r="AN36" s="642"/>
      <c r="AO36" s="534" t="s">
        <v>585</v>
      </c>
      <c r="AP36" s="535" t="s">
        <v>585</v>
      </c>
      <c r="AQ36" s="535" t="s">
        <v>585</v>
      </c>
      <c r="AR36" s="562" t="e">
        <f t="shared" si="8"/>
        <v>#VALUE!</v>
      </c>
      <c r="AS36" s="642"/>
      <c r="AT36" s="534" t="s">
        <v>585</v>
      </c>
      <c r="AU36" s="535" t="s">
        <v>585</v>
      </c>
      <c r="AV36" s="535" t="s">
        <v>585</v>
      </c>
      <c r="AW36" s="562" t="e">
        <f t="shared" si="9"/>
        <v>#VALUE!</v>
      </c>
      <c r="AX36" s="642"/>
      <c r="AZ36" s="368" t="e">
        <f t="shared" si="10"/>
        <v>#N/A</v>
      </c>
      <c r="BA36" s="642"/>
    </row>
    <row r="37" spans="2:53" ht="15.75">
      <c r="B37" s="680" t="s">
        <v>162</v>
      </c>
      <c r="C37" s="681"/>
      <c r="D37" s="681"/>
      <c r="E37" s="681"/>
      <c r="F37" s="681"/>
      <c r="G37" s="681"/>
      <c r="H37" s="681"/>
      <c r="I37" s="202"/>
      <c r="J37" s="202"/>
      <c r="K37" s="202"/>
      <c r="L37" s="202"/>
      <c r="M37" s="203"/>
      <c r="N37" s="643" t="s">
        <v>156</v>
      </c>
      <c r="O37" s="643" t="s">
        <v>105</v>
      </c>
      <c r="P37" s="668">
        <f>AT2+1</f>
        <v>46238</v>
      </c>
      <c r="Q37" s="647"/>
      <c r="R37" s="647"/>
      <c r="S37" s="647"/>
      <c r="T37" s="647"/>
      <c r="U37" s="668">
        <f>P37+1</f>
        <v>46239</v>
      </c>
      <c r="V37" s="647"/>
      <c r="W37" s="647"/>
      <c r="X37" s="647"/>
      <c r="Y37" s="647"/>
      <c r="Z37" s="668">
        <f>U37+1</f>
        <v>46240</v>
      </c>
      <c r="AA37" s="647"/>
      <c r="AB37" s="647"/>
      <c r="AC37" s="647"/>
      <c r="AD37" s="647"/>
      <c r="AE37" s="668">
        <f>Z37+1</f>
        <v>46241</v>
      </c>
      <c r="AF37" s="647"/>
      <c r="AG37" s="647"/>
      <c r="AH37" s="647"/>
      <c r="AI37" s="647"/>
      <c r="AJ37" s="668">
        <f>AE37+1</f>
        <v>46242</v>
      </c>
      <c r="AK37" s="647"/>
      <c r="AL37" s="647"/>
      <c r="AM37" s="647"/>
      <c r="AN37" s="647"/>
      <c r="AO37" s="668">
        <f>AJ37+1</f>
        <v>46243</v>
      </c>
      <c r="AP37" s="647"/>
      <c r="AQ37" s="647"/>
      <c r="AR37" s="647"/>
      <c r="AS37" s="647"/>
      <c r="AT37" s="668">
        <f>AO37+1</f>
        <v>46244</v>
      </c>
      <c r="AU37" s="647"/>
      <c r="AV37" s="647"/>
      <c r="AW37" s="647"/>
      <c r="AX37" s="647"/>
    </row>
    <row r="38" spans="2:53" ht="15.75">
      <c r="B38" s="672"/>
      <c r="C38" s="672"/>
      <c r="D38" s="672"/>
      <c r="E38" s="672"/>
      <c r="F38" s="672"/>
      <c r="G38" s="672"/>
      <c r="H38" s="672"/>
      <c r="I38" s="204"/>
      <c r="J38" s="204"/>
      <c r="K38" s="204"/>
      <c r="L38" s="204"/>
      <c r="M38" s="205"/>
      <c r="N38" s="645"/>
      <c r="O38" s="645"/>
      <c r="P38" s="668" t="s">
        <v>317</v>
      </c>
      <c r="Q38" s="647"/>
      <c r="R38" s="647"/>
      <c r="S38" s="647"/>
      <c r="T38" s="647"/>
      <c r="U38" s="668" t="s">
        <v>318</v>
      </c>
      <c r="V38" s="647"/>
      <c r="W38" s="647"/>
      <c r="X38" s="647"/>
      <c r="Y38" s="647"/>
      <c r="Z38" s="668" t="s">
        <v>319</v>
      </c>
      <c r="AA38" s="647"/>
      <c r="AB38" s="647"/>
      <c r="AC38" s="647"/>
      <c r="AD38" s="647"/>
      <c r="AE38" s="668" t="s">
        <v>320</v>
      </c>
      <c r="AF38" s="647"/>
      <c r="AG38" s="647"/>
      <c r="AH38" s="647"/>
      <c r="AI38" s="647"/>
      <c r="AJ38" s="668" t="s">
        <v>321</v>
      </c>
      <c r="AK38" s="647"/>
      <c r="AL38" s="647"/>
      <c r="AM38" s="647"/>
      <c r="AN38" s="647"/>
      <c r="AO38" s="668" t="s">
        <v>322</v>
      </c>
      <c r="AP38" s="647"/>
      <c r="AQ38" s="647"/>
      <c r="AR38" s="647"/>
      <c r="AS38" s="647"/>
      <c r="AT38" s="668" t="s">
        <v>323</v>
      </c>
      <c r="AU38" s="647"/>
      <c r="AV38" s="647"/>
      <c r="AW38" s="647"/>
      <c r="AX38" s="647"/>
    </row>
    <row r="39" spans="2:53">
      <c r="B39" s="641" t="s">
        <v>407</v>
      </c>
      <c r="C39" s="641" t="s">
        <v>408</v>
      </c>
      <c r="D39" s="641"/>
      <c r="E39" s="641" t="s">
        <v>409</v>
      </c>
      <c r="F39" s="641"/>
      <c r="G39" s="641"/>
      <c r="H39" s="673" t="s">
        <v>410</v>
      </c>
      <c r="I39" s="688" t="s">
        <v>411</v>
      </c>
      <c r="J39" s="688"/>
      <c r="K39" s="688"/>
      <c r="L39" s="689" t="s">
        <v>410</v>
      </c>
      <c r="M39" s="677" t="s">
        <v>412</v>
      </c>
      <c r="N39" s="641"/>
      <c r="O39" s="641" t="s">
        <v>413</v>
      </c>
      <c r="P39" s="659" t="s">
        <v>414</v>
      </c>
      <c r="Q39" s="660"/>
      <c r="R39" s="660"/>
      <c r="S39" s="661"/>
      <c r="T39" s="641" t="s">
        <v>410</v>
      </c>
      <c r="U39" s="659" t="s">
        <v>414</v>
      </c>
      <c r="V39" s="660"/>
      <c r="W39" s="660"/>
      <c r="X39" s="661"/>
      <c r="Y39" s="641" t="s">
        <v>410</v>
      </c>
      <c r="Z39" s="659" t="s">
        <v>414</v>
      </c>
      <c r="AA39" s="660"/>
      <c r="AB39" s="660"/>
      <c r="AC39" s="661"/>
      <c r="AD39" s="641" t="s">
        <v>410</v>
      </c>
      <c r="AE39" s="659" t="s">
        <v>414</v>
      </c>
      <c r="AF39" s="660"/>
      <c r="AG39" s="660"/>
      <c r="AH39" s="661"/>
      <c r="AI39" s="641" t="s">
        <v>410</v>
      </c>
      <c r="AJ39" s="659" t="s">
        <v>414</v>
      </c>
      <c r="AK39" s="660"/>
      <c r="AL39" s="660"/>
      <c r="AM39" s="661"/>
      <c r="AN39" s="641" t="s">
        <v>410</v>
      </c>
      <c r="AO39" s="659" t="s">
        <v>414</v>
      </c>
      <c r="AP39" s="660"/>
      <c r="AQ39" s="660"/>
      <c r="AR39" s="661"/>
      <c r="AS39" s="641" t="s">
        <v>410</v>
      </c>
      <c r="AT39" s="659" t="s">
        <v>414</v>
      </c>
      <c r="AU39" s="660"/>
      <c r="AV39" s="660"/>
      <c r="AW39" s="661"/>
      <c r="AX39" s="641" t="s">
        <v>410</v>
      </c>
      <c r="BA39" s="641" t="s">
        <v>366</v>
      </c>
    </row>
    <row r="40" spans="2:53">
      <c r="B40" s="641"/>
      <c r="C40" s="641"/>
      <c r="D40" s="641"/>
      <c r="E40" s="641" t="s">
        <v>415</v>
      </c>
      <c r="F40" s="641"/>
      <c r="G40" s="641"/>
      <c r="H40" s="674"/>
      <c r="I40" s="688" t="s">
        <v>415</v>
      </c>
      <c r="J40" s="688"/>
      <c r="K40" s="688"/>
      <c r="L40" s="690"/>
      <c r="M40" s="678"/>
      <c r="N40" s="641"/>
      <c r="O40" s="641"/>
      <c r="P40" s="659" t="s">
        <v>416</v>
      </c>
      <c r="Q40" s="660"/>
      <c r="R40" s="660"/>
      <c r="S40" s="661"/>
      <c r="T40" s="641"/>
      <c r="U40" s="659" t="s">
        <v>416</v>
      </c>
      <c r="V40" s="660"/>
      <c r="W40" s="660"/>
      <c r="X40" s="661"/>
      <c r="Y40" s="641"/>
      <c r="Z40" s="659" t="s">
        <v>416</v>
      </c>
      <c r="AA40" s="660"/>
      <c r="AB40" s="660"/>
      <c r="AC40" s="661"/>
      <c r="AD40" s="641"/>
      <c r="AE40" s="659" t="s">
        <v>416</v>
      </c>
      <c r="AF40" s="660"/>
      <c r="AG40" s="660"/>
      <c r="AH40" s="661"/>
      <c r="AI40" s="641"/>
      <c r="AJ40" s="659" t="s">
        <v>416</v>
      </c>
      <c r="AK40" s="660"/>
      <c r="AL40" s="660"/>
      <c r="AM40" s="661"/>
      <c r="AN40" s="641"/>
      <c r="AO40" s="659" t="s">
        <v>416</v>
      </c>
      <c r="AP40" s="660"/>
      <c r="AQ40" s="660"/>
      <c r="AR40" s="661"/>
      <c r="AS40" s="641"/>
      <c r="AT40" s="659" t="s">
        <v>416</v>
      </c>
      <c r="AU40" s="660"/>
      <c r="AV40" s="660"/>
      <c r="AW40" s="661"/>
      <c r="AX40" s="641"/>
      <c r="BA40" s="641"/>
    </row>
    <row r="41" spans="2:53">
      <c r="B41" s="641"/>
      <c r="C41" s="641"/>
      <c r="D41" s="641"/>
      <c r="E41" s="282" t="s">
        <v>417</v>
      </c>
      <c r="F41" s="282" t="s">
        <v>418</v>
      </c>
      <c r="G41" s="282" t="s">
        <v>419</v>
      </c>
      <c r="H41" s="675"/>
      <c r="I41" s="281" t="s">
        <v>417</v>
      </c>
      <c r="J41" s="281" t="s">
        <v>418</v>
      </c>
      <c r="K41" s="281" t="s">
        <v>419</v>
      </c>
      <c r="L41" s="691"/>
      <c r="M41" s="679"/>
      <c r="N41" s="641"/>
      <c r="O41" s="641"/>
      <c r="P41" s="282" t="s">
        <v>417</v>
      </c>
      <c r="Q41" s="282" t="s">
        <v>418</v>
      </c>
      <c r="R41" s="282" t="s">
        <v>419</v>
      </c>
      <c r="S41" s="282" t="s">
        <v>412</v>
      </c>
      <c r="T41" s="641"/>
      <c r="U41" s="282" t="s">
        <v>417</v>
      </c>
      <c r="V41" s="282" t="s">
        <v>418</v>
      </c>
      <c r="W41" s="282" t="s">
        <v>419</v>
      </c>
      <c r="X41" s="282" t="s">
        <v>412</v>
      </c>
      <c r="Y41" s="641"/>
      <c r="Z41" s="282" t="s">
        <v>417</v>
      </c>
      <c r="AA41" s="282" t="s">
        <v>418</v>
      </c>
      <c r="AB41" s="282" t="s">
        <v>419</v>
      </c>
      <c r="AC41" s="282" t="s">
        <v>412</v>
      </c>
      <c r="AD41" s="641"/>
      <c r="AE41" s="282" t="s">
        <v>417</v>
      </c>
      <c r="AF41" s="282" t="s">
        <v>418</v>
      </c>
      <c r="AG41" s="282" t="s">
        <v>419</v>
      </c>
      <c r="AH41" s="282" t="s">
        <v>412</v>
      </c>
      <c r="AI41" s="641"/>
      <c r="AJ41" s="282" t="s">
        <v>417</v>
      </c>
      <c r="AK41" s="282" t="s">
        <v>418</v>
      </c>
      <c r="AL41" s="282" t="s">
        <v>419</v>
      </c>
      <c r="AM41" s="282" t="s">
        <v>412</v>
      </c>
      <c r="AN41" s="641"/>
      <c r="AO41" s="282" t="s">
        <v>417</v>
      </c>
      <c r="AP41" s="282" t="s">
        <v>418</v>
      </c>
      <c r="AQ41" s="282" t="s">
        <v>419</v>
      </c>
      <c r="AR41" s="282" t="s">
        <v>412</v>
      </c>
      <c r="AS41" s="641"/>
      <c r="AT41" s="282" t="s">
        <v>417</v>
      </c>
      <c r="AU41" s="282" t="s">
        <v>418</v>
      </c>
      <c r="AV41" s="282" t="s">
        <v>419</v>
      </c>
      <c r="AW41" s="282" t="s">
        <v>412</v>
      </c>
      <c r="AX41" s="641"/>
      <c r="AZ41" s="367" t="s">
        <v>367</v>
      </c>
      <c r="BA41" s="641"/>
    </row>
    <row r="42" spans="2:53">
      <c r="B42" s="641" t="s">
        <v>420</v>
      </c>
      <c r="C42" s="283">
        <v>1</v>
      </c>
      <c r="D42" s="201" t="s">
        <v>342</v>
      </c>
      <c r="E42" s="538">
        <v>6</v>
      </c>
      <c r="F42" s="201">
        <v>1500</v>
      </c>
      <c r="G42" s="199">
        <v>250</v>
      </c>
      <c r="H42" s="700">
        <f>AVERAGE(G42:G71)</f>
        <v>100.76696400416888</v>
      </c>
      <c r="I42" s="363">
        <f>IFERROR(AVERAGE(P42,U42,Z42,AE42,AJ42,AO42,AT42),"-")</f>
        <v>6</v>
      </c>
      <c r="J42" s="363">
        <f>IFERROR(AVERAGE(Q42,V42,AA42,AF42,AK42,AP42,AU42),"-")</f>
        <v>1479.8465960748483</v>
      </c>
      <c r="K42" s="199">
        <f>IFERROR(AVERAGE(R42,W42,AB42,AG42,AL42,AQ42,AV42),"-")</f>
        <v>246.64109934580807</v>
      </c>
      <c r="L42" s="656">
        <f>IFERROR(AVERAGE(K42:K71),"-")</f>
        <v>91.721727669507132</v>
      </c>
      <c r="M42" s="200">
        <f>RANK(K42, K$42:$K$71)</f>
        <v>1</v>
      </c>
      <c r="N42" s="641"/>
      <c r="O42" s="641"/>
      <c r="P42" s="556">
        <v>6</v>
      </c>
      <c r="Q42" s="557">
        <v>1446.1000000000004</v>
      </c>
      <c r="R42" s="557">
        <v>241.01666666666674</v>
      </c>
      <c r="S42" s="556">
        <f t="shared" ref="S42:S71" si="11">RANK(R42, R$42:R$71)</f>
        <v>1</v>
      </c>
      <c r="T42" s="642">
        <f>AVERAGE(R42:R71)</f>
        <v>89.626547517645477</v>
      </c>
      <c r="U42" s="556">
        <v>6</v>
      </c>
      <c r="V42" s="557">
        <v>1438.0604651162787</v>
      </c>
      <c r="W42" s="557">
        <v>239.67674418604645</v>
      </c>
      <c r="X42" s="556">
        <f t="shared" ref="X42:X71" si="12">RANK(W42, W$42:W$71)</f>
        <v>2</v>
      </c>
      <c r="Y42" s="642">
        <f>AVERAGE(W42:W71)</f>
        <v>90.128014949591758</v>
      </c>
      <c r="Z42" s="556">
        <v>6</v>
      </c>
      <c r="AA42" s="557">
        <v>1498.0078431372547</v>
      </c>
      <c r="AB42" s="557">
        <v>249.6679738562091</v>
      </c>
      <c r="AC42" s="556">
        <f t="shared" ref="AC42:AC71" si="13">RANK(AB42, AB$42:AB$71)</f>
        <v>1</v>
      </c>
      <c r="AD42" s="642">
        <f>AVERAGE(AB42:AB71)</f>
        <v>92.536779229472074</v>
      </c>
      <c r="AE42" s="556">
        <v>6</v>
      </c>
      <c r="AF42" s="557">
        <v>1491.2083333333335</v>
      </c>
      <c r="AG42" s="557">
        <v>248.53472222222226</v>
      </c>
      <c r="AH42" s="556">
        <f t="shared" ref="AH42:AH71" si="14">RANK(AG42, AG$42:AG$71)</f>
        <v>1</v>
      </c>
      <c r="AI42" s="642">
        <f>AVERAGE(AG42:AG71)</f>
        <v>91.906070108642041</v>
      </c>
      <c r="AJ42" s="556">
        <v>6</v>
      </c>
      <c r="AK42" s="557">
        <v>1499.2</v>
      </c>
      <c r="AL42" s="557">
        <v>249.86666666666667</v>
      </c>
      <c r="AM42" s="556">
        <f t="shared" ref="AM42:AM71" si="15">RANK(AL42, AL$42:AL$71)</f>
        <v>1</v>
      </c>
      <c r="AN42" s="642">
        <f>AVERAGE(AL42:AL71)</f>
        <v>92.488628079025077</v>
      </c>
      <c r="AO42" s="556">
        <v>6</v>
      </c>
      <c r="AP42" s="557">
        <v>1495.4212290502794</v>
      </c>
      <c r="AQ42" s="557">
        <v>249.23687150837989</v>
      </c>
      <c r="AR42" s="556">
        <f t="shared" ref="AR42:AR71" si="16">RANK(AQ42, AQ$42:AQ$71)</f>
        <v>2</v>
      </c>
      <c r="AS42" s="642">
        <f>AVERAGE(AQ42:AQ71)</f>
        <v>92.829427834665594</v>
      </c>
      <c r="AT42" s="556">
        <v>6</v>
      </c>
      <c r="AU42" s="557">
        <v>1490.9283018867925</v>
      </c>
      <c r="AV42" s="557">
        <v>248.48805031446543</v>
      </c>
      <c r="AW42" s="556">
        <f t="shared" ref="AW42:AW71" si="17">RANK(AV42, AV$42:AV$71)</f>
        <v>2</v>
      </c>
      <c r="AX42" s="642">
        <f>AVERAGE(AV42:AV71)</f>
        <v>92.53662596750803</v>
      </c>
      <c r="AZ42" s="368" t="e">
        <f t="shared" ref="AZ42:AZ71" si="18">RANK(AY42, AY$42:AY$71)</f>
        <v>#N/A</v>
      </c>
      <c r="BA42" s="642" t="e">
        <f>AVERAGE(AY42:AY71)</f>
        <v>#DIV/0!</v>
      </c>
    </row>
    <row r="43" spans="2:53">
      <c r="B43" s="647"/>
      <c r="C43" s="283">
        <v>2</v>
      </c>
      <c r="D43" s="201" t="s">
        <v>586</v>
      </c>
      <c r="E43" s="538">
        <v>6</v>
      </c>
      <c r="F43" s="201">
        <v>1636</v>
      </c>
      <c r="G43" s="199">
        <v>272.66666666666669</v>
      </c>
      <c r="H43" s="701"/>
      <c r="I43" s="363">
        <f t="shared" ref="I43:I71" si="19">IFERROR(AVERAGE(P43,U43,Z43,AE43,AJ43,AO43,AT43),"-")</f>
        <v>6</v>
      </c>
      <c r="J43" s="363">
        <f t="shared" ref="J43:J71" si="20">IFERROR(AVERAGE(Q43,V43,AA43,AF43,AK43,AP43,AU43),"-")</f>
        <v>1478.0354928527727</v>
      </c>
      <c r="K43" s="199">
        <f t="shared" ref="K43:K71" si="21">IFERROR(AVERAGE(R43,W43,AB43,AG43,AL43,AQ43,AV43),"-")</f>
        <v>246.33924880879539</v>
      </c>
      <c r="L43" s="657"/>
      <c r="M43" s="200">
        <f>RANK(K43, K$42:$K$71)</f>
        <v>2</v>
      </c>
      <c r="N43" s="641"/>
      <c r="O43" s="641"/>
      <c r="P43" s="556">
        <v>6</v>
      </c>
      <c r="Q43" s="557">
        <v>1433.7313432835822</v>
      </c>
      <c r="R43" s="557">
        <v>238.95522388059703</v>
      </c>
      <c r="S43" s="556">
        <f t="shared" si="11"/>
        <v>2</v>
      </c>
      <c r="T43" s="642"/>
      <c r="U43" s="556">
        <v>6</v>
      </c>
      <c r="V43" s="557">
        <v>1457.6470588235293</v>
      </c>
      <c r="W43" s="557">
        <v>242.9411764705882</v>
      </c>
      <c r="X43" s="556">
        <f t="shared" si="12"/>
        <v>1</v>
      </c>
      <c r="Y43" s="642"/>
      <c r="Z43" s="556">
        <v>6</v>
      </c>
      <c r="AA43" s="557">
        <v>1495.3124999999995</v>
      </c>
      <c r="AB43" s="557">
        <v>249.21874999999991</v>
      </c>
      <c r="AC43" s="556">
        <f t="shared" si="13"/>
        <v>2</v>
      </c>
      <c r="AD43" s="642"/>
      <c r="AE43" s="556">
        <v>6</v>
      </c>
      <c r="AF43" s="557">
        <v>1485.2830188679252</v>
      </c>
      <c r="AG43" s="557">
        <v>247.54716981132086</v>
      </c>
      <c r="AH43" s="556">
        <f t="shared" si="14"/>
        <v>2</v>
      </c>
      <c r="AI43" s="642"/>
      <c r="AJ43" s="556">
        <v>6</v>
      </c>
      <c r="AK43" s="557">
        <v>1479.9999999999993</v>
      </c>
      <c r="AL43" s="557">
        <v>246.66666666666654</v>
      </c>
      <c r="AM43" s="556">
        <f t="shared" si="15"/>
        <v>2</v>
      </c>
      <c r="AN43" s="642"/>
      <c r="AO43" s="556">
        <v>6</v>
      </c>
      <c r="AP43" s="557">
        <v>1496.0655737704913</v>
      </c>
      <c r="AQ43" s="557">
        <v>249.34426229508188</v>
      </c>
      <c r="AR43" s="556">
        <f t="shared" si="16"/>
        <v>1</v>
      </c>
      <c r="AS43" s="642"/>
      <c r="AT43" s="556">
        <v>6</v>
      </c>
      <c r="AU43" s="557">
        <v>1498.2089552238806</v>
      </c>
      <c r="AV43" s="557">
        <v>249.70149253731344</v>
      </c>
      <c r="AW43" s="556">
        <f t="shared" si="17"/>
        <v>1</v>
      </c>
      <c r="AX43" s="642"/>
      <c r="AZ43" s="368" t="e">
        <f t="shared" si="18"/>
        <v>#N/A</v>
      </c>
      <c r="BA43" s="642"/>
    </row>
    <row r="44" spans="2:53">
      <c r="B44" s="647"/>
      <c r="C44" s="283">
        <v>3</v>
      </c>
      <c r="D44" s="201" t="s">
        <v>578</v>
      </c>
      <c r="E44" s="538">
        <v>16</v>
      </c>
      <c r="F44" s="201">
        <v>1500</v>
      </c>
      <c r="G44" s="199">
        <v>93.75</v>
      </c>
      <c r="H44" s="701"/>
      <c r="I44" s="363">
        <f t="shared" si="19"/>
        <v>16.571428571428573</v>
      </c>
      <c r="J44" s="363">
        <f t="shared" si="20"/>
        <v>1379.8042754347105</v>
      </c>
      <c r="K44" s="199">
        <f t="shared" si="21"/>
        <v>83.365433053732289</v>
      </c>
      <c r="L44" s="657"/>
      <c r="M44" s="200">
        <f>RANK(K44, K$42:$K$71)</f>
        <v>9</v>
      </c>
      <c r="N44" s="641"/>
      <c r="O44" s="641"/>
      <c r="P44" s="556">
        <v>17</v>
      </c>
      <c r="Q44" s="557">
        <v>1344.5000000000005</v>
      </c>
      <c r="R44" s="557">
        <v>79.08823529411768</v>
      </c>
      <c r="S44" s="556">
        <f t="shared" si="11"/>
        <v>11</v>
      </c>
      <c r="T44" s="642"/>
      <c r="U44" s="556">
        <v>17</v>
      </c>
      <c r="V44" s="557">
        <v>1387.6363636363651</v>
      </c>
      <c r="W44" s="557">
        <v>81.625668449197946</v>
      </c>
      <c r="X44" s="556">
        <f t="shared" si="12"/>
        <v>9</v>
      </c>
      <c r="Y44" s="642"/>
      <c r="Z44" s="556">
        <v>17</v>
      </c>
      <c r="AA44" s="557">
        <v>1379.4545454545455</v>
      </c>
      <c r="AB44" s="557">
        <v>81.144385026737964</v>
      </c>
      <c r="AC44" s="556">
        <f t="shared" si="13"/>
        <v>11</v>
      </c>
      <c r="AD44" s="642"/>
      <c r="AE44" s="556">
        <v>17</v>
      </c>
      <c r="AF44" s="557">
        <v>1357.3333333333323</v>
      </c>
      <c r="AG44" s="557">
        <v>79.843137254901904</v>
      </c>
      <c r="AH44" s="556">
        <f t="shared" si="14"/>
        <v>13</v>
      </c>
      <c r="AI44" s="642"/>
      <c r="AJ44" s="556">
        <v>16</v>
      </c>
      <c r="AK44" s="557">
        <v>1361.9999999999991</v>
      </c>
      <c r="AL44" s="557">
        <v>85.124999999999943</v>
      </c>
      <c r="AM44" s="556">
        <f t="shared" si="15"/>
        <v>8</v>
      </c>
      <c r="AN44" s="642"/>
      <c r="AO44" s="556">
        <v>16</v>
      </c>
      <c r="AP44" s="557">
        <v>1410.7826086956522</v>
      </c>
      <c r="AQ44" s="557">
        <v>88.173913043478265</v>
      </c>
      <c r="AR44" s="556">
        <f t="shared" si="16"/>
        <v>7</v>
      </c>
      <c r="AS44" s="642"/>
      <c r="AT44" s="556">
        <v>16</v>
      </c>
      <c r="AU44" s="557">
        <v>1416.9230769230776</v>
      </c>
      <c r="AV44" s="557">
        <v>88.557692307692349</v>
      </c>
      <c r="AW44" s="556">
        <f t="shared" si="17"/>
        <v>6</v>
      </c>
      <c r="AX44" s="642"/>
      <c r="AZ44" s="368" t="e">
        <f t="shared" si="18"/>
        <v>#N/A</v>
      </c>
      <c r="BA44" s="642"/>
    </row>
    <row r="45" spans="2:53">
      <c r="B45" s="647"/>
      <c r="C45" s="283">
        <v>4</v>
      </c>
      <c r="D45" s="201" t="s">
        <v>549</v>
      </c>
      <c r="E45" s="538">
        <v>18</v>
      </c>
      <c r="F45" s="201">
        <v>1500</v>
      </c>
      <c r="G45" s="199">
        <v>83.333333333333329</v>
      </c>
      <c r="H45" s="701"/>
      <c r="I45" s="363">
        <f t="shared" si="19"/>
        <v>18</v>
      </c>
      <c r="J45" s="363">
        <f t="shared" si="20"/>
        <v>1258.2393686992841</v>
      </c>
      <c r="K45" s="199">
        <f t="shared" si="21"/>
        <v>69.902187149960241</v>
      </c>
      <c r="L45" s="657"/>
      <c r="M45" s="200">
        <f>RANK(K45, K$42:$K$71)</f>
        <v>20</v>
      </c>
      <c r="N45" s="641"/>
      <c r="O45" s="641"/>
      <c r="P45" s="556">
        <v>18</v>
      </c>
      <c r="Q45" s="557">
        <v>1268.7804878048776</v>
      </c>
      <c r="R45" s="557">
        <v>70.487804878048749</v>
      </c>
      <c r="S45" s="556">
        <f t="shared" si="11"/>
        <v>17</v>
      </c>
      <c r="T45" s="642"/>
      <c r="U45" s="556">
        <v>18</v>
      </c>
      <c r="V45" s="557">
        <v>1266.6666666666656</v>
      </c>
      <c r="W45" s="557">
        <v>70.37037037037031</v>
      </c>
      <c r="X45" s="556">
        <f t="shared" si="12"/>
        <v>17</v>
      </c>
      <c r="Y45" s="642"/>
      <c r="Z45" s="556">
        <v>18</v>
      </c>
      <c r="AA45" s="557">
        <v>1271.4606741573034</v>
      </c>
      <c r="AB45" s="557">
        <v>70.636704119850194</v>
      </c>
      <c r="AC45" s="556">
        <f t="shared" si="13"/>
        <v>19</v>
      </c>
      <c r="AD45" s="642"/>
      <c r="AE45" s="556">
        <v>18</v>
      </c>
      <c r="AF45" s="557">
        <v>1250.4905660377362</v>
      </c>
      <c r="AG45" s="557">
        <v>69.471698113207566</v>
      </c>
      <c r="AH45" s="556">
        <f t="shared" si="14"/>
        <v>20</v>
      </c>
      <c r="AI45" s="642"/>
      <c r="AJ45" s="556">
        <v>18</v>
      </c>
      <c r="AK45" s="557">
        <v>1245.461538461539</v>
      </c>
      <c r="AL45" s="557">
        <v>69.192307692307722</v>
      </c>
      <c r="AM45" s="556">
        <f t="shared" si="15"/>
        <v>20</v>
      </c>
      <c r="AN45" s="642"/>
      <c r="AO45" s="556">
        <v>18</v>
      </c>
      <c r="AP45" s="557">
        <v>1254.4390243902437</v>
      </c>
      <c r="AQ45" s="557">
        <v>69.691056910569102</v>
      </c>
      <c r="AR45" s="556">
        <f t="shared" si="16"/>
        <v>20</v>
      </c>
      <c r="AS45" s="642"/>
      <c r="AT45" s="556">
        <v>18</v>
      </c>
      <c r="AU45" s="557">
        <v>1250.3766233766239</v>
      </c>
      <c r="AV45" s="557">
        <v>69.465367965367989</v>
      </c>
      <c r="AW45" s="556">
        <f t="shared" si="17"/>
        <v>20</v>
      </c>
      <c r="AX45" s="642"/>
      <c r="AZ45" s="368" t="e">
        <f t="shared" si="18"/>
        <v>#N/A</v>
      </c>
      <c r="BA45" s="642"/>
    </row>
    <row r="46" spans="2:53">
      <c r="B46" s="647"/>
      <c r="C46" s="283">
        <v>5</v>
      </c>
      <c r="D46" s="201" t="s">
        <v>344</v>
      </c>
      <c r="E46" s="538">
        <v>16</v>
      </c>
      <c r="F46" s="201">
        <v>1565</v>
      </c>
      <c r="G46" s="199">
        <v>97.8125</v>
      </c>
      <c r="H46" s="701"/>
      <c r="I46" s="363">
        <f t="shared" si="19"/>
        <v>16</v>
      </c>
      <c r="J46" s="363">
        <f t="shared" si="20"/>
        <v>1378.7433932882484</v>
      </c>
      <c r="K46" s="199">
        <f t="shared" si="21"/>
        <v>86.171462080515525</v>
      </c>
      <c r="L46" s="657"/>
      <c r="M46" s="200">
        <f>RANK(K46, K$42:$K$71)</f>
        <v>7</v>
      </c>
      <c r="N46" s="641"/>
      <c r="O46" s="641"/>
      <c r="P46" s="556">
        <v>16</v>
      </c>
      <c r="Q46" s="557">
        <v>1326.2337662337654</v>
      </c>
      <c r="R46" s="557">
        <v>82.88961038961034</v>
      </c>
      <c r="S46" s="556">
        <f t="shared" si="11"/>
        <v>8</v>
      </c>
      <c r="T46" s="642"/>
      <c r="U46" s="556">
        <v>16</v>
      </c>
      <c r="V46" s="557">
        <v>1356.5217391304334</v>
      </c>
      <c r="W46" s="557">
        <v>84.782608695652087</v>
      </c>
      <c r="X46" s="556">
        <f t="shared" si="12"/>
        <v>8</v>
      </c>
      <c r="Y46" s="642"/>
      <c r="Z46" s="556">
        <v>16</v>
      </c>
      <c r="AA46" s="557">
        <v>1389.2307692307706</v>
      </c>
      <c r="AB46" s="557">
        <v>86.826923076923165</v>
      </c>
      <c r="AC46" s="556">
        <f t="shared" si="13"/>
        <v>7</v>
      </c>
      <c r="AD46" s="642"/>
      <c r="AE46" s="556">
        <v>16</v>
      </c>
      <c r="AF46" s="557">
        <v>1386.1016949152554</v>
      </c>
      <c r="AG46" s="557">
        <v>86.631355932203462</v>
      </c>
      <c r="AH46" s="556">
        <f t="shared" si="14"/>
        <v>7</v>
      </c>
      <c r="AI46" s="642"/>
      <c r="AJ46" s="556">
        <v>16</v>
      </c>
      <c r="AK46" s="557">
        <v>1388.9552238805989</v>
      </c>
      <c r="AL46" s="557">
        <v>86.809701492537428</v>
      </c>
      <c r="AM46" s="556">
        <f t="shared" si="15"/>
        <v>7</v>
      </c>
      <c r="AN46" s="642"/>
      <c r="AO46" s="556">
        <v>16</v>
      </c>
      <c r="AP46" s="557">
        <v>1402.8947368421043</v>
      </c>
      <c r="AQ46" s="557">
        <v>87.680921052631518</v>
      </c>
      <c r="AR46" s="556">
        <f t="shared" si="16"/>
        <v>8</v>
      </c>
      <c r="AS46" s="642"/>
      <c r="AT46" s="556">
        <v>16</v>
      </c>
      <c r="AU46" s="557">
        <v>1401.2658227848094</v>
      </c>
      <c r="AV46" s="557">
        <v>87.579113924050588</v>
      </c>
      <c r="AW46" s="556">
        <f t="shared" si="17"/>
        <v>8</v>
      </c>
      <c r="AX46" s="642"/>
      <c r="AZ46" s="368" t="e">
        <f t="shared" si="18"/>
        <v>#N/A</v>
      </c>
      <c r="BA46" s="642"/>
    </row>
    <row r="47" spans="2:53">
      <c r="B47" s="647"/>
      <c r="C47" s="283">
        <v>6</v>
      </c>
      <c r="D47" s="201" t="s">
        <v>627</v>
      </c>
      <c r="E47" s="538">
        <v>20</v>
      </c>
      <c r="F47" s="201">
        <v>1440</v>
      </c>
      <c r="G47" s="199">
        <v>72</v>
      </c>
      <c r="H47" s="701"/>
      <c r="I47" s="363">
        <f t="shared" si="19"/>
        <v>20</v>
      </c>
      <c r="J47" s="363">
        <f t="shared" si="20"/>
        <v>1258.864014856247</v>
      </c>
      <c r="K47" s="199">
        <f t="shared" si="21"/>
        <v>62.943200742812351</v>
      </c>
      <c r="L47" s="657"/>
      <c r="M47" s="200">
        <f>RANK(K47, K$42:$K$71)</f>
        <v>23</v>
      </c>
      <c r="N47" s="641"/>
      <c r="O47" s="641"/>
      <c r="P47" s="556">
        <v>20</v>
      </c>
      <c r="Q47" s="557">
        <v>1272.5806451612914</v>
      </c>
      <c r="R47" s="557">
        <v>63.629032258064569</v>
      </c>
      <c r="S47" s="556">
        <f t="shared" si="11"/>
        <v>23</v>
      </c>
      <c r="T47" s="642"/>
      <c r="U47" s="556">
        <v>20</v>
      </c>
      <c r="V47" s="557">
        <v>1278.3870967741948</v>
      </c>
      <c r="W47" s="557">
        <v>63.919354838709737</v>
      </c>
      <c r="X47" s="556">
        <f t="shared" si="12"/>
        <v>23</v>
      </c>
      <c r="Y47" s="642"/>
      <c r="Z47" s="556">
        <v>20</v>
      </c>
      <c r="AA47" s="557">
        <v>1278.6206896551735</v>
      </c>
      <c r="AB47" s="557">
        <v>63.931034482758676</v>
      </c>
      <c r="AC47" s="556">
        <f t="shared" si="13"/>
        <v>23</v>
      </c>
      <c r="AD47" s="642"/>
      <c r="AE47" s="556">
        <v>20</v>
      </c>
      <c r="AF47" s="557">
        <v>1238.0769230769238</v>
      </c>
      <c r="AG47" s="557">
        <v>61.903846153846189</v>
      </c>
      <c r="AH47" s="556">
        <f t="shared" si="14"/>
        <v>23</v>
      </c>
      <c r="AI47" s="642"/>
      <c r="AJ47" s="556">
        <v>20</v>
      </c>
      <c r="AK47" s="557">
        <v>1249.8113207547176</v>
      </c>
      <c r="AL47" s="557">
        <v>62.490566037735881</v>
      </c>
      <c r="AM47" s="556">
        <f t="shared" si="15"/>
        <v>23</v>
      </c>
      <c r="AN47" s="642"/>
      <c r="AO47" s="556">
        <v>20</v>
      </c>
      <c r="AP47" s="557">
        <v>1254.2857142857156</v>
      </c>
      <c r="AQ47" s="557">
        <v>62.714285714285779</v>
      </c>
      <c r="AR47" s="556">
        <f t="shared" si="16"/>
        <v>23</v>
      </c>
      <c r="AS47" s="642"/>
      <c r="AT47" s="556">
        <v>20</v>
      </c>
      <c r="AU47" s="557">
        <v>1240.2857142857129</v>
      </c>
      <c r="AV47" s="557">
        <v>62.014285714285641</v>
      </c>
      <c r="AW47" s="556">
        <f t="shared" si="17"/>
        <v>23</v>
      </c>
      <c r="AX47" s="642"/>
      <c r="AZ47" s="368" t="e">
        <f t="shared" si="18"/>
        <v>#N/A</v>
      </c>
      <c r="BA47" s="642"/>
    </row>
    <row r="48" spans="2:53">
      <c r="B48" s="647"/>
      <c r="C48" s="283">
        <v>7</v>
      </c>
      <c r="D48" s="201" t="s">
        <v>601</v>
      </c>
      <c r="E48" s="538">
        <v>16</v>
      </c>
      <c r="F48" s="201">
        <v>1500</v>
      </c>
      <c r="G48" s="199">
        <v>93.75</v>
      </c>
      <c r="H48" s="701"/>
      <c r="I48" s="363">
        <f t="shared" si="19"/>
        <v>16</v>
      </c>
      <c r="J48" s="363">
        <f t="shared" si="20"/>
        <v>1411.4250721721753</v>
      </c>
      <c r="K48" s="199">
        <f t="shared" si="21"/>
        <v>88.214067010760957</v>
      </c>
      <c r="L48" s="657"/>
      <c r="M48" s="200">
        <f>RANK(K48, K$42:$K$71)</f>
        <v>6</v>
      </c>
      <c r="N48" s="641"/>
      <c r="O48" s="641"/>
      <c r="P48" s="556">
        <v>16</v>
      </c>
      <c r="Q48" s="557">
        <v>1388.7272727272734</v>
      </c>
      <c r="R48" s="557">
        <v>86.795454545454589</v>
      </c>
      <c r="S48" s="556">
        <f t="shared" si="11"/>
        <v>5</v>
      </c>
      <c r="T48" s="642"/>
      <c r="U48" s="556">
        <v>16</v>
      </c>
      <c r="V48" s="557">
        <v>1430.1818181818189</v>
      </c>
      <c r="W48" s="557">
        <v>89.386363636363683</v>
      </c>
      <c r="X48" s="556">
        <f t="shared" si="12"/>
        <v>3</v>
      </c>
      <c r="Y48" s="642"/>
      <c r="Z48" s="556">
        <v>16</v>
      </c>
      <c r="AA48" s="557">
        <v>1415.7692307692314</v>
      </c>
      <c r="AB48" s="557">
        <v>88.485576923076962</v>
      </c>
      <c r="AC48" s="556">
        <f t="shared" si="13"/>
        <v>6</v>
      </c>
      <c r="AD48" s="642"/>
      <c r="AE48" s="556">
        <v>16</v>
      </c>
      <c r="AF48" s="557">
        <v>1412.608695652174</v>
      </c>
      <c r="AG48" s="557">
        <v>88.288043478260875</v>
      </c>
      <c r="AH48" s="556">
        <f t="shared" si="14"/>
        <v>6</v>
      </c>
      <c r="AI48" s="642"/>
      <c r="AJ48" s="556">
        <v>16</v>
      </c>
      <c r="AK48" s="557">
        <v>1422.1276595744685</v>
      </c>
      <c r="AL48" s="557">
        <v>88.882978723404278</v>
      </c>
      <c r="AM48" s="556">
        <f t="shared" si="15"/>
        <v>6</v>
      </c>
      <c r="AN48" s="642"/>
      <c r="AO48" s="556">
        <v>16</v>
      </c>
      <c r="AP48" s="557">
        <v>1401.0526315789484</v>
      </c>
      <c r="AQ48" s="557">
        <v>87.565789473684276</v>
      </c>
      <c r="AR48" s="556">
        <f t="shared" si="16"/>
        <v>9</v>
      </c>
      <c r="AS48" s="642"/>
      <c r="AT48" s="556">
        <v>16</v>
      </c>
      <c r="AU48" s="557">
        <v>1409.5081967213127</v>
      </c>
      <c r="AV48" s="557">
        <v>88.094262295082046</v>
      </c>
      <c r="AW48" s="556">
        <f t="shared" si="17"/>
        <v>7</v>
      </c>
      <c r="AX48" s="642"/>
      <c r="AZ48" s="368" t="e">
        <f t="shared" si="18"/>
        <v>#N/A</v>
      </c>
      <c r="BA48" s="642"/>
    </row>
    <row r="49" spans="2:53">
      <c r="B49" s="647"/>
      <c r="C49" s="283">
        <v>8</v>
      </c>
      <c r="D49" s="201" t="s">
        <v>574</v>
      </c>
      <c r="E49" s="538">
        <v>18</v>
      </c>
      <c r="F49" s="201">
        <v>1636</v>
      </c>
      <c r="G49" s="199">
        <v>90.888888888888886</v>
      </c>
      <c r="H49" s="701"/>
      <c r="I49" s="363">
        <f t="shared" si="19"/>
        <v>18</v>
      </c>
      <c r="J49" s="363">
        <f t="shared" si="20"/>
        <v>1439.6042530407526</v>
      </c>
      <c r="K49" s="199">
        <f t="shared" si="21"/>
        <v>79.978014057819593</v>
      </c>
      <c r="L49" s="657"/>
      <c r="M49" s="200">
        <f>RANK(K49, K$42:$K$71)</f>
        <v>13</v>
      </c>
      <c r="N49" s="641"/>
      <c r="O49" s="641"/>
      <c r="P49" s="556">
        <v>18</v>
      </c>
      <c r="Q49" s="557">
        <v>1403.8095238095252</v>
      </c>
      <c r="R49" s="557">
        <v>77.989417989418072</v>
      </c>
      <c r="S49" s="556">
        <f t="shared" si="11"/>
        <v>13</v>
      </c>
      <c r="T49" s="642"/>
      <c r="U49" s="556">
        <v>18</v>
      </c>
      <c r="V49" s="557">
        <v>1402.7586206896563</v>
      </c>
      <c r="W49" s="557">
        <v>77.931034482758676</v>
      </c>
      <c r="X49" s="556">
        <f t="shared" si="12"/>
        <v>13</v>
      </c>
      <c r="Y49" s="642"/>
      <c r="Z49" s="556">
        <v>18</v>
      </c>
      <c r="AA49" s="557">
        <v>1443.8297872340427</v>
      </c>
      <c r="AB49" s="557">
        <v>80.21276595744682</v>
      </c>
      <c r="AC49" s="556">
        <f t="shared" si="13"/>
        <v>14</v>
      </c>
      <c r="AD49" s="642"/>
      <c r="AE49" s="556">
        <v>18</v>
      </c>
      <c r="AF49" s="557">
        <v>1447.3469387755106</v>
      </c>
      <c r="AG49" s="557">
        <v>80.408163265306143</v>
      </c>
      <c r="AH49" s="556">
        <f t="shared" si="14"/>
        <v>11</v>
      </c>
      <c r="AI49" s="642"/>
      <c r="AJ49" s="556">
        <v>18</v>
      </c>
      <c r="AK49" s="557">
        <v>1457.8947368421063</v>
      </c>
      <c r="AL49" s="557">
        <v>80.994152046783682</v>
      </c>
      <c r="AM49" s="556">
        <f t="shared" si="15"/>
        <v>12</v>
      </c>
      <c r="AN49" s="642"/>
      <c r="AO49" s="556">
        <v>18</v>
      </c>
      <c r="AP49" s="557">
        <v>1464.5901639344274</v>
      </c>
      <c r="AQ49" s="557">
        <v>81.366120218579297</v>
      </c>
      <c r="AR49" s="556">
        <f t="shared" si="16"/>
        <v>13</v>
      </c>
      <c r="AS49" s="642"/>
      <c r="AT49" s="556">
        <v>18</v>
      </c>
      <c r="AU49" s="557">
        <v>1457.0000000000014</v>
      </c>
      <c r="AV49" s="557">
        <v>80.944444444444514</v>
      </c>
      <c r="AW49" s="556">
        <f t="shared" si="17"/>
        <v>13</v>
      </c>
      <c r="AX49" s="642"/>
      <c r="AZ49" s="368" t="e">
        <f t="shared" si="18"/>
        <v>#N/A</v>
      </c>
      <c r="BA49" s="642"/>
    </row>
    <row r="50" spans="2:53">
      <c r="B50" s="647"/>
      <c r="C50" s="283">
        <v>9</v>
      </c>
      <c r="D50" s="201" t="s">
        <v>575</v>
      </c>
      <c r="E50" s="538">
        <v>18</v>
      </c>
      <c r="F50" s="201">
        <v>1636</v>
      </c>
      <c r="G50" s="199">
        <v>90.888888888888886</v>
      </c>
      <c r="H50" s="701"/>
      <c r="I50" s="363">
        <f t="shared" si="19"/>
        <v>18</v>
      </c>
      <c r="J50" s="363">
        <f t="shared" si="20"/>
        <v>1447.0119667967995</v>
      </c>
      <c r="K50" s="199">
        <f t="shared" si="21"/>
        <v>80.389553710933313</v>
      </c>
      <c r="L50" s="657"/>
      <c r="M50" s="200">
        <f>RANK(K50, K$42:$K$71)</f>
        <v>12</v>
      </c>
      <c r="N50" s="641"/>
      <c r="O50" s="641"/>
      <c r="P50" s="556">
        <v>18</v>
      </c>
      <c r="Q50" s="557">
        <v>1408.1632653061229</v>
      </c>
      <c r="R50" s="557">
        <v>78.231292517006821</v>
      </c>
      <c r="S50" s="556">
        <f t="shared" si="11"/>
        <v>12</v>
      </c>
      <c r="T50" s="642"/>
      <c r="U50" s="556">
        <v>18</v>
      </c>
      <c r="V50" s="557">
        <v>1426.9565217391305</v>
      </c>
      <c r="W50" s="557">
        <v>79.275362318840578</v>
      </c>
      <c r="X50" s="556">
        <f t="shared" si="12"/>
        <v>12</v>
      </c>
      <c r="Y50" s="642"/>
      <c r="Z50" s="556">
        <v>18</v>
      </c>
      <c r="AA50" s="557">
        <v>1458.9473684210516</v>
      </c>
      <c r="AB50" s="557">
        <v>81.052631578947313</v>
      </c>
      <c r="AC50" s="556">
        <f t="shared" si="13"/>
        <v>12</v>
      </c>
      <c r="AD50" s="642"/>
      <c r="AE50" s="556">
        <v>18</v>
      </c>
      <c r="AF50" s="557">
        <v>1446.1538461538453</v>
      </c>
      <c r="AG50" s="557">
        <v>80.341880341880298</v>
      </c>
      <c r="AH50" s="556">
        <f t="shared" si="14"/>
        <v>12</v>
      </c>
      <c r="AI50" s="642"/>
      <c r="AJ50" s="556">
        <v>18</v>
      </c>
      <c r="AK50" s="557">
        <v>1450.2127659574471</v>
      </c>
      <c r="AL50" s="557">
        <v>80.567375886524843</v>
      </c>
      <c r="AM50" s="556">
        <f t="shared" si="15"/>
        <v>13</v>
      </c>
      <c r="AN50" s="642"/>
      <c r="AO50" s="556">
        <v>18</v>
      </c>
      <c r="AP50" s="557">
        <v>1472.4000000000003</v>
      </c>
      <c r="AQ50" s="557">
        <v>81.800000000000011</v>
      </c>
      <c r="AR50" s="556">
        <f t="shared" si="16"/>
        <v>12</v>
      </c>
      <c r="AS50" s="642"/>
      <c r="AT50" s="556">
        <v>18</v>
      </c>
      <c r="AU50" s="557">
        <v>1466.2500000000005</v>
      </c>
      <c r="AV50" s="557">
        <v>81.458333333333357</v>
      </c>
      <c r="AW50" s="556">
        <f t="shared" si="17"/>
        <v>12</v>
      </c>
      <c r="AX50" s="642"/>
      <c r="AZ50" s="368" t="e">
        <f t="shared" si="18"/>
        <v>#N/A</v>
      </c>
      <c r="BA50" s="642"/>
    </row>
    <row r="51" spans="2:53">
      <c r="B51" s="647"/>
      <c r="C51" s="283">
        <v>10</v>
      </c>
      <c r="D51" s="201" t="s">
        <v>332</v>
      </c>
      <c r="E51" s="538">
        <v>17</v>
      </c>
      <c r="F51" s="201">
        <v>1500</v>
      </c>
      <c r="G51" s="199">
        <v>88.235294117647058</v>
      </c>
      <c r="H51" s="701"/>
      <c r="I51" s="363">
        <f t="shared" si="19"/>
        <v>17</v>
      </c>
      <c r="J51" s="363">
        <f t="shared" si="20"/>
        <v>1388.9536951479392</v>
      </c>
      <c r="K51" s="199">
        <f t="shared" si="21"/>
        <v>81.703158538114067</v>
      </c>
      <c r="L51" s="657"/>
      <c r="M51" s="200">
        <f>RANK(K51, K$42:$K$71)</f>
        <v>11</v>
      </c>
      <c r="N51" s="641"/>
      <c r="O51" s="641"/>
      <c r="P51" s="556">
        <v>17</v>
      </c>
      <c r="Q51" s="557">
        <v>1361.4285714285709</v>
      </c>
      <c r="R51" s="557">
        <v>80.084033613445342</v>
      </c>
      <c r="S51" s="556">
        <f t="shared" si="11"/>
        <v>9</v>
      </c>
      <c r="T51" s="642"/>
      <c r="U51" s="556">
        <v>17</v>
      </c>
      <c r="V51" s="557">
        <v>1365.365853658536</v>
      </c>
      <c r="W51" s="557">
        <v>80.315638450502121</v>
      </c>
      <c r="X51" s="556">
        <f t="shared" si="12"/>
        <v>10</v>
      </c>
      <c r="Y51" s="642"/>
      <c r="Z51" s="556">
        <v>17</v>
      </c>
      <c r="AA51" s="557">
        <v>1406.4705882352923</v>
      </c>
      <c r="AB51" s="557">
        <v>82.73356401384072</v>
      </c>
      <c r="AC51" s="556">
        <f t="shared" si="13"/>
        <v>9</v>
      </c>
      <c r="AD51" s="642"/>
      <c r="AE51" s="556">
        <v>17</v>
      </c>
      <c r="AF51" s="557">
        <v>1388.5714285714273</v>
      </c>
      <c r="AG51" s="557">
        <v>81.680672268907486</v>
      </c>
      <c r="AH51" s="556">
        <f t="shared" si="14"/>
        <v>10</v>
      </c>
      <c r="AI51" s="642"/>
      <c r="AJ51" s="556">
        <v>17</v>
      </c>
      <c r="AK51" s="557">
        <v>1401.4285714285711</v>
      </c>
      <c r="AL51" s="557">
        <v>82.436974789915951</v>
      </c>
      <c r="AM51" s="556">
        <f t="shared" si="15"/>
        <v>11</v>
      </c>
      <c r="AN51" s="642"/>
      <c r="AO51" s="556">
        <v>17</v>
      </c>
      <c r="AP51" s="557">
        <v>1402.6666666666665</v>
      </c>
      <c r="AQ51" s="557">
        <v>82.509803921568619</v>
      </c>
      <c r="AR51" s="556">
        <f t="shared" si="16"/>
        <v>11</v>
      </c>
      <c r="AS51" s="642"/>
      <c r="AT51" s="556">
        <v>17</v>
      </c>
      <c r="AU51" s="557">
        <v>1396.7441860465115</v>
      </c>
      <c r="AV51" s="557">
        <v>82.161422708618318</v>
      </c>
      <c r="AW51" s="556">
        <f t="shared" si="17"/>
        <v>11</v>
      </c>
      <c r="AX51" s="642"/>
      <c r="AZ51" s="368" t="e">
        <f t="shared" si="18"/>
        <v>#N/A</v>
      </c>
      <c r="BA51" s="642"/>
    </row>
    <row r="52" spans="2:53">
      <c r="B52" s="647"/>
      <c r="C52" s="283">
        <v>11</v>
      </c>
      <c r="D52" s="201" t="s">
        <v>512</v>
      </c>
      <c r="E52" s="538">
        <v>20</v>
      </c>
      <c r="F52" s="201">
        <v>1440</v>
      </c>
      <c r="G52" s="199">
        <v>72</v>
      </c>
      <c r="H52" s="701"/>
      <c r="I52" s="363">
        <f t="shared" si="19"/>
        <v>20</v>
      </c>
      <c r="J52" s="363">
        <f t="shared" si="20"/>
        <v>1338.5044303515876</v>
      </c>
      <c r="K52" s="199">
        <f t="shared" si="21"/>
        <v>66.925221517579374</v>
      </c>
      <c r="L52" s="657"/>
      <c r="M52" s="200">
        <f>RANK(K52, K$42:$K$71)</f>
        <v>22</v>
      </c>
      <c r="N52" s="641"/>
      <c r="O52" s="641"/>
      <c r="P52" s="556">
        <v>20</v>
      </c>
      <c r="Q52" s="557">
        <v>1317.42857142857</v>
      </c>
      <c r="R52" s="557">
        <v>65.871428571428496</v>
      </c>
      <c r="S52" s="556">
        <f t="shared" si="11"/>
        <v>22</v>
      </c>
      <c r="T52" s="642"/>
      <c r="U52" s="556">
        <v>20</v>
      </c>
      <c r="V52" s="557">
        <v>1284.7058823529428</v>
      </c>
      <c r="W52" s="557">
        <v>64.235294117647143</v>
      </c>
      <c r="X52" s="556">
        <f t="shared" si="12"/>
        <v>22</v>
      </c>
      <c r="Y52" s="642"/>
      <c r="Z52" s="556">
        <v>20</v>
      </c>
      <c r="AA52" s="557">
        <v>1348.8888888888896</v>
      </c>
      <c r="AB52" s="557">
        <v>67.444444444444485</v>
      </c>
      <c r="AC52" s="556">
        <f t="shared" si="13"/>
        <v>22</v>
      </c>
      <c r="AD52" s="642"/>
      <c r="AE52" s="556">
        <v>20</v>
      </c>
      <c r="AF52" s="557">
        <v>1361.1111111111118</v>
      </c>
      <c r="AG52" s="557">
        <v>68.055555555555586</v>
      </c>
      <c r="AH52" s="556">
        <f t="shared" si="14"/>
        <v>21</v>
      </c>
      <c r="AI52" s="642"/>
      <c r="AJ52" s="556">
        <v>20</v>
      </c>
      <c r="AK52" s="557">
        <v>1348.1818181818196</v>
      </c>
      <c r="AL52" s="557">
        <v>67.409090909090978</v>
      </c>
      <c r="AM52" s="556">
        <f t="shared" si="15"/>
        <v>21</v>
      </c>
      <c r="AN52" s="642"/>
      <c r="AO52" s="556">
        <v>20</v>
      </c>
      <c r="AP52" s="557">
        <v>1352.876712328766</v>
      </c>
      <c r="AQ52" s="557">
        <v>67.643835616438295</v>
      </c>
      <c r="AR52" s="556">
        <f t="shared" si="16"/>
        <v>21</v>
      </c>
      <c r="AS52" s="642"/>
      <c r="AT52" s="556">
        <v>20</v>
      </c>
      <c r="AU52" s="557">
        <v>1356.3380281690127</v>
      </c>
      <c r="AV52" s="557">
        <v>67.816901408450633</v>
      </c>
      <c r="AW52" s="556">
        <f t="shared" si="17"/>
        <v>21</v>
      </c>
      <c r="AX52" s="642"/>
      <c r="AZ52" s="368" t="e">
        <f t="shared" si="18"/>
        <v>#N/A</v>
      </c>
      <c r="BA52" s="642"/>
    </row>
    <row r="53" spans="2:53">
      <c r="B53" s="647"/>
      <c r="C53" s="283">
        <v>12</v>
      </c>
      <c r="D53" s="201" t="s">
        <v>345</v>
      </c>
      <c r="E53" s="538">
        <v>14</v>
      </c>
      <c r="F53" s="201">
        <v>1440</v>
      </c>
      <c r="G53" s="199">
        <v>102.85714285714286</v>
      </c>
      <c r="H53" s="701"/>
      <c r="I53" s="363">
        <f t="shared" si="19"/>
        <v>14.285714285714286</v>
      </c>
      <c r="J53" s="363">
        <f t="shared" si="20"/>
        <v>1339.5473367827642</v>
      </c>
      <c r="K53" s="199">
        <f t="shared" si="21"/>
        <v>93.906746417746248</v>
      </c>
      <c r="L53" s="657"/>
      <c r="M53" s="200">
        <f>RANK(K53, K$42:$K$71)</f>
        <v>3</v>
      </c>
      <c r="N53" s="641"/>
      <c r="O53" s="641"/>
      <c r="P53" s="556">
        <v>15</v>
      </c>
      <c r="Q53" s="557">
        <v>1288.4210526315799</v>
      </c>
      <c r="R53" s="557">
        <v>85.894736842105331</v>
      </c>
      <c r="S53" s="556">
        <f t="shared" si="11"/>
        <v>6</v>
      </c>
      <c r="T53" s="642"/>
      <c r="U53" s="556">
        <v>15</v>
      </c>
      <c r="V53" s="557">
        <v>1321.132075471699</v>
      </c>
      <c r="W53" s="557">
        <v>88.075471698113262</v>
      </c>
      <c r="X53" s="556">
        <f t="shared" si="12"/>
        <v>5</v>
      </c>
      <c r="Y53" s="642"/>
      <c r="Z53" s="556">
        <v>14</v>
      </c>
      <c r="AA53" s="557">
        <v>1346.3414634146336</v>
      </c>
      <c r="AB53" s="557">
        <v>96.167247386759541</v>
      </c>
      <c r="AC53" s="556">
        <f t="shared" si="13"/>
        <v>3</v>
      </c>
      <c r="AD53" s="642"/>
      <c r="AE53" s="556">
        <v>14</v>
      </c>
      <c r="AF53" s="557">
        <v>1362.2727272727273</v>
      </c>
      <c r="AG53" s="557">
        <v>97.305194805194802</v>
      </c>
      <c r="AH53" s="556">
        <f t="shared" si="14"/>
        <v>3</v>
      </c>
      <c r="AI53" s="642"/>
      <c r="AJ53" s="556">
        <v>14</v>
      </c>
      <c r="AK53" s="557">
        <v>1353.0612244897964</v>
      </c>
      <c r="AL53" s="557">
        <v>96.647230320699734</v>
      </c>
      <c r="AM53" s="556">
        <f t="shared" si="15"/>
        <v>3</v>
      </c>
      <c r="AN53" s="642"/>
      <c r="AO53" s="556">
        <v>14</v>
      </c>
      <c r="AP53" s="557">
        <v>1350.5084745762722</v>
      </c>
      <c r="AQ53" s="557">
        <v>96.464891041162304</v>
      </c>
      <c r="AR53" s="556">
        <f t="shared" si="16"/>
        <v>3</v>
      </c>
      <c r="AS53" s="642"/>
      <c r="AT53" s="556">
        <v>14</v>
      </c>
      <c r="AU53" s="557">
        <v>1355.0943396226421</v>
      </c>
      <c r="AV53" s="557">
        <v>96.792452830188722</v>
      </c>
      <c r="AW53" s="556">
        <f t="shared" si="17"/>
        <v>3</v>
      </c>
      <c r="AX53" s="642"/>
      <c r="AZ53" s="368" t="e">
        <f t="shared" si="18"/>
        <v>#N/A</v>
      </c>
      <c r="BA53" s="642"/>
    </row>
    <row r="54" spans="2:53">
      <c r="B54" s="647"/>
      <c r="C54" s="283">
        <v>13</v>
      </c>
      <c r="D54" s="201" t="s">
        <v>327</v>
      </c>
      <c r="E54" s="538">
        <v>19</v>
      </c>
      <c r="F54" s="201">
        <v>1440</v>
      </c>
      <c r="G54" s="199">
        <v>75.78947368421052</v>
      </c>
      <c r="H54" s="701"/>
      <c r="I54" s="363">
        <f t="shared" si="19"/>
        <v>19</v>
      </c>
      <c r="J54" s="363">
        <f t="shared" si="20"/>
        <v>1341.9928054933869</v>
      </c>
      <c r="K54" s="199">
        <f t="shared" si="21"/>
        <v>70.631200289125644</v>
      </c>
      <c r="L54" s="657"/>
      <c r="M54" s="200">
        <f>RANK(K54, K$42:$K$71)</f>
        <v>18</v>
      </c>
      <c r="N54" s="641"/>
      <c r="O54" s="641"/>
      <c r="P54" s="556">
        <v>19</v>
      </c>
      <c r="Q54" s="557">
        <v>1286.4285714285709</v>
      </c>
      <c r="R54" s="557">
        <v>67.706766917293209</v>
      </c>
      <c r="S54" s="556">
        <f t="shared" si="11"/>
        <v>21</v>
      </c>
      <c r="T54" s="642"/>
      <c r="U54" s="556">
        <v>19</v>
      </c>
      <c r="V54" s="557">
        <v>1319.1780821917798</v>
      </c>
      <c r="W54" s="557">
        <v>69.430425378514727</v>
      </c>
      <c r="X54" s="556">
        <f t="shared" si="12"/>
        <v>19</v>
      </c>
      <c r="Y54" s="642"/>
      <c r="Z54" s="556">
        <v>19</v>
      </c>
      <c r="AA54" s="557">
        <v>1352.0000000000014</v>
      </c>
      <c r="AB54" s="557">
        <v>71.157894736842181</v>
      </c>
      <c r="AC54" s="556">
        <f t="shared" si="13"/>
        <v>18</v>
      </c>
      <c r="AD54" s="642"/>
      <c r="AE54" s="556">
        <v>19</v>
      </c>
      <c r="AF54" s="557">
        <v>1354.0000000000014</v>
      </c>
      <c r="AG54" s="557">
        <v>71.263157894736921</v>
      </c>
      <c r="AH54" s="556">
        <f t="shared" si="14"/>
        <v>17</v>
      </c>
      <c r="AI54" s="642"/>
      <c r="AJ54" s="556">
        <v>19</v>
      </c>
      <c r="AK54" s="557">
        <v>1354.7368421052622</v>
      </c>
      <c r="AL54" s="557">
        <v>71.301939058171698</v>
      </c>
      <c r="AM54" s="556">
        <f t="shared" si="15"/>
        <v>18</v>
      </c>
      <c r="AN54" s="642"/>
      <c r="AO54" s="556">
        <v>19</v>
      </c>
      <c r="AP54" s="557">
        <v>1363.7037037037032</v>
      </c>
      <c r="AQ54" s="557">
        <v>71.773879142300174</v>
      </c>
      <c r="AR54" s="556">
        <f t="shared" si="16"/>
        <v>17</v>
      </c>
      <c r="AS54" s="642"/>
      <c r="AT54" s="556">
        <v>19</v>
      </c>
      <c r="AU54" s="557">
        <v>1363.9024390243897</v>
      </c>
      <c r="AV54" s="557">
        <v>71.784338896020515</v>
      </c>
      <c r="AW54" s="556">
        <f t="shared" si="17"/>
        <v>17</v>
      </c>
      <c r="AX54" s="642"/>
      <c r="AZ54" s="368" t="e">
        <f t="shared" si="18"/>
        <v>#N/A</v>
      </c>
      <c r="BA54" s="642"/>
    </row>
    <row r="55" spans="2:53">
      <c r="B55" s="647"/>
      <c r="C55" s="283">
        <v>14</v>
      </c>
      <c r="D55" s="201" t="s">
        <v>343</v>
      </c>
      <c r="E55" s="538">
        <v>19</v>
      </c>
      <c r="F55" s="201">
        <v>1440</v>
      </c>
      <c r="G55" s="199">
        <v>75.78947368421052</v>
      </c>
      <c r="H55" s="701"/>
      <c r="I55" s="363">
        <f t="shared" si="19"/>
        <v>19</v>
      </c>
      <c r="J55" s="363">
        <f t="shared" si="20"/>
        <v>1346.8372605640504</v>
      </c>
      <c r="K55" s="199">
        <f t="shared" si="21"/>
        <v>70.886171608634228</v>
      </c>
      <c r="L55" s="657"/>
      <c r="M55" s="200">
        <f>RANK(K55, K$42:$K$71)</f>
        <v>17</v>
      </c>
      <c r="N55" s="641"/>
      <c r="O55" s="641"/>
      <c r="P55" s="556">
        <v>19</v>
      </c>
      <c r="Q55" s="557">
        <v>1331.2500000000016</v>
      </c>
      <c r="R55" s="557">
        <v>70.065789473684291</v>
      </c>
      <c r="S55" s="556">
        <f t="shared" si="11"/>
        <v>18</v>
      </c>
      <c r="T55" s="642"/>
      <c r="U55" s="556">
        <v>19</v>
      </c>
      <c r="V55" s="557">
        <v>1297.7419354838723</v>
      </c>
      <c r="W55" s="557">
        <v>68.302207130730125</v>
      </c>
      <c r="X55" s="556">
        <f t="shared" si="12"/>
        <v>21</v>
      </c>
      <c r="Y55" s="642"/>
      <c r="Z55" s="556">
        <v>19</v>
      </c>
      <c r="AA55" s="557">
        <v>1367.0588235294122</v>
      </c>
      <c r="AB55" s="557">
        <v>71.950464396284858</v>
      </c>
      <c r="AC55" s="556">
        <f t="shared" si="13"/>
        <v>17</v>
      </c>
      <c r="AD55" s="642"/>
      <c r="AE55" s="556">
        <v>19</v>
      </c>
      <c r="AF55" s="557">
        <v>1348.3636363636372</v>
      </c>
      <c r="AG55" s="557">
        <v>70.966507177033535</v>
      </c>
      <c r="AH55" s="556">
        <f t="shared" si="14"/>
        <v>18</v>
      </c>
      <c r="AI55" s="642"/>
      <c r="AJ55" s="556">
        <v>19</v>
      </c>
      <c r="AK55" s="557">
        <v>1366.8750000000016</v>
      </c>
      <c r="AL55" s="557">
        <v>71.940789473684291</v>
      </c>
      <c r="AM55" s="556">
        <f t="shared" si="15"/>
        <v>17</v>
      </c>
      <c r="AN55" s="642"/>
      <c r="AO55" s="556">
        <v>19</v>
      </c>
      <c r="AP55" s="557">
        <v>1359.42857142857</v>
      </c>
      <c r="AQ55" s="557">
        <v>71.548872180451056</v>
      </c>
      <c r="AR55" s="556">
        <f t="shared" si="16"/>
        <v>18</v>
      </c>
      <c r="AS55" s="642"/>
      <c r="AT55" s="556">
        <v>19</v>
      </c>
      <c r="AU55" s="557">
        <v>1357.1428571428585</v>
      </c>
      <c r="AV55" s="557">
        <v>71.428571428571502</v>
      </c>
      <c r="AW55" s="556">
        <f t="shared" si="17"/>
        <v>18</v>
      </c>
      <c r="AX55" s="642"/>
      <c r="AZ55" s="368" t="e">
        <f t="shared" si="18"/>
        <v>#N/A</v>
      </c>
      <c r="BA55" s="642"/>
    </row>
    <row r="56" spans="2:53">
      <c r="B56" s="647"/>
      <c r="C56" s="283">
        <v>15</v>
      </c>
      <c r="D56" s="201" t="s">
        <v>581</v>
      </c>
      <c r="E56" s="538">
        <v>18</v>
      </c>
      <c r="F56" s="201">
        <v>1500</v>
      </c>
      <c r="G56" s="199">
        <v>83.333333333333329</v>
      </c>
      <c r="H56" s="701"/>
      <c r="I56" s="363">
        <f t="shared" si="19"/>
        <v>18</v>
      </c>
      <c r="J56" s="363">
        <f t="shared" si="20"/>
        <v>1393.0868122925151</v>
      </c>
      <c r="K56" s="199">
        <f t="shared" si="21"/>
        <v>77.393711794028619</v>
      </c>
      <c r="L56" s="657"/>
      <c r="M56" s="198">
        <f>RANK(K56, K$42:$K$71)</f>
        <v>15</v>
      </c>
      <c r="N56" s="641"/>
      <c r="O56" s="641"/>
      <c r="P56" s="556">
        <v>18</v>
      </c>
      <c r="Q56" s="557">
        <v>1342.1052631578957</v>
      </c>
      <c r="R56" s="557">
        <v>74.561403508771988</v>
      </c>
      <c r="S56" s="556">
        <f t="shared" si="11"/>
        <v>16</v>
      </c>
      <c r="T56" s="642"/>
      <c r="U56" s="556">
        <v>18</v>
      </c>
      <c r="V56" s="557">
        <v>1344.7058823529417</v>
      </c>
      <c r="W56" s="557">
        <v>74.705882352941202</v>
      </c>
      <c r="X56" s="556">
        <f t="shared" si="12"/>
        <v>16</v>
      </c>
      <c r="Y56" s="642"/>
      <c r="Z56" s="556">
        <v>18</v>
      </c>
      <c r="AA56" s="557">
        <v>1416.4705882352946</v>
      </c>
      <c r="AB56" s="557">
        <v>78.692810457516373</v>
      </c>
      <c r="AC56" s="556">
        <f t="shared" si="13"/>
        <v>15</v>
      </c>
      <c r="AD56" s="642"/>
      <c r="AE56" s="556">
        <v>18</v>
      </c>
      <c r="AF56" s="557">
        <v>1399.5348837209301</v>
      </c>
      <c r="AG56" s="557">
        <v>77.751937984496124</v>
      </c>
      <c r="AH56" s="556">
        <f t="shared" si="14"/>
        <v>16</v>
      </c>
      <c r="AI56" s="642"/>
      <c r="AJ56" s="556">
        <v>18</v>
      </c>
      <c r="AK56" s="557">
        <v>1414.6666666666667</v>
      </c>
      <c r="AL56" s="557">
        <v>78.592592592592595</v>
      </c>
      <c r="AM56" s="556">
        <f t="shared" si="15"/>
        <v>16</v>
      </c>
      <c r="AN56" s="642"/>
      <c r="AO56" s="556">
        <v>18</v>
      </c>
      <c r="AP56" s="557">
        <v>1422.5454545454554</v>
      </c>
      <c r="AQ56" s="557">
        <v>79.030303030303074</v>
      </c>
      <c r="AR56" s="556">
        <f t="shared" si="16"/>
        <v>14</v>
      </c>
      <c r="AS56" s="642"/>
      <c r="AT56" s="556">
        <v>18</v>
      </c>
      <c r="AU56" s="557">
        <v>1411.5789473684222</v>
      </c>
      <c r="AV56" s="557">
        <v>78.421052631579016</v>
      </c>
      <c r="AW56" s="556">
        <f t="shared" si="17"/>
        <v>15</v>
      </c>
      <c r="AX56" s="642"/>
      <c r="AZ56" s="368" t="e">
        <f t="shared" si="18"/>
        <v>#N/A</v>
      </c>
      <c r="BA56" s="642"/>
    </row>
    <row r="57" spans="2:53">
      <c r="B57" s="647"/>
      <c r="C57" s="283">
        <v>16</v>
      </c>
      <c r="D57" s="201" t="s">
        <v>509</v>
      </c>
      <c r="E57" s="538">
        <v>17</v>
      </c>
      <c r="F57" s="201">
        <v>1440</v>
      </c>
      <c r="G57" s="199">
        <v>84.705882352941174</v>
      </c>
      <c r="H57" s="701"/>
      <c r="I57" s="363">
        <f t="shared" si="19"/>
        <v>17</v>
      </c>
      <c r="J57" s="363">
        <f t="shared" si="20"/>
        <v>1327.7727898413978</v>
      </c>
      <c r="K57" s="199">
        <f t="shared" si="21"/>
        <v>78.104281755376334</v>
      </c>
      <c r="L57" s="657"/>
      <c r="M57" s="198">
        <f>RANK(K57, K$42:$K$71)</f>
        <v>14</v>
      </c>
      <c r="N57" s="641"/>
      <c r="O57" s="641"/>
      <c r="P57" s="556">
        <v>17</v>
      </c>
      <c r="Q57" s="557">
        <v>1321.6216216216205</v>
      </c>
      <c r="R57" s="557">
        <v>77.742448330683558</v>
      </c>
      <c r="S57" s="556">
        <f t="shared" si="11"/>
        <v>14</v>
      </c>
      <c r="T57" s="642"/>
      <c r="U57" s="556">
        <v>17</v>
      </c>
      <c r="V57" s="557">
        <v>1287.1428571428567</v>
      </c>
      <c r="W57" s="557">
        <v>75.71428571428568</v>
      </c>
      <c r="X57" s="556">
        <f t="shared" si="12"/>
        <v>15</v>
      </c>
      <c r="Y57" s="642"/>
      <c r="Z57" s="556">
        <v>17</v>
      </c>
      <c r="AA57" s="557">
        <v>1325.9999999999977</v>
      </c>
      <c r="AB57" s="557">
        <v>77.999999999999872</v>
      </c>
      <c r="AC57" s="556">
        <f t="shared" si="13"/>
        <v>16</v>
      </c>
      <c r="AD57" s="642"/>
      <c r="AE57" s="556">
        <v>17</v>
      </c>
      <c r="AF57" s="557">
        <v>1325.6249999999982</v>
      </c>
      <c r="AG57" s="557">
        <v>77.97794117647048</v>
      </c>
      <c r="AH57" s="556">
        <f t="shared" si="14"/>
        <v>15</v>
      </c>
      <c r="AI57" s="642"/>
      <c r="AJ57" s="556">
        <v>17</v>
      </c>
      <c r="AK57" s="557">
        <v>1361.1428571428557</v>
      </c>
      <c r="AL57" s="557">
        <v>80.067226890756217</v>
      </c>
      <c r="AM57" s="556">
        <f t="shared" si="15"/>
        <v>14</v>
      </c>
      <c r="AN57" s="642"/>
      <c r="AO57" s="556">
        <v>17</v>
      </c>
      <c r="AP57" s="557">
        <v>1338.6666666666665</v>
      </c>
      <c r="AQ57" s="557">
        <v>78.745098039215677</v>
      </c>
      <c r="AR57" s="556">
        <f t="shared" si="16"/>
        <v>15</v>
      </c>
      <c r="AS57" s="642"/>
      <c r="AT57" s="556">
        <v>17</v>
      </c>
      <c r="AU57" s="557">
        <v>1334.2105263157885</v>
      </c>
      <c r="AV57" s="557">
        <v>78.482972136222855</v>
      </c>
      <c r="AW57" s="556">
        <f t="shared" si="17"/>
        <v>14</v>
      </c>
      <c r="AX57" s="642"/>
      <c r="AZ57" s="368" t="e">
        <f t="shared" si="18"/>
        <v>#N/A</v>
      </c>
      <c r="BA57" s="642"/>
    </row>
    <row r="58" spans="2:53">
      <c r="B58" s="647"/>
      <c r="C58" s="283">
        <v>17</v>
      </c>
      <c r="D58" s="201" t="s">
        <v>603</v>
      </c>
      <c r="E58" s="538">
        <v>16</v>
      </c>
      <c r="F58" s="201">
        <v>1636</v>
      </c>
      <c r="G58" s="199">
        <v>102.25</v>
      </c>
      <c r="H58" s="701"/>
      <c r="I58" s="363">
        <f t="shared" si="19"/>
        <v>16</v>
      </c>
      <c r="J58" s="363">
        <f t="shared" si="20"/>
        <v>1434.8180446004856</v>
      </c>
      <c r="K58" s="199">
        <f t="shared" si="21"/>
        <v>89.676127787530348</v>
      </c>
      <c r="L58" s="657"/>
      <c r="M58" s="198">
        <f>RANK(K58, K$42:$K$71)</f>
        <v>5</v>
      </c>
      <c r="N58" s="641"/>
      <c r="O58" s="641"/>
      <c r="P58" s="556">
        <v>16</v>
      </c>
      <c r="Q58" s="557">
        <v>1410.7317073170727</v>
      </c>
      <c r="R58" s="557">
        <v>88.170731707317046</v>
      </c>
      <c r="S58" s="556">
        <f t="shared" si="11"/>
        <v>4</v>
      </c>
      <c r="T58" s="642"/>
      <c r="U58" s="556">
        <v>16</v>
      </c>
      <c r="V58" s="557">
        <v>1399.9999999999995</v>
      </c>
      <c r="W58" s="557">
        <v>87.499999999999972</v>
      </c>
      <c r="X58" s="556">
        <f t="shared" si="12"/>
        <v>6</v>
      </c>
      <c r="Y58" s="642"/>
      <c r="Z58" s="556">
        <v>16</v>
      </c>
      <c r="AA58" s="557">
        <v>1459.3548387096753</v>
      </c>
      <c r="AB58" s="557">
        <v>91.209677419354705</v>
      </c>
      <c r="AC58" s="556">
        <f t="shared" si="13"/>
        <v>4</v>
      </c>
      <c r="AD58" s="642"/>
      <c r="AE58" s="556">
        <v>16</v>
      </c>
      <c r="AF58" s="557">
        <v>1427.5862068965489</v>
      </c>
      <c r="AG58" s="557">
        <v>89.224137931034306</v>
      </c>
      <c r="AH58" s="556">
        <f t="shared" si="14"/>
        <v>5</v>
      </c>
      <c r="AI58" s="642"/>
      <c r="AJ58" s="556">
        <v>16</v>
      </c>
      <c r="AK58" s="557">
        <v>1433.5135135135124</v>
      </c>
      <c r="AL58" s="557">
        <v>89.594594594594525</v>
      </c>
      <c r="AM58" s="556">
        <f t="shared" si="15"/>
        <v>5</v>
      </c>
      <c r="AN58" s="642"/>
      <c r="AO58" s="556">
        <v>16</v>
      </c>
      <c r="AP58" s="557">
        <v>1450.4347826086957</v>
      </c>
      <c r="AQ58" s="557">
        <v>90.652173913043484</v>
      </c>
      <c r="AR58" s="556">
        <f t="shared" si="16"/>
        <v>4</v>
      </c>
      <c r="AS58" s="642"/>
      <c r="AT58" s="556">
        <v>16</v>
      </c>
      <c r="AU58" s="557">
        <v>1462.1052631578937</v>
      </c>
      <c r="AV58" s="557">
        <v>91.381578947368354</v>
      </c>
      <c r="AW58" s="556">
        <f t="shared" si="17"/>
        <v>4</v>
      </c>
      <c r="AX58" s="642"/>
      <c r="AZ58" s="368" t="e">
        <f t="shared" si="18"/>
        <v>#N/A</v>
      </c>
      <c r="BA58" s="642"/>
    </row>
    <row r="59" spans="2:53">
      <c r="B59" s="647"/>
      <c r="C59" s="283">
        <v>18</v>
      </c>
      <c r="D59" s="201" t="s">
        <v>615</v>
      </c>
      <c r="E59" s="538">
        <v>16</v>
      </c>
      <c r="F59" s="201">
        <v>1500</v>
      </c>
      <c r="G59" s="199">
        <v>93.75</v>
      </c>
      <c r="H59" s="701"/>
      <c r="I59" s="363">
        <f t="shared" si="19"/>
        <v>16.857142857142858</v>
      </c>
      <c r="J59" s="363">
        <f t="shared" si="20"/>
        <v>1393.4726169644059</v>
      </c>
      <c r="K59" s="199">
        <f t="shared" si="21"/>
        <v>82.716011576255227</v>
      </c>
      <c r="L59" s="657"/>
      <c r="M59" s="198">
        <f>RANK(K59, K$42:$K$71)</f>
        <v>10</v>
      </c>
      <c r="N59" s="641"/>
      <c r="O59" s="641"/>
      <c r="P59" s="556">
        <v>17</v>
      </c>
      <c r="Q59" s="557">
        <v>1353.7500000000005</v>
      </c>
      <c r="R59" s="557">
        <v>79.632352941176492</v>
      </c>
      <c r="S59" s="556">
        <f t="shared" si="11"/>
        <v>10</v>
      </c>
      <c r="T59" s="642"/>
      <c r="U59" s="556">
        <v>17</v>
      </c>
      <c r="V59" s="557">
        <v>1356.0000000000002</v>
      </c>
      <c r="W59" s="557">
        <v>79.764705882352956</v>
      </c>
      <c r="X59" s="556">
        <f t="shared" si="12"/>
        <v>11</v>
      </c>
      <c r="Y59" s="642"/>
      <c r="Z59" s="556">
        <v>17</v>
      </c>
      <c r="AA59" s="557">
        <v>1399.9999999999989</v>
      </c>
      <c r="AB59" s="557">
        <v>82.352941176470523</v>
      </c>
      <c r="AC59" s="556">
        <f t="shared" si="13"/>
        <v>10</v>
      </c>
      <c r="AD59" s="642"/>
      <c r="AE59" s="556">
        <v>17</v>
      </c>
      <c r="AF59" s="557">
        <v>1397.3684210526305</v>
      </c>
      <c r="AG59" s="557">
        <v>82.198142414860627</v>
      </c>
      <c r="AH59" s="556">
        <f t="shared" si="14"/>
        <v>9</v>
      </c>
      <c r="AI59" s="642"/>
      <c r="AJ59" s="556">
        <v>17</v>
      </c>
      <c r="AK59" s="557">
        <v>1406.0869565217392</v>
      </c>
      <c r="AL59" s="557">
        <v>82.710997442455252</v>
      </c>
      <c r="AM59" s="556">
        <f t="shared" si="15"/>
        <v>10</v>
      </c>
      <c r="AN59" s="642"/>
      <c r="AO59" s="556">
        <v>16</v>
      </c>
      <c r="AP59" s="557">
        <v>1422.3529411764712</v>
      </c>
      <c r="AQ59" s="557">
        <v>88.897058823529449</v>
      </c>
      <c r="AR59" s="556">
        <f t="shared" si="16"/>
        <v>6</v>
      </c>
      <c r="AS59" s="642"/>
      <c r="AT59" s="556">
        <v>17</v>
      </c>
      <c r="AU59" s="557">
        <v>1418.7500000000005</v>
      </c>
      <c r="AV59" s="557">
        <v>83.455882352941202</v>
      </c>
      <c r="AW59" s="556">
        <f t="shared" si="17"/>
        <v>10</v>
      </c>
      <c r="AX59" s="642"/>
      <c r="AZ59" s="368" t="e">
        <f t="shared" si="18"/>
        <v>#N/A</v>
      </c>
      <c r="BA59" s="642"/>
    </row>
    <row r="60" spans="2:53">
      <c r="B60" s="647"/>
      <c r="C60" s="283">
        <v>19</v>
      </c>
      <c r="D60" s="201" t="s">
        <v>611</v>
      </c>
      <c r="E60" s="538">
        <v>16</v>
      </c>
      <c r="F60" s="201">
        <v>1500</v>
      </c>
      <c r="G60" s="199">
        <v>93.75</v>
      </c>
      <c r="H60" s="701"/>
      <c r="I60" s="363">
        <f t="shared" si="19"/>
        <v>16</v>
      </c>
      <c r="J60" s="363">
        <f t="shared" si="20"/>
        <v>1357.2956448746559</v>
      </c>
      <c r="K60" s="199">
        <f t="shared" si="21"/>
        <v>84.830977804665991</v>
      </c>
      <c r="L60" s="657"/>
      <c r="M60" s="198">
        <f>RANK(K60, K$42:$K$71)</f>
        <v>8</v>
      </c>
      <c r="N60" s="641"/>
      <c r="O60" s="641"/>
      <c r="P60" s="556">
        <v>16</v>
      </c>
      <c r="Q60" s="557">
        <v>1335.6521739130421</v>
      </c>
      <c r="R60" s="557">
        <v>83.478260869565133</v>
      </c>
      <c r="S60" s="556">
        <f t="shared" si="11"/>
        <v>7</v>
      </c>
      <c r="T60" s="642"/>
      <c r="U60" s="556">
        <v>16</v>
      </c>
      <c r="V60" s="557">
        <v>1374.3750000000016</v>
      </c>
      <c r="W60" s="557">
        <v>85.898437500000099</v>
      </c>
      <c r="X60" s="556">
        <f t="shared" si="12"/>
        <v>7</v>
      </c>
      <c r="Y60" s="642"/>
      <c r="Z60" s="556">
        <v>16</v>
      </c>
      <c r="AA60" s="557">
        <v>1363.2000000000003</v>
      </c>
      <c r="AB60" s="557">
        <v>85.200000000000017</v>
      </c>
      <c r="AC60" s="556">
        <f t="shared" si="13"/>
        <v>8</v>
      </c>
      <c r="AD60" s="642"/>
      <c r="AE60" s="556">
        <v>16</v>
      </c>
      <c r="AF60" s="557">
        <v>1352.6315789473692</v>
      </c>
      <c r="AG60" s="557">
        <v>84.539473684210577</v>
      </c>
      <c r="AH60" s="556">
        <f t="shared" si="14"/>
        <v>8</v>
      </c>
      <c r="AI60" s="642"/>
      <c r="AJ60" s="556">
        <v>16</v>
      </c>
      <c r="AK60" s="557">
        <v>1354.9253731343267</v>
      </c>
      <c r="AL60" s="557">
        <v>84.68283582089542</v>
      </c>
      <c r="AM60" s="556">
        <f t="shared" si="15"/>
        <v>9</v>
      </c>
      <c r="AN60" s="642"/>
      <c r="AO60" s="556">
        <v>16</v>
      </c>
      <c r="AP60" s="557">
        <v>1359.4520547945194</v>
      </c>
      <c r="AQ60" s="557">
        <v>84.965753424657464</v>
      </c>
      <c r="AR60" s="556">
        <f t="shared" si="16"/>
        <v>10</v>
      </c>
      <c r="AS60" s="642"/>
      <c r="AT60" s="556">
        <v>16</v>
      </c>
      <c r="AU60" s="557">
        <v>1360.8333333333323</v>
      </c>
      <c r="AV60" s="557">
        <v>85.052083333333272</v>
      </c>
      <c r="AW60" s="556">
        <f t="shared" si="17"/>
        <v>9</v>
      </c>
      <c r="AX60" s="642"/>
      <c r="AZ60" s="368" t="e">
        <f t="shared" si="18"/>
        <v>#N/A</v>
      </c>
      <c r="BA60" s="642"/>
    </row>
    <row r="61" spans="2:53">
      <c r="B61" s="647"/>
      <c r="C61" s="283">
        <v>20</v>
      </c>
      <c r="D61" s="201" t="s">
        <v>629</v>
      </c>
      <c r="E61" s="538">
        <v>19</v>
      </c>
      <c r="F61" s="201">
        <v>1440</v>
      </c>
      <c r="G61" s="199">
        <v>75.78947368421052</v>
      </c>
      <c r="H61" s="701"/>
      <c r="I61" s="363">
        <f t="shared" si="19"/>
        <v>19</v>
      </c>
      <c r="J61" s="363">
        <f t="shared" si="20"/>
        <v>1328.6889735691436</v>
      </c>
      <c r="K61" s="199">
        <f t="shared" si="21"/>
        <v>69.930998608902286</v>
      </c>
      <c r="L61" s="657"/>
      <c r="M61" s="198">
        <f>RANK(K61, K$42:$K$71)</f>
        <v>19</v>
      </c>
      <c r="N61" s="641"/>
      <c r="O61" s="641"/>
      <c r="P61" s="556">
        <v>19</v>
      </c>
      <c r="Q61" s="557">
        <v>1313.0769230769238</v>
      </c>
      <c r="R61" s="557">
        <v>69.109311740890732</v>
      </c>
      <c r="S61" s="556">
        <f t="shared" si="11"/>
        <v>19</v>
      </c>
      <c r="T61" s="642"/>
      <c r="U61" s="556">
        <v>19</v>
      </c>
      <c r="V61" s="557">
        <v>1322.3076923076931</v>
      </c>
      <c r="W61" s="557">
        <v>69.595141700404895</v>
      </c>
      <c r="X61" s="556">
        <f t="shared" si="12"/>
        <v>18</v>
      </c>
      <c r="Y61" s="642"/>
      <c r="Z61" s="556">
        <v>19</v>
      </c>
      <c r="AA61" s="557">
        <v>1325.853658536585</v>
      </c>
      <c r="AB61" s="557">
        <v>69.781771501925533</v>
      </c>
      <c r="AC61" s="556">
        <f t="shared" si="13"/>
        <v>20</v>
      </c>
      <c r="AD61" s="642"/>
      <c r="AE61" s="556">
        <v>19</v>
      </c>
      <c r="AF61" s="557">
        <v>1319.9999999999995</v>
      </c>
      <c r="AG61" s="557">
        <v>69.473684210526287</v>
      </c>
      <c r="AH61" s="556">
        <f t="shared" si="14"/>
        <v>19</v>
      </c>
      <c r="AI61" s="642"/>
      <c r="AJ61" s="556">
        <v>19</v>
      </c>
      <c r="AK61" s="557">
        <v>1348.695652173913</v>
      </c>
      <c r="AL61" s="557">
        <v>70.983981693363845</v>
      </c>
      <c r="AM61" s="556">
        <f t="shared" si="15"/>
        <v>19</v>
      </c>
      <c r="AN61" s="642"/>
      <c r="AO61" s="556">
        <v>19</v>
      </c>
      <c r="AP61" s="557">
        <v>1338.8888888888896</v>
      </c>
      <c r="AQ61" s="557">
        <v>70.467836257309983</v>
      </c>
      <c r="AR61" s="556">
        <f t="shared" si="16"/>
        <v>19</v>
      </c>
      <c r="AS61" s="642"/>
      <c r="AT61" s="556">
        <v>19</v>
      </c>
      <c r="AU61" s="557">
        <v>1332.0000000000005</v>
      </c>
      <c r="AV61" s="557">
        <v>70.105263157894754</v>
      </c>
      <c r="AW61" s="556">
        <f t="shared" si="17"/>
        <v>19</v>
      </c>
      <c r="AX61" s="642"/>
      <c r="AZ61" s="368" t="e">
        <f t="shared" si="18"/>
        <v>#N/A</v>
      </c>
      <c r="BA61" s="642"/>
    </row>
    <row r="62" spans="2:53">
      <c r="B62" s="647"/>
      <c r="C62" s="283">
        <v>21</v>
      </c>
      <c r="D62" s="201" t="s">
        <v>700</v>
      </c>
      <c r="E62" s="538">
        <v>21</v>
      </c>
      <c r="F62" s="201">
        <v>1440</v>
      </c>
      <c r="G62" s="199">
        <v>68.571428571428569</v>
      </c>
      <c r="H62" s="701"/>
      <c r="I62" s="363">
        <f t="shared" si="19"/>
        <v>21</v>
      </c>
      <c r="J62" s="363">
        <f t="shared" si="20"/>
        <v>1181.776960955264</v>
      </c>
      <c r="K62" s="199">
        <f t="shared" si="21"/>
        <v>56.275093378822099</v>
      </c>
      <c r="L62" s="657"/>
      <c r="M62" s="198">
        <f>RANK(K62, K$42:$K$71)</f>
        <v>24</v>
      </c>
      <c r="N62" s="641"/>
      <c r="O62" s="641"/>
      <c r="P62" s="556">
        <v>21</v>
      </c>
      <c r="Q62" s="557">
        <v>1167.3684210526324</v>
      </c>
      <c r="R62" s="557">
        <v>55.588972431077728</v>
      </c>
      <c r="S62" s="556">
        <f t="shared" si="11"/>
        <v>24</v>
      </c>
      <c r="T62" s="642"/>
      <c r="U62" s="556">
        <v>21</v>
      </c>
      <c r="V62" s="557">
        <v>1176.8421052631588</v>
      </c>
      <c r="W62" s="557">
        <v>56.040100250626608</v>
      </c>
      <c r="X62" s="556">
        <f t="shared" si="12"/>
        <v>24</v>
      </c>
      <c r="Y62" s="642"/>
      <c r="Z62" s="556">
        <v>21</v>
      </c>
      <c r="AA62" s="557">
        <v>1174.285714285714</v>
      </c>
      <c r="AB62" s="557">
        <v>55.918367346938759</v>
      </c>
      <c r="AC62" s="556">
        <f t="shared" si="13"/>
        <v>24</v>
      </c>
      <c r="AD62" s="642"/>
      <c r="AE62" s="556">
        <v>21</v>
      </c>
      <c r="AF62" s="557">
        <v>1184.9999999999995</v>
      </c>
      <c r="AG62" s="557">
        <v>56.428571428571409</v>
      </c>
      <c r="AH62" s="556">
        <f t="shared" si="14"/>
        <v>24</v>
      </c>
      <c r="AI62" s="642"/>
      <c r="AJ62" s="556">
        <v>21</v>
      </c>
      <c r="AK62" s="557">
        <v>1197.5510204081636</v>
      </c>
      <c r="AL62" s="557">
        <v>57.026239067055407</v>
      </c>
      <c r="AM62" s="556">
        <f t="shared" si="15"/>
        <v>24</v>
      </c>
      <c r="AN62" s="642"/>
      <c r="AO62" s="556">
        <v>21</v>
      </c>
      <c r="AP62" s="557">
        <v>1183.6363636363644</v>
      </c>
      <c r="AQ62" s="557">
        <v>56.363636363636402</v>
      </c>
      <c r="AR62" s="556">
        <f t="shared" si="16"/>
        <v>24</v>
      </c>
      <c r="AS62" s="642"/>
      <c r="AT62" s="556">
        <v>21</v>
      </c>
      <c r="AU62" s="557">
        <v>1187.7551020408168</v>
      </c>
      <c r="AV62" s="557">
        <v>56.559766763848422</v>
      </c>
      <c r="AW62" s="556">
        <f t="shared" si="17"/>
        <v>24</v>
      </c>
      <c r="AX62" s="642"/>
      <c r="AZ62" s="368" t="e">
        <f t="shared" si="18"/>
        <v>#N/A</v>
      </c>
      <c r="BA62" s="642"/>
    </row>
    <row r="63" spans="2:53">
      <c r="B63" s="647"/>
      <c r="C63" s="283">
        <v>22</v>
      </c>
      <c r="D63" s="201" t="s">
        <v>702</v>
      </c>
      <c r="E63" s="538">
        <v>19</v>
      </c>
      <c r="F63" s="201">
        <v>1440</v>
      </c>
      <c r="G63" s="199">
        <v>75.78947368421052</v>
      </c>
      <c r="H63" s="701"/>
      <c r="I63" s="363">
        <f t="shared" si="19"/>
        <v>19</v>
      </c>
      <c r="J63" s="363">
        <f t="shared" si="20"/>
        <v>1279.420140385299</v>
      </c>
      <c r="K63" s="199">
        <f t="shared" si="21"/>
        <v>67.337902125542058</v>
      </c>
      <c r="L63" s="657"/>
      <c r="M63" s="198">
        <f>RANK(K63, K$42:$K$71)</f>
        <v>21</v>
      </c>
      <c r="N63" s="641"/>
      <c r="O63" s="641"/>
      <c r="P63" s="556">
        <v>19</v>
      </c>
      <c r="Q63" s="557">
        <v>1310.1492537313416</v>
      </c>
      <c r="R63" s="557">
        <v>68.955223880596918</v>
      </c>
      <c r="S63" s="556">
        <f t="shared" si="11"/>
        <v>20</v>
      </c>
      <c r="T63" s="642"/>
      <c r="U63" s="556">
        <v>19</v>
      </c>
      <c r="V63" s="557">
        <v>1306.8750000000016</v>
      </c>
      <c r="W63" s="557">
        <v>68.782894736842195</v>
      </c>
      <c r="X63" s="556">
        <f t="shared" si="12"/>
        <v>20</v>
      </c>
      <c r="Y63" s="642"/>
      <c r="Z63" s="556">
        <v>19</v>
      </c>
      <c r="AA63" s="557">
        <v>1296.8421052631588</v>
      </c>
      <c r="AB63" s="557">
        <v>68.254847645429408</v>
      </c>
      <c r="AC63" s="556">
        <f t="shared" si="13"/>
        <v>21</v>
      </c>
      <c r="AD63" s="642"/>
      <c r="AE63" s="556">
        <v>19</v>
      </c>
      <c r="AF63" s="557">
        <v>1250.6896551724146</v>
      </c>
      <c r="AG63" s="557">
        <v>65.825771324863922</v>
      </c>
      <c r="AH63" s="556">
        <f t="shared" si="14"/>
        <v>22</v>
      </c>
      <c r="AI63" s="642"/>
      <c r="AJ63" s="556">
        <v>19</v>
      </c>
      <c r="AK63" s="557">
        <v>1260.799999999999</v>
      </c>
      <c r="AL63" s="557">
        <v>66.357894736842056</v>
      </c>
      <c r="AM63" s="556">
        <f t="shared" si="15"/>
        <v>22</v>
      </c>
      <c r="AN63" s="642"/>
      <c r="AO63" s="556">
        <v>19</v>
      </c>
      <c r="AP63" s="557">
        <v>1267.2972972973018</v>
      </c>
      <c r="AQ63" s="557">
        <v>66.699857752489564</v>
      </c>
      <c r="AR63" s="556">
        <f t="shared" si="16"/>
        <v>22</v>
      </c>
      <c r="AS63" s="642"/>
      <c r="AT63" s="556">
        <v>19</v>
      </c>
      <c r="AU63" s="557">
        <v>1263.2876712328757</v>
      </c>
      <c r="AV63" s="557">
        <v>66.488824801730303</v>
      </c>
      <c r="AW63" s="556">
        <f t="shared" si="17"/>
        <v>22</v>
      </c>
      <c r="AX63" s="642"/>
      <c r="AZ63" s="368" t="e">
        <f t="shared" si="18"/>
        <v>#N/A</v>
      </c>
      <c r="BA63" s="642"/>
    </row>
    <row r="64" spans="2:53">
      <c r="B64" s="647"/>
      <c r="C64" s="283">
        <v>23</v>
      </c>
      <c r="D64" s="201" t="s">
        <v>713</v>
      </c>
      <c r="E64" s="538">
        <v>17</v>
      </c>
      <c r="F64" s="201">
        <v>1440</v>
      </c>
      <c r="G64" s="199">
        <v>84.705882352941174</v>
      </c>
      <c r="H64" s="701"/>
      <c r="I64" s="363">
        <f t="shared" si="19"/>
        <v>17</v>
      </c>
      <c r="J64" s="363">
        <f t="shared" si="20"/>
        <v>1308.2297148360228</v>
      </c>
      <c r="K64" s="199">
        <f t="shared" si="21"/>
        <v>76.954689108001347</v>
      </c>
      <c r="L64" s="657"/>
      <c r="M64" s="198">
        <f>RANK(K64, K$42:$K$71)</f>
        <v>16</v>
      </c>
      <c r="N64" s="641"/>
      <c r="O64" s="641"/>
      <c r="P64" s="556">
        <v>17</v>
      </c>
      <c r="Q64" s="557">
        <v>1272.5000000000005</v>
      </c>
      <c r="R64" s="557">
        <v>74.852941176470608</v>
      </c>
      <c r="S64" s="556">
        <f t="shared" si="11"/>
        <v>15</v>
      </c>
      <c r="T64" s="642"/>
      <c r="U64" s="556">
        <v>17</v>
      </c>
      <c r="V64" s="557">
        <v>1292.4000000000003</v>
      </c>
      <c r="W64" s="557">
        <v>76.023529411764727</v>
      </c>
      <c r="X64" s="556">
        <f t="shared" si="12"/>
        <v>14</v>
      </c>
      <c r="Y64" s="642"/>
      <c r="Z64" s="556">
        <v>17</v>
      </c>
      <c r="AA64" s="557">
        <v>1367.027027027026</v>
      </c>
      <c r="AB64" s="557">
        <v>80.413354531001531</v>
      </c>
      <c r="AC64" s="556">
        <f t="shared" si="13"/>
        <v>13</v>
      </c>
      <c r="AD64" s="642"/>
      <c r="AE64" s="556">
        <v>17</v>
      </c>
      <c r="AF64" s="557">
        <v>1354.2857142857129</v>
      </c>
      <c r="AG64" s="557">
        <v>79.663865546218403</v>
      </c>
      <c r="AH64" s="556">
        <f t="shared" si="14"/>
        <v>14</v>
      </c>
      <c r="AI64" s="642"/>
      <c r="AJ64" s="556">
        <v>17</v>
      </c>
      <c r="AK64" s="557">
        <v>1344.3243243243232</v>
      </c>
      <c r="AL64" s="557">
        <v>79.077901430842545</v>
      </c>
      <c r="AM64" s="556">
        <f t="shared" si="15"/>
        <v>15</v>
      </c>
      <c r="AN64" s="642"/>
      <c r="AO64" s="556">
        <v>17</v>
      </c>
      <c r="AP64" s="557">
        <v>1263.9130434782567</v>
      </c>
      <c r="AQ64" s="557">
        <v>74.347826086956275</v>
      </c>
      <c r="AR64" s="556">
        <f t="shared" si="16"/>
        <v>16</v>
      </c>
      <c r="AS64" s="642"/>
      <c r="AT64" s="556">
        <v>17</v>
      </c>
      <c r="AU64" s="557">
        <v>1263.1578947368412</v>
      </c>
      <c r="AV64" s="557">
        <v>74.303405572755366</v>
      </c>
      <c r="AW64" s="556">
        <f t="shared" si="17"/>
        <v>16</v>
      </c>
      <c r="AX64" s="642"/>
      <c r="AZ64" s="368" t="e">
        <f t="shared" si="18"/>
        <v>#N/A</v>
      </c>
      <c r="BA64" s="642"/>
    </row>
    <row r="65" spans="2:53">
      <c r="B65" s="647"/>
      <c r="C65" s="283">
        <v>24</v>
      </c>
      <c r="D65" s="201" t="s">
        <v>737</v>
      </c>
      <c r="E65" s="538">
        <v>15</v>
      </c>
      <c r="F65" s="201">
        <v>1440</v>
      </c>
      <c r="G65" s="199">
        <v>96</v>
      </c>
      <c r="H65" s="701"/>
      <c r="I65" s="363">
        <f t="shared" si="19"/>
        <v>15</v>
      </c>
      <c r="J65" s="363">
        <f t="shared" si="20"/>
        <v>1351.5735869506484</v>
      </c>
      <c r="K65" s="199">
        <f t="shared" si="21"/>
        <v>90.1049057967099</v>
      </c>
      <c r="L65" s="657"/>
      <c r="M65" s="198">
        <f>RANK(K65, K$42:$K$71)</f>
        <v>4</v>
      </c>
      <c r="N65" s="641"/>
      <c r="O65" s="641"/>
      <c r="P65" s="556">
        <v>15</v>
      </c>
      <c r="Q65" s="557">
        <v>1353.5999999999997</v>
      </c>
      <c r="R65" s="557">
        <v>90.239999999999981</v>
      </c>
      <c r="S65" s="556">
        <f t="shared" si="11"/>
        <v>3</v>
      </c>
      <c r="T65" s="642"/>
      <c r="U65" s="556">
        <v>15</v>
      </c>
      <c r="V65" s="557">
        <v>1331.6949152542365</v>
      </c>
      <c r="W65" s="557">
        <v>88.779661016949106</v>
      </c>
      <c r="X65" s="556">
        <f t="shared" si="12"/>
        <v>4</v>
      </c>
      <c r="Y65" s="642"/>
      <c r="Z65" s="556">
        <v>15</v>
      </c>
      <c r="AA65" s="557">
        <v>1356.4285714285711</v>
      </c>
      <c r="AB65" s="557">
        <v>90.428571428571402</v>
      </c>
      <c r="AC65" s="556">
        <f t="shared" si="13"/>
        <v>5</v>
      </c>
      <c r="AD65" s="642"/>
      <c r="AE65" s="556">
        <v>15</v>
      </c>
      <c r="AF65" s="557">
        <v>1356.315789473683</v>
      </c>
      <c r="AG65" s="557">
        <v>90.421052631578874</v>
      </c>
      <c r="AH65" s="556">
        <f t="shared" si="14"/>
        <v>4</v>
      </c>
      <c r="AI65" s="642"/>
      <c r="AJ65" s="556">
        <v>15</v>
      </c>
      <c r="AK65" s="557">
        <v>1354.5205479452045</v>
      </c>
      <c r="AL65" s="557">
        <v>90.301369863013633</v>
      </c>
      <c r="AM65" s="556">
        <f t="shared" si="15"/>
        <v>4</v>
      </c>
      <c r="AN65" s="642"/>
      <c r="AO65" s="556">
        <v>15</v>
      </c>
      <c r="AP65" s="557">
        <v>1353.3333333333328</v>
      </c>
      <c r="AQ65" s="557">
        <v>90.222222222222186</v>
      </c>
      <c r="AR65" s="556">
        <f t="shared" si="16"/>
        <v>5</v>
      </c>
      <c r="AS65" s="642"/>
      <c r="AT65" s="556">
        <v>15</v>
      </c>
      <c r="AU65" s="557">
        <v>1355.1219512195119</v>
      </c>
      <c r="AV65" s="557">
        <v>90.34146341463412</v>
      </c>
      <c r="AW65" s="556">
        <f t="shared" si="17"/>
        <v>5</v>
      </c>
      <c r="AX65" s="642"/>
      <c r="AZ65" s="368" t="e">
        <f t="shared" si="18"/>
        <v>#N/A</v>
      </c>
      <c r="BA65" s="642"/>
    </row>
    <row r="66" spans="2:53">
      <c r="B66" s="647"/>
      <c r="C66" s="283">
        <v>25</v>
      </c>
      <c r="D66" s="201"/>
      <c r="E66" s="538"/>
      <c r="F66" s="201"/>
      <c r="G66" s="199"/>
      <c r="H66" s="701"/>
      <c r="I66" s="363" t="str">
        <f t="shared" si="19"/>
        <v>-</v>
      </c>
      <c r="J66" s="363" t="str">
        <f t="shared" si="20"/>
        <v>-</v>
      </c>
      <c r="K66" s="199" t="str">
        <f t="shared" si="21"/>
        <v>-</v>
      </c>
      <c r="L66" s="657"/>
      <c r="M66" s="198" t="e">
        <f>RANK(K66, K$42:$K$71)</f>
        <v>#VALUE!</v>
      </c>
      <c r="N66" s="641"/>
      <c r="O66" s="641"/>
      <c r="P66" s="556" t="s">
        <v>585</v>
      </c>
      <c r="Q66" s="557" t="s">
        <v>585</v>
      </c>
      <c r="R66" s="557" t="s">
        <v>585</v>
      </c>
      <c r="S66" s="556" t="e">
        <f t="shared" si="11"/>
        <v>#VALUE!</v>
      </c>
      <c r="T66" s="642"/>
      <c r="U66" s="556" t="s">
        <v>585</v>
      </c>
      <c r="V66" s="557" t="s">
        <v>585</v>
      </c>
      <c r="W66" s="557" t="s">
        <v>585</v>
      </c>
      <c r="X66" s="556" t="e">
        <f t="shared" si="12"/>
        <v>#VALUE!</v>
      </c>
      <c r="Y66" s="642"/>
      <c r="Z66" s="556" t="s">
        <v>585</v>
      </c>
      <c r="AA66" s="557" t="s">
        <v>585</v>
      </c>
      <c r="AB66" s="557" t="s">
        <v>585</v>
      </c>
      <c r="AC66" s="556" t="e">
        <f t="shared" si="13"/>
        <v>#VALUE!</v>
      </c>
      <c r="AD66" s="642"/>
      <c r="AE66" s="556" t="s">
        <v>585</v>
      </c>
      <c r="AF66" s="557" t="s">
        <v>585</v>
      </c>
      <c r="AG66" s="557" t="s">
        <v>585</v>
      </c>
      <c r="AH66" s="556" t="e">
        <f t="shared" si="14"/>
        <v>#VALUE!</v>
      </c>
      <c r="AI66" s="642"/>
      <c r="AJ66" s="556" t="s">
        <v>585</v>
      </c>
      <c r="AK66" s="557" t="s">
        <v>585</v>
      </c>
      <c r="AL66" s="557" t="s">
        <v>585</v>
      </c>
      <c r="AM66" s="556" t="e">
        <f t="shared" si="15"/>
        <v>#VALUE!</v>
      </c>
      <c r="AN66" s="642"/>
      <c r="AO66" s="556" t="s">
        <v>585</v>
      </c>
      <c r="AP66" s="557" t="s">
        <v>585</v>
      </c>
      <c r="AQ66" s="557" t="s">
        <v>585</v>
      </c>
      <c r="AR66" s="556" t="e">
        <f t="shared" si="16"/>
        <v>#VALUE!</v>
      </c>
      <c r="AS66" s="642"/>
      <c r="AT66" s="556" t="s">
        <v>585</v>
      </c>
      <c r="AU66" s="557" t="s">
        <v>585</v>
      </c>
      <c r="AV66" s="557" t="s">
        <v>585</v>
      </c>
      <c r="AW66" s="556" t="e">
        <f t="shared" si="17"/>
        <v>#VALUE!</v>
      </c>
      <c r="AX66" s="642"/>
      <c r="AZ66" s="368" t="e">
        <f t="shared" si="18"/>
        <v>#N/A</v>
      </c>
      <c r="BA66" s="642"/>
    </row>
    <row r="67" spans="2:53">
      <c r="B67" s="647"/>
      <c r="C67" s="283">
        <v>26</v>
      </c>
      <c r="D67" s="201"/>
      <c r="E67" s="538"/>
      <c r="F67" s="201"/>
      <c r="G67" s="199"/>
      <c r="H67" s="701"/>
      <c r="I67" s="363" t="str">
        <f t="shared" si="19"/>
        <v>-</v>
      </c>
      <c r="J67" s="363" t="str">
        <f t="shared" si="20"/>
        <v>-</v>
      </c>
      <c r="K67" s="199" t="str">
        <f t="shared" si="21"/>
        <v>-</v>
      </c>
      <c r="L67" s="657"/>
      <c r="M67" s="198" t="e">
        <f>RANK(K67, K$42:$K$71)</f>
        <v>#VALUE!</v>
      </c>
      <c r="N67" s="641"/>
      <c r="O67" s="641"/>
      <c r="P67" s="556" t="s">
        <v>585</v>
      </c>
      <c r="Q67" s="557" t="s">
        <v>585</v>
      </c>
      <c r="R67" s="557" t="s">
        <v>585</v>
      </c>
      <c r="S67" s="556" t="e">
        <f t="shared" si="11"/>
        <v>#VALUE!</v>
      </c>
      <c r="T67" s="642"/>
      <c r="U67" s="556" t="s">
        <v>585</v>
      </c>
      <c r="V67" s="557" t="s">
        <v>585</v>
      </c>
      <c r="W67" s="557" t="s">
        <v>585</v>
      </c>
      <c r="X67" s="556" t="e">
        <f t="shared" si="12"/>
        <v>#VALUE!</v>
      </c>
      <c r="Y67" s="642"/>
      <c r="Z67" s="556" t="s">
        <v>585</v>
      </c>
      <c r="AA67" s="557" t="s">
        <v>585</v>
      </c>
      <c r="AB67" s="557" t="s">
        <v>585</v>
      </c>
      <c r="AC67" s="556" t="e">
        <f t="shared" si="13"/>
        <v>#VALUE!</v>
      </c>
      <c r="AD67" s="642"/>
      <c r="AE67" s="556" t="s">
        <v>585</v>
      </c>
      <c r="AF67" s="557" t="s">
        <v>585</v>
      </c>
      <c r="AG67" s="557" t="s">
        <v>585</v>
      </c>
      <c r="AH67" s="556" t="e">
        <f t="shared" si="14"/>
        <v>#VALUE!</v>
      </c>
      <c r="AI67" s="642"/>
      <c r="AJ67" s="556" t="s">
        <v>585</v>
      </c>
      <c r="AK67" s="557" t="s">
        <v>585</v>
      </c>
      <c r="AL67" s="557" t="s">
        <v>585</v>
      </c>
      <c r="AM67" s="556" t="e">
        <f t="shared" si="15"/>
        <v>#VALUE!</v>
      </c>
      <c r="AN67" s="642"/>
      <c r="AO67" s="556" t="s">
        <v>585</v>
      </c>
      <c r="AP67" s="557" t="s">
        <v>585</v>
      </c>
      <c r="AQ67" s="557" t="s">
        <v>585</v>
      </c>
      <c r="AR67" s="556" t="e">
        <f t="shared" si="16"/>
        <v>#VALUE!</v>
      </c>
      <c r="AS67" s="642"/>
      <c r="AT67" s="556" t="s">
        <v>585</v>
      </c>
      <c r="AU67" s="557" t="s">
        <v>585</v>
      </c>
      <c r="AV67" s="557" t="s">
        <v>585</v>
      </c>
      <c r="AW67" s="556" t="e">
        <f t="shared" si="17"/>
        <v>#VALUE!</v>
      </c>
      <c r="AX67" s="642"/>
      <c r="AZ67" s="368" t="e">
        <f t="shared" si="18"/>
        <v>#N/A</v>
      </c>
      <c r="BA67" s="642"/>
    </row>
    <row r="68" spans="2:53">
      <c r="B68" s="647"/>
      <c r="C68" s="283">
        <v>27</v>
      </c>
      <c r="D68" s="201"/>
      <c r="E68" s="538"/>
      <c r="F68" s="201"/>
      <c r="G68" s="199"/>
      <c r="H68" s="701"/>
      <c r="I68" s="363" t="str">
        <f t="shared" si="19"/>
        <v>-</v>
      </c>
      <c r="J68" s="363" t="str">
        <f t="shared" si="20"/>
        <v>-</v>
      </c>
      <c r="K68" s="199" t="str">
        <f t="shared" si="21"/>
        <v>-</v>
      </c>
      <c r="L68" s="657"/>
      <c r="M68" s="198" t="e">
        <f>RANK(K68, K$42:$K$71)</f>
        <v>#VALUE!</v>
      </c>
      <c r="N68" s="641"/>
      <c r="O68" s="641"/>
      <c r="P68" s="556" t="s">
        <v>585</v>
      </c>
      <c r="Q68" s="557" t="s">
        <v>585</v>
      </c>
      <c r="R68" s="557" t="s">
        <v>585</v>
      </c>
      <c r="S68" s="556" t="e">
        <f t="shared" si="11"/>
        <v>#VALUE!</v>
      </c>
      <c r="T68" s="642"/>
      <c r="U68" s="556" t="s">
        <v>585</v>
      </c>
      <c r="V68" s="557" t="s">
        <v>585</v>
      </c>
      <c r="W68" s="557" t="s">
        <v>585</v>
      </c>
      <c r="X68" s="556" t="e">
        <f t="shared" si="12"/>
        <v>#VALUE!</v>
      </c>
      <c r="Y68" s="642"/>
      <c r="Z68" s="556" t="s">
        <v>585</v>
      </c>
      <c r="AA68" s="557" t="s">
        <v>585</v>
      </c>
      <c r="AB68" s="557" t="s">
        <v>585</v>
      </c>
      <c r="AC68" s="556" t="e">
        <f t="shared" si="13"/>
        <v>#VALUE!</v>
      </c>
      <c r="AD68" s="642"/>
      <c r="AE68" s="556" t="s">
        <v>585</v>
      </c>
      <c r="AF68" s="557" t="s">
        <v>585</v>
      </c>
      <c r="AG68" s="557" t="s">
        <v>585</v>
      </c>
      <c r="AH68" s="556" t="e">
        <f t="shared" si="14"/>
        <v>#VALUE!</v>
      </c>
      <c r="AI68" s="642"/>
      <c r="AJ68" s="556" t="s">
        <v>585</v>
      </c>
      <c r="AK68" s="557" t="s">
        <v>585</v>
      </c>
      <c r="AL68" s="557" t="s">
        <v>585</v>
      </c>
      <c r="AM68" s="556" t="e">
        <f t="shared" si="15"/>
        <v>#VALUE!</v>
      </c>
      <c r="AN68" s="642"/>
      <c r="AO68" s="556" t="s">
        <v>585</v>
      </c>
      <c r="AP68" s="557" t="s">
        <v>585</v>
      </c>
      <c r="AQ68" s="557" t="s">
        <v>585</v>
      </c>
      <c r="AR68" s="556" t="e">
        <f t="shared" si="16"/>
        <v>#VALUE!</v>
      </c>
      <c r="AS68" s="642"/>
      <c r="AT68" s="556" t="s">
        <v>585</v>
      </c>
      <c r="AU68" s="557" t="s">
        <v>585</v>
      </c>
      <c r="AV68" s="557" t="s">
        <v>585</v>
      </c>
      <c r="AW68" s="556" t="e">
        <f t="shared" si="17"/>
        <v>#VALUE!</v>
      </c>
      <c r="AX68" s="642"/>
      <c r="AZ68" s="368" t="e">
        <f t="shared" si="18"/>
        <v>#N/A</v>
      </c>
      <c r="BA68" s="642"/>
    </row>
    <row r="69" spans="2:53">
      <c r="B69" s="647"/>
      <c r="C69" s="283">
        <v>28</v>
      </c>
      <c r="D69" s="201"/>
      <c r="E69" s="538"/>
      <c r="F69" s="201"/>
      <c r="G69" s="199"/>
      <c r="H69" s="701"/>
      <c r="I69" s="363" t="str">
        <f t="shared" si="19"/>
        <v>-</v>
      </c>
      <c r="J69" s="363" t="str">
        <f t="shared" si="20"/>
        <v>-</v>
      </c>
      <c r="K69" s="199" t="str">
        <f t="shared" si="21"/>
        <v>-</v>
      </c>
      <c r="L69" s="657"/>
      <c r="M69" s="198" t="e">
        <f>RANK(K69, K$42:$K$71)</f>
        <v>#VALUE!</v>
      </c>
      <c r="N69" s="641"/>
      <c r="O69" s="641"/>
      <c r="P69" s="556" t="s">
        <v>585</v>
      </c>
      <c r="Q69" s="557" t="s">
        <v>585</v>
      </c>
      <c r="R69" s="557" t="s">
        <v>585</v>
      </c>
      <c r="S69" s="556" t="e">
        <f t="shared" si="11"/>
        <v>#VALUE!</v>
      </c>
      <c r="T69" s="642"/>
      <c r="U69" s="556" t="s">
        <v>585</v>
      </c>
      <c r="V69" s="557" t="s">
        <v>585</v>
      </c>
      <c r="W69" s="557" t="s">
        <v>585</v>
      </c>
      <c r="X69" s="556" t="e">
        <f t="shared" si="12"/>
        <v>#VALUE!</v>
      </c>
      <c r="Y69" s="642"/>
      <c r="Z69" s="556" t="s">
        <v>585</v>
      </c>
      <c r="AA69" s="557" t="s">
        <v>585</v>
      </c>
      <c r="AB69" s="557" t="s">
        <v>585</v>
      </c>
      <c r="AC69" s="556" t="e">
        <f t="shared" si="13"/>
        <v>#VALUE!</v>
      </c>
      <c r="AD69" s="642"/>
      <c r="AE69" s="556" t="s">
        <v>585</v>
      </c>
      <c r="AF69" s="557" t="s">
        <v>585</v>
      </c>
      <c r="AG69" s="557" t="s">
        <v>585</v>
      </c>
      <c r="AH69" s="556" t="e">
        <f t="shared" si="14"/>
        <v>#VALUE!</v>
      </c>
      <c r="AI69" s="642"/>
      <c r="AJ69" s="556" t="s">
        <v>585</v>
      </c>
      <c r="AK69" s="557" t="s">
        <v>585</v>
      </c>
      <c r="AL69" s="557" t="s">
        <v>585</v>
      </c>
      <c r="AM69" s="556" t="e">
        <f t="shared" si="15"/>
        <v>#VALUE!</v>
      </c>
      <c r="AN69" s="642"/>
      <c r="AO69" s="556" t="s">
        <v>585</v>
      </c>
      <c r="AP69" s="557" t="s">
        <v>585</v>
      </c>
      <c r="AQ69" s="557" t="s">
        <v>585</v>
      </c>
      <c r="AR69" s="556" t="e">
        <f t="shared" si="16"/>
        <v>#VALUE!</v>
      </c>
      <c r="AS69" s="642"/>
      <c r="AT69" s="556" t="s">
        <v>585</v>
      </c>
      <c r="AU69" s="557" t="s">
        <v>585</v>
      </c>
      <c r="AV69" s="557" t="s">
        <v>585</v>
      </c>
      <c r="AW69" s="556" t="e">
        <f t="shared" si="17"/>
        <v>#VALUE!</v>
      </c>
      <c r="AX69" s="642"/>
      <c r="AZ69" s="368" t="e">
        <f t="shared" si="18"/>
        <v>#N/A</v>
      </c>
      <c r="BA69" s="642"/>
    </row>
    <row r="70" spans="2:53">
      <c r="B70" s="647"/>
      <c r="C70" s="283">
        <v>29</v>
      </c>
      <c r="D70" s="201"/>
      <c r="E70" s="538"/>
      <c r="F70" s="201"/>
      <c r="G70" s="199"/>
      <c r="H70" s="701"/>
      <c r="I70" s="363" t="str">
        <f t="shared" si="19"/>
        <v>-</v>
      </c>
      <c r="J70" s="363" t="str">
        <f t="shared" si="20"/>
        <v>-</v>
      </c>
      <c r="K70" s="199" t="str">
        <f t="shared" si="21"/>
        <v>-</v>
      </c>
      <c r="L70" s="657"/>
      <c r="M70" s="198" t="e">
        <f>RANK(K70, K$42:$K$71)</f>
        <v>#VALUE!</v>
      </c>
      <c r="N70" s="641"/>
      <c r="O70" s="641"/>
      <c r="P70" s="556" t="s">
        <v>585</v>
      </c>
      <c r="Q70" s="557" t="s">
        <v>585</v>
      </c>
      <c r="R70" s="557" t="s">
        <v>585</v>
      </c>
      <c r="S70" s="556" t="e">
        <f t="shared" si="11"/>
        <v>#VALUE!</v>
      </c>
      <c r="T70" s="642"/>
      <c r="U70" s="556" t="s">
        <v>585</v>
      </c>
      <c r="V70" s="557" t="s">
        <v>585</v>
      </c>
      <c r="W70" s="557" t="s">
        <v>585</v>
      </c>
      <c r="X70" s="556" t="e">
        <f t="shared" si="12"/>
        <v>#VALUE!</v>
      </c>
      <c r="Y70" s="642"/>
      <c r="Z70" s="556" t="s">
        <v>585</v>
      </c>
      <c r="AA70" s="557" t="s">
        <v>585</v>
      </c>
      <c r="AB70" s="557" t="s">
        <v>585</v>
      </c>
      <c r="AC70" s="556" t="e">
        <f t="shared" si="13"/>
        <v>#VALUE!</v>
      </c>
      <c r="AD70" s="642"/>
      <c r="AE70" s="556" t="s">
        <v>585</v>
      </c>
      <c r="AF70" s="557" t="s">
        <v>585</v>
      </c>
      <c r="AG70" s="557" t="s">
        <v>585</v>
      </c>
      <c r="AH70" s="556" t="e">
        <f t="shared" si="14"/>
        <v>#VALUE!</v>
      </c>
      <c r="AI70" s="642"/>
      <c r="AJ70" s="556" t="s">
        <v>585</v>
      </c>
      <c r="AK70" s="557" t="s">
        <v>585</v>
      </c>
      <c r="AL70" s="557" t="s">
        <v>585</v>
      </c>
      <c r="AM70" s="556" t="e">
        <f t="shared" si="15"/>
        <v>#VALUE!</v>
      </c>
      <c r="AN70" s="642"/>
      <c r="AO70" s="556" t="s">
        <v>585</v>
      </c>
      <c r="AP70" s="557" t="s">
        <v>585</v>
      </c>
      <c r="AQ70" s="557" t="s">
        <v>585</v>
      </c>
      <c r="AR70" s="556" t="e">
        <f t="shared" si="16"/>
        <v>#VALUE!</v>
      </c>
      <c r="AS70" s="642"/>
      <c r="AT70" s="556" t="s">
        <v>585</v>
      </c>
      <c r="AU70" s="557" t="s">
        <v>585</v>
      </c>
      <c r="AV70" s="557" t="s">
        <v>585</v>
      </c>
      <c r="AW70" s="556" t="e">
        <f t="shared" si="17"/>
        <v>#VALUE!</v>
      </c>
      <c r="AX70" s="642"/>
      <c r="AZ70" s="368" t="e">
        <f t="shared" si="18"/>
        <v>#N/A</v>
      </c>
      <c r="BA70" s="642"/>
    </row>
    <row r="71" spans="2:53">
      <c r="B71" s="647"/>
      <c r="C71" s="283">
        <v>30</v>
      </c>
      <c r="D71" s="201"/>
      <c r="E71" s="538"/>
      <c r="F71" s="201"/>
      <c r="G71" s="199"/>
      <c r="H71" s="702"/>
      <c r="I71" s="363" t="str">
        <f t="shared" si="19"/>
        <v>-</v>
      </c>
      <c r="J71" s="363" t="str">
        <f t="shared" si="20"/>
        <v>-</v>
      </c>
      <c r="K71" s="199" t="str">
        <f t="shared" si="21"/>
        <v>-</v>
      </c>
      <c r="L71" s="658"/>
      <c r="M71" s="198" t="e">
        <f>RANK(K71, K$42:$K$71)</f>
        <v>#VALUE!</v>
      </c>
      <c r="N71" s="641"/>
      <c r="O71" s="641"/>
      <c r="P71" s="556" t="s">
        <v>585</v>
      </c>
      <c r="Q71" s="557" t="s">
        <v>585</v>
      </c>
      <c r="R71" s="557" t="s">
        <v>585</v>
      </c>
      <c r="S71" s="556" t="e">
        <f t="shared" si="11"/>
        <v>#VALUE!</v>
      </c>
      <c r="T71" s="642"/>
      <c r="U71" s="556" t="s">
        <v>585</v>
      </c>
      <c r="V71" s="557" t="s">
        <v>585</v>
      </c>
      <c r="W71" s="557" t="s">
        <v>585</v>
      </c>
      <c r="X71" s="556" t="e">
        <f t="shared" si="12"/>
        <v>#VALUE!</v>
      </c>
      <c r="Y71" s="642"/>
      <c r="Z71" s="556" t="s">
        <v>585</v>
      </c>
      <c r="AA71" s="557" t="s">
        <v>585</v>
      </c>
      <c r="AB71" s="557" t="s">
        <v>585</v>
      </c>
      <c r="AC71" s="556" t="e">
        <f t="shared" si="13"/>
        <v>#VALUE!</v>
      </c>
      <c r="AD71" s="642"/>
      <c r="AE71" s="556" t="s">
        <v>585</v>
      </c>
      <c r="AF71" s="557" t="s">
        <v>585</v>
      </c>
      <c r="AG71" s="557" t="s">
        <v>585</v>
      </c>
      <c r="AH71" s="556" t="e">
        <f t="shared" si="14"/>
        <v>#VALUE!</v>
      </c>
      <c r="AI71" s="642"/>
      <c r="AJ71" s="556" t="s">
        <v>585</v>
      </c>
      <c r="AK71" s="557" t="s">
        <v>585</v>
      </c>
      <c r="AL71" s="557" t="s">
        <v>585</v>
      </c>
      <c r="AM71" s="556" t="e">
        <f t="shared" si="15"/>
        <v>#VALUE!</v>
      </c>
      <c r="AN71" s="642"/>
      <c r="AO71" s="556" t="s">
        <v>585</v>
      </c>
      <c r="AP71" s="557" t="s">
        <v>585</v>
      </c>
      <c r="AQ71" s="557" t="s">
        <v>585</v>
      </c>
      <c r="AR71" s="556" t="e">
        <f t="shared" si="16"/>
        <v>#VALUE!</v>
      </c>
      <c r="AS71" s="642"/>
      <c r="AT71" s="556" t="s">
        <v>585</v>
      </c>
      <c r="AU71" s="557" t="s">
        <v>585</v>
      </c>
      <c r="AV71" s="557" t="s">
        <v>585</v>
      </c>
      <c r="AW71" s="556" t="e">
        <f t="shared" si="17"/>
        <v>#VALUE!</v>
      </c>
      <c r="AX71" s="642"/>
      <c r="AZ71" s="368" t="e">
        <f t="shared" si="18"/>
        <v>#N/A</v>
      </c>
      <c r="BA71" s="642"/>
    </row>
    <row r="72" spans="2:53" ht="15.75">
      <c r="B72" s="680" t="s">
        <v>162</v>
      </c>
      <c r="C72" s="681"/>
      <c r="D72" s="681"/>
      <c r="E72" s="681"/>
      <c r="F72" s="681"/>
      <c r="G72" s="681"/>
      <c r="H72" s="681"/>
      <c r="I72" s="207"/>
      <c r="J72" s="202"/>
      <c r="K72" s="207"/>
      <c r="L72" s="207"/>
      <c r="M72" s="203"/>
      <c r="N72" s="643" t="s">
        <v>156</v>
      </c>
      <c r="O72" s="643" t="s">
        <v>105</v>
      </c>
      <c r="P72" s="665">
        <f>P37+7</f>
        <v>46245</v>
      </c>
      <c r="Q72" s="666"/>
      <c r="R72" s="666"/>
      <c r="S72" s="666"/>
      <c r="T72" s="667"/>
      <c r="U72" s="665">
        <f>P72+1</f>
        <v>46246</v>
      </c>
      <c r="V72" s="666"/>
      <c r="W72" s="666"/>
      <c r="X72" s="666"/>
      <c r="Y72" s="667"/>
      <c r="Z72" s="665">
        <f>U72+1</f>
        <v>46247</v>
      </c>
      <c r="AA72" s="666"/>
      <c r="AB72" s="666"/>
      <c r="AC72" s="666"/>
      <c r="AD72" s="667"/>
      <c r="AE72" s="665">
        <f>Z72+1</f>
        <v>46248</v>
      </c>
      <c r="AF72" s="666"/>
      <c r="AG72" s="666"/>
      <c r="AH72" s="666"/>
      <c r="AI72" s="667"/>
      <c r="AJ72" s="665">
        <f>AE72+1</f>
        <v>46249</v>
      </c>
      <c r="AK72" s="666"/>
      <c r="AL72" s="666"/>
      <c r="AM72" s="666"/>
      <c r="AN72" s="667"/>
      <c r="AO72" s="665">
        <f>AJ72+1</f>
        <v>46250</v>
      </c>
      <c r="AP72" s="666"/>
      <c r="AQ72" s="666"/>
      <c r="AR72" s="666"/>
      <c r="AS72" s="667"/>
      <c r="AT72" s="665">
        <f>AO72+1</f>
        <v>46251</v>
      </c>
      <c r="AU72" s="666"/>
      <c r="AV72" s="666"/>
      <c r="AW72" s="666"/>
      <c r="AX72" s="667"/>
    </row>
    <row r="73" spans="2:53" ht="15.75">
      <c r="B73" s="672"/>
      <c r="C73" s="672"/>
      <c r="D73" s="672"/>
      <c r="E73" s="672"/>
      <c r="F73" s="672"/>
      <c r="G73" s="672"/>
      <c r="H73" s="672"/>
      <c r="I73" s="204"/>
      <c r="J73" s="204"/>
      <c r="K73" s="204"/>
      <c r="L73" s="204"/>
      <c r="M73" s="205"/>
      <c r="N73" s="645"/>
      <c r="O73" s="645"/>
      <c r="P73" s="665" t="s">
        <v>317</v>
      </c>
      <c r="Q73" s="666"/>
      <c r="R73" s="666"/>
      <c r="S73" s="666"/>
      <c r="T73" s="667"/>
      <c r="U73" s="665" t="s">
        <v>318</v>
      </c>
      <c r="V73" s="666"/>
      <c r="W73" s="666"/>
      <c r="X73" s="666"/>
      <c r="Y73" s="667"/>
      <c r="Z73" s="665" t="s">
        <v>319</v>
      </c>
      <c r="AA73" s="666"/>
      <c r="AB73" s="666"/>
      <c r="AC73" s="666"/>
      <c r="AD73" s="667"/>
      <c r="AE73" s="665" t="s">
        <v>320</v>
      </c>
      <c r="AF73" s="666"/>
      <c r="AG73" s="666"/>
      <c r="AH73" s="666"/>
      <c r="AI73" s="667"/>
      <c r="AJ73" s="665" t="s">
        <v>321</v>
      </c>
      <c r="AK73" s="666"/>
      <c r="AL73" s="666"/>
      <c r="AM73" s="666"/>
      <c r="AN73" s="667"/>
      <c r="AO73" s="665" t="s">
        <v>322</v>
      </c>
      <c r="AP73" s="666"/>
      <c r="AQ73" s="666"/>
      <c r="AR73" s="666"/>
      <c r="AS73" s="667"/>
      <c r="AT73" s="665" t="s">
        <v>323</v>
      </c>
      <c r="AU73" s="666"/>
      <c r="AV73" s="666"/>
      <c r="AW73" s="666"/>
      <c r="AX73" s="667"/>
    </row>
    <row r="74" spans="2:53">
      <c r="B74" s="641" t="s">
        <v>407</v>
      </c>
      <c r="C74" s="641" t="s">
        <v>408</v>
      </c>
      <c r="D74" s="641"/>
      <c r="E74" s="641" t="s">
        <v>409</v>
      </c>
      <c r="F74" s="641"/>
      <c r="G74" s="641"/>
      <c r="H74" s="673" t="s">
        <v>410</v>
      </c>
      <c r="I74" s="688" t="s">
        <v>411</v>
      </c>
      <c r="J74" s="688"/>
      <c r="K74" s="688"/>
      <c r="L74" s="689" t="s">
        <v>410</v>
      </c>
      <c r="M74" s="677" t="s">
        <v>412</v>
      </c>
      <c r="N74" s="641"/>
      <c r="O74" s="641" t="s">
        <v>413</v>
      </c>
      <c r="P74" s="659" t="s">
        <v>414</v>
      </c>
      <c r="Q74" s="660"/>
      <c r="R74" s="660"/>
      <c r="S74" s="661"/>
      <c r="T74" s="641" t="s">
        <v>410</v>
      </c>
      <c r="U74" s="659" t="s">
        <v>414</v>
      </c>
      <c r="V74" s="660"/>
      <c r="W74" s="660"/>
      <c r="X74" s="661"/>
      <c r="Y74" s="641" t="s">
        <v>410</v>
      </c>
      <c r="Z74" s="659" t="s">
        <v>414</v>
      </c>
      <c r="AA74" s="660"/>
      <c r="AB74" s="660"/>
      <c r="AC74" s="661"/>
      <c r="AD74" s="641" t="s">
        <v>410</v>
      </c>
      <c r="AE74" s="659" t="s">
        <v>414</v>
      </c>
      <c r="AF74" s="660"/>
      <c r="AG74" s="660"/>
      <c r="AH74" s="661"/>
      <c r="AI74" s="641" t="s">
        <v>410</v>
      </c>
      <c r="AJ74" s="659" t="s">
        <v>414</v>
      </c>
      <c r="AK74" s="660"/>
      <c r="AL74" s="660"/>
      <c r="AM74" s="661"/>
      <c r="AN74" s="641" t="s">
        <v>410</v>
      </c>
      <c r="AO74" s="659" t="s">
        <v>414</v>
      </c>
      <c r="AP74" s="660"/>
      <c r="AQ74" s="660"/>
      <c r="AR74" s="661"/>
      <c r="AS74" s="641" t="s">
        <v>410</v>
      </c>
      <c r="AT74" s="659" t="s">
        <v>414</v>
      </c>
      <c r="AU74" s="660"/>
      <c r="AV74" s="660"/>
      <c r="AW74" s="661"/>
      <c r="AX74" s="641" t="s">
        <v>410</v>
      </c>
      <c r="BA74" s="641" t="s">
        <v>366</v>
      </c>
    </row>
    <row r="75" spans="2:53">
      <c r="B75" s="641"/>
      <c r="C75" s="641"/>
      <c r="D75" s="641"/>
      <c r="E75" s="641" t="s">
        <v>415</v>
      </c>
      <c r="F75" s="641"/>
      <c r="G75" s="641"/>
      <c r="H75" s="674"/>
      <c r="I75" s="688" t="s">
        <v>415</v>
      </c>
      <c r="J75" s="688"/>
      <c r="K75" s="688"/>
      <c r="L75" s="690"/>
      <c r="M75" s="678"/>
      <c r="N75" s="641"/>
      <c r="O75" s="641"/>
      <c r="P75" s="659" t="s">
        <v>416</v>
      </c>
      <c r="Q75" s="660"/>
      <c r="R75" s="660"/>
      <c r="S75" s="661"/>
      <c r="T75" s="641"/>
      <c r="U75" s="659" t="s">
        <v>416</v>
      </c>
      <c r="V75" s="660"/>
      <c r="W75" s="660"/>
      <c r="X75" s="661"/>
      <c r="Y75" s="641"/>
      <c r="Z75" s="659" t="s">
        <v>416</v>
      </c>
      <c r="AA75" s="660"/>
      <c r="AB75" s="660"/>
      <c r="AC75" s="661"/>
      <c r="AD75" s="641"/>
      <c r="AE75" s="659" t="s">
        <v>416</v>
      </c>
      <c r="AF75" s="660"/>
      <c r="AG75" s="660"/>
      <c r="AH75" s="661"/>
      <c r="AI75" s="641"/>
      <c r="AJ75" s="659" t="s">
        <v>416</v>
      </c>
      <c r="AK75" s="660"/>
      <c r="AL75" s="660"/>
      <c r="AM75" s="661"/>
      <c r="AN75" s="641"/>
      <c r="AO75" s="659" t="s">
        <v>416</v>
      </c>
      <c r="AP75" s="660"/>
      <c r="AQ75" s="660"/>
      <c r="AR75" s="661"/>
      <c r="AS75" s="641"/>
      <c r="AT75" s="659" t="s">
        <v>416</v>
      </c>
      <c r="AU75" s="660"/>
      <c r="AV75" s="660"/>
      <c r="AW75" s="661"/>
      <c r="AX75" s="641"/>
      <c r="BA75" s="641"/>
    </row>
    <row r="76" spans="2:53">
      <c r="B76" s="641"/>
      <c r="C76" s="641"/>
      <c r="D76" s="641"/>
      <c r="E76" s="282" t="s">
        <v>417</v>
      </c>
      <c r="F76" s="282" t="s">
        <v>418</v>
      </c>
      <c r="G76" s="282" t="s">
        <v>419</v>
      </c>
      <c r="H76" s="675"/>
      <c r="I76" s="281" t="s">
        <v>417</v>
      </c>
      <c r="J76" s="281" t="s">
        <v>418</v>
      </c>
      <c r="K76" s="281" t="s">
        <v>419</v>
      </c>
      <c r="L76" s="691"/>
      <c r="M76" s="679"/>
      <c r="N76" s="641"/>
      <c r="O76" s="641"/>
      <c r="P76" s="282" t="s">
        <v>417</v>
      </c>
      <c r="Q76" s="282" t="s">
        <v>418</v>
      </c>
      <c r="R76" s="282" t="s">
        <v>419</v>
      </c>
      <c r="S76" s="282" t="s">
        <v>412</v>
      </c>
      <c r="T76" s="641"/>
      <c r="U76" s="282" t="s">
        <v>417</v>
      </c>
      <c r="V76" s="282" t="s">
        <v>418</v>
      </c>
      <c r="W76" s="282" t="s">
        <v>419</v>
      </c>
      <c r="X76" s="282" t="s">
        <v>412</v>
      </c>
      <c r="Y76" s="641"/>
      <c r="Z76" s="282" t="s">
        <v>417</v>
      </c>
      <c r="AA76" s="282" t="s">
        <v>418</v>
      </c>
      <c r="AB76" s="282" t="s">
        <v>419</v>
      </c>
      <c r="AC76" s="282" t="s">
        <v>412</v>
      </c>
      <c r="AD76" s="641"/>
      <c r="AE76" s="282" t="s">
        <v>417</v>
      </c>
      <c r="AF76" s="282" t="s">
        <v>418</v>
      </c>
      <c r="AG76" s="282" t="s">
        <v>419</v>
      </c>
      <c r="AH76" s="282" t="s">
        <v>412</v>
      </c>
      <c r="AI76" s="641"/>
      <c r="AJ76" s="282" t="s">
        <v>417</v>
      </c>
      <c r="AK76" s="282" t="s">
        <v>418</v>
      </c>
      <c r="AL76" s="282" t="s">
        <v>419</v>
      </c>
      <c r="AM76" s="282" t="s">
        <v>412</v>
      </c>
      <c r="AN76" s="641"/>
      <c r="AO76" s="282" t="s">
        <v>417</v>
      </c>
      <c r="AP76" s="282" t="s">
        <v>418</v>
      </c>
      <c r="AQ76" s="282" t="s">
        <v>419</v>
      </c>
      <c r="AR76" s="282" t="s">
        <v>412</v>
      </c>
      <c r="AS76" s="641"/>
      <c r="AT76" s="282" t="s">
        <v>417</v>
      </c>
      <c r="AU76" s="282" t="s">
        <v>418</v>
      </c>
      <c r="AV76" s="282" t="s">
        <v>419</v>
      </c>
      <c r="AW76" s="282" t="s">
        <v>412</v>
      </c>
      <c r="AX76" s="641"/>
      <c r="AZ76" s="367" t="s">
        <v>367</v>
      </c>
      <c r="BA76" s="641"/>
    </row>
    <row r="77" spans="2:53">
      <c r="B77" s="641" t="s">
        <v>420</v>
      </c>
      <c r="C77" s="283">
        <v>1</v>
      </c>
      <c r="D77" s="201" t="s">
        <v>342</v>
      </c>
      <c r="E77" s="538">
        <v>6</v>
      </c>
      <c r="F77" s="201">
        <v>1500</v>
      </c>
      <c r="G77" s="199">
        <v>250</v>
      </c>
      <c r="H77" s="700">
        <f>AVERAGE(G77:G106)</f>
        <v>100.76696400416888</v>
      </c>
      <c r="I77" s="363">
        <f>IFERROR(AVERAGE(P77,U77,Z77,AE77,AJ77,AO77,AT77),"-")</f>
        <v>6</v>
      </c>
      <c r="J77" s="363">
        <f>IFERROR(AVERAGE(Q77,V77,AA77,AF77,AK77,AP77,AU77),"-")</f>
        <v>1446.8100646429359</v>
      </c>
      <c r="K77" s="199">
        <f>IFERROR(AVERAGE(R77,W77,AB77,AG77,AL77,AQ77,AV77),"-")</f>
        <v>241.13501077382264</v>
      </c>
      <c r="L77" s="656">
        <f>IFERROR(AVERAGE(K77:K106),"-")</f>
        <v>89.53221202442775</v>
      </c>
      <c r="M77" s="200">
        <f>RANK(K77, K$77:$K$106)</f>
        <v>1</v>
      </c>
      <c r="N77" s="641"/>
      <c r="O77" s="641"/>
      <c r="P77" s="562">
        <v>6</v>
      </c>
      <c r="Q77" s="566">
        <v>1459.6083333333336</v>
      </c>
      <c r="R77" s="566">
        <v>243.26805555555561</v>
      </c>
      <c r="S77" s="562">
        <f>RANK(R77, R$77:R$106)</f>
        <v>1</v>
      </c>
      <c r="T77" s="642">
        <f>AVERAGE(R77:R106)</f>
        <v>89.534702740851571</v>
      </c>
      <c r="U77" s="562">
        <v>6</v>
      </c>
      <c r="V77" s="566">
        <v>1445.3557046979872</v>
      </c>
      <c r="W77" s="566">
        <v>240.89261744966453</v>
      </c>
      <c r="X77" s="562">
        <f>RANK(W77, W$77:W$106)</f>
        <v>2</v>
      </c>
      <c r="Y77" s="642">
        <f>AVERAGE(W77:W106)</f>
        <v>88.950234390421599</v>
      </c>
      <c r="Z77" s="562">
        <v>6</v>
      </c>
      <c r="AA77" s="566">
        <v>1433.0136986301372</v>
      </c>
      <c r="AB77" s="566">
        <v>238.8356164383562</v>
      </c>
      <c r="AC77" s="562">
        <f>RANK(AB77, AB$77:AB$106)</f>
        <v>1</v>
      </c>
      <c r="AD77" s="642">
        <f>AVERAGE(AB77:AB106)</f>
        <v>89.77515136732633</v>
      </c>
      <c r="AE77" s="562">
        <v>6</v>
      </c>
      <c r="AF77" s="566">
        <v>1432.391304347826</v>
      </c>
      <c r="AG77" s="566">
        <v>238.731884057971</v>
      </c>
      <c r="AH77" s="562">
        <f>RANK(AG77, AG$77:AG$106)</f>
        <v>1</v>
      </c>
      <c r="AI77" s="642">
        <f>AVERAGE(AG77:AG106)</f>
        <v>90.489337732522671</v>
      </c>
      <c r="AJ77" s="562">
        <v>6</v>
      </c>
      <c r="AK77" s="566">
        <v>1448.0496350364965</v>
      </c>
      <c r="AL77" s="566">
        <v>241.34160583941608</v>
      </c>
      <c r="AM77" s="562">
        <f>RANK(AL77, AL$77:AL$106)</f>
        <v>1</v>
      </c>
      <c r="AN77" s="642">
        <f>AVERAGE(AL77:AL106)</f>
        <v>91.014889440897875</v>
      </c>
      <c r="AO77" s="562">
        <v>6</v>
      </c>
      <c r="AP77" s="566">
        <v>1457.0439024390239</v>
      </c>
      <c r="AQ77" s="566">
        <v>242.84065040650398</v>
      </c>
      <c r="AR77" s="562">
        <f>RANK(AQ77, AQ$77:AQ$106)</f>
        <v>1</v>
      </c>
      <c r="AS77" s="642">
        <f>AVERAGE(AQ77:AQ106)</f>
        <v>89.806575369870089</v>
      </c>
      <c r="AT77" s="562">
        <v>6</v>
      </c>
      <c r="AU77" s="566">
        <v>1452.2078740157476</v>
      </c>
      <c r="AV77" s="566">
        <v>242.03464566929128</v>
      </c>
      <c r="AW77" s="562">
        <f>RANK(AV77, AV$77:AV$106)</f>
        <v>2</v>
      </c>
      <c r="AX77" s="642">
        <f>AVERAGE(AV77:AV106)</f>
        <v>91.373585403303636</v>
      </c>
      <c r="AZ77" s="368" t="e">
        <f>RANK(AY77, AY$77:AY$106)</f>
        <v>#N/A</v>
      </c>
      <c r="BA77" s="642" t="e">
        <f>AVERAGE(AY77:AY106)</f>
        <v>#DIV/0!</v>
      </c>
    </row>
    <row r="78" spans="2:53">
      <c r="B78" s="647"/>
      <c r="C78" s="283">
        <v>2</v>
      </c>
      <c r="D78" s="201" t="s">
        <v>586</v>
      </c>
      <c r="E78" s="538">
        <v>6</v>
      </c>
      <c r="F78" s="201">
        <v>1636</v>
      </c>
      <c r="G78" s="199">
        <v>272.66666666666669</v>
      </c>
      <c r="H78" s="701"/>
      <c r="I78" s="363">
        <f t="shared" ref="I78:I106" si="22">IFERROR(AVERAGE(P78,U78,Z78,AE78,AJ78,AO78,AT78),"-")</f>
        <v>6</v>
      </c>
      <c r="J78" s="363">
        <f t="shared" ref="J78:J106" si="23">IFERROR(AVERAGE(Q78,V78,AA78,AF78,AK78,AP78,AU78),"-")</f>
        <v>1433.6474114790981</v>
      </c>
      <c r="K78" s="199">
        <f t="shared" ref="K78:K106" si="24">IFERROR(AVERAGE(R78,W78,AB78,AG78,AL78,AQ78,AV78),"-")</f>
        <v>238.94123524651636</v>
      </c>
      <c r="L78" s="657"/>
      <c r="M78" s="200">
        <f>RANK(K78, K$77:$K$106)</f>
        <v>2</v>
      </c>
      <c r="N78" s="641"/>
      <c r="O78" s="641"/>
      <c r="P78" s="562">
        <v>6</v>
      </c>
      <c r="Q78" s="566">
        <v>1439.9999999999995</v>
      </c>
      <c r="R78" s="566">
        <v>239.99999999999991</v>
      </c>
      <c r="S78" s="562">
        <f t="shared" ref="S78:S106" si="25">RANK(R78, R$77:R$106)</f>
        <v>2</v>
      </c>
      <c r="T78" s="642"/>
      <c r="U78" s="562">
        <v>6</v>
      </c>
      <c r="V78" s="566">
        <v>1457.1428571428569</v>
      </c>
      <c r="W78" s="566">
        <v>242.8571428571428</v>
      </c>
      <c r="X78" s="562">
        <f t="shared" ref="X78:X106" si="26">RANK(W78, W$77:W$106)</f>
        <v>1</v>
      </c>
      <c r="Y78" s="642"/>
      <c r="Z78" s="562">
        <v>6</v>
      </c>
      <c r="AA78" s="566">
        <v>1425.9374999999998</v>
      </c>
      <c r="AB78" s="566">
        <v>237.65624999999997</v>
      </c>
      <c r="AC78" s="562">
        <f t="shared" ref="AC78:AC106" si="27">RANK(AB78, AB$77:AB$106)</f>
        <v>2</v>
      </c>
      <c r="AD78" s="642"/>
      <c r="AE78" s="562">
        <v>6</v>
      </c>
      <c r="AF78" s="566">
        <v>1411.6363636363626</v>
      </c>
      <c r="AG78" s="566">
        <v>235.27272727272711</v>
      </c>
      <c r="AH78" s="562">
        <f t="shared" ref="AH78:AH106" si="28">RANK(AG78, AG$77:AG$106)</f>
        <v>2</v>
      </c>
      <c r="AI78" s="642"/>
      <c r="AJ78" s="562">
        <v>6</v>
      </c>
      <c r="AK78" s="566">
        <v>1422.1276595744685</v>
      </c>
      <c r="AL78" s="566">
        <v>237.02127659574475</v>
      </c>
      <c r="AM78" s="562">
        <f t="shared" ref="AM78:AM106" si="29">RANK(AL78, AL$77:AL$106)</f>
        <v>2</v>
      </c>
      <c r="AN78" s="642"/>
      <c r="AO78" s="562">
        <v>6</v>
      </c>
      <c r="AP78" s="566">
        <v>1418.9999999999993</v>
      </c>
      <c r="AQ78" s="566">
        <v>236.49999999999989</v>
      </c>
      <c r="AR78" s="562">
        <f t="shared" ref="AR78:AR106" si="30">RANK(AQ78, AQ$77:AQ$106)</f>
        <v>2</v>
      </c>
      <c r="AS78" s="642"/>
      <c r="AT78" s="562">
        <v>6</v>
      </c>
      <c r="AU78" s="566">
        <v>1459.6874999999995</v>
      </c>
      <c r="AV78" s="566">
        <v>243.28124999999991</v>
      </c>
      <c r="AW78" s="562">
        <f t="shared" ref="AW78:AW106" si="31">RANK(AV78, AV$77:AV$106)</f>
        <v>1</v>
      </c>
      <c r="AX78" s="642"/>
      <c r="AZ78" s="368" t="e">
        <f t="shared" ref="AZ78:AZ106" si="32">RANK(AY78, AY$77:AY$106)</f>
        <v>#N/A</v>
      </c>
      <c r="BA78" s="642"/>
    </row>
    <row r="79" spans="2:53">
      <c r="B79" s="647"/>
      <c r="C79" s="283">
        <v>3</v>
      </c>
      <c r="D79" s="201" t="s">
        <v>578</v>
      </c>
      <c r="E79" s="538">
        <v>16</v>
      </c>
      <c r="F79" s="201">
        <v>1500</v>
      </c>
      <c r="G79" s="199">
        <v>93.75</v>
      </c>
      <c r="H79" s="701"/>
      <c r="I79" s="363">
        <f t="shared" si="22"/>
        <v>17</v>
      </c>
      <c r="J79" s="363">
        <f t="shared" si="23"/>
        <v>1343.6107666106386</v>
      </c>
      <c r="K79" s="199">
        <f t="shared" si="24"/>
        <v>79.035927447684614</v>
      </c>
      <c r="L79" s="657"/>
      <c r="M79" s="200">
        <f>RANK(K79, K$77:$K$106)</f>
        <v>11</v>
      </c>
      <c r="N79" s="641"/>
      <c r="O79" s="641"/>
      <c r="P79" s="562">
        <v>17</v>
      </c>
      <c r="Q79" s="566">
        <v>1331.0400000000004</v>
      </c>
      <c r="R79" s="566">
        <v>78.296470588235323</v>
      </c>
      <c r="S79" s="562">
        <f t="shared" si="25"/>
        <v>11</v>
      </c>
      <c r="T79" s="642"/>
      <c r="U79" s="562">
        <v>17</v>
      </c>
      <c r="V79" s="566">
        <v>1326.2608695652175</v>
      </c>
      <c r="W79" s="566">
        <v>78.015345268542205</v>
      </c>
      <c r="X79" s="562">
        <f t="shared" si="26"/>
        <v>13</v>
      </c>
      <c r="Y79" s="642"/>
      <c r="Z79" s="562">
        <v>17</v>
      </c>
      <c r="AA79" s="566">
        <v>1345.1428571428567</v>
      </c>
      <c r="AB79" s="566">
        <v>79.126050420168042</v>
      </c>
      <c r="AC79" s="562">
        <f t="shared" si="27"/>
        <v>10</v>
      </c>
      <c r="AD79" s="642"/>
      <c r="AE79" s="562">
        <v>17</v>
      </c>
      <c r="AF79" s="566">
        <v>1353.3749999999995</v>
      </c>
      <c r="AG79" s="566">
        <v>79.61029411764703</v>
      </c>
      <c r="AH79" s="562">
        <f t="shared" si="28"/>
        <v>11</v>
      </c>
      <c r="AI79" s="642"/>
      <c r="AJ79" s="562">
        <v>17</v>
      </c>
      <c r="AK79" s="566">
        <v>1362.512195121951</v>
      </c>
      <c r="AL79" s="566">
        <v>80.147776183644169</v>
      </c>
      <c r="AM79" s="562">
        <f t="shared" si="29"/>
        <v>12</v>
      </c>
      <c r="AN79" s="642"/>
      <c r="AO79" s="562">
        <v>17</v>
      </c>
      <c r="AP79" s="566">
        <v>1346.5000000000005</v>
      </c>
      <c r="AQ79" s="566">
        <v>79.205882352941202</v>
      </c>
      <c r="AR79" s="562">
        <f t="shared" si="30"/>
        <v>10</v>
      </c>
      <c r="AS79" s="642"/>
      <c r="AT79" s="562">
        <v>17</v>
      </c>
      <c r="AU79" s="566">
        <v>1340.4444444444453</v>
      </c>
      <c r="AV79" s="566">
        <v>78.849673202614426</v>
      </c>
      <c r="AW79" s="562">
        <f t="shared" si="31"/>
        <v>10</v>
      </c>
      <c r="AX79" s="642"/>
      <c r="AZ79" s="368" t="e">
        <f t="shared" si="32"/>
        <v>#N/A</v>
      </c>
      <c r="BA79" s="642"/>
    </row>
    <row r="80" spans="2:53">
      <c r="B80" s="647"/>
      <c r="C80" s="283">
        <v>4</v>
      </c>
      <c r="D80" s="201" t="s">
        <v>549</v>
      </c>
      <c r="E80" s="538">
        <v>18</v>
      </c>
      <c r="F80" s="201">
        <v>1500</v>
      </c>
      <c r="G80" s="199">
        <v>83.333333333333329</v>
      </c>
      <c r="H80" s="701"/>
      <c r="I80" s="363">
        <f t="shared" si="22"/>
        <v>18</v>
      </c>
      <c r="J80" s="363">
        <f t="shared" si="23"/>
        <v>1266.8212465527054</v>
      </c>
      <c r="K80" s="199">
        <f t="shared" si="24"/>
        <v>70.37895814181698</v>
      </c>
      <c r="L80" s="657"/>
      <c r="M80" s="200">
        <f>RANK(K80, K$77:$K$106)</f>
        <v>16</v>
      </c>
      <c r="N80" s="641"/>
      <c r="O80" s="641"/>
      <c r="P80" s="562">
        <v>18</v>
      </c>
      <c r="Q80" s="566">
        <v>1270.9565217391305</v>
      </c>
      <c r="R80" s="566">
        <v>70.608695652173921</v>
      </c>
      <c r="S80" s="562">
        <f t="shared" si="25"/>
        <v>17</v>
      </c>
      <c r="T80" s="642"/>
      <c r="U80" s="562">
        <v>18</v>
      </c>
      <c r="V80" s="566">
        <v>1261.909090909091</v>
      </c>
      <c r="W80" s="566">
        <v>70.106060606060609</v>
      </c>
      <c r="X80" s="562">
        <f t="shared" si="26"/>
        <v>17</v>
      </c>
      <c r="Y80" s="642"/>
      <c r="Z80" s="562">
        <v>18</v>
      </c>
      <c r="AA80" s="566">
        <v>1254.830769230769</v>
      </c>
      <c r="AB80" s="566">
        <v>69.7128205128205</v>
      </c>
      <c r="AC80" s="562">
        <f t="shared" si="27"/>
        <v>17</v>
      </c>
      <c r="AD80" s="642"/>
      <c r="AE80" s="562">
        <v>18</v>
      </c>
      <c r="AF80" s="566">
        <v>1286.8421052631572</v>
      </c>
      <c r="AG80" s="566">
        <v>71.491228070175396</v>
      </c>
      <c r="AH80" s="562">
        <f t="shared" si="28"/>
        <v>16</v>
      </c>
      <c r="AI80" s="642"/>
      <c r="AJ80" s="562">
        <v>18</v>
      </c>
      <c r="AK80" s="566">
        <v>1271.6379310344819</v>
      </c>
      <c r="AL80" s="566">
        <v>70.646551724137879</v>
      </c>
      <c r="AM80" s="562">
        <f t="shared" si="29"/>
        <v>17</v>
      </c>
      <c r="AN80" s="642"/>
      <c r="AO80" s="562">
        <v>18</v>
      </c>
      <c r="AP80" s="566">
        <v>1244.8800000000006</v>
      </c>
      <c r="AQ80" s="566">
        <v>69.160000000000025</v>
      </c>
      <c r="AR80" s="562">
        <f t="shared" si="30"/>
        <v>17</v>
      </c>
      <c r="AS80" s="642"/>
      <c r="AT80" s="562">
        <v>18</v>
      </c>
      <c r="AU80" s="566">
        <v>1276.6923076923083</v>
      </c>
      <c r="AV80" s="566">
        <v>70.927350427350461</v>
      </c>
      <c r="AW80" s="562">
        <f t="shared" si="31"/>
        <v>16</v>
      </c>
      <c r="AX80" s="642"/>
      <c r="AZ80" s="368" t="e">
        <f t="shared" si="32"/>
        <v>#N/A</v>
      </c>
      <c r="BA80" s="642"/>
    </row>
    <row r="81" spans="2:53">
      <c r="B81" s="647"/>
      <c r="C81" s="283">
        <v>5</v>
      </c>
      <c r="D81" s="201" t="s">
        <v>344</v>
      </c>
      <c r="E81" s="538">
        <v>16</v>
      </c>
      <c r="F81" s="201">
        <v>1565</v>
      </c>
      <c r="G81" s="199">
        <v>97.8125</v>
      </c>
      <c r="H81" s="701"/>
      <c r="I81" s="363">
        <f t="shared" si="22"/>
        <v>16</v>
      </c>
      <c r="J81" s="363">
        <f t="shared" si="23"/>
        <v>1351.7314410323613</v>
      </c>
      <c r="K81" s="199">
        <f t="shared" si="24"/>
        <v>84.483215064522582</v>
      </c>
      <c r="L81" s="657"/>
      <c r="M81" s="200">
        <f>RANK(K81, K$77:$K$106)</f>
        <v>8</v>
      </c>
      <c r="N81" s="641"/>
      <c r="O81" s="641"/>
      <c r="P81" s="562">
        <v>16</v>
      </c>
      <c r="Q81" s="566">
        <v>1370.399999999999</v>
      </c>
      <c r="R81" s="566">
        <v>85.649999999999935</v>
      </c>
      <c r="S81" s="562">
        <f t="shared" si="25"/>
        <v>6</v>
      </c>
      <c r="T81" s="642"/>
      <c r="U81" s="562">
        <v>16</v>
      </c>
      <c r="V81" s="566">
        <v>1372.2857142857129</v>
      </c>
      <c r="W81" s="566">
        <v>85.767857142857054</v>
      </c>
      <c r="X81" s="562">
        <f t="shared" si="26"/>
        <v>6</v>
      </c>
      <c r="Y81" s="642"/>
      <c r="Z81" s="562">
        <v>16</v>
      </c>
      <c r="AA81" s="566">
        <v>1330.2857142857129</v>
      </c>
      <c r="AB81" s="566">
        <v>83.142857142857054</v>
      </c>
      <c r="AC81" s="562">
        <f t="shared" si="27"/>
        <v>7</v>
      </c>
      <c r="AD81" s="642"/>
      <c r="AE81" s="562">
        <v>16</v>
      </c>
      <c r="AF81" s="566">
        <v>1331.8181818181831</v>
      </c>
      <c r="AG81" s="566">
        <v>83.238636363636445</v>
      </c>
      <c r="AH81" s="562">
        <f t="shared" si="28"/>
        <v>8</v>
      </c>
      <c r="AI81" s="642"/>
      <c r="AJ81" s="562">
        <v>16</v>
      </c>
      <c r="AK81" s="566">
        <v>1349.577464788731</v>
      </c>
      <c r="AL81" s="566">
        <v>84.348591549295691</v>
      </c>
      <c r="AM81" s="562">
        <f t="shared" si="29"/>
        <v>8</v>
      </c>
      <c r="AN81" s="642"/>
      <c r="AO81" s="562">
        <v>16</v>
      </c>
      <c r="AP81" s="566">
        <v>1354.4999999999995</v>
      </c>
      <c r="AQ81" s="566">
        <v>84.656249999999972</v>
      </c>
      <c r="AR81" s="562">
        <f t="shared" si="30"/>
        <v>6</v>
      </c>
      <c r="AS81" s="642"/>
      <c r="AT81" s="562">
        <v>16</v>
      </c>
      <c r="AU81" s="566">
        <v>1353.2530120481924</v>
      </c>
      <c r="AV81" s="566">
        <v>84.578313253012027</v>
      </c>
      <c r="AW81" s="562">
        <f t="shared" si="31"/>
        <v>8</v>
      </c>
      <c r="AX81" s="642"/>
      <c r="AZ81" s="368" t="e">
        <f t="shared" si="32"/>
        <v>#N/A</v>
      </c>
      <c r="BA81" s="642"/>
    </row>
    <row r="82" spans="2:53">
      <c r="B82" s="647"/>
      <c r="C82" s="283">
        <v>6</v>
      </c>
      <c r="D82" s="201" t="s">
        <v>627</v>
      </c>
      <c r="E82" s="538">
        <v>20</v>
      </c>
      <c r="F82" s="201">
        <v>1440</v>
      </c>
      <c r="G82" s="199">
        <v>72</v>
      </c>
      <c r="H82" s="701"/>
      <c r="I82" s="363">
        <f t="shared" si="22"/>
        <v>20.142857142857142</v>
      </c>
      <c r="J82" s="363">
        <f t="shared" si="23"/>
        <v>1267.6043372347788</v>
      </c>
      <c r="K82" s="199">
        <f t="shared" si="24"/>
        <v>62.950495677490593</v>
      </c>
      <c r="L82" s="657"/>
      <c r="M82" s="200">
        <f>RANK(K82, K$77:$K$106)</f>
        <v>23</v>
      </c>
      <c r="N82" s="641"/>
      <c r="O82" s="641"/>
      <c r="P82" s="562">
        <v>20</v>
      </c>
      <c r="Q82" s="566">
        <v>1260.0000000000014</v>
      </c>
      <c r="R82" s="566">
        <v>63.000000000000071</v>
      </c>
      <c r="S82" s="562">
        <f t="shared" si="25"/>
        <v>23</v>
      </c>
      <c r="T82" s="642"/>
      <c r="U82" s="562">
        <v>20</v>
      </c>
      <c r="V82" s="566">
        <v>1262.9032258064528</v>
      </c>
      <c r="W82" s="566">
        <v>63.14516129032264</v>
      </c>
      <c r="X82" s="562">
        <f t="shared" si="26"/>
        <v>22</v>
      </c>
      <c r="Y82" s="642"/>
      <c r="Z82" s="562">
        <v>20</v>
      </c>
      <c r="AA82" s="566">
        <v>1272.0000000000009</v>
      </c>
      <c r="AB82" s="566">
        <v>63.600000000000044</v>
      </c>
      <c r="AC82" s="562">
        <f t="shared" si="27"/>
        <v>22</v>
      </c>
      <c r="AD82" s="642"/>
      <c r="AE82" s="562">
        <v>20</v>
      </c>
      <c r="AF82" s="566">
        <v>1276.8000000000002</v>
      </c>
      <c r="AG82" s="566">
        <v>63.840000000000011</v>
      </c>
      <c r="AH82" s="562">
        <f t="shared" si="28"/>
        <v>22</v>
      </c>
      <c r="AI82" s="642"/>
      <c r="AJ82" s="562">
        <v>20</v>
      </c>
      <c r="AK82" s="566">
        <v>1272.6923076923085</v>
      </c>
      <c r="AL82" s="566">
        <v>63.634615384615429</v>
      </c>
      <c r="AM82" s="562">
        <f t="shared" si="29"/>
        <v>22</v>
      </c>
      <c r="AN82" s="642"/>
      <c r="AO82" s="562">
        <v>20</v>
      </c>
      <c r="AP82" s="566">
        <v>1265.4545454545469</v>
      </c>
      <c r="AQ82" s="566">
        <v>63.272727272727344</v>
      </c>
      <c r="AR82" s="562">
        <f t="shared" si="30"/>
        <v>22</v>
      </c>
      <c r="AS82" s="642"/>
      <c r="AT82" s="562">
        <v>21</v>
      </c>
      <c r="AU82" s="566">
        <v>1263.3802816901398</v>
      </c>
      <c r="AV82" s="566">
        <v>60.160965794768558</v>
      </c>
      <c r="AW82" s="562">
        <f t="shared" si="31"/>
        <v>22</v>
      </c>
      <c r="AX82" s="642"/>
      <c r="AZ82" s="368" t="e">
        <f t="shared" si="32"/>
        <v>#N/A</v>
      </c>
      <c r="BA82" s="642"/>
    </row>
    <row r="83" spans="2:53">
      <c r="B83" s="647"/>
      <c r="C83" s="283">
        <v>7</v>
      </c>
      <c r="D83" s="201" t="s">
        <v>601</v>
      </c>
      <c r="E83" s="538">
        <v>16</v>
      </c>
      <c r="F83" s="201">
        <v>1500</v>
      </c>
      <c r="G83" s="199">
        <v>93.75</v>
      </c>
      <c r="H83" s="701"/>
      <c r="I83" s="363">
        <f t="shared" si="22"/>
        <v>16</v>
      </c>
      <c r="J83" s="363">
        <f t="shared" si="23"/>
        <v>1359.2282924854387</v>
      </c>
      <c r="K83" s="199">
        <f t="shared" si="24"/>
        <v>84.95176828033992</v>
      </c>
      <c r="L83" s="657"/>
      <c r="M83" s="200">
        <f>RANK(K83, K$77:$K$106)</f>
        <v>7</v>
      </c>
      <c r="N83" s="641"/>
      <c r="O83" s="641"/>
      <c r="P83" s="562">
        <v>16</v>
      </c>
      <c r="Q83" s="566">
        <v>1361.6949152542386</v>
      </c>
      <c r="R83" s="566">
        <v>85.105932203389912</v>
      </c>
      <c r="S83" s="562">
        <f t="shared" si="25"/>
        <v>7</v>
      </c>
      <c r="T83" s="642"/>
      <c r="U83" s="562">
        <v>16</v>
      </c>
      <c r="V83" s="566">
        <v>1344.6428571428582</v>
      </c>
      <c r="W83" s="566">
        <v>84.04017857142864</v>
      </c>
      <c r="X83" s="562">
        <f t="shared" si="26"/>
        <v>7</v>
      </c>
      <c r="Y83" s="642"/>
      <c r="Z83" s="562">
        <v>16</v>
      </c>
      <c r="AA83" s="566">
        <v>1372.0754716981139</v>
      </c>
      <c r="AB83" s="566">
        <v>85.75471698113212</v>
      </c>
      <c r="AC83" s="562">
        <f t="shared" si="27"/>
        <v>6</v>
      </c>
      <c r="AD83" s="642"/>
      <c r="AE83" s="562">
        <v>16</v>
      </c>
      <c r="AF83" s="566">
        <v>1368.5106382978724</v>
      </c>
      <c r="AG83" s="566">
        <v>85.531914893617028</v>
      </c>
      <c r="AH83" s="562">
        <f t="shared" si="28"/>
        <v>7</v>
      </c>
      <c r="AI83" s="642"/>
      <c r="AJ83" s="562">
        <v>16</v>
      </c>
      <c r="AK83" s="566">
        <v>1358.8235294117653</v>
      </c>
      <c r="AL83" s="566">
        <v>84.926470588235333</v>
      </c>
      <c r="AM83" s="562">
        <f t="shared" si="29"/>
        <v>7</v>
      </c>
      <c r="AN83" s="642"/>
      <c r="AO83" s="562">
        <v>16</v>
      </c>
      <c r="AP83" s="566">
        <v>1337.2881355932213</v>
      </c>
      <c r="AQ83" s="566">
        <v>83.580508474576334</v>
      </c>
      <c r="AR83" s="562">
        <f t="shared" si="30"/>
        <v>7</v>
      </c>
      <c r="AS83" s="642"/>
      <c r="AT83" s="562">
        <v>16</v>
      </c>
      <c r="AU83" s="566">
        <v>1371.5625000000016</v>
      </c>
      <c r="AV83" s="566">
        <v>85.722656250000099</v>
      </c>
      <c r="AW83" s="562">
        <f t="shared" si="31"/>
        <v>7</v>
      </c>
      <c r="AX83" s="642"/>
      <c r="AZ83" s="368" t="e">
        <f t="shared" si="32"/>
        <v>#N/A</v>
      </c>
      <c r="BA83" s="642"/>
    </row>
    <row r="84" spans="2:53">
      <c r="B84" s="647"/>
      <c r="C84" s="283">
        <v>8</v>
      </c>
      <c r="D84" s="201" t="s">
        <v>574</v>
      </c>
      <c r="E84" s="538">
        <v>18</v>
      </c>
      <c r="F84" s="201">
        <v>1636</v>
      </c>
      <c r="G84" s="199">
        <v>90.888888888888886</v>
      </c>
      <c r="H84" s="701"/>
      <c r="I84" s="363">
        <f t="shared" si="22"/>
        <v>18</v>
      </c>
      <c r="J84" s="363">
        <f t="shared" si="23"/>
        <v>1418.647100876738</v>
      </c>
      <c r="K84" s="199">
        <f t="shared" si="24"/>
        <v>78.813727826485461</v>
      </c>
      <c r="L84" s="657"/>
      <c r="M84" s="200">
        <f>RANK(K84, K$77:$K$106)</f>
        <v>13</v>
      </c>
      <c r="N84" s="641"/>
      <c r="O84" s="641"/>
      <c r="P84" s="562">
        <v>18</v>
      </c>
      <c r="Q84" s="566">
        <v>1406.5573770491817</v>
      </c>
      <c r="R84" s="566">
        <v>78.142076502732323</v>
      </c>
      <c r="S84" s="562">
        <f t="shared" si="25"/>
        <v>12</v>
      </c>
      <c r="T84" s="642"/>
      <c r="U84" s="562">
        <v>18</v>
      </c>
      <c r="V84" s="566">
        <v>1408.4210526315799</v>
      </c>
      <c r="W84" s="566">
        <v>78.245614035087769</v>
      </c>
      <c r="X84" s="562">
        <f t="shared" si="26"/>
        <v>12</v>
      </c>
      <c r="Y84" s="642"/>
      <c r="Z84" s="562">
        <v>18</v>
      </c>
      <c r="AA84" s="566">
        <v>1433.617021276596</v>
      </c>
      <c r="AB84" s="566">
        <v>79.645390070922005</v>
      </c>
      <c r="AC84" s="562">
        <f t="shared" si="27"/>
        <v>9</v>
      </c>
      <c r="AD84" s="642"/>
      <c r="AE84" s="562">
        <v>18</v>
      </c>
      <c r="AF84" s="566">
        <v>1397.64705882353</v>
      </c>
      <c r="AG84" s="566">
        <v>77.647058823529449</v>
      </c>
      <c r="AH84" s="562">
        <f t="shared" si="28"/>
        <v>13</v>
      </c>
      <c r="AI84" s="642"/>
      <c r="AJ84" s="562">
        <v>18</v>
      </c>
      <c r="AK84" s="566">
        <v>1445.2631578947378</v>
      </c>
      <c r="AL84" s="566">
        <v>80.292397660818764</v>
      </c>
      <c r="AM84" s="562">
        <f t="shared" si="29"/>
        <v>11</v>
      </c>
      <c r="AN84" s="642"/>
      <c r="AO84" s="562">
        <v>18</v>
      </c>
      <c r="AP84" s="566">
        <v>1422.4615384615399</v>
      </c>
      <c r="AQ84" s="566">
        <v>79.025641025641107</v>
      </c>
      <c r="AR84" s="562">
        <f t="shared" si="30"/>
        <v>11</v>
      </c>
      <c r="AS84" s="642"/>
      <c r="AT84" s="562">
        <v>18</v>
      </c>
      <c r="AU84" s="566">
        <v>1416.5625000000016</v>
      </c>
      <c r="AV84" s="566">
        <v>78.697916666666757</v>
      </c>
      <c r="AW84" s="562">
        <f t="shared" si="31"/>
        <v>11</v>
      </c>
      <c r="AX84" s="642"/>
      <c r="AZ84" s="368" t="e">
        <f t="shared" si="32"/>
        <v>#N/A</v>
      </c>
      <c r="BA84" s="642"/>
    </row>
    <row r="85" spans="2:53">
      <c r="B85" s="647"/>
      <c r="C85" s="283">
        <v>9</v>
      </c>
      <c r="D85" s="201" t="s">
        <v>575</v>
      </c>
      <c r="E85" s="538">
        <v>18</v>
      </c>
      <c r="F85" s="201">
        <v>1636</v>
      </c>
      <c r="G85" s="199">
        <v>90.888888888888886</v>
      </c>
      <c r="H85" s="701"/>
      <c r="I85" s="363">
        <f t="shared" si="22"/>
        <v>18</v>
      </c>
      <c r="J85" s="363">
        <f t="shared" si="23"/>
        <v>1419.5761034449702</v>
      </c>
      <c r="K85" s="199">
        <f t="shared" si="24"/>
        <v>78.865339080276129</v>
      </c>
      <c r="L85" s="657"/>
      <c r="M85" s="200">
        <f>RANK(K85, K$77:$K$106)</f>
        <v>12</v>
      </c>
      <c r="N85" s="641"/>
      <c r="O85" s="641"/>
      <c r="P85" s="562">
        <v>18</v>
      </c>
      <c r="Q85" s="566">
        <v>1432.6530612244901</v>
      </c>
      <c r="R85" s="566">
        <v>79.591836734693899</v>
      </c>
      <c r="S85" s="562">
        <f t="shared" si="25"/>
        <v>10</v>
      </c>
      <c r="T85" s="642"/>
      <c r="U85" s="562">
        <v>18</v>
      </c>
      <c r="V85" s="566">
        <v>1429.090909090909</v>
      </c>
      <c r="W85" s="566">
        <v>79.393939393939391</v>
      </c>
      <c r="X85" s="562">
        <f t="shared" si="26"/>
        <v>11</v>
      </c>
      <c r="Y85" s="642"/>
      <c r="Z85" s="562">
        <v>18</v>
      </c>
      <c r="AA85" s="566">
        <v>1396.9230769230762</v>
      </c>
      <c r="AB85" s="566">
        <v>77.606837606837573</v>
      </c>
      <c r="AC85" s="562">
        <f t="shared" si="27"/>
        <v>13</v>
      </c>
      <c r="AD85" s="642"/>
      <c r="AE85" s="562">
        <v>18</v>
      </c>
      <c r="AF85" s="566">
        <v>1445.7142857142853</v>
      </c>
      <c r="AG85" s="566">
        <v>80.317460317460302</v>
      </c>
      <c r="AH85" s="562">
        <f t="shared" si="28"/>
        <v>10</v>
      </c>
      <c r="AI85" s="642"/>
      <c r="AJ85" s="562">
        <v>18</v>
      </c>
      <c r="AK85" s="566">
        <v>1419.5744680851067</v>
      </c>
      <c r="AL85" s="566">
        <v>78.865248226950371</v>
      </c>
      <c r="AM85" s="562">
        <f t="shared" si="29"/>
        <v>13</v>
      </c>
      <c r="AN85" s="642"/>
      <c r="AO85" s="562">
        <v>18</v>
      </c>
      <c r="AP85" s="566">
        <v>1410.0000000000007</v>
      </c>
      <c r="AQ85" s="566">
        <v>78.333333333333371</v>
      </c>
      <c r="AR85" s="562">
        <f t="shared" si="30"/>
        <v>13</v>
      </c>
      <c r="AS85" s="642"/>
      <c r="AT85" s="562">
        <v>18</v>
      </c>
      <c r="AU85" s="566">
        <v>1403.0769230769238</v>
      </c>
      <c r="AV85" s="566">
        <v>77.948717948717984</v>
      </c>
      <c r="AW85" s="562">
        <f t="shared" si="31"/>
        <v>13</v>
      </c>
      <c r="AX85" s="642"/>
      <c r="AZ85" s="368" t="e">
        <f t="shared" si="32"/>
        <v>#N/A</v>
      </c>
      <c r="BA85" s="642"/>
    </row>
    <row r="86" spans="2:53">
      <c r="B86" s="647"/>
      <c r="C86" s="283">
        <v>10</v>
      </c>
      <c r="D86" s="201" t="s">
        <v>332</v>
      </c>
      <c r="E86" s="538">
        <v>17</v>
      </c>
      <c r="F86" s="201">
        <v>1500</v>
      </c>
      <c r="G86" s="199">
        <v>88.235294117647058</v>
      </c>
      <c r="H86" s="701"/>
      <c r="I86" s="363">
        <f t="shared" si="22"/>
        <v>17</v>
      </c>
      <c r="J86" s="363">
        <f t="shared" si="23"/>
        <v>1352.2668231978648</v>
      </c>
      <c r="K86" s="199">
        <f t="shared" si="24"/>
        <v>79.545107246933227</v>
      </c>
      <c r="L86" s="657"/>
      <c r="M86" s="200">
        <f>RANK(K86, K$77:$K$106)</f>
        <v>10</v>
      </c>
      <c r="N86" s="641"/>
      <c r="O86" s="641"/>
      <c r="P86" s="562">
        <v>17</v>
      </c>
      <c r="Q86" s="566">
        <v>1328.1818181818182</v>
      </c>
      <c r="R86" s="566">
        <v>78.128342245989302</v>
      </c>
      <c r="S86" s="562">
        <f t="shared" si="25"/>
        <v>13</v>
      </c>
      <c r="T86" s="642"/>
      <c r="U86" s="562">
        <v>17</v>
      </c>
      <c r="V86" s="566">
        <v>1391.7073170731703</v>
      </c>
      <c r="W86" s="566">
        <v>81.865136298421788</v>
      </c>
      <c r="X86" s="562">
        <f t="shared" si="26"/>
        <v>8</v>
      </c>
      <c r="Y86" s="642"/>
      <c r="Z86" s="562">
        <v>17</v>
      </c>
      <c r="AA86" s="566">
        <v>1319.9999999999989</v>
      </c>
      <c r="AB86" s="566">
        <v>77.647058823529349</v>
      </c>
      <c r="AC86" s="562">
        <f t="shared" si="27"/>
        <v>12</v>
      </c>
      <c r="AD86" s="642"/>
      <c r="AE86" s="562">
        <v>17</v>
      </c>
      <c r="AF86" s="566">
        <v>1366.1538461538453</v>
      </c>
      <c r="AG86" s="566">
        <v>80.361990950226186</v>
      </c>
      <c r="AH86" s="562">
        <f t="shared" si="28"/>
        <v>9</v>
      </c>
      <c r="AI86" s="642"/>
      <c r="AJ86" s="562">
        <v>17</v>
      </c>
      <c r="AK86" s="566">
        <v>1380</v>
      </c>
      <c r="AL86" s="566">
        <v>81.17647058823529</v>
      </c>
      <c r="AM86" s="562">
        <f t="shared" si="29"/>
        <v>10</v>
      </c>
      <c r="AN86" s="642"/>
      <c r="AO86" s="562">
        <v>17</v>
      </c>
      <c r="AP86" s="566">
        <v>1347.0588235294124</v>
      </c>
      <c r="AQ86" s="566">
        <v>79.238754325259549</v>
      </c>
      <c r="AR86" s="562">
        <f t="shared" si="30"/>
        <v>9</v>
      </c>
      <c r="AS86" s="642"/>
      <c r="AT86" s="562">
        <v>17</v>
      </c>
      <c r="AU86" s="566">
        <v>1332.7659574468087</v>
      </c>
      <c r="AV86" s="566">
        <v>78.397997496871099</v>
      </c>
      <c r="AW86" s="562">
        <f t="shared" si="31"/>
        <v>12</v>
      </c>
      <c r="AX86" s="642"/>
      <c r="AZ86" s="368" t="e">
        <f t="shared" si="32"/>
        <v>#N/A</v>
      </c>
      <c r="BA86" s="642"/>
    </row>
    <row r="87" spans="2:53">
      <c r="B87" s="647"/>
      <c r="C87" s="283">
        <v>11</v>
      </c>
      <c r="D87" s="201" t="s">
        <v>512</v>
      </c>
      <c r="E87" s="538">
        <v>20</v>
      </c>
      <c r="F87" s="201">
        <v>1440</v>
      </c>
      <c r="G87" s="199">
        <v>72</v>
      </c>
      <c r="H87" s="701"/>
      <c r="I87" s="363">
        <f t="shared" si="22"/>
        <v>19.571428571428573</v>
      </c>
      <c r="J87" s="363">
        <f t="shared" si="23"/>
        <v>1306.8371028023575</v>
      </c>
      <c r="K87" s="199">
        <f t="shared" si="24"/>
        <v>66.815168169526856</v>
      </c>
      <c r="L87" s="657"/>
      <c r="M87" s="200">
        <f>RANK(K87, K$77:$K$106)</f>
        <v>22</v>
      </c>
      <c r="N87" s="641"/>
      <c r="O87" s="641"/>
      <c r="P87" s="562">
        <v>20</v>
      </c>
      <c r="Q87" s="566">
        <v>1312.7027027027016</v>
      </c>
      <c r="R87" s="566">
        <v>65.635135135135073</v>
      </c>
      <c r="S87" s="562">
        <f t="shared" si="25"/>
        <v>22</v>
      </c>
      <c r="T87" s="642"/>
      <c r="U87" s="562">
        <v>20</v>
      </c>
      <c r="V87" s="566">
        <v>1288.6956521739116</v>
      </c>
      <c r="W87" s="566">
        <v>64.434782608695585</v>
      </c>
      <c r="X87" s="562">
        <f t="shared" si="26"/>
        <v>21</v>
      </c>
      <c r="Y87" s="642"/>
      <c r="Z87" s="562">
        <v>20</v>
      </c>
      <c r="AA87" s="566">
        <v>1302.7118644067807</v>
      </c>
      <c r="AB87" s="566">
        <v>65.135593220339032</v>
      </c>
      <c r="AC87" s="562">
        <f t="shared" si="27"/>
        <v>21</v>
      </c>
      <c r="AD87" s="642"/>
      <c r="AE87" s="562">
        <v>19</v>
      </c>
      <c r="AF87" s="566">
        <v>1334.0000000000014</v>
      </c>
      <c r="AG87" s="566">
        <v>70.210526315789551</v>
      </c>
      <c r="AH87" s="562">
        <f t="shared" si="28"/>
        <v>17</v>
      </c>
      <c r="AI87" s="642"/>
      <c r="AJ87" s="562">
        <v>19</v>
      </c>
      <c r="AK87" s="566">
        <v>1283.9999999999991</v>
      </c>
      <c r="AL87" s="566">
        <v>67.578947368420998</v>
      </c>
      <c r="AM87" s="562">
        <f t="shared" si="29"/>
        <v>20</v>
      </c>
      <c r="AN87" s="642"/>
      <c r="AO87" s="562">
        <v>19</v>
      </c>
      <c r="AP87" s="566">
        <v>1301.0126582278474</v>
      </c>
      <c r="AQ87" s="566">
        <v>68.474350433044606</v>
      </c>
      <c r="AR87" s="562">
        <f t="shared" si="30"/>
        <v>19</v>
      </c>
      <c r="AS87" s="642"/>
      <c r="AT87" s="562">
        <v>20</v>
      </c>
      <c r="AU87" s="566">
        <v>1324.7368421052622</v>
      </c>
      <c r="AV87" s="566">
        <v>66.236842105263108</v>
      </c>
      <c r="AW87" s="562">
        <f t="shared" si="31"/>
        <v>21</v>
      </c>
      <c r="AX87" s="642"/>
      <c r="AZ87" s="368" t="e">
        <f t="shared" si="32"/>
        <v>#N/A</v>
      </c>
      <c r="BA87" s="642"/>
    </row>
    <row r="88" spans="2:53">
      <c r="B88" s="647"/>
      <c r="C88" s="283">
        <v>12</v>
      </c>
      <c r="D88" s="201" t="s">
        <v>345</v>
      </c>
      <c r="E88" s="538">
        <v>14</v>
      </c>
      <c r="F88" s="201">
        <v>1440</v>
      </c>
      <c r="G88" s="199">
        <v>102.85714285714286</v>
      </c>
      <c r="H88" s="701"/>
      <c r="I88" s="363">
        <f t="shared" si="22"/>
        <v>15</v>
      </c>
      <c r="J88" s="363">
        <f t="shared" si="23"/>
        <v>1297.5757849938013</v>
      </c>
      <c r="K88" s="199">
        <f t="shared" si="24"/>
        <v>86.505052332920087</v>
      </c>
      <c r="L88" s="657"/>
      <c r="M88" s="200">
        <f>RANK(K88, K$77:$K$106)</f>
        <v>6</v>
      </c>
      <c r="N88" s="641"/>
      <c r="O88" s="641"/>
      <c r="P88" s="562">
        <v>15</v>
      </c>
      <c r="Q88" s="566">
        <v>1324.2857142857151</v>
      </c>
      <c r="R88" s="566">
        <v>88.285714285714349</v>
      </c>
      <c r="S88" s="562">
        <f t="shared" si="25"/>
        <v>4</v>
      </c>
      <c r="T88" s="642"/>
      <c r="U88" s="562">
        <v>15</v>
      </c>
      <c r="V88" s="566">
        <v>1286.6666666666674</v>
      </c>
      <c r="W88" s="566">
        <v>85.777777777777828</v>
      </c>
      <c r="X88" s="562">
        <f t="shared" si="26"/>
        <v>5</v>
      </c>
      <c r="Y88" s="642"/>
      <c r="Z88" s="562">
        <v>15</v>
      </c>
      <c r="AA88" s="566">
        <v>1291.836734693878</v>
      </c>
      <c r="AB88" s="566">
        <v>86.122448979591866</v>
      </c>
      <c r="AC88" s="562">
        <f t="shared" si="27"/>
        <v>5</v>
      </c>
      <c r="AD88" s="642"/>
      <c r="AE88" s="562">
        <v>15</v>
      </c>
      <c r="AF88" s="566">
        <v>1290.0000000000007</v>
      </c>
      <c r="AG88" s="566">
        <v>86.000000000000043</v>
      </c>
      <c r="AH88" s="562">
        <f t="shared" si="28"/>
        <v>6</v>
      </c>
      <c r="AI88" s="642"/>
      <c r="AJ88" s="562">
        <v>15</v>
      </c>
      <c r="AK88" s="566">
        <v>1308.0000000000009</v>
      </c>
      <c r="AL88" s="566">
        <v>87.20000000000006</v>
      </c>
      <c r="AM88" s="562">
        <f t="shared" si="29"/>
        <v>5</v>
      </c>
      <c r="AN88" s="642"/>
      <c r="AO88" s="562">
        <v>15</v>
      </c>
      <c r="AP88" s="566">
        <v>1285.0000000000011</v>
      </c>
      <c r="AQ88" s="566">
        <v>85.666666666666742</v>
      </c>
      <c r="AR88" s="562">
        <f t="shared" si="30"/>
        <v>5</v>
      </c>
      <c r="AS88" s="642"/>
      <c r="AT88" s="562">
        <v>15</v>
      </c>
      <c r="AU88" s="566">
        <v>1297.2413793103458</v>
      </c>
      <c r="AV88" s="566">
        <v>86.482758620689722</v>
      </c>
      <c r="AW88" s="562">
        <f t="shared" si="31"/>
        <v>6</v>
      </c>
      <c r="AX88" s="642"/>
      <c r="AZ88" s="368" t="e">
        <f t="shared" si="32"/>
        <v>#N/A</v>
      </c>
      <c r="BA88" s="642"/>
    </row>
    <row r="89" spans="2:53">
      <c r="B89" s="647"/>
      <c r="C89" s="283">
        <v>13</v>
      </c>
      <c r="D89" s="201" t="s">
        <v>327</v>
      </c>
      <c r="E89" s="538">
        <v>19</v>
      </c>
      <c r="F89" s="201">
        <v>1440</v>
      </c>
      <c r="G89" s="199">
        <v>75.78947368421052</v>
      </c>
      <c r="H89" s="701"/>
      <c r="I89" s="363">
        <f t="shared" si="22"/>
        <v>19</v>
      </c>
      <c r="J89" s="363">
        <f t="shared" si="23"/>
        <v>1307.5540340236348</v>
      </c>
      <c r="K89" s="199">
        <f t="shared" si="24"/>
        <v>68.818633369664994</v>
      </c>
      <c r="L89" s="657"/>
      <c r="M89" s="200">
        <f>RANK(K89, K$77:$K$106)</f>
        <v>19</v>
      </c>
      <c r="N89" s="641"/>
      <c r="O89" s="641"/>
      <c r="P89" s="562">
        <v>19</v>
      </c>
      <c r="Q89" s="566">
        <v>1299.3103448275861</v>
      </c>
      <c r="R89" s="566">
        <v>68.384754990925586</v>
      </c>
      <c r="S89" s="562">
        <f t="shared" si="25"/>
        <v>18</v>
      </c>
      <c r="T89" s="642"/>
      <c r="U89" s="562">
        <v>19</v>
      </c>
      <c r="V89" s="566">
        <v>1279.9999999999995</v>
      </c>
      <c r="W89" s="566">
        <v>67.368421052631561</v>
      </c>
      <c r="X89" s="562">
        <f t="shared" si="26"/>
        <v>20</v>
      </c>
      <c r="Y89" s="642"/>
      <c r="Z89" s="562">
        <v>19</v>
      </c>
      <c r="AA89" s="566">
        <v>1307.4626865671626</v>
      </c>
      <c r="AB89" s="566">
        <v>68.813825608798027</v>
      </c>
      <c r="AC89" s="562">
        <f t="shared" si="27"/>
        <v>19</v>
      </c>
      <c r="AD89" s="642"/>
      <c r="AE89" s="562">
        <v>19</v>
      </c>
      <c r="AF89" s="566">
        <v>1313.239436619717</v>
      </c>
      <c r="AG89" s="566">
        <v>69.117865085248269</v>
      </c>
      <c r="AH89" s="562">
        <f t="shared" si="28"/>
        <v>20</v>
      </c>
      <c r="AI89" s="642"/>
      <c r="AJ89" s="562">
        <v>19</v>
      </c>
      <c r="AK89" s="566">
        <v>1320.705882352941</v>
      </c>
      <c r="AL89" s="566">
        <v>69.51083591331269</v>
      </c>
      <c r="AM89" s="562">
        <f t="shared" si="29"/>
        <v>18</v>
      </c>
      <c r="AN89" s="642"/>
      <c r="AO89" s="562">
        <v>19</v>
      </c>
      <c r="AP89" s="566">
        <v>1310.8695652173915</v>
      </c>
      <c r="AQ89" s="566">
        <v>68.993135011441652</v>
      </c>
      <c r="AR89" s="562">
        <f t="shared" si="30"/>
        <v>18</v>
      </c>
      <c r="AS89" s="642"/>
      <c r="AT89" s="562">
        <v>19</v>
      </c>
      <c r="AU89" s="566">
        <v>1321.2903225806454</v>
      </c>
      <c r="AV89" s="566">
        <v>69.541595925297131</v>
      </c>
      <c r="AW89" s="562">
        <f t="shared" si="31"/>
        <v>17</v>
      </c>
      <c r="AX89" s="642"/>
      <c r="AZ89" s="368" t="e">
        <f t="shared" si="32"/>
        <v>#N/A</v>
      </c>
      <c r="BA89" s="642"/>
    </row>
    <row r="90" spans="2:53">
      <c r="B90" s="647"/>
      <c r="C90" s="283">
        <v>14</v>
      </c>
      <c r="D90" s="201" t="s">
        <v>343</v>
      </c>
      <c r="E90" s="538">
        <v>19</v>
      </c>
      <c r="F90" s="201">
        <v>1440</v>
      </c>
      <c r="G90" s="199">
        <v>75.78947368421052</v>
      </c>
      <c r="H90" s="701"/>
      <c r="I90" s="363">
        <f t="shared" si="22"/>
        <v>19</v>
      </c>
      <c r="J90" s="363">
        <f t="shared" si="23"/>
        <v>1322.5786771325859</v>
      </c>
      <c r="K90" s="199">
        <f t="shared" si="24"/>
        <v>69.609404059609773</v>
      </c>
      <c r="L90" s="657"/>
      <c r="M90" s="200">
        <f>RANK(K90, K$77:$K$106)</f>
        <v>18</v>
      </c>
      <c r="N90" s="641"/>
      <c r="O90" s="641"/>
      <c r="P90" s="562">
        <v>19</v>
      </c>
      <c r="Q90" s="566">
        <v>1297.0588235294135</v>
      </c>
      <c r="R90" s="566">
        <v>68.266253869969134</v>
      </c>
      <c r="S90" s="562">
        <f t="shared" si="25"/>
        <v>19</v>
      </c>
      <c r="T90" s="642"/>
      <c r="U90" s="562">
        <v>19</v>
      </c>
      <c r="V90" s="566">
        <v>1337.4193548387109</v>
      </c>
      <c r="W90" s="566">
        <v>70.390492359932153</v>
      </c>
      <c r="X90" s="562">
        <f t="shared" si="26"/>
        <v>16</v>
      </c>
      <c r="Y90" s="642"/>
      <c r="Z90" s="562">
        <v>19</v>
      </c>
      <c r="AA90" s="566">
        <v>1331.1111111111118</v>
      </c>
      <c r="AB90" s="566">
        <v>70.058479532163773</v>
      </c>
      <c r="AC90" s="562">
        <f t="shared" si="27"/>
        <v>16</v>
      </c>
      <c r="AD90" s="642"/>
      <c r="AE90" s="562">
        <v>19</v>
      </c>
      <c r="AF90" s="566">
        <v>1302.1052631578957</v>
      </c>
      <c r="AG90" s="566">
        <v>68.531855955678722</v>
      </c>
      <c r="AH90" s="562">
        <f t="shared" si="28"/>
        <v>21</v>
      </c>
      <c r="AI90" s="642"/>
      <c r="AJ90" s="562">
        <v>19</v>
      </c>
      <c r="AK90" s="566">
        <v>1346.7692307692321</v>
      </c>
      <c r="AL90" s="566">
        <v>70.882591093117483</v>
      </c>
      <c r="AM90" s="562">
        <f t="shared" si="29"/>
        <v>16</v>
      </c>
      <c r="AN90" s="642"/>
      <c r="AO90" s="562">
        <v>19</v>
      </c>
      <c r="AP90" s="566">
        <v>1337.4999999999991</v>
      </c>
      <c r="AQ90" s="566">
        <v>70.394736842105218</v>
      </c>
      <c r="AR90" s="562">
        <f t="shared" si="30"/>
        <v>16</v>
      </c>
      <c r="AS90" s="642"/>
      <c r="AT90" s="562">
        <v>19</v>
      </c>
      <c r="AU90" s="566">
        <v>1306.0869565217379</v>
      </c>
      <c r="AV90" s="566">
        <v>68.741418764301997</v>
      </c>
      <c r="AW90" s="562">
        <f t="shared" si="31"/>
        <v>19</v>
      </c>
      <c r="AX90" s="642"/>
      <c r="AZ90" s="368" t="e">
        <f t="shared" si="32"/>
        <v>#N/A</v>
      </c>
      <c r="BA90" s="642"/>
    </row>
    <row r="91" spans="2:53">
      <c r="B91" s="647"/>
      <c r="C91" s="283">
        <v>15</v>
      </c>
      <c r="D91" s="201" t="s">
        <v>581</v>
      </c>
      <c r="E91" s="538">
        <v>18</v>
      </c>
      <c r="F91" s="201">
        <v>1500</v>
      </c>
      <c r="G91" s="199">
        <v>83.333333333333329</v>
      </c>
      <c r="H91" s="701"/>
      <c r="I91" s="363">
        <f t="shared" si="22"/>
        <v>18</v>
      </c>
      <c r="J91" s="363">
        <f t="shared" si="23"/>
        <v>1360.3029820969625</v>
      </c>
      <c r="K91" s="199">
        <f t="shared" si="24"/>
        <v>75.572387894275693</v>
      </c>
      <c r="L91" s="657"/>
      <c r="M91" s="200">
        <f>RANK(K91, K$77:$K$106)</f>
        <v>15</v>
      </c>
      <c r="N91" s="641"/>
      <c r="O91" s="641"/>
      <c r="P91" s="562">
        <v>18</v>
      </c>
      <c r="Q91" s="566">
        <v>1355.357142857144</v>
      </c>
      <c r="R91" s="566">
        <v>75.297619047619108</v>
      </c>
      <c r="S91" s="562">
        <f t="shared" si="25"/>
        <v>16</v>
      </c>
      <c r="T91" s="642"/>
      <c r="U91" s="562">
        <v>18</v>
      </c>
      <c r="V91" s="566">
        <v>1360.0000000000005</v>
      </c>
      <c r="W91" s="566">
        <v>75.555555555555586</v>
      </c>
      <c r="X91" s="562">
        <f t="shared" si="26"/>
        <v>15</v>
      </c>
      <c r="Y91" s="642"/>
      <c r="Z91" s="562">
        <v>18</v>
      </c>
      <c r="AA91" s="566">
        <v>1355.2941176470592</v>
      </c>
      <c r="AB91" s="566">
        <v>75.29411764705884</v>
      </c>
      <c r="AC91" s="562">
        <f t="shared" si="27"/>
        <v>15</v>
      </c>
      <c r="AD91" s="642"/>
      <c r="AE91" s="562">
        <v>18</v>
      </c>
      <c r="AF91" s="566">
        <v>1340.4545454545455</v>
      </c>
      <c r="AG91" s="566">
        <v>74.469696969696969</v>
      </c>
      <c r="AH91" s="562">
        <f t="shared" si="28"/>
        <v>15</v>
      </c>
      <c r="AI91" s="642"/>
      <c r="AJ91" s="562">
        <v>18</v>
      </c>
      <c r="AK91" s="566">
        <v>1382.7272727272727</v>
      </c>
      <c r="AL91" s="566">
        <v>76.818181818181813</v>
      </c>
      <c r="AM91" s="562">
        <f t="shared" si="29"/>
        <v>14</v>
      </c>
      <c r="AN91" s="642"/>
      <c r="AO91" s="562">
        <v>18</v>
      </c>
      <c r="AP91" s="566">
        <v>1352.2222222222229</v>
      </c>
      <c r="AQ91" s="566">
        <v>75.123456790123498</v>
      </c>
      <c r="AR91" s="562">
        <f t="shared" si="30"/>
        <v>15</v>
      </c>
      <c r="AS91" s="642"/>
      <c r="AT91" s="562">
        <v>18</v>
      </c>
      <c r="AU91" s="566">
        <v>1376.0655737704931</v>
      </c>
      <c r="AV91" s="566">
        <v>76.448087431694063</v>
      </c>
      <c r="AW91" s="562">
        <f t="shared" si="31"/>
        <v>15</v>
      </c>
      <c r="AX91" s="642"/>
      <c r="AZ91" s="368" t="e">
        <f t="shared" si="32"/>
        <v>#N/A</v>
      </c>
      <c r="BA91" s="642"/>
    </row>
    <row r="92" spans="2:53">
      <c r="B92" s="647"/>
      <c r="C92" s="283">
        <v>16</v>
      </c>
      <c r="D92" s="201" t="s">
        <v>509</v>
      </c>
      <c r="E92" s="538">
        <v>17</v>
      </c>
      <c r="F92" s="201">
        <v>1440</v>
      </c>
      <c r="G92" s="199">
        <v>84.705882352941174</v>
      </c>
      <c r="H92" s="701"/>
      <c r="I92" s="363">
        <f t="shared" si="22"/>
        <v>17</v>
      </c>
      <c r="J92" s="363">
        <f t="shared" si="23"/>
        <v>1298.1872942441692</v>
      </c>
      <c r="K92" s="199">
        <f t="shared" si="24"/>
        <v>76.363958484951141</v>
      </c>
      <c r="L92" s="657"/>
      <c r="M92" s="200">
        <f>RANK(K92, K$77:$K$106)</f>
        <v>14</v>
      </c>
      <c r="N92" s="641"/>
      <c r="O92" s="641"/>
      <c r="P92" s="562">
        <v>17</v>
      </c>
      <c r="Q92" s="566">
        <v>1297.4999999999995</v>
      </c>
      <c r="R92" s="566">
        <v>76.323529411764682</v>
      </c>
      <c r="S92" s="562">
        <f t="shared" si="25"/>
        <v>15</v>
      </c>
      <c r="T92" s="642"/>
      <c r="U92" s="562">
        <v>17</v>
      </c>
      <c r="V92" s="566">
        <v>1301.0526315789464</v>
      </c>
      <c r="W92" s="566">
        <v>76.532507739938026</v>
      </c>
      <c r="X92" s="562">
        <f t="shared" si="26"/>
        <v>14</v>
      </c>
      <c r="Y92" s="642"/>
      <c r="Z92" s="562">
        <v>17</v>
      </c>
      <c r="AA92" s="566">
        <v>1285.1612903225787</v>
      </c>
      <c r="AB92" s="566">
        <v>75.597722960151685</v>
      </c>
      <c r="AC92" s="562">
        <f t="shared" si="27"/>
        <v>14</v>
      </c>
      <c r="AD92" s="642"/>
      <c r="AE92" s="562">
        <v>17</v>
      </c>
      <c r="AF92" s="566">
        <v>1274.5454545454529</v>
      </c>
      <c r="AG92" s="566">
        <v>74.973262032085472</v>
      </c>
      <c r="AH92" s="562">
        <f t="shared" si="28"/>
        <v>14</v>
      </c>
      <c r="AI92" s="642"/>
      <c r="AJ92" s="562">
        <v>17</v>
      </c>
      <c r="AK92" s="566">
        <v>1297.2972972972962</v>
      </c>
      <c r="AL92" s="566">
        <v>76.311605723370363</v>
      </c>
      <c r="AM92" s="562">
        <f t="shared" si="29"/>
        <v>15</v>
      </c>
      <c r="AN92" s="642"/>
      <c r="AO92" s="562">
        <v>17</v>
      </c>
      <c r="AP92" s="566">
        <v>1313.3333333333333</v>
      </c>
      <c r="AQ92" s="566">
        <v>77.254901960784309</v>
      </c>
      <c r="AR92" s="562">
        <f t="shared" si="30"/>
        <v>14</v>
      </c>
      <c r="AS92" s="642"/>
      <c r="AT92" s="562">
        <v>17</v>
      </c>
      <c r="AU92" s="566">
        <v>1318.421052631578</v>
      </c>
      <c r="AV92" s="566">
        <v>77.55417956656342</v>
      </c>
      <c r="AW92" s="562">
        <f t="shared" si="31"/>
        <v>14</v>
      </c>
      <c r="AX92" s="642"/>
      <c r="AZ92" s="368" t="e">
        <f t="shared" si="32"/>
        <v>#N/A</v>
      </c>
      <c r="BA92" s="642"/>
    </row>
    <row r="93" spans="2:53">
      <c r="B93" s="647"/>
      <c r="C93" s="283">
        <v>17</v>
      </c>
      <c r="D93" s="201" t="s">
        <v>603</v>
      </c>
      <c r="E93" s="538">
        <v>16</v>
      </c>
      <c r="F93" s="201">
        <v>1636</v>
      </c>
      <c r="G93" s="199">
        <v>102.25</v>
      </c>
      <c r="H93" s="701"/>
      <c r="I93" s="363">
        <f t="shared" si="22"/>
        <v>16</v>
      </c>
      <c r="J93" s="363">
        <f t="shared" si="23"/>
        <v>1413.0534160577479</v>
      </c>
      <c r="K93" s="199">
        <f t="shared" si="24"/>
        <v>88.315838503609243</v>
      </c>
      <c r="L93" s="657"/>
      <c r="M93" s="200">
        <f>RANK(K93, K$77:$K$106)</f>
        <v>4</v>
      </c>
      <c r="N93" s="641"/>
      <c r="O93" s="641"/>
      <c r="P93" s="562">
        <v>16</v>
      </c>
      <c r="Q93" s="566">
        <v>1387.4999999999995</v>
      </c>
      <c r="R93" s="566">
        <v>86.718749999999972</v>
      </c>
      <c r="S93" s="562">
        <f t="shared" si="25"/>
        <v>5</v>
      </c>
      <c r="T93" s="642"/>
      <c r="U93" s="562">
        <v>16</v>
      </c>
      <c r="V93" s="566">
        <v>1394.2857142857138</v>
      </c>
      <c r="W93" s="566">
        <v>87.14285714285711</v>
      </c>
      <c r="X93" s="562">
        <f t="shared" si="26"/>
        <v>3</v>
      </c>
      <c r="Y93" s="642"/>
      <c r="Z93" s="562">
        <v>16</v>
      </c>
      <c r="AA93" s="566">
        <v>1415.6249999999982</v>
      </c>
      <c r="AB93" s="566">
        <v>88.476562499999886</v>
      </c>
      <c r="AC93" s="562">
        <f t="shared" si="27"/>
        <v>3</v>
      </c>
      <c r="AD93" s="642"/>
      <c r="AE93" s="562">
        <v>16</v>
      </c>
      <c r="AF93" s="566">
        <v>1448.2758620689626</v>
      </c>
      <c r="AG93" s="566">
        <v>90.517241379310164</v>
      </c>
      <c r="AH93" s="562">
        <f t="shared" si="28"/>
        <v>4</v>
      </c>
      <c r="AI93" s="642"/>
      <c r="AJ93" s="562">
        <v>16</v>
      </c>
      <c r="AK93" s="566">
        <v>1405.2631578947357</v>
      </c>
      <c r="AL93" s="566">
        <v>87.828947368420984</v>
      </c>
      <c r="AM93" s="562">
        <f t="shared" si="29"/>
        <v>4</v>
      </c>
      <c r="AN93" s="642"/>
      <c r="AO93" s="562">
        <v>16</v>
      </c>
      <c r="AP93" s="566">
        <v>1416.5217391304348</v>
      </c>
      <c r="AQ93" s="566">
        <v>88.532608695652172</v>
      </c>
      <c r="AR93" s="562">
        <f t="shared" si="30"/>
        <v>3</v>
      </c>
      <c r="AS93" s="642"/>
      <c r="AT93" s="562">
        <v>16</v>
      </c>
      <c r="AU93" s="566">
        <v>1423.9024390243897</v>
      </c>
      <c r="AV93" s="566">
        <v>88.993902439024353</v>
      </c>
      <c r="AW93" s="562">
        <f t="shared" si="31"/>
        <v>5</v>
      </c>
      <c r="AX93" s="642"/>
      <c r="AZ93" s="368" t="e">
        <f t="shared" si="32"/>
        <v>#N/A</v>
      </c>
      <c r="BA93" s="642"/>
    </row>
    <row r="94" spans="2:53">
      <c r="B94" s="647"/>
      <c r="C94" s="283">
        <v>18</v>
      </c>
      <c r="D94" s="201" t="s">
        <v>615</v>
      </c>
      <c r="E94" s="538">
        <v>16</v>
      </c>
      <c r="F94" s="201">
        <v>1500</v>
      </c>
      <c r="G94" s="199">
        <v>93.75</v>
      </c>
      <c r="H94" s="701"/>
      <c r="I94" s="363">
        <f t="shared" si="22"/>
        <v>16.857142857142858</v>
      </c>
      <c r="J94" s="363">
        <f t="shared" si="23"/>
        <v>1349.5533241391172</v>
      </c>
      <c r="K94" s="199">
        <f t="shared" si="24"/>
        <v>80.085988604822006</v>
      </c>
      <c r="L94" s="657"/>
      <c r="M94" s="200">
        <f>RANK(K94, K$77:$K$106)</f>
        <v>9</v>
      </c>
      <c r="N94" s="641"/>
      <c r="O94" s="641"/>
      <c r="P94" s="562">
        <v>17</v>
      </c>
      <c r="Q94" s="566">
        <v>1356.7346938775513</v>
      </c>
      <c r="R94" s="566">
        <v>79.807923169267724</v>
      </c>
      <c r="S94" s="562">
        <f t="shared" si="25"/>
        <v>9</v>
      </c>
      <c r="T94" s="642"/>
      <c r="U94" s="562">
        <v>17</v>
      </c>
      <c r="V94" s="566">
        <v>1371.6000000000004</v>
      </c>
      <c r="W94" s="566">
        <v>80.682352941176489</v>
      </c>
      <c r="X94" s="562">
        <f t="shared" si="26"/>
        <v>10</v>
      </c>
      <c r="Y94" s="642"/>
      <c r="Z94" s="562">
        <v>17</v>
      </c>
      <c r="AA94" s="566">
        <v>1334.2105263157885</v>
      </c>
      <c r="AB94" s="566">
        <v>78.482972136222855</v>
      </c>
      <c r="AC94" s="562">
        <f t="shared" si="27"/>
        <v>11</v>
      </c>
      <c r="AD94" s="642"/>
      <c r="AE94" s="562">
        <v>17</v>
      </c>
      <c r="AF94" s="566">
        <v>1344.8780487804875</v>
      </c>
      <c r="AG94" s="566">
        <v>79.110473457675738</v>
      </c>
      <c r="AH94" s="562">
        <f t="shared" si="28"/>
        <v>12</v>
      </c>
      <c r="AI94" s="642"/>
      <c r="AJ94" s="562">
        <v>16</v>
      </c>
      <c r="AK94" s="566">
        <v>1333.7500000000005</v>
      </c>
      <c r="AL94" s="566">
        <v>83.359375000000028</v>
      </c>
      <c r="AM94" s="562">
        <f t="shared" si="29"/>
        <v>9</v>
      </c>
      <c r="AN94" s="642"/>
      <c r="AO94" s="562">
        <v>17</v>
      </c>
      <c r="AP94" s="566">
        <v>1342.499999999997</v>
      </c>
      <c r="AQ94" s="566">
        <v>78.970588235293945</v>
      </c>
      <c r="AR94" s="562">
        <f t="shared" si="30"/>
        <v>12</v>
      </c>
      <c r="AS94" s="642"/>
      <c r="AT94" s="562">
        <v>17</v>
      </c>
      <c r="AU94" s="566">
        <v>1363.1999999999962</v>
      </c>
      <c r="AV94" s="566">
        <v>80.188235294117419</v>
      </c>
      <c r="AW94" s="562">
        <f t="shared" si="31"/>
        <v>9</v>
      </c>
      <c r="AX94" s="642"/>
      <c r="AZ94" s="368" t="e">
        <f t="shared" si="32"/>
        <v>#N/A</v>
      </c>
      <c r="BA94" s="642"/>
    </row>
    <row r="95" spans="2:53">
      <c r="B95" s="647"/>
      <c r="C95" s="283">
        <v>19</v>
      </c>
      <c r="D95" s="201" t="s">
        <v>611</v>
      </c>
      <c r="E95" s="538">
        <v>16</v>
      </c>
      <c r="F95" s="201">
        <v>1500</v>
      </c>
      <c r="G95" s="199">
        <v>93.75</v>
      </c>
      <c r="H95" s="701"/>
      <c r="I95" s="363">
        <f t="shared" si="22"/>
        <v>15.142857142857142</v>
      </c>
      <c r="J95" s="363">
        <f t="shared" si="23"/>
        <v>1305.6563065573664</v>
      </c>
      <c r="K95" s="199">
        <f t="shared" si="24"/>
        <v>86.591766394405212</v>
      </c>
      <c r="L95" s="657"/>
      <c r="M95" s="200">
        <f>RANK(K95, K$77:$K$106)</f>
        <v>5</v>
      </c>
      <c r="N95" s="641"/>
      <c r="O95" s="641"/>
      <c r="P95" s="562">
        <v>16</v>
      </c>
      <c r="Q95" s="566">
        <v>1305.7894736842095</v>
      </c>
      <c r="R95" s="566">
        <v>81.611842105263094</v>
      </c>
      <c r="S95" s="562">
        <f t="shared" si="25"/>
        <v>8</v>
      </c>
      <c r="T95" s="642"/>
      <c r="U95" s="562">
        <v>16</v>
      </c>
      <c r="V95" s="566">
        <v>1301.4084507042242</v>
      </c>
      <c r="W95" s="566">
        <v>81.338028169014009</v>
      </c>
      <c r="X95" s="562">
        <f t="shared" si="26"/>
        <v>9</v>
      </c>
      <c r="Y95" s="642"/>
      <c r="Z95" s="562">
        <v>16</v>
      </c>
      <c r="AA95" s="566">
        <v>1315.6363636363644</v>
      </c>
      <c r="AB95" s="566">
        <v>82.227272727272776</v>
      </c>
      <c r="AC95" s="562">
        <f t="shared" si="27"/>
        <v>8</v>
      </c>
      <c r="AD95" s="642"/>
      <c r="AE95" s="562">
        <v>14</v>
      </c>
      <c r="AF95" s="566">
        <v>1297.64705882353</v>
      </c>
      <c r="AG95" s="566">
        <v>92.689075630252134</v>
      </c>
      <c r="AH95" s="562">
        <f t="shared" si="28"/>
        <v>3</v>
      </c>
      <c r="AI95" s="642"/>
      <c r="AJ95" s="562">
        <v>14</v>
      </c>
      <c r="AK95" s="566">
        <v>1294.7826086956509</v>
      </c>
      <c r="AL95" s="566">
        <v>92.484472049689344</v>
      </c>
      <c r="AM95" s="562">
        <f t="shared" si="29"/>
        <v>3</v>
      </c>
      <c r="AN95" s="642"/>
      <c r="AO95" s="562">
        <v>16</v>
      </c>
      <c r="AP95" s="566">
        <v>1305.9740259740252</v>
      </c>
      <c r="AQ95" s="566">
        <v>81.623376623376572</v>
      </c>
      <c r="AR95" s="562">
        <f t="shared" si="30"/>
        <v>8</v>
      </c>
      <c r="AS95" s="642"/>
      <c r="AT95" s="562">
        <v>14</v>
      </c>
      <c r="AU95" s="566">
        <v>1318.3561643835606</v>
      </c>
      <c r="AV95" s="566">
        <v>94.168297455968613</v>
      </c>
      <c r="AW95" s="562">
        <f t="shared" si="31"/>
        <v>4</v>
      </c>
      <c r="AX95" s="642"/>
      <c r="AZ95" s="368" t="e">
        <f t="shared" si="32"/>
        <v>#N/A</v>
      </c>
      <c r="BA95" s="642"/>
    </row>
    <row r="96" spans="2:53">
      <c r="B96" s="647"/>
      <c r="C96" s="283">
        <v>20</v>
      </c>
      <c r="D96" s="201" t="s">
        <v>629</v>
      </c>
      <c r="E96" s="538">
        <v>19</v>
      </c>
      <c r="F96" s="201">
        <v>1440</v>
      </c>
      <c r="G96" s="199">
        <v>75.78947368421052</v>
      </c>
      <c r="H96" s="701"/>
      <c r="I96" s="363">
        <f t="shared" si="22"/>
        <v>19</v>
      </c>
      <c r="J96" s="363">
        <f t="shared" si="23"/>
        <v>1298.4450623562868</v>
      </c>
      <c r="K96" s="199">
        <f t="shared" si="24"/>
        <v>68.339213808225637</v>
      </c>
      <c r="L96" s="657"/>
      <c r="M96" s="200">
        <f>RANK(K96, K$77:$K$106)</f>
        <v>21</v>
      </c>
      <c r="N96" s="641"/>
      <c r="O96" s="641"/>
      <c r="P96" s="562">
        <v>19</v>
      </c>
      <c r="Q96" s="566">
        <v>1282.8000000000004</v>
      </c>
      <c r="R96" s="566">
        <v>67.515789473684237</v>
      </c>
      <c r="S96" s="562">
        <f t="shared" si="25"/>
        <v>21</v>
      </c>
      <c r="T96" s="642"/>
      <c r="U96" s="562">
        <v>19</v>
      </c>
      <c r="V96" s="566">
        <v>1300.0000000000007</v>
      </c>
      <c r="W96" s="566">
        <v>68.421052631578988</v>
      </c>
      <c r="X96" s="562">
        <f t="shared" si="26"/>
        <v>19</v>
      </c>
      <c r="Y96" s="642"/>
      <c r="Z96" s="562">
        <v>19</v>
      </c>
      <c r="AA96" s="566">
        <v>1279.9999999999993</v>
      </c>
      <c r="AB96" s="566">
        <v>67.368421052631547</v>
      </c>
      <c r="AC96" s="562">
        <f t="shared" si="27"/>
        <v>20</v>
      </c>
      <c r="AD96" s="642"/>
      <c r="AE96" s="562">
        <v>19</v>
      </c>
      <c r="AF96" s="566">
        <v>1328.1081081081072</v>
      </c>
      <c r="AG96" s="566">
        <v>69.900426742531963</v>
      </c>
      <c r="AH96" s="562">
        <f t="shared" si="28"/>
        <v>18</v>
      </c>
      <c r="AI96" s="642"/>
      <c r="AJ96" s="562">
        <v>19</v>
      </c>
      <c r="AK96" s="566">
        <v>1281.2500000000002</v>
      </c>
      <c r="AL96" s="566">
        <v>67.434210526315795</v>
      </c>
      <c r="AM96" s="562">
        <f t="shared" si="29"/>
        <v>21</v>
      </c>
      <c r="AN96" s="642"/>
      <c r="AO96" s="562">
        <v>19</v>
      </c>
      <c r="AP96" s="566">
        <v>1298.1818181818192</v>
      </c>
      <c r="AQ96" s="566">
        <v>68.325358851674693</v>
      </c>
      <c r="AR96" s="562">
        <f t="shared" si="30"/>
        <v>20</v>
      </c>
      <c r="AS96" s="642"/>
      <c r="AT96" s="562">
        <v>19</v>
      </c>
      <c r="AU96" s="566">
        <v>1318.7755102040819</v>
      </c>
      <c r="AV96" s="566">
        <v>69.409237379162207</v>
      </c>
      <c r="AW96" s="562">
        <f t="shared" si="31"/>
        <v>18</v>
      </c>
      <c r="AX96" s="642"/>
      <c r="AZ96" s="368" t="e">
        <f t="shared" si="32"/>
        <v>#N/A</v>
      </c>
      <c r="BA96" s="642"/>
    </row>
    <row r="97" spans="2:53">
      <c r="B97" s="647"/>
      <c r="C97" s="283">
        <v>21</v>
      </c>
      <c r="D97" s="201" t="s">
        <v>700</v>
      </c>
      <c r="E97" s="538">
        <v>21</v>
      </c>
      <c r="F97" s="201">
        <v>1440</v>
      </c>
      <c r="G97" s="199">
        <v>68.571428571428569</v>
      </c>
      <c r="H97" s="701"/>
      <c r="I97" s="363">
        <f t="shared" si="22"/>
        <v>20.714285714285715</v>
      </c>
      <c r="J97" s="363">
        <f t="shared" si="23"/>
        <v>1138.648908160475</v>
      </c>
      <c r="K97" s="199">
        <f t="shared" si="24"/>
        <v>54.994052316031684</v>
      </c>
      <c r="L97" s="657"/>
      <c r="M97" s="200">
        <f>RANK(K97, K$77:$K$106)</f>
        <v>24</v>
      </c>
      <c r="N97" s="641"/>
      <c r="O97" s="641"/>
      <c r="P97" s="562">
        <v>21</v>
      </c>
      <c r="Q97" s="566">
        <v>1162.1739130434783</v>
      </c>
      <c r="R97" s="566">
        <v>55.341614906832298</v>
      </c>
      <c r="S97" s="562">
        <f t="shared" si="25"/>
        <v>24</v>
      </c>
      <c r="T97" s="642"/>
      <c r="U97" s="562">
        <v>21</v>
      </c>
      <c r="V97" s="566">
        <v>1141.2000000000005</v>
      </c>
      <c r="W97" s="566">
        <v>54.34285714285717</v>
      </c>
      <c r="X97" s="562">
        <f t="shared" si="26"/>
        <v>24</v>
      </c>
      <c r="Y97" s="642"/>
      <c r="Z97" s="562">
        <v>20</v>
      </c>
      <c r="AA97" s="566">
        <v>1171.6666666666656</v>
      </c>
      <c r="AB97" s="566">
        <v>58.583333333333279</v>
      </c>
      <c r="AC97" s="562">
        <f t="shared" si="27"/>
        <v>23</v>
      </c>
      <c r="AD97" s="642"/>
      <c r="AE97" s="562">
        <v>21</v>
      </c>
      <c r="AF97" s="566">
        <v>1136.6666666666656</v>
      </c>
      <c r="AG97" s="566">
        <v>54.126984126984077</v>
      </c>
      <c r="AH97" s="562">
        <f t="shared" si="28"/>
        <v>23</v>
      </c>
      <c r="AI97" s="642"/>
      <c r="AJ97" s="562">
        <v>20</v>
      </c>
      <c r="AK97" s="566">
        <v>1100.0000000000005</v>
      </c>
      <c r="AL97" s="566">
        <v>55.000000000000021</v>
      </c>
      <c r="AM97" s="562">
        <f t="shared" si="29"/>
        <v>23</v>
      </c>
      <c r="AN97" s="642"/>
      <c r="AO97" s="562">
        <v>21</v>
      </c>
      <c r="AP97" s="566">
        <v>1116.2264150943402</v>
      </c>
      <c r="AQ97" s="566">
        <v>53.153638814016198</v>
      </c>
      <c r="AR97" s="562">
        <f t="shared" si="30"/>
        <v>23</v>
      </c>
      <c r="AS97" s="642"/>
      <c r="AT97" s="562">
        <v>21</v>
      </c>
      <c r="AU97" s="566">
        <v>1142.608695652174</v>
      </c>
      <c r="AV97" s="566">
        <v>54.409937888198762</v>
      </c>
      <c r="AW97" s="562">
        <f t="shared" si="31"/>
        <v>23</v>
      </c>
      <c r="AX97" s="642"/>
      <c r="AZ97" s="368" t="e">
        <f t="shared" si="32"/>
        <v>#N/A</v>
      </c>
      <c r="BA97" s="642"/>
    </row>
    <row r="98" spans="2:53">
      <c r="B98" s="647"/>
      <c r="C98" s="283">
        <v>22</v>
      </c>
      <c r="D98" s="201" t="s">
        <v>702</v>
      </c>
      <c r="E98" s="538">
        <v>19</v>
      </c>
      <c r="F98" s="201">
        <v>1440</v>
      </c>
      <c r="G98" s="199">
        <v>75.78947368421052</v>
      </c>
      <c r="H98" s="701"/>
      <c r="I98" s="363">
        <f t="shared" si="22"/>
        <v>19</v>
      </c>
      <c r="J98" s="363">
        <f t="shared" si="23"/>
        <v>1299.5094441885569</v>
      </c>
      <c r="K98" s="199">
        <f t="shared" si="24"/>
        <v>68.395233904660884</v>
      </c>
      <c r="L98" s="657"/>
      <c r="M98" s="200">
        <f>RANK(K98, K$77:$K$106)</f>
        <v>20</v>
      </c>
      <c r="N98" s="641"/>
      <c r="O98" s="641"/>
      <c r="P98" s="562">
        <v>19</v>
      </c>
      <c r="Q98" s="566">
        <v>1292.1739130434769</v>
      </c>
      <c r="R98" s="566">
        <v>68.009153318077736</v>
      </c>
      <c r="S98" s="562">
        <f t="shared" si="25"/>
        <v>20</v>
      </c>
      <c r="T98" s="642"/>
      <c r="U98" s="562">
        <v>19</v>
      </c>
      <c r="V98" s="566">
        <v>1300.6153846153859</v>
      </c>
      <c r="W98" s="566">
        <v>68.453441295546625</v>
      </c>
      <c r="X98" s="562">
        <f t="shared" si="26"/>
        <v>18</v>
      </c>
      <c r="Y98" s="642"/>
      <c r="Z98" s="562">
        <v>19</v>
      </c>
      <c r="AA98" s="566">
        <v>1317.9310344827597</v>
      </c>
      <c r="AB98" s="566">
        <v>69.364791288566309</v>
      </c>
      <c r="AC98" s="562">
        <f t="shared" si="27"/>
        <v>18</v>
      </c>
      <c r="AD98" s="642"/>
      <c r="AE98" s="562">
        <v>19</v>
      </c>
      <c r="AF98" s="566">
        <v>1318.9655172413804</v>
      </c>
      <c r="AG98" s="566">
        <v>69.41923774954634</v>
      </c>
      <c r="AH98" s="562">
        <f t="shared" si="28"/>
        <v>19</v>
      </c>
      <c r="AI98" s="642"/>
      <c r="AJ98" s="562">
        <v>19</v>
      </c>
      <c r="AK98" s="566">
        <v>1317.3134328358226</v>
      </c>
      <c r="AL98" s="566">
        <v>69.332285938727509</v>
      </c>
      <c r="AM98" s="562">
        <f t="shared" si="29"/>
        <v>19</v>
      </c>
      <c r="AN98" s="642"/>
      <c r="AO98" s="562">
        <v>19</v>
      </c>
      <c r="AP98" s="566">
        <v>1261.6216216216205</v>
      </c>
      <c r="AQ98" s="566">
        <v>66.401137980085295</v>
      </c>
      <c r="AR98" s="562">
        <f t="shared" si="30"/>
        <v>21</v>
      </c>
      <c r="AS98" s="642"/>
      <c r="AT98" s="562">
        <v>19</v>
      </c>
      <c r="AU98" s="566">
        <v>1287.945205479451</v>
      </c>
      <c r="AV98" s="566">
        <v>67.786589762076375</v>
      </c>
      <c r="AW98" s="562">
        <f t="shared" si="31"/>
        <v>20</v>
      </c>
      <c r="AX98" s="642"/>
      <c r="AZ98" s="368" t="e">
        <f t="shared" si="32"/>
        <v>#N/A</v>
      </c>
      <c r="BA98" s="642"/>
    </row>
    <row r="99" spans="2:53">
      <c r="B99" s="647"/>
      <c r="C99" s="283">
        <v>23</v>
      </c>
      <c r="D99" s="201" t="s">
        <v>713</v>
      </c>
      <c r="E99" s="538">
        <v>17</v>
      </c>
      <c r="F99" s="201">
        <v>1440</v>
      </c>
      <c r="G99" s="199">
        <v>84.705882352941174</v>
      </c>
      <c r="H99" s="701"/>
      <c r="I99" s="363">
        <f t="shared" si="22"/>
        <v>17</v>
      </c>
      <c r="J99" s="363">
        <f t="shared" si="23"/>
        <v>1194.0926640926655</v>
      </c>
      <c r="K99" s="199">
        <f t="shared" si="24"/>
        <v>70.240744946627387</v>
      </c>
      <c r="L99" s="657"/>
      <c r="M99" s="200">
        <f>RANK(K99, K$77:$K$106)</f>
        <v>17</v>
      </c>
      <c r="N99" s="641"/>
      <c r="O99" s="641"/>
      <c r="P99" s="562">
        <v>17</v>
      </c>
      <c r="Q99" s="566">
        <v>1316.7567567567557</v>
      </c>
      <c r="R99" s="566">
        <v>77.456279809220931</v>
      </c>
      <c r="S99" s="562">
        <f t="shared" si="25"/>
        <v>14</v>
      </c>
      <c r="T99" s="642"/>
      <c r="U99" s="562">
        <v>17</v>
      </c>
      <c r="V99" s="566">
        <v>1071.4285714285752</v>
      </c>
      <c r="W99" s="566">
        <v>63.025210084033837</v>
      </c>
      <c r="X99" s="562">
        <f t="shared" si="26"/>
        <v>23</v>
      </c>
      <c r="Y99" s="642"/>
      <c r="Z99" s="562" t="s">
        <v>585</v>
      </c>
      <c r="AA99" s="566" t="s">
        <v>585</v>
      </c>
      <c r="AB99" s="566" t="s">
        <v>585</v>
      </c>
      <c r="AC99" s="562" t="e">
        <f t="shared" si="27"/>
        <v>#VALUE!</v>
      </c>
      <c r="AD99" s="642"/>
      <c r="AE99" s="562" t="s">
        <v>585</v>
      </c>
      <c r="AF99" s="566" t="s">
        <v>585</v>
      </c>
      <c r="AG99" s="566" t="s">
        <v>585</v>
      </c>
      <c r="AH99" s="562" t="e">
        <f t="shared" si="28"/>
        <v>#VALUE!</v>
      </c>
      <c r="AI99" s="642"/>
      <c r="AJ99" s="562" t="s">
        <v>585</v>
      </c>
      <c r="AK99" s="566" t="s">
        <v>585</v>
      </c>
      <c r="AL99" s="566" t="s">
        <v>585</v>
      </c>
      <c r="AM99" s="562" t="e">
        <f t="shared" si="29"/>
        <v>#VALUE!</v>
      </c>
      <c r="AN99" s="642"/>
      <c r="AO99" s="562" t="s">
        <v>585</v>
      </c>
      <c r="AP99" s="566" t="s">
        <v>585</v>
      </c>
      <c r="AQ99" s="566" t="s">
        <v>585</v>
      </c>
      <c r="AR99" s="562" t="e">
        <f t="shared" si="30"/>
        <v>#VALUE!</v>
      </c>
      <c r="AS99" s="642"/>
      <c r="AT99" s="562" t="s">
        <v>585</v>
      </c>
      <c r="AU99" s="566" t="s">
        <v>585</v>
      </c>
      <c r="AV99" s="566" t="s">
        <v>585</v>
      </c>
      <c r="AW99" s="562" t="e">
        <f t="shared" si="31"/>
        <v>#VALUE!</v>
      </c>
      <c r="AX99" s="642"/>
      <c r="AZ99" s="368" t="e">
        <f t="shared" si="32"/>
        <v>#N/A</v>
      </c>
      <c r="BA99" s="642"/>
    </row>
    <row r="100" spans="2:53">
      <c r="B100" s="647"/>
      <c r="C100" s="283">
        <v>24</v>
      </c>
      <c r="D100" s="201" t="s">
        <v>737</v>
      </c>
      <c r="E100" s="538">
        <v>15</v>
      </c>
      <c r="F100" s="201">
        <v>1440</v>
      </c>
      <c r="G100" s="199">
        <v>96</v>
      </c>
      <c r="H100" s="701"/>
      <c r="I100" s="363">
        <f t="shared" si="22"/>
        <v>14.714285714285714</v>
      </c>
      <c r="J100" s="363">
        <f t="shared" si="23"/>
        <v>1306.5066594701907</v>
      </c>
      <c r="K100" s="199">
        <f t="shared" si="24"/>
        <v>89.024861011047633</v>
      </c>
      <c r="L100" s="657"/>
      <c r="M100" s="200">
        <f>RANK(K100, K$77:$K$106)</f>
        <v>3</v>
      </c>
      <c r="N100" s="641"/>
      <c r="O100" s="641"/>
      <c r="P100" s="562">
        <v>15</v>
      </c>
      <c r="Q100" s="566">
        <v>1325.8064516129034</v>
      </c>
      <c r="R100" s="566">
        <v>88.387096774193566</v>
      </c>
      <c r="S100" s="562">
        <f t="shared" si="25"/>
        <v>3</v>
      </c>
      <c r="T100" s="642"/>
      <c r="U100" s="562">
        <v>15</v>
      </c>
      <c r="V100" s="566">
        <v>1305.1685393258426</v>
      </c>
      <c r="W100" s="566">
        <v>87.011235955056179</v>
      </c>
      <c r="X100" s="562">
        <f t="shared" si="26"/>
        <v>4</v>
      </c>
      <c r="Y100" s="642"/>
      <c r="Z100" s="562">
        <v>15</v>
      </c>
      <c r="AA100" s="566">
        <v>1298.6301369863004</v>
      </c>
      <c r="AB100" s="566">
        <v>86.575342465753366</v>
      </c>
      <c r="AC100" s="562">
        <f t="shared" si="27"/>
        <v>4</v>
      </c>
      <c r="AD100" s="642"/>
      <c r="AE100" s="562">
        <v>15</v>
      </c>
      <c r="AF100" s="566">
        <v>1292.1739130434769</v>
      </c>
      <c r="AG100" s="566">
        <v>86.144927536231791</v>
      </c>
      <c r="AH100" s="562">
        <f t="shared" si="28"/>
        <v>5</v>
      </c>
      <c r="AI100" s="642"/>
      <c r="AJ100" s="562">
        <v>15</v>
      </c>
      <c r="AK100" s="566">
        <v>1307.9999999999998</v>
      </c>
      <c r="AL100" s="566">
        <v>87.199999999999989</v>
      </c>
      <c r="AM100" s="562">
        <f t="shared" si="29"/>
        <v>6</v>
      </c>
      <c r="AN100" s="642"/>
      <c r="AO100" s="562">
        <v>15</v>
      </c>
      <c r="AP100" s="566">
        <v>1302.3529411764705</v>
      </c>
      <c r="AQ100" s="566">
        <v>86.823529411764696</v>
      </c>
      <c r="AR100" s="562">
        <f t="shared" si="30"/>
        <v>4</v>
      </c>
      <c r="AS100" s="642"/>
      <c r="AT100" s="562">
        <v>13</v>
      </c>
      <c r="AU100" s="566">
        <v>1313.4146341463411</v>
      </c>
      <c r="AV100" s="566">
        <v>101.03189493433393</v>
      </c>
      <c r="AW100" s="562">
        <f t="shared" si="31"/>
        <v>3</v>
      </c>
      <c r="AX100" s="642"/>
      <c r="AZ100" s="368" t="e">
        <f t="shared" si="32"/>
        <v>#N/A</v>
      </c>
      <c r="BA100" s="642"/>
    </row>
    <row r="101" spans="2:53">
      <c r="B101" s="647"/>
      <c r="C101" s="283">
        <v>25</v>
      </c>
      <c r="D101" s="201"/>
      <c r="E101" s="538"/>
      <c r="F101" s="201"/>
      <c r="G101" s="199"/>
      <c r="H101" s="701"/>
      <c r="I101" s="363" t="str">
        <f t="shared" si="22"/>
        <v>-</v>
      </c>
      <c r="J101" s="363" t="str">
        <f t="shared" si="23"/>
        <v>-</v>
      </c>
      <c r="K101" s="199" t="str">
        <f t="shared" si="24"/>
        <v>-</v>
      </c>
      <c r="L101" s="657"/>
      <c r="M101" s="200" t="e">
        <f>RANK(K101, K$77:$K$106)</f>
        <v>#VALUE!</v>
      </c>
      <c r="N101" s="641"/>
      <c r="O101" s="641"/>
      <c r="P101" s="562" t="s">
        <v>585</v>
      </c>
      <c r="Q101" s="566" t="s">
        <v>585</v>
      </c>
      <c r="R101" s="566" t="s">
        <v>585</v>
      </c>
      <c r="S101" s="562" t="e">
        <f t="shared" si="25"/>
        <v>#VALUE!</v>
      </c>
      <c r="T101" s="642"/>
      <c r="U101" s="562" t="s">
        <v>585</v>
      </c>
      <c r="V101" s="566" t="s">
        <v>585</v>
      </c>
      <c r="W101" s="566" t="s">
        <v>585</v>
      </c>
      <c r="X101" s="562" t="e">
        <f t="shared" si="26"/>
        <v>#VALUE!</v>
      </c>
      <c r="Y101" s="642"/>
      <c r="Z101" s="562" t="s">
        <v>585</v>
      </c>
      <c r="AA101" s="566" t="s">
        <v>585</v>
      </c>
      <c r="AB101" s="566" t="s">
        <v>585</v>
      </c>
      <c r="AC101" s="562" t="e">
        <f t="shared" si="27"/>
        <v>#VALUE!</v>
      </c>
      <c r="AD101" s="642"/>
      <c r="AE101" s="562" t="s">
        <v>585</v>
      </c>
      <c r="AF101" s="566" t="s">
        <v>585</v>
      </c>
      <c r="AG101" s="566" t="s">
        <v>585</v>
      </c>
      <c r="AH101" s="562" t="e">
        <f t="shared" si="28"/>
        <v>#VALUE!</v>
      </c>
      <c r="AI101" s="642"/>
      <c r="AJ101" s="562" t="s">
        <v>585</v>
      </c>
      <c r="AK101" s="566" t="s">
        <v>585</v>
      </c>
      <c r="AL101" s="566" t="s">
        <v>585</v>
      </c>
      <c r="AM101" s="562" t="e">
        <f t="shared" si="29"/>
        <v>#VALUE!</v>
      </c>
      <c r="AN101" s="642"/>
      <c r="AO101" s="562" t="s">
        <v>585</v>
      </c>
      <c r="AP101" s="566" t="s">
        <v>585</v>
      </c>
      <c r="AQ101" s="566" t="s">
        <v>585</v>
      </c>
      <c r="AR101" s="562" t="e">
        <f t="shared" si="30"/>
        <v>#VALUE!</v>
      </c>
      <c r="AS101" s="642"/>
      <c r="AT101" s="562" t="s">
        <v>585</v>
      </c>
      <c r="AU101" s="566" t="s">
        <v>585</v>
      </c>
      <c r="AV101" s="566" t="s">
        <v>585</v>
      </c>
      <c r="AW101" s="562" t="e">
        <f t="shared" si="31"/>
        <v>#VALUE!</v>
      </c>
      <c r="AX101" s="642"/>
      <c r="AZ101" s="368" t="e">
        <f t="shared" si="32"/>
        <v>#N/A</v>
      </c>
      <c r="BA101" s="642"/>
    </row>
    <row r="102" spans="2:53">
      <c r="B102" s="647"/>
      <c r="C102" s="283">
        <v>26</v>
      </c>
      <c r="D102" s="201"/>
      <c r="E102" s="538"/>
      <c r="F102" s="201"/>
      <c r="G102" s="199"/>
      <c r="H102" s="701"/>
      <c r="I102" s="363" t="str">
        <f t="shared" si="22"/>
        <v>-</v>
      </c>
      <c r="J102" s="363" t="str">
        <f t="shared" si="23"/>
        <v>-</v>
      </c>
      <c r="K102" s="199" t="str">
        <f t="shared" si="24"/>
        <v>-</v>
      </c>
      <c r="L102" s="657"/>
      <c r="M102" s="200" t="e">
        <f>RANK(K102, K$77:$K$106)</f>
        <v>#VALUE!</v>
      </c>
      <c r="N102" s="641"/>
      <c r="O102" s="641"/>
      <c r="P102" s="562" t="s">
        <v>585</v>
      </c>
      <c r="Q102" s="566" t="s">
        <v>585</v>
      </c>
      <c r="R102" s="566" t="s">
        <v>585</v>
      </c>
      <c r="S102" s="562" t="e">
        <f t="shared" si="25"/>
        <v>#VALUE!</v>
      </c>
      <c r="T102" s="642"/>
      <c r="U102" s="562" t="s">
        <v>585</v>
      </c>
      <c r="V102" s="566" t="s">
        <v>585</v>
      </c>
      <c r="W102" s="566" t="s">
        <v>585</v>
      </c>
      <c r="X102" s="562" t="e">
        <f t="shared" si="26"/>
        <v>#VALUE!</v>
      </c>
      <c r="Y102" s="642"/>
      <c r="Z102" s="562" t="s">
        <v>585</v>
      </c>
      <c r="AA102" s="566" t="s">
        <v>585</v>
      </c>
      <c r="AB102" s="566" t="s">
        <v>585</v>
      </c>
      <c r="AC102" s="562" t="e">
        <f t="shared" si="27"/>
        <v>#VALUE!</v>
      </c>
      <c r="AD102" s="642"/>
      <c r="AE102" s="562" t="s">
        <v>585</v>
      </c>
      <c r="AF102" s="566" t="s">
        <v>585</v>
      </c>
      <c r="AG102" s="566" t="s">
        <v>585</v>
      </c>
      <c r="AH102" s="562" t="e">
        <f t="shared" si="28"/>
        <v>#VALUE!</v>
      </c>
      <c r="AI102" s="642"/>
      <c r="AJ102" s="562" t="s">
        <v>585</v>
      </c>
      <c r="AK102" s="566" t="s">
        <v>585</v>
      </c>
      <c r="AL102" s="566" t="s">
        <v>585</v>
      </c>
      <c r="AM102" s="562" t="e">
        <f t="shared" si="29"/>
        <v>#VALUE!</v>
      </c>
      <c r="AN102" s="642"/>
      <c r="AO102" s="562" t="s">
        <v>585</v>
      </c>
      <c r="AP102" s="566" t="s">
        <v>585</v>
      </c>
      <c r="AQ102" s="566" t="s">
        <v>585</v>
      </c>
      <c r="AR102" s="562" t="e">
        <f t="shared" si="30"/>
        <v>#VALUE!</v>
      </c>
      <c r="AS102" s="642"/>
      <c r="AT102" s="562" t="s">
        <v>585</v>
      </c>
      <c r="AU102" s="566" t="s">
        <v>585</v>
      </c>
      <c r="AV102" s="566" t="s">
        <v>585</v>
      </c>
      <c r="AW102" s="562" t="e">
        <f t="shared" si="31"/>
        <v>#VALUE!</v>
      </c>
      <c r="AX102" s="642"/>
      <c r="AZ102" s="368" t="e">
        <f t="shared" si="32"/>
        <v>#N/A</v>
      </c>
      <c r="BA102" s="642"/>
    </row>
    <row r="103" spans="2:53">
      <c r="B103" s="647"/>
      <c r="C103" s="283">
        <v>27</v>
      </c>
      <c r="D103" s="201"/>
      <c r="E103" s="538"/>
      <c r="F103" s="201"/>
      <c r="G103" s="199"/>
      <c r="H103" s="701"/>
      <c r="I103" s="363" t="str">
        <f t="shared" si="22"/>
        <v>-</v>
      </c>
      <c r="J103" s="363" t="str">
        <f t="shared" si="23"/>
        <v>-</v>
      </c>
      <c r="K103" s="199" t="str">
        <f t="shared" si="24"/>
        <v>-</v>
      </c>
      <c r="L103" s="657"/>
      <c r="M103" s="200" t="e">
        <f>RANK(K103, K$77:$K$106)</f>
        <v>#VALUE!</v>
      </c>
      <c r="N103" s="641"/>
      <c r="O103" s="641"/>
      <c r="P103" s="562" t="s">
        <v>585</v>
      </c>
      <c r="Q103" s="566" t="s">
        <v>585</v>
      </c>
      <c r="R103" s="566" t="s">
        <v>585</v>
      </c>
      <c r="S103" s="562" t="e">
        <f t="shared" si="25"/>
        <v>#VALUE!</v>
      </c>
      <c r="T103" s="642"/>
      <c r="U103" s="562" t="s">
        <v>585</v>
      </c>
      <c r="V103" s="566" t="s">
        <v>585</v>
      </c>
      <c r="W103" s="566" t="s">
        <v>585</v>
      </c>
      <c r="X103" s="562" t="e">
        <f t="shared" si="26"/>
        <v>#VALUE!</v>
      </c>
      <c r="Y103" s="642"/>
      <c r="Z103" s="562" t="s">
        <v>585</v>
      </c>
      <c r="AA103" s="566" t="s">
        <v>585</v>
      </c>
      <c r="AB103" s="566" t="s">
        <v>585</v>
      </c>
      <c r="AC103" s="562" t="e">
        <f t="shared" si="27"/>
        <v>#VALUE!</v>
      </c>
      <c r="AD103" s="642"/>
      <c r="AE103" s="562" t="s">
        <v>585</v>
      </c>
      <c r="AF103" s="566" t="s">
        <v>585</v>
      </c>
      <c r="AG103" s="566" t="s">
        <v>585</v>
      </c>
      <c r="AH103" s="562" t="e">
        <f t="shared" si="28"/>
        <v>#VALUE!</v>
      </c>
      <c r="AI103" s="642"/>
      <c r="AJ103" s="562" t="s">
        <v>585</v>
      </c>
      <c r="AK103" s="566" t="s">
        <v>585</v>
      </c>
      <c r="AL103" s="566" t="s">
        <v>585</v>
      </c>
      <c r="AM103" s="562" t="e">
        <f t="shared" si="29"/>
        <v>#VALUE!</v>
      </c>
      <c r="AN103" s="642"/>
      <c r="AO103" s="562" t="s">
        <v>585</v>
      </c>
      <c r="AP103" s="566" t="s">
        <v>585</v>
      </c>
      <c r="AQ103" s="566" t="s">
        <v>585</v>
      </c>
      <c r="AR103" s="562" t="e">
        <f t="shared" si="30"/>
        <v>#VALUE!</v>
      </c>
      <c r="AS103" s="642"/>
      <c r="AT103" s="562" t="s">
        <v>585</v>
      </c>
      <c r="AU103" s="566" t="s">
        <v>585</v>
      </c>
      <c r="AV103" s="566" t="s">
        <v>585</v>
      </c>
      <c r="AW103" s="562" t="e">
        <f t="shared" si="31"/>
        <v>#VALUE!</v>
      </c>
      <c r="AX103" s="642"/>
      <c r="AZ103" s="368" t="e">
        <f t="shared" si="32"/>
        <v>#N/A</v>
      </c>
      <c r="BA103" s="642"/>
    </row>
    <row r="104" spans="2:53">
      <c r="B104" s="647"/>
      <c r="C104" s="283">
        <v>28</v>
      </c>
      <c r="D104" s="201"/>
      <c r="E104" s="538"/>
      <c r="F104" s="201"/>
      <c r="G104" s="199"/>
      <c r="H104" s="701"/>
      <c r="I104" s="363" t="str">
        <f t="shared" si="22"/>
        <v>-</v>
      </c>
      <c r="J104" s="363" t="str">
        <f t="shared" si="23"/>
        <v>-</v>
      </c>
      <c r="K104" s="199" t="str">
        <f t="shared" si="24"/>
        <v>-</v>
      </c>
      <c r="L104" s="657"/>
      <c r="M104" s="200" t="e">
        <f>RANK(K104, K$77:$K$106)</f>
        <v>#VALUE!</v>
      </c>
      <c r="N104" s="641"/>
      <c r="O104" s="641"/>
      <c r="P104" s="562" t="s">
        <v>585</v>
      </c>
      <c r="Q104" s="566" t="s">
        <v>585</v>
      </c>
      <c r="R104" s="566" t="s">
        <v>585</v>
      </c>
      <c r="S104" s="562" t="e">
        <f t="shared" si="25"/>
        <v>#VALUE!</v>
      </c>
      <c r="T104" s="642"/>
      <c r="U104" s="562" t="s">
        <v>585</v>
      </c>
      <c r="V104" s="566" t="s">
        <v>585</v>
      </c>
      <c r="W104" s="566" t="s">
        <v>585</v>
      </c>
      <c r="X104" s="562" t="e">
        <f t="shared" si="26"/>
        <v>#VALUE!</v>
      </c>
      <c r="Y104" s="642"/>
      <c r="Z104" s="562" t="s">
        <v>585</v>
      </c>
      <c r="AA104" s="566" t="s">
        <v>585</v>
      </c>
      <c r="AB104" s="566" t="s">
        <v>585</v>
      </c>
      <c r="AC104" s="562" t="e">
        <f t="shared" si="27"/>
        <v>#VALUE!</v>
      </c>
      <c r="AD104" s="642"/>
      <c r="AE104" s="562" t="s">
        <v>585</v>
      </c>
      <c r="AF104" s="566" t="s">
        <v>585</v>
      </c>
      <c r="AG104" s="566" t="s">
        <v>585</v>
      </c>
      <c r="AH104" s="562" t="e">
        <f t="shared" si="28"/>
        <v>#VALUE!</v>
      </c>
      <c r="AI104" s="642"/>
      <c r="AJ104" s="562" t="s">
        <v>585</v>
      </c>
      <c r="AK104" s="566" t="s">
        <v>585</v>
      </c>
      <c r="AL104" s="566" t="s">
        <v>585</v>
      </c>
      <c r="AM104" s="562" t="e">
        <f t="shared" si="29"/>
        <v>#VALUE!</v>
      </c>
      <c r="AN104" s="642"/>
      <c r="AO104" s="562" t="s">
        <v>585</v>
      </c>
      <c r="AP104" s="566" t="s">
        <v>585</v>
      </c>
      <c r="AQ104" s="566" t="s">
        <v>585</v>
      </c>
      <c r="AR104" s="562" t="e">
        <f t="shared" si="30"/>
        <v>#VALUE!</v>
      </c>
      <c r="AS104" s="642"/>
      <c r="AT104" s="562" t="s">
        <v>585</v>
      </c>
      <c r="AU104" s="566" t="s">
        <v>585</v>
      </c>
      <c r="AV104" s="566" t="s">
        <v>585</v>
      </c>
      <c r="AW104" s="562" t="e">
        <f t="shared" si="31"/>
        <v>#VALUE!</v>
      </c>
      <c r="AX104" s="642"/>
      <c r="AZ104" s="368" t="e">
        <f t="shared" si="32"/>
        <v>#N/A</v>
      </c>
      <c r="BA104" s="642"/>
    </row>
    <row r="105" spans="2:53">
      <c r="B105" s="647"/>
      <c r="C105" s="283">
        <v>29</v>
      </c>
      <c r="D105" s="201"/>
      <c r="E105" s="538"/>
      <c r="F105" s="201"/>
      <c r="G105" s="199"/>
      <c r="H105" s="701"/>
      <c r="I105" s="363" t="str">
        <f t="shared" si="22"/>
        <v>-</v>
      </c>
      <c r="J105" s="363" t="str">
        <f t="shared" si="23"/>
        <v>-</v>
      </c>
      <c r="K105" s="199" t="str">
        <f t="shared" si="24"/>
        <v>-</v>
      </c>
      <c r="L105" s="657"/>
      <c r="M105" s="200" t="e">
        <f>RANK(K105, K$77:$K$106)</f>
        <v>#VALUE!</v>
      </c>
      <c r="N105" s="641"/>
      <c r="O105" s="641"/>
      <c r="P105" s="562" t="s">
        <v>585</v>
      </c>
      <c r="Q105" s="566" t="s">
        <v>585</v>
      </c>
      <c r="R105" s="566" t="s">
        <v>585</v>
      </c>
      <c r="S105" s="562" t="e">
        <f t="shared" si="25"/>
        <v>#VALUE!</v>
      </c>
      <c r="T105" s="642"/>
      <c r="U105" s="562" t="s">
        <v>585</v>
      </c>
      <c r="V105" s="566" t="s">
        <v>585</v>
      </c>
      <c r="W105" s="566" t="s">
        <v>585</v>
      </c>
      <c r="X105" s="562" t="e">
        <f t="shared" si="26"/>
        <v>#VALUE!</v>
      </c>
      <c r="Y105" s="642"/>
      <c r="Z105" s="562" t="s">
        <v>585</v>
      </c>
      <c r="AA105" s="566" t="s">
        <v>585</v>
      </c>
      <c r="AB105" s="566" t="s">
        <v>585</v>
      </c>
      <c r="AC105" s="562" t="e">
        <f t="shared" si="27"/>
        <v>#VALUE!</v>
      </c>
      <c r="AD105" s="642"/>
      <c r="AE105" s="562" t="s">
        <v>585</v>
      </c>
      <c r="AF105" s="566" t="s">
        <v>585</v>
      </c>
      <c r="AG105" s="566" t="s">
        <v>585</v>
      </c>
      <c r="AH105" s="562" t="e">
        <f t="shared" si="28"/>
        <v>#VALUE!</v>
      </c>
      <c r="AI105" s="642"/>
      <c r="AJ105" s="562" t="s">
        <v>585</v>
      </c>
      <c r="AK105" s="566" t="s">
        <v>585</v>
      </c>
      <c r="AL105" s="566" t="s">
        <v>585</v>
      </c>
      <c r="AM105" s="562" t="e">
        <f t="shared" si="29"/>
        <v>#VALUE!</v>
      </c>
      <c r="AN105" s="642"/>
      <c r="AO105" s="562" t="s">
        <v>585</v>
      </c>
      <c r="AP105" s="566" t="s">
        <v>585</v>
      </c>
      <c r="AQ105" s="566" t="s">
        <v>585</v>
      </c>
      <c r="AR105" s="562" t="e">
        <f t="shared" si="30"/>
        <v>#VALUE!</v>
      </c>
      <c r="AS105" s="642"/>
      <c r="AT105" s="562" t="s">
        <v>585</v>
      </c>
      <c r="AU105" s="566" t="s">
        <v>585</v>
      </c>
      <c r="AV105" s="566" t="s">
        <v>585</v>
      </c>
      <c r="AW105" s="562" t="e">
        <f t="shared" si="31"/>
        <v>#VALUE!</v>
      </c>
      <c r="AX105" s="642"/>
      <c r="AZ105" s="368" t="e">
        <f t="shared" si="32"/>
        <v>#N/A</v>
      </c>
      <c r="BA105" s="642"/>
    </row>
    <row r="106" spans="2:53">
      <c r="B106" s="647"/>
      <c r="C106" s="283">
        <v>30</v>
      </c>
      <c r="D106" s="201"/>
      <c r="E106" s="538"/>
      <c r="F106" s="201"/>
      <c r="G106" s="199"/>
      <c r="H106" s="702"/>
      <c r="I106" s="363" t="str">
        <f t="shared" si="22"/>
        <v>-</v>
      </c>
      <c r="J106" s="363" t="str">
        <f t="shared" si="23"/>
        <v>-</v>
      </c>
      <c r="K106" s="199" t="str">
        <f t="shared" si="24"/>
        <v>-</v>
      </c>
      <c r="L106" s="658"/>
      <c r="M106" s="200" t="e">
        <f>RANK(K106, K$77:$K$106)</f>
        <v>#VALUE!</v>
      </c>
      <c r="N106" s="641"/>
      <c r="O106" s="641"/>
      <c r="P106" s="562" t="s">
        <v>585</v>
      </c>
      <c r="Q106" s="566" t="s">
        <v>585</v>
      </c>
      <c r="R106" s="566" t="s">
        <v>585</v>
      </c>
      <c r="S106" s="562" t="e">
        <f t="shared" si="25"/>
        <v>#VALUE!</v>
      </c>
      <c r="T106" s="642"/>
      <c r="U106" s="562" t="s">
        <v>585</v>
      </c>
      <c r="V106" s="566" t="s">
        <v>585</v>
      </c>
      <c r="W106" s="566" t="s">
        <v>585</v>
      </c>
      <c r="X106" s="562" t="e">
        <f t="shared" si="26"/>
        <v>#VALUE!</v>
      </c>
      <c r="Y106" s="642"/>
      <c r="Z106" s="562" t="s">
        <v>585</v>
      </c>
      <c r="AA106" s="566" t="s">
        <v>585</v>
      </c>
      <c r="AB106" s="566" t="s">
        <v>585</v>
      </c>
      <c r="AC106" s="562" t="e">
        <f t="shared" si="27"/>
        <v>#VALUE!</v>
      </c>
      <c r="AD106" s="642"/>
      <c r="AE106" s="562" t="s">
        <v>585</v>
      </c>
      <c r="AF106" s="566" t="s">
        <v>585</v>
      </c>
      <c r="AG106" s="566" t="s">
        <v>585</v>
      </c>
      <c r="AH106" s="562" t="e">
        <f t="shared" si="28"/>
        <v>#VALUE!</v>
      </c>
      <c r="AI106" s="642"/>
      <c r="AJ106" s="562" t="s">
        <v>585</v>
      </c>
      <c r="AK106" s="566" t="s">
        <v>585</v>
      </c>
      <c r="AL106" s="566" t="s">
        <v>585</v>
      </c>
      <c r="AM106" s="562" t="e">
        <f t="shared" si="29"/>
        <v>#VALUE!</v>
      </c>
      <c r="AN106" s="642"/>
      <c r="AO106" s="562" t="s">
        <v>585</v>
      </c>
      <c r="AP106" s="566" t="s">
        <v>585</v>
      </c>
      <c r="AQ106" s="566" t="s">
        <v>585</v>
      </c>
      <c r="AR106" s="562" t="e">
        <f t="shared" si="30"/>
        <v>#VALUE!</v>
      </c>
      <c r="AS106" s="642"/>
      <c r="AT106" s="562" t="s">
        <v>585</v>
      </c>
      <c r="AU106" s="566" t="s">
        <v>585</v>
      </c>
      <c r="AV106" s="566" t="s">
        <v>585</v>
      </c>
      <c r="AW106" s="562" t="e">
        <f t="shared" si="31"/>
        <v>#VALUE!</v>
      </c>
      <c r="AX106" s="642"/>
      <c r="AZ106" s="368" t="e">
        <f t="shared" si="32"/>
        <v>#N/A</v>
      </c>
      <c r="BA106" s="642"/>
    </row>
    <row r="107" spans="2:53" ht="15.75">
      <c r="B107" s="669" t="s">
        <v>162</v>
      </c>
      <c r="C107" s="670"/>
      <c r="D107" s="670"/>
      <c r="E107" s="670"/>
      <c r="F107" s="670"/>
      <c r="G107" s="670"/>
      <c r="H107" s="671"/>
      <c r="I107" s="207"/>
      <c r="J107" s="207"/>
      <c r="K107" s="207"/>
      <c r="L107" s="207"/>
      <c r="M107" s="206"/>
      <c r="N107" s="643" t="s">
        <v>156</v>
      </c>
      <c r="O107" s="643" t="s">
        <v>105</v>
      </c>
      <c r="P107" s="665">
        <f>P72+7</f>
        <v>46252</v>
      </c>
      <c r="Q107" s="666"/>
      <c r="R107" s="666"/>
      <c r="S107" s="666"/>
      <c r="T107" s="667"/>
      <c r="U107" s="665">
        <f>P107+1</f>
        <v>46253</v>
      </c>
      <c r="V107" s="666"/>
      <c r="W107" s="666"/>
      <c r="X107" s="666"/>
      <c r="Y107" s="667"/>
      <c r="Z107" s="665">
        <f>U107+1</f>
        <v>46254</v>
      </c>
      <c r="AA107" s="666"/>
      <c r="AB107" s="666"/>
      <c r="AC107" s="666"/>
      <c r="AD107" s="667"/>
      <c r="AE107" s="665">
        <f>Z107+1</f>
        <v>46255</v>
      </c>
      <c r="AF107" s="666"/>
      <c r="AG107" s="666"/>
      <c r="AH107" s="666"/>
      <c r="AI107" s="667"/>
      <c r="AJ107" s="665">
        <f>AE107+1</f>
        <v>46256</v>
      </c>
      <c r="AK107" s="666"/>
      <c r="AL107" s="666"/>
      <c r="AM107" s="666"/>
      <c r="AN107" s="667"/>
      <c r="AO107" s="665">
        <f>AJ107+1</f>
        <v>46257</v>
      </c>
      <c r="AP107" s="666"/>
      <c r="AQ107" s="666"/>
      <c r="AR107" s="666"/>
      <c r="AS107" s="667"/>
      <c r="AT107" s="665">
        <f>AO107+1</f>
        <v>46258</v>
      </c>
      <c r="AU107" s="666"/>
      <c r="AV107" s="666"/>
      <c r="AW107" s="666"/>
      <c r="AX107" s="667"/>
    </row>
    <row r="108" spans="2:53" ht="15.75">
      <c r="B108" s="672"/>
      <c r="C108" s="672"/>
      <c r="D108" s="672"/>
      <c r="E108" s="672"/>
      <c r="F108" s="672"/>
      <c r="G108" s="672"/>
      <c r="H108" s="672"/>
      <c r="I108" s="204"/>
      <c r="J108" s="204"/>
      <c r="K108" s="204"/>
      <c r="L108" s="204"/>
      <c r="M108" s="205"/>
      <c r="N108" s="645"/>
      <c r="O108" s="645"/>
      <c r="P108" s="665" t="s">
        <v>317</v>
      </c>
      <c r="Q108" s="666"/>
      <c r="R108" s="666"/>
      <c r="S108" s="666"/>
      <c r="T108" s="667"/>
      <c r="U108" s="665" t="s">
        <v>318</v>
      </c>
      <c r="V108" s="666"/>
      <c r="W108" s="666"/>
      <c r="X108" s="666"/>
      <c r="Y108" s="667"/>
      <c r="Z108" s="665" t="s">
        <v>319</v>
      </c>
      <c r="AA108" s="666"/>
      <c r="AB108" s="666"/>
      <c r="AC108" s="666"/>
      <c r="AD108" s="667"/>
      <c r="AE108" s="665" t="s">
        <v>320</v>
      </c>
      <c r="AF108" s="666"/>
      <c r="AG108" s="666"/>
      <c r="AH108" s="666"/>
      <c r="AI108" s="667"/>
      <c r="AJ108" s="665" t="s">
        <v>321</v>
      </c>
      <c r="AK108" s="666"/>
      <c r="AL108" s="666"/>
      <c r="AM108" s="666"/>
      <c r="AN108" s="667"/>
      <c r="AO108" s="665" t="s">
        <v>322</v>
      </c>
      <c r="AP108" s="666"/>
      <c r="AQ108" s="666"/>
      <c r="AR108" s="666"/>
      <c r="AS108" s="667"/>
      <c r="AT108" s="665" t="s">
        <v>323</v>
      </c>
      <c r="AU108" s="666"/>
      <c r="AV108" s="666"/>
      <c r="AW108" s="666"/>
      <c r="AX108" s="667"/>
    </row>
    <row r="109" spans="2:53">
      <c r="B109" s="641" t="s">
        <v>407</v>
      </c>
      <c r="C109" s="641" t="s">
        <v>408</v>
      </c>
      <c r="D109" s="641"/>
      <c r="E109" s="641" t="s">
        <v>409</v>
      </c>
      <c r="F109" s="641"/>
      <c r="G109" s="641"/>
      <c r="H109" s="673" t="s">
        <v>410</v>
      </c>
      <c r="I109" s="688" t="s">
        <v>411</v>
      </c>
      <c r="J109" s="688"/>
      <c r="K109" s="688"/>
      <c r="L109" s="689" t="s">
        <v>410</v>
      </c>
      <c r="M109" s="677" t="s">
        <v>412</v>
      </c>
      <c r="N109" s="641"/>
      <c r="O109" s="641" t="s">
        <v>413</v>
      </c>
      <c r="P109" s="659" t="s">
        <v>414</v>
      </c>
      <c r="Q109" s="660"/>
      <c r="R109" s="660"/>
      <c r="S109" s="661"/>
      <c r="T109" s="643" t="s">
        <v>410</v>
      </c>
      <c r="U109" s="659" t="s">
        <v>414</v>
      </c>
      <c r="V109" s="660"/>
      <c r="W109" s="660"/>
      <c r="X109" s="661"/>
      <c r="Y109" s="643" t="s">
        <v>410</v>
      </c>
      <c r="Z109" s="659" t="s">
        <v>414</v>
      </c>
      <c r="AA109" s="660"/>
      <c r="AB109" s="660"/>
      <c r="AC109" s="661"/>
      <c r="AD109" s="643" t="s">
        <v>410</v>
      </c>
      <c r="AE109" s="659" t="s">
        <v>414</v>
      </c>
      <c r="AF109" s="660"/>
      <c r="AG109" s="660"/>
      <c r="AH109" s="661"/>
      <c r="AI109" s="643" t="s">
        <v>410</v>
      </c>
      <c r="AJ109" s="659" t="s">
        <v>414</v>
      </c>
      <c r="AK109" s="660"/>
      <c r="AL109" s="660"/>
      <c r="AM109" s="661"/>
      <c r="AN109" s="643" t="s">
        <v>410</v>
      </c>
      <c r="AO109" s="659" t="s">
        <v>414</v>
      </c>
      <c r="AP109" s="660"/>
      <c r="AQ109" s="660"/>
      <c r="AR109" s="661"/>
      <c r="AS109" s="643" t="s">
        <v>410</v>
      </c>
      <c r="AT109" s="659" t="s">
        <v>414</v>
      </c>
      <c r="AU109" s="660"/>
      <c r="AV109" s="660"/>
      <c r="AW109" s="661"/>
      <c r="AX109" s="641" t="s">
        <v>410</v>
      </c>
      <c r="BA109" s="641" t="s">
        <v>366</v>
      </c>
    </row>
    <row r="110" spans="2:53">
      <c r="B110" s="641"/>
      <c r="C110" s="641"/>
      <c r="D110" s="641"/>
      <c r="E110" s="641" t="s">
        <v>415</v>
      </c>
      <c r="F110" s="641"/>
      <c r="G110" s="641"/>
      <c r="H110" s="674"/>
      <c r="I110" s="688" t="s">
        <v>415</v>
      </c>
      <c r="J110" s="688"/>
      <c r="K110" s="688"/>
      <c r="L110" s="690"/>
      <c r="M110" s="678"/>
      <c r="N110" s="641"/>
      <c r="O110" s="641"/>
      <c r="P110" s="659" t="s">
        <v>416</v>
      </c>
      <c r="Q110" s="660"/>
      <c r="R110" s="660"/>
      <c r="S110" s="661"/>
      <c r="T110" s="644"/>
      <c r="U110" s="659" t="s">
        <v>416</v>
      </c>
      <c r="V110" s="660"/>
      <c r="W110" s="660"/>
      <c r="X110" s="661"/>
      <c r="Y110" s="644"/>
      <c r="Z110" s="659" t="s">
        <v>416</v>
      </c>
      <c r="AA110" s="660"/>
      <c r="AB110" s="660"/>
      <c r="AC110" s="661"/>
      <c r="AD110" s="644"/>
      <c r="AE110" s="659" t="s">
        <v>416</v>
      </c>
      <c r="AF110" s="660"/>
      <c r="AG110" s="660"/>
      <c r="AH110" s="661"/>
      <c r="AI110" s="644"/>
      <c r="AJ110" s="659" t="s">
        <v>416</v>
      </c>
      <c r="AK110" s="660"/>
      <c r="AL110" s="660"/>
      <c r="AM110" s="661"/>
      <c r="AN110" s="644"/>
      <c r="AO110" s="659" t="s">
        <v>416</v>
      </c>
      <c r="AP110" s="660"/>
      <c r="AQ110" s="660"/>
      <c r="AR110" s="661"/>
      <c r="AS110" s="644"/>
      <c r="AT110" s="659" t="s">
        <v>416</v>
      </c>
      <c r="AU110" s="660"/>
      <c r="AV110" s="660"/>
      <c r="AW110" s="661"/>
      <c r="AX110" s="641"/>
      <c r="BA110" s="641"/>
    </row>
    <row r="111" spans="2:53">
      <c r="B111" s="641"/>
      <c r="C111" s="641"/>
      <c r="D111" s="641"/>
      <c r="E111" s="282" t="s">
        <v>417</v>
      </c>
      <c r="F111" s="282" t="s">
        <v>418</v>
      </c>
      <c r="G111" s="282" t="s">
        <v>419</v>
      </c>
      <c r="H111" s="675"/>
      <c r="I111" s="281" t="s">
        <v>417</v>
      </c>
      <c r="J111" s="281" t="s">
        <v>418</v>
      </c>
      <c r="K111" s="281" t="s">
        <v>419</v>
      </c>
      <c r="L111" s="691"/>
      <c r="M111" s="679"/>
      <c r="N111" s="641"/>
      <c r="O111" s="641"/>
      <c r="P111" s="465" t="s">
        <v>417</v>
      </c>
      <c r="Q111" s="465" t="s">
        <v>418</v>
      </c>
      <c r="R111" s="465" t="s">
        <v>419</v>
      </c>
      <c r="S111" s="465" t="s">
        <v>412</v>
      </c>
      <c r="T111" s="645"/>
      <c r="U111" s="465" t="s">
        <v>417</v>
      </c>
      <c r="V111" s="465" t="s">
        <v>418</v>
      </c>
      <c r="W111" s="465" t="s">
        <v>419</v>
      </c>
      <c r="X111" s="465" t="s">
        <v>412</v>
      </c>
      <c r="Y111" s="645"/>
      <c r="Z111" s="465" t="s">
        <v>417</v>
      </c>
      <c r="AA111" s="465" t="s">
        <v>418</v>
      </c>
      <c r="AB111" s="465" t="s">
        <v>419</v>
      </c>
      <c r="AC111" s="465" t="s">
        <v>412</v>
      </c>
      <c r="AD111" s="645"/>
      <c r="AE111" s="465" t="s">
        <v>417</v>
      </c>
      <c r="AF111" s="465" t="s">
        <v>418</v>
      </c>
      <c r="AG111" s="465" t="s">
        <v>419</v>
      </c>
      <c r="AH111" s="465" t="s">
        <v>412</v>
      </c>
      <c r="AI111" s="645"/>
      <c r="AJ111" s="465" t="s">
        <v>417</v>
      </c>
      <c r="AK111" s="465" t="s">
        <v>418</v>
      </c>
      <c r="AL111" s="465" t="s">
        <v>419</v>
      </c>
      <c r="AM111" s="465" t="s">
        <v>412</v>
      </c>
      <c r="AN111" s="645"/>
      <c r="AO111" s="465" t="s">
        <v>417</v>
      </c>
      <c r="AP111" s="465" t="s">
        <v>418</v>
      </c>
      <c r="AQ111" s="465" t="s">
        <v>419</v>
      </c>
      <c r="AR111" s="465" t="s">
        <v>412</v>
      </c>
      <c r="AS111" s="645"/>
      <c r="AT111" s="282" t="s">
        <v>417</v>
      </c>
      <c r="AU111" s="282" t="s">
        <v>418</v>
      </c>
      <c r="AV111" s="282" t="s">
        <v>419</v>
      </c>
      <c r="AW111" s="282" t="s">
        <v>412</v>
      </c>
      <c r="AX111" s="641"/>
      <c r="AZ111" s="367" t="s">
        <v>367</v>
      </c>
      <c r="BA111" s="641"/>
    </row>
    <row r="112" spans="2:53">
      <c r="B112" s="641" t="s">
        <v>420</v>
      </c>
      <c r="C112" s="283">
        <v>1</v>
      </c>
      <c r="D112" s="201" t="s">
        <v>342</v>
      </c>
      <c r="E112" s="517">
        <v>6</v>
      </c>
      <c r="F112" s="201">
        <v>1500</v>
      </c>
      <c r="G112" s="199">
        <v>250</v>
      </c>
      <c r="H112" s="700">
        <f>AVERAGE(G112:G141)</f>
        <v>99.985568112478873</v>
      </c>
      <c r="I112" s="363">
        <f>IFERROR(AVERAGE(P112,U112,Z112,AE112,AJ112,AO112,AT112),"-")</f>
        <v>6</v>
      </c>
      <c r="J112" s="363">
        <f>IFERROR(AVERAGE(Q112,V112,AA112,AF112,AK112,AP112,AU112),"-")</f>
        <v>1460.5291185141384</v>
      </c>
      <c r="K112" s="199">
        <f>IFERROR(AVERAGE(R112,W112,AB112,AG112,AL112,AQ112,AV112),"-")</f>
        <v>243.42151975235643</v>
      </c>
      <c r="L112" s="656">
        <f>IFERROR(AVERAGE(K112:K141),"-")</f>
        <v>89.622475930656734</v>
      </c>
      <c r="M112" s="200">
        <f>RANK(K112, K$112:$K$141)</f>
        <v>1</v>
      </c>
      <c r="N112" s="641"/>
      <c r="O112" s="641"/>
      <c r="P112" s="575">
        <v>6</v>
      </c>
      <c r="Q112" s="577">
        <v>1479.7000000000007</v>
      </c>
      <c r="R112" s="577">
        <v>246.61666666666679</v>
      </c>
      <c r="S112" s="575">
        <f>RANK(R112, R$112:R$141)</f>
        <v>1</v>
      </c>
      <c r="T112" s="642">
        <f>AVERAGE(R112:R141)</f>
        <v>89.455706778199541</v>
      </c>
      <c r="U112" s="575">
        <v>6</v>
      </c>
      <c r="V112" s="577">
        <v>1440.2777777777787</v>
      </c>
      <c r="W112" s="577">
        <v>240.04629629629645</v>
      </c>
      <c r="X112" s="575">
        <f>RANK(W112, W$112:W$141)</f>
        <v>1</v>
      </c>
      <c r="Y112" s="642">
        <f>AVERAGE(W112:W141)</f>
        <v>89.476721956349465</v>
      </c>
      <c r="Z112" s="575">
        <v>6</v>
      </c>
      <c r="AA112" s="577">
        <v>1448.2075471698122</v>
      </c>
      <c r="AB112" s="577">
        <v>241.36792452830204</v>
      </c>
      <c r="AC112" s="575">
        <f>RANK(AB112, AB$112:AB$141)</f>
        <v>2</v>
      </c>
      <c r="AD112" s="642">
        <f>AVERAGE(AB112:AB141)</f>
        <v>89.616099417391936</v>
      </c>
      <c r="AE112" s="575">
        <v>6</v>
      </c>
      <c r="AF112" s="577">
        <v>1452.7636363636364</v>
      </c>
      <c r="AG112" s="577">
        <v>242.12727272727273</v>
      </c>
      <c r="AH112" s="575">
        <f>RANK(AG112, AG$112:AG$141)</f>
        <v>2</v>
      </c>
      <c r="AI112" s="642">
        <f>AVERAGE(AG112:AG141)</f>
        <v>89.939401581459336</v>
      </c>
      <c r="AJ112" s="575">
        <v>6</v>
      </c>
      <c r="AK112" s="577">
        <v>1477.2851063829792</v>
      </c>
      <c r="AL112" s="577">
        <v>246.21418439716319</v>
      </c>
      <c r="AM112" s="575">
        <f>RANK(AL112, AL$112:AL$141)</f>
        <v>1</v>
      </c>
      <c r="AN112" s="642">
        <f>AVERAGE(AL112:AL141)</f>
        <v>90.025152773008202</v>
      </c>
      <c r="AO112" s="575">
        <v>6</v>
      </c>
      <c r="AP112" s="577">
        <v>1448.0964285714281</v>
      </c>
      <c r="AQ112" s="577">
        <v>241.34940476190468</v>
      </c>
      <c r="AR112" s="575">
        <f>RANK(AQ112, AQ$112:AQ$141)</f>
        <v>1</v>
      </c>
      <c r="AS112" s="642">
        <f>AVERAGE(AQ112:AQ141)</f>
        <v>89.399409767982661</v>
      </c>
      <c r="AT112" s="575">
        <v>6</v>
      </c>
      <c r="AU112" s="577">
        <v>1477.3733333333337</v>
      </c>
      <c r="AV112" s="577">
        <v>246.22888888888895</v>
      </c>
      <c r="AW112" s="575">
        <f>RANK(AV112, AV$112:AV$141)</f>
        <v>1</v>
      </c>
      <c r="AX112" s="642">
        <f>AVERAGE(AV112:AV141)</f>
        <v>89.444839240205951</v>
      </c>
      <c r="AZ112" s="368" t="e">
        <f>RANK(AY112, AY$112:AY$141)</f>
        <v>#N/A</v>
      </c>
      <c r="BA112" s="642" t="e">
        <f>AVERAGE(AY112:AY141)</f>
        <v>#DIV/0!</v>
      </c>
    </row>
    <row r="113" spans="2:53">
      <c r="B113" s="647"/>
      <c r="C113" s="283">
        <v>2</v>
      </c>
      <c r="D113" s="201" t="s">
        <v>586</v>
      </c>
      <c r="E113" s="517">
        <v>6</v>
      </c>
      <c r="F113" s="201">
        <v>1636</v>
      </c>
      <c r="G113" s="199">
        <v>272.66666666666669</v>
      </c>
      <c r="H113" s="701"/>
      <c r="I113" s="363">
        <f t="shared" ref="I113:I141" si="33">IFERROR(AVERAGE(P113,U113,Z113,AE113,AJ113,AO113,AT113),"-")</f>
        <v>6</v>
      </c>
      <c r="J113" s="363">
        <f t="shared" ref="J113:J141" si="34">IFERROR(AVERAGE(Q113,V113,AA113,AF113,AK113,AP113,AU113),"-")</f>
        <v>1450.1797843672082</v>
      </c>
      <c r="K113" s="199">
        <f t="shared" ref="K113:K141" si="35">IFERROR(AVERAGE(R113,W113,AB113,AG113,AL113,AQ113,AV113),"-")</f>
        <v>241.69663072786804</v>
      </c>
      <c r="L113" s="657"/>
      <c r="M113" s="200">
        <f>RANK(K113, K$112:$K$141)</f>
        <v>2</v>
      </c>
      <c r="N113" s="641"/>
      <c r="O113" s="641"/>
      <c r="P113" s="575">
        <v>6</v>
      </c>
      <c r="Q113" s="577">
        <v>1426.7647058823532</v>
      </c>
      <c r="R113" s="577">
        <v>237.79411764705887</v>
      </c>
      <c r="S113" s="575">
        <f t="shared" ref="S113:S141" si="36">RANK(R113, R$112:R$141)</f>
        <v>2</v>
      </c>
      <c r="T113" s="642"/>
      <c r="U113" s="575">
        <v>6</v>
      </c>
      <c r="V113" s="577">
        <v>1435.384615384615</v>
      </c>
      <c r="W113" s="577">
        <v>239.23076923076917</v>
      </c>
      <c r="X113" s="575">
        <f t="shared" ref="X113:X141" si="37">RANK(W113, W$112:W$141)</f>
        <v>2</v>
      </c>
      <c r="Y113" s="642"/>
      <c r="Z113" s="575">
        <v>6</v>
      </c>
      <c r="AA113" s="577">
        <v>1449.3749999999995</v>
      </c>
      <c r="AB113" s="577">
        <v>241.56249999999991</v>
      </c>
      <c r="AC113" s="575">
        <f t="shared" ref="AC113:AC141" si="38">RANK(AB113, AB$112:AB$141)</f>
        <v>1</v>
      </c>
      <c r="AD113" s="642"/>
      <c r="AE113" s="575">
        <v>6</v>
      </c>
      <c r="AF113" s="577">
        <v>1469.4339622641519</v>
      </c>
      <c r="AG113" s="577">
        <v>244.90566037735866</v>
      </c>
      <c r="AH113" s="575">
        <f t="shared" ref="AH113:AH141" si="39">RANK(AG113, AG$112:AG$141)</f>
        <v>1</v>
      </c>
      <c r="AI113" s="642"/>
      <c r="AJ113" s="575">
        <v>6</v>
      </c>
      <c r="AK113" s="577">
        <v>1465.0000000000005</v>
      </c>
      <c r="AL113" s="577">
        <v>244.16666666666674</v>
      </c>
      <c r="AM113" s="575">
        <f t="shared" ref="AM113:AM141" si="40">RANK(AL113, AL$112:AL$141)</f>
        <v>2</v>
      </c>
      <c r="AN113" s="642"/>
      <c r="AO113" s="575">
        <v>6</v>
      </c>
      <c r="AP113" s="577">
        <v>1440.9523809523805</v>
      </c>
      <c r="AQ113" s="577">
        <v>240.15873015873009</v>
      </c>
      <c r="AR113" s="575">
        <f t="shared" ref="AR113:AR141" si="41">RANK(AQ113, AQ$112:AQ$141)</f>
        <v>2</v>
      </c>
      <c r="AS113" s="642"/>
      <c r="AT113" s="575">
        <v>6</v>
      </c>
      <c r="AU113" s="577">
        <v>1464.3478260869565</v>
      </c>
      <c r="AV113" s="577">
        <v>244.05797101449275</v>
      </c>
      <c r="AW113" s="575">
        <f t="shared" ref="AW113:AW141" si="42">RANK(AV113, AV$112:AV$141)</f>
        <v>2</v>
      </c>
      <c r="AX113" s="642"/>
      <c r="AZ113" s="368" t="e">
        <f t="shared" ref="AZ113:AZ141" si="43">RANK(AY113, AY$112:AY$141)</f>
        <v>#N/A</v>
      </c>
      <c r="BA113" s="642"/>
    </row>
    <row r="114" spans="2:53">
      <c r="B114" s="647"/>
      <c r="C114" s="283">
        <v>3</v>
      </c>
      <c r="D114" s="201" t="s">
        <v>578</v>
      </c>
      <c r="E114" s="517">
        <v>16</v>
      </c>
      <c r="F114" s="201">
        <v>1500</v>
      </c>
      <c r="G114" s="199">
        <v>93.75</v>
      </c>
      <c r="H114" s="701"/>
      <c r="I114" s="363">
        <f t="shared" si="33"/>
        <v>16.428571428571427</v>
      </c>
      <c r="J114" s="363">
        <f t="shared" si="34"/>
        <v>1284.0245050431545</v>
      </c>
      <c r="K114" s="199">
        <f t="shared" si="35"/>
        <v>78.230712271849711</v>
      </c>
      <c r="L114" s="657"/>
      <c r="M114" s="200">
        <f>RANK(K114, K$112:$K$141)</f>
        <v>12</v>
      </c>
      <c r="N114" s="641"/>
      <c r="O114" s="641"/>
      <c r="P114" s="575">
        <v>17</v>
      </c>
      <c r="Q114" s="577">
        <v>1296.4615384615392</v>
      </c>
      <c r="R114" s="577">
        <v>76.262443438914076</v>
      </c>
      <c r="S114" s="575">
        <f t="shared" si="36"/>
        <v>14</v>
      </c>
      <c r="T114" s="642"/>
      <c r="U114" s="575">
        <v>17</v>
      </c>
      <c r="V114" s="577">
        <v>1260.2553191489365</v>
      </c>
      <c r="W114" s="577">
        <v>74.132665832290385</v>
      </c>
      <c r="X114" s="575">
        <f t="shared" si="37"/>
        <v>14</v>
      </c>
      <c r="Y114" s="642"/>
      <c r="Z114" s="575">
        <v>16</v>
      </c>
      <c r="AA114" s="577">
        <v>1265.0000000000005</v>
      </c>
      <c r="AB114" s="577">
        <v>79.062500000000028</v>
      </c>
      <c r="AC114" s="575">
        <f t="shared" si="38"/>
        <v>13</v>
      </c>
      <c r="AD114" s="642"/>
      <c r="AE114" s="575">
        <v>16</v>
      </c>
      <c r="AF114" s="577">
        <v>1299.1034482758612</v>
      </c>
      <c r="AG114" s="577">
        <v>81.193965517241324</v>
      </c>
      <c r="AH114" s="575">
        <f t="shared" si="39"/>
        <v>10</v>
      </c>
      <c r="AI114" s="642"/>
      <c r="AJ114" s="575">
        <v>16</v>
      </c>
      <c r="AK114" s="577">
        <v>1277.5645161290317</v>
      </c>
      <c r="AL114" s="577">
        <v>79.847782258064484</v>
      </c>
      <c r="AM114" s="575">
        <f t="shared" si="40"/>
        <v>11</v>
      </c>
      <c r="AN114" s="642"/>
      <c r="AO114" s="575">
        <v>17</v>
      </c>
      <c r="AP114" s="577">
        <v>1290.9230769230762</v>
      </c>
      <c r="AQ114" s="577">
        <v>75.936651583710372</v>
      </c>
      <c r="AR114" s="575">
        <f t="shared" si="41"/>
        <v>14</v>
      </c>
      <c r="AS114" s="642"/>
      <c r="AT114" s="575">
        <v>16</v>
      </c>
      <c r="AU114" s="577">
        <v>1298.8636363636365</v>
      </c>
      <c r="AV114" s="577">
        <v>81.17897727272728</v>
      </c>
      <c r="AW114" s="575">
        <f t="shared" si="42"/>
        <v>10</v>
      </c>
      <c r="AX114" s="642"/>
      <c r="AZ114" s="368" t="e">
        <f t="shared" si="43"/>
        <v>#N/A</v>
      </c>
      <c r="BA114" s="642"/>
    </row>
    <row r="115" spans="2:53">
      <c r="B115" s="647"/>
      <c r="C115" s="283">
        <v>4</v>
      </c>
      <c r="D115" s="201" t="s">
        <v>549</v>
      </c>
      <c r="E115" s="517">
        <v>18</v>
      </c>
      <c r="F115" s="201">
        <v>1500</v>
      </c>
      <c r="G115" s="199">
        <v>83.333333333333329</v>
      </c>
      <c r="H115" s="701"/>
      <c r="I115" s="363">
        <f t="shared" si="33"/>
        <v>18</v>
      </c>
      <c r="J115" s="363">
        <f t="shared" si="34"/>
        <v>1201.1583538888688</v>
      </c>
      <c r="K115" s="199">
        <f t="shared" si="35"/>
        <v>66.73101966049272</v>
      </c>
      <c r="L115" s="657"/>
      <c r="M115" s="200">
        <f>RANK(K115, K$112:$K$141)</f>
        <v>21</v>
      </c>
      <c r="N115" s="641"/>
      <c r="O115" s="641"/>
      <c r="P115" s="575">
        <v>18</v>
      </c>
      <c r="Q115" s="577">
        <v>1225.8000000000002</v>
      </c>
      <c r="R115" s="577">
        <v>68.100000000000009</v>
      </c>
      <c r="S115" s="575">
        <f t="shared" si="36"/>
        <v>20</v>
      </c>
      <c r="T115" s="642"/>
      <c r="U115" s="575">
        <v>18</v>
      </c>
      <c r="V115" s="577">
        <v>1225.51724137931</v>
      </c>
      <c r="W115" s="577">
        <v>68.084291187739439</v>
      </c>
      <c r="X115" s="575">
        <f t="shared" si="37"/>
        <v>21</v>
      </c>
      <c r="Y115" s="642"/>
      <c r="Z115" s="575">
        <v>18</v>
      </c>
      <c r="AA115" s="577">
        <v>1186.0199999999993</v>
      </c>
      <c r="AB115" s="577">
        <v>65.889999999999958</v>
      </c>
      <c r="AC115" s="575">
        <f t="shared" si="38"/>
        <v>21</v>
      </c>
      <c r="AD115" s="642"/>
      <c r="AE115" s="575">
        <v>18</v>
      </c>
      <c r="AF115" s="577">
        <v>1196.9620253164562</v>
      </c>
      <c r="AG115" s="577">
        <v>66.497890295358673</v>
      </c>
      <c r="AH115" s="575">
        <f t="shared" si="39"/>
        <v>21</v>
      </c>
      <c r="AI115" s="642"/>
      <c r="AJ115" s="575">
        <v>18</v>
      </c>
      <c r="AK115" s="577">
        <v>1193.6842105263163</v>
      </c>
      <c r="AL115" s="577">
        <v>66.315789473684234</v>
      </c>
      <c r="AM115" s="575">
        <f t="shared" si="40"/>
        <v>21</v>
      </c>
      <c r="AN115" s="642"/>
      <c r="AO115" s="575">
        <v>18</v>
      </c>
      <c r="AP115" s="577">
        <v>1191.1250000000005</v>
      </c>
      <c r="AQ115" s="577">
        <v>66.173611111111143</v>
      </c>
      <c r="AR115" s="575">
        <f t="shared" si="41"/>
        <v>20</v>
      </c>
      <c r="AS115" s="642"/>
      <c r="AT115" s="575">
        <v>18</v>
      </c>
      <c r="AU115" s="577">
        <v>1189.0000000000007</v>
      </c>
      <c r="AV115" s="577">
        <v>66.0555555555556</v>
      </c>
      <c r="AW115" s="575">
        <f t="shared" si="42"/>
        <v>20</v>
      </c>
      <c r="AX115" s="642"/>
      <c r="AZ115" s="368" t="e">
        <f t="shared" si="43"/>
        <v>#N/A</v>
      </c>
      <c r="BA115" s="642"/>
    </row>
    <row r="116" spans="2:53">
      <c r="B116" s="647"/>
      <c r="C116" s="283">
        <v>5</v>
      </c>
      <c r="D116" s="201" t="s">
        <v>344</v>
      </c>
      <c r="E116" s="517">
        <v>16</v>
      </c>
      <c r="F116" s="201">
        <v>1565</v>
      </c>
      <c r="G116" s="199">
        <v>97.8125</v>
      </c>
      <c r="H116" s="701"/>
      <c r="I116" s="363">
        <f t="shared" si="33"/>
        <v>16</v>
      </c>
      <c r="J116" s="363">
        <f t="shared" si="34"/>
        <v>1382.6807419607862</v>
      </c>
      <c r="K116" s="199">
        <f t="shared" si="35"/>
        <v>86.41754637254914</v>
      </c>
      <c r="L116" s="657"/>
      <c r="M116" s="200">
        <f>RANK(K116, K$112:$K$141)</f>
        <v>6</v>
      </c>
      <c r="N116" s="641"/>
      <c r="O116" s="641"/>
      <c r="P116" s="575">
        <v>16</v>
      </c>
      <c r="Q116" s="577">
        <v>1378.4415584415576</v>
      </c>
      <c r="R116" s="577">
        <v>86.152597402597351</v>
      </c>
      <c r="S116" s="575">
        <f t="shared" si="36"/>
        <v>6</v>
      </c>
      <c r="T116" s="642"/>
      <c r="U116" s="575">
        <v>16</v>
      </c>
      <c r="V116" s="577">
        <v>1392.7272727272741</v>
      </c>
      <c r="W116" s="577">
        <v>87.045454545454632</v>
      </c>
      <c r="X116" s="575">
        <f t="shared" si="37"/>
        <v>7</v>
      </c>
      <c r="Y116" s="642"/>
      <c r="Z116" s="575">
        <v>16</v>
      </c>
      <c r="AA116" s="577">
        <v>1373.6363636363651</v>
      </c>
      <c r="AB116" s="577">
        <v>85.852272727272819</v>
      </c>
      <c r="AC116" s="575">
        <f t="shared" si="38"/>
        <v>6</v>
      </c>
      <c r="AD116" s="642"/>
      <c r="AE116" s="575">
        <v>16</v>
      </c>
      <c r="AF116" s="577">
        <v>1389.6774193548399</v>
      </c>
      <c r="AG116" s="577">
        <v>86.854838709677495</v>
      </c>
      <c r="AH116" s="575">
        <f t="shared" si="39"/>
        <v>6</v>
      </c>
      <c r="AI116" s="642"/>
      <c r="AJ116" s="575">
        <v>16</v>
      </c>
      <c r="AK116" s="577">
        <v>1381.690140845069</v>
      </c>
      <c r="AL116" s="577">
        <v>86.355633802816811</v>
      </c>
      <c r="AM116" s="575">
        <f t="shared" si="40"/>
        <v>6</v>
      </c>
      <c r="AN116" s="642"/>
      <c r="AO116" s="575">
        <v>16</v>
      </c>
      <c r="AP116" s="577">
        <v>1376.3855421686744</v>
      </c>
      <c r="AQ116" s="577">
        <v>86.024096385542151</v>
      </c>
      <c r="AR116" s="575">
        <f t="shared" si="41"/>
        <v>6</v>
      </c>
      <c r="AS116" s="642"/>
      <c r="AT116" s="575">
        <v>16</v>
      </c>
      <c r="AU116" s="577">
        <v>1386.2068965517237</v>
      </c>
      <c r="AV116" s="577">
        <v>86.637931034482733</v>
      </c>
      <c r="AW116" s="575">
        <f t="shared" si="42"/>
        <v>6</v>
      </c>
      <c r="AX116" s="642"/>
      <c r="AZ116" s="368" t="e">
        <f t="shared" si="43"/>
        <v>#N/A</v>
      </c>
      <c r="BA116" s="642"/>
    </row>
    <row r="117" spans="2:53">
      <c r="B117" s="647"/>
      <c r="C117" s="283">
        <v>6</v>
      </c>
      <c r="D117" s="201" t="s">
        <v>627</v>
      </c>
      <c r="E117" s="517">
        <v>20</v>
      </c>
      <c r="F117" s="201">
        <v>1440</v>
      </c>
      <c r="G117" s="199">
        <v>72</v>
      </c>
      <c r="H117" s="701"/>
      <c r="I117" s="363">
        <f t="shared" si="33"/>
        <v>20</v>
      </c>
      <c r="J117" s="363">
        <f t="shared" si="34"/>
        <v>1182.5759164070034</v>
      </c>
      <c r="K117" s="199">
        <f t="shared" si="35"/>
        <v>59.128795820350163</v>
      </c>
      <c r="L117" s="657"/>
      <c r="M117" s="200">
        <f>RANK(K117, K$112:$K$141)</f>
        <v>23</v>
      </c>
      <c r="N117" s="641"/>
      <c r="O117" s="641"/>
      <c r="P117" s="575">
        <v>20</v>
      </c>
      <c r="Q117" s="577">
        <v>1190.9090909090921</v>
      </c>
      <c r="R117" s="577">
        <v>59.545454545454604</v>
      </c>
      <c r="S117" s="575">
        <f t="shared" si="36"/>
        <v>22</v>
      </c>
      <c r="T117" s="642"/>
      <c r="U117" s="575">
        <v>20</v>
      </c>
      <c r="V117" s="577">
        <v>1180.0000000000011</v>
      </c>
      <c r="W117" s="577">
        <v>59.000000000000057</v>
      </c>
      <c r="X117" s="575">
        <f t="shared" si="37"/>
        <v>23</v>
      </c>
      <c r="Y117" s="642"/>
      <c r="Z117" s="575">
        <v>20</v>
      </c>
      <c r="AA117" s="577">
        <v>1189.6551724137939</v>
      </c>
      <c r="AB117" s="577">
        <v>59.482758620689694</v>
      </c>
      <c r="AC117" s="575">
        <f t="shared" si="38"/>
        <v>22</v>
      </c>
      <c r="AD117" s="642"/>
      <c r="AE117" s="575">
        <v>20</v>
      </c>
      <c r="AF117" s="577">
        <v>1173.0612244897964</v>
      </c>
      <c r="AG117" s="577">
        <v>58.653061224489818</v>
      </c>
      <c r="AH117" s="575">
        <f t="shared" si="39"/>
        <v>23</v>
      </c>
      <c r="AI117" s="642"/>
      <c r="AJ117" s="575">
        <v>20</v>
      </c>
      <c r="AK117" s="577">
        <v>1186.4150943396232</v>
      </c>
      <c r="AL117" s="577">
        <v>59.320754716981163</v>
      </c>
      <c r="AM117" s="575">
        <f t="shared" si="40"/>
        <v>22</v>
      </c>
      <c r="AN117" s="642"/>
      <c r="AO117" s="575">
        <v>20</v>
      </c>
      <c r="AP117" s="577">
        <v>1180.5882352941192</v>
      </c>
      <c r="AQ117" s="577">
        <v>59.029411764705955</v>
      </c>
      <c r="AR117" s="575">
        <f t="shared" si="41"/>
        <v>23</v>
      </c>
      <c r="AS117" s="642"/>
      <c r="AT117" s="575">
        <v>20</v>
      </c>
      <c r="AU117" s="577">
        <v>1177.4025974025967</v>
      </c>
      <c r="AV117" s="577">
        <v>58.870129870129837</v>
      </c>
      <c r="AW117" s="575">
        <f t="shared" si="42"/>
        <v>23</v>
      </c>
      <c r="AX117" s="642"/>
      <c r="AZ117" s="368" t="e">
        <f t="shared" si="43"/>
        <v>#N/A</v>
      </c>
      <c r="BA117" s="642"/>
    </row>
    <row r="118" spans="2:53">
      <c r="B118" s="647"/>
      <c r="C118" s="283">
        <v>7</v>
      </c>
      <c r="D118" s="201" t="s">
        <v>601</v>
      </c>
      <c r="E118" s="517">
        <v>16</v>
      </c>
      <c r="F118" s="201">
        <v>1500</v>
      </c>
      <c r="G118" s="199">
        <v>93.75</v>
      </c>
      <c r="H118" s="701"/>
      <c r="I118" s="363">
        <f t="shared" si="33"/>
        <v>16</v>
      </c>
      <c r="J118" s="363">
        <f t="shared" si="34"/>
        <v>1326.485633734206</v>
      </c>
      <c r="K118" s="199">
        <f t="shared" si="35"/>
        <v>82.905352108387873</v>
      </c>
      <c r="L118" s="657"/>
      <c r="M118" s="200">
        <f>RANK(K118, K$112:$K$141)</f>
        <v>8</v>
      </c>
      <c r="N118" s="641"/>
      <c r="O118" s="641"/>
      <c r="P118" s="575">
        <v>16</v>
      </c>
      <c r="Q118" s="577">
        <v>1334.7368421052643</v>
      </c>
      <c r="R118" s="577">
        <v>83.421052631579016</v>
      </c>
      <c r="S118" s="575">
        <f t="shared" si="36"/>
        <v>8</v>
      </c>
      <c r="T118" s="642"/>
      <c r="U118" s="575">
        <v>16</v>
      </c>
      <c r="V118" s="577">
        <v>1310.9433962264159</v>
      </c>
      <c r="W118" s="577">
        <v>81.933962264150992</v>
      </c>
      <c r="X118" s="575">
        <f t="shared" si="37"/>
        <v>8</v>
      </c>
      <c r="Y118" s="642"/>
      <c r="Z118" s="575">
        <v>16</v>
      </c>
      <c r="AA118" s="577">
        <v>1317.7358490566046</v>
      </c>
      <c r="AB118" s="577">
        <v>82.358490566037787</v>
      </c>
      <c r="AC118" s="575">
        <f t="shared" si="38"/>
        <v>9</v>
      </c>
      <c r="AD118" s="642"/>
      <c r="AE118" s="575">
        <v>16</v>
      </c>
      <c r="AF118" s="577">
        <v>1332.7659574468087</v>
      </c>
      <c r="AG118" s="577">
        <v>83.297872340425542</v>
      </c>
      <c r="AH118" s="575">
        <f t="shared" si="39"/>
        <v>8</v>
      </c>
      <c r="AI118" s="642"/>
      <c r="AJ118" s="575">
        <v>16</v>
      </c>
      <c r="AK118" s="577">
        <v>1332.0000000000005</v>
      </c>
      <c r="AL118" s="577">
        <v>83.250000000000028</v>
      </c>
      <c r="AM118" s="575">
        <f t="shared" si="40"/>
        <v>9</v>
      </c>
      <c r="AN118" s="642"/>
      <c r="AO118" s="575">
        <v>16</v>
      </c>
      <c r="AP118" s="577">
        <v>1332.0000000000011</v>
      </c>
      <c r="AQ118" s="577">
        <v>83.250000000000071</v>
      </c>
      <c r="AR118" s="575">
        <f t="shared" si="41"/>
        <v>9</v>
      </c>
      <c r="AS118" s="642"/>
      <c r="AT118" s="575">
        <v>16</v>
      </c>
      <c r="AU118" s="577">
        <v>1325.2173913043464</v>
      </c>
      <c r="AV118" s="577">
        <v>82.82608695652165</v>
      </c>
      <c r="AW118" s="575">
        <f t="shared" si="42"/>
        <v>7</v>
      </c>
      <c r="AX118" s="642"/>
      <c r="AZ118" s="368" t="e">
        <f t="shared" si="43"/>
        <v>#N/A</v>
      </c>
      <c r="BA118" s="642"/>
    </row>
    <row r="119" spans="2:53">
      <c r="B119" s="647"/>
      <c r="C119" s="283">
        <v>8</v>
      </c>
      <c r="D119" s="201" t="s">
        <v>574</v>
      </c>
      <c r="E119" s="517">
        <v>18</v>
      </c>
      <c r="F119" s="201">
        <v>1636</v>
      </c>
      <c r="G119" s="199">
        <v>90.888888888888886</v>
      </c>
      <c r="H119" s="701"/>
      <c r="I119" s="363">
        <f t="shared" si="33"/>
        <v>18</v>
      </c>
      <c r="J119" s="363">
        <f t="shared" si="34"/>
        <v>1377.5954559864929</v>
      </c>
      <c r="K119" s="199">
        <f t="shared" si="35"/>
        <v>76.533080888138471</v>
      </c>
      <c r="L119" s="657"/>
      <c r="M119" s="200">
        <f>RANK(K119, K$112:$K$141)</f>
        <v>14</v>
      </c>
      <c r="N119" s="641"/>
      <c r="O119" s="641"/>
      <c r="P119" s="575">
        <v>18</v>
      </c>
      <c r="Q119" s="577">
        <v>1416.5625000000016</v>
      </c>
      <c r="R119" s="577">
        <v>78.697916666666757</v>
      </c>
      <c r="S119" s="575">
        <f t="shared" si="36"/>
        <v>10</v>
      </c>
      <c r="T119" s="642"/>
      <c r="U119" s="575">
        <v>18</v>
      </c>
      <c r="V119" s="577">
        <v>1380.0000000000011</v>
      </c>
      <c r="W119" s="577">
        <v>76.666666666666728</v>
      </c>
      <c r="X119" s="575">
        <f t="shared" si="37"/>
        <v>13</v>
      </c>
      <c r="Y119" s="642"/>
      <c r="Z119" s="575">
        <v>18</v>
      </c>
      <c r="AA119" s="577">
        <v>1365.6000000000004</v>
      </c>
      <c r="AB119" s="577">
        <v>75.866666666666688</v>
      </c>
      <c r="AC119" s="575">
        <f t="shared" si="38"/>
        <v>14</v>
      </c>
      <c r="AD119" s="642"/>
      <c r="AE119" s="575">
        <v>18</v>
      </c>
      <c r="AF119" s="577">
        <v>1381.0909090909099</v>
      </c>
      <c r="AG119" s="577">
        <v>76.727272727272776</v>
      </c>
      <c r="AH119" s="575">
        <f t="shared" si="39"/>
        <v>14</v>
      </c>
      <c r="AI119" s="642"/>
      <c r="AJ119" s="575">
        <v>18</v>
      </c>
      <c r="AK119" s="577">
        <v>1365.7142857142871</v>
      </c>
      <c r="AL119" s="577">
        <v>75.873015873015959</v>
      </c>
      <c r="AM119" s="575">
        <f t="shared" si="40"/>
        <v>14</v>
      </c>
      <c r="AN119" s="642"/>
      <c r="AO119" s="575">
        <v>18</v>
      </c>
      <c r="AP119" s="577">
        <v>1369.411764705884</v>
      </c>
      <c r="AQ119" s="577">
        <v>76.078431372549119</v>
      </c>
      <c r="AR119" s="575">
        <f t="shared" si="41"/>
        <v>13</v>
      </c>
      <c r="AS119" s="642"/>
      <c r="AT119" s="575">
        <v>18</v>
      </c>
      <c r="AU119" s="577">
        <v>1364.7887323943648</v>
      </c>
      <c r="AV119" s="577">
        <v>75.821596244131385</v>
      </c>
      <c r="AW119" s="575">
        <f t="shared" si="42"/>
        <v>13</v>
      </c>
      <c r="AX119" s="642"/>
      <c r="AZ119" s="368" t="e">
        <f t="shared" si="43"/>
        <v>#N/A</v>
      </c>
      <c r="BA119" s="642"/>
    </row>
    <row r="120" spans="2:53">
      <c r="B120" s="647"/>
      <c r="C120" s="283">
        <v>9</v>
      </c>
      <c r="D120" s="201" t="s">
        <v>575</v>
      </c>
      <c r="E120" s="517">
        <v>18</v>
      </c>
      <c r="F120" s="201">
        <v>1636</v>
      </c>
      <c r="G120" s="199">
        <v>90.888888888888886</v>
      </c>
      <c r="H120" s="701"/>
      <c r="I120" s="363">
        <f t="shared" si="33"/>
        <v>18</v>
      </c>
      <c r="J120" s="363">
        <f t="shared" si="34"/>
        <v>1400.2807330683847</v>
      </c>
      <c r="K120" s="199">
        <f t="shared" si="35"/>
        <v>77.793374059354704</v>
      </c>
      <c r="L120" s="657"/>
      <c r="M120" s="200">
        <f>RANK(K120, K$112:$K$141)</f>
        <v>13</v>
      </c>
      <c r="N120" s="641"/>
      <c r="O120" s="641"/>
      <c r="P120" s="575">
        <v>18</v>
      </c>
      <c r="Q120" s="577">
        <v>1399.2000000000005</v>
      </c>
      <c r="R120" s="577">
        <v>77.733333333333363</v>
      </c>
      <c r="S120" s="575">
        <f t="shared" si="36"/>
        <v>13</v>
      </c>
      <c r="T120" s="642"/>
      <c r="U120" s="575">
        <v>18</v>
      </c>
      <c r="V120" s="577">
        <v>1424</v>
      </c>
      <c r="W120" s="577">
        <v>79.111111111111114</v>
      </c>
      <c r="X120" s="575">
        <f t="shared" si="37"/>
        <v>11</v>
      </c>
      <c r="Y120" s="642"/>
      <c r="Z120" s="575">
        <v>18</v>
      </c>
      <c r="AA120" s="577">
        <v>1424.6153846153838</v>
      </c>
      <c r="AB120" s="577">
        <v>79.145299145299106</v>
      </c>
      <c r="AC120" s="575">
        <f t="shared" si="38"/>
        <v>11</v>
      </c>
      <c r="AD120" s="642"/>
      <c r="AE120" s="575">
        <v>18</v>
      </c>
      <c r="AF120" s="577">
        <v>1414.090909090909</v>
      </c>
      <c r="AG120" s="577">
        <v>78.560606060606062</v>
      </c>
      <c r="AH120" s="575">
        <f t="shared" si="39"/>
        <v>13</v>
      </c>
      <c r="AI120" s="642"/>
      <c r="AJ120" s="575">
        <v>18</v>
      </c>
      <c r="AK120" s="577">
        <v>1413.6000000000004</v>
      </c>
      <c r="AL120" s="577">
        <v>78.53333333333336</v>
      </c>
      <c r="AM120" s="575">
        <f t="shared" si="40"/>
        <v>13</v>
      </c>
      <c r="AN120" s="642"/>
      <c r="AO120" s="575">
        <v>18</v>
      </c>
      <c r="AP120" s="577">
        <v>1400.357142857144</v>
      </c>
      <c r="AQ120" s="577">
        <v>77.797619047619108</v>
      </c>
      <c r="AR120" s="575">
        <f t="shared" si="41"/>
        <v>12</v>
      </c>
      <c r="AS120" s="642"/>
      <c r="AT120" s="575">
        <v>18</v>
      </c>
      <c r="AU120" s="577">
        <v>1326.1016949152554</v>
      </c>
      <c r="AV120" s="577">
        <v>73.67231638418086</v>
      </c>
      <c r="AW120" s="575">
        <f t="shared" si="42"/>
        <v>15</v>
      </c>
      <c r="AX120" s="642"/>
      <c r="AZ120" s="368" t="e">
        <f t="shared" si="43"/>
        <v>#N/A</v>
      </c>
      <c r="BA120" s="642"/>
    </row>
    <row r="121" spans="2:53">
      <c r="B121" s="647"/>
      <c r="C121" s="283">
        <v>10</v>
      </c>
      <c r="D121" s="201" t="s">
        <v>332</v>
      </c>
      <c r="E121" s="517">
        <v>17</v>
      </c>
      <c r="F121" s="201">
        <v>1500</v>
      </c>
      <c r="G121" s="199">
        <v>88.235294117647058</v>
      </c>
      <c r="H121" s="701"/>
      <c r="I121" s="363">
        <f t="shared" si="33"/>
        <v>17</v>
      </c>
      <c r="J121" s="363">
        <f t="shared" si="34"/>
        <v>1362.1972432469324</v>
      </c>
      <c r="K121" s="199">
        <f t="shared" si="35"/>
        <v>80.129249602760751</v>
      </c>
      <c r="L121" s="657"/>
      <c r="M121" s="200">
        <f>RANK(K121, K$112:$K$141)</f>
        <v>10</v>
      </c>
      <c r="N121" s="641"/>
      <c r="O121" s="641"/>
      <c r="P121" s="575">
        <v>17</v>
      </c>
      <c r="Q121" s="577">
        <v>1370.8695652173915</v>
      </c>
      <c r="R121" s="577">
        <v>80.639386189258317</v>
      </c>
      <c r="S121" s="575">
        <f t="shared" si="36"/>
        <v>9</v>
      </c>
      <c r="T121" s="642"/>
      <c r="U121" s="575">
        <v>17</v>
      </c>
      <c r="V121" s="577">
        <v>1365.7142857142853</v>
      </c>
      <c r="W121" s="577">
        <v>80.336134453781483</v>
      </c>
      <c r="X121" s="575">
        <f t="shared" si="37"/>
        <v>9</v>
      </c>
      <c r="Y121" s="642"/>
      <c r="Z121" s="575">
        <v>17</v>
      </c>
      <c r="AA121" s="577">
        <v>1344.3243243243232</v>
      </c>
      <c r="AB121" s="577">
        <v>79.077901430842545</v>
      </c>
      <c r="AC121" s="575">
        <f t="shared" si="38"/>
        <v>12</v>
      </c>
      <c r="AD121" s="642"/>
      <c r="AE121" s="575">
        <v>17</v>
      </c>
      <c r="AF121" s="577">
        <v>1364.6153846153838</v>
      </c>
      <c r="AG121" s="577">
        <v>80.27149321266964</v>
      </c>
      <c r="AH121" s="575">
        <f t="shared" si="39"/>
        <v>11</v>
      </c>
      <c r="AI121" s="642"/>
      <c r="AJ121" s="575">
        <v>17</v>
      </c>
      <c r="AK121" s="577">
        <v>1365</v>
      </c>
      <c r="AL121" s="577">
        <v>80.294117647058826</v>
      </c>
      <c r="AM121" s="575">
        <f t="shared" si="40"/>
        <v>10</v>
      </c>
      <c r="AN121" s="642"/>
      <c r="AO121" s="575">
        <v>17</v>
      </c>
      <c r="AP121" s="577">
        <v>1362.8571428571433</v>
      </c>
      <c r="AQ121" s="577">
        <v>80.168067226890784</v>
      </c>
      <c r="AR121" s="575">
        <f t="shared" si="41"/>
        <v>10</v>
      </c>
      <c r="AS121" s="642"/>
      <c r="AT121" s="575">
        <v>17</v>
      </c>
      <c r="AU121" s="577">
        <v>1362.0000000000005</v>
      </c>
      <c r="AV121" s="577">
        <v>80.11764705882355</v>
      </c>
      <c r="AW121" s="575">
        <f t="shared" si="42"/>
        <v>12</v>
      </c>
      <c r="AX121" s="642"/>
      <c r="AZ121" s="368" t="e">
        <f t="shared" si="43"/>
        <v>#N/A</v>
      </c>
      <c r="BA121" s="642"/>
    </row>
    <row r="122" spans="2:53">
      <c r="B122" s="647"/>
      <c r="C122" s="283">
        <v>11</v>
      </c>
      <c r="D122" s="201" t="s">
        <v>512</v>
      </c>
      <c r="E122" s="517">
        <v>20</v>
      </c>
      <c r="F122" s="201">
        <v>1440</v>
      </c>
      <c r="G122" s="199">
        <v>72</v>
      </c>
      <c r="H122" s="701"/>
      <c r="I122" s="363">
        <f t="shared" si="33"/>
        <v>20</v>
      </c>
      <c r="J122" s="363">
        <f t="shared" si="34"/>
        <v>1358.9153817070578</v>
      </c>
      <c r="K122" s="199">
        <f t="shared" si="35"/>
        <v>67.945769085352893</v>
      </c>
      <c r="L122" s="657"/>
      <c r="M122" s="200">
        <f>RANK(K122, K$112:$K$141)</f>
        <v>20</v>
      </c>
      <c r="N122" s="641"/>
      <c r="O122" s="641"/>
      <c r="P122" s="575">
        <v>20</v>
      </c>
      <c r="Q122" s="577">
        <v>1351.1999999999989</v>
      </c>
      <c r="R122" s="577">
        <v>67.559999999999945</v>
      </c>
      <c r="S122" s="575">
        <f t="shared" si="36"/>
        <v>21</v>
      </c>
      <c r="T122" s="642"/>
      <c r="U122" s="575">
        <v>20</v>
      </c>
      <c r="V122" s="577">
        <v>1365.2307692307709</v>
      </c>
      <c r="W122" s="577">
        <v>68.261538461538549</v>
      </c>
      <c r="X122" s="575">
        <f t="shared" si="37"/>
        <v>20</v>
      </c>
      <c r="Y122" s="642"/>
      <c r="Z122" s="575">
        <v>20</v>
      </c>
      <c r="AA122" s="577">
        <v>1358.2758620689665</v>
      </c>
      <c r="AB122" s="577">
        <v>67.913793103448327</v>
      </c>
      <c r="AC122" s="575">
        <f t="shared" si="38"/>
        <v>20</v>
      </c>
      <c r="AD122" s="642"/>
      <c r="AE122" s="575">
        <v>20</v>
      </c>
      <c r="AF122" s="577">
        <v>1350.4918032786898</v>
      </c>
      <c r="AG122" s="577">
        <v>67.524590163934491</v>
      </c>
      <c r="AH122" s="575">
        <f t="shared" si="39"/>
        <v>20</v>
      </c>
      <c r="AI122" s="642"/>
      <c r="AJ122" s="575">
        <v>20</v>
      </c>
      <c r="AK122" s="577">
        <v>1359.4520547945194</v>
      </c>
      <c r="AL122" s="577">
        <v>67.972602739725971</v>
      </c>
      <c r="AM122" s="575">
        <f t="shared" si="40"/>
        <v>20</v>
      </c>
      <c r="AN122" s="642"/>
      <c r="AO122" s="575">
        <v>20</v>
      </c>
      <c r="AP122" s="577">
        <v>1360.76923076923</v>
      </c>
      <c r="AQ122" s="577">
        <v>68.038461538461505</v>
      </c>
      <c r="AR122" s="575">
        <f t="shared" si="41"/>
        <v>19</v>
      </c>
      <c r="AS122" s="642"/>
      <c r="AT122" s="575">
        <v>20</v>
      </c>
      <c r="AU122" s="577">
        <v>1366.9879518072285</v>
      </c>
      <c r="AV122" s="577">
        <v>68.34939759036142</v>
      </c>
      <c r="AW122" s="575">
        <f t="shared" si="42"/>
        <v>19</v>
      </c>
      <c r="AX122" s="642"/>
      <c r="AZ122" s="368" t="e">
        <f t="shared" si="43"/>
        <v>#N/A</v>
      </c>
      <c r="BA122" s="642"/>
    </row>
    <row r="123" spans="2:53">
      <c r="B123" s="647"/>
      <c r="C123" s="283">
        <v>12</v>
      </c>
      <c r="D123" s="201" t="s">
        <v>345</v>
      </c>
      <c r="E123" s="517">
        <v>14</v>
      </c>
      <c r="F123" s="201">
        <v>1440</v>
      </c>
      <c r="G123" s="199">
        <v>102.85714285714286</v>
      </c>
      <c r="H123" s="701"/>
      <c r="I123" s="363">
        <f t="shared" si="33"/>
        <v>14.142857142857142</v>
      </c>
      <c r="J123" s="363">
        <f t="shared" si="34"/>
        <v>1353.3540934068603</v>
      </c>
      <c r="K123" s="199">
        <f t="shared" si="35"/>
        <v>95.738367446737001</v>
      </c>
      <c r="L123" s="657"/>
      <c r="M123" s="200">
        <f>RANK(K123, K$112:$K$141)</f>
        <v>3</v>
      </c>
      <c r="N123" s="641"/>
      <c r="O123" s="641"/>
      <c r="P123" s="575">
        <v>14</v>
      </c>
      <c r="Q123" s="577">
        <v>1346.1818181818192</v>
      </c>
      <c r="R123" s="577">
        <v>96.155844155844221</v>
      </c>
      <c r="S123" s="575">
        <f t="shared" si="36"/>
        <v>3</v>
      </c>
      <c r="T123" s="642"/>
      <c r="U123" s="575">
        <v>14</v>
      </c>
      <c r="V123" s="577">
        <v>1343.773584905661</v>
      </c>
      <c r="W123" s="577">
        <v>95.983827493261501</v>
      </c>
      <c r="X123" s="575">
        <f t="shared" si="37"/>
        <v>3</v>
      </c>
      <c r="Y123" s="642"/>
      <c r="Z123" s="575">
        <v>14</v>
      </c>
      <c r="AA123" s="577">
        <v>1359.9999999999995</v>
      </c>
      <c r="AB123" s="577">
        <v>97.14285714285711</v>
      </c>
      <c r="AC123" s="575">
        <f t="shared" si="38"/>
        <v>3</v>
      </c>
      <c r="AD123" s="642"/>
      <c r="AE123" s="575">
        <v>14</v>
      </c>
      <c r="AF123" s="577">
        <v>1350.6666666666667</v>
      </c>
      <c r="AG123" s="577">
        <v>96.476190476190482</v>
      </c>
      <c r="AH123" s="575">
        <f t="shared" si="39"/>
        <v>3</v>
      </c>
      <c r="AI123" s="642"/>
      <c r="AJ123" s="575">
        <v>14</v>
      </c>
      <c r="AK123" s="577">
        <v>1343.0769230769238</v>
      </c>
      <c r="AL123" s="577">
        <v>95.934065934065984</v>
      </c>
      <c r="AM123" s="575">
        <f t="shared" si="40"/>
        <v>3</v>
      </c>
      <c r="AN123" s="642"/>
      <c r="AO123" s="575">
        <v>14</v>
      </c>
      <c r="AP123" s="577">
        <v>1363.0000000000014</v>
      </c>
      <c r="AQ123" s="577">
        <v>97.357142857142961</v>
      </c>
      <c r="AR123" s="575">
        <f t="shared" si="41"/>
        <v>3</v>
      </c>
      <c r="AS123" s="642"/>
      <c r="AT123" s="575">
        <v>15</v>
      </c>
      <c r="AU123" s="577">
        <v>1366.7796610169503</v>
      </c>
      <c r="AV123" s="577">
        <v>91.11864406779668</v>
      </c>
      <c r="AW123" s="575">
        <f t="shared" si="42"/>
        <v>3</v>
      </c>
      <c r="AX123" s="642"/>
      <c r="AZ123" s="368" t="e">
        <f t="shared" si="43"/>
        <v>#N/A</v>
      </c>
      <c r="BA123" s="642"/>
    </row>
    <row r="124" spans="2:53">
      <c r="B124" s="647"/>
      <c r="C124" s="283">
        <v>13</v>
      </c>
      <c r="D124" s="201" t="s">
        <v>327</v>
      </c>
      <c r="E124" s="517">
        <v>19</v>
      </c>
      <c r="F124" s="201">
        <v>1440</v>
      </c>
      <c r="G124" s="199">
        <v>75.78947368421052</v>
      </c>
      <c r="H124" s="701"/>
      <c r="I124" s="363">
        <f t="shared" si="33"/>
        <v>19</v>
      </c>
      <c r="J124" s="363">
        <f t="shared" si="34"/>
        <v>1360.8727737474223</v>
      </c>
      <c r="K124" s="199">
        <f t="shared" si="35"/>
        <v>71.624882828811721</v>
      </c>
      <c r="L124" s="657"/>
      <c r="M124" s="200">
        <f>RANK(K124, K$112:$K$141)</f>
        <v>16</v>
      </c>
      <c r="N124" s="641"/>
      <c r="O124" s="641"/>
      <c r="P124" s="575">
        <v>19</v>
      </c>
      <c r="Q124" s="577">
        <v>1366.7441860465115</v>
      </c>
      <c r="R124" s="577">
        <v>71.933904528763762</v>
      </c>
      <c r="S124" s="575">
        <f t="shared" si="36"/>
        <v>16</v>
      </c>
      <c r="T124" s="642"/>
      <c r="U124" s="575">
        <v>19</v>
      </c>
      <c r="V124" s="577">
        <v>1360.5194805194799</v>
      </c>
      <c r="W124" s="577">
        <v>71.606288448393684</v>
      </c>
      <c r="X124" s="575">
        <f t="shared" si="37"/>
        <v>17</v>
      </c>
      <c r="Y124" s="642"/>
      <c r="Z124" s="575">
        <v>19</v>
      </c>
      <c r="AA124" s="577">
        <v>1356.0000000000016</v>
      </c>
      <c r="AB124" s="577">
        <v>71.36842105263166</v>
      </c>
      <c r="AC124" s="575">
        <f t="shared" si="38"/>
        <v>16</v>
      </c>
      <c r="AD124" s="642"/>
      <c r="AE124" s="575">
        <v>19</v>
      </c>
      <c r="AF124" s="577">
        <v>1357.1830985915478</v>
      </c>
      <c r="AG124" s="577">
        <v>71.430689399555149</v>
      </c>
      <c r="AH124" s="575">
        <f t="shared" si="39"/>
        <v>16</v>
      </c>
      <c r="AI124" s="642"/>
      <c r="AJ124" s="575">
        <v>19</v>
      </c>
      <c r="AK124" s="577">
        <v>1365.1764705882351</v>
      </c>
      <c r="AL124" s="577">
        <v>71.851393188854487</v>
      </c>
      <c r="AM124" s="575">
        <f t="shared" si="40"/>
        <v>16</v>
      </c>
      <c r="AN124" s="642"/>
      <c r="AO124" s="575">
        <v>19</v>
      </c>
      <c r="AP124" s="577">
        <v>1363.5164835164835</v>
      </c>
      <c r="AQ124" s="577">
        <v>71.764025448235969</v>
      </c>
      <c r="AR124" s="575">
        <f t="shared" si="41"/>
        <v>16</v>
      </c>
      <c r="AS124" s="642"/>
      <c r="AT124" s="575">
        <v>19</v>
      </c>
      <c r="AU124" s="577">
        <v>1356.9696969696975</v>
      </c>
      <c r="AV124" s="577">
        <v>71.419457735247235</v>
      </c>
      <c r="AW124" s="575">
        <f t="shared" si="42"/>
        <v>16</v>
      </c>
      <c r="AX124" s="642"/>
      <c r="AZ124" s="368" t="e">
        <f t="shared" si="43"/>
        <v>#N/A</v>
      </c>
      <c r="BA124" s="642"/>
    </row>
    <row r="125" spans="2:53">
      <c r="B125" s="647"/>
      <c r="C125" s="283">
        <v>14</v>
      </c>
      <c r="D125" s="201" t="s">
        <v>343</v>
      </c>
      <c r="E125" s="517">
        <v>19</v>
      </c>
      <c r="F125" s="201">
        <v>1440</v>
      </c>
      <c r="G125" s="199">
        <v>75.78947368421052</v>
      </c>
      <c r="H125" s="701"/>
      <c r="I125" s="363">
        <f t="shared" si="33"/>
        <v>19</v>
      </c>
      <c r="J125" s="363">
        <f t="shared" si="34"/>
        <v>1319.7790829855314</v>
      </c>
      <c r="K125" s="199">
        <f t="shared" si="35"/>
        <v>69.462056999238513</v>
      </c>
      <c r="L125" s="657"/>
      <c r="M125" s="200">
        <f>RANK(K125, K$112:$K$141)</f>
        <v>18</v>
      </c>
      <c r="N125" s="641"/>
      <c r="O125" s="641"/>
      <c r="P125" s="575">
        <v>19</v>
      </c>
      <c r="Q125" s="577">
        <v>1353.1343283582105</v>
      </c>
      <c r="R125" s="577">
        <v>71.217596229379495</v>
      </c>
      <c r="S125" s="575">
        <f t="shared" si="36"/>
        <v>18</v>
      </c>
      <c r="T125" s="642"/>
      <c r="U125" s="575">
        <v>19</v>
      </c>
      <c r="V125" s="577">
        <v>1326.3636363636379</v>
      </c>
      <c r="W125" s="577">
        <v>69.808612440191467</v>
      </c>
      <c r="X125" s="575">
        <f t="shared" si="37"/>
        <v>18</v>
      </c>
      <c r="Y125" s="642"/>
      <c r="Z125" s="575">
        <v>19</v>
      </c>
      <c r="AA125" s="577">
        <v>1324.2857142857151</v>
      </c>
      <c r="AB125" s="577">
        <v>69.699248120300794</v>
      </c>
      <c r="AC125" s="575">
        <f t="shared" si="38"/>
        <v>18</v>
      </c>
      <c r="AD125" s="642"/>
      <c r="AE125" s="575">
        <v>19</v>
      </c>
      <c r="AF125" s="577">
        <v>1326.2068965517251</v>
      </c>
      <c r="AG125" s="577">
        <v>69.800362976406589</v>
      </c>
      <c r="AH125" s="575">
        <f t="shared" si="39"/>
        <v>18</v>
      </c>
      <c r="AI125" s="642"/>
      <c r="AJ125" s="575">
        <v>19</v>
      </c>
      <c r="AK125" s="577">
        <v>1325.2173913043464</v>
      </c>
      <c r="AL125" s="577">
        <v>69.748283752860331</v>
      </c>
      <c r="AM125" s="575">
        <f t="shared" si="40"/>
        <v>18</v>
      </c>
      <c r="AN125" s="642"/>
      <c r="AO125" s="575">
        <v>19</v>
      </c>
      <c r="AP125" s="577">
        <v>1246.6666666666663</v>
      </c>
      <c r="AQ125" s="577">
        <v>65.614035087719273</v>
      </c>
      <c r="AR125" s="575">
        <f t="shared" si="41"/>
        <v>21</v>
      </c>
      <c r="AS125" s="642"/>
      <c r="AT125" s="575">
        <v>19</v>
      </c>
      <c r="AU125" s="577">
        <v>1336.5789473684201</v>
      </c>
      <c r="AV125" s="577">
        <v>70.346260387811583</v>
      </c>
      <c r="AW125" s="575">
        <f t="shared" si="42"/>
        <v>17</v>
      </c>
      <c r="AX125" s="642"/>
      <c r="AZ125" s="368" t="e">
        <f t="shared" si="43"/>
        <v>#N/A</v>
      </c>
      <c r="BA125" s="642"/>
    </row>
    <row r="126" spans="2:53">
      <c r="B126" s="647"/>
      <c r="C126" s="283">
        <v>15</v>
      </c>
      <c r="D126" s="201" t="s">
        <v>581</v>
      </c>
      <c r="E126" s="517">
        <v>18</v>
      </c>
      <c r="F126" s="201">
        <v>1500</v>
      </c>
      <c r="G126" s="199">
        <v>83.333333333333329</v>
      </c>
      <c r="H126" s="701"/>
      <c r="I126" s="363">
        <f t="shared" si="33"/>
        <v>18</v>
      </c>
      <c r="J126" s="363">
        <f t="shared" si="34"/>
        <v>1322.403491269218</v>
      </c>
      <c r="K126" s="199">
        <f t="shared" si="35"/>
        <v>73.466860626067657</v>
      </c>
      <c r="L126" s="657"/>
      <c r="M126" s="200">
        <f>RANK(K126, K$112:$K$141)</f>
        <v>15</v>
      </c>
      <c r="N126" s="641"/>
      <c r="O126" s="641"/>
      <c r="P126" s="575">
        <v>18</v>
      </c>
      <c r="Q126" s="577">
        <v>1330.7142857142867</v>
      </c>
      <c r="R126" s="577">
        <v>73.928571428571487</v>
      </c>
      <c r="S126" s="575">
        <f t="shared" si="36"/>
        <v>15</v>
      </c>
      <c r="T126" s="642"/>
      <c r="U126" s="575">
        <v>18</v>
      </c>
      <c r="V126" s="577">
        <v>1315.4716981132083</v>
      </c>
      <c r="W126" s="577">
        <v>73.081761006289355</v>
      </c>
      <c r="X126" s="575">
        <f t="shared" si="37"/>
        <v>15</v>
      </c>
      <c r="Y126" s="642"/>
      <c r="Z126" s="575">
        <v>18</v>
      </c>
      <c r="AA126" s="577">
        <v>1321.132075471699</v>
      </c>
      <c r="AB126" s="577">
        <v>73.396226415094389</v>
      </c>
      <c r="AC126" s="575">
        <f t="shared" si="38"/>
        <v>15</v>
      </c>
      <c r="AD126" s="642"/>
      <c r="AE126" s="575">
        <v>18</v>
      </c>
      <c r="AF126" s="577">
        <v>1310.6666666666667</v>
      </c>
      <c r="AG126" s="577">
        <v>72.814814814814824</v>
      </c>
      <c r="AH126" s="575">
        <f t="shared" si="39"/>
        <v>15</v>
      </c>
      <c r="AI126" s="642"/>
      <c r="AJ126" s="575">
        <v>18</v>
      </c>
      <c r="AK126" s="577">
        <v>1327.5000000000005</v>
      </c>
      <c r="AL126" s="577">
        <v>73.750000000000028</v>
      </c>
      <c r="AM126" s="575">
        <f t="shared" si="40"/>
        <v>15</v>
      </c>
      <c r="AN126" s="642"/>
      <c r="AO126" s="575">
        <v>18</v>
      </c>
      <c r="AP126" s="577">
        <v>1323.157894736843</v>
      </c>
      <c r="AQ126" s="577">
        <v>73.508771929824604</v>
      </c>
      <c r="AR126" s="575">
        <f t="shared" si="41"/>
        <v>15</v>
      </c>
      <c r="AS126" s="642"/>
      <c r="AT126" s="575">
        <v>18</v>
      </c>
      <c r="AU126" s="577">
        <v>1328.1818181818196</v>
      </c>
      <c r="AV126" s="577">
        <v>73.787878787878867</v>
      </c>
      <c r="AW126" s="575">
        <f t="shared" si="42"/>
        <v>14</v>
      </c>
      <c r="AX126" s="642"/>
      <c r="AZ126" s="368" t="e">
        <f t="shared" si="43"/>
        <v>#N/A</v>
      </c>
      <c r="BA126" s="642"/>
    </row>
    <row r="127" spans="2:53">
      <c r="B127" s="647"/>
      <c r="C127" s="283">
        <v>16</v>
      </c>
      <c r="D127" s="201" t="s">
        <v>509</v>
      </c>
      <c r="E127" s="517">
        <v>17</v>
      </c>
      <c r="F127" s="201">
        <v>1440</v>
      </c>
      <c r="G127" s="199">
        <v>84.705882352941174</v>
      </c>
      <c r="H127" s="701"/>
      <c r="I127" s="363">
        <f t="shared" si="33"/>
        <v>17</v>
      </c>
      <c r="J127" s="363">
        <f t="shared" si="34"/>
        <v>1351.8990524497269</v>
      </c>
      <c r="K127" s="199">
        <f t="shared" si="35"/>
        <v>79.523473673513337</v>
      </c>
      <c r="L127" s="657"/>
      <c r="M127" s="200">
        <f>RANK(K127, K$112:$K$141)</f>
        <v>11</v>
      </c>
      <c r="N127" s="641"/>
      <c r="O127" s="641"/>
      <c r="P127" s="575">
        <v>17</v>
      </c>
      <c r="Q127" s="577">
        <v>1332.6315789473674</v>
      </c>
      <c r="R127" s="577">
        <v>78.390092879256912</v>
      </c>
      <c r="S127" s="575">
        <f t="shared" si="36"/>
        <v>11</v>
      </c>
      <c r="T127" s="642"/>
      <c r="U127" s="575">
        <v>17</v>
      </c>
      <c r="V127" s="577">
        <v>1361.0526315789464</v>
      </c>
      <c r="W127" s="577">
        <v>80.06191950464391</v>
      </c>
      <c r="X127" s="575">
        <f t="shared" si="37"/>
        <v>10</v>
      </c>
      <c r="Y127" s="642"/>
      <c r="Z127" s="575">
        <v>17</v>
      </c>
      <c r="AA127" s="577">
        <v>1354.838709677417</v>
      </c>
      <c r="AB127" s="577">
        <v>79.696394686906885</v>
      </c>
      <c r="AC127" s="575">
        <f t="shared" si="38"/>
        <v>10</v>
      </c>
      <c r="AD127" s="642"/>
      <c r="AE127" s="575">
        <v>17</v>
      </c>
      <c r="AF127" s="577">
        <v>1338.1818181818164</v>
      </c>
      <c r="AG127" s="577">
        <v>78.716577540106854</v>
      </c>
      <c r="AH127" s="575">
        <f t="shared" si="39"/>
        <v>12</v>
      </c>
      <c r="AI127" s="642"/>
      <c r="AJ127" s="575">
        <v>17</v>
      </c>
      <c r="AK127" s="577">
        <v>1349.9999999999989</v>
      </c>
      <c r="AL127" s="577">
        <v>79.411764705882291</v>
      </c>
      <c r="AM127" s="575">
        <f t="shared" si="40"/>
        <v>12</v>
      </c>
      <c r="AN127" s="642"/>
      <c r="AO127" s="575">
        <v>17</v>
      </c>
      <c r="AP127" s="577">
        <v>1360.4347826086957</v>
      </c>
      <c r="AQ127" s="577">
        <v>80.025575447570333</v>
      </c>
      <c r="AR127" s="575">
        <f t="shared" si="41"/>
        <v>11</v>
      </c>
      <c r="AS127" s="642"/>
      <c r="AT127" s="575">
        <v>17</v>
      </c>
      <c r="AU127" s="577">
        <v>1366.1538461538453</v>
      </c>
      <c r="AV127" s="577">
        <v>80.361990950226186</v>
      </c>
      <c r="AW127" s="575">
        <f t="shared" si="42"/>
        <v>11</v>
      </c>
      <c r="AX127" s="642"/>
      <c r="AZ127" s="368" t="e">
        <f t="shared" si="43"/>
        <v>#N/A</v>
      </c>
      <c r="BA127" s="642"/>
    </row>
    <row r="128" spans="2:53">
      <c r="B128" s="647"/>
      <c r="C128" s="283">
        <v>17</v>
      </c>
      <c r="D128" s="201" t="s">
        <v>603</v>
      </c>
      <c r="E128" s="517">
        <v>16</v>
      </c>
      <c r="F128" s="201">
        <v>1636</v>
      </c>
      <c r="G128" s="199">
        <v>102.25</v>
      </c>
      <c r="H128" s="701"/>
      <c r="I128" s="363">
        <f t="shared" si="33"/>
        <v>16</v>
      </c>
      <c r="J128" s="363">
        <f t="shared" si="34"/>
        <v>1438.5981405523437</v>
      </c>
      <c r="K128" s="199">
        <f t="shared" si="35"/>
        <v>89.912383784521481</v>
      </c>
      <c r="L128" s="657"/>
      <c r="M128" s="200">
        <f>RANK(K128, K$112:$K$141)</f>
        <v>4</v>
      </c>
      <c r="N128" s="641"/>
      <c r="O128" s="641"/>
      <c r="P128" s="575">
        <v>16</v>
      </c>
      <c r="Q128" s="577">
        <v>1446.9767441860463</v>
      </c>
      <c r="R128" s="577">
        <v>90.436046511627893</v>
      </c>
      <c r="S128" s="575">
        <f t="shared" si="36"/>
        <v>5</v>
      </c>
      <c r="T128" s="642"/>
      <c r="U128" s="575">
        <v>16</v>
      </c>
      <c r="V128" s="577">
        <v>1457.3684210526305</v>
      </c>
      <c r="W128" s="577">
        <v>91.085526315789409</v>
      </c>
      <c r="X128" s="575">
        <f t="shared" si="37"/>
        <v>4</v>
      </c>
      <c r="Y128" s="642"/>
      <c r="Z128" s="575">
        <v>16</v>
      </c>
      <c r="AA128" s="577">
        <v>1426.4516129032233</v>
      </c>
      <c r="AB128" s="577">
        <v>89.153225806451459</v>
      </c>
      <c r="AC128" s="575">
        <f t="shared" si="38"/>
        <v>5</v>
      </c>
      <c r="AD128" s="642"/>
      <c r="AE128" s="575">
        <v>16</v>
      </c>
      <c r="AF128" s="577">
        <v>1426.8749999999982</v>
      </c>
      <c r="AG128" s="577">
        <v>89.179687499999886</v>
      </c>
      <c r="AH128" s="575">
        <f t="shared" si="39"/>
        <v>5</v>
      </c>
      <c r="AI128" s="642"/>
      <c r="AJ128" s="575">
        <v>16</v>
      </c>
      <c r="AK128" s="577">
        <v>1441.5384615384608</v>
      </c>
      <c r="AL128" s="577">
        <v>90.096153846153797</v>
      </c>
      <c r="AM128" s="575">
        <f t="shared" si="40"/>
        <v>5</v>
      </c>
      <c r="AN128" s="642"/>
      <c r="AO128" s="575">
        <v>16</v>
      </c>
      <c r="AP128" s="577">
        <v>1424</v>
      </c>
      <c r="AQ128" s="577">
        <v>89</v>
      </c>
      <c r="AR128" s="575">
        <f t="shared" si="41"/>
        <v>5</v>
      </c>
      <c r="AS128" s="642"/>
      <c r="AT128" s="575">
        <v>16</v>
      </c>
      <c r="AU128" s="577">
        <v>1446.9767441860463</v>
      </c>
      <c r="AV128" s="577">
        <v>90.436046511627893</v>
      </c>
      <c r="AW128" s="575">
        <f t="shared" si="42"/>
        <v>4</v>
      </c>
      <c r="AX128" s="642"/>
      <c r="AZ128" s="368" t="e">
        <f t="shared" si="43"/>
        <v>#N/A</v>
      </c>
      <c r="BA128" s="642"/>
    </row>
    <row r="129" spans="2:53">
      <c r="B129" s="647"/>
      <c r="C129" s="283">
        <v>18</v>
      </c>
      <c r="D129" s="201" t="s">
        <v>615</v>
      </c>
      <c r="E129" s="517">
        <v>16</v>
      </c>
      <c r="F129" s="201">
        <v>1500</v>
      </c>
      <c r="G129" s="199">
        <v>93.75</v>
      </c>
      <c r="H129" s="701"/>
      <c r="I129" s="363">
        <f t="shared" si="33"/>
        <v>16.285714285714285</v>
      </c>
      <c r="J129" s="363">
        <f t="shared" si="34"/>
        <v>1331.8289875132832</v>
      </c>
      <c r="K129" s="199">
        <f t="shared" si="35"/>
        <v>81.839374340782541</v>
      </c>
      <c r="L129" s="657"/>
      <c r="M129" s="200">
        <f>RANK(K129, K$112:$K$141)</f>
        <v>9</v>
      </c>
      <c r="N129" s="641"/>
      <c r="O129" s="641"/>
      <c r="P129" s="575">
        <v>17</v>
      </c>
      <c r="Q129" s="577">
        <v>1329.23076923077</v>
      </c>
      <c r="R129" s="577">
        <v>78.190045248868827</v>
      </c>
      <c r="S129" s="575">
        <f t="shared" si="36"/>
        <v>12</v>
      </c>
      <c r="T129" s="642"/>
      <c r="U129" s="575">
        <v>17</v>
      </c>
      <c r="V129" s="577">
        <v>1336.2500000000005</v>
      </c>
      <c r="W129" s="577">
        <v>78.602941176470608</v>
      </c>
      <c r="X129" s="575">
        <f t="shared" si="37"/>
        <v>12</v>
      </c>
      <c r="Y129" s="642"/>
      <c r="Z129" s="575">
        <v>16</v>
      </c>
      <c r="AA129" s="577">
        <v>1331.0526315789464</v>
      </c>
      <c r="AB129" s="577">
        <v>83.190789473684148</v>
      </c>
      <c r="AC129" s="575">
        <f t="shared" si="38"/>
        <v>8</v>
      </c>
      <c r="AD129" s="642"/>
      <c r="AE129" s="575">
        <v>16</v>
      </c>
      <c r="AF129" s="577">
        <v>1328.7804878048776</v>
      </c>
      <c r="AG129" s="577">
        <v>83.048780487804848</v>
      </c>
      <c r="AH129" s="575">
        <f t="shared" si="39"/>
        <v>9</v>
      </c>
      <c r="AI129" s="642"/>
      <c r="AJ129" s="575">
        <v>16</v>
      </c>
      <c r="AK129" s="577">
        <v>1340.4255319148938</v>
      </c>
      <c r="AL129" s="577">
        <v>83.776595744680861</v>
      </c>
      <c r="AM129" s="575">
        <f t="shared" si="40"/>
        <v>8</v>
      </c>
      <c r="AN129" s="642"/>
      <c r="AO129" s="575">
        <v>16</v>
      </c>
      <c r="AP129" s="577">
        <v>1339.2857142857151</v>
      </c>
      <c r="AQ129" s="577">
        <v>83.705357142857196</v>
      </c>
      <c r="AR129" s="575">
        <f t="shared" si="41"/>
        <v>8</v>
      </c>
      <c r="AS129" s="642"/>
      <c r="AT129" s="575">
        <v>16</v>
      </c>
      <c r="AU129" s="577">
        <v>1317.7777777777785</v>
      </c>
      <c r="AV129" s="577">
        <v>82.361111111111157</v>
      </c>
      <c r="AW129" s="575">
        <f t="shared" si="42"/>
        <v>9</v>
      </c>
      <c r="AX129" s="642"/>
      <c r="AZ129" s="368" t="e">
        <f t="shared" si="43"/>
        <v>#N/A</v>
      </c>
      <c r="BA129" s="642"/>
    </row>
    <row r="130" spans="2:53">
      <c r="B130" s="647"/>
      <c r="C130" s="283">
        <v>19</v>
      </c>
      <c r="D130" s="201" t="s">
        <v>611</v>
      </c>
      <c r="E130" s="517">
        <v>16</v>
      </c>
      <c r="F130" s="201">
        <v>1500</v>
      </c>
      <c r="G130" s="199">
        <v>93.75</v>
      </c>
      <c r="H130" s="701"/>
      <c r="I130" s="363">
        <f t="shared" si="33"/>
        <v>15.714285714285714</v>
      </c>
      <c r="J130" s="363">
        <f t="shared" si="34"/>
        <v>1348.793956091873</v>
      </c>
      <c r="K130" s="199">
        <f t="shared" si="35"/>
        <v>85.912267698534563</v>
      </c>
      <c r="L130" s="657"/>
      <c r="M130" s="200">
        <f>RANK(K130, K$112:$K$141)</f>
        <v>7</v>
      </c>
      <c r="N130" s="641"/>
      <c r="O130" s="641"/>
      <c r="P130" s="575">
        <v>15</v>
      </c>
      <c r="Q130" s="577">
        <v>1359.7058823529428</v>
      </c>
      <c r="R130" s="577">
        <v>90.64705882352952</v>
      </c>
      <c r="S130" s="575">
        <f t="shared" si="36"/>
        <v>4</v>
      </c>
      <c r="T130" s="642"/>
      <c r="U130" s="575">
        <v>15</v>
      </c>
      <c r="V130" s="577">
        <v>1349.538461538463</v>
      </c>
      <c r="W130" s="577">
        <v>89.969230769230862</v>
      </c>
      <c r="X130" s="575">
        <f t="shared" si="37"/>
        <v>6</v>
      </c>
      <c r="Y130" s="642"/>
      <c r="Z130" s="575">
        <v>16</v>
      </c>
      <c r="AA130" s="577">
        <v>1348.8888888888896</v>
      </c>
      <c r="AB130" s="577">
        <v>84.3055555555556</v>
      </c>
      <c r="AC130" s="575">
        <f t="shared" si="38"/>
        <v>7</v>
      </c>
      <c r="AD130" s="642"/>
      <c r="AE130" s="575">
        <v>16</v>
      </c>
      <c r="AF130" s="577">
        <v>1347.7777777777785</v>
      </c>
      <c r="AG130" s="577">
        <v>84.236111111111157</v>
      </c>
      <c r="AH130" s="575">
        <f t="shared" si="39"/>
        <v>7</v>
      </c>
      <c r="AI130" s="642"/>
      <c r="AJ130" s="575">
        <v>16</v>
      </c>
      <c r="AK130" s="577">
        <v>1357.2727272727288</v>
      </c>
      <c r="AL130" s="577">
        <v>84.829545454545553</v>
      </c>
      <c r="AM130" s="575">
        <f t="shared" si="40"/>
        <v>7</v>
      </c>
      <c r="AN130" s="642"/>
      <c r="AO130" s="575">
        <v>16</v>
      </c>
      <c r="AP130" s="577">
        <v>1353.6986301369852</v>
      </c>
      <c r="AQ130" s="577">
        <v>84.606164383561577</v>
      </c>
      <c r="AR130" s="575">
        <f t="shared" si="41"/>
        <v>7</v>
      </c>
      <c r="AS130" s="642"/>
      <c r="AT130" s="575">
        <v>16</v>
      </c>
      <c r="AU130" s="577">
        <v>1324.675324675324</v>
      </c>
      <c r="AV130" s="577">
        <v>82.792207792207748</v>
      </c>
      <c r="AW130" s="575">
        <f t="shared" si="42"/>
        <v>8</v>
      </c>
      <c r="AX130" s="642"/>
      <c r="AZ130" s="368" t="e">
        <f t="shared" si="43"/>
        <v>#N/A</v>
      </c>
      <c r="BA130" s="642"/>
    </row>
    <row r="131" spans="2:53">
      <c r="B131" s="647"/>
      <c r="C131" s="283">
        <v>20</v>
      </c>
      <c r="D131" s="201" t="s">
        <v>629</v>
      </c>
      <c r="E131" s="517">
        <v>19</v>
      </c>
      <c r="F131" s="201">
        <v>1440</v>
      </c>
      <c r="G131" s="199">
        <v>75.78947368421052</v>
      </c>
      <c r="H131" s="701"/>
      <c r="I131" s="363">
        <f t="shared" si="33"/>
        <v>19</v>
      </c>
      <c r="J131" s="363">
        <f t="shared" si="34"/>
        <v>1295.7579070506658</v>
      </c>
      <c r="K131" s="199">
        <f t="shared" si="35"/>
        <v>68.197784581613988</v>
      </c>
      <c r="L131" s="657"/>
      <c r="M131" s="200">
        <f>RANK(K131, K$112:$K$141)</f>
        <v>19</v>
      </c>
      <c r="N131" s="641"/>
      <c r="O131" s="641"/>
      <c r="P131" s="575">
        <v>19</v>
      </c>
      <c r="Q131" s="577">
        <v>1304.1509433962271</v>
      </c>
      <c r="R131" s="577">
        <v>68.639523336643535</v>
      </c>
      <c r="S131" s="575">
        <f t="shared" si="36"/>
        <v>19</v>
      </c>
      <c r="T131" s="642"/>
      <c r="U131" s="575">
        <v>19</v>
      </c>
      <c r="V131" s="577">
        <v>1305.0000000000007</v>
      </c>
      <c r="W131" s="577">
        <v>68.684210526315823</v>
      </c>
      <c r="X131" s="575">
        <f t="shared" si="37"/>
        <v>19</v>
      </c>
      <c r="Y131" s="642"/>
      <c r="Z131" s="575">
        <v>19</v>
      </c>
      <c r="AA131" s="577">
        <v>1309.9999999999989</v>
      </c>
      <c r="AB131" s="577">
        <v>68.947368421052573</v>
      </c>
      <c r="AC131" s="575">
        <f t="shared" si="38"/>
        <v>19</v>
      </c>
      <c r="AD131" s="642"/>
      <c r="AE131" s="575">
        <v>19</v>
      </c>
      <c r="AF131" s="577">
        <v>1300.5405405405395</v>
      </c>
      <c r="AG131" s="577">
        <v>68.449502133712599</v>
      </c>
      <c r="AH131" s="575">
        <f t="shared" si="39"/>
        <v>19</v>
      </c>
      <c r="AI131" s="642"/>
      <c r="AJ131" s="575">
        <v>19</v>
      </c>
      <c r="AK131" s="577">
        <v>1304.68085106383</v>
      </c>
      <c r="AL131" s="577">
        <v>68.667413213885794</v>
      </c>
      <c r="AM131" s="575">
        <f t="shared" si="40"/>
        <v>19</v>
      </c>
      <c r="AN131" s="642"/>
      <c r="AO131" s="575">
        <v>19</v>
      </c>
      <c r="AP131" s="577">
        <v>1296.8421052631554</v>
      </c>
      <c r="AQ131" s="577">
        <v>68.254847645429237</v>
      </c>
      <c r="AR131" s="575">
        <f t="shared" si="41"/>
        <v>18</v>
      </c>
      <c r="AS131" s="642"/>
      <c r="AT131" s="575">
        <v>19</v>
      </c>
      <c r="AU131" s="577">
        <v>1249.0909090909099</v>
      </c>
      <c r="AV131" s="577">
        <v>65.741626794258423</v>
      </c>
      <c r="AW131" s="575">
        <f t="shared" si="42"/>
        <v>21</v>
      </c>
      <c r="AX131" s="642"/>
      <c r="AZ131" s="368" t="e">
        <f t="shared" si="43"/>
        <v>#N/A</v>
      </c>
      <c r="BA131" s="642"/>
    </row>
    <row r="132" spans="2:53">
      <c r="B132" s="647"/>
      <c r="C132" s="283">
        <v>21</v>
      </c>
      <c r="D132" s="201" t="s">
        <v>700</v>
      </c>
      <c r="E132" s="517">
        <v>21</v>
      </c>
      <c r="F132" s="201">
        <v>1440</v>
      </c>
      <c r="G132" s="199">
        <v>68.571428571428569</v>
      </c>
      <c r="H132" s="701"/>
      <c r="I132" s="363">
        <f t="shared" si="33"/>
        <v>20.285714285714285</v>
      </c>
      <c r="J132" s="363">
        <f t="shared" si="34"/>
        <v>1091.0020526677567</v>
      </c>
      <c r="K132" s="199">
        <f t="shared" si="35"/>
        <v>53.823322125266223</v>
      </c>
      <c r="L132" s="657"/>
      <c r="M132" s="200">
        <f>RANK(K132, K$112:$K$141)</f>
        <v>24</v>
      </c>
      <c r="N132" s="641"/>
      <c r="O132" s="641"/>
      <c r="P132" s="575">
        <v>21</v>
      </c>
      <c r="Q132" s="577">
        <v>1068.9795918367352</v>
      </c>
      <c r="R132" s="577">
        <v>50.903790087463577</v>
      </c>
      <c r="S132" s="575">
        <f t="shared" si="36"/>
        <v>24</v>
      </c>
      <c r="T132" s="642"/>
      <c r="U132" s="575">
        <v>21</v>
      </c>
      <c r="V132" s="577">
        <v>1067.7551020408166</v>
      </c>
      <c r="W132" s="577">
        <v>50.845481049562693</v>
      </c>
      <c r="X132" s="575">
        <f t="shared" si="37"/>
        <v>24</v>
      </c>
      <c r="Y132" s="642"/>
      <c r="Z132" s="575">
        <v>20</v>
      </c>
      <c r="AA132" s="577">
        <v>1134.5454545454531</v>
      </c>
      <c r="AB132" s="577">
        <v>56.727272727272656</v>
      </c>
      <c r="AC132" s="575">
        <f t="shared" si="38"/>
        <v>24</v>
      </c>
      <c r="AD132" s="642"/>
      <c r="AE132" s="575">
        <v>20</v>
      </c>
      <c r="AF132" s="577">
        <v>1125.4545454545439</v>
      </c>
      <c r="AG132" s="577">
        <v>56.272727272727195</v>
      </c>
      <c r="AH132" s="575">
        <f t="shared" si="39"/>
        <v>24</v>
      </c>
      <c r="AI132" s="642"/>
      <c r="AJ132" s="575">
        <v>20</v>
      </c>
      <c r="AK132" s="577">
        <v>1074.1463414634143</v>
      </c>
      <c r="AL132" s="577">
        <v>53.707317073170714</v>
      </c>
      <c r="AM132" s="575">
        <f t="shared" si="40"/>
        <v>24</v>
      </c>
      <c r="AN132" s="642"/>
      <c r="AO132" s="575">
        <v>20</v>
      </c>
      <c r="AP132" s="577">
        <v>1072.8000000000004</v>
      </c>
      <c r="AQ132" s="577">
        <v>53.640000000000022</v>
      </c>
      <c r="AR132" s="575">
        <f t="shared" si="41"/>
        <v>24</v>
      </c>
      <c r="AS132" s="642"/>
      <c r="AT132" s="575">
        <v>20</v>
      </c>
      <c r="AU132" s="577">
        <v>1093.3333333333333</v>
      </c>
      <c r="AV132" s="577">
        <v>54.666666666666664</v>
      </c>
      <c r="AW132" s="575">
        <f t="shared" si="42"/>
        <v>24</v>
      </c>
      <c r="AX132" s="642"/>
      <c r="AZ132" s="368" t="e">
        <f t="shared" si="43"/>
        <v>#N/A</v>
      </c>
      <c r="BA132" s="642"/>
    </row>
    <row r="133" spans="2:53">
      <c r="B133" s="647"/>
      <c r="C133" s="283">
        <v>22</v>
      </c>
      <c r="D133" s="201" t="s">
        <v>702</v>
      </c>
      <c r="E133" s="517">
        <v>19</v>
      </c>
      <c r="F133" s="201">
        <v>1440</v>
      </c>
      <c r="G133" s="199">
        <v>75.78947368421052</v>
      </c>
      <c r="H133" s="701"/>
      <c r="I133" s="363">
        <f t="shared" si="33"/>
        <v>19</v>
      </c>
      <c r="J133" s="363">
        <f t="shared" si="34"/>
        <v>1351.0311704802148</v>
      </c>
      <c r="K133" s="199">
        <f t="shared" si="35"/>
        <v>71.106903709484996</v>
      </c>
      <c r="L133" s="657"/>
      <c r="M133" s="200">
        <f>RANK(K133, K$112:$K$141)</f>
        <v>17</v>
      </c>
      <c r="N133" s="641"/>
      <c r="O133" s="641"/>
      <c r="P133" s="575">
        <v>19</v>
      </c>
      <c r="Q133" s="577">
        <v>1354.9253731343267</v>
      </c>
      <c r="R133" s="577">
        <v>71.311861743911933</v>
      </c>
      <c r="S133" s="575">
        <f t="shared" si="36"/>
        <v>17</v>
      </c>
      <c r="T133" s="642"/>
      <c r="U133" s="575">
        <v>19</v>
      </c>
      <c r="V133" s="577">
        <v>1362.7118644067807</v>
      </c>
      <c r="W133" s="577">
        <v>71.721677074041096</v>
      </c>
      <c r="X133" s="575">
        <f t="shared" si="37"/>
        <v>16</v>
      </c>
      <c r="Y133" s="642"/>
      <c r="Z133" s="575">
        <v>19</v>
      </c>
      <c r="AA133" s="577">
        <v>1344.23076923077</v>
      </c>
      <c r="AB133" s="577">
        <v>70.748987854251055</v>
      </c>
      <c r="AC133" s="575">
        <f t="shared" si="38"/>
        <v>17</v>
      </c>
      <c r="AD133" s="642"/>
      <c r="AE133" s="575">
        <v>19</v>
      </c>
      <c r="AF133" s="577">
        <v>1354.4444444444453</v>
      </c>
      <c r="AG133" s="577">
        <v>71.286549707602376</v>
      </c>
      <c r="AH133" s="575">
        <f t="shared" si="39"/>
        <v>17</v>
      </c>
      <c r="AI133" s="642"/>
      <c r="AJ133" s="575">
        <v>19</v>
      </c>
      <c r="AK133" s="577">
        <v>1347.692307692309</v>
      </c>
      <c r="AL133" s="577">
        <v>70.93117408906889</v>
      </c>
      <c r="AM133" s="575">
        <f t="shared" si="40"/>
        <v>17</v>
      </c>
      <c r="AN133" s="642"/>
      <c r="AO133" s="575">
        <v>19</v>
      </c>
      <c r="AP133" s="577">
        <v>1359.6923076923092</v>
      </c>
      <c r="AQ133" s="577">
        <v>71.562753036437329</v>
      </c>
      <c r="AR133" s="575">
        <f t="shared" si="41"/>
        <v>17</v>
      </c>
      <c r="AS133" s="642"/>
      <c r="AT133" s="575">
        <v>19</v>
      </c>
      <c r="AU133" s="577">
        <v>1333.5211267605621</v>
      </c>
      <c r="AV133" s="577">
        <v>70.185322461082208</v>
      </c>
      <c r="AW133" s="575">
        <f t="shared" si="42"/>
        <v>18</v>
      </c>
      <c r="AX133" s="642"/>
      <c r="AZ133" s="368" t="e">
        <f t="shared" si="43"/>
        <v>#N/A</v>
      </c>
      <c r="BA133" s="642"/>
    </row>
    <row r="134" spans="2:53">
      <c r="B134" s="647"/>
      <c r="C134" s="283">
        <v>23</v>
      </c>
      <c r="D134" s="201" t="s">
        <v>737</v>
      </c>
      <c r="E134" s="517">
        <v>15</v>
      </c>
      <c r="F134" s="201">
        <v>1440</v>
      </c>
      <c r="G134" s="199">
        <v>96</v>
      </c>
      <c r="H134" s="701"/>
      <c r="I134" s="363">
        <f t="shared" si="33"/>
        <v>15</v>
      </c>
      <c r="J134" s="363">
        <f t="shared" si="34"/>
        <v>1343.870647623713</v>
      </c>
      <c r="K134" s="199">
        <f t="shared" si="35"/>
        <v>89.591376508247535</v>
      </c>
      <c r="L134" s="657"/>
      <c r="M134" s="200">
        <f>RANK(K134, K$112:$K$141)</f>
        <v>5</v>
      </c>
      <c r="N134" s="641"/>
      <c r="O134" s="641"/>
      <c r="P134" s="575">
        <v>15</v>
      </c>
      <c r="Q134" s="577">
        <v>1284.6153846153838</v>
      </c>
      <c r="R134" s="577">
        <v>85.641025641025593</v>
      </c>
      <c r="S134" s="575">
        <f t="shared" si="36"/>
        <v>7</v>
      </c>
      <c r="T134" s="642"/>
      <c r="U134" s="575">
        <v>15</v>
      </c>
      <c r="V134" s="577">
        <v>1353.1578947368412</v>
      </c>
      <c r="W134" s="577">
        <v>90.210526315789409</v>
      </c>
      <c r="X134" s="575">
        <f t="shared" si="37"/>
        <v>5</v>
      </c>
      <c r="Y134" s="642"/>
      <c r="Z134" s="575">
        <v>15</v>
      </c>
      <c r="AA134" s="577">
        <v>1350.0000000000011</v>
      </c>
      <c r="AB134" s="577">
        <v>90.000000000000071</v>
      </c>
      <c r="AC134" s="575">
        <f t="shared" si="38"/>
        <v>4</v>
      </c>
      <c r="AD134" s="642"/>
      <c r="AE134" s="575">
        <v>15</v>
      </c>
      <c r="AF134" s="577">
        <v>1363.5483870967755</v>
      </c>
      <c r="AG134" s="577">
        <v>90.903225806451701</v>
      </c>
      <c r="AH134" s="575">
        <f t="shared" si="39"/>
        <v>4</v>
      </c>
      <c r="AI134" s="642"/>
      <c r="AJ134" s="575">
        <v>15</v>
      </c>
      <c r="AK134" s="577">
        <v>1366.4788732394354</v>
      </c>
      <c r="AL134" s="577">
        <v>91.098591549295691</v>
      </c>
      <c r="AM134" s="575">
        <f t="shared" si="40"/>
        <v>4</v>
      </c>
      <c r="AN134" s="642"/>
      <c r="AO134" s="575">
        <v>15</v>
      </c>
      <c r="AP134" s="577">
        <v>1356.9863013698618</v>
      </c>
      <c r="AQ134" s="577">
        <v>90.46575342465745</v>
      </c>
      <c r="AR134" s="575">
        <f t="shared" si="41"/>
        <v>4</v>
      </c>
      <c r="AS134" s="642"/>
      <c r="AT134" s="575">
        <v>15</v>
      </c>
      <c r="AU134" s="577">
        <v>1332.3076923076917</v>
      </c>
      <c r="AV134" s="577">
        <v>88.820512820512775</v>
      </c>
      <c r="AW134" s="575">
        <f t="shared" si="42"/>
        <v>5</v>
      </c>
      <c r="AX134" s="642"/>
      <c r="AZ134" s="368" t="e">
        <f t="shared" si="43"/>
        <v>#N/A</v>
      </c>
      <c r="BA134" s="642"/>
    </row>
    <row r="135" spans="2:53">
      <c r="B135" s="647"/>
      <c r="C135" s="283">
        <v>24</v>
      </c>
      <c r="D135" s="201" t="s">
        <v>782</v>
      </c>
      <c r="E135" s="517">
        <v>21</v>
      </c>
      <c r="F135" s="201">
        <v>1385</v>
      </c>
      <c r="G135" s="199">
        <v>65.952380952380949</v>
      </c>
      <c r="H135" s="701"/>
      <c r="I135" s="363">
        <f t="shared" si="33"/>
        <v>20.571428571428573</v>
      </c>
      <c r="J135" s="363">
        <f t="shared" si="34"/>
        <v>1229.5494886948547</v>
      </c>
      <c r="K135" s="199">
        <f t="shared" si="35"/>
        <v>59.807317663481186</v>
      </c>
      <c r="L135" s="657"/>
      <c r="M135" s="200">
        <f>RANK(K135, K$112:$K$141)</f>
        <v>22</v>
      </c>
      <c r="N135" s="641"/>
      <c r="O135" s="641"/>
      <c r="P135" s="575">
        <v>21</v>
      </c>
      <c r="Q135" s="577">
        <v>1197.3913043478303</v>
      </c>
      <c r="R135" s="577">
        <v>57.018633540372875</v>
      </c>
      <c r="S135" s="575">
        <f t="shared" si="36"/>
        <v>23</v>
      </c>
      <c r="T135" s="642"/>
      <c r="U135" s="575">
        <v>20</v>
      </c>
      <c r="V135" s="577">
        <v>1238.6086956521749</v>
      </c>
      <c r="W135" s="577">
        <v>61.930434782608742</v>
      </c>
      <c r="X135" s="575">
        <f t="shared" si="37"/>
        <v>22</v>
      </c>
      <c r="Y135" s="642"/>
      <c r="Z135" s="575">
        <v>21</v>
      </c>
      <c r="AA135" s="577">
        <v>1235.4285714285722</v>
      </c>
      <c r="AB135" s="577">
        <v>58.829931972789154</v>
      </c>
      <c r="AC135" s="575">
        <f t="shared" si="38"/>
        <v>23</v>
      </c>
      <c r="AD135" s="642"/>
      <c r="AE135" s="575">
        <v>21</v>
      </c>
      <c r="AF135" s="577">
        <v>1245.6338028169002</v>
      </c>
      <c r="AG135" s="577">
        <v>59.315895372233342</v>
      </c>
      <c r="AH135" s="575">
        <f t="shared" si="39"/>
        <v>22</v>
      </c>
      <c r="AI135" s="642"/>
      <c r="AJ135" s="575">
        <v>21</v>
      </c>
      <c r="AK135" s="577">
        <v>1231.8072289156621</v>
      </c>
      <c r="AL135" s="577">
        <v>58.657487091222002</v>
      </c>
      <c r="AM135" s="575">
        <f t="shared" si="40"/>
        <v>23</v>
      </c>
      <c r="AN135" s="642"/>
      <c r="AO135" s="575">
        <v>20</v>
      </c>
      <c r="AP135" s="577">
        <v>1241.538461538461</v>
      </c>
      <c r="AQ135" s="577">
        <v>62.076923076923052</v>
      </c>
      <c r="AR135" s="575">
        <f t="shared" si="41"/>
        <v>22</v>
      </c>
      <c r="AS135" s="642"/>
      <c r="AT135" s="575">
        <v>20</v>
      </c>
      <c r="AU135" s="577">
        <v>1216.4383561643826</v>
      </c>
      <c r="AV135" s="577">
        <v>60.821917808219133</v>
      </c>
      <c r="AW135" s="575">
        <f t="shared" si="42"/>
        <v>22</v>
      </c>
      <c r="AX135" s="642"/>
      <c r="AZ135" s="368" t="e">
        <f t="shared" si="43"/>
        <v>#N/A</v>
      </c>
      <c r="BA135" s="642"/>
    </row>
    <row r="136" spans="2:53">
      <c r="B136" s="647"/>
      <c r="C136" s="283">
        <v>25</v>
      </c>
      <c r="D136" s="201"/>
      <c r="E136" s="517"/>
      <c r="F136" s="201"/>
      <c r="G136" s="199"/>
      <c r="H136" s="701"/>
      <c r="I136" s="363" t="str">
        <f t="shared" si="33"/>
        <v>-</v>
      </c>
      <c r="J136" s="363" t="str">
        <f t="shared" si="34"/>
        <v>-</v>
      </c>
      <c r="K136" s="199" t="str">
        <f t="shared" si="35"/>
        <v>-</v>
      </c>
      <c r="L136" s="657"/>
      <c r="M136" s="200" t="e">
        <f>RANK(K136, K$112:$K$141)</f>
        <v>#VALUE!</v>
      </c>
      <c r="N136" s="641"/>
      <c r="O136" s="641"/>
      <c r="P136" s="575" t="s">
        <v>585</v>
      </c>
      <c r="Q136" s="577" t="s">
        <v>585</v>
      </c>
      <c r="R136" s="577" t="s">
        <v>585</v>
      </c>
      <c r="S136" s="575" t="e">
        <f t="shared" si="36"/>
        <v>#VALUE!</v>
      </c>
      <c r="T136" s="642"/>
      <c r="U136" s="575" t="s">
        <v>585</v>
      </c>
      <c r="V136" s="577" t="s">
        <v>585</v>
      </c>
      <c r="W136" s="577" t="s">
        <v>585</v>
      </c>
      <c r="X136" s="575" t="e">
        <f t="shared" si="37"/>
        <v>#VALUE!</v>
      </c>
      <c r="Y136" s="642"/>
      <c r="Z136" s="575" t="s">
        <v>585</v>
      </c>
      <c r="AA136" s="577" t="s">
        <v>585</v>
      </c>
      <c r="AB136" s="577" t="s">
        <v>585</v>
      </c>
      <c r="AC136" s="575" t="e">
        <f t="shared" si="38"/>
        <v>#VALUE!</v>
      </c>
      <c r="AD136" s="642"/>
      <c r="AE136" s="575" t="s">
        <v>585</v>
      </c>
      <c r="AF136" s="577" t="s">
        <v>585</v>
      </c>
      <c r="AG136" s="577" t="s">
        <v>585</v>
      </c>
      <c r="AH136" s="575" t="e">
        <f t="shared" si="39"/>
        <v>#VALUE!</v>
      </c>
      <c r="AI136" s="642"/>
      <c r="AJ136" s="575" t="s">
        <v>585</v>
      </c>
      <c r="AK136" s="577" t="s">
        <v>585</v>
      </c>
      <c r="AL136" s="577" t="s">
        <v>585</v>
      </c>
      <c r="AM136" s="575" t="e">
        <f t="shared" si="40"/>
        <v>#VALUE!</v>
      </c>
      <c r="AN136" s="642"/>
      <c r="AO136" s="575" t="s">
        <v>585</v>
      </c>
      <c r="AP136" s="577" t="s">
        <v>585</v>
      </c>
      <c r="AQ136" s="577" t="s">
        <v>585</v>
      </c>
      <c r="AR136" s="575" t="e">
        <f t="shared" si="41"/>
        <v>#VALUE!</v>
      </c>
      <c r="AS136" s="642"/>
      <c r="AT136" s="575" t="s">
        <v>585</v>
      </c>
      <c r="AU136" s="577" t="s">
        <v>585</v>
      </c>
      <c r="AV136" s="577" t="s">
        <v>585</v>
      </c>
      <c r="AW136" s="575" t="e">
        <f t="shared" si="42"/>
        <v>#VALUE!</v>
      </c>
      <c r="AX136" s="642"/>
      <c r="AZ136" s="368" t="e">
        <f t="shared" si="43"/>
        <v>#N/A</v>
      </c>
      <c r="BA136" s="642"/>
    </row>
    <row r="137" spans="2:53">
      <c r="B137" s="647"/>
      <c r="C137" s="283">
        <v>26</v>
      </c>
      <c r="D137" s="201"/>
      <c r="E137" s="517"/>
      <c r="F137" s="201"/>
      <c r="G137" s="199"/>
      <c r="H137" s="701"/>
      <c r="I137" s="363" t="str">
        <f t="shared" si="33"/>
        <v>-</v>
      </c>
      <c r="J137" s="363" t="str">
        <f t="shared" si="34"/>
        <v>-</v>
      </c>
      <c r="K137" s="199" t="str">
        <f t="shared" si="35"/>
        <v>-</v>
      </c>
      <c r="L137" s="657"/>
      <c r="M137" s="200" t="e">
        <f>RANK(K137, K$112:$K$141)</f>
        <v>#VALUE!</v>
      </c>
      <c r="N137" s="641"/>
      <c r="O137" s="641"/>
      <c r="P137" s="575" t="s">
        <v>585</v>
      </c>
      <c r="Q137" s="577" t="s">
        <v>585</v>
      </c>
      <c r="R137" s="577" t="s">
        <v>585</v>
      </c>
      <c r="S137" s="575" t="e">
        <f t="shared" si="36"/>
        <v>#VALUE!</v>
      </c>
      <c r="T137" s="642"/>
      <c r="U137" s="575" t="s">
        <v>585</v>
      </c>
      <c r="V137" s="577" t="s">
        <v>585</v>
      </c>
      <c r="W137" s="577" t="s">
        <v>585</v>
      </c>
      <c r="X137" s="575" t="e">
        <f t="shared" si="37"/>
        <v>#VALUE!</v>
      </c>
      <c r="Y137" s="642"/>
      <c r="Z137" s="575" t="s">
        <v>585</v>
      </c>
      <c r="AA137" s="577" t="s">
        <v>585</v>
      </c>
      <c r="AB137" s="577" t="s">
        <v>585</v>
      </c>
      <c r="AC137" s="575" t="e">
        <f t="shared" si="38"/>
        <v>#VALUE!</v>
      </c>
      <c r="AD137" s="642"/>
      <c r="AE137" s="575" t="s">
        <v>585</v>
      </c>
      <c r="AF137" s="577" t="s">
        <v>585</v>
      </c>
      <c r="AG137" s="577" t="s">
        <v>585</v>
      </c>
      <c r="AH137" s="575" t="e">
        <f t="shared" si="39"/>
        <v>#VALUE!</v>
      </c>
      <c r="AI137" s="642"/>
      <c r="AJ137" s="575" t="s">
        <v>585</v>
      </c>
      <c r="AK137" s="577" t="s">
        <v>585</v>
      </c>
      <c r="AL137" s="577" t="s">
        <v>585</v>
      </c>
      <c r="AM137" s="575" t="e">
        <f t="shared" si="40"/>
        <v>#VALUE!</v>
      </c>
      <c r="AN137" s="642"/>
      <c r="AO137" s="575" t="s">
        <v>585</v>
      </c>
      <c r="AP137" s="577" t="s">
        <v>585</v>
      </c>
      <c r="AQ137" s="577" t="s">
        <v>585</v>
      </c>
      <c r="AR137" s="575" t="e">
        <f t="shared" si="41"/>
        <v>#VALUE!</v>
      </c>
      <c r="AS137" s="642"/>
      <c r="AT137" s="575" t="s">
        <v>585</v>
      </c>
      <c r="AU137" s="577" t="s">
        <v>585</v>
      </c>
      <c r="AV137" s="577" t="s">
        <v>585</v>
      </c>
      <c r="AW137" s="575" t="e">
        <f t="shared" si="42"/>
        <v>#VALUE!</v>
      </c>
      <c r="AX137" s="642"/>
      <c r="AZ137" s="368" t="e">
        <f t="shared" si="43"/>
        <v>#N/A</v>
      </c>
      <c r="BA137" s="642"/>
    </row>
    <row r="138" spans="2:53">
      <c r="B138" s="647"/>
      <c r="C138" s="283">
        <v>27</v>
      </c>
      <c r="D138" s="201"/>
      <c r="E138" s="517"/>
      <c r="F138" s="201"/>
      <c r="G138" s="199"/>
      <c r="H138" s="701"/>
      <c r="I138" s="363" t="str">
        <f t="shared" si="33"/>
        <v>-</v>
      </c>
      <c r="J138" s="363" t="str">
        <f t="shared" si="34"/>
        <v>-</v>
      </c>
      <c r="K138" s="199" t="str">
        <f t="shared" si="35"/>
        <v>-</v>
      </c>
      <c r="L138" s="657"/>
      <c r="M138" s="200" t="e">
        <f>RANK(K138, K$112:$K$141)</f>
        <v>#VALUE!</v>
      </c>
      <c r="N138" s="641"/>
      <c r="O138" s="641"/>
      <c r="P138" s="575" t="s">
        <v>585</v>
      </c>
      <c r="Q138" s="577" t="s">
        <v>585</v>
      </c>
      <c r="R138" s="577" t="s">
        <v>585</v>
      </c>
      <c r="S138" s="575" t="e">
        <f t="shared" si="36"/>
        <v>#VALUE!</v>
      </c>
      <c r="T138" s="642"/>
      <c r="U138" s="575" t="s">
        <v>585</v>
      </c>
      <c r="V138" s="577" t="s">
        <v>585</v>
      </c>
      <c r="W138" s="577" t="s">
        <v>585</v>
      </c>
      <c r="X138" s="575" t="e">
        <f t="shared" si="37"/>
        <v>#VALUE!</v>
      </c>
      <c r="Y138" s="642"/>
      <c r="Z138" s="575" t="s">
        <v>585</v>
      </c>
      <c r="AA138" s="577" t="s">
        <v>585</v>
      </c>
      <c r="AB138" s="577" t="s">
        <v>585</v>
      </c>
      <c r="AC138" s="575" t="e">
        <f t="shared" si="38"/>
        <v>#VALUE!</v>
      </c>
      <c r="AD138" s="642"/>
      <c r="AE138" s="575" t="s">
        <v>585</v>
      </c>
      <c r="AF138" s="577" t="s">
        <v>585</v>
      </c>
      <c r="AG138" s="577" t="s">
        <v>585</v>
      </c>
      <c r="AH138" s="575" t="e">
        <f t="shared" si="39"/>
        <v>#VALUE!</v>
      </c>
      <c r="AI138" s="642"/>
      <c r="AJ138" s="575" t="s">
        <v>585</v>
      </c>
      <c r="AK138" s="577" t="s">
        <v>585</v>
      </c>
      <c r="AL138" s="577" t="s">
        <v>585</v>
      </c>
      <c r="AM138" s="575" t="e">
        <f t="shared" si="40"/>
        <v>#VALUE!</v>
      </c>
      <c r="AN138" s="642"/>
      <c r="AO138" s="575" t="s">
        <v>585</v>
      </c>
      <c r="AP138" s="577" t="s">
        <v>585</v>
      </c>
      <c r="AQ138" s="577" t="s">
        <v>585</v>
      </c>
      <c r="AR138" s="575" t="e">
        <f t="shared" si="41"/>
        <v>#VALUE!</v>
      </c>
      <c r="AS138" s="642"/>
      <c r="AT138" s="575" t="s">
        <v>585</v>
      </c>
      <c r="AU138" s="577" t="s">
        <v>585</v>
      </c>
      <c r="AV138" s="577" t="s">
        <v>585</v>
      </c>
      <c r="AW138" s="575" t="e">
        <f t="shared" si="42"/>
        <v>#VALUE!</v>
      </c>
      <c r="AX138" s="642"/>
      <c r="AZ138" s="368" t="e">
        <f t="shared" si="43"/>
        <v>#N/A</v>
      </c>
      <c r="BA138" s="642"/>
    </row>
    <row r="139" spans="2:53">
      <c r="B139" s="647"/>
      <c r="C139" s="283">
        <v>28</v>
      </c>
      <c r="D139" s="201"/>
      <c r="E139" s="517"/>
      <c r="F139" s="201"/>
      <c r="G139" s="199"/>
      <c r="H139" s="701"/>
      <c r="I139" s="363" t="str">
        <f t="shared" si="33"/>
        <v>-</v>
      </c>
      <c r="J139" s="363" t="str">
        <f t="shared" si="34"/>
        <v>-</v>
      </c>
      <c r="K139" s="199" t="str">
        <f t="shared" si="35"/>
        <v>-</v>
      </c>
      <c r="L139" s="657"/>
      <c r="M139" s="200" t="e">
        <f>RANK(K139, K$112:$K$141)</f>
        <v>#VALUE!</v>
      </c>
      <c r="N139" s="641"/>
      <c r="O139" s="641"/>
      <c r="P139" s="575" t="s">
        <v>585</v>
      </c>
      <c r="Q139" s="577" t="s">
        <v>585</v>
      </c>
      <c r="R139" s="577" t="s">
        <v>585</v>
      </c>
      <c r="S139" s="575" t="e">
        <f t="shared" si="36"/>
        <v>#VALUE!</v>
      </c>
      <c r="T139" s="642"/>
      <c r="U139" s="575" t="s">
        <v>585</v>
      </c>
      <c r="V139" s="577" t="s">
        <v>585</v>
      </c>
      <c r="W139" s="577" t="s">
        <v>585</v>
      </c>
      <c r="X139" s="575" t="e">
        <f t="shared" si="37"/>
        <v>#VALUE!</v>
      </c>
      <c r="Y139" s="642"/>
      <c r="Z139" s="575" t="s">
        <v>585</v>
      </c>
      <c r="AA139" s="577" t="s">
        <v>585</v>
      </c>
      <c r="AB139" s="577" t="s">
        <v>585</v>
      </c>
      <c r="AC139" s="575" t="e">
        <f t="shared" si="38"/>
        <v>#VALUE!</v>
      </c>
      <c r="AD139" s="642"/>
      <c r="AE139" s="575" t="s">
        <v>585</v>
      </c>
      <c r="AF139" s="577" t="s">
        <v>585</v>
      </c>
      <c r="AG139" s="577" t="s">
        <v>585</v>
      </c>
      <c r="AH139" s="575" t="e">
        <f t="shared" si="39"/>
        <v>#VALUE!</v>
      </c>
      <c r="AI139" s="642"/>
      <c r="AJ139" s="575" t="s">
        <v>585</v>
      </c>
      <c r="AK139" s="577" t="s">
        <v>585</v>
      </c>
      <c r="AL139" s="577" t="s">
        <v>585</v>
      </c>
      <c r="AM139" s="575" t="e">
        <f t="shared" si="40"/>
        <v>#VALUE!</v>
      </c>
      <c r="AN139" s="642"/>
      <c r="AO139" s="575" t="s">
        <v>585</v>
      </c>
      <c r="AP139" s="577" t="s">
        <v>585</v>
      </c>
      <c r="AQ139" s="577" t="s">
        <v>585</v>
      </c>
      <c r="AR139" s="575" t="e">
        <f t="shared" si="41"/>
        <v>#VALUE!</v>
      </c>
      <c r="AS139" s="642"/>
      <c r="AT139" s="575" t="s">
        <v>585</v>
      </c>
      <c r="AU139" s="577" t="s">
        <v>585</v>
      </c>
      <c r="AV139" s="577" t="s">
        <v>585</v>
      </c>
      <c r="AW139" s="575" t="e">
        <f t="shared" si="42"/>
        <v>#VALUE!</v>
      </c>
      <c r="AX139" s="642"/>
      <c r="AZ139" s="368" t="e">
        <f t="shared" si="43"/>
        <v>#N/A</v>
      </c>
      <c r="BA139" s="642"/>
    </row>
    <row r="140" spans="2:53">
      <c r="B140" s="647"/>
      <c r="C140" s="283">
        <v>29</v>
      </c>
      <c r="D140" s="201"/>
      <c r="E140" s="517"/>
      <c r="F140" s="201"/>
      <c r="G140" s="199"/>
      <c r="H140" s="701"/>
      <c r="I140" s="363" t="str">
        <f t="shared" si="33"/>
        <v>-</v>
      </c>
      <c r="J140" s="363" t="str">
        <f t="shared" si="34"/>
        <v>-</v>
      </c>
      <c r="K140" s="199" t="str">
        <f t="shared" si="35"/>
        <v>-</v>
      </c>
      <c r="L140" s="657"/>
      <c r="M140" s="200" t="e">
        <f>RANK(K140, K$112:$K$141)</f>
        <v>#VALUE!</v>
      </c>
      <c r="N140" s="641"/>
      <c r="O140" s="641"/>
      <c r="P140" s="575" t="s">
        <v>585</v>
      </c>
      <c r="Q140" s="577" t="s">
        <v>585</v>
      </c>
      <c r="R140" s="577" t="s">
        <v>585</v>
      </c>
      <c r="S140" s="575" t="e">
        <f t="shared" si="36"/>
        <v>#VALUE!</v>
      </c>
      <c r="T140" s="642"/>
      <c r="U140" s="575" t="s">
        <v>585</v>
      </c>
      <c r="V140" s="577" t="s">
        <v>585</v>
      </c>
      <c r="W140" s="577" t="s">
        <v>585</v>
      </c>
      <c r="X140" s="575" t="e">
        <f t="shared" si="37"/>
        <v>#VALUE!</v>
      </c>
      <c r="Y140" s="642"/>
      <c r="Z140" s="575" t="s">
        <v>585</v>
      </c>
      <c r="AA140" s="577" t="s">
        <v>585</v>
      </c>
      <c r="AB140" s="577" t="s">
        <v>585</v>
      </c>
      <c r="AC140" s="575" t="e">
        <f t="shared" si="38"/>
        <v>#VALUE!</v>
      </c>
      <c r="AD140" s="642"/>
      <c r="AE140" s="575" t="s">
        <v>585</v>
      </c>
      <c r="AF140" s="577" t="s">
        <v>585</v>
      </c>
      <c r="AG140" s="577" t="s">
        <v>585</v>
      </c>
      <c r="AH140" s="575" t="e">
        <f t="shared" si="39"/>
        <v>#VALUE!</v>
      </c>
      <c r="AI140" s="642"/>
      <c r="AJ140" s="575" t="s">
        <v>585</v>
      </c>
      <c r="AK140" s="577" t="s">
        <v>585</v>
      </c>
      <c r="AL140" s="577" t="s">
        <v>585</v>
      </c>
      <c r="AM140" s="575" t="e">
        <f t="shared" si="40"/>
        <v>#VALUE!</v>
      </c>
      <c r="AN140" s="642"/>
      <c r="AO140" s="575" t="s">
        <v>585</v>
      </c>
      <c r="AP140" s="577" t="s">
        <v>585</v>
      </c>
      <c r="AQ140" s="577" t="s">
        <v>585</v>
      </c>
      <c r="AR140" s="575" t="e">
        <f t="shared" si="41"/>
        <v>#VALUE!</v>
      </c>
      <c r="AS140" s="642"/>
      <c r="AT140" s="575" t="s">
        <v>585</v>
      </c>
      <c r="AU140" s="577" t="s">
        <v>585</v>
      </c>
      <c r="AV140" s="577" t="s">
        <v>585</v>
      </c>
      <c r="AW140" s="575" t="e">
        <f t="shared" si="42"/>
        <v>#VALUE!</v>
      </c>
      <c r="AX140" s="642"/>
      <c r="AZ140" s="368" t="e">
        <f t="shared" si="43"/>
        <v>#N/A</v>
      </c>
      <c r="BA140" s="642"/>
    </row>
    <row r="141" spans="2:53">
      <c r="B141" s="647"/>
      <c r="C141" s="283">
        <v>30</v>
      </c>
      <c r="D141" s="201"/>
      <c r="E141" s="517"/>
      <c r="F141" s="201"/>
      <c r="G141" s="199"/>
      <c r="H141" s="702"/>
      <c r="I141" s="363" t="str">
        <f t="shared" si="33"/>
        <v>-</v>
      </c>
      <c r="J141" s="363" t="str">
        <f t="shared" si="34"/>
        <v>-</v>
      </c>
      <c r="K141" s="199" t="str">
        <f t="shared" si="35"/>
        <v>-</v>
      </c>
      <c r="L141" s="658"/>
      <c r="M141" s="200" t="e">
        <f>RANK(K141, K$112:$K$141)</f>
        <v>#VALUE!</v>
      </c>
      <c r="N141" s="641"/>
      <c r="O141" s="641"/>
      <c r="P141" s="575" t="s">
        <v>585</v>
      </c>
      <c r="Q141" s="577" t="s">
        <v>585</v>
      </c>
      <c r="R141" s="577" t="s">
        <v>585</v>
      </c>
      <c r="S141" s="575" t="e">
        <f t="shared" si="36"/>
        <v>#VALUE!</v>
      </c>
      <c r="T141" s="642"/>
      <c r="U141" s="575" t="s">
        <v>585</v>
      </c>
      <c r="V141" s="577" t="s">
        <v>585</v>
      </c>
      <c r="W141" s="577" t="s">
        <v>585</v>
      </c>
      <c r="X141" s="575" t="e">
        <f t="shared" si="37"/>
        <v>#VALUE!</v>
      </c>
      <c r="Y141" s="642"/>
      <c r="Z141" s="575" t="s">
        <v>585</v>
      </c>
      <c r="AA141" s="577" t="s">
        <v>585</v>
      </c>
      <c r="AB141" s="577" t="s">
        <v>585</v>
      </c>
      <c r="AC141" s="575" t="e">
        <f t="shared" si="38"/>
        <v>#VALUE!</v>
      </c>
      <c r="AD141" s="642"/>
      <c r="AE141" s="575" t="s">
        <v>585</v>
      </c>
      <c r="AF141" s="577" t="s">
        <v>585</v>
      </c>
      <c r="AG141" s="577" t="s">
        <v>585</v>
      </c>
      <c r="AH141" s="575" t="e">
        <f t="shared" si="39"/>
        <v>#VALUE!</v>
      </c>
      <c r="AI141" s="642"/>
      <c r="AJ141" s="575" t="s">
        <v>585</v>
      </c>
      <c r="AK141" s="577" t="s">
        <v>585</v>
      </c>
      <c r="AL141" s="577" t="s">
        <v>585</v>
      </c>
      <c r="AM141" s="575" t="e">
        <f t="shared" si="40"/>
        <v>#VALUE!</v>
      </c>
      <c r="AN141" s="642"/>
      <c r="AO141" s="575" t="s">
        <v>585</v>
      </c>
      <c r="AP141" s="577" t="s">
        <v>585</v>
      </c>
      <c r="AQ141" s="577" t="s">
        <v>585</v>
      </c>
      <c r="AR141" s="575" t="e">
        <f t="shared" si="41"/>
        <v>#VALUE!</v>
      </c>
      <c r="AS141" s="642"/>
      <c r="AT141" s="575" t="s">
        <v>585</v>
      </c>
      <c r="AU141" s="577" t="s">
        <v>585</v>
      </c>
      <c r="AV141" s="577" t="s">
        <v>585</v>
      </c>
      <c r="AW141" s="575" t="e">
        <f t="shared" si="42"/>
        <v>#VALUE!</v>
      </c>
      <c r="AX141" s="642"/>
      <c r="AZ141" s="368" t="e">
        <f t="shared" si="43"/>
        <v>#N/A</v>
      </c>
      <c r="BA141" s="642"/>
    </row>
    <row r="142" spans="2:53" ht="15.75">
      <c r="B142" s="669" t="s">
        <v>162</v>
      </c>
      <c r="C142" s="670"/>
      <c r="D142" s="670"/>
      <c r="E142" s="670"/>
      <c r="F142" s="670"/>
      <c r="G142" s="670"/>
      <c r="H142" s="671"/>
      <c r="I142" s="207"/>
      <c r="J142" s="207"/>
      <c r="K142" s="207"/>
      <c r="L142" s="207"/>
      <c r="M142" s="206"/>
      <c r="N142" s="643" t="s">
        <v>156</v>
      </c>
      <c r="O142" s="643" t="s">
        <v>105</v>
      </c>
      <c r="P142" s="665">
        <f>P107+7</f>
        <v>46259</v>
      </c>
      <c r="Q142" s="666"/>
      <c r="R142" s="666"/>
      <c r="S142" s="666"/>
      <c r="T142" s="667"/>
      <c r="U142" s="665">
        <f>P142+1</f>
        <v>46260</v>
      </c>
      <c r="V142" s="666"/>
      <c r="W142" s="666"/>
      <c r="X142" s="666"/>
      <c r="Y142" s="667"/>
      <c r="Z142" s="665">
        <f>U142+1</f>
        <v>46261</v>
      </c>
      <c r="AA142" s="666"/>
      <c r="AB142" s="666"/>
      <c r="AC142" s="666"/>
      <c r="AD142" s="667"/>
      <c r="AE142" s="665">
        <f>Z142+1</f>
        <v>46262</v>
      </c>
      <c r="AF142" s="666"/>
      <c r="AG142" s="666"/>
      <c r="AH142" s="666"/>
      <c r="AI142" s="667"/>
      <c r="AJ142" s="665">
        <f>AE142+1</f>
        <v>46263</v>
      </c>
      <c r="AK142" s="666"/>
      <c r="AL142" s="666"/>
      <c r="AM142" s="666"/>
      <c r="AN142" s="667"/>
      <c r="AO142" s="665">
        <f>AJ142+1</f>
        <v>46264</v>
      </c>
      <c r="AP142" s="666"/>
      <c r="AQ142" s="666"/>
      <c r="AR142" s="666"/>
      <c r="AS142" s="667"/>
      <c r="AT142" s="665">
        <f>AO142+1</f>
        <v>46265</v>
      </c>
      <c r="AU142" s="666"/>
      <c r="AV142" s="666"/>
      <c r="AW142" s="666"/>
      <c r="AX142" s="667"/>
    </row>
    <row r="143" spans="2:53" ht="15.75">
      <c r="B143" s="672"/>
      <c r="C143" s="672"/>
      <c r="D143" s="672"/>
      <c r="E143" s="672"/>
      <c r="F143" s="672"/>
      <c r="G143" s="672"/>
      <c r="H143" s="672"/>
      <c r="I143" s="204"/>
      <c r="J143" s="204"/>
      <c r="K143" s="204"/>
      <c r="L143" s="204"/>
      <c r="M143" s="205"/>
      <c r="N143" s="645"/>
      <c r="O143" s="645"/>
      <c r="P143" s="665" t="s">
        <v>317</v>
      </c>
      <c r="Q143" s="666"/>
      <c r="R143" s="666"/>
      <c r="S143" s="666"/>
      <c r="T143" s="667"/>
      <c r="U143" s="665" t="s">
        <v>318</v>
      </c>
      <c r="V143" s="666"/>
      <c r="W143" s="666"/>
      <c r="X143" s="666"/>
      <c r="Y143" s="667"/>
      <c r="Z143" s="665" t="s">
        <v>319</v>
      </c>
      <c r="AA143" s="666"/>
      <c r="AB143" s="666"/>
      <c r="AC143" s="666"/>
      <c r="AD143" s="667"/>
      <c r="AE143" s="665" t="s">
        <v>320</v>
      </c>
      <c r="AF143" s="666"/>
      <c r="AG143" s="666"/>
      <c r="AH143" s="666"/>
      <c r="AI143" s="667"/>
      <c r="AJ143" s="665" t="s">
        <v>321</v>
      </c>
      <c r="AK143" s="666"/>
      <c r="AL143" s="666"/>
      <c r="AM143" s="666"/>
      <c r="AN143" s="667"/>
      <c r="AO143" s="665" t="s">
        <v>322</v>
      </c>
      <c r="AP143" s="666"/>
      <c r="AQ143" s="666"/>
      <c r="AR143" s="666"/>
      <c r="AS143" s="667"/>
      <c r="AT143" s="665" t="s">
        <v>323</v>
      </c>
      <c r="AU143" s="666"/>
      <c r="AV143" s="666"/>
      <c r="AW143" s="666"/>
      <c r="AX143" s="667"/>
    </row>
    <row r="144" spans="2:53">
      <c r="B144" s="641" t="s">
        <v>407</v>
      </c>
      <c r="C144" s="641" t="s">
        <v>408</v>
      </c>
      <c r="D144" s="641"/>
      <c r="E144" s="641" t="s">
        <v>409</v>
      </c>
      <c r="F144" s="641"/>
      <c r="G144" s="641"/>
      <c r="H144" s="673" t="s">
        <v>410</v>
      </c>
      <c r="I144" s="688" t="s">
        <v>411</v>
      </c>
      <c r="J144" s="688"/>
      <c r="K144" s="688"/>
      <c r="L144" s="689" t="s">
        <v>410</v>
      </c>
      <c r="M144" s="677" t="s">
        <v>412</v>
      </c>
      <c r="N144" s="641"/>
      <c r="O144" s="641" t="s">
        <v>413</v>
      </c>
      <c r="P144" s="659" t="s">
        <v>414</v>
      </c>
      <c r="Q144" s="660"/>
      <c r="R144" s="660"/>
      <c r="S144" s="661"/>
      <c r="T144" s="641" t="s">
        <v>410</v>
      </c>
      <c r="U144" s="659" t="s">
        <v>414</v>
      </c>
      <c r="V144" s="660"/>
      <c r="W144" s="660"/>
      <c r="X144" s="661"/>
      <c r="Y144" s="641" t="s">
        <v>410</v>
      </c>
      <c r="Z144" s="659" t="s">
        <v>414</v>
      </c>
      <c r="AA144" s="660"/>
      <c r="AB144" s="660"/>
      <c r="AC144" s="661"/>
      <c r="AD144" s="641" t="s">
        <v>410</v>
      </c>
      <c r="AE144" s="659" t="s">
        <v>414</v>
      </c>
      <c r="AF144" s="660"/>
      <c r="AG144" s="660"/>
      <c r="AH144" s="661"/>
      <c r="AI144" s="641" t="s">
        <v>410</v>
      </c>
      <c r="AJ144" s="659" t="s">
        <v>414</v>
      </c>
      <c r="AK144" s="660"/>
      <c r="AL144" s="660"/>
      <c r="AM144" s="661"/>
      <c r="AN144" s="641" t="s">
        <v>410</v>
      </c>
      <c r="AO144" s="659" t="s">
        <v>414</v>
      </c>
      <c r="AP144" s="660"/>
      <c r="AQ144" s="660"/>
      <c r="AR144" s="661"/>
      <c r="AS144" s="641" t="s">
        <v>410</v>
      </c>
      <c r="AT144" s="659" t="s">
        <v>414</v>
      </c>
      <c r="AU144" s="660"/>
      <c r="AV144" s="660"/>
      <c r="AW144" s="661"/>
      <c r="AX144" s="641" t="s">
        <v>410</v>
      </c>
      <c r="BA144" s="641" t="s">
        <v>366</v>
      </c>
    </row>
    <row r="145" spans="2:53">
      <c r="B145" s="641"/>
      <c r="C145" s="641"/>
      <c r="D145" s="641"/>
      <c r="E145" s="641" t="s">
        <v>415</v>
      </c>
      <c r="F145" s="641"/>
      <c r="G145" s="641"/>
      <c r="H145" s="674"/>
      <c r="I145" s="688" t="s">
        <v>415</v>
      </c>
      <c r="J145" s="688"/>
      <c r="K145" s="688"/>
      <c r="L145" s="690"/>
      <c r="M145" s="678"/>
      <c r="N145" s="641"/>
      <c r="O145" s="641"/>
      <c r="P145" s="659" t="s">
        <v>416</v>
      </c>
      <c r="Q145" s="660"/>
      <c r="R145" s="660"/>
      <c r="S145" s="661"/>
      <c r="T145" s="641"/>
      <c r="U145" s="659" t="s">
        <v>416</v>
      </c>
      <c r="V145" s="660"/>
      <c r="W145" s="660"/>
      <c r="X145" s="661"/>
      <c r="Y145" s="641"/>
      <c r="Z145" s="659" t="s">
        <v>416</v>
      </c>
      <c r="AA145" s="660"/>
      <c r="AB145" s="660"/>
      <c r="AC145" s="661"/>
      <c r="AD145" s="641"/>
      <c r="AE145" s="659" t="s">
        <v>416</v>
      </c>
      <c r="AF145" s="660"/>
      <c r="AG145" s="660"/>
      <c r="AH145" s="661"/>
      <c r="AI145" s="641"/>
      <c r="AJ145" s="659" t="s">
        <v>416</v>
      </c>
      <c r="AK145" s="660"/>
      <c r="AL145" s="660"/>
      <c r="AM145" s="661"/>
      <c r="AN145" s="641"/>
      <c r="AO145" s="659" t="s">
        <v>416</v>
      </c>
      <c r="AP145" s="660"/>
      <c r="AQ145" s="660"/>
      <c r="AR145" s="661"/>
      <c r="AS145" s="641"/>
      <c r="AT145" s="659" t="s">
        <v>416</v>
      </c>
      <c r="AU145" s="660"/>
      <c r="AV145" s="660"/>
      <c r="AW145" s="661"/>
      <c r="AX145" s="641"/>
      <c r="BA145" s="641"/>
    </row>
    <row r="146" spans="2:53">
      <c r="B146" s="641"/>
      <c r="C146" s="641"/>
      <c r="D146" s="641"/>
      <c r="E146" s="279" t="s">
        <v>417</v>
      </c>
      <c r="F146" s="279" t="s">
        <v>418</v>
      </c>
      <c r="G146" s="279" t="s">
        <v>419</v>
      </c>
      <c r="H146" s="675"/>
      <c r="I146" s="280" t="s">
        <v>417</v>
      </c>
      <c r="J146" s="280" t="s">
        <v>418</v>
      </c>
      <c r="K146" s="280" t="s">
        <v>419</v>
      </c>
      <c r="L146" s="691"/>
      <c r="M146" s="679"/>
      <c r="N146" s="641"/>
      <c r="O146" s="641"/>
      <c r="P146" s="279" t="s">
        <v>417</v>
      </c>
      <c r="Q146" s="279" t="s">
        <v>418</v>
      </c>
      <c r="R146" s="279" t="s">
        <v>419</v>
      </c>
      <c r="S146" s="279" t="s">
        <v>412</v>
      </c>
      <c r="T146" s="641"/>
      <c r="U146" s="279" t="s">
        <v>417</v>
      </c>
      <c r="V146" s="279" t="s">
        <v>418</v>
      </c>
      <c r="W146" s="279" t="s">
        <v>419</v>
      </c>
      <c r="X146" s="279" t="s">
        <v>412</v>
      </c>
      <c r="Y146" s="641"/>
      <c r="Z146" s="279" t="s">
        <v>417</v>
      </c>
      <c r="AA146" s="279" t="s">
        <v>418</v>
      </c>
      <c r="AB146" s="279" t="s">
        <v>419</v>
      </c>
      <c r="AC146" s="279" t="s">
        <v>412</v>
      </c>
      <c r="AD146" s="641"/>
      <c r="AE146" s="279" t="s">
        <v>417</v>
      </c>
      <c r="AF146" s="279" t="s">
        <v>418</v>
      </c>
      <c r="AG146" s="279" t="s">
        <v>419</v>
      </c>
      <c r="AH146" s="279" t="s">
        <v>412</v>
      </c>
      <c r="AI146" s="641"/>
      <c r="AJ146" s="279" t="s">
        <v>417</v>
      </c>
      <c r="AK146" s="279" t="s">
        <v>418</v>
      </c>
      <c r="AL146" s="279" t="s">
        <v>419</v>
      </c>
      <c r="AM146" s="279" t="s">
        <v>412</v>
      </c>
      <c r="AN146" s="641"/>
      <c r="AO146" s="279" t="s">
        <v>417</v>
      </c>
      <c r="AP146" s="279" t="s">
        <v>418</v>
      </c>
      <c r="AQ146" s="279" t="s">
        <v>419</v>
      </c>
      <c r="AR146" s="279" t="s">
        <v>412</v>
      </c>
      <c r="AS146" s="641"/>
      <c r="AT146" s="279" t="s">
        <v>417</v>
      </c>
      <c r="AU146" s="279" t="s">
        <v>418</v>
      </c>
      <c r="AV146" s="279" t="s">
        <v>419</v>
      </c>
      <c r="AW146" s="279" t="s">
        <v>412</v>
      </c>
      <c r="AX146" s="641"/>
      <c r="AZ146" s="367" t="s">
        <v>367</v>
      </c>
      <c r="BA146" s="641"/>
    </row>
    <row r="147" spans="2:53">
      <c r="B147" s="641" t="s">
        <v>420</v>
      </c>
      <c r="C147" s="278">
        <v>1</v>
      </c>
      <c r="D147" s="201"/>
      <c r="E147" s="517"/>
      <c r="F147" s="201"/>
      <c r="G147" s="199"/>
      <c r="H147" s="700" t="e">
        <f>AVERAGE(G147:G176)</f>
        <v>#DIV/0!</v>
      </c>
      <c r="I147" s="363" t="str">
        <f>IFERROR(AVERAGE(P147,U147,Z147,AE147,AJ147,AO147,AT147),"-")</f>
        <v>-</v>
      </c>
      <c r="J147" s="363" t="str">
        <f>IFERROR(AVERAGE(Q147,V147,AA147,AF147,AK147,AP147,AU147),"-")</f>
        <v>-</v>
      </c>
      <c r="K147" s="199" t="str">
        <f>IFERROR(AVERAGE(R147,W147,AB147,AG147,AL147,AQ147,AV147),"-")</f>
        <v>-</v>
      </c>
      <c r="L147" s="656" t="str">
        <f>IFERROR(AVERAGE(K147:K176),"-")</f>
        <v>-</v>
      </c>
      <c r="M147" s="200" t="e">
        <f>RANK(K147, K$147:$K$176)</f>
        <v>#VALUE!</v>
      </c>
      <c r="N147" s="641"/>
      <c r="O147" s="641"/>
      <c r="P147" s="529"/>
      <c r="Q147" s="530"/>
      <c r="R147" s="530"/>
      <c r="S147" s="529"/>
      <c r="T147" s="642"/>
      <c r="U147" s="529"/>
      <c r="V147" s="530"/>
      <c r="W147" s="530"/>
      <c r="X147" s="529"/>
      <c r="Y147" s="642"/>
      <c r="Z147" s="529"/>
      <c r="AA147" s="530"/>
      <c r="AB147" s="530"/>
      <c r="AC147" s="529"/>
      <c r="AD147" s="642"/>
      <c r="AE147" s="529"/>
      <c r="AF147" s="530"/>
      <c r="AG147" s="530"/>
      <c r="AH147" s="529"/>
      <c r="AI147" s="642"/>
      <c r="AJ147" s="529"/>
      <c r="AK147" s="530"/>
      <c r="AL147" s="530"/>
      <c r="AM147" s="529"/>
      <c r="AN147" s="642"/>
      <c r="AO147" s="529"/>
      <c r="AP147" s="530"/>
      <c r="AQ147" s="530"/>
      <c r="AR147" s="529"/>
      <c r="AS147" s="642"/>
      <c r="AT147" s="529"/>
      <c r="AU147" s="530"/>
      <c r="AV147" s="530"/>
      <c r="AW147" s="529"/>
      <c r="AX147" s="642"/>
      <c r="AZ147" s="368" t="e">
        <f>RANK(AY147, AY$147:AY$176)</f>
        <v>#N/A</v>
      </c>
      <c r="BA147" s="642" t="e">
        <f>AVERAGE(AY147:AY176)</f>
        <v>#DIV/0!</v>
      </c>
    </row>
    <row r="148" spans="2:53">
      <c r="B148" s="647"/>
      <c r="C148" s="278">
        <v>2</v>
      </c>
      <c r="D148" s="201"/>
      <c r="E148" s="517"/>
      <c r="F148" s="201"/>
      <c r="G148" s="199"/>
      <c r="H148" s="701"/>
      <c r="I148" s="363" t="str">
        <f t="shared" ref="I148:I176" si="44">IFERROR(AVERAGE(P148,U148,Z148,AE148,AJ148,AO148,AT148),"-")</f>
        <v>-</v>
      </c>
      <c r="J148" s="363" t="str">
        <f t="shared" ref="J148:J176" si="45">IFERROR(AVERAGE(Q148,V148,AA148,AF148,AK148,AP148,AU148),"-")</f>
        <v>-</v>
      </c>
      <c r="K148" s="199" t="str">
        <f t="shared" ref="K148:K176" si="46">IFERROR(AVERAGE(R148,W148,AB148,AG148,AL148,AQ148,AV148),"-")</f>
        <v>-</v>
      </c>
      <c r="L148" s="657"/>
      <c r="M148" s="200" t="e">
        <f>RANK(K148, K$147:$K$176)</f>
        <v>#VALUE!</v>
      </c>
      <c r="N148" s="641"/>
      <c r="O148" s="641"/>
      <c r="P148" s="529"/>
      <c r="Q148" s="530"/>
      <c r="R148" s="530"/>
      <c r="S148" s="529"/>
      <c r="T148" s="642"/>
      <c r="U148" s="529"/>
      <c r="V148" s="530"/>
      <c r="W148" s="530"/>
      <c r="X148" s="529"/>
      <c r="Y148" s="642"/>
      <c r="Z148" s="529"/>
      <c r="AA148" s="530"/>
      <c r="AB148" s="530"/>
      <c r="AC148" s="529"/>
      <c r="AD148" s="642"/>
      <c r="AE148" s="529"/>
      <c r="AF148" s="530"/>
      <c r="AG148" s="530"/>
      <c r="AH148" s="529"/>
      <c r="AI148" s="642"/>
      <c r="AJ148" s="529"/>
      <c r="AK148" s="530"/>
      <c r="AL148" s="530"/>
      <c r="AM148" s="529"/>
      <c r="AN148" s="642"/>
      <c r="AO148" s="529"/>
      <c r="AP148" s="530"/>
      <c r="AQ148" s="530"/>
      <c r="AR148" s="529"/>
      <c r="AS148" s="642"/>
      <c r="AT148" s="529"/>
      <c r="AU148" s="530"/>
      <c r="AV148" s="530"/>
      <c r="AW148" s="529"/>
      <c r="AX148" s="642"/>
      <c r="AZ148" s="368" t="e">
        <f t="shared" ref="AZ148:AZ176" si="47">RANK(AY148, AY$147:AY$176)</f>
        <v>#N/A</v>
      </c>
      <c r="BA148" s="642"/>
    </row>
    <row r="149" spans="2:53">
      <c r="B149" s="647"/>
      <c r="C149" s="278">
        <v>3</v>
      </c>
      <c r="D149" s="201"/>
      <c r="E149" s="517"/>
      <c r="F149" s="201"/>
      <c r="G149" s="199"/>
      <c r="H149" s="701"/>
      <c r="I149" s="363" t="str">
        <f t="shared" si="44"/>
        <v>-</v>
      </c>
      <c r="J149" s="363" t="str">
        <f t="shared" si="45"/>
        <v>-</v>
      </c>
      <c r="K149" s="199" t="str">
        <f t="shared" si="46"/>
        <v>-</v>
      </c>
      <c r="L149" s="657"/>
      <c r="M149" s="200" t="e">
        <f>RANK(K149, K$147:$K$176)</f>
        <v>#VALUE!</v>
      </c>
      <c r="N149" s="641"/>
      <c r="O149" s="641"/>
      <c r="P149" s="529"/>
      <c r="Q149" s="530"/>
      <c r="R149" s="530"/>
      <c r="S149" s="529"/>
      <c r="T149" s="642"/>
      <c r="U149" s="529"/>
      <c r="V149" s="530"/>
      <c r="W149" s="530"/>
      <c r="X149" s="529"/>
      <c r="Y149" s="642"/>
      <c r="Z149" s="529"/>
      <c r="AA149" s="530"/>
      <c r="AB149" s="530"/>
      <c r="AC149" s="529"/>
      <c r="AD149" s="642"/>
      <c r="AE149" s="529"/>
      <c r="AF149" s="530"/>
      <c r="AG149" s="530"/>
      <c r="AH149" s="529"/>
      <c r="AI149" s="642"/>
      <c r="AJ149" s="529"/>
      <c r="AK149" s="530"/>
      <c r="AL149" s="530"/>
      <c r="AM149" s="529"/>
      <c r="AN149" s="642"/>
      <c r="AO149" s="529"/>
      <c r="AP149" s="530"/>
      <c r="AQ149" s="530"/>
      <c r="AR149" s="529"/>
      <c r="AS149" s="642"/>
      <c r="AT149" s="529"/>
      <c r="AU149" s="530"/>
      <c r="AV149" s="530"/>
      <c r="AW149" s="529"/>
      <c r="AX149" s="642"/>
      <c r="AZ149" s="368" t="e">
        <f t="shared" si="47"/>
        <v>#N/A</v>
      </c>
      <c r="BA149" s="642"/>
    </row>
    <row r="150" spans="2:53">
      <c r="B150" s="647"/>
      <c r="C150" s="278">
        <v>4</v>
      </c>
      <c r="D150" s="201"/>
      <c r="E150" s="517"/>
      <c r="F150" s="201"/>
      <c r="G150" s="199"/>
      <c r="H150" s="701"/>
      <c r="I150" s="363" t="str">
        <f t="shared" si="44"/>
        <v>-</v>
      </c>
      <c r="J150" s="363" t="str">
        <f t="shared" si="45"/>
        <v>-</v>
      </c>
      <c r="K150" s="199" t="str">
        <f t="shared" si="46"/>
        <v>-</v>
      </c>
      <c r="L150" s="657"/>
      <c r="M150" s="200" t="e">
        <f>RANK(K150, K$147:$K$176)</f>
        <v>#VALUE!</v>
      </c>
      <c r="N150" s="641"/>
      <c r="O150" s="641"/>
      <c r="P150" s="529"/>
      <c r="Q150" s="530"/>
      <c r="R150" s="530"/>
      <c r="S150" s="529"/>
      <c r="T150" s="642"/>
      <c r="U150" s="529"/>
      <c r="V150" s="530"/>
      <c r="W150" s="530"/>
      <c r="X150" s="529"/>
      <c r="Y150" s="642"/>
      <c r="Z150" s="529"/>
      <c r="AA150" s="530"/>
      <c r="AB150" s="530"/>
      <c r="AC150" s="529"/>
      <c r="AD150" s="642"/>
      <c r="AE150" s="529"/>
      <c r="AF150" s="530"/>
      <c r="AG150" s="530"/>
      <c r="AH150" s="529"/>
      <c r="AI150" s="642"/>
      <c r="AJ150" s="529"/>
      <c r="AK150" s="530"/>
      <c r="AL150" s="530"/>
      <c r="AM150" s="529"/>
      <c r="AN150" s="642"/>
      <c r="AO150" s="529"/>
      <c r="AP150" s="530"/>
      <c r="AQ150" s="530"/>
      <c r="AR150" s="529"/>
      <c r="AS150" s="642"/>
      <c r="AT150" s="529"/>
      <c r="AU150" s="530"/>
      <c r="AV150" s="530"/>
      <c r="AW150" s="529"/>
      <c r="AX150" s="642"/>
      <c r="AZ150" s="368" t="e">
        <f t="shared" si="47"/>
        <v>#N/A</v>
      </c>
      <c r="BA150" s="642"/>
    </row>
    <row r="151" spans="2:53">
      <c r="B151" s="647"/>
      <c r="C151" s="278">
        <v>5</v>
      </c>
      <c r="D151" s="201"/>
      <c r="E151" s="517"/>
      <c r="F151" s="201"/>
      <c r="G151" s="199"/>
      <c r="H151" s="701"/>
      <c r="I151" s="363" t="str">
        <f t="shared" si="44"/>
        <v>-</v>
      </c>
      <c r="J151" s="363" t="str">
        <f t="shared" si="45"/>
        <v>-</v>
      </c>
      <c r="K151" s="199" t="str">
        <f t="shared" si="46"/>
        <v>-</v>
      </c>
      <c r="L151" s="657"/>
      <c r="M151" s="200" t="e">
        <f>RANK(K151, K$147:$K$176)</f>
        <v>#VALUE!</v>
      </c>
      <c r="N151" s="641"/>
      <c r="O151" s="641"/>
      <c r="P151" s="529"/>
      <c r="Q151" s="530"/>
      <c r="R151" s="530"/>
      <c r="S151" s="529"/>
      <c r="T151" s="642"/>
      <c r="U151" s="529"/>
      <c r="V151" s="530"/>
      <c r="W151" s="530"/>
      <c r="X151" s="529"/>
      <c r="Y151" s="642"/>
      <c r="Z151" s="529"/>
      <c r="AA151" s="530"/>
      <c r="AB151" s="530"/>
      <c r="AC151" s="529"/>
      <c r="AD151" s="642"/>
      <c r="AE151" s="529"/>
      <c r="AF151" s="530"/>
      <c r="AG151" s="530"/>
      <c r="AH151" s="529"/>
      <c r="AI151" s="642"/>
      <c r="AJ151" s="529"/>
      <c r="AK151" s="530"/>
      <c r="AL151" s="530"/>
      <c r="AM151" s="529"/>
      <c r="AN151" s="642"/>
      <c r="AO151" s="529"/>
      <c r="AP151" s="530"/>
      <c r="AQ151" s="530"/>
      <c r="AR151" s="529"/>
      <c r="AS151" s="642"/>
      <c r="AT151" s="529"/>
      <c r="AU151" s="530"/>
      <c r="AV151" s="530"/>
      <c r="AW151" s="529"/>
      <c r="AX151" s="642"/>
      <c r="AZ151" s="368" t="e">
        <f t="shared" si="47"/>
        <v>#N/A</v>
      </c>
      <c r="BA151" s="642"/>
    </row>
    <row r="152" spans="2:53">
      <c r="B152" s="647"/>
      <c r="C152" s="278">
        <v>6</v>
      </c>
      <c r="D152" s="201"/>
      <c r="E152" s="517"/>
      <c r="F152" s="201"/>
      <c r="G152" s="199"/>
      <c r="H152" s="701"/>
      <c r="I152" s="363" t="str">
        <f t="shared" si="44"/>
        <v>-</v>
      </c>
      <c r="J152" s="363" t="str">
        <f t="shared" si="45"/>
        <v>-</v>
      </c>
      <c r="K152" s="199" t="str">
        <f t="shared" si="46"/>
        <v>-</v>
      </c>
      <c r="L152" s="657"/>
      <c r="M152" s="200" t="e">
        <f>RANK(K152, K$147:$K$176)</f>
        <v>#VALUE!</v>
      </c>
      <c r="N152" s="641"/>
      <c r="O152" s="641"/>
      <c r="P152" s="529"/>
      <c r="Q152" s="530"/>
      <c r="R152" s="530"/>
      <c r="S152" s="529"/>
      <c r="T152" s="642"/>
      <c r="U152" s="529"/>
      <c r="V152" s="530"/>
      <c r="W152" s="530"/>
      <c r="X152" s="529"/>
      <c r="Y152" s="642"/>
      <c r="Z152" s="529"/>
      <c r="AA152" s="530"/>
      <c r="AB152" s="530"/>
      <c r="AC152" s="529"/>
      <c r="AD152" s="642"/>
      <c r="AE152" s="529"/>
      <c r="AF152" s="530"/>
      <c r="AG152" s="530"/>
      <c r="AH152" s="529"/>
      <c r="AI152" s="642"/>
      <c r="AJ152" s="529"/>
      <c r="AK152" s="530"/>
      <c r="AL152" s="530"/>
      <c r="AM152" s="529"/>
      <c r="AN152" s="642"/>
      <c r="AO152" s="529"/>
      <c r="AP152" s="530"/>
      <c r="AQ152" s="530"/>
      <c r="AR152" s="529"/>
      <c r="AS152" s="642"/>
      <c r="AT152" s="529"/>
      <c r="AU152" s="530"/>
      <c r="AV152" s="530"/>
      <c r="AW152" s="529"/>
      <c r="AX152" s="642"/>
      <c r="AZ152" s="368" t="e">
        <f t="shared" si="47"/>
        <v>#N/A</v>
      </c>
      <c r="BA152" s="642"/>
    </row>
    <row r="153" spans="2:53">
      <c r="B153" s="647"/>
      <c r="C153" s="278">
        <v>7</v>
      </c>
      <c r="D153" s="201"/>
      <c r="E153" s="517"/>
      <c r="F153" s="201"/>
      <c r="G153" s="199"/>
      <c r="H153" s="701"/>
      <c r="I153" s="363" t="str">
        <f t="shared" si="44"/>
        <v>-</v>
      </c>
      <c r="J153" s="363" t="str">
        <f t="shared" si="45"/>
        <v>-</v>
      </c>
      <c r="K153" s="199" t="str">
        <f t="shared" si="46"/>
        <v>-</v>
      </c>
      <c r="L153" s="657"/>
      <c r="M153" s="200" t="e">
        <f>RANK(K153, K$147:$K$176)</f>
        <v>#VALUE!</v>
      </c>
      <c r="N153" s="641"/>
      <c r="O153" s="641"/>
      <c r="P153" s="529"/>
      <c r="Q153" s="530"/>
      <c r="R153" s="530"/>
      <c r="S153" s="529"/>
      <c r="T153" s="642"/>
      <c r="U153" s="529"/>
      <c r="V153" s="530"/>
      <c r="W153" s="530"/>
      <c r="X153" s="529"/>
      <c r="Y153" s="642"/>
      <c r="Z153" s="529"/>
      <c r="AA153" s="530"/>
      <c r="AB153" s="530"/>
      <c r="AC153" s="529"/>
      <c r="AD153" s="642"/>
      <c r="AE153" s="529"/>
      <c r="AF153" s="530"/>
      <c r="AG153" s="530"/>
      <c r="AH153" s="529"/>
      <c r="AI153" s="642"/>
      <c r="AJ153" s="529"/>
      <c r="AK153" s="530"/>
      <c r="AL153" s="530"/>
      <c r="AM153" s="529"/>
      <c r="AN153" s="642"/>
      <c r="AO153" s="529"/>
      <c r="AP153" s="530"/>
      <c r="AQ153" s="530"/>
      <c r="AR153" s="529"/>
      <c r="AS153" s="642"/>
      <c r="AT153" s="529"/>
      <c r="AU153" s="530"/>
      <c r="AV153" s="530"/>
      <c r="AW153" s="529"/>
      <c r="AX153" s="642"/>
      <c r="AZ153" s="368" t="e">
        <f t="shared" si="47"/>
        <v>#N/A</v>
      </c>
      <c r="BA153" s="642"/>
    </row>
    <row r="154" spans="2:53">
      <c r="B154" s="647"/>
      <c r="C154" s="278">
        <v>8</v>
      </c>
      <c r="D154" s="201"/>
      <c r="E154" s="517"/>
      <c r="F154" s="201"/>
      <c r="G154" s="199"/>
      <c r="H154" s="701"/>
      <c r="I154" s="363" t="str">
        <f t="shared" si="44"/>
        <v>-</v>
      </c>
      <c r="J154" s="363" t="str">
        <f t="shared" si="45"/>
        <v>-</v>
      </c>
      <c r="K154" s="199" t="str">
        <f t="shared" si="46"/>
        <v>-</v>
      </c>
      <c r="L154" s="657"/>
      <c r="M154" s="200" t="e">
        <f>RANK(K154, K$147:$K$176)</f>
        <v>#VALUE!</v>
      </c>
      <c r="N154" s="641"/>
      <c r="O154" s="641"/>
      <c r="P154" s="529"/>
      <c r="Q154" s="530"/>
      <c r="R154" s="530"/>
      <c r="S154" s="529"/>
      <c r="T154" s="642"/>
      <c r="U154" s="529"/>
      <c r="V154" s="530"/>
      <c r="W154" s="530"/>
      <c r="X154" s="529"/>
      <c r="Y154" s="642"/>
      <c r="Z154" s="529"/>
      <c r="AA154" s="530"/>
      <c r="AB154" s="530"/>
      <c r="AC154" s="529"/>
      <c r="AD154" s="642"/>
      <c r="AE154" s="529"/>
      <c r="AF154" s="530"/>
      <c r="AG154" s="530"/>
      <c r="AH154" s="529"/>
      <c r="AI154" s="642"/>
      <c r="AJ154" s="529"/>
      <c r="AK154" s="530"/>
      <c r="AL154" s="530"/>
      <c r="AM154" s="529"/>
      <c r="AN154" s="642"/>
      <c r="AO154" s="529"/>
      <c r="AP154" s="530"/>
      <c r="AQ154" s="530"/>
      <c r="AR154" s="529"/>
      <c r="AS154" s="642"/>
      <c r="AT154" s="529"/>
      <c r="AU154" s="530"/>
      <c r="AV154" s="530"/>
      <c r="AW154" s="529"/>
      <c r="AX154" s="642"/>
      <c r="AZ154" s="368" t="e">
        <f t="shared" si="47"/>
        <v>#N/A</v>
      </c>
      <c r="BA154" s="642"/>
    </row>
    <row r="155" spans="2:53">
      <c r="B155" s="647"/>
      <c r="C155" s="278">
        <v>9</v>
      </c>
      <c r="D155" s="201"/>
      <c r="E155" s="517"/>
      <c r="F155" s="201"/>
      <c r="G155" s="199"/>
      <c r="H155" s="701"/>
      <c r="I155" s="363" t="str">
        <f t="shared" si="44"/>
        <v>-</v>
      </c>
      <c r="J155" s="363" t="str">
        <f t="shared" si="45"/>
        <v>-</v>
      </c>
      <c r="K155" s="199" t="str">
        <f t="shared" si="46"/>
        <v>-</v>
      </c>
      <c r="L155" s="657"/>
      <c r="M155" s="200" t="e">
        <f>RANK(K155, K$147:$K$176)</f>
        <v>#VALUE!</v>
      </c>
      <c r="N155" s="641"/>
      <c r="O155" s="641"/>
      <c r="P155" s="529"/>
      <c r="Q155" s="530"/>
      <c r="R155" s="530"/>
      <c r="S155" s="529"/>
      <c r="T155" s="642"/>
      <c r="U155" s="529"/>
      <c r="V155" s="530"/>
      <c r="W155" s="530"/>
      <c r="X155" s="529"/>
      <c r="Y155" s="642"/>
      <c r="Z155" s="529"/>
      <c r="AA155" s="530"/>
      <c r="AB155" s="530"/>
      <c r="AC155" s="529"/>
      <c r="AD155" s="642"/>
      <c r="AE155" s="529"/>
      <c r="AF155" s="530"/>
      <c r="AG155" s="530"/>
      <c r="AH155" s="529"/>
      <c r="AI155" s="642"/>
      <c r="AJ155" s="529"/>
      <c r="AK155" s="530"/>
      <c r="AL155" s="530"/>
      <c r="AM155" s="529"/>
      <c r="AN155" s="642"/>
      <c r="AO155" s="529"/>
      <c r="AP155" s="530"/>
      <c r="AQ155" s="530"/>
      <c r="AR155" s="529"/>
      <c r="AS155" s="642"/>
      <c r="AT155" s="529"/>
      <c r="AU155" s="530"/>
      <c r="AV155" s="530"/>
      <c r="AW155" s="529"/>
      <c r="AX155" s="642"/>
      <c r="AZ155" s="368" t="e">
        <f t="shared" si="47"/>
        <v>#N/A</v>
      </c>
      <c r="BA155" s="642"/>
    </row>
    <row r="156" spans="2:53">
      <c r="B156" s="647"/>
      <c r="C156" s="278">
        <v>10</v>
      </c>
      <c r="D156" s="201"/>
      <c r="E156" s="517"/>
      <c r="F156" s="201"/>
      <c r="G156" s="199"/>
      <c r="H156" s="701"/>
      <c r="I156" s="363" t="str">
        <f t="shared" si="44"/>
        <v>-</v>
      </c>
      <c r="J156" s="363" t="str">
        <f t="shared" si="45"/>
        <v>-</v>
      </c>
      <c r="K156" s="199" t="str">
        <f t="shared" si="46"/>
        <v>-</v>
      </c>
      <c r="L156" s="657"/>
      <c r="M156" s="200" t="e">
        <f>RANK(K156, K$147:$K$176)</f>
        <v>#VALUE!</v>
      </c>
      <c r="N156" s="641"/>
      <c r="O156" s="641"/>
      <c r="P156" s="529"/>
      <c r="Q156" s="530"/>
      <c r="R156" s="530"/>
      <c r="S156" s="529"/>
      <c r="T156" s="642"/>
      <c r="U156" s="529"/>
      <c r="V156" s="530"/>
      <c r="W156" s="530"/>
      <c r="X156" s="529"/>
      <c r="Y156" s="642"/>
      <c r="Z156" s="529"/>
      <c r="AA156" s="530"/>
      <c r="AB156" s="530"/>
      <c r="AC156" s="529"/>
      <c r="AD156" s="642"/>
      <c r="AE156" s="529"/>
      <c r="AF156" s="530"/>
      <c r="AG156" s="530"/>
      <c r="AH156" s="529"/>
      <c r="AI156" s="642"/>
      <c r="AJ156" s="529"/>
      <c r="AK156" s="530"/>
      <c r="AL156" s="530"/>
      <c r="AM156" s="529"/>
      <c r="AN156" s="642"/>
      <c r="AO156" s="529"/>
      <c r="AP156" s="530"/>
      <c r="AQ156" s="530"/>
      <c r="AR156" s="529"/>
      <c r="AS156" s="642"/>
      <c r="AT156" s="529"/>
      <c r="AU156" s="530"/>
      <c r="AV156" s="530"/>
      <c r="AW156" s="529"/>
      <c r="AX156" s="642"/>
      <c r="AZ156" s="368" t="e">
        <f t="shared" si="47"/>
        <v>#N/A</v>
      </c>
      <c r="BA156" s="642"/>
    </row>
    <row r="157" spans="2:53">
      <c r="B157" s="647"/>
      <c r="C157" s="278">
        <v>11</v>
      </c>
      <c r="D157" s="201"/>
      <c r="E157" s="517"/>
      <c r="F157" s="201"/>
      <c r="G157" s="199"/>
      <c r="H157" s="701"/>
      <c r="I157" s="363" t="str">
        <f t="shared" si="44"/>
        <v>-</v>
      </c>
      <c r="J157" s="363" t="str">
        <f t="shared" si="45"/>
        <v>-</v>
      </c>
      <c r="K157" s="199" t="str">
        <f t="shared" si="46"/>
        <v>-</v>
      </c>
      <c r="L157" s="657"/>
      <c r="M157" s="200" t="e">
        <f>RANK(K157, K$147:$K$176)</f>
        <v>#VALUE!</v>
      </c>
      <c r="N157" s="641"/>
      <c r="O157" s="641"/>
      <c r="P157" s="529"/>
      <c r="Q157" s="530"/>
      <c r="R157" s="530"/>
      <c r="S157" s="529"/>
      <c r="T157" s="642"/>
      <c r="U157" s="529"/>
      <c r="V157" s="530"/>
      <c r="W157" s="530"/>
      <c r="X157" s="529"/>
      <c r="Y157" s="642"/>
      <c r="Z157" s="529"/>
      <c r="AA157" s="530"/>
      <c r="AB157" s="530"/>
      <c r="AC157" s="529"/>
      <c r="AD157" s="642"/>
      <c r="AE157" s="529"/>
      <c r="AF157" s="530"/>
      <c r="AG157" s="530"/>
      <c r="AH157" s="529"/>
      <c r="AI157" s="642"/>
      <c r="AJ157" s="529"/>
      <c r="AK157" s="530"/>
      <c r="AL157" s="530"/>
      <c r="AM157" s="529"/>
      <c r="AN157" s="642"/>
      <c r="AO157" s="529"/>
      <c r="AP157" s="530"/>
      <c r="AQ157" s="530"/>
      <c r="AR157" s="529"/>
      <c r="AS157" s="642"/>
      <c r="AT157" s="529"/>
      <c r="AU157" s="530"/>
      <c r="AV157" s="530"/>
      <c r="AW157" s="529"/>
      <c r="AX157" s="642"/>
      <c r="AZ157" s="368" t="e">
        <f t="shared" si="47"/>
        <v>#N/A</v>
      </c>
      <c r="BA157" s="642"/>
    </row>
    <row r="158" spans="2:53">
      <c r="B158" s="647"/>
      <c r="C158" s="278">
        <v>12</v>
      </c>
      <c r="D158" s="201"/>
      <c r="E158" s="517"/>
      <c r="F158" s="201"/>
      <c r="G158" s="199"/>
      <c r="H158" s="701"/>
      <c r="I158" s="363" t="str">
        <f t="shared" si="44"/>
        <v>-</v>
      </c>
      <c r="J158" s="363" t="str">
        <f t="shared" si="45"/>
        <v>-</v>
      </c>
      <c r="K158" s="199" t="str">
        <f t="shared" si="46"/>
        <v>-</v>
      </c>
      <c r="L158" s="657"/>
      <c r="M158" s="200" t="e">
        <f>RANK(K158, K$147:$K$176)</f>
        <v>#VALUE!</v>
      </c>
      <c r="N158" s="641"/>
      <c r="O158" s="641"/>
      <c r="P158" s="529"/>
      <c r="Q158" s="530"/>
      <c r="R158" s="530"/>
      <c r="S158" s="529"/>
      <c r="T158" s="642"/>
      <c r="U158" s="529"/>
      <c r="V158" s="530"/>
      <c r="W158" s="530"/>
      <c r="X158" s="529"/>
      <c r="Y158" s="642"/>
      <c r="Z158" s="529"/>
      <c r="AA158" s="530"/>
      <c r="AB158" s="530"/>
      <c r="AC158" s="529"/>
      <c r="AD158" s="642"/>
      <c r="AE158" s="529"/>
      <c r="AF158" s="530"/>
      <c r="AG158" s="530"/>
      <c r="AH158" s="529"/>
      <c r="AI158" s="642"/>
      <c r="AJ158" s="529"/>
      <c r="AK158" s="530"/>
      <c r="AL158" s="530"/>
      <c r="AM158" s="529"/>
      <c r="AN158" s="642"/>
      <c r="AO158" s="529"/>
      <c r="AP158" s="530"/>
      <c r="AQ158" s="530"/>
      <c r="AR158" s="529"/>
      <c r="AS158" s="642"/>
      <c r="AT158" s="529"/>
      <c r="AU158" s="530"/>
      <c r="AV158" s="530"/>
      <c r="AW158" s="529"/>
      <c r="AX158" s="642"/>
      <c r="AZ158" s="368" t="e">
        <f t="shared" si="47"/>
        <v>#N/A</v>
      </c>
      <c r="BA158" s="642"/>
    </row>
    <row r="159" spans="2:53">
      <c r="B159" s="647"/>
      <c r="C159" s="278">
        <v>13</v>
      </c>
      <c r="D159" s="201"/>
      <c r="E159" s="517"/>
      <c r="F159" s="201"/>
      <c r="G159" s="199"/>
      <c r="H159" s="701"/>
      <c r="I159" s="363" t="str">
        <f t="shared" si="44"/>
        <v>-</v>
      </c>
      <c r="J159" s="363" t="str">
        <f t="shared" si="45"/>
        <v>-</v>
      </c>
      <c r="K159" s="199" t="str">
        <f t="shared" si="46"/>
        <v>-</v>
      </c>
      <c r="L159" s="657"/>
      <c r="M159" s="200" t="e">
        <f>RANK(K159, K$147:$K$176)</f>
        <v>#VALUE!</v>
      </c>
      <c r="N159" s="641"/>
      <c r="O159" s="641"/>
      <c r="P159" s="529"/>
      <c r="Q159" s="530"/>
      <c r="R159" s="530"/>
      <c r="S159" s="529"/>
      <c r="T159" s="642"/>
      <c r="U159" s="529"/>
      <c r="V159" s="530"/>
      <c r="W159" s="530"/>
      <c r="X159" s="529"/>
      <c r="Y159" s="642"/>
      <c r="Z159" s="529"/>
      <c r="AA159" s="530"/>
      <c r="AB159" s="530"/>
      <c r="AC159" s="529"/>
      <c r="AD159" s="642"/>
      <c r="AE159" s="529"/>
      <c r="AF159" s="530"/>
      <c r="AG159" s="530"/>
      <c r="AH159" s="529"/>
      <c r="AI159" s="642"/>
      <c r="AJ159" s="529"/>
      <c r="AK159" s="530"/>
      <c r="AL159" s="530"/>
      <c r="AM159" s="529"/>
      <c r="AN159" s="642"/>
      <c r="AO159" s="529"/>
      <c r="AP159" s="530"/>
      <c r="AQ159" s="530"/>
      <c r="AR159" s="529"/>
      <c r="AS159" s="642"/>
      <c r="AT159" s="529"/>
      <c r="AU159" s="530"/>
      <c r="AV159" s="530"/>
      <c r="AW159" s="529"/>
      <c r="AX159" s="642"/>
      <c r="AZ159" s="368" t="e">
        <f t="shared" si="47"/>
        <v>#N/A</v>
      </c>
      <c r="BA159" s="642"/>
    </row>
    <row r="160" spans="2:53">
      <c r="B160" s="647"/>
      <c r="C160" s="278">
        <v>14</v>
      </c>
      <c r="D160" s="201"/>
      <c r="E160" s="517"/>
      <c r="F160" s="201"/>
      <c r="G160" s="199"/>
      <c r="H160" s="701"/>
      <c r="I160" s="363" t="str">
        <f t="shared" si="44"/>
        <v>-</v>
      </c>
      <c r="J160" s="363" t="str">
        <f t="shared" si="45"/>
        <v>-</v>
      </c>
      <c r="K160" s="199" t="str">
        <f t="shared" si="46"/>
        <v>-</v>
      </c>
      <c r="L160" s="657"/>
      <c r="M160" s="200" t="e">
        <f>RANK(K160, K$147:$K$176)</f>
        <v>#VALUE!</v>
      </c>
      <c r="N160" s="641"/>
      <c r="O160" s="641"/>
      <c r="P160" s="529"/>
      <c r="Q160" s="530"/>
      <c r="R160" s="530"/>
      <c r="S160" s="529"/>
      <c r="T160" s="642"/>
      <c r="U160" s="529"/>
      <c r="V160" s="530"/>
      <c r="W160" s="530"/>
      <c r="X160" s="529"/>
      <c r="Y160" s="642"/>
      <c r="Z160" s="529"/>
      <c r="AA160" s="530"/>
      <c r="AB160" s="530"/>
      <c r="AC160" s="529"/>
      <c r="AD160" s="642"/>
      <c r="AE160" s="529"/>
      <c r="AF160" s="530"/>
      <c r="AG160" s="530"/>
      <c r="AH160" s="529"/>
      <c r="AI160" s="642"/>
      <c r="AJ160" s="529"/>
      <c r="AK160" s="530"/>
      <c r="AL160" s="530"/>
      <c r="AM160" s="529"/>
      <c r="AN160" s="642"/>
      <c r="AO160" s="529"/>
      <c r="AP160" s="530"/>
      <c r="AQ160" s="530"/>
      <c r="AR160" s="529"/>
      <c r="AS160" s="642"/>
      <c r="AT160" s="529"/>
      <c r="AU160" s="530"/>
      <c r="AV160" s="530"/>
      <c r="AW160" s="529"/>
      <c r="AX160" s="642"/>
      <c r="AZ160" s="368" t="e">
        <f t="shared" si="47"/>
        <v>#N/A</v>
      </c>
      <c r="BA160" s="642"/>
    </row>
    <row r="161" spans="2:53">
      <c r="B161" s="647"/>
      <c r="C161" s="278">
        <v>15</v>
      </c>
      <c r="D161" s="201"/>
      <c r="E161" s="517"/>
      <c r="F161" s="201"/>
      <c r="G161" s="199"/>
      <c r="H161" s="701"/>
      <c r="I161" s="363" t="str">
        <f t="shared" si="44"/>
        <v>-</v>
      </c>
      <c r="J161" s="363" t="str">
        <f t="shared" si="45"/>
        <v>-</v>
      </c>
      <c r="K161" s="199" t="str">
        <f t="shared" si="46"/>
        <v>-</v>
      </c>
      <c r="L161" s="657"/>
      <c r="M161" s="198" t="e">
        <f>RANK(K161, K$147:$K$176)</f>
        <v>#VALUE!</v>
      </c>
      <c r="N161" s="641"/>
      <c r="O161" s="641"/>
      <c r="P161" s="529"/>
      <c r="Q161" s="530"/>
      <c r="R161" s="530"/>
      <c r="S161" s="529"/>
      <c r="T161" s="642"/>
      <c r="U161" s="529"/>
      <c r="V161" s="530"/>
      <c r="W161" s="530"/>
      <c r="X161" s="529"/>
      <c r="Y161" s="642"/>
      <c r="Z161" s="529"/>
      <c r="AA161" s="530"/>
      <c r="AB161" s="530"/>
      <c r="AC161" s="529"/>
      <c r="AD161" s="642"/>
      <c r="AE161" s="529"/>
      <c r="AF161" s="530"/>
      <c r="AG161" s="530"/>
      <c r="AH161" s="529"/>
      <c r="AI161" s="642"/>
      <c r="AJ161" s="529"/>
      <c r="AK161" s="530"/>
      <c r="AL161" s="530"/>
      <c r="AM161" s="529"/>
      <c r="AN161" s="642"/>
      <c r="AO161" s="529"/>
      <c r="AP161" s="530"/>
      <c r="AQ161" s="530"/>
      <c r="AR161" s="529"/>
      <c r="AS161" s="642"/>
      <c r="AT161" s="529"/>
      <c r="AU161" s="530"/>
      <c r="AV161" s="530"/>
      <c r="AW161" s="529"/>
      <c r="AX161" s="642"/>
      <c r="AZ161" s="368" t="e">
        <f t="shared" si="47"/>
        <v>#N/A</v>
      </c>
      <c r="BA161" s="642"/>
    </row>
    <row r="162" spans="2:53">
      <c r="B162" s="647"/>
      <c r="C162" s="278">
        <v>16</v>
      </c>
      <c r="D162" s="201"/>
      <c r="E162" s="517"/>
      <c r="F162" s="201"/>
      <c r="G162" s="199"/>
      <c r="H162" s="701"/>
      <c r="I162" s="363" t="str">
        <f t="shared" si="44"/>
        <v>-</v>
      </c>
      <c r="J162" s="363" t="str">
        <f t="shared" si="45"/>
        <v>-</v>
      </c>
      <c r="K162" s="199" t="str">
        <f t="shared" si="46"/>
        <v>-</v>
      </c>
      <c r="L162" s="657"/>
      <c r="M162" s="198" t="e">
        <f>RANK(K162, K$147:$K$176)</f>
        <v>#VALUE!</v>
      </c>
      <c r="N162" s="641"/>
      <c r="O162" s="641"/>
      <c r="P162" s="529"/>
      <c r="Q162" s="530"/>
      <c r="R162" s="530"/>
      <c r="S162" s="529"/>
      <c r="T162" s="642"/>
      <c r="U162" s="529"/>
      <c r="V162" s="530"/>
      <c r="W162" s="530"/>
      <c r="X162" s="529"/>
      <c r="Y162" s="642"/>
      <c r="Z162" s="529"/>
      <c r="AA162" s="530"/>
      <c r="AB162" s="530"/>
      <c r="AC162" s="529"/>
      <c r="AD162" s="642"/>
      <c r="AE162" s="529"/>
      <c r="AF162" s="530"/>
      <c r="AG162" s="530"/>
      <c r="AH162" s="529"/>
      <c r="AI162" s="642"/>
      <c r="AJ162" s="529"/>
      <c r="AK162" s="530"/>
      <c r="AL162" s="530"/>
      <c r="AM162" s="529"/>
      <c r="AN162" s="642"/>
      <c r="AO162" s="529"/>
      <c r="AP162" s="530"/>
      <c r="AQ162" s="530"/>
      <c r="AR162" s="529"/>
      <c r="AS162" s="642"/>
      <c r="AT162" s="529"/>
      <c r="AU162" s="530"/>
      <c r="AV162" s="530"/>
      <c r="AW162" s="529"/>
      <c r="AX162" s="642"/>
      <c r="AZ162" s="368" t="e">
        <f t="shared" si="47"/>
        <v>#N/A</v>
      </c>
      <c r="BA162" s="642"/>
    </row>
    <row r="163" spans="2:53">
      <c r="B163" s="647"/>
      <c r="C163" s="278">
        <v>17</v>
      </c>
      <c r="D163" s="201"/>
      <c r="E163" s="517"/>
      <c r="F163" s="201"/>
      <c r="G163" s="199"/>
      <c r="H163" s="701"/>
      <c r="I163" s="363" t="str">
        <f t="shared" si="44"/>
        <v>-</v>
      </c>
      <c r="J163" s="363" t="str">
        <f t="shared" si="45"/>
        <v>-</v>
      </c>
      <c r="K163" s="199" t="str">
        <f t="shared" si="46"/>
        <v>-</v>
      </c>
      <c r="L163" s="657"/>
      <c r="M163" s="198" t="e">
        <f>RANK(K163, K$147:$K$176)</f>
        <v>#VALUE!</v>
      </c>
      <c r="N163" s="641"/>
      <c r="O163" s="641"/>
      <c r="P163" s="529"/>
      <c r="Q163" s="530"/>
      <c r="R163" s="530"/>
      <c r="S163" s="529"/>
      <c r="T163" s="642"/>
      <c r="U163" s="529"/>
      <c r="V163" s="530"/>
      <c r="W163" s="530"/>
      <c r="X163" s="529"/>
      <c r="Y163" s="642"/>
      <c r="Z163" s="529"/>
      <c r="AA163" s="530"/>
      <c r="AB163" s="530"/>
      <c r="AC163" s="529"/>
      <c r="AD163" s="642"/>
      <c r="AE163" s="529"/>
      <c r="AF163" s="530"/>
      <c r="AG163" s="530"/>
      <c r="AH163" s="529"/>
      <c r="AI163" s="642"/>
      <c r="AJ163" s="529"/>
      <c r="AK163" s="530"/>
      <c r="AL163" s="530"/>
      <c r="AM163" s="529"/>
      <c r="AN163" s="642"/>
      <c r="AO163" s="529"/>
      <c r="AP163" s="530"/>
      <c r="AQ163" s="530"/>
      <c r="AR163" s="529"/>
      <c r="AS163" s="642"/>
      <c r="AT163" s="529"/>
      <c r="AU163" s="530"/>
      <c r="AV163" s="530"/>
      <c r="AW163" s="529"/>
      <c r="AX163" s="642"/>
      <c r="AZ163" s="368" t="e">
        <f t="shared" si="47"/>
        <v>#N/A</v>
      </c>
      <c r="BA163" s="642"/>
    </row>
    <row r="164" spans="2:53">
      <c r="B164" s="647"/>
      <c r="C164" s="278">
        <v>18</v>
      </c>
      <c r="D164" s="201"/>
      <c r="E164" s="517"/>
      <c r="F164" s="201"/>
      <c r="G164" s="199"/>
      <c r="H164" s="701"/>
      <c r="I164" s="363" t="str">
        <f t="shared" si="44"/>
        <v>-</v>
      </c>
      <c r="J164" s="363" t="str">
        <f t="shared" si="45"/>
        <v>-</v>
      </c>
      <c r="K164" s="199" t="str">
        <f t="shared" si="46"/>
        <v>-</v>
      </c>
      <c r="L164" s="657"/>
      <c r="M164" s="198" t="e">
        <f>RANK(K164, K$147:$K$176)</f>
        <v>#VALUE!</v>
      </c>
      <c r="N164" s="641"/>
      <c r="O164" s="641"/>
      <c r="P164" s="529"/>
      <c r="Q164" s="530"/>
      <c r="R164" s="530"/>
      <c r="S164" s="529"/>
      <c r="T164" s="642"/>
      <c r="U164" s="529"/>
      <c r="V164" s="530"/>
      <c r="W164" s="530"/>
      <c r="X164" s="529"/>
      <c r="Y164" s="642"/>
      <c r="Z164" s="529"/>
      <c r="AA164" s="530"/>
      <c r="AB164" s="530"/>
      <c r="AC164" s="529"/>
      <c r="AD164" s="642"/>
      <c r="AE164" s="529"/>
      <c r="AF164" s="530"/>
      <c r="AG164" s="530"/>
      <c r="AH164" s="529"/>
      <c r="AI164" s="642"/>
      <c r="AJ164" s="529"/>
      <c r="AK164" s="530"/>
      <c r="AL164" s="530"/>
      <c r="AM164" s="529"/>
      <c r="AN164" s="642"/>
      <c r="AO164" s="529"/>
      <c r="AP164" s="530"/>
      <c r="AQ164" s="530"/>
      <c r="AR164" s="529"/>
      <c r="AS164" s="642"/>
      <c r="AT164" s="529"/>
      <c r="AU164" s="530"/>
      <c r="AV164" s="530"/>
      <c r="AW164" s="529"/>
      <c r="AX164" s="642"/>
      <c r="AZ164" s="368" t="e">
        <f t="shared" si="47"/>
        <v>#N/A</v>
      </c>
      <c r="BA164" s="642"/>
    </row>
    <row r="165" spans="2:53">
      <c r="B165" s="647"/>
      <c r="C165" s="278">
        <v>19</v>
      </c>
      <c r="D165" s="201"/>
      <c r="E165" s="517"/>
      <c r="F165" s="201"/>
      <c r="G165" s="199"/>
      <c r="H165" s="701"/>
      <c r="I165" s="363" t="str">
        <f t="shared" si="44"/>
        <v>-</v>
      </c>
      <c r="J165" s="363" t="str">
        <f t="shared" si="45"/>
        <v>-</v>
      </c>
      <c r="K165" s="199" t="str">
        <f t="shared" si="46"/>
        <v>-</v>
      </c>
      <c r="L165" s="657"/>
      <c r="M165" s="198" t="e">
        <f>RANK(K165, K$147:$K$176)</f>
        <v>#VALUE!</v>
      </c>
      <c r="N165" s="641"/>
      <c r="O165" s="641"/>
      <c r="P165" s="529"/>
      <c r="Q165" s="530"/>
      <c r="R165" s="530"/>
      <c r="S165" s="529"/>
      <c r="T165" s="642"/>
      <c r="U165" s="529"/>
      <c r="V165" s="530"/>
      <c r="W165" s="530"/>
      <c r="X165" s="529"/>
      <c r="Y165" s="642"/>
      <c r="Z165" s="529"/>
      <c r="AA165" s="530"/>
      <c r="AB165" s="530"/>
      <c r="AC165" s="529"/>
      <c r="AD165" s="642"/>
      <c r="AE165" s="529"/>
      <c r="AF165" s="530"/>
      <c r="AG165" s="530"/>
      <c r="AH165" s="529"/>
      <c r="AI165" s="642"/>
      <c r="AJ165" s="529"/>
      <c r="AK165" s="530"/>
      <c r="AL165" s="530"/>
      <c r="AM165" s="529"/>
      <c r="AN165" s="642"/>
      <c r="AO165" s="529"/>
      <c r="AP165" s="530"/>
      <c r="AQ165" s="530"/>
      <c r="AR165" s="529"/>
      <c r="AS165" s="642"/>
      <c r="AT165" s="529"/>
      <c r="AU165" s="530"/>
      <c r="AV165" s="530"/>
      <c r="AW165" s="529"/>
      <c r="AX165" s="642"/>
      <c r="AZ165" s="368" t="e">
        <f t="shared" si="47"/>
        <v>#N/A</v>
      </c>
      <c r="BA165" s="642"/>
    </row>
    <row r="166" spans="2:53">
      <c r="B166" s="647"/>
      <c r="C166" s="278">
        <v>20</v>
      </c>
      <c r="D166" s="201"/>
      <c r="E166" s="517"/>
      <c r="F166" s="201"/>
      <c r="G166" s="199"/>
      <c r="H166" s="701"/>
      <c r="I166" s="363" t="str">
        <f t="shared" si="44"/>
        <v>-</v>
      </c>
      <c r="J166" s="363" t="str">
        <f t="shared" si="45"/>
        <v>-</v>
      </c>
      <c r="K166" s="199" t="str">
        <f t="shared" si="46"/>
        <v>-</v>
      </c>
      <c r="L166" s="657"/>
      <c r="M166" s="198" t="e">
        <f>RANK(K166, K$147:$K$176)</f>
        <v>#VALUE!</v>
      </c>
      <c r="N166" s="641"/>
      <c r="O166" s="641"/>
      <c r="P166" s="529"/>
      <c r="Q166" s="530"/>
      <c r="R166" s="530"/>
      <c r="S166" s="529"/>
      <c r="T166" s="642"/>
      <c r="U166" s="529"/>
      <c r="V166" s="530"/>
      <c r="W166" s="530"/>
      <c r="X166" s="529"/>
      <c r="Y166" s="642"/>
      <c r="Z166" s="529"/>
      <c r="AA166" s="530"/>
      <c r="AB166" s="530"/>
      <c r="AC166" s="529"/>
      <c r="AD166" s="642"/>
      <c r="AE166" s="529"/>
      <c r="AF166" s="530"/>
      <c r="AG166" s="530"/>
      <c r="AH166" s="529"/>
      <c r="AI166" s="642"/>
      <c r="AJ166" s="529"/>
      <c r="AK166" s="530"/>
      <c r="AL166" s="530"/>
      <c r="AM166" s="529"/>
      <c r="AN166" s="642"/>
      <c r="AO166" s="529"/>
      <c r="AP166" s="530"/>
      <c r="AQ166" s="530"/>
      <c r="AR166" s="529"/>
      <c r="AS166" s="642"/>
      <c r="AT166" s="529"/>
      <c r="AU166" s="530"/>
      <c r="AV166" s="530"/>
      <c r="AW166" s="529"/>
      <c r="AX166" s="642"/>
      <c r="AZ166" s="368" t="e">
        <f t="shared" si="47"/>
        <v>#N/A</v>
      </c>
      <c r="BA166" s="642"/>
    </row>
    <row r="167" spans="2:53">
      <c r="B167" s="647"/>
      <c r="C167" s="278">
        <v>21</v>
      </c>
      <c r="D167" s="201"/>
      <c r="E167" s="517"/>
      <c r="F167" s="201"/>
      <c r="G167" s="199"/>
      <c r="H167" s="701"/>
      <c r="I167" s="363" t="str">
        <f t="shared" si="44"/>
        <v>-</v>
      </c>
      <c r="J167" s="363" t="str">
        <f t="shared" si="45"/>
        <v>-</v>
      </c>
      <c r="K167" s="199" t="str">
        <f t="shared" si="46"/>
        <v>-</v>
      </c>
      <c r="L167" s="657"/>
      <c r="M167" s="198" t="e">
        <f>RANK(K167, K$147:$K$176)</f>
        <v>#VALUE!</v>
      </c>
      <c r="N167" s="641"/>
      <c r="O167" s="641"/>
      <c r="P167" s="529"/>
      <c r="Q167" s="530"/>
      <c r="R167" s="530"/>
      <c r="S167" s="529"/>
      <c r="T167" s="642"/>
      <c r="U167" s="529"/>
      <c r="V167" s="530"/>
      <c r="W167" s="530"/>
      <c r="X167" s="529"/>
      <c r="Y167" s="642"/>
      <c r="Z167" s="529"/>
      <c r="AA167" s="530"/>
      <c r="AB167" s="530"/>
      <c r="AC167" s="529"/>
      <c r="AD167" s="642"/>
      <c r="AE167" s="529"/>
      <c r="AF167" s="530"/>
      <c r="AG167" s="530"/>
      <c r="AH167" s="529"/>
      <c r="AI167" s="642"/>
      <c r="AJ167" s="529"/>
      <c r="AK167" s="530"/>
      <c r="AL167" s="530"/>
      <c r="AM167" s="529"/>
      <c r="AN167" s="642"/>
      <c r="AO167" s="529"/>
      <c r="AP167" s="530"/>
      <c r="AQ167" s="530"/>
      <c r="AR167" s="529"/>
      <c r="AS167" s="642"/>
      <c r="AT167" s="529"/>
      <c r="AU167" s="530"/>
      <c r="AV167" s="530"/>
      <c r="AW167" s="529"/>
      <c r="AX167" s="642"/>
      <c r="AZ167" s="368" t="e">
        <f t="shared" si="47"/>
        <v>#N/A</v>
      </c>
      <c r="BA167" s="642"/>
    </row>
    <row r="168" spans="2:53">
      <c r="B168" s="647"/>
      <c r="C168" s="278">
        <v>22</v>
      </c>
      <c r="D168" s="201"/>
      <c r="E168" s="517"/>
      <c r="F168" s="201"/>
      <c r="G168" s="199"/>
      <c r="H168" s="701"/>
      <c r="I168" s="363" t="str">
        <f t="shared" si="44"/>
        <v>-</v>
      </c>
      <c r="J168" s="363" t="str">
        <f t="shared" si="45"/>
        <v>-</v>
      </c>
      <c r="K168" s="199" t="str">
        <f t="shared" si="46"/>
        <v>-</v>
      </c>
      <c r="L168" s="657"/>
      <c r="M168" s="198" t="e">
        <f>RANK(K168, K$147:$K$176)</f>
        <v>#VALUE!</v>
      </c>
      <c r="N168" s="641"/>
      <c r="O168" s="641"/>
      <c r="P168" s="529"/>
      <c r="Q168" s="530"/>
      <c r="R168" s="530"/>
      <c r="S168" s="529"/>
      <c r="T168" s="642"/>
      <c r="U168" s="529"/>
      <c r="V168" s="530"/>
      <c r="W168" s="530"/>
      <c r="X168" s="529"/>
      <c r="Y168" s="642"/>
      <c r="Z168" s="529"/>
      <c r="AA168" s="530"/>
      <c r="AB168" s="530"/>
      <c r="AC168" s="529"/>
      <c r="AD168" s="642"/>
      <c r="AE168" s="529"/>
      <c r="AF168" s="530"/>
      <c r="AG168" s="530"/>
      <c r="AH168" s="529"/>
      <c r="AI168" s="642"/>
      <c r="AJ168" s="529"/>
      <c r="AK168" s="530"/>
      <c r="AL168" s="530"/>
      <c r="AM168" s="529"/>
      <c r="AN168" s="642"/>
      <c r="AO168" s="529"/>
      <c r="AP168" s="530"/>
      <c r="AQ168" s="530"/>
      <c r="AR168" s="529"/>
      <c r="AS168" s="642"/>
      <c r="AT168" s="529"/>
      <c r="AU168" s="530"/>
      <c r="AV168" s="530"/>
      <c r="AW168" s="529"/>
      <c r="AX168" s="642"/>
      <c r="AZ168" s="368" t="e">
        <f t="shared" si="47"/>
        <v>#N/A</v>
      </c>
      <c r="BA168" s="642"/>
    </row>
    <row r="169" spans="2:53">
      <c r="B169" s="647"/>
      <c r="C169" s="278">
        <v>23</v>
      </c>
      <c r="D169" s="201"/>
      <c r="E169" s="517"/>
      <c r="F169" s="201"/>
      <c r="G169" s="199"/>
      <c r="H169" s="701"/>
      <c r="I169" s="363" t="str">
        <f t="shared" si="44"/>
        <v>-</v>
      </c>
      <c r="J169" s="363" t="str">
        <f t="shared" si="45"/>
        <v>-</v>
      </c>
      <c r="K169" s="199" t="str">
        <f t="shared" si="46"/>
        <v>-</v>
      </c>
      <c r="L169" s="657"/>
      <c r="M169" s="198" t="e">
        <f>RANK(K169, K$147:$K$176)</f>
        <v>#VALUE!</v>
      </c>
      <c r="N169" s="641"/>
      <c r="O169" s="641"/>
      <c r="P169" s="529"/>
      <c r="Q169" s="530"/>
      <c r="R169" s="530"/>
      <c r="S169" s="529"/>
      <c r="T169" s="642"/>
      <c r="U169" s="529"/>
      <c r="V169" s="530"/>
      <c r="W169" s="530"/>
      <c r="X169" s="529"/>
      <c r="Y169" s="642"/>
      <c r="Z169" s="529"/>
      <c r="AA169" s="530"/>
      <c r="AB169" s="530"/>
      <c r="AC169" s="529"/>
      <c r="AD169" s="642"/>
      <c r="AE169" s="529"/>
      <c r="AF169" s="530"/>
      <c r="AG169" s="530"/>
      <c r="AH169" s="529"/>
      <c r="AI169" s="642"/>
      <c r="AJ169" s="529"/>
      <c r="AK169" s="530"/>
      <c r="AL169" s="530"/>
      <c r="AM169" s="529"/>
      <c r="AN169" s="642"/>
      <c r="AO169" s="529"/>
      <c r="AP169" s="530"/>
      <c r="AQ169" s="530"/>
      <c r="AR169" s="529"/>
      <c r="AS169" s="642"/>
      <c r="AT169" s="529"/>
      <c r="AU169" s="530"/>
      <c r="AV169" s="530"/>
      <c r="AW169" s="529"/>
      <c r="AX169" s="642"/>
      <c r="AZ169" s="368" t="e">
        <f t="shared" si="47"/>
        <v>#N/A</v>
      </c>
      <c r="BA169" s="642"/>
    </row>
    <row r="170" spans="2:53">
      <c r="B170" s="647"/>
      <c r="C170" s="278">
        <v>24</v>
      </c>
      <c r="D170" s="201"/>
      <c r="E170" s="517"/>
      <c r="F170" s="201"/>
      <c r="G170" s="199"/>
      <c r="H170" s="701"/>
      <c r="I170" s="363" t="str">
        <f t="shared" si="44"/>
        <v>-</v>
      </c>
      <c r="J170" s="363" t="str">
        <f t="shared" si="45"/>
        <v>-</v>
      </c>
      <c r="K170" s="199" t="str">
        <f t="shared" si="46"/>
        <v>-</v>
      </c>
      <c r="L170" s="657"/>
      <c r="M170" s="198" t="e">
        <f>RANK(K170, K$147:$K$176)</f>
        <v>#VALUE!</v>
      </c>
      <c r="N170" s="641"/>
      <c r="O170" s="641"/>
      <c r="P170" s="529"/>
      <c r="Q170" s="530"/>
      <c r="R170" s="530"/>
      <c r="S170" s="529"/>
      <c r="T170" s="642"/>
      <c r="U170" s="529"/>
      <c r="V170" s="530"/>
      <c r="W170" s="530"/>
      <c r="X170" s="529"/>
      <c r="Y170" s="642"/>
      <c r="Z170" s="529"/>
      <c r="AA170" s="530"/>
      <c r="AB170" s="530"/>
      <c r="AC170" s="529"/>
      <c r="AD170" s="642"/>
      <c r="AE170" s="529"/>
      <c r="AF170" s="530"/>
      <c r="AG170" s="530"/>
      <c r="AH170" s="529"/>
      <c r="AI170" s="642"/>
      <c r="AJ170" s="529"/>
      <c r="AK170" s="530"/>
      <c r="AL170" s="530"/>
      <c r="AM170" s="529"/>
      <c r="AN170" s="642"/>
      <c r="AO170" s="529"/>
      <c r="AP170" s="530"/>
      <c r="AQ170" s="530"/>
      <c r="AR170" s="529"/>
      <c r="AS170" s="642"/>
      <c r="AT170" s="529"/>
      <c r="AU170" s="530"/>
      <c r="AV170" s="530"/>
      <c r="AW170" s="529"/>
      <c r="AX170" s="642"/>
      <c r="AZ170" s="368" t="e">
        <f t="shared" si="47"/>
        <v>#N/A</v>
      </c>
      <c r="BA170" s="642"/>
    </row>
    <row r="171" spans="2:53">
      <c r="B171" s="647"/>
      <c r="C171" s="278">
        <v>25</v>
      </c>
      <c r="D171" s="201"/>
      <c r="E171" s="517"/>
      <c r="F171" s="201"/>
      <c r="G171" s="199"/>
      <c r="H171" s="701"/>
      <c r="I171" s="363" t="str">
        <f t="shared" si="44"/>
        <v>-</v>
      </c>
      <c r="J171" s="363" t="str">
        <f t="shared" si="45"/>
        <v>-</v>
      </c>
      <c r="K171" s="199" t="str">
        <f t="shared" si="46"/>
        <v>-</v>
      </c>
      <c r="L171" s="657"/>
      <c r="M171" s="198" t="e">
        <f>RANK(K171, K$147:$K$176)</f>
        <v>#VALUE!</v>
      </c>
      <c r="N171" s="641"/>
      <c r="O171" s="641"/>
      <c r="P171" s="529"/>
      <c r="Q171" s="530"/>
      <c r="R171" s="530"/>
      <c r="S171" s="529"/>
      <c r="T171" s="642"/>
      <c r="U171" s="529"/>
      <c r="V171" s="530"/>
      <c r="W171" s="530"/>
      <c r="X171" s="529"/>
      <c r="Y171" s="642"/>
      <c r="Z171" s="529"/>
      <c r="AA171" s="530"/>
      <c r="AB171" s="530"/>
      <c r="AC171" s="529"/>
      <c r="AD171" s="642"/>
      <c r="AE171" s="529"/>
      <c r="AF171" s="530"/>
      <c r="AG171" s="530"/>
      <c r="AH171" s="529"/>
      <c r="AI171" s="642"/>
      <c r="AJ171" s="529"/>
      <c r="AK171" s="530"/>
      <c r="AL171" s="530"/>
      <c r="AM171" s="529"/>
      <c r="AN171" s="642"/>
      <c r="AO171" s="529"/>
      <c r="AP171" s="530"/>
      <c r="AQ171" s="530"/>
      <c r="AR171" s="529"/>
      <c r="AS171" s="642"/>
      <c r="AT171" s="529"/>
      <c r="AU171" s="530"/>
      <c r="AV171" s="530"/>
      <c r="AW171" s="529"/>
      <c r="AX171" s="642"/>
      <c r="AZ171" s="368" t="e">
        <f t="shared" si="47"/>
        <v>#N/A</v>
      </c>
      <c r="BA171" s="642"/>
    </row>
    <row r="172" spans="2:53">
      <c r="B172" s="647"/>
      <c r="C172" s="278">
        <v>26</v>
      </c>
      <c r="D172" s="201"/>
      <c r="E172" s="517"/>
      <c r="F172" s="201"/>
      <c r="G172" s="199"/>
      <c r="H172" s="701"/>
      <c r="I172" s="363" t="str">
        <f t="shared" si="44"/>
        <v>-</v>
      </c>
      <c r="J172" s="363" t="str">
        <f t="shared" si="45"/>
        <v>-</v>
      </c>
      <c r="K172" s="199" t="str">
        <f t="shared" si="46"/>
        <v>-</v>
      </c>
      <c r="L172" s="657"/>
      <c r="M172" s="198" t="e">
        <f>RANK(K172, K$147:$K$176)</f>
        <v>#VALUE!</v>
      </c>
      <c r="N172" s="641"/>
      <c r="O172" s="641"/>
      <c r="P172" s="529"/>
      <c r="Q172" s="530"/>
      <c r="R172" s="530"/>
      <c r="S172" s="529"/>
      <c r="T172" s="642"/>
      <c r="U172" s="529"/>
      <c r="V172" s="530"/>
      <c r="W172" s="530"/>
      <c r="X172" s="529"/>
      <c r="Y172" s="642"/>
      <c r="Z172" s="529"/>
      <c r="AA172" s="530"/>
      <c r="AB172" s="530"/>
      <c r="AC172" s="529"/>
      <c r="AD172" s="642"/>
      <c r="AE172" s="529"/>
      <c r="AF172" s="530"/>
      <c r="AG172" s="530"/>
      <c r="AH172" s="529"/>
      <c r="AI172" s="642"/>
      <c r="AJ172" s="529"/>
      <c r="AK172" s="530"/>
      <c r="AL172" s="530"/>
      <c r="AM172" s="529"/>
      <c r="AN172" s="642"/>
      <c r="AO172" s="529"/>
      <c r="AP172" s="530"/>
      <c r="AQ172" s="530"/>
      <c r="AR172" s="529"/>
      <c r="AS172" s="642"/>
      <c r="AT172" s="529"/>
      <c r="AU172" s="530"/>
      <c r="AV172" s="530"/>
      <c r="AW172" s="529"/>
      <c r="AX172" s="642"/>
      <c r="AZ172" s="368" t="e">
        <f t="shared" si="47"/>
        <v>#N/A</v>
      </c>
      <c r="BA172" s="642"/>
    </row>
    <row r="173" spans="2:53">
      <c r="B173" s="647"/>
      <c r="C173" s="278">
        <v>27</v>
      </c>
      <c r="D173" s="201"/>
      <c r="E173" s="517"/>
      <c r="F173" s="201"/>
      <c r="G173" s="199"/>
      <c r="H173" s="701"/>
      <c r="I173" s="363" t="str">
        <f t="shared" si="44"/>
        <v>-</v>
      </c>
      <c r="J173" s="363" t="str">
        <f t="shared" si="45"/>
        <v>-</v>
      </c>
      <c r="K173" s="199" t="str">
        <f t="shared" si="46"/>
        <v>-</v>
      </c>
      <c r="L173" s="657"/>
      <c r="M173" s="198" t="e">
        <f>RANK(K173, K$147:$K$176)</f>
        <v>#VALUE!</v>
      </c>
      <c r="N173" s="641"/>
      <c r="O173" s="641"/>
      <c r="P173" s="529"/>
      <c r="Q173" s="530"/>
      <c r="R173" s="530"/>
      <c r="S173" s="529"/>
      <c r="T173" s="642"/>
      <c r="U173" s="529"/>
      <c r="V173" s="530"/>
      <c r="W173" s="530"/>
      <c r="X173" s="529"/>
      <c r="Y173" s="642"/>
      <c r="Z173" s="529"/>
      <c r="AA173" s="530"/>
      <c r="AB173" s="530"/>
      <c r="AC173" s="529"/>
      <c r="AD173" s="642"/>
      <c r="AE173" s="529"/>
      <c r="AF173" s="530"/>
      <c r="AG173" s="530"/>
      <c r="AH173" s="529"/>
      <c r="AI173" s="642"/>
      <c r="AJ173" s="529"/>
      <c r="AK173" s="530"/>
      <c r="AL173" s="530"/>
      <c r="AM173" s="529"/>
      <c r="AN173" s="642"/>
      <c r="AO173" s="529"/>
      <c r="AP173" s="530"/>
      <c r="AQ173" s="530"/>
      <c r="AR173" s="529"/>
      <c r="AS173" s="642"/>
      <c r="AT173" s="529"/>
      <c r="AU173" s="530"/>
      <c r="AV173" s="530"/>
      <c r="AW173" s="529"/>
      <c r="AX173" s="642"/>
      <c r="AZ173" s="368" t="e">
        <f t="shared" si="47"/>
        <v>#N/A</v>
      </c>
      <c r="BA173" s="642"/>
    </row>
    <row r="174" spans="2:53">
      <c r="B174" s="647"/>
      <c r="C174" s="278">
        <v>28</v>
      </c>
      <c r="D174" s="201"/>
      <c r="E174" s="517"/>
      <c r="F174" s="201"/>
      <c r="G174" s="199"/>
      <c r="H174" s="701"/>
      <c r="I174" s="363" t="str">
        <f t="shared" si="44"/>
        <v>-</v>
      </c>
      <c r="J174" s="363" t="str">
        <f t="shared" si="45"/>
        <v>-</v>
      </c>
      <c r="K174" s="199" t="str">
        <f t="shared" si="46"/>
        <v>-</v>
      </c>
      <c r="L174" s="657"/>
      <c r="M174" s="198" t="e">
        <f>RANK(K174, K$147:$K$176)</f>
        <v>#VALUE!</v>
      </c>
      <c r="N174" s="641"/>
      <c r="O174" s="641"/>
      <c r="P174" s="529"/>
      <c r="Q174" s="530"/>
      <c r="R174" s="530"/>
      <c r="S174" s="529"/>
      <c r="T174" s="642"/>
      <c r="U174" s="529"/>
      <c r="V174" s="530"/>
      <c r="W174" s="530"/>
      <c r="X174" s="529"/>
      <c r="Y174" s="642"/>
      <c r="Z174" s="529"/>
      <c r="AA174" s="530"/>
      <c r="AB174" s="530"/>
      <c r="AC174" s="529"/>
      <c r="AD174" s="642"/>
      <c r="AE174" s="529"/>
      <c r="AF174" s="530"/>
      <c r="AG174" s="530"/>
      <c r="AH174" s="529"/>
      <c r="AI174" s="642"/>
      <c r="AJ174" s="529"/>
      <c r="AK174" s="530"/>
      <c r="AL174" s="530"/>
      <c r="AM174" s="529"/>
      <c r="AN174" s="642"/>
      <c r="AO174" s="529"/>
      <c r="AP174" s="530"/>
      <c r="AQ174" s="530"/>
      <c r="AR174" s="529"/>
      <c r="AS174" s="642"/>
      <c r="AT174" s="529"/>
      <c r="AU174" s="530"/>
      <c r="AV174" s="530"/>
      <c r="AW174" s="529"/>
      <c r="AX174" s="642"/>
      <c r="AZ174" s="368" t="e">
        <f t="shared" si="47"/>
        <v>#N/A</v>
      </c>
      <c r="BA174" s="642"/>
    </row>
    <row r="175" spans="2:53">
      <c r="B175" s="647"/>
      <c r="C175" s="278">
        <v>29</v>
      </c>
      <c r="D175" s="201"/>
      <c r="E175" s="517"/>
      <c r="F175" s="201"/>
      <c r="G175" s="199"/>
      <c r="H175" s="701"/>
      <c r="I175" s="363" t="str">
        <f t="shared" si="44"/>
        <v>-</v>
      </c>
      <c r="J175" s="363" t="str">
        <f t="shared" si="45"/>
        <v>-</v>
      </c>
      <c r="K175" s="199" t="str">
        <f t="shared" si="46"/>
        <v>-</v>
      </c>
      <c r="L175" s="657"/>
      <c r="M175" s="198" t="e">
        <f>RANK(K175, K$147:$K$176)</f>
        <v>#VALUE!</v>
      </c>
      <c r="N175" s="641"/>
      <c r="O175" s="641"/>
      <c r="P175" s="529"/>
      <c r="Q175" s="530"/>
      <c r="R175" s="530"/>
      <c r="S175" s="529"/>
      <c r="T175" s="642"/>
      <c r="U175" s="529"/>
      <c r="V175" s="530"/>
      <c r="W175" s="530"/>
      <c r="X175" s="529"/>
      <c r="Y175" s="642"/>
      <c r="Z175" s="529"/>
      <c r="AA175" s="530"/>
      <c r="AB175" s="530"/>
      <c r="AC175" s="529"/>
      <c r="AD175" s="642"/>
      <c r="AE175" s="529"/>
      <c r="AF175" s="530"/>
      <c r="AG175" s="530"/>
      <c r="AH175" s="529"/>
      <c r="AI175" s="642"/>
      <c r="AJ175" s="529"/>
      <c r="AK175" s="530"/>
      <c r="AL175" s="530"/>
      <c r="AM175" s="529"/>
      <c r="AN175" s="642"/>
      <c r="AO175" s="529"/>
      <c r="AP175" s="530"/>
      <c r="AQ175" s="530"/>
      <c r="AR175" s="529"/>
      <c r="AS175" s="642"/>
      <c r="AT175" s="529"/>
      <c r="AU175" s="530"/>
      <c r="AV175" s="530"/>
      <c r="AW175" s="529"/>
      <c r="AX175" s="642"/>
      <c r="AZ175" s="368" t="e">
        <f t="shared" si="47"/>
        <v>#N/A</v>
      </c>
      <c r="BA175" s="642"/>
    </row>
    <row r="176" spans="2:53">
      <c r="B176" s="647"/>
      <c r="C176" s="278">
        <v>30</v>
      </c>
      <c r="D176" s="201"/>
      <c r="E176" s="517"/>
      <c r="F176" s="201"/>
      <c r="G176" s="199"/>
      <c r="H176" s="702"/>
      <c r="I176" s="363" t="str">
        <f t="shared" si="44"/>
        <v>-</v>
      </c>
      <c r="J176" s="363" t="str">
        <f t="shared" si="45"/>
        <v>-</v>
      </c>
      <c r="K176" s="199" t="str">
        <f t="shared" si="46"/>
        <v>-</v>
      </c>
      <c r="L176" s="658"/>
      <c r="M176" s="198" t="e">
        <f>RANK(K176, K$147:$K$176)</f>
        <v>#VALUE!</v>
      </c>
      <c r="N176" s="641"/>
      <c r="O176" s="641"/>
      <c r="P176" s="529"/>
      <c r="Q176" s="530"/>
      <c r="R176" s="530"/>
      <c r="S176" s="529"/>
      <c r="T176" s="642"/>
      <c r="U176" s="529"/>
      <c r="V176" s="530"/>
      <c r="W176" s="530"/>
      <c r="X176" s="529"/>
      <c r="Y176" s="642"/>
      <c r="Z176" s="529"/>
      <c r="AA176" s="530"/>
      <c r="AB176" s="530"/>
      <c r="AC176" s="529"/>
      <c r="AD176" s="642"/>
      <c r="AE176" s="529"/>
      <c r="AF176" s="530"/>
      <c r="AG176" s="530"/>
      <c r="AH176" s="529"/>
      <c r="AI176" s="642"/>
      <c r="AJ176" s="529"/>
      <c r="AK176" s="530"/>
      <c r="AL176" s="530"/>
      <c r="AM176" s="529"/>
      <c r="AN176" s="642"/>
      <c r="AO176" s="529"/>
      <c r="AP176" s="530"/>
      <c r="AQ176" s="530"/>
      <c r="AR176" s="529"/>
      <c r="AS176" s="642"/>
      <c r="AT176" s="529"/>
      <c r="AU176" s="530"/>
      <c r="AV176" s="530"/>
      <c r="AW176" s="529"/>
      <c r="AX176" s="642"/>
      <c r="AZ176" s="368" t="e">
        <f t="shared" si="47"/>
        <v>#N/A</v>
      </c>
      <c r="BA176" s="642"/>
    </row>
    <row r="177" spans="2:53" ht="15.75">
      <c r="B177" s="669" t="s">
        <v>162</v>
      </c>
      <c r="C177" s="670"/>
      <c r="D177" s="670"/>
      <c r="E177" s="670"/>
      <c r="F177" s="670"/>
      <c r="G177" s="670"/>
      <c r="H177" s="671"/>
      <c r="I177" s="207"/>
      <c r="J177" s="207"/>
      <c r="K177" s="207"/>
      <c r="L177" s="207"/>
      <c r="M177" s="206"/>
      <c r="N177" s="643" t="s">
        <v>156</v>
      </c>
      <c r="O177" s="643" t="s">
        <v>105</v>
      </c>
      <c r="P177" s="641" t="s">
        <v>585</v>
      </c>
      <c r="Q177" s="714" t="s">
        <v>585</v>
      </c>
      <c r="R177" s="714" t="s">
        <v>585</v>
      </c>
      <c r="S177" s="647"/>
      <c r="T177" s="642"/>
      <c r="U177" s="659" t="s">
        <v>585</v>
      </c>
      <c r="V177" s="715" t="s">
        <v>585</v>
      </c>
      <c r="W177" s="715" t="s">
        <v>585</v>
      </c>
      <c r="X177" s="660"/>
      <c r="Y177" s="716"/>
      <c r="Z177" s="659" t="s">
        <v>585</v>
      </c>
      <c r="AA177" s="715" t="s">
        <v>585</v>
      </c>
      <c r="AB177" s="715" t="s">
        <v>585</v>
      </c>
      <c r="AC177" s="660"/>
      <c r="AD177" s="716"/>
      <c r="AE177" s="659" t="s">
        <v>585</v>
      </c>
      <c r="AF177" s="715" t="s">
        <v>585</v>
      </c>
      <c r="AG177" s="715" t="s">
        <v>585</v>
      </c>
      <c r="AH177" s="660"/>
      <c r="AI177" s="716"/>
      <c r="AJ177" s="659" t="s">
        <v>585</v>
      </c>
      <c r="AK177" s="715" t="s">
        <v>585</v>
      </c>
      <c r="AL177" s="715" t="s">
        <v>585</v>
      </c>
      <c r="AM177" s="660"/>
      <c r="AN177" s="716"/>
      <c r="AO177" s="659" t="s">
        <v>585</v>
      </c>
      <c r="AP177" s="715" t="s">
        <v>585</v>
      </c>
      <c r="AQ177" s="715" t="s">
        <v>585</v>
      </c>
      <c r="AR177" s="660"/>
      <c r="AS177" s="716"/>
      <c r="AT177" s="659" t="s">
        <v>585</v>
      </c>
      <c r="AU177" s="715" t="s">
        <v>585</v>
      </c>
      <c r="AV177" s="715" t="s">
        <v>585</v>
      </c>
      <c r="AW177" s="660"/>
      <c r="AX177" s="716"/>
    </row>
    <row r="178" spans="2:53" ht="15.75">
      <c r="B178" s="672"/>
      <c r="C178" s="672"/>
      <c r="D178" s="672"/>
      <c r="E178" s="672"/>
      <c r="F178" s="672"/>
      <c r="G178" s="672"/>
      <c r="H178" s="672"/>
      <c r="I178" s="204"/>
      <c r="J178" s="204"/>
      <c r="K178" s="204"/>
      <c r="L178" s="204"/>
      <c r="M178" s="205"/>
      <c r="N178" s="645"/>
      <c r="O178" s="645"/>
      <c r="P178" s="641" t="s">
        <v>585</v>
      </c>
      <c r="Q178" s="714" t="s">
        <v>585</v>
      </c>
      <c r="R178" s="714" t="s">
        <v>585</v>
      </c>
      <c r="S178" s="647"/>
      <c r="T178" s="642"/>
      <c r="U178" s="641" t="s">
        <v>585</v>
      </c>
      <c r="V178" s="714" t="s">
        <v>585</v>
      </c>
      <c r="W178" s="714" t="s">
        <v>585</v>
      </c>
      <c r="X178" s="647"/>
      <c r="Y178" s="642"/>
      <c r="Z178" s="641" t="s">
        <v>585</v>
      </c>
      <c r="AA178" s="714" t="s">
        <v>585</v>
      </c>
      <c r="AB178" s="714" t="s">
        <v>585</v>
      </c>
      <c r="AC178" s="647"/>
      <c r="AD178" s="642"/>
      <c r="AE178" s="641" t="s">
        <v>585</v>
      </c>
      <c r="AF178" s="714" t="s">
        <v>585</v>
      </c>
      <c r="AG178" s="714" t="s">
        <v>585</v>
      </c>
      <c r="AH178" s="647"/>
      <c r="AI178" s="642"/>
      <c r="AJ178" s="641" t="s">
        <v>585</v>
      </c>
      <c r="AK178" s="714" t="s">
        <v>585</v>
      </c>
      <c r="AL178" s="714" t="s">
        <v>585</v>
      </c>
      <c r="AM178" s="647"/>
      <c r="AN178" s="642"/>
      <c r="AO178" s="641" t="s">
        <v>585</v>
      </c>
      <c r="AP178" s="714" t="s">
        <v>585</v>
      </c>
      <c r="AQ178" s="714" t="s">
        <v>585</v>
      </c>
      <c r="AR178" s="647"/>
      <c r="AS178" s="642"/>
      <c r="AT178" s="641" t="s">
        <v>585</v>
      </c>
      <c r="AU178" s="714" t="s">
        <v>585</v>
      </c>
      <c r="AV178" s="714" t="s">
        <v>585</v>
      </c>
      <c r="AW178" s="647"/>
      <c r="AX178" s="642"/>
    </row>
    <row r="179" spans="2:53">
      <c r="B179" s="641" t="s">
        <v>154</v>
      </c>
      <c r="C179" s="641" t="s">
        <v>379</v>
      </c>
      <c r="D179" s="641"/>
      <c r="E179" s="641" t="s">
        <v>370</v>
      </c>
      <c r="F179" s="641"/>
      <c r="G179" s="641"/>
      <c r="H179" s="673" t="s">
        <v>366</v>
      </c>
      <c r="I179" s="688" t="s">
        <v>371</v>
      </c>
      <c r="J179" s="688"/>
      <c r="K179" s="688"/>
      <c r="L179" s="689" t="s">
        <v>366</v>
      </c>
      <c r="M179" s="677" t="s">
        <v>367</v>
      </c>
      <c r="N179" s="641"/>
      <c r="O179" s="641" t="s">
        <v>372</v>
      </c>
      <c r="P179" s="659" t="s">
        <v>368</v>
      </c>
      <c r="Q179" s="660"/>
      <c r="R179" s="660"/>
      <c r="S179" s="661"/>
      <c r="T179" s="641" t="s">
        <v>366</v>
      </c>
      <c r="U179" s="659" t="s">
        <v>368</v>
      </c>
      <c r="V179" s="660"/>
      <c r="W179" s="660"/>
      <c r="X179" s="661"/>
      <c r="Y179" s="641" t="s">
        <v>366</v>
      </c>
      <c r="Z179" s="659" t="s">
        <v>368</v>
      </c>
      <c r="AA179" s="660"/>
      <c r="AB179" s="660"/>
      <c r="AC179" s="661"/>
      <c r="AD179" s="641" t="s">
        <v>366</v>
      </c>
      <c r="AE179" s="659" t="s">
        <v>368</v>
      </c>
      <c r="AF179" s="660"/>
      <c r="AG179" s="660"/>
      <c r="AH179" s="661"/>
      <c r="AI179" s="641" t="s">
        <v>366</v>
      </c>
      <c r="AJ179" s="659" t="s">
        <v>368</v>
      </c>
      <c r="AK179" s="660"/>
      <c r="AL179" s="660"/>
      <c r="AM179" s="661"/>
      <c r="AN179" s="641" t="s">
        <v>366</v>
      </c>
      <c r="AO179" s="659" t="s">
        <v>368</v>
      </c>
      <c r="AP179" s="660"/>
      <c r="AQ179" s="660"/>
      <c r="AR179" s="661"/>
      <c r="AS179" s="641" t="s">
        <v>366</v>
      </c>
      <c r="AT179" s="659" t="s">
        <v>368</v>
      </c>
      <c r="AU179" s="660"/>
      <c r="AV179" s="660"/>
      <c r="AW179" s="661"/>
      <c r="AX179" s="641" t="s">
        <v>366</v>
      </c>
      <c r="BA179" s="641" t="s">
        <v>366</v>
      </c>
    </row>
    <row r="180" spans="2:53">
      <c r="B180" s="641"/>
      <c r="C180" s="641"/>
      <c r="D180" s="641"/>
      <c r="E180" s="641" t="s">
        <v>373</v>
      </c>
      <c r="F180" s="641"/>
      <c r="G180" s="641"/>
      <c r="H180" s="674"/>
      <c r="I180" s="688" t="s">
        <v>373</v>
      </c>
      <c r="J180" s="688"/>
      <c r="K180" s="688"/>
      <c r="L180" s="690"/>
      <c r="M180" s="678"/>
      <c r="N180" s="641"/>
      <c r="O180" s="641"/>
      <c r="P180" s="659" t="s">
        <v>374</v>
      </c>
      <c r="Q180" s="660"/>
      <c r="R180" s="660"/>
      <c r="S180" s="661"/>
      <c r="T180" s="641"/>
      <c r="U180" s="659" t="s">
        <v>374</v>
      </c>
      <c r="V180" s="660"/>
      <c r="W180" s="660"/>
      <c r="X180" s="661"/>
      <c r="Y180" s="641"/>
      <c r="Z180" s="659" t="s">
        <v>374</v>
      </c>
      <c r="AA180" s="660"/>
      <c r="AB180" s="660"/>
      <c r="AC180" s="661"/>
      <c r="AD180" s="641"/>
      <c r="AE180" s="659" t="s">
        <v>374</v>
      </c>
      <c r="AF180" s="660"/>
      <c r="AG180" s="660"/>
      <c r="AH180" s="661"/>
      <c r="AI180" s="641"/>
      <c r="AJ180" s="659" t="s">
        <v>374</v>
      </c>
      <c r="AK180" s="660"/>
      <c r="AL180" s="660"/>
      <c r="AM180" s="661"/>
      <c r="AN180" s="641"/>
      <c r="AO180" s="659" t="s">
        <v>374</v>
      </c>
      <c r="AP180" s="660"/>
      <c r="AQ180" s="660"/>
      <c r="AR180" s="661"/>
      <c r="AS180" s="641"/>
      <c r="AT180" s="659" t="s">
        <v>374</v>
      </c>
      <c r="AU180" s="660"/>
      <c r="AV180" s="660"/>
      <c r="AW180" s="661"/>
      <c r="AX180" s="641"/>
      <c r="BA180" s="641"/>
    </row>
    <row r="181" spans="2:53">
      <c r="B181" s="641"/>
      <c r="C181" s="641"/>
      <c r="D181" s="641"/>
      <c r="E181" s="304" t="s">
        <v>375</v>
      </c>
      <c r="F181" s="304" t="s">
        <v>376</v>
      </c>
      <c r="G181" s="304" t="s">
        <v>377</v>
      </c>
      <c r="H181" s="675"/>
      <c r="I181" s="305" t="s">
        <v>375</v>
      </c>
      <c r="J181" s="305" t="s">
        <v>376</v>
      </c>
      <c r="K181" s="305" t="s">
        <v>377</v>
      </c>
      <c r="L181" s="691"/>
      <c r="M181" s="679"/>
      <c r="N181" s="641"/>
      <c r="O181" s="641"/>
      <c r="P181" s="304" t="s">
        <v>375</v>
      </c>
      <c r="Q181" s="304" t="s">
        <v>376</v>
      </c>
      <c r="R181" s="304" t="s">
        <v>377</v>
      </c>
      <c r="S181" s="304" t="s">
        <v>367</v>
      </c>
      <c r="T181" s="641"/>
      <c r="U181" s="304" t="s">
        <v>375</v>
      </c>
      <c r="V181" s="304" t="s">
        <v>376</v>
      </c>
      <c r="W181" s="304" t="s">
        <v>377</v>
      </c>
      <c r="X181" s="304" t="s">
        <v>367</v>
      </c>
      <c r="Y181" s="641"/>
      <c r="Z181" s="304" t="s">
        <v>375</v>
      </c>
      <c r="AA181" s="304" t="s">
        <v>376</v>
      </c>
      <c r="AB181" s="304" t="s">
        <v>377</v>
      </c>
      <c r="AC181" s="304" t="s">
        <v>367</v>
      </c>
      <c r="AD181" s="641"/>
      <c r="AE181" s="304" t="s">
        <v>375</v>
      </c>
      <c r="AF181" s="304" t="s">
        <v>376</v>
      </c>
      <c r="AG181" s="304" t="s">
        <v>377</v>
      </c>
      <c r="AH181" s="304" t="s">
        <v>367</v>
      </c>
      <c r="AI181" s="641"/>
      <c r="AJ181" s="304" t="s">
        <v>375</v>
      </c>
      <c r="AK181" s="304" t="s">
        <v>376</v>
      </c>
      <c r="AL181" s="304" t="s">
        <v>377</v>
      </c>
      <c r="AM181" s="304" t="s">
        <v>367</v>
      </c>
      <c r="AN181" s="641"/>
      <c r="AO181" s="304" t="s">
        <v>375</v>
      </c>
      <c r="AP181" s="304" t="s">
        <v>376</v>
      </c>
      <c r="AQ181" s="304" t="s">
        <v>377</v>
      </c>
      <c r="AR181" s="304" t="s">
        <v>367</v>
      </c>
      <c r="AS181" s="641"/>
      <c r="AT181" s="304" t="s">
        <v>375</v>
      </c>
      <c r="AU181" s="304" t="s">
        <v>376</v>
      </c>
      <c r="AV181" s="304" t="s">
        <v>377</v>
      </c>
      <c r="AW181" s="304" t="s">
        <v>367</v>
      </c>
      <c r="AX181" s="641"/>
      <c r="AZ181" s="367" t="s">
        <v>367</v>
      </c>
      <c r="BA181" s="641"/>
    </row>
    <row r="182" spans="2:53">
      <c r="B182" s="641" t="s">
        <v>134</v>
      </c>
      <c r="C182" s="303">
        <v>1</v>
      </c>
      <c r="D182" s="201"/>
      <c r="E182" s="517"/>
      <c r="F182" s="201"/>
      <c r="G182" s="199"/>
      <c r="H182" s="700" t="e">
        <f>AVERAGE(G182:G211)</f>
        <v>#DIV/0!</v>
      </c>
      <c r="I182" s="363" t="str">
        <f>IFERROR(AVERAGE(P182,U182,Z182,AE182,AJ182,AO182,AT182),"-")</f>
        <v>-</v>
      </c>
      <c r="J182" s="363" t="str">
        <f>IFERROR(AVERAGE(Q182,V182,AA182,AF182,AK182,AP182,AU182),"-")</f>
        <v>-</v>
      </c>
      <c r="K182" s="199" t="str">
        <f>IFERROR(AVERAGE(R182,W182,AB182,AG182,AL182,AQ182,AV182),"-")</f>
        <v>-</v>
      </c>
      <c r="L182" s="656" t="str">
        <f>IFERROR(AVERAGE(K182:K211),"-")</f>
        <v>-</v>
      </c>
      <c r="M182" s="200" t="e">
        <f>RANK(K182, K$147:$K$176)</f>
        <v>#VALUE!</v>
      </c>
      <c r="N182" s="641"/>
      <c r="O182" s="641"/>
      <c r="P182" s="510"/>
      <c r="Q182" s="512"/>
      <c r="R182" s="512"/>
      <c r="S182" s="510"/>
      <c r="T182" s="642"/>
      <c r="U182" s="510"/>
      <c r="V182" s="512"/>
      <c r="W182" s="512"/>
      <c r="X182" s="510"/>
      <c r="Y182" s="642"/>
      <c r="Z182" s="510"/>
      <c r="AA182" s="512"/>
      <c r="AB182" s="512"/>
      <c r="AC182" s="510"/>
      <c r="AD182" s="642"/>
      <c r="AE182" s="510"/>
      <c r="AF182" s="512"/>
      <c r="AG182" s="512"/>
      <c r="AH182" s="510"/>
      <c r="AI182" s="642"/>
      <c r="AJ182" s="510"/>
      <c r="AK182" s="512"/>
      <c r="AL182" s="512"/>
      <c r="AM182" s="510"/>
      <c r="AN182" s="642"/>
      <c r="AO182" s="510"/>
      <c r="AP182" s="512"/>
      <c r="AQ182" s="512"/>
      <c r="AR182" s="510"/>
      <c r="AS182" s="642"/>
      <c r="AT182" s="510"/>
      <c r="AU182" s="512"/>
      <c r="AV182" s="512"/>
      <c r="AW182" s="510"/>
      <c r="AX182" s="642"/>
      <c r="AZ182" s="368" t="e">
        <f>RANK(AY182, AY$182:AY$211)</f>
        <v>#N/A</v>
      </c>
      <c r="BA182" s="642" t="e">
        <f>AVERAGE(AY182:AY211)</f>
        <v>#DIV/0!</v>
      </c>
    </row>
    <row r="183" spans="2:53">
      <c r="B183" s="647"/>
      <c r="C183" s="303">
        <v>2</v>
      </c>
      <c r="D183" s="201"/>
      <c r="E183" s="517"/>
      <c r="F183" s="201"/>
      <c r="G183" s="199"/>
      <c r="H183" s="701"/>
      <c r="I183" s="363" t="str">
        <f t="shared" ref="I183:I211" si="48">IFERROR(AVERAGE(P183,U183,Z183,AE183,AJ183,AO183,AT183),"-")</f>
        <v>-</v>
      </c>
      <c r="J183" s="363" t="str">
        <f t="shared" ref="J183:J211" si="49">IFERROR(AVERAGE(Q183,V183,AA183,AF183,AK183,AP183,AU183),"-")</f>
        <v>-</v>
      </c>
      <c r="K183" s="199" t="str">
        <f t="shared" ref="K183:K211" si="50">IFERROR(AVERAGE(R183,W183,AB183,AG183,AL183,AQ183,AV183),"-")</f>
        <v>-</v>
      </c>
      <c r="L183" s="657"/>
      <c r="M183" s="200" t="e">
        <f>RANK(K183, K$147:$K$176)</f>
        <v>#VALUE!</v>
      </c>
      <c r="N183" s="641"/>
      <c r="O183" s="641"/>
      <c r="P183" s="510"/>
      <c r="Q183" s="512"/>
      <c r="R183" s="512"/>
      <c r="S183" s="510"/>
      <c r="T183" s="642"/>
      <c r="U183" s="510"/>
      <c r="V183" s="512"/>
      <c r="W183" s="512"/>
      <c r="X183" s="510"/>
      <c r="Y183" s="642"/>
      <c r="Z183" s="510"/>
      <c r="AA183" s="512"/>
      <c r="AB183" s="512"/>
      <c r="AC183" s="510"/>
      <c r="AD183" s="642"/>
      <c r="AE183" s="510"/>
      <c r="AF183" s="512"/>
      <c r="AG183" s="512"/>
      <c r="AH183" s="510"/>
      <c r="AI183" s="642"/>
      <c r="AJ183" s="510"/>
      <c r="AK183" s="512"/>
      <c r="AL183" s="512"/>
      <c r="AM183" s="510"/>
      <c r="AN183" s="642"/>
      <c r="AO183" s="510"/>
      <c r="AP183" s="512"/>
      <c r="AQ183" s="512"/>
      <c r="AR183" s="510"/>
      <c r="AS183" s="642"/>
      <c r="AT183" s="510"/>
      <c r="AU183" s="512"/>
      <c r="AV183" s="512"/>
      <c r="AW183" s="510"/>
      <c r="AX183" s="642"/>
      <c r="AZ183" s="368" t="e">
        <f t="shared" ref="AZ183:AZ211" si="51">RANK(AY183, AY$182:AY$211)</f>
        <v>#N/A</v>
      </c>
      <c r="BA183" s="642"/>
    </row>
    <row r="184" spans="2:53">
      <c r="B184" s="647"/>
      <c r="C184" s="303">
        <v>3</v>
      </c>
      <c r="D184" s="201"/>
      <c r="E184" s="517"/>
      <c r="F184" s="201"/>
      <c r="G184" s="199"/>
      <c r="H184" s="701"/>
      <c r="I184" s="363" t="str">
        <f t="shared" si="48"/>
        <v>-</v>
      </c>
      <c r="J184" s="363" t="str">
        <f t="shared" si="49"/>
        <v>-</v>
      </c>
      <c r="K184" s="199" t="str">
        <f t="shared" si="50"/>
        <v>-</v>
      </c>
      <c r="L184" s="657"/>
      <c r="M184" s="200" t="e">
        <f>RANK(K184, K$147:$K$176)</f>
        <v>#VALUE!</v>
      </c>
      <c r="N184" s="641"/>
      <c r="O184" s="641"/>
      <c r="P184" s="510"/>
      <c r="Q184" s="512"/>
      <c r="R184" s="512"/>
      <c r="S184" s="510"/>
      <c r="T184" s="642"/>
      <c r="U184" s="510"/>
      <c r="V184" s="512"/>
      <c r="W184" s="512"/>
      <c r="X184" s="510"/>
      <c r="Y184" s="642"/>
      <c r="Z184" s="510"/>
      <c r="AA184" s="512"/>
      <c r="AB184" s="512"/>
      <c r="AC184" s="510"/>
      <c r="AD184" s="642"/>
      <c r="AE184" s="510"/>
      <c r="AF184" s="512"/>
      <c r="AG184" s="512"/>
      <c r="AH184" s="510"/>
      <c r="AI184" s="642"/>
      <c r="AJ184" s="510"/>
      <c r="AK184" s="512"/>
      <c r="AL184" s="512"/>
      <c r="AM184" s="510"/>
      <c r="AN184" s="642"/>
      <c r="AO184" s="510"/>
      <c r="AP184" s="512"/>
      <c r="AQ184" s="512"/>
      <c r="AR184" s="510"/>
      <c r="AS184" s="642"/>
      <c r="AT184" s="510"/>
      <c r="AU184" s="512"/>
      <c r="AV184" s="512"/>
      <c r="AW184" s="510"/>
      <c r="AX184" s="642"/>
      <c r="AZ184" s="368" t="e">
        <f t="shared" si="51"/>
        <v>#N/A</v>
      </c>
      <c r="BA184" s="642"/>
    </row>
    <row r="185" spans="2:53">
      <c r="B185" s="647"/>
      <c r="C185" s="303">
        <v>4</v>
      </c>
      <c r="D185" s="201"/>
      <c r="E185" s="517"/>
      <c r="F185" s="201"/>
      <c r="G185" s="199"/>
      <c r="H185" s="701"/>
      <c r="I185" s="363" t="str">
        <f t="shared" si="48"/>
        <v>-</v>
      </c>
      <c r="J185" s="363" t="str">
        <f t="shared" si="49"/>
        <v>-</v>
      </c>
      <c r="K185" s="199" t="str">
        <f t="shared" si="50"/>
        <v>-</v>
      </c>
      <c r="L185" s="657"/>
      <c r="M185" s="200" t="e">
        <f>RANK(K185, K$147:$K$176)</f>
        <v>#VALUE!</v>
      </c>
      <c r="N185" s="641"/>
      <c r="O185" s="641"/>
      <c r="P185" s="510"/>
      <c r="Q185" s="512"/>
      <c r="R185" s="512"/>
      <c r="S185" s="510"/>
      <c r="T185" s="642"/>
      <c r="U185" s="510"/>
      <c r="V185" s="512"/>
      <c r="W185" s="512"/>
      <c r="X185" s="510"/>
      <c r="Y185" s="642"/>
      <c r="Z185" s="510"/>
      <c r="AA185" s="512"/>
      <c r="AB185" s="512"/>
      <c r="AC185" s="510"/>
      <c r="AD185" s="642"/>
      <c r="AE185" s="510"/>
      <c r="AF185" s="512"/>
      <c r="AG185" s="512"/>
      <c r="AH185" s="510"/>
      <c r="AI185" s="642"/>
      <c r="AJ185" s="510"/>
      <c r="AK185" s="512"/>
      <c r="AL185" s="512"/>
      <c r="AM185" s="510"/>
      <c r="AN185" s="642"/>
      <c r="AO185" s="510"/>
      <c r="AP185" s="512"/>
      <c r="AQ185" s="512"/>
      <c r="AR185" s="510"/>
      <c r="AS185" s="642"/>
      <c r="AT185" s="510"/>
      <c r="AU185" s="512"/>
      <c r="AV185" s="512"/>
      <c r="AW185" s="510"/>
      <c r="AX185" s="642"/>
      <c r="AZ185" s="368" t="e">
        <f t="shared" si="51"/>
        <v>#N/A</v>
      </c>
      <c r="BA185" s="642"/>
    </row>
    <row r="186" spans="2:53">
      <c r="B186" s="647"/>
      <c r="C186" s="303">
        <v>5</v>
      </c>
      <c r="D186" s="201"/>
      <c r="E186" s="517"/>
      <c r="F186" s="201"/>
      <c r="G186" s="199"/>
      <c r="H186" s="701"/>
      <c r="I186" s="363" t="str">
        <f t="shared" si="48"/>
        <v>-</v>
      </c>
      <c r="J186" s="363" t="str">
        <f t="shared" si="49"/>
        <v>-</v>
      </c>
      <c r="K186" s="199" t="str">
        <f t="shared" si="50"/>
        <v>-</v>
      </c>
      <c r="L186" s="657"/>
      <c r="M186" s="200" t="e">
        <f>RANK(K186, K$147:$K$176)</f>
        <v>#VALUE!</v>
      </c>
      <c r="N186" s="641"/>
      <c r="O186" s="641"/>
      <c r="P186" s="510"/>
      <c r="Q186" s="512"/>
      <c r="R186" s="512"/>
      <c r="S186" s="510"/>
      <c r="T186" s="642"/>
      <c r="U186" s="510"/>
      <c r="V186" s="512"/>
      <c r="W186" s="512"/>
      <c r="X186" s="510"/>
      <c r="Y186" s="642"/>
      <c r="Z186" s="510"/>
      <c r="AA186" s="512"/>
      <c r="AB186" s="512"/>
      <c r="AC186" s="510"/>
      <c r="AD186" s="642"/>
      <c r="AE186" s="510"/>
      <c r="AF186" s="512"/>
      <c r="AG186" s="512"/>
      <c r="AH186" s="510"/>
      <c r="AI186" s="642"/>
      <c r="AJ186" s="510"/>
      <c r="AK186" s="512"/>
      <c r="AL186" s="512"/>
      <c r="AM186" s="510"/>
      <c r="AN186" s="642"/>
      <c r="AO186" s="510"/>
      <c r="AP186" s="512"/>
      <c r="AQ186" s="512"/>
      <c r="AR186" s="510"/>
      <c r="AS186" s="642"/>
      <c r="AT186" s="510"/>
      <c r="AU186" s="512"/>
      <c r="AV186" s="512"/>
      <c r="AW186" s="510"/>
      <c r="AX186" s="642"/>
      <c r="AZ186" s="368" t="e">
        <f t="shared" si="51"/>
        <v>#N/A</v>
      </c>
      <c r="BA186" s="642"/>
    </row>
    <row r="187" spans="2:53">
      <c r="B187" s="647"/>
      <c r="C187" s="303">
        <v>6</v>
      </c>
      <c r="D187" s="201"/>
      <c r="E187" s="517"/>
      <c r="F187" s="201"/>
      <c r="G187" s="199"/>
      <c r="H187" s="701"/>
      <c r="I187" s="363" t="str">
        <f t="shared" si="48"/>
        <v>-</v>
      </c>
      <c r="J187" s="363" t="str">
        <f t="shared" si="49"/>
        <v>-</v>
      </c>
      <c r="K187" s="199" t="str">
        <f t="shared" si="50"/>
        <v>-</v>
      </c>
      <c r="L187" s="657"/>
      <c r="M187" s="200" t="e">
        <f>RANK(K187, K$147:$K$176)</f>
        <v>#VALUE!</v>
      </c>
      <c r="N187" s="641"/>
      <c r="O187" s="641"/>
      <c r="P187" s="510"/>
      <c r="Q187" s="512"/>
      <c r="R187" s="512"/>
      <c r="S187" s="510"/>
      <c r="T187" s="642"/>
      <c r="U187" s="510"/>
      <c r="V187" s="512"/>
      <c r="W187" s="512"/>
      <c r="X187" s="510"/>
      <c r="Y187" s="642"/>
      <c r="Z187" s="510"/>
      <c r="AA187" s="512"/>
      <c r="AB187" s="512"/>
      <c r="AC187" s="510"/>
      <c r="AD187" s="642"/>
      <c r="AE187" s="510"/>
      <c r="AF187" s="512"/>
      <c r="AG187" s="512"/>
      <c r="AH187" s="510"/>
      <c r="AI187" s="642"/>
      <c r="AJ187" s="510"/>
      <c r="AK187" s="512"/>
      <c r="AL187" s="512"/>
      <c r="AM187" s="510"/>
      <c r="AN187" s="642"/>
      <c r="AO187" s="510"/>
      <c r="AP187" s="512"/>
      <c r="AQ187" s="512"/>
      <c r="AR187" s="510"/>
      <c r="AS187" s="642"/>
      <c r="AT187" s="510"/>
      <c r="AU187" s="512"/>
      <c r="AV187" s="512"/>
      <c r="AW187" s="510"/>
      <c r="AX187" s="642"/>
      <c r="AZ187" s="368" t="e">
        <f t="shared" si="51"/>
        <v>#N/A</v>
      </c>
      <c r="BA187" s="642"/>
    </row>
    <row r="188" spans="2:53">
      <c r="B188" s="647"/>
      <c r="C188" s="303">
        <v>7</v>
      </c>
      <c r="D188" s="201"/>
      <c r="E188" s="517"/>
      <c r="F188" s="201"/>
      <c r="G188" s="199"/>
      <c r="H188" s="701"/>
      <c r="I188" s="363" t="str">
        <f t="shared" si="48"/>
        <v>-</v>
      </c>
      <c r="J188" s="363" t="str">
        <f t="shared" si="49"/>
        <v>-</v>
      </c>
      <c r="K188" s="199" t="str">
        <f t="shared" si="50"/>
        <v>-</v>
      </c>
      <c r="L188" s="657"/>
      <c r="M188" s="200" t="e">
        <f>RANK(K188, K$147:$K$176)</f>
        <v>#VALUE!</v>
      </c>
      <c r="N188" s="641"/>
      <c r="O188" s="641"/>
      <c r="P188" s="510"/>
      <c r="Q188" s="512"/>
      <c r="R188" s="512"/>
      <c r="S188" s="510"/>
      <c r="T188" s="642"/>
      <c r="U188" s="510"/>
      <c r="V188" s="512"/>
      <c r="W188" s="512"/>
      <c r="X188" s="510"/>
      <c r="Y188" s="642"/>
      <c r="Z188" s="510"/>
      <c r="AA188" s="512"/>
      <c r="AB188" s="512"/>
      <c r="AC188" s="510"/>
      <c r="AD188" s="642"/>
      <c r="AE188" s="510"/>
      <c r="AF188" s="512"/>
      <c r="AG188" s="512"/>
      <c r="AH188" s="510"/>
      <c r="AI188" s="642"/>
      <c r="AJ188" s="510"/>
      <c r="AK188" s="512"/>
      <c r="AL188" s="512"/>
      <c r="AM188" s="510"/>
      <c r="AN188" s="642"/>
      <c r="AO188" s="510"/>
      <c r="AP188" s="512"/>
      <c r="AQ188" s="512"/>
      <c r="AR188" s="510"/>
      <c r="AS188" s="642"/>
      <c r="AT188" s="510"/>
      <c r="AU188" s="512"/>
      <c r="AV188" s="512"/>
      <c r="AW188" s="510"/>
      <c r="AX188" s="642"/>
      <c r="AZ188" s="368" t="e">
        <f t="shared" si="51"/>
        <v>#N/A</v>
      </c>
      <c r="BA188" s="642"/>
    </row>
    <row r="189" spans="2:53">
      <c r="B189" s="647"/>
      <c r="C189" s="303">
        <v>8</v>
      </c>
      <c r="D189" s="201"/>
      <c r="E189" s="517"/>
      <c r="F189" s="201"/>
      <c r="G189" s="199"/>
      <c r="H189" s="701"/>
      <c r="I189" s="363" t="str">
        <f t="shared" si="48"/>
        <v>-</v>
      </c>
      <c r="J189" s="363" t="str">
        <f t="shared" si="49"/>
        <v>-</v>
      </c>
      <c r="K189" s="199" t="str">
        <f t="shared" si="50"/>
        <v>-</v>
      </c>
      <c r="L189" s="657"/>
      <c r="M189" s="200" t="e">
        <f>RANK(K189, K$147:$K$176)</f>
        <v>#VALUE!</v>
      </c>
      <c r="N189" s="641"/>
      <c r="O189" s="641"/>
      <c r="P189" s="510"/>
      <c r="Q189" s="512"/>
      <c r="R189" s="512"/>
      <c r="S189" s="510"/>
      <c r="T189" s="642"/>
      <c r="U189" s="510"/>
      <c r="V189" s="512"/>
      <c r="W189" s="512"/>
      <c r="X189" s="510"/>
      <c r="Y189" s="642"/>
      <c r="Z189" s="510"/>
      <c r="AA189" s="512"/>
      <c r="AB189" s="512"/>
      <c r="AC189" s="510"/>
      <c r="AD189" s="642"/>
      <c r="AE189" s="510"/>
      <c r="AF189" s="512"/>
      <c r="AG189" s="512"/>
      <c r="AH189" s="510"/>
      <c r="AI189" s="642"/>
      <c r="AJ189" s="510"/>
      <c r="AK189" s="512"/>
      <c r="AL189" s="512"/>
      <c r="AM189" s="510"/>
      <c r="AN189" s="642"/>
      <c r="AO189" s="510"/>
      <c r="AP189" s="512"/>
      <c r="AQ189" s="512"/>
      <c r="AR189" s="510"/>
      <c r="AS189" s="642"/>
      <c r="AT189" s="510"/>
      <c r="AU189" s="512"/>
      <c r="AV189" s="512"/>
      <c r="AW189" s="510"/>
      <c r="AX189" s="642"/>
      <c r="AZ189" s="368" t="e">
        <f t="shared" si="51"/>
        <v>#N/A</v>
      </c>
      <c r="BA189" s="642"/>
    </row>
    <row r="190" spans="2:53">
      <c r="B190" s="647"/>
      <c r="C190" s="303">
        <v>9</v>
      </c>
      <c r="D190" s="201"/>
      <c r="E190" s="517"/>
      <c r="F190" s="201"/>
      <c r="G190" s="199"/>
      <c r="H190" s="701"/>
      <c r="I190" s="363" t="str">
        <f t="shared" si="48"/>
        <v>-</v>
      </c>
      <c r="J190" s="363" t="str">
        <f t="shared" si="49"/>
        <v>-</v>
      </c>
      <c r="K190" s="199" t="str">
        <f t="shared" si="50"/>
        <v>-</v>
      </c>
      <c r="L190" s="657"/>
      <c r="M190" s="200" t="e">
        <f>RANK(K190, K$147:$K$176)</f>
        <v>#VALUE!</v>
      </c>
      <c r="N190" s="641"/>
      <c r="O190" s="641"/>
      <c r="P190" s="510"/>
      <c r="Q190" s="512"/>
      <c r="R190" s="512"/>
      <c r="S190" s="510"/>
      <c r="T190" s="642"/>
      <c r="U190" s="510"/>
      <c r="V190" s="512"/>
      <c r="W190" s="512"/>
      <c r="X190" s="510"/>
      <c r="Y190" s="642"/>
      <c r="Z190" s="510"/>
      <c r="AA190" s="512"/>
      <c r="AB190" s="512"/>
      <c r="AC190" s="510"/>
      <c r="AD190" s="642"/>
      <c r="AE190" s="510"/>
      <c r="AF190" s="512"/>
      <c r="AG190" s="512"/>
      <c r="AH190" s="510"/>
      <c r="AI190" s="642"/>
      <c r="AJ190" s="510"/>
      <c r="AK190" s="512"/>
      <c r="AL190" s="512"/>
      <c r="AM190" s="510"/>
      <c r="AN190" s="642"/>
      <c r="AO190" s="510"/>
      <c r="AP190" s="512"/>
      <c r="AQ190" s="512"/>
      <c r="AR190" s="510"/>
      <c r="AS190" s="642"/>
      <c r="AT190" s="510"/>
      <c r="AU190" s="512"/>
      <c r="AV190" s="512"/>
      <c r="AW190" s="510"/>
      <c r="AX190" s="642"/>
      <c r="AZ190" s="368" t="e">
        <f t="shared" si="51"/>
        <v>#N/A</v>
      </c>
      <c r="BA190" s="642"/>
    </row>
    <row r="191" spans="2:53">
      <c r="B191" s="647"/>
      <c r="C191" s="303">
        <v>10</v>
      </c>
      <c r="D191" s="201"/>
      <c r="E191" s="517"/>
      <c r="F191" s="201"/>
      <c r="G191" s="199"/>
      <c r="H191" s="701"/>
      <c r="I191" s="363" t="str">
        <f t="shared" si="48"/>
        <v>-</v>
      </c>
      <c r="J191" s="363" t="str">
        <f t="shared" si="49"/>
        <v>-</v>
      </c>
      <c r="K191" s="199" t="str">
        <f t="shared" si="50"/>
        <v>-</v>
      </c>
      <c r="L191" s="657"/>
      <c r="M191" s="200" t="e">
        <f>RANK(K191, K$147:$K$176)</f>
        <v>#VALUE!</v>
      </c>
      <c r="N191" s="641"/>
      <c r="O191" s="641"/>
      <c r="P191" s="510"/>
      <c r="Q191" s="512"/>
      <c r="R191" s="512"/>
      <c r="S191" s="510"/>
      <c r="T191" s="642"/>
      <c r="U191" s="510"/>
      <c r="V191" s="512"/>
      <c r="W191" s="512"/>
      <c r="X191" s="510"/>
      <c r="Y191" s="642"/>
      <c r="Z191" s="510"/>
      <c r="AA191" s="512"/>
      <c r="AB191" s="512"/>
      <c r="AC191" s="510"/>
      <c r="AD191" s="642"/>
      <c r="AE191" s="510"/>
      <c r="AF191" s="512"/>
      <c r="AG191" s="512"/>
      <c r="AH191" s="510"/>
      <c r="AI191" s="642"/>
      <c r="AJ191" s="510"/>
      <c r="AK191" s="512"/>
      <c r="AL191" s="512"/>
      <c r="AM191" s="510"/>
      <c r="AN191" s="642"/>
      <c r="AO191" s="510"/>
      <c r="AP191" s="512"/>
      <c r="AQ191" s="512"/>
      <c r="AR191" s="510"/>
      <c r="AS191" s="642"/>
      <c r="AT191" s="510"/>
      <c r="AU191" s="512"/>
      <c r="AV191" s="512"/>
      <c r="AW191" s="510"/>
      <c r="AX191" s="642"/>
      <c r="AZ191" s="368" t="e">
        <f t="shared" si="51"/>
        <v>#N/A</v>
      </c>
      <c r="BA191" s="642"/>
    </row>
    <row r="192" spans="2:53">
      <c r="B192" s="647"/>
      <c r="C192" s="303">
        <v>11</v>
      </c>
      <c r="D192" s="201"/>
      <c r="E192" s="517"/>
      <c r="F192" s="201"/>
      <c r="G192" s="199"/>
      <c r="H192" s="701"/>
      <c r="I192" s="363" t="str">
        <f t="shared" si="48"/>
        <v>-</v>
      </c>
      <c r="J192" s="363" t="str">
        <f t="shared" si="49"/>
        <v>-</v>
      </c>
      <c r="K192" s="199" t="str">
        <f t="shared" si="50"/>
        <v>-</v>
      </c>
      <c r="L192" s="657"/>
      <c r="M192" s="200" t="e">
        <f>RANK(K192, K$147:$K$176)</f>
        <v>#VALUE!</v>
      </c>
      <c r="N192" s="641"/>
      <c r="O192" s="641"/>
      <c r="P192" s="510"/>
      <c r="Q192" s="512"/>
      <c r="R192" s="512"/>
      <c r="S192" s="510"/>
      <c r="T192" s="642"/>
      <c r="U192" s="510"/>
      <c r="V192" s="512"/>
      <c r="W192" s="512"/>
      <c r="X192" s="510"/>
      <c r="Y192" s="642"/>
      <c r="Z192" s="510"/>
      <c r="AA192" s="512"/>
      <c r="AB192" s="512"/>
      <c r="AC192" s="510"/>
      <c r="AD192" s="642"/>
      <c r="AE192" s="510"/>
      <c r="AF192" s="512"/>
      <c r="AG192" s="512"/>
      <c r="AH192" s="510"/>
      <c r="AI192" s="642"/>
      <c r="AJ192" s="510"/>
      <c r="AK192" s="512"/>
      <c r="AL192" s="512"/>
      <c r="AM192" s="510"/>
      <c r="AN192" s="642"/>
      <c r="AO192" s="510"/>
      <c r="AP192" s="512"/>
      <c r="AQ192" s="512"/>
      <c r="AR192" s="510"/>
      <c r="AS192" s="642"/>
      <c r="AT192" s="510"/>
      <c r="AU192" s="512"/>
      <c r="AV192" s="512"/>
      <c r="AW192" s="510"/>
      <c r="AX192" s="642"/>
      <c r="AZ192" s="368" t="e">
        <f t="shared" si="51"/>
        <v>#N/A</v>
      </c>
      <c r="BA192" s="642"/>
    </row>
    <row r="193" spans="2:53">
      <c r="B193" s="647"/>
      <c r="C193" s="303">
        <v>12</v>
      </c>
      <c r="D193" s="201"/>
      <c r="E193" s="517"/>
      <c r="F193" s="201"/>
      <c r="G193" s="199"/>
      <c r="H193" s="701"/>
      <c r="I193" s="363" t="str">
        <f t="shared" si="48"/>
        <v>-</v>
      </c>
      <c r="J193" s="363" t="str">
        <f t="shared" si="49"/>
        <v>-</v>
      </c>
      <c r="K193" s="199" t="str">
        <f t="shared" si="50"/>
        <v>-</v>
      </c>
      <c r="L193" s="657"/>
      <c r="M193" s="200" t="e">
        <f>RANK(K193, K$147:$K$176)</f>
        <v>#VALUE!</v>
      </c>
      <c r="N193" s="641"/>
      <c r="O193" s="641"/>
      <c r="P193" s="510"/>
      <c r="Q193" s="512"/>
      <c r="R193" s="512"/>
      <c r="S193" s="510"/>
      <c r="T193" s="642"/>
      <c r="U193" s="510"/>
      <c r="V193" s="512"/>
      <c r="W193" s="512"/>
      <c r="X193" s="510"/>
      <c r="Y193" s="642"/>
      <c r="Z193" s="510"/>
      <c r="AA193" s="512"/>
      <c r="AB193" s="512"/>
      <c r="AC193" s="510"/>
      <c r="AD193" s="642"/>
      <c r="AE193" s="510"/>
      <c r="AF193" s="512"/>
      <c r="AG193" s="512"/>
      <c r="AH193" s="510"/>
      <c r="AI193" s="642"/>
      <c r="AJ193" s="510"/>
      <c r="AK193" s="512"/>
      <c r="AL193" s="512"/>
      <c r="AM193" s="510"/>
      <c r="AN193" s="642"/>
      <c r="AO193" s="510"/>
      <c r="AP193" s="512"/>
      <c r="AQ193" s="512"/>
      <c r="AR193" s="510"/>
      <c r="AS193" s="642"/>
      <c r="AT193" s="510"/>
      <c r="AU193" s="512"/>
      <c r="AV193" s="512"/>
      <c r="AW193" s="510"/>
      <c r="AX193" s="642"/>
      <c r="AZ193" s="368" t="e">
        <f t="shared" si="51"/>
        <v>#N/A</v>
      </c>
      <c r="BA193" s="642"/>
    </row>
    <row r="194" spans="2:53">
      <c r="B194" s="647"/>
      <c r="C194" s="303">
        <v>13</v>
      </c>
      <c r="D194" s="201"/>
      <c r="E194" s="517"/>
      <c r="F194" s="201"/>
      <c r="G194" s="199"/>
      <c r="H194" s="701"/>
      <c r="I194" s="363" t="str">
        <f t="shared" si="48"/>
        <v>-</v>
      </c>
      <c r="J194" s="363" t="str">
        <f t="shared" si="49"/>
        <v>-</v>
      </c>
      <c r="K194" s="199" t="str">
        <f t="shared" si="50"/>
        <v>-</v>
      </c>
      <c r="L194" s="657"/>
      <c r="M194" s="200" t="e">
        <f>RANK(K194, K$147:$K$176)</f>
        <v>#VALUE!</v>
      </c>
      <c r="N194" s="641"/>
      <c r="O194" s="641"/>
      <c r="P194" s="510"/>
      <c r="Q194" s="512"/>
      <c r="R194" s="512"/>
      <c r="S194" s="510"/>
      <c r="T194" s="642"/>
      <c r="U194" s="510"/>
      <c r="V194" s="512"/>
      <c r="W194" s="512"/>
      <c r="X194" s="510"/>
      <c r="Y194" s="642"/>
      <c r="Z194" s="510"/>
      <c r="AA194" s="512"/>
      <c r="AB194" s="512"/>
      <c r="AC194" s="510"/>
      <c r="AD194" s="642"/>
      <c r="AE194" s="510"/>
      <c r="AF194" s="512"/>
      <c r="AG194" s="512"/>
      <c r="AH194" s="510"/>
      <c r="AI194" s="642"/>
      <c r="AJ194" s="510"/>
      <c r="AK194" s="512"/>
      <c r="AL194" s="512"/>
      <c r="AM194" s="510"/>
      <c r="AN194" s="642"/>
      <c r="AO194" s="510"/>
      <c r="AP194" s="512"/>
      <c r="AQ194" s="512"/>
      <c r="AR194" s="510"/>
      <c r="AS194" s="642"/>
      <c r="AT194" s="510"/>
      <c r="AU194" s="512"/>
      <c r="AV194" s="512"/>
      <c r="AW194" s="510"/>
      <c r="AX194" s="642"/>
      <c r="AZ194" s="368" t="e">
        <f t="shared" si="51"/>
        <v>#N/A</v>
      </c>
      <c r="BA194" s="642"/>
    </row>
    <row r="195" spans="2:53">
      <c r="B195" s="647"/>
      <c r="C195" s="303">
        <v>14</v>
      </c>
      <c r="D195" s="201"/>
      <c r="E195" s="517"/>
      <c r="F195" s="201"/>
      <c r="G195" s="199"/>
      <c r="H195" s="701"/>
      <c r="I195" s="363" t="str">
        <f t="shared" si="48"/>
        <v>-</v>
      </c>
      <c r="J195" s="363" t="str">
        <f t="shared" si="49"/>
        <v>-</v>
      </c>
      <c r="K195" s="199" t="str">
        <f t="shared" si="50"/>
        <v>-</v>
      </c>
      <c r="L195" s="657"/>
      <c r="M195" s="200" t="e">
        <f>RANK(K195, K$147:$K$176)</f>
        <v>#VALUE!</v>
      </c>
      <c r="N195" s="641"/>
      <c r="O195" s="641"/>
      <c r="P195" s="510"/>
      <c r="Q195" s="512"/>
      <c r="R195" s="512"/>
      <c r="S195" s="510"/>
      <c r="T195" s="642"/>
      <c r="U195" s="510"/>
      <c r="V195" s="512"/>
      <c r="W195" s="512"/>
      <c r="X195" s="510"/>
      <c r="Y195" s="642"/>
      <c r="Z195" s="510"/>
      <c r="AA195" s="512"/>
      <c r="AB195" s="512"/>
      <c r="AC195" s="510"/>
      <c r="AD195" s="642"/>
      <c r="AE195" s="510"/>
      <c r="AF195" s="512"/>
      <c r="AG195" s="512"/>
      <c r="AH195" s="510"/>
      <c r="AI195" s="642"/>
      <c r="AJ195" s="510"/>
      <c r="AK195" s="512"/>
      <c r="AL195" s="512"/>
      <c r="AM195" s="510"/>
      <c r="AN195" s="642"/>
      <c r="AO195" s="510"/>
      <c r="AP195" s="512"/>
      <c r="AQ195" s="512"/>
      <c r="AR195" s="510"/>
      <c r="AS195" s="642"/>
      <c r="AT195" s="510"/>
      <c r="AU195" s="512"/>
      <c r="AV195" s="512"/>
      <c r="AW195" s="510"/>
      <c r="AX195" s="642"/>
      <c r="AZ195" s="368" t="e">
        <f t="shared" si="51"/>
        <v>#N/A</v>
      </c>
      <c r="BA195" s="642"/>
    </row>
    <row r="196" spans="2:53">
      <c r="B196" s="647"/>
      <c r="C196" s="303">
        <v>15</v>
      </c>
      <c r="D196" s="201"/>
      <c r="E196" s="517"/>
      <c r="F196" s="201"/>
      <c r="G196" s="199"/>
      <c r="H196" s="701"/>
      <c r="I196" s="363" t="str">
        <f t="shared" si="48"/>
        <v>-</v>
      </c>
      <c r="J196" s="363" t="str">
        <f t="shared" si="49"/>
        <v>-</v>
      </c>
      <c r="K196" s="199" t="str">
        <f t="shared" si="50"/>
        <v>-</v>
      </c>
      <c r="L196" s="657"/>
      <c r="M196" s="198" t="e">
        <f>RANK(K196, K$147:$K$176)</f>
        <v>#VALUE!</v>
      </c>
      <c r="N196" s="641"/>
      <c r="O196" s="641"/>
      <c r="P196" s="510"/>
      <c r="Q196" s="512"/>
      <c r="R196" s="512"/>
      <c r="S196" s="510"/>
      <c r="T196" s="642"/>
      <c r="U196" s="510"/>
      <c r="V196" s="512"/>
      <c r="W196" s="512"/>
      <c r="X196" s="510"/>
      <c r="Y196" s="642"/>
      <c r="Z196" s="510"/>
      <c r="AA196" s="512"/>
      <c r="AB196" s="512"/>
      <c r="AC196" s="510"/>
      <c r="AD196" s="642"/>
      <c r="AE196" s="510"/>
      <c r="AF196" s="512"/>
      <c r="AG196" s="512"/>
      <c r="AH196" s="510"/>
      <c r="AI196" s="642"/>
      <c r="AJ196" s="510"/>
      <c r="AK196" s="512"/>
      <c r="AL196" s="512"/>
      <c r="AM196" s="510"/>
      <c r="AN196" s="642"/>
      <c r="AO196" s="510"/>
      <c r="AP196" s="512"/>
      <c r="AQ196" s="512"/>
      <c r="AR196" s="510"/>
      <c r="AS196" s="642"/>
      <c r="AT196" s="510"/>
      <c r="AU196" s="512"/>
      <c r="AV196" s="512"/>
      <c r="AW196" s="510"/>
      <c r="AX196" s="642"/>
      <c r="AZ196" s="368" t="e">
        <f t="shared" si="51"/>
        <v>#N/A</v>
      </c>
      <c r="BA196" s="642"/>
    </row>
    <row r="197" spans="2:53">
      <c r="B197" s="647"/>
      <c r="C197" s="303">
        <v>16</v>
      </c>
      <c r="D197" s="201"/>
      <c r="E197" s="517"/>
      <c r="F197" s="201"/>
      <c r="G197" s="199"/>
      <c r="H197" s="701"/>
      <c r="I197" s="363" t="str">
        <f t="shared" si="48"/>
        <v>-</v>
      </c>
      <c r="J197" s="363" t="str">
        <f t="shared" si="49"/>
        <v>-</v>
      </c>
      <c r="K197" s="199" t="str">
        <f t="shared" si="50"/>
        <v>-</v>
      </c>
      <c r="L197" s="657"/>
      <c r="M197" s="198" t="e">
        <f>RANK(K197, K$147:$K$176)</f>
        <v>#VALUE!</v>
      </c>
      <c r="N197" s="641"/>
      <c r="O197" s="641"/>
      <c r="P197" s="510"/>
      <c r="Q197" s="512"/>
      <c r="R197" s="512"/>
      <c r="S197" s="510"/>
      <c r="T197" s="642"/>
      <c r="U197" s="510"/>
      <c r="V197" s="512"/>
      <c r="W197" s="512"/>
      <c r="X197" s="510"/>
      <c r="Y197" s="642"/>
      <c r="Z197" s="510"/>
      <c r="AA197" s="512"/>
      <c r="AB197" s="512"/>
      <c r="AC197" s="510"/>
      <c r="AD197" s="642"/>
      <c r="AE197" s="510"/>
      <c r="AF197" s="512"/>
      <c r="AG197" s="512"/>
      <c r="AH197" s="510"/>
      <c r="AI197" s="642"/>
      <c r="AJ197" s="510"/>
      <c r="AK197" s="512"/>
      <c r="AL197" s="512"/>
      <c r="AM197" s="510"/>
      <c r="AN197" s="642"/>
      <c r="AO197" s="510"/>
      <c r="AP197" s="512"/>
      <c r="AQ197" s="512"/>
      <c r="AR197" s="510"/>
      <c r="AS197" s="642"/>
      <c r="AT197" s="510"/>
      <c r="AU197" s="512"/>
      <c r="AV197" s="512"/>
      <c r="AW197" s="510"/>
      <c r="AX197" s="642"/>
      <c r="AZ197" s="368" t="e">
        <f t="shared" si="51"/>
        <v>#N/A</v>
      </c>
      <c r="BA197" s="642"/>
    </row>
    <row r="198" spans="2:53">
      <c r="B198" s="647"/>
      <c r="C198" s="303">
        <v>17</v>
      </c>
      <c r="D198" s="201"/>
      <c r="E198" s="517"/>
      <c r="F198" s="201"/>
      <c r="G198" s="199"/>
      <c r="H198" s="701"/>
      <c r="I198" s="363" t="str">
        <f t="shared" si="48"/>
        <v>-</v>
      </c>
      <c r="J198" s="363" t="str">
        <f t="shared" si="49"/>
        <v>-</v>
      </c>
      <c r="K198" s="199" t="str">
        <f t="shared" si="50"/>
        <v>-</v>
      </c>
      <c r="L198" s="657"/>
      <c r="M198" s="198" t="e">
        <f>RANK(K198, K$147:$K$176)</f>
        <v>#VALUE!</v>
      </c>
      <c r="N198" s="641"/>
      <c r="O198" s="641"/>
      <c r="P198" s="510"/>
      <c r="Q198" s="512"/>
      <c r="R198" s="512"/>
      <c r="S198" s="510"/>
      <c r="T198" s="642"/>
      <c r="U198" s="510"/>
      <c r="V198" s="512"/>
      <c r="W198" s="512"/>
      <c r="X198" s="510"/>
      <c r="Y198" s="642"/>
      <c r="Z198" s="510"/>
      <c r="AA198" s="512"/>
      <c r="AB198" s="512"/>
      <c r="AC198" s="510"/>
      <c r="AD198" s="642"/>
      <c r="AE198" s="510"/>
      <c r="AF198" s="512"/>
      <c r="AG198" s="512"/>
      <c r="AH198" s="510"/>
      <c r="AI198" s="642"/>
      <c r="AJ198" s="510"/>
      <c r="AK198" s="512"/>
      <c r="AL198" s="512"/>
      <c r="AM198" s="510"/>
      <c r="AN198" s="642"/>
      <c r="AO198" s="510"/>
      <c r="AP198" s="512"/>
      <c r="AQ198" s="512"/>
      <c r="AR198" s="510"/>
      <c r="AS198" s="642"/>
      <c r="AT198" s="510"/>
      <c r="AU198" s="512"/>
      <c r="AV198" s="512"/>
      <c r="AW198" s="510"/>
      <c r="AX198" s="642"/>
      <c r="AZ198" s="368" t="e">
        <f t="shared" si="51"/>
        <v>#N/A</v>
      </c>
      <c r="BA198" s="642"/>
    </row>
    <row r="199" spans="2:53">
      <c r="B199" s="647"/>
      <c r="C199" s="303">
        <v>18</v>
      </c>
      <c r="D199" s="201"/>
      <c r="E199" s="517"/>
      <c r="F199" s="201"/>
      <c r="G199" s="199"/>
      <c r="H199" s="701"/>
      <c r="I199" s="363" t="str">
        <f t="shared" si="48"/>
        <v>-</v>
      </c>
      <c r="J199" s="363" t="str">
        <f t="shared" si="49"/>
        <v>-</v>
      </c>
      <c r="K199" s="199" t="str">
        <f t="shared" si="50"/>
        <v>-</v>
      </c>
      <c r="L199" s="657"/>
      <c r="M199" s="198" t="e">
        <f>RANK(K199, K$147:$K$176)</f>
        <v>#VALUE!</v>
      </c>
      <c r="N199" s="641"/>
      <c r="O199" s="641"/>
      <c r="P199" s="510"/>
      <c r="Q199" s="512"/>
      <c r="R199" s="512"/>
      <c r="S199" s="510"/>
      <c r="T199" s="642"/>
      <c r="U199" s="510"/>
      <c r="V199" s="512"/>
      <c r="W199" s="512"/>
      <c r="X199" s="510"/>
      <c r="Y199" s="642"/>
      <c r="Z199" s="510"/>
      <c r="AA199" s="512"/>
      <c r="AB199" s="512"/>
      <c r="AC199" s="510"/>
      <c r="AD199" s="642"/>
      <c r="AE199" s="510"/>
      <c r="AF199" s="512"/>
      <c r="AG199" s="512"/>
      <c r="AH199" s="510"/>
      <c r="AI199" s="642"/>
      <c r="AJ199" s="510"/>
      <c r="AK199" s="512"/>
      <c r="AL199" s="512"/>
      <c r="AM199" s="510"/>
      <c r="AN199" s="642"/>
      <c r="AO199" s="510"/>
      <c r="AP199" s="512"/>
      <c r="AQ199" s="512"/>
      <c r="AR199" s="510"/>
      <c r="AS199" s="642"/>
      <c r="AT199" s="510"/>
      <c r="AU199" s="512"/>
      <c r="AV199" s="512"/>
      <c r="AW199" s="510"/>
      <c r="AX199" s="642"/>
      <c r="AZ199" s="368" t="e">
        <f t="shared" si="51"/>
        <v>#N/A</v>
      </c>
      <c r="BA199" s="642"/>
    </row>
    <row r="200" spans="2:53">
      <c r="B200" s="647"/>
      <c r="C200" s="303">
        <v>19</v>
      </c>
      <c r="D200" s="201"/>
      <c r="E200" s="517"/>
      <c r="F200" s="201"/>
      <c r="G200" s="199"/>
      <c r="H200" s="701"/>
      <c r="I200" s="363" t="str">
        <f t="shared" si="48"/>
        <v>-</v>
      </c>
      <c r="J200" s="363" t="str">
        <f t="shared" si="49"/>
        <v>-</v>
      </c>
      <c r="K200" s="199" t="str">
        <f t="shared" si="50"/>
        <v>-</v>
      </c>
      <c r="L200" s="657"/>
      <c r="M200" s="198" t="e">
        <f>RANK(K200, K$147:$K$176)</f>
        <v>#VALUE!</v>
      </c>
      <c r="N200" s="641"/>
      <c r="O200" s="641"/>
      <c r="P200" s="510"/>
      <c r="Q200" s="512"/>
      <c r="R200" s="512"/>
      <c r="S200" s="510"/>
      <c r="T200" s="642"/>
      <c r="U200" s="510"/>
      <c r="V200" s="512"/>
      <c r="W200" s="512"/>
      <c r="X200" s="510"/>
      <c r="Y200" s="642"/>
      <c r="Z200" s="510"/>
      <c r="AA200" s="512"/>
      <c r="AB200" s="512"/>
      <c r="AC200" s="510"/>
      <c r="AD200" s="642"/>
      <c r="AE200" s="510"/>
      <c r="AF200" s="512"/>
      <c r="AG200" s="512"/>
      <c r="AH200" s="510"/>
      <c r="AI200" s="642"/>
      <c r="AJ200" s="510"/>
      <c r="AK200" s="512"/>
      <c r="AL200" s="512"/>
      <c r="AM200" s="510"/>
      <c r="AN200" s="642"/>
      <c r="AO200" s="510"/>
      <c r="AP200" s="512"/>
      <c r="AQ200" s="512"/>
      <c r="AR200" s="510"/>
      <c r="AS200" s="642"/>
      <c r="AT200" s="510"/>
      <c r="AU200" s="512"/>
      <c r="AV200" s="512"/>
      <c r="AW200" s="510"/>
      <c r="AX200" s="642"/>
      <c r="AZ200" s="368" t="e">
        <f t="shared" si="51"/>
        <v>#N/A</v>
      </c>
      <c r="BA200" s="642"/>
    </row>
    <row r="201" spans="2:53">
      <c r="B201" s="647"/>
      <c r="C201" s="303">
        <v>20</v>
      </c>
      <c r="D201" s="201"/>
      <c r="E201" s="517"/>
      <c r="F201" s="201"/>
      <c r="G201" s="199"/>
      <c r="H201" s="701"/>
      <c r="I201" s="363" t="str">
        <f t="shared" si="48"/>
        <v>-</v>
      </c>
      <c r="J201" s="363" t="str">
        <f t="shared" si="49"/>
        <v>-</v>
      </c>
      <c r="K201" s="199" t="str">
        <f t="shared" si="50"/>
        <v>-</v>
      </c>
      <c r="L201" s="657"/>
      <c r="M201" s="198" t="e">
        <f>RANK(K201, K$147:$K$176)</f>
        <v>#VALUE!</v>
      </c>
      <c r="N201" s="641"/>
      <c r="O201" s="641"/>
      <c r="P201" s="510"/>
      <c r="Q201" s="512"/>
      <c r="R201" s="512"/>
      <c r="S201" s="510"/>
      <c r="T201" s="642"/>
      <c r="U201" s="510"/>
      <c r="V201" s="512"/>
      <c r="W201" s="512"/>
      <c r="X201" s="510"/>
      <c r="Y201" s="642"/>
      <c r="Z201" s="510"/>
      <c r="AA201" s="512"/>
      <c r="AB201" s="512"/>
      <c r="AC201" s="510"/>
      <c r="AD201" s="642"/>
      <c r="AE201" s="510"/>
      <c r="AF201" s="512"/>
      <c r="AG201" s="512"/>
      <c r="AH201" s="510"/>
      <c r="AI201" s="642"/>
      <c r="AJ201" s="510"/>
      <c r="AK201" s="512"/>
      <c r="AL201" s="512"/>
      <c r="AM201" s="510"/>
      <c r="AN201" s="642"/>
      <c r="AO201" s="510"/>
      <c r="AP201" s="512"/>
      <c r="AQ201" s="512"/>
      <c r="AR201" s="510"/>
      <c r="AS201" s="642"/>
      <c r="AT201" s="510"/>
      <c r="AU201" s="512"/>
      <c r="AV201" s="512"/>
      <c r="AW201" s="510"/>
      <c r="AX201" s="642"/>
      <c r="AZ201" s="368" t="e">
        <f t="shared" si="51"/>
        <v>#N/A</v>
      </c>
      <c r="BA201" s="642"/>
    </row>
    <row r="202" spans="2:53">
      <c r="B202" s="647"/>
      <c r="C202" s="303">
        <v>21</v>
      </c>
      <c r="D202" s="201"/>
      <c r="E202" s="517"/>
      <c r="F202" s="201"/>
      <c r="G202" s="199"/>
      <c r="H202" s="701"/>
      <c r="I202" s="363" t="str">
        <f t="shared" si="48"/>
        <v>-</v>
      </c>
      <c r="J202" s="363" t="str">
        <f t="shared" si="49"/>
        <v>-</v>
      </c>
      <c r="K202" s="199" t="str">
        <f t="shared" si="50"/>
        <v>-</v>
      </c>
      <c r="L202" s="657"/>
      <c r="M202" s="198" t="e">
        <f>RANK(K202, K$147:$K$176)</f>
        <v>#VALUE!</v>
      </c>
      <c r="N202" s="641"/>
      <c r="O202" s="641"/>
      <c r="P202" s="510"/>
      <c r="Q202" s="512"/>
      <c r="R202" s="512"/>
      <c r="S202" s="510"/>
      <c r="T202" s="642"/>
      <c r="U202" s="510"/>
      <c r="V202" s="512"/>
      <c r="W202" s="512"/>
      <c r="X202" s="510"/>
      <c r="Y202" s="642"/>
      <c r="Z202" s="510"/>
      <c r="AA202" s="512"/>
      <c r="AB202" s="512"/>
      <c r="AC202" s="510"/>
      <c r="AD202" s="642"/>
      <c r="AE202" s="510"/>
      <c r="AF202" s="512"/>
      <c r="AG202" s="512"/>
      <c r="AH202" s="510"/>
      <c r="AI202" s="642"/>
      <c r="AJ202" s="510"/>
      <c r="AK202" s="512"/>
      <c r="AL202" s="512"/>
      <c r="AM202" s="510"/>
      <c r="AN202" s="642"/>
      <c r="AO202" s="510"/>
      <c r="AP202" s="512"/>
      <c r="AQ202" s="512"/>
      <c r="AR202" s="510"/>
      <c r="AS202" s="642"/>
      <c r="AT202" s="510"/>
      <c r="AU202" s="512"/>
      <c r="AV202" s="512"/>
      <c r="AW202" s="510"/>
      <c r="AX202" s="642"/>
      <c r="AZ202" s="368" t="e">
        <f t="shared" si="51"/>
        <v>#N/A</v>
      </c>
      <c r="BA202" s="642"/>
    </row>
    <row r="203" spans="2:53">
      <c r="B203" s="647"/>
      <c r="C203" s="303">
        <v>22</v>
      </c>
      <c r="D203" s="201"/>
      <c r="E203" s="517"/>
      <c r="F203" s="201"/>
      <c r="G203" s="199"/>
      <c r="H203" s="701"/>
      <c r="I203" s="363" t="str">
        <f t="shared" si="48"/>
        <v>-</v>
      </c>
      <c r="J203" s="363" t="str">
        <f t="shared" si="49"/>
        <v>-</v>
      </c>
      <c r="K203" s="199" t="str">
        <f t="shared" si="50"/>
        <v>-</v>
      </c>
      <c r="L203" s="657"/>
      <c r="M203" s="198" t="e">
        <f>RANK(K203, K$147:$K$176)</f>
        <v>#VALUE!</v>
      </c>
      <c r="N203" s="641"/>
      <c r="O203" s="641"/>
      <c r="P203" s="510"/>
      <c r="Q203" s="512"/>
      <c r="R203" s="512"/>
      <c r="S203" s="510"/>
      <c r="T203" s="642"/>
      <c r="U203" s="510"/>
      <c r="V203" s="512"/>
      <c r="W203" s="512"/>
      <c r="X203" s="510"/>
      <c r="Y203" s="642"/>
      <c r="Z203" s="510"/>
      <c r="AA203" s="512"/>
      <c r="AB203" s="512"/>
      <c r="AC203" s="510"/>
      <c r="AD203" s="642"/>
      <c r="AE203" s="510"/>
      <c r="AF203" s="512"/>
      <c r="AG203" s="512"/>
      <c r="AH203" s="510"/>
      <c r="AI203" s="642"/>
      <c r="AJ203" s="510"/>
      <c r="AK203" s="512"/>
      <c r="AL203" s="512"/>
      <c r="AM203" s="510"/>
      <c r="AN203" s="642"/>
      <c r="AO203" s="510"/>
      <c r="AP203" s="512"/>
      <c r="AQ203" s="512"/>
      <c r="AR203" s="510"/>
      <c r="AS203" s="642"/>
      <c r="AT203" s="510"/>
      <c r="AU203" s="512"/>
      <c r="AV203" s="512"/>
      <c r="AW203" s="510"/>
      <c r="AX203" s="642"/>
      <c r="AZ203" s="368" t="e">
        <f t="shared" si="51"/>
        <v>#N/A</v>
      </c>
      <c r="BA203" s="642"/>
    </row>
    <row r="204" spans="2:53">
      <c r="B204" s="647"/>
      <c r="C204" s="303">
        <v>23</v>
      </c>
      <c r="D204" s="201"/>
      <c r="E204" s="517"/>
      <c r="F204" s="201"/>
      <c r="G204" s="199"/>
      <c r="H204" s="701"/>
      <c r="I204" s="363" t="str">
        <f t="shared" si="48"/>
        <v>-</v>
      </c>
      <c r="J204" s="363" t="str">
        <f t="shared" si="49"/>
        <v>-</v>
      </c>
      <c r="K204" s="199" t="str">
        <f t="shared" si="50"/>
        <v>-</v>
      </c>
      <c r="L204" s="657"/>
      <c r="M204" s="198" t="e">
        <f>RANK(K204, K$147:$K$176)</f>
        <v>#VALUE!</v>
      </c>
      <c r="N204" s="641"/>
      <c r="O204" s="641"/>
      <c r="P204" s="510"/>
      <c r="Q204" s="512"/>
      <c r="R204" s="512"/>
      <c r="S204" s="510"/>
      <c r="T204" s="642"/>
      <c r="U204" s="510"/>
      <c r="V204" s="512"/>
      <c r="W204" s="512"/>
      <c r="X204" s="510"/>
      <c r="Y204" s="642"/>
      <c r="Z204" s="510"/>
      <c r="AA204" s="512"/>
      <c r="AB204" s="512"/>
      <c r="AC204" s="510"/>
      <c r="AD204" s="642"/>
      <c r="AE204" s="510"/>
      <c r="AF204" s="512"/>
      <c r="AG204" s="512"/>
      <c r="AH204" s="510"/>
      <c r="AI204" s="642"/>
      <c r="AJ204" s="510"/>
      <c r="AK204" s="512"/>
      <c r="AL204" s="512"/>
      <c r="AM204" s="510"/>
      <c r="AN204" s="642"/>
      <c r="AO204" s="510"/>
      <c r="AP204" s="512"/>
      <c r="AQ204" s="512"/>
      <c r="AR204" s="510"/>
      <c r="AS204" s="642"/>
      <c r="AT204" s="510"/>
      <c r="AU204" s="512"/>
      <c r="AV204" s="512"/>
      <c r="AW204" s="510"/>
      <c r="AX204" s="642"/>
      <c r="AZ204" s="368" t="e">
        <f t="shared" si="51"/>
        <v>#N/A</v>
      </c>
      <c r="BA204" s="642"/>
    </row>
    <row r="205" spans="2:53">
      <c r="B205" s="647"/>
      <c r="C205" s="303">
        <v>24</v>
      </c>
      <c r="D205" s="201"/>
      <c r="E205" s="517"/>
      <c r="F205" s="201"/>
      <c r="G205" s="199"/>
      <c r="H205" s="701"/>
      <c r="I205" s="363" t="str">
        <f t="shared" si="48"/>
        <v>-</v>
      </c>
      <c r="J205" s="363" t="str">
        <f t="shared" si="49"/>
        <v>-</v>
      </c>
      <c r="K205" s="199" t="str">
        <f t="shared" si="50"/>
        <v>-</v>
      </c>
      <c r="L205" s="657"/>
      <c r="M205" s="198" t="e">
        <f>RANK(K205, K$147:$K$176)</f>
        <v>#VALUE!</v>
      </c>
      <c r="N205" s="641"/>
      <c r="O205" s="641"/>
      <c r="P205" s="510"/>
      <c r="Q205" s="512"/>
      <c r="R205" s="512"/>
      <c r="S205" s="510"/>
      <c r="T205" s="642"/>
      <c r="U205" s="510"/>
      <c r="V205" s="512"/>
      <c r="W205" s="512"/>
      <c r="X205" s="510"/>
      <c r="Y205" s="642"/>
      <c r="Z205" s="510"/>
      <c r="AA205" s="512"/>
      <c r="AB205" s="512"/>
      <c r="AC205" s="510"/>
      <c r="AD205" s="642"/>
      <c r="AE205" s="510"/>
      <c r="AF205" s="512"/>
      <c r="AG205" s="512"/>
      <c r="AH205" s="510"/>
      <c r="AI205" s="642"/>
      <c r="AJ205" s="510"/>
      <c r="AK205" s="512"/>
      <c r="AL205" s="512"/>
      <c r="AM205" s="510"/>
      <c r="AN205" s="642"/>
      <c r="AO205" s="510"/>
      <c r="AP205" s="512"/>
      <c r="AQ205" s="512"/>
      <c r="AR205" s="510"/>
      <c r="AS205" s="642"/>
      <c r="AT205" s="510"/>
      <c r="AU205" s="512"/>
      <c r="AV205" s="512"/>
      <c r="AW205" s="510"/>
      <c r="AX205" s="642"/>
      <c r="AZ205" s="368" t="e">
        <f t="shared" si="51"/>
        <v>#N/A</v>
      </c>
      <c r="BA205" s="642"/>
    </row>
    <row r="206" spans="2:53">
      <c r="B206" s="647"/>
      <c r="C206" s="303">
        <v>25</v>
      </c>
      <c r="D206" s="201"/>
      <c r="E206" s="517"/>
      <c r="F206" s="201"/>
      <c r="G206" s="199"/>
      <c r="H206" s="701"/>
      <c r="I206" s="363" t="str">
        <f t="shared" si="48"/>
        <v>-</v>
      </c>
      <c r="J206" s="363" t="str">
        <f t="shared" si="49"/>
        <v>-</v>
      </c>
      <c r="K206" s="199" t="str">
        <f t="shared" si="50"/>
        <v>-</v>
      </c>
      <c r="L206" s="657"/>
      <c r="M206" s="198" t="e">
        <f>RANK(K206, K$147:$K$176)</f>
        <v>#VALUE!</v>
      </c>
      <c r="N206" s="641"/>
      <c r="O206" s="641"/>
      <c r="P206" s="510"/>
      <c r="Q206" s="512"/>
      <c r="R206" s="512"/>
      <c r="S206" s="510"/>
      <c r="T206" s="642"/>
      <c r="U206" s="510"/>
      <c r="V206" s="512"/>
      <c r="W206" s="512"/>
      <c r="X206" s="510"/>
      <c r="Y206" s="642"/>
      <c r="Z206" s="510"/>
      <c r="AA206" s="512"/>
      <c r="AB206" s="512"/>
      <c r="AC206" s="510"/>
      <c r="AD206" s="642"/>
      <c r="AE206" s="510"/>
      <c r="AF206" s="512"/>
      <c r="AG206" s="512"/>
      <c r="AH206" s="510"/>
      <c r="AI206" s="642"/>
      <c r="AJ206" s="510"/>
      <c r="AK206" s="512"/>
      <c r="AL206" s="512"/>
      <c r="AM206" s="510"/>
      <c r="AN206" s="642"/>
      <c r="AO206" s="510"/>
      <c r="AP206" s="512"/>
      <c r="AQ206" s="512"/>
      <c r="AR206" s="510"/>
      <c r="AS206" s="642"/>
      <c r="AT206" s="510"/>
      <c r="AU206" s="512"/>
      <c r="AV206" s="512"/>
      <c r="AW206" s="510"/>
      <c r="AX206" s="642"/>
      <c r="AZ206" s="368" t="e">
        <f t="shared" si="51"/>
        <v>#N/A</v>
      </c>
      <c r="BA206" s="642"/>
    </row>
    <row r="207" spans="2:53">
      <c r="B207" s="647"/>
      <c r="C207" s="303">
        <v>26</v>
      </c>
      <c r="D207" s="201"/>
      <c r="E207" s="517"/>
      <c r="F207" s="201"/>
      <c r="G207" s="199"/>
      <c r="H207" s="701"/>
      <c r="I207" s="363" t="str">
        <f t="shared" si="48"/>
        <v>-</v>
      </c>
      <c r="J207" s="363" t="str">
        <f t="shared" si="49"/>
        <v>-</v>
      </c>
      <c r="K207" s="199" t="str">
        <f t="shared" si="50"/>
        <v>-</v>
      </c>
      <c r="L207" s="657"/>
      <c r="M207" s="198" t="e">
        <f>RANK(K207, K$147:$K$176)</f>
        <v>#VALUE!</v>
      </c>
      <c r="N207" s="641"/>
      <c r="O207" s="641"/>
      <c r="P207" s="510"/>
      <c r="Q207" s="512"/>
      <c r="R207" s="512"/>
      <c r="S207" s="510"/>
      <c r="T207" s="642"/>
      <c r="U207" s="510"/>
      <c r="V207" s="512"/>
      <c r="W207" s="512"/>
      <c r="X207" s="510"/>
      <c r="Y207" s="642"/>
      <c r="Z207" s="510"/>
      <c r="AA207" s="512"/>
      <c r="AB207" s="512"/>
      <c r="AC207" s="510"/>
      <c r="AD207" s="642"/>
      <c r="AE207" s="510"/>
      <c r="AF207" s="512"/>
      <c r="AG207" s="512"/>
      <c r="AH207" s="510"/>
      <c r="AI207" s="642"/>
      <c r="AJ207" s="510"/>
      <c r="AK207" s="512"/>
      <c r="AL207" s="512"/>
      <c r="AM207" s="510"/>
      <c r="AN207" s="642"/>
      <c r="AO207" s="510"/>
      <c r="AP207" s="512"/>
      <c r="AQ207" s="512"/>
      <c r="AR207" s="510"/>
      <c r="AS207" s="642"/>
      <c r="AT207" s="510"/>
      <c r="AU207" s="512"/>
      <c r="AV207" s="512"/>
      <c r="AW207" s="510"/>
      <c r="AX207" s="642"/>
      <c r="AZ207" s="368" t="e">
        <f t="shared" si="51"/>
        <v>#N/A</v>
      </c>
      <c r="BA207" s="642"/>
    </row>
    <row r="208" spans="2:53">
      <c r="B208" s="647"/>
      <c r="C208" s="303">
        <v>27</v>
      </c>
      <c r="D208" s="201"/>
      <c r="E208" s="517"/>
      <c r="F208" s="201"/>
      <c r="G208" s="199"/>
      <c r="H208" s="701"/>
      <c r="I208" s="363" t="str">
        <f t="shared" si="48"/>
        <v>-</v>
      </c>
      <c r="J208" s="363" t="str">
        <f t="shared" si="49"/>
        <v>-</v>
      </c>
      <c r="K208" s="199" t="str">
        <f t="shared" si="50"/>
        <v>-</v>
      </c>
      <c r="L208" s="657"/>
      <c r="M208" s="198" t="e">
        <f>RANK(K208, K$147:$K$176)</f>
        <v>#VALUE!</v>
      </c>
      <c r="N208" s="641"/>
      <c r="O208" s="641"/>
      <c r="P208" s="510"/>
      <c r="Q208" s="512"/>
      <c r="R208" s="512"/>
      <c r="S208" s="510"/>
      <c r="T208" s="642"/>
      <c r="U208" s="510"/>
      <c r="V208" s="512"/>
      <c r="W208" s="512"/>
      <c r="X208" s="510"/>
      <c r="Y208" s="642"/>
      <c r="Z208" s="510"/>
      <c r="AA208" s="512"/>
      <c r="AB208" s="512"/>
      <c r="AC208" s="510"/>
      <c r="AD208" s="642"/>
      <c r="AE208" s="510"/>
      <c r="AF208" s="512"/>
      <c r="AG208" s="512"/>
      <c r="AH208" s="510"/>
      <c r="AI208" s="642"/>
      <c r="AJ208" s="510"/>
      <c r="AK208" s="512"/>
      <c r="AL208" s="512"/>
      <c r="AM208" s="510"/>
      <c r="AN208" s="642"/>
      <c r="AO208" s="510"/>
      <c r="AP208" s="512"/>
      <c r="AQ208" s="512"/>
      <c r="AR208" s="510"/>
      <c r="AS208" s="642"/>
      <c r="AT208" s="510"/>
      <c r="AU208" s="512"/>
      <c r="AV208" s="512"/>
      <c r="AW208" s="510"/>
      <c r="AX208" s="642"/>
      <c r="AZ208" s="368" t="e">
        <f t="shared" si="51"/>
        <v>#N/A</v>
      </c>
      <c r="BA208" s="642"/>
    </row>
    <row r="209" spans="2:53">
      <c r="B209" s="647"/>
      <c r="C209" s="303">
        <v>28</v>
      </c>
      <c r="D209" s="201"/>
      <c r="E209" s="517"/>
      <c r="F209" s="201"/>
      <c r="G209" s="199"/>
      <c r="H209" s="701"/>
      <c r="I209" s="363" t="str">
        <f t="shared" si="48"/>
        <v>-</v>
      </c>
      <c r="J209" s="363" t="str">
        <f t="shared" si="49"/>
        <v>-</v>
      </c>
      <c r="K209" s="199" t="str">
        <f t="shared" si="50"/>
        <v>-</v>
      </c>
      <c r="L209" s="657"/>
      <c r="M209" s="198" t="e">
        <f>RANK(K209, K$147:$K$176)</f>
        <v>#VALUE!</v>
      </c>
      <c r="N209" s="641"/>
      <c r="O209" s="641"/>
      <c r="P209" s="510"/>
      <c r="Q209" s="512"/>
      <c r="R209" s="512"/>
      <c r="S209" s="510"/>
      <c r="T209" s="642"/>
      <c r="U209" s="510"/>
      <c r="V209" s="512"/>
      <c r="W209" s="512"/>
      <c r="X209" s="510"/>
      <c r="Y209" s="642"/>
      <c r="Z209" s="510"/>
      <c r="AA209" s="512"/>
      <c r="AB209" s="512"/>
      <c r="AC209" s="510"/>
      <c r="AD209" s="642"/>
      <c r="AE209" s="510"/>
      <c r="AF209" s="512"/>
      <c r="AG209" s="512"/>
      <c r="AH209" s="510"/>
      <c r="AI209" s="642"/>
      <c r="AJ209" s="510"/>
      <c r="AK209" s="512"/>
      <c r="AL209" s="512"/>
      <c r="AM209" s="510"/>
      <c r="AN209" s="642"/>
      <c r="AO209" s="510"/>
      <c r="AP209" s="512"/>
      <c r="AQ209" s="512"/>
      <c r="AR209" s="510"/>
      <c r="AS209" s="642"/>
      <c r="AT209" s="510"/>
      <c r="AU209" s="512"/>
      <c r="AV209" s="512"/>
      <c r="AW209" s="510"/>
      <c r="AX209" s="642"/>
      <c r="AZ209" s="368" t="e">
        <f t="shared" si="51"/>
        <v>#N/A</v>
      </c>
      <c r="BA209" s="642"/>
    </row>
    <row r="210" spans="2:53">
      <c r="B210" s="647"/>
      <c r="C210" s="303">
        <v>29</v>
      </c>
      <c r="D210" s="201"/>
      <c r="E210" s="517"/>
      <c r="F210" s="201"/>
      <c r="G210" s="199"/>
      <c r="H210" s="701"/>
      <c r="I210" s="363" t="str">
        <f t="shared" si="48"/>
        <v>-</v>
      </c>
      <c r="J210" s="363" t="str">
        <f t="shared" si="49"/>
        <v>-</v>
      </c>
      <c r="K210" s="199" t="str">
        <f t="shared" si="50"/>
        <v>-</v>
      </c>
      <c r="L210" s="657"/>
      <c r="M210" s="198" t="e">
        <f>RANK(K210, K$147:$K$176)</f>
        <v>#VALUE!</v>
      </c>
      <c r="N210" s="641"/>
      <c r="O210" s="641"/>
      <c r="P210" s="510"/>
      <c r="Q210" s="512"/>
      <c r="R210" s="512"/>
      <c r="S210" s="510"/>
      <c r="T210" s="642"/>
      <c r="U210" s="510"/>
      <c r="V210" s="512"/>
      <c r="W210" s="512"/>
      <c r="X210" s="510"/>
      <c r="Y210" s="642"/>
      <c r="Z210" s="510"/>
      <c r="AA210" s="512"/>
      <c r="AB210" s="512"/>
      <c r="AC210" s="510"/>
      <c r="AD210" s="642"/>
      <c r="AE210" s="510"/>
      <c r="AF210" s="512"/>
      <c r="AG210" s="512"/>
      <c r="AH210" s="510"/>
      <c r="AI210" s="642"/>
      <c r="AJ210" s="510"/>
      <c r="AK210" s="512"/>
      <c r="AL210" s="512"/>
      <c r="AM210" s="510"/>
      <c r="AN210" s="642"/>
      <c r="AO210" s="510"/>
      <c r="AP210" s="512"/>
      <c r="AQ210" s="512"/>
      <c r="AR210" s="510"/>
      <c r="AS210" s="642"/>
      <c r="AT210" s="510"/>
      <c r="AU210" s="512"/>
      <c r="AV210" s="512"/>
      <c r="AW210" s="510"/>
      <c r="AX210" s="642"/>
      <c r="AZ210" s="368" t="e">
        <f t="shared" si="51"/>
        <v>#N/A</v>
      </c>
      <c r="BA210" s="642"/>
    </row>
    <row r="211" spans="2:53">
      <c r="B211" s="647"/>
      <c r="C211" s="303">
        <v>30</v>
      </c>
      <c r="D211" s="201"/>
      <c r="E211" s="517"/>
      <c r="F211" s="201"/>
      <c r="G211" s="199"/>
      <c r="H211" s="702"/>
      <c r="I211" s="363" t="str">
        <f t="shared" si="48"/>
        <v>-</v>
      </c>
      <c r="J211" s="363" t="str">
        <f t="shared" si="49"/>
        <v>-</v>
      </c>
      <c r="K211" s="199" t="str">
        <f t="shared" si="50"/>
        <v>-</v>
      </c>
      <c r="L211" s="658"/>
      <c r="M211" s="198" t="e">
        <f>RANK(K211, K$147:$K$176)</f>
        <v>#VALUE!</v>
      </c>
      <c r="N211" s="641"/>
      <c r="O211" s="641"/>
      <c r="P211" s="510"/>
      <c r="Q211" s="512"/>
      <c r="R211" s="512"/>
      <c r="S211" s="510"/>
      <c r="T211" s="642"/>
      <c r="U211" s="510"/>
      <c r="V211" s="512"/>
      <c r="W211" s="512"/>
      <c r="X211" s="510"/>
      <c r="Y211" s="642"/>
      <c r="Z211" s="510"/>
      <c r="AA211" s="512"/>
      <c r="AB211" s="512"/>
      <c r="AC211" s="510"/>
      <c r="AD211" s="642"/>
      <c r="AE211" s="510"/>
      <c r="AF211" s="512"/>
      <c r="AG211" s="512"/>
      <c r="AH211" s="510"/>
      <c r="AI211" s="642"/>
      <c r="AJ211" s="510"/>
      <c r="AK211" s="512"/>
      <c r="AL211" s="512"/>
      <c r="AM211" s="510"/>
      <c r="AN211" s="642"/>
      <c r="AO211" s="510"/>
      <c r="AP211" s="512"/>
      <c r="AQ211" s="512"/>
      <c r="AR211" s="510"/>
      <c r="AS211" s="642"/>
      <c r="AT211" s="510"/>
      <c r="AU211" s="512"/>
      <c r="AV211" s="512"/>
      <c r="AW211" s="510"/>
      <c r="AX211" s="642"/>
      <c r="AZ211" s="368" t="e">
        <f t="shared" si="51"/>
        <v>#N/A</v>
      </c>
      <c r="BA211" s="642"/>
    </row>
    <row r="213" spans="2:53" ht="15.75">
      <c r="B213" s="649" t="s">
        <v>472</v>
      </c>
      <c r="C213" s="650"/>
      <c r="D213" s="650"/>
      <c r="E213" s="650"/>
      <c r="F213" s="650"/>
      <c r="G213" s="650"/>
      <c r="H213" s="651"/>
      <c r="I213" s="307"/>
      <c r="J213" s="307"/>
      <c r="K213" s="307"/>
      <c r="L213" s="307"/>
      <c r="M213" s="308"/>
    </row>
    <row r="214" spans="2:53" ht="15.75">
      <c r="B214" s="652"/>
      <c r="C214" s="652"/>
      <c r="D214" s="652"/>
      <c r="E214" s="652"/>
      <c r="F214" s="652"/>
      <c r="G214" s="652"/>
      <c r="H214" s="652"/>
      <c r="I214" s="309"/>
      <c r="J214" s="309"/>
      <c r="K214" s="309"/>
      <c r="L214" s="309"/>
      <c r="M214" s="310"/>
    </row>
    <row r="215" spans="2:53">
      <c r="B215" s="641" t="s">
        <v>473</v>
      </c>
      <c r="C215" s="641" t="s">
        <v>474</v>
      </c>
      <c r="D215" s="641"/>
      <c r="E215" s="641" t="s">
        <v>475</v>
      </c>
      <c r="F215" s="641"/>
      <c r="G215" s="641"/>
      <c r="H215" s="641" t="s">
        <v>476</v>
      </c>
      <c r="I215" s="653" t="s">
        <v>477</v>
      </c>
      <c r="J215" s="653"/>
      <c r="K215" s="653"/>
      <c r="L215" s="653" t="s">
        <v>476</v>
      </c>
      <c r="M215" s="653" t="s">
        <v>478</v>
      </c>
    </row>
    <row r="216" spans="2:53">
      <c r="B216" s="641"/>
      <c r="C216" s="641"/>
      <c r="D216" s="641"/>
      <c r="E216" s="641" t="s">
        <v>479</v>
      </c>
      <c r="F216" s="641"/>
      <c r="G216" s="641"/>
      <c r="H216" s="641"/>
      <c r="I216" s="653" t="s">
        <v>479</v>
      </c>
      <c r="J216" s="653"/>
      <c r="K216" s="653"/>
      <c r="L216" s="653"/>
      <c r="M216" s="653"/>
    </row>
    <row r="217" spans="2:53">
      <c r="B217" s="641"/>
      <c r="C217" s="641"/>
      <c r="D217" s="641"/>
      <c r="E217" s="304" t="s">
        <v>480</v>
      </c>
      <c r="F217" s="304" t="s">
        <v>481</v>
      </c>
      <c r="G217" s="304" t="s">
        <v>482</v>
      </c>
      <c r="H217" s="641"/>
      <c r="I217" s="311" t="s">
        <v>480</v>
      </c>
      <c r="J217" s="311" t="s">
        <v>481</v>
      </c>
      <c r="K217" s="311" t="s">
        <v>482</v>
      </c>
      <c r="L217" s="653"/>
      <c r="M217" s="653"/>
    </row>
    <row r="218" spans="2:53">
      <c r="B218" s="641" t="s">
        <v>487</v>
      </c>
      <c r="C218" s="303">
        <v>1</v>
      </c>
      <c r="D218" s="303"/>
      <c r="E218" s="181"/>
      <c r="F218" s="303"/>
      <c r="G218" s="306"/>
      <c r="H218" s="642" t="e">
        <f>AVERAGE(G218:G247)</f>
        <v>#DIV/0!</v>
      </c>
      <c r="I218" s="198" t="e">
        <f t="shared" ref="I218:J241" si="52">AVERAGEIF($D$7:$D$211,$D218,I$7:I$211)</f>
        <v>#DIV/0!</v>
      </c>
      <c r="J218" s="198" t="e">
        <f t="shared" si="52"/>
        <v>#DIV/0!</v>
      </c>
      <c r="K218" s="198" t="e">
        <f t="shared" ref="K218:K241" si="53">AVERAGEIF($D$7:$D$211,$D218,K$7:K$211)</f>
        <v>#DIV/0!</v>
      </c>
      <c r="L218" s="648" t="e">
        <f>AVERAGE(K218:K247)</f>
        <v>#DIV/0!</v>
      </c>
      <c r="M218" s="198" t="e">
        <f>RANK(K218, K$218:$K$247)</f>
        <v>#DIV/0!</v>
      </c>
    </row>
    <row r="219" spans="2:53">
      <c r="B219" s="647"/>
      <c r="C219" s="303">
        <v>2</v>
      </c>
      <c r="D219" s="303"/>
      <c r="E219" s="181"/>
      <c r="F219" s="303"/>
      <c r="G219" s="306"/>
      <c r="H219" s="642"/>
      <c r="I219" s="198" t="e">
        <f t="shared" si="52"/>
        <v>#DIV/0!</v>
      </c>
      <c r="J219" s="198" t="e">
        <f t="shared" si="52"/>
        <v>#DIV/0!</v>
      </c>
      <c r="K219" s="198" t="e">
        <f t="shared" si="53"/>
        <v>#DIV/0!</v>
      </c>
      <c r="L219" s="648"/>
      <c r="M219" s="198" t="e">
        <f>RANK(K219, K$218:$K$247)</f>
        <v>#DIV/0!</v>
      </c>
    </row>
    <row r="220" spans="2:53">
      <c r="B220" s="647"/>
      <c r="C220" s="303">
        <v>3</v>
      </c>
      <c r="D220" s="303"/>
      <c r="E220" s="181"/>
      <c r="F220" s="303"/>
      <c r="G220" s="306"/>
      <c r="H220" s="642"/>
      <c r="I220" s="198" t="e">
        <f t="shared" si="52"/>
        <v>#DIV/0!</v>
      </c>
      <c r="J220" s="198" t="e">
        <f t="shared" si="52"/>
        <v>#DIV/0!</v>
      </c>
      <c r="K220" s="198" t="e">
        <f t="shared" si="53"/>
        <v>#DIV/0!</v>
      </c>
      <c r="L220" s="648"/>
      <c r="M220" s="198" t="e">
        <f>RANK(K220, K$218:$K$247)</f>
        <v>#DIV/0!</v>
      </c>
    </row>
    <row r="221" spans="2:53">
      <c r="B221" s="647"/>
      <c r="C221" s="303">
        <v>4</v>
      </c>
      <c r="D221" s="303"/>
      <c r="E221" s="181"/>
      <c r="F221" s="303"/>
      <c r="G221" s="306"/>
      <c r="H221" s="642"/>
      <c r="I221" s="198" t="e">
        <f t="shared" si="52"/>
        <v>#DIV/0!</v>
      </c>
      <c r="J221" s="198" t="e">
        <f t="shared" si="52"/>
        <v>#DIV/0!</v>
      </c>
      <c r="K221" s="198" t="e">
        <f t="shared" si="53"/>
        <v>#DIV/0!</v>
      </c>
      <c r="L221" s="648"/>
      <c r="M221" s="198" t="e">
        <f>RANK(K221, K$218:$K$247)</f>
        <v>#DIV/0!</v>
      </c>
    </row>
    <row r="222" spans="2:53">
      <c r="B222" s="647"/>
      <c r="C222" s="303">
        <v>5</v>
      </c>
      <c r="D222" s="303"/>
      <c r="E222" s="181"/>
      <c r="F222" s="303"/>
      <c r="G222" s="306"/>
      <c r="H222" s="642"/>
      <c r="I222" s="198" t="e">
        <f t="shared" si="52"/>
        <v>#DIV/0!</v>
      </c>
      <c r="J222" s="198" t="e">
        <f t="shared" si="52"/>
        <v>#DIV/0!</v>
      </c>
      <c r="K222" s="198" t="e">
        <f t="shared" si="53"/>
        <v>#DIV/0!</v>
      </c>
      <c r="L222" s="648"/>
      <c r="M222" s="198" t="e">
        <f>RANK(K222, K$218:$K$247)</f>
        <v>#DIV/0!</v>
      </c>
    </row>
    <row r="223" spans="2:53">
      <c r="B223" s="647"/>
      <c r="C223" s="303">
        <v>6</v>
      </c>
      <c r="D223" s="303"/>
      <c r="E223" s="181"/>
      <c r="F223" s="303"/>
      <c r="G223" s="306"/>
      <c r="H223" s="642"/>
      <c r="I223" s="198" t="e">
        <f t="shared" si="52"/>
        <v>#DIV/0!</v>
      </c>
      <c r="J223" s="198" t="e">
        <f t="shared" si="52"/>
        <v>#DIV/0!</v>
      </c>
      <c r="K223" s="198" t="e">
        <f t="shared" si="53"/>
        <v>#DIV/0!</v>
      </c>
      <c r="L223" s="648"/>
      <c r="M223" s="198" t="e">
        <f>RANK(K223, K$218:$K$247)</f>
        <v>#DIV/0!</v>
      </c>
    </row>
    <row r="224" spans="2:53">
      <c r="B224" s="647"/>
      <c r="C224" s="303">
        <v>7</v>
      </c>
      <c r="D224" s="303"/>
      <c r="E224" s="181"/>
      <c r="F224" s="303"/>
      <c r="G224" s="306"/>
      <c r="H224" s="642"/>
      <c r="I224" s="198" t="e">
        <f t="shared" si="52"/>
        <v>#DIV/0!</v>
      </c>
      <c r="J224" s="198" t="e">
        <f t="shared" si="52"/>
        <v>#DIV/0!</v>
      </c>
      <c r="K224" s="198" t="e">
        <f t="shared" si="53"/>
        <v>#DIV/0!</v>
      </c>
      <c r="L224" s="648"/>
      <c r="M224" s="198" t="e">
        <f>RANK(K224, K$218:$K$247)</f>
        <v>#DIV/0!</v>
      </c>
    </row>
    <row r="225" spans="2:39">
      <c r="B225" s="647"/>
      <c r="C225" s="303">
        <v>8</v>
      </c>
      <c r="D225" s="303"/>
      <c r="E225" s="181"/>
      <c r="F225" s="303"/>
      <c r="G225" s="306"/>
      <c r="H225" s="642"/>
      <c r="I225" s="198" t="e">
        <f t="shared" si="52"/>
        <v>#DIV/0!</v>
      </c>
      <c r="J225" s="198" t="e">
        <f t="shared" si="52"/>
        <v>#DIV/0!</v>
      </c>
      <c r="K225" s="198" t="e">
        <f t="shared" si="53"/>
        <v>#DIV/0!</v>
      </c>
      <c r="L225" s="648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47"/>
      <c r="C226" s="303">
        <v>9</v>
      </c>
      <c r="D226" s="303"/>
      <c r="E226" s="181"/>
      <c r="F226" s="303"/>
      <c r="G226" s="306"/>
      <c r="H226" s="642"/>
      <c r="I226" s="198" t="e">
        <f t="shared" si="52"/>
        <v>#DIV/0!</v>
      </c>
      <c r="J226" s="198" t="e">
        <f t="shared" si="52"/>
        <v>#DIV/0!</v>
      </c>
      <c r="K226" s="198" t="e">
        <f t="shared" si="53"/>
        <v>#DIV/0!</v>
      </c>
      <c r="L226" s="648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47"/>
      <c r="C227" s="303">
        <v>10</v>
      </c>
      <c r="D227" s="303"/>
      <c r="E227" s="181"/>
      <c r="F227" s="303"/>
      <c r="G227" s="306"/>
      <c r="H227" s="642"/>
      <c r="I227" s="198" t="e">
        <f t="shared" si="52"/>
        <v>#DIV/0!</v>
      </c>
      <c r="J227" s="198" t="e">
        <f t="shared" si="52"/>
        <v>#DIV/0!</v>
      </c>
      <c r="K227" s="198" t="e">
        <f t="shared" si="53"/>
        <v>#DIV/0!</v>
      </c>
      <c r="L227" s="648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47"/>
      <c r="C228" s="303">
        <v>11</v>
      </c>
      <c r="D228" s="303"/>
      <c r="E228" s="181"/>
      <c r="F228" s="303"/>
      <c r="G228" s="306"/>
      <c r="H228" s="642"/>
      <c r="I228" s="198" t="e">
        <f t="shared" si="52"/>
        <v>#DIV/0!</v>
      </c>
      <c r="J228" s="198" t="e">
        <f t="shared" si="52"/>
        <v>#DIV/0!</v>
      </c>
      <c r="K228" s="198" t="e">
        <f t="shared" si="53"/>
        <v>#DIV/0!</v>
      </c>
      <c r="L228" s="648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47"/>
      <c r="C229" s="303">
        <v>12</v>
      </c>
      <c r="D229" s="303"/>
      <c r="E229" s="181"/>
      <c r="F229" s="303"/>
      <c r="G229" s="306"/>
      <c r="H229" s="642"/>
      <c r="I229" s="198" t="e">
        <f t="shared" si="52"/>
        <v>#DIV/0!</v>
      </c>
      <c r="J229" s="198" t="e">
        <f t="shared" si="52"/>
        <v>#DIV/0!</v>
      </c>
      <c r="K229" s="198" t="e">
        <f t="shared" si="53"/>
        <v>#DIV/0!</v>
      </c>
      <c r="L229" s="648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47"/>
      <c r="C230" s="303">
        <v>13</v>
      </c>
      <c r="D230" s="303"/>
      <c r="E230" s="181"/>
      <c r="F230" s="303"/>
      <c r="G230" s="306"/>
      <c r="H230" s="642"/>
      <c r="I230" s="198" t="e">
        <f t="shared" si="52"/>
        <v>#DIV/0!</v>
      </c>
      <c r="J230" s="198" t="e">
        <f t="shared" si="52"/>
        <v>#DIV/0!</v>
      </c>
      <c r="K230" s="198" t="e">
        <f t="shared" si="53"/>
        <v>#DIV/0!</v>
      </c>
      <c r="L230" s="648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47"/>
      <c r="C231" s="303">
        <v>14</v>
      </c>
      <c r="D231" s="303"/>
      <c r="E231" s="181"/>
      <c r="F231" s="303"/>
      <c r="G231" s="306"/>
      <c r="H231" s="642"/>
      <c r="I231" s="198" t="e">
        <f t="shared" si="52"/>
        <v>#DIV/0!</v>
      </c>
      <c r="J231" s="198" t="e">
        <f t="shared" si="52"/>
        <v>#DIV/0!</v>
      </c>
      <c r="K231" s="198" t="e">
        <f t="shared" si="53"/>
        <v>#DIV/0!</v>
      </c>
      <c r="L231" s="648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47"/>
      <c r="C232" s="303">
        <v>15</v>
      </c>
      <c r="D232" s="303"/>
      <c r="E232" s="181"/>
      <c r="F232" s="303"/>
      <c r="G232" s="306"/>
      <c r="H232" s="642"/>
      <c r="I232" s="198" t="e">
        <f t="shared" si="52"/>
        <v>#DIV/0!</v>
      </c>
      <c r="J232" s="198" t="e">
        <f t="shared" si="52"/>
        <v>#DIV/0!</v>
      </c>
      <c r="K232" s="198" t="e">
        <f t="shared" si="53"/>
        <v>#DIV/0!</v>
      </c>
      <c r="L232" s="648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47"/>
      <c r="C233" s="303">
        <v>16</v>
      </c>
      <c r="D233" s="303"/>
      <c r="E233" s="181"/>
      <c r="F233" s="303"/>
      <c r="G233" s="306"/>
      <c r="H233" s="642"/>
      <c r="I233" s="198" t="e">
        <f t="shared" si="52"/>
        <v>#DIV/0!</v>
      </c>
      <c r="J233" s="198" t="e">
        <f t="shared" si="52"/>
        <v>#DIV/0!</v>
      </c>
      <c r="K233" s="198" t="e">
        <f t="shared" si="53"/>
        <v>#DIV/0!</v>
      </c>
      <c r="L233" s="648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47"/>
      <c r="C234" s="303">
        <v>17</v>
      </c>
      <c r="D234" s="303"/>
      <c r="E234" s="181"/>
      <c r="F234" s="303"/>
      <c r="G234" s="306"/>
      <c r="H234" s="642"/>
      <c r="I234" s="198" t="e">
        <f t="shared" si="52"/>
        <v>#DIV/0!</v>
      </c>
      <c r="J234" s="198" t="e">
        <f t="shared" si="52"/>
        <v>#DIV/0!</v>
      </c>
      <c r="K234" s="198" t="e">
        <f t="shared" si="53"/>
        <v>#DIV/0!</v>
      </c>
      <c r="L234" s="648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47"/>
      <c r="C235" s="303">
        <v>18</v>
      </c>
      <c r="D235" s="303"/>
      <c r="E235" s="181"/>
      <c r="F235" s="303"/>
      <c r="G235" s="306"/>
      <c r="H235" s="642"/>
      <c r="I235" s="198" t="e">
        <f t="shared" si="52"/>
        <v>#DIV/0!</v>
      </c>
      <c r="J235" s="198" t="e">
        <f t="shared" si="52"/>
        <v>#DIV/0!</v>
      </c>
      <c r="K235" s="198" t="e">
        <f t="shared" si="53"/>
        <v>#DIV/0!</v>
      </c>
      <c r="L235" s="648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47"/>
      <c r="C236" s="303">
        <v>19</v>
      </c>
      <c r="D236" s="303"/>
      <c r="E236" s="181"/>
      <c r="F236" s="303"/>
      <c r="G236" s="306"/>
      <c r="H236" s="642"/>
      <c r="I236" s="198" t="e">
        <f t="shared" si="52"/>
        <v>#DIV/0!</v>
      </c>
      <c r="J236" s="198" t="e">
        <f t="shared" si="52"/>
        <v>#DIV/0!</v>
      </c>
      <c r="K236" s="198" t="e">
        <f t="shared" si="53"/>
        <v>#DIV/0!</v>
      </c>
      <c r="L236" s="648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47"/>
      <c r="C237" s="303">
        <v>20</v>
      </c>
      <c r="D237" s="303"/>
      <c r="E237" s="181"/>
      <c r="F237" s="303"/>
      <c r="G237" s="306"/>
      <c r="H237" s="642"/>
      <c r="I237" s="198" t="e">
        <f t="shared" si="52"/>
        <v>#DIV/0!</v>
      </c>
      <c r="J237" s="198" t="e">
        <f t="shared" si="52"/>
        <v>#DIV/0!</v>
      </c>
      <c r="K237" s="198" t="e">
        <f t="shared" si="53"/>
        <v>#DIV/0!</v>
      </c>
      <c r="L237" s="648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47"/>
      <c r="C238" s="303">
        <v>21</v>
      </c>
      <c r="D238" s="303"/>
      <c r="E238" s="181"/>
      <c r="F238" s="303"/>
      <c r="G238" s="306"/>
      <c r="H238" s="642"/>
      <c r="I238" s="198" t="e">
        <f t="shared" si="52"/>
        <v>#DIV/0!</v>
      </c>
      <c r="J238" s="198" t="e">
        <f t="shared" si="52"/>
        <v>#DIV/0!</v>
      </c>
      <c r="K238" s="198" t="e">
        <f t="shared" si="53"/>
        <v>#DIV/0!</v>
      </c>
      <c r="L238" s="648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47"/>
      <c r="C239" s="303">
        <v>22</v>
      </c>
      <c r="D239" s="303"/>
      <c r="E239" s="181"/>
      <c r="F239" s="303"/>
      <c r="G239" s="306"/>
      <c r="H239" s="642"/>
      <c r="I239" s="198" t="e">
        <f t="shared" si="52"/>
        <v>#DIV/0!</v>
      </c>
      <c r="J239" s="198" t="e">
        <f t="shared" si="52"/>
        <v>#DIV/0!</v>
      </c>
      <c r="K239" s="198" t="e">
        <f t="shared" si="53"/>
        <v>#DIV/0!</v>
      </c>
      <c r="L239" s="648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47"/>
      <c r="C240" s="303">
        <v>23</v>
      </c>
      <c r="D240" s="303"/>
      <c r="E240" s="181"/>
      <c r="F240" s="303"/>
      <c r="G240" s="306"/>
      <c r="H240" s="642"/>
      <c r="I240" s="198" t="e">
        <f t="shared" si="52"/>
        <v>#DIV/0!</v>
      </c>
      <c r="J240" s="198" t="e">
        <f t="shared" si="52"/>
        <v>#DIV/0!</v>
      </c>
      <c r="K240" s="198" t="e">
        <f t="shared" si="53"/>
        <v>#DIV/0!</v>
      </c>
      <c r="L240" s="648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47"/>
      <c r="C241" s="303">
        <v>24</v>
      </c>
      <c r="D241" s="303"/>
      <c r="E241" s="181"/>
      <c r="F241" s="303"/>
      <c r="G241" s="306"/>
      <c r="H241" s="642"/>
      <c r="I241" s="198" t="e">
        <f t="shared" si="52"/>
        <v>#DIV/0!</v>
      </c>
      <c r="J241" s="198" t="e">
        <f t="shared" si="52"/>
        <v>#DIV/0!</v>
      </c>
      <c r="K241" s="198" t="e">
        <f t="shared" si="53"/>
        <v>#DIV/0!</v>
      </c>
      <c r="L241" s="648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47"/>
      <c r="C242" s="303">
        <v>25</v>
      </c>
      <c r="D242" s="303"/>
      <c r="E242" s="181"/>
      <c r="F242" s="303"/>
      <c r="G242" s="306"/>
      <c r="H242" s="642"/>
      <c r="I242" s="198"/>
      <c r="J242" s="198"/>
      <c r="K242" s="198"/>
      <c r="L242" s="648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47"/>
      <c r="C243" s="303">
        <v>26</v>
      </c>
      <c r="D243" s="303"/>
      <c r="E243" s="181"/>
      <c r="F243" s="303"/>
      <c r="G243" s="306"/>
      <c r="H243" s="642"/>
      <c r="I243" s="198"/>
      <c r="J243" s="198"/>
      <c r="K243" s="198"/>
      <c r="L243" s="648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47"/>
      <c r="C244" s="303">
        <v>27</v>
      </c>
      <c r="D244" s="303"/>
      <c r="E244" s="181"/>
      <c r="F244" s="303"/>
      <c r="G244" s="306"/>
      <c r="H244" s="642"/>
      <c r="I244" s="198"/>
      <c r="J244" s="198"/>
      <c r="K244" s="198"/>
      <c r="L244" s="648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47"/>
      <c r="C245" s="303">
        <v>28</v>
      </c>
      <c r="D245" s="303"/>
      <c r="E245" s="181"/>
      <c r="F245" s="303"/>
      <c r="G245" s="306"/>
      <c r="H245" s="642"/>
      <c r="I245" s="198"/>
      <c r="J245" s="198"/>
      <c r="K245" s="198"/>
      <c r="L245" s="648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47"/>
      <c r="C246" s="303">
        <v>29</v>
      </c>
      <c r="D246" s="303"/>
      <c r="E246" s="181"/>
      <c r="F246" s="303"/>
      <c r="G246" s="306"/>
      <c r="H246" s="642"/>
      <c r="I246" s="198"/>
      <c r="J246" s="198"/>
      <c r="K246" s="198"/>
      <c r="L246" s="648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47"/>
      <c r="C247" s="303">
        <v>30</v>
      </c>
      <c r="D247" s="303"/>
      <c r="E247" s="181"/>
      <c r="F247" s="303"/>
      <c r="G247" s="306"/>
      <c r="H247" s="642"/>
      <c r="I247" s="198"/>
      <c r="J247" s="198"/>
      <c r="K247" s="198"/>
      <c r="L247" s="648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3" zoomScale="40" zoomScaleNormal="40" workbookViewId="0">
      <pane xSplit="15" topLeftCell="P1" activePane="topRight" state="frozen"/>
      <selection activeCell="A8" sqref="A8:L28"/>
      <selection pane="topRight" activeCell="T67" activeCellId="6" sqref="AW67:AX81 AR67:AS81 AM67:AN81 AH67:AI81 AC67:AD81 X67:Y81 S67:T8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72.054614646461346</v>
      </c>
    </row>
    <row r="2" spans="1:53" ht="15.75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43" t="s">
        <v>156</v>
      </c>
      <c r="O2" s="643" t="s">
        <v>155</v>
      </c>
      <c r="P2" s="668">
        <v>46231</v>
      </c>
      <c r="Q2" s="647"/>
      <c r="R2" s="647"/>
      <c r="S2" s="647"/>
      <c r="T2" s="647"/>
      <c r="U2" s="665">
        <f>P2+1</f>
        <v>46232</v>
      </c>
      <c r="V2" s="666"/>
      <c r="W2" s="666"/>
      <c r="X2" s="666"/>
      <c r="Y2" s="667"/>
      <c r="Z2" s="665">
        <f>U2+1</f>
        <v>46233</v>
      </c>
      <c r="AA2" s="666"/>
      <c r="AB2" s="666"/>
      <c r="AC2" s="666"/>
      <c r="AD2" s="667"/>
      <c r="AE2" s="665">
        <f>Z2+1</f>
        <v>46234</v>
      </c>
      <c r="AF2" s="666"/>
      <c r="AG2" s="666"/>
      <c r="AH2" s="666"/>
      <c r="AI2" s="667"/>
      <c r="AJ2" s="665">
        <f>AE2+1</f>
        <v>46235</v>
      </c>
      <c r="AK2" s="666"/>
      <c r="AL2" s="666"/>
      <c r="AM2" s="666"/>
      <c r="AN2" s="667"/>
      <c r="AO2" s="665">
        <f>AJ2+1</f>
        <v>46236</v>
      </c>
      <c r="AP2" s="666"/>
      <c r="AQ2" s="666"/>
      <c r="AR2" s="666"/>
      <c r="AS2" s="667"/>
      <c r="AT2" s="665">
        <f>AO2+1</f>
        <v>46237</v>
      </c>
      <c r="AU2" s="666"/>
      <c r="AV2" s="666"/>
      <c r="AW2" s="666"/>
      <c r="AX2" s="667"/>
    </row>
    <row r="3" spans="1:53" ht="15.75">
      <c r="A3" s="81"/>
      <c r="B3" s="713"/>
      <c r="C3" s="713"/>
      <c r="D3" s="713"/>
      <c r="E3" s="713"/>
      <c r="F3" s="713"/>
      <c r="G3" s="713"/>
      <c r="H3" s="713"/>
      <c r="I3" s="285"/>
      <c r="J3" s="285"/>
      <c r="K3" s="285"/>
      <c r="L3" s="285"/>
      <c r="M3" s="197"/>
      <c r="N3" s="645"/>
      <c r="O3" s="645"/>
      <c r="P3" s="668" t="s">
        <v>158</v>
      </c>
      <c r="Q3" s="647"/>
      <c r="R3" s="647"/>
      <c r="S3" s="647"/>
      <c r="T3" s="647"/>
      <c r="U3" s="668" t="s">
        <v>114</v>
      </c>
      <c r="V3" s="647"/>
      <c r="W3" s="647"/>
      <c r="X3" s="647"/>
      <c r="Y3" s="647"/>
      <c r="Z3" s="668" t="s">
        <v>159</v>
      </c>
      <c r="AA3" s="647"/>
      <c r="AB3" s="647"/>
      <c r="AC3" s="647"/>
      <c r="AD3" s="647"/>
      <c r="AE3" s="668" t="s">
        <v>157</v>
      </c>
      <c r="AF3" s="647"/>
      <c r="AG3" s="647"/>
      <c r="AH3" s="647"/>
      <c r="AI3" s="647"/>
      <c r="AJ3" s="668" t="s">
        <v>160</v>
      </c>
      <c r="AK3" s="647"/>
      <c r="AL3" s="647"/>
      <c r="AM3" s="647"/>
      <c r="AN3" s="647"/>
      <c r="AO3" s="668" t="s">
        <v>115</v>
      </c>
      <c r="AP3" s="647"/>
      <c r="AQ3" s="647"/>
      <c r="AR3" s="647"/>
      <c r="AS3" s="647"/>
      <c r="AT3" s="668" t="s">
        <v>161</v>
      </c>
      <c r="AU3" s="647"/>
      <c r="AV3" s="647"/>
      <c r="AW3" s="647"/>
      <c r="AX3" s="647"/>
    </row>
    <row r="4" spans="1:53" ht="14.25">
      <c r="A4" s="81"/>
      <c r="B4" s="641" t="s">
        <v>154</v>
      </c>
      <c r="C4" s="641" t="s">
        <v>379</v>
      </c>
      <c r="D4" s="641"/>
      <c r="E4" s="641" t="s">
        <v>370</v>
      </c>
      <c r="F4" s="641"/>
      <c r="G4" s="641"/>
      <c r="H4" s="673" t="s">
        <v>366</v>
      </c>
      <c r="I4" s="688" t="s">
        <v>371</v>
      </c>
      <c r="J4" s="688"/>
      <c r="K4" s="688"/>
      <c r="L4" s="689" t="s">
        <v>366</v>
      </c>
      <c r="M4" s="677" t="s">
        <v>367</v>
      </c>
      <c r="N4" s="641"/>
      <c r="O4" s="641" t="s">
        <v>372</v>
      </c>
      <c r="P4" s="659" t="s">
        <v>368</v>
      </c>
      <c r="Q4" s="660"/>
      <c r="R4" s="660"/>
      <c r="S4" s="661"/>
      <c r="T4" s="641" t="s">
        <v>366</v>
      </c>
      <c r="U4" s="659" t="s">
        <v>368</v>
      </c>
      <c r="V4" s="660"/>
      <c r="W4" s="660"/>
      <c r="X4" s="661"/>
      <c r="Y4" s="641" t="s">
        <v>366</v>
      </c>
      <c r="Z4" s="659" t="s">
        <v>368</v>
      </c>
      <c r="AA4" s="660"/>
      <c r="AB4" s="660"/>
      <c r="AC4" s="661"/>
      <c r="AD4" s="641" t="s">
        <v>366</v>
      </c>
      <c r="AE4" s="659" t="s">
        <v>368</v>
      </c>
      <c r="AF4" s="660"/>
      <c r="AG4" s="660"/>
      <c r="AH4" s="661"/>
      <c r="AI4" s="641" t="s">
        <v>366</v>
      </c>
      <c r="AJ4" s="659" t="s">
        <v>368</v>
      </c>
      <c r="AK4" s="660"/>
      <c r="AL4" s="660"/>
      <c r="AM4" s="661"/>
      <c r="AN4" s="641" t="s">
        <v>366</v>
      </c>
      <c r="AO4" s="659" t="s">
        <v>368</v>
      </c>
      <c r="AP4" s="660"/>
      <c r="AQ4" s="660"/>
      <c r="AR4" s="661"/>
      <c r="AS4" s="641" t="s">
        <v>366</v>
      </c>
      <c r="AT4" s="659" t="s">
        <v>368</v>
      </c>
      <c r="AU4" s="660"/>
      <c r="AV4" s="660"/>
      <c r="AW4" s="661"/>
      <c r="AX4" s="641" t="s">
        <v>366</v>
      </c>
      <c r="BA4" s="641" t="s">
        <v>366</v>
      </c>
    </row>
    <row r="5" spans="1:53" ht="14.25">
      <c r="A5" s="81"/>
      <c r="B5" s="641"/>
      <c r="C5" s="641"/>
      <c r="D5" s="641"/>
      <c r="E5" s="641" t="s">
        <v>373</v>
      </c>
      <c r="F5" s="641"/>
      <c r="G5" s="641"/>
      <c r="H5" s="674"/>
      <c r="I5" s="688" t="s">
        <v>373</v>
      </c>
      <c r="J5" s="688"/>
      <c r="K5" s="688"/>
      <c r="L5" s="690"/>
      <c r="M5" s="678"/>
      <c r="N5" s="641"/>
      <c r="O5" s="641"/>
      <c r="P5" s="659" t="s">
        <v>374</v>
      </c>
      <c r="Q5" s="660"/>
      <c r="R5" s="660"/>
      <c r="S5" s="661"/>
      <c r="T5" s="641"/>
      <c r="U5" s="659" t="s">
        <v>374</v>
      </c>
      <c r="V5" s="660"/>
      <c r="W5" s="660"/>
      <c r="X5" s="661"/>
      <c r="Y5" s="641"/>
      <c r="Z5" s="659" t="s">
        <v>374</v>
      </c>
      <c r="AA5" s="660"/>
      <c r="AB5" s="660"/>
      <c r="AC5" s="661"/>
      <c r="AD5" s="641"/>
      <c r="AE5" s="659" t="s">
        <v>374</v>
      </c>
      <c r="AF5" s="660"/>
      <c r="AG5" s="660"/>
      <c r="AH5" s="661"/>
      <c r="AI5" s="641"/>
      <c r="AJ5" s="659" t="s">
        <v>374</v>
      </c>
      <c r="AK5" s="660"/>
      <c r="AL5" s="660"/>
      <c r="AM5" s="661"/>
      <c r="AN5" s="641"/>
      <c r="AO5" s="659" t="s">
        <v>374</v>
      </c>
      <c r="AP5" s="660"/>
      <c r="AQ5" s="660"/>
      <c r="AR5" s="661"/>
      <c r="AS5" s="641"/>
      <c r="AT5" s="659" t="s">
        <v>374</v>
      </c>
      <c r="AU5" s="660"/>
      <c r="AV5" s="660"/>
      <c r="AW5" s="661"/>
      <c r="AX5" s="641"/>
      <c r="BA5" s="641"/>
    </row>
    <row r="6" spans="1:53" ht="14.25">
      <c r="A6" s="79"/>
      <c r="B6" s="641"/>
      <c r="C6" s="641"/>
      <c r="D6" s="641"/>
      <c r="E6" s="533" t="s">
        <v>375</v>
      </c>
      <c r="F6" s="533" t="s">
        <v>376</v>
      </c>
      <c r="G6" s="533" t="s">
        <v>377</v>
      </c>
      <c r="H6" s="675"/>
      <c r="I6" s="532" t="s">
        <v>375</v>
      </c>
      <c r="J6" s="532" t="s">
        <v>376</v>
      </c>
      <c r="K6" s="532" t="s">
        <v>377</v>
      </c>
      <c r="L6" s="691"/>
      <c r="M6" s="679"/>
      <c r="N6" s="641"/>
      <c r="O6" s="641"/>
      <c r="P6" s="533" t="s">
        <v>375</v>
      </c>
      <c r="Q6" s="533" t="s">
        <v>376</v>
      </c>
      <c r="R6" s="533" t="s">
        <v>377</v>
      </c>
      <c r="S6" s="533" t="s">
        <v>367</v>
      </c>
      <c r="T6" s="641"/>
      <c r="U6" s="533" t="s">
        <v>375</v>
      </c>
      <c r="V6" s="533" t="s">
        <v>376</v>
      </c>
      <c r="W6" s="533" t="s">
        <v>377</v>
      </c>
      <c r="X6" s="533" t="s">
        <v>367</v>
      </c>
      <c r="Y6" s="641"/>
      <c r="Z6" s="533" t="s">
        <v>375</v>
      </c>
      <c r="AA6" s="533" t="s">
        <v>376</v>
      </c>
      <c r="AB6" s="533" t="s">
        <v>377</v>
      </c>
      <c r="AC6" s="533" t="s">
        <v>367</v>
      </c>
      <c r="AD6" s="641"/>
      <c r="AE6" s="533" t="s">
        <v>375</v>
      </c>
      <c r="AF6" s="533" t="s">
        <v>376</v>
      </c>
      <c r="AG6" s="533" t="s">
        <v>377</v>
      </c>
      <c r="AH6" s="533" t="s">
        <v>367</v>
      </c>
      <c r="AI6" s="641"/>
      <c r="AJ6" s="533" t="s">
        <v>375</v>
      </c>
      <c r="AK6" s="533" t="s">
        <v>376</v>
      </c>
      <c r="AL6" s="533" t="s">
        <v>377</v>
      </c>
      <c r="AM6" s="533" t="s">
        <v>367</v>
      </c>
      <c r="AN6" s="641"/>
      <c r="AO6" s="533" t="s">
        <v>375</v>
      </c>
      <c r="AP6" s="533" t="s">
        <v>376</v>
      </c>
      <c r="AQ6" s="533" t="s">
        <v>377</v>
      </c>
      <c r="AR6" s="533" t="s">
        <v>367</v>
      </c>
      <c r="AS6" s="641"/>
      <c r="AT6" s="533" t="s">
        <v>375</v>
      </c>
      <c r="AU6" s="533" t="s">
        <v>376</v>
      </c>
      <c r="AV6" s="533" t="s">
        <v>377</v>
      </c>
      <c r="AW6" s="533" t="s">
        <v>367</v>
      </c>
      <c r="AX6" s="641"/>
      <c r="AZ6" s="367" t="s">
        <v>367</v>
      </c>
      <c r="BA6" s="641"/>
    </row>
    <row r="7" spans="1:53" ht="14.25">
      <c r="A7" s="81"/>
      <c r="B7" s="641" t="s">
        <v>132</v>
      </c>
      <c r="C7" s="534">
        <v>1</v>
      </c>
      <c r="D7" s="225" t="s">
        <v>604</v>
      </c>
      <c r="E7" s="535">
        <v>17</v>
      </c>
      <c r="F7" s="534">
        <v>1440</v>
      </c>
      <c r="G7" s="536">
        <v>84.7</v>
      </c>
      <c r="H7" s="700">
        <f>AVERAGE(G7:G21)</f>
        <v>79.792307692307688</v>
      </c>
      <c r="I7" s="538">
        <f t="shared" ref="I7:I21" si="0">IFERROR(AVERAGE(P7,U7,Z7,AE7,AJ7,AO7,AT7),"-")</f>
        <v>17</v>
      </c>
      <c r="J7" s="538">
        <f t="shared" ref="J7:J21" si="1">IFERROR(AVERAGE(Q7,V7,AA7,AF7,AK7,AP7,AU7),"-")</f>
        <v>1292.2728840667155</v>
      </c>
      <c r="K7" s="199">
        <f t="shared" ref="K7:K21" si="2">IFERROR(AVERAGE(R7,W7,AB7,AG7,AL7,AQ7,AV7),"-")</f>
        <v>76.016052003924429</v>
      </c>
      <c r="L7" s="656">
        <f>IFERROR(AVERAGE(K7:K21),"-")</f>
        <v>70.946664306618445</v>
      </c>
      <c r="M7" s="539">
        <f>RANK(K7, K$7:$K$21)</f>
        <v>4</v>
      </c>
      <c r="N7" s="641"/>
      <c r="O7" s="641"/>
      <c r="P7" s="534">
        <v>17</v>
      </c>
      <c r="Q7" s="535">
        <v>1276.1290322580649</v>
      </c>
      <c r="R7" s="535">
        <v>75.066413662239114</v>
      </c>
      <c r="S7" s="534">
        <f>RANK(R7, R$7:R$21)</f>
        <v>5</v>
      </c>
      <c r="T7" s="642">
        <f t="shared" ref="T7" si="3">AVERAGE(R7:R21)</f>
        <v>71.190663352096038</v>
      </c>
      <c r="U7" s="534">
        <v>17</v>
      </c>
      <c r="V7" s="535">
        <v>1283.1818181818182</v>
      </c>
      <c r="W7" s="535">
        <v>75.481283422459896</v>
      </c>
      <c r="X7" s="562">
        <f>RANK(W7, W$7:W$21)</f>
        <v>5</v>
      </c>
      <c r="Y7" s="642">
        <f t="shared" ref="Y7" si="4">AVERAGE(W7:W21)</f>
        <v>70.96365256859329</v>
      </c>
      <c r="Z7" s="534">
        <v>17</v>
      </c>
      <c r="AA7" s="535">
        <v>1285.102040816327</v>
      </c>
      <c r="AB7" s="535">
        <v>75.59423769507805</v>
      </c>
      <c r="AC7" s="562">
        <f>RANK(AB7, AB$7:AB$21)</f>
        <v>4</v>
      </c>
      <c r="AD7" s="642">
        <f t="shared" ref="AD7" si="5">AVERAGE(AB7:AB21)</f>
        <v>70.984158843431842</v>
      </c>
      <c r="AE7" s="534">
        <v>17</v>
      </c>
      <c r="AF7" s="535">
        <v>1309.2307692307684</v>
      </c>
      <c r="AG7" s="535">
        <v>77.013574660633438</v>
      </c>
      <c r="AH7" s="562">
        <f>RANK(AG7, AG$7:AG$21)</f>
        <v>4</v>
      </c>
      <c r="AI7" s="642">
        <f t="shared" ref="AI7" si="6">AVERAGE(AG7:AG21)</f>
        <v>70.332064417083956</v>
      </c>
      <c r="AJ7" s="534">
        <v>17</v>
      </c>
      <c r="AK7" s="535">
        <v>1300.909090909091</v>
      </c>
      <c r="AL7" s="535">
        <v>76.524064171123001</v>
      </c>
      <c r="AM7" s="562">
        <f>RANK(AL7, AL$7:AL$21)</f>
        <v>4</v>
      </c>
      <c r="AN7" s="642">
        <f t="shared" ref="AN7" si="7">AVERAGE(AL7:AL21)</f>
        <v>69.456470523528466</v>
      </c>
      <c r="AO7" s="534">
        <v>17</v>
      </c>
      <c r="AP7" s="535">
        <v>1297.7052631578949</v>
      </c>
      <c r="AQ7" s="535">
        <v>76.335603715170294</v>
      </c>
      <c r="AR7" s="562">
        <f>RANK(AQ7, AQ$7:AQ$21)</f>
        <v>4</v>
      </c>
      <c r="AS7" s="642">
        <f t="shared" ref="AS7" si="8">AVERAGE(AQ7:AQ21)</f>
        <v>71.951386057829751</v>
      </c>
      <c r="AT7" s="534">
        <v>17</v>
      </c>
      <c r="AU7" s="535">
        <v>1293.6521739130435</v>
      </c>
      <c r="AV7" s="535">
        <v>76.097186700767267</v>
      </c>
      <c r="AW7" s="562">
        <f>RANK(AV7, AV$7:AV$21)</f>
        <v>5</v>
      </c>
      <c r="AX7" s="642">
        <f t="shared" ref="AX7" si="9">AVERAGE(AV7:AV21)</f>
        <v>71.748254383765726</v>
      </c>
      <c r="AZ7" s="368" t="e">
        <f t="shared" ref="AZ7:AZ21" si="10">RANK(AY7, AY$7:AY$21)</f>
        <v>#N/A</v>
      </c>
      <c r="BA7" s="642" t="e">
        <f t="shared" ref="BA7" si="11">AVERAGE(AY7:AY21)</f>
        <v>#DIV/0!</v>
      </c>
    </row>
    <row r="8" spans="1:53" ht="15" customHeight="1">
      <c r="A8" s="81"/>
      <c r="B8" s="647"/>
      <c r="C8" s="534">
        <v>2</v>
      </c>
      <c r="D8" s="225" t="s">
        <v>346</v>
      </c>
      <c r="E8" s="535">
        <v>18</v>
      </c>
      <c r="F8" s="534">
        <v>1440</v>
      </c>
      <c r="G8" s="536">
        <v>80</v>
      </c>
      <c r="H8" s="701"/>
      <c r="I8" s="538">
        <f t="shared" si="0"/>
        <v>18</v>
      </c>
      <c r="J8" s="538">
        <f t="shared" si="1"/>
        <v>1184.2371245272268</v>
      </c>
      <c r="K8" s="199">
        <f t="shared" si="2"/>
        <v>65.79095136262373</v>
      </c>
      <c r="L8" s="657"/>
      <c r="M8" s="565">
        <f>RANK(K8, K$7:$K$21)</f>
        <v>10</v>
      </c>
      <c r="N8" s="641"/>
      <c r="O8" s="641"/>
      <c r="P8" s="534">
        <v>18</v>
      </c>
      <c r="Q8" s="535">
        <v>1197.9999999999916</v>
      </c>
      <c r="R8" s="535">
        <v>66.555555555555088</v>
      </c>
      <c r="S8" s="562">
        <f t="shared" ref="S8:S21" si="12">RANK(R8, R$7:R$21)</f>
        <v>10</v>
      </c>
      <c r="T8" s="642"/>
      <c r="U8" s="534">
        <v>18</v>
      </c>
      <c r="V8" s="535">
        <v>1153.5483870967723</v>
      </c>
      <c r="W8" s="535">
        <v>64.086021505376237</v>
      </c>
      <c r="X8" s="562">
        <f t="shared" ref="X8:X21" si="13">RANK(W8, W$7:W$21)</f>
        <v>11</v>
      </c>
      <c r="Y8" s="642"/>
      <c r="Z8" s="534">
        <v>18</v>
      </c>
      <c r="AA8" s="535">
        <v>1143.9999999999982</v>
      </c>
      <c r="AB8" s="535">
        <v>63.555555555555458</v>
      </c>
      <c r="AC8" s="562">
        <f t="shared" ref="AC8:AC21" si="14">RANK(AB8, AB$7:AB$21)</f>
        <v>11</v>
      </c>
      <c r="AD8" s="642"/>
      <c r="AE8" s="534">
        <v>18</v>
      </c>
      <c r="AF8" s="535">
        <v>1113.3333333333308</v>
      </c>
      <c r="AG8" s="535">
        <v>61.851851851851706</v>
      </c>
      <c r="AH8" s="562">
        <f t="shared" ref="AH8:AH21" si="15">RANK(AG8, AG$7:AG$21)</f>
        <v>10</v>
      </c>
      <c r="AI8" s="642"/>
      <c r="AJ8" s="534">
        <v>18</v>
      </c>
      <c r="AK8" s="535">
        <v>1130.3999999999969</v>
      </c>
      <c r="AL8" s="535">
        <v>62.799999999999827</v>
      </c>
      <c r="AM8" s="562">
        <f t="shared" ref="AM8:AM21" si="16">RANK(AL8, AL$7:AL$21)</f>
        <v>10</v>
      </c>
      <c r="AN8" s="642"/>
      <c r="AO8" s="534">
        <v>18</v>
      </c>
      <c r="AP8" s="535">
        <v>1322.1428571428544</v>
      </c>
      <c r="AQ8" s="535">
        <v>73.452380952380793</v>
      </c>
      <c r="AR8" s="562">
        <f t="shared" ref="AR8:AR21" si="17">RANK(AQ8, AQ$7:AQ$21)</f>
        <v>7</v>
      </c>
      <c r="AS8" s="642"/>
      <c r="AT8" s="534">
        <v>18</v>
      </c>
      <c r="AU8" s="535">
        <v>1228.2352941176455</v>
      </c>
      <c r="AV8" s="535">
        <v>68.235294117646973</v>
      </c>
      <c r="AW8" s="562">
        <f t="shared" ref="AW8:AW21" si="18">RANK(AV8, AV$7:AV$21)</f>
        <v>9</v>
      </c>
      <c r="AX8" s="642"/>
      <c r="AZ8" s="368" t="e">
        <f t="shared" si="10"/>
        <v>#N/A</v>
      </c>
      <c r="BA8" s="642"/>
    </row>
    <row r="9" spans="1:53" ht="14.25">
      <c r="A9" s="81"/>
      <c r="B9" s="647"/>
      <c r="C9" s="534">
        <v>3</v>
      </c>
      <c r="D9" s="225" t="s">
        <v>347</v>
      </c>
      <c r="E9" s="535">
        <v>17</v>
      </c>
      <c r="F9" s="534">
        <v>1440</v>
      </c>
      <c r="G9" s="536">
        <v>84.7</v>
      </c>
      <c r="H9" s="701"/>
      <c r="I9" s="538">
        <f t="shared" si="0"/>
        <v>17</v>
      </c>
      <c r="J9" s="538">
        <f t="shared" si="1"/>
        <v>1336.6579610985318</v>
      </c>
      <c r="K9" s="199">
        <f t="shared" si="2"/>
        <v>78.626938888148928</v>
      </c>
      <c r="L9" s="657"/>
      <c r="M9" s="565">
        <f>RANK(K9, K$7:$K$21)</f>
        <v>3</v>
      </c>
      <c r="N9" s="641"/>
      <c r="O9" s="641"/>
      <c r="P9" s="534">
        <v>17</v>
      </c>
      <c r="Q9" s="535">
        <v>1337.0370370370365</v>
      </c>
      <c r="R9" s="535">
        <v>78.649237472766856</v>
      </c>
      <c r="S9" s="562">
        <f t="shared" si="12"/>
        <v>3</v>
      </c>
      <c r="T9" s="642"/>
      <c r="U9" s="534">
        <v>17</v>
      </c>
      <c r="V9" s="535">
        <v>1350.7894736842095</v>
      </c>
      <c r="W9" s="535">
        <v>79.458204334365263</v>
      </c>
      <c r="X9" s="562">
        <f t="shared" si="13"/>
        <v>3</v>
      </c>
      <c r="Y9" s="642"/>
      <c r="Z9" s="534">
        <v>17</v>
      </c>
      <c r="AA9" s="535">
        <v>1337.7464788732382</v>
      </c>
      <c r="AB9" s="535">
        <v>78.690969345484604</v>
      </c>
      <c r="AC9" s="562">
        <f t="shared" si="14"/>
        <v>3</v>
      </c>
      <c r="AD9" s="642"/>
      <c r="AE9" s="534">
        <v>17</v>
      </c>
      <c r="AF9" s="535">
        <v>1320.9375000000016</v>
      </c>
      <c r="AG9" s="535">
        <v>77.702205882353041</v>
      </c>
      <c r="AH9" s="562">
        <f t="shared" si="15"/>
        <v>3</v>
      </c>
      <c r="AI9" s="642"/>
      <c r="AJ9" s="534">
        <v>17</v>
      </c>
      <c r="AK9" s="535">
        <v>1316.6666666666656</v>
      </c>
      <c r="AL9" s="535">
        <v>77.450980392156794</v>
      </c>
      <c r="AM9" s="562">
        <f t="shared" si="16"/>
        <v>3</v>
      </c>
      <c r="AN9" s="642"/>
      <c r="AO9" s="534">
        <v>17</v>
      </c>
      <c r="AP9" s="535">
        <v>1346.9999999999995</v>
      </c>
      <c r="AQ9" s="535">
        <v>79.23529411764703</v>
      </c>
      <c r="AR9" s="562">
        <f t="shared" si="17"/>
        <v>3</v>
      </c>
      <c r="AS9" s="642"/>
      <c r="AT9" s="534">
        <v>17</v>
      </c>
      <c r="AU9" s="535">
        <v>1346.4285714285709</v>
      </c>
      <c r="AV9" s="535">
        <v>79.201680672268878</v>
      </c>
      <c r="AW9" s="562">
        <f t="shared" si="18"/>
        <v>3</v>
      </c>
      <c r="AX9" s="642"/>
      <c r="AZ9" s="368" t="e">
        <f t="shared" si="10"/>
        <v>#N/A</v>
      </c>
      <c r="BA9" s="642"/>
    </row>
    <row r="10" spans="1:53" ht="14.25">
      <c r="A10" s="81"/>
      <c r="B10" s="647"/>
      <c r="C10" s="534">
        <v>4</v>
      </c>
      <c r="D10" s="225" t="s">
        <v>348</v>
      </c>
      <c r="E10" s="535">
        <v>21</v>
      </c>
      <c r="F10" s="534">
        <v>1385</v>
      </c>
      <c r="G10" s="536">
        <v>65.900000000000006</v>
      </c>
      <c r="H10" s="701"/>
      <c r="I10" s="538">
        <f t="shared" si="0"/>
        <v>21</v>
      </c>
      <c r="J10" s="538">
        <f t="shared" si="1"/>
        <v>1280.6930661774543</v>
      </c>
      <c r="K10" s="199">
        <f t="shared" si="2"/>
        <v>60.985384103688311</v>
      </c>
      <c r="L10" s="657"/>
      <c r="M10" s="565">
        <f>RANK(K10, K$7:$K$21)</f>
        <v>12</v>
      </c>
      <c r="N10" s="641"/>
      <c r="O10" s="641"/>
      <c r="P10" s="534">
        <v>21</v>
      </c>
      <c r="Q10" s="535">
        <v>1279.805825242719</v>
      </c>
      <c r="R10" s="535">
        <v>60.943134535367577</v>
      </c>
      <c r="S10" s="562">
        <f t="shared" si="12"/>
        <v>12</v>
      </c>
      <c r="T10" s="642"/>
      <c r="U10" s="534">
        <v>21</v>
      </c>
      <c r="V10" s="535">
        <v>1290.3225806451615</v>
      </c>
      <c r="W10" s="535">
        <v>61.443932411674353</v>
      </c>
      <c r="X10" s="562">
        <f t="shared" si="13"/>
        <v>12</v>
      </c>
      <c r="Y10" s="642"/>
      <c r="Z10" s="534">
        <v>21</v>
      </c>
      <c r="AA10" s="535">
        <v>1275.3191489361704</v>
      </c>
      <c r="AB10" s="535">
        <v>60.729483282674785</v>
      </c>
      <c r="AC10" s="562">
        <f t="shared" si="14"/>
        <v>12</v>
      </c>
      <c r="AD10" s="642"/>
      <c r="AE10" s="534">
        <v>21</v>
      </c>
      <c r="AF10" s="535">
        <v>1289.9999999999989</v>
      </c>
      <c r="AG10" s="535">
        <v>61.428571428571374</v>
      </c>
      <c r="AH10" s="562">
        <f t="shared" si="15"/>
        <v>11</v>
      </c>
      <c r="AI10" s="642"/>
      <c r="AJ10" s="534">
        <v>21</v>
      </c>
      <c r="AK10" s="535">
        <v>1282.6086956521726</v>
      </c>
      <c r="AL10" s="535">
        <v>61.076604554865362</v>
      </c>
      <c r="AM10" s="562">
        <f t="shared" si="16"/>
        <v>11</v>
      </c>
      <c r="AN10" s="642"/>
      <c r="AO10" s="534">
        <v>21</v>
      </c>
      <c r="AP10" s="535">
        <v>1286.1702127659578</v>
      </c>
      <c r="AQ10" s="535">
        <v>61.24620060790275</v>
      </c>
      <c r="AR10" s="562">
        <f t="shared" si="17"/>
        <v>12</v>
      </c>
      <c r="AS10" s="642"/>
      <c r="AT10" s="534">
        <v>21</v>
      </c>
      <c r="AU10" s="535">
        <v>1260.6250000000002</v>
      </c>
      <c r="AV10" s="535">
        <v>60.029761904761912</v>
      </c>
      <c r="AW10" s="562">
        <f t="shared" si="18"/>
        <v>12</v>
      </c>
      <c r="AX10" s="642"/>
      <c r="AZ10" s="368" t="e">
        <f t="shared" si="10"/>
        <v>#N/A</v>
      </c>
      <c r="BA10" s="642"/>
    </row>
    <row r="11" spans="1:53" ht="14.25">
      <c r="A11" s="81"/>
      <c r="B11" s="647"/>
      <c r="C11" s="534">
        <v>5</v>
      </c>
      <c r="D11" s="225" t="s">
        <v>349</v>
      </c>
      <c r="E11" s="535">
        <v>19</v>
      </c>
      <c r="F11" s="534">
        <v>1440</v>
      </c>
      <c r="G11" s="536">
        <v>75.8</v>
      </c>
      <c r="H11" s="701"/>
      <c r="I11" s="538">
        <f t="shared" si="0"/>
        <v>19</v>
      </c>
      <c r="J11" s="538">
        <f t="shared" si="1"/>
        <v>1324.0141755552156</v>
      </c>
      <c r="K11" s="199">
        <f t="shared" si="2"/>
        <v>69.684956608169244</v>
      </c>
      <c r="L11" s="657"/>
      <c r="M11" s="565">
        <f>RANK(K11, K$7:$K$21)</f>
        <v>7</v>
      </c>
      <c r="N11" s="641"/>
      <c r="O11" s="641"/>
      <c r="P11" s="534">
        <v>19</v>
      </c>
      <c r="Q11" s="535">
        <v>1326.585365853658</v>
      </c>
      <c r="R11" s="535">
        <v>69.820282413350427</v>
      </c>
      <c r="S11" s="562">
        <f t="shared" si="12"/>
        <v>7</v>
      </c>
      <c r="T11" s="642"/>
      <c r="U11" s="534">
        <v>19</v>
      </c>
      <c r="V11" s="535">
        <v>1304.2857142857138</v>
      </c>
      <c r="W11" s="535">
        <v>68.646616541353353</v>
      </c>
      <c r="X11" s="562">
        <f t="shared" si="13"/>
        <v>7</v>
      </c>
      <c r="Y11" s="642"/>
      <c r="Z11" s="534">
        <v>19</v>
      </c>
      <c r="AA11" s="535">
        <v>1320.8108108108099</v>
      </c>
      <c r="AB11" s="535">
        <v>69.516358463726831</v>
      </c>
      <c r="AC11" s="562">
        <f t="shared" si="14"/>
        <v>7</v>
      </c>
      <c r="AD11" s="642"/>
      <c r="AE11" s="534">
        <v>19</v>
      </c>
      <c r="AF11" s="535">
        <v>1317.8181818181827</v>
      </c>
      <c r="AG11" s="535">
        <v>69.358851674641187</v>
      </c>
      <c r="AH11" s="562">
        <f t="shared" si="15"/>
        <v>7</v>
      </c>
      <c r="AI11" s="642"/>
      <c r="AJ11" s="534">
        <v>19</v>
      </c>
      <c r="AK11" s="535">
        <v>1313.3333333333346</v>
      </c>
      <c r="AL11" s="535">
        <v>69.122807017543934</v>
      </c>
      <c r="AM11" s="562">
        <f t="shared" si="16"/>
        <v>7</v>
      </c>
      <c r="AN11" s="642"/>
      <c r="AO11" s="534">
        <v>19</v>
      </c>
      <c r="AP11" s="535">
        <v>1344</v>
      </c>
      <c r="AQ11" s="535">
        <v>70.736842105263165</v>
      </c>
      <c r="AR11" s="562">
        <f t="shared" si="17"/>
        <v>8</v>
      </c>
      <c r="AS11" s="642"/>
      <c r="AT11" s="534">
        <v>19</v>
      </c>
      <c r="AU11" s="535">
        <v>1341.2658227848094</v>
      </c>
      <c r="AV11" s="535">
        <v>70.592938041305757</v>
      </c>
      <c r="AW11" s="562">
        <f t="shared" si="18"/>
        <v>7</v>
      </c>
      <c r="AX11" s="642"/>
      <c r="AZ11" s="368" t="e">
        <f t="shared" si="10"/>
        <v>#N/A</v>
      </c>
      <c r="BA11" s="642"/>
    </row>
    <row r="12" spans="1:53" ht="14.25">
      <c r="A12" s="81"/>
      <c r="B12" s="647"/>
      <c r="C12" s="534">
        <v>6</v>
      </c>
      <c r="D12" s="225" t="s">
        <v>491</v>
      </c>
      <c r="E12" s="535">
        <v>18</v>
      </c>
      <c r="F12" s="534">
        <v>1385</v>
      </c>
      <c r="G12" s="536">
        <v>76.900000000000006</v>
      </c>
      <c r="H12" s="701"/>
      <c r="I12" s="538">
        <f t="shared" si="0"/>
        <v>18</v>
      </c>
      <c r="J12" s="538">
        <f t="shared" si="1"/>
        <v>1205.5185655144182</v>
      </c>
      <c r="K12" s="199">
        <f t="shared" si="2"/>
        <v>66.973253639689901</v>
      </c>
      <c r="L12" s="657"/>
      <c r="M12" s="565">
        <f>RANK(K12, K$7:$K$21)</f>
        <v>8</v>
      </c>
      <c r="N12" s="641"/>
      <c r="O12" s="641"/>
      <c r="P12" s="534">
        <v>18</v>
      </c>
      <c r="Q12" s="535">
        <v>1225.7142857142846</v>
      </c>
      <c r="R12" s="535">
        <v>68.095238095238031</v>
      </c>
      <c r="S12" s="562">
        <f t="shared" si="12"/>
        <v>9</v>
      </c>
      <c r="T12" s="642"/>
      <c r="U12" s="534">
        <v>18</v>
      </c>
      <c r="V12" s="535">
        <v>1223.0769230769245</v>
      </c>
      <c r="W12" s="535">
        <v>67.948717948718027</v>
      </c>
      <c r="X12" s="562">
        <f t="shared" si="13"/>
        <v>8</v>
      </c>
      <c r="Y12" s="642"/>
      <c r="Z12" s="534">
        <v>18</v>
      </c>
      <c r="AA12" s="535">
        <v>1224.6428571428582</v>
      </c>
      <c r="AB12" s="535">
        <v>68.035714285714349</v>
      </c>
      <c r="AC12" s="562">
        <f t="shared" si="14"/>
        <v>8</v>
      </c>
      <c r="AD12" s="642"/>
      <c r="AE12" s="534">
        <v>18</v>
      </c>
      <c r="AF12" s="535">
        <v>1192.2222222222229</v>
      </c>
      <c r="AG12" s="535">
        <v>66.234567901234598</v>
      </c>
      <c r="AH12" s="562">
        <f t="shared" si="15"/>
        <v>9</v>
      </c>
      <c r="AI12" s="642"/>
      <c r="AJ12" s="534">
        <v>18</v>
      </c>
      <c r="AK12" s="535">
        <v>1173.8709677419367</v>
      </c>
      <c r="AL12" s="535">
        <v>65.215053763440935</v>
      </c>
      <c r="AM12" s="562">
        <f t="shared" si="16"/>
        <v>9</v>
      </c>
      <c r="AN12" s="642"/>
      <c r="AO12" s="534">
        <v>18</v>
      </c>
      <c r="AP12" s="535">
        <v>1192.7027027027018</v>
      </c>
      <c r="AQ12" s="535">
        <v>66.261261261261211</v>
      </c>
      <c r="AR12" s="562">
        <f t="shared" si="17"/>
        <v>10</v>
      </c>
      <c r="AS12" s="642"/>
      <c r="AT12" s="534">
        <v>18</v>
      </c>
      <c r="AU12" s="535">
        <v>1206.3999999999992</v>
      </c>
      <c r="AV12" s="535">
        <v>67.022222222222183</v>
      </c>
      <c r="AW12" s="562">
        <f t="shared" si="18"/>
        <v>11</v>
      </c>
      <c r="AX12" s="642"/>
      <c r="AZ12" s="368" t="e">
        <f t="shared" si="10"/>
        <v>#N/A</v>
      </c>
      <c r="BA12" s="642"/>
    </row>
    <row r="13" spans="1:53" ht="14.25">
      <c r="A13" s="81"/>
      <c r="B13" s="647"/>
      <c r="C13" s="534">
        <v>7</v>
      </c>
      <c r="D13" s="225" t="s">
        <v>493</v>
      </c>
      <c r="E13" s="535">
        <v>18</v>
      </c>
      <c r="F13" s="534">
        <v>1385</v>
      </c>
      <c r="G13" s="536">
        <v>76.900000000000006</v>
      </c>
      <c r="H13" s="701"/>
      <c r="I13" s="538">
        <f t="shared" si="0"/>
        <v>18</v>
      </c>
      <c r="J13" s="538">
        <f t="shared" si="1"/>
        <v>1203.807974544088</v>
      </c>
      <c r="K13" s="199">
        <f t="shared" si="2"/>
        <v>66.878220808004897</v>
      </c>
      <c r="L13" s="657"/>
      <c r="M13" s="565">
        <f>RANK(K13, K$7:$K$21)</f>
        <v>9</v>
      </c>
      <c r="N13" s="641"/>
      <c r="O13" s="641"/>
      <c r="P13" s="534">
        <v>18</v>
      </c>
      <c r="Q13" s="535">
        <v>1225.9459459459451</v>
      </c>
      <c r="R13" s="535">
        <v>68.10810810810807</v>
      </c>
      <c r="S13" s="562">
        <f t="shared" si="12"/>
        <v>8</v>
      </c>
      <c r="T13" s="642"/>
      <c r="U13" s="534">
        <v>18</v>
      </c>
      <c r="V13" s="535">
        <v>1215.7894736842097</v>
      </c>
      <c r="W13" s="535">
        <v>67.543859649122766</v>
      </c>
      <c r="X13" s="562">
        <f t="shared" si="13"/>
        <v>9</v>
      </c>
      <c r="Y13" s="642"/>
      <c r="Z13" s="534">
        <v>18</v>
      </c>
      <c r="AA13" s="535">
        <v>1208.5714285714273</v>
      </c>
      <c r="AB13" s="535">
        <v>67.142857142857068</v>
      </c>
      <c r="AC13" s="562">
        <f t="shared" si="14"/>
        <v>10</v>
      </c>
      <c r="AD13" s="642"/>
      <c r="AE13" s="534">
        <v>18</v>
      </c>
      <c r="AF13" s="535">
        <v>1194.5454545454529</v>
      </c>
      <c r="AG13" s="535">
        <v>66.363636363636274</v>
      </c>
      <c r="AH13" s="562">
        <f t="shared" si="15"/>
        <v>8</v>
      </c>
      <c r="AI13" s="642"/>
      <c r="AJ13" s="534">
        <v>18</v>
      </c>
      <c r="AK13" s="535">
        <v>1192.2580645161272</v>
      </c>
      <c r="AL13" s="535">
        <v>66.236559139784845</v>
      </c>
      <c r="AM13" s="562">
        <f t="shared" si="16"/>
        <v>8</v>
      </c>
      <c r="AN13" s="642"/>
      <c r="AO13" s="534">
        <v>18</v>
      </c>
      <c r="AP13" s="535">
        <v>1179.9999999999995</v>
      </c>
      <c r="AQ13" s="535">
        <v>65.555555555555529</v>
      </c>
      <c r="AR13" s="562">
        <f t="shared" si="17"/>
        <v>11</v>
      </c>
      <c r="AS13" s="642"/>
      <c r="AT13" s="534">
        <v>18</v>
      </c>
      <c r="AU13" s="535">
        <v>1209.5454545454545</v>
      </c>
      <c r="AV13" s="535">
        <v>67.196969696969688</v>
      </c>
      <c r="AW13" s="562">
        <f t="shared" si="18"/>
        <v>10</v>
      </c>
      <c r="AX13" s="642"/>
      <c r="AZ13" s="368" t="e">
        <f t="shared" si="10"/>
        <v>#N/A</v>
      </c>
      <c r="BA13" s="642"/>
    </row>
    <row r="14" spans="1:53" ht="14.25">
      <c r="A14" s="81"/>
      <c r="B14" s="647"/>
      <c r="C14" s="534">
        <v>8</v>
      </c>
      <c r="D14" s="225" t="s">
        <v>510</v>
      </c>
      <c r="E14" s="535">
        <v>16</v>
      </c>
      <c r="F14" s="534">
        <v>1440</v>
      </c>
      <c r="G14" s="536">
        <v>90</v>
      </c>
      <c r="H14" s="701"/>
      <c r="I14" s="538">
        <f t="shared" si="0"/>
        <v>16</v>
      </c>
      <c r="J14" s="538">
        <f t="shared" si="1"/>
        <v>1339.3042588273634</v>
      </c>
      <c r="K14" s="199">
        <f t="shared" si="2"/>
        <v>83.70651617671021</v>
      </c>
      <c r="L14" s="657"/>
      <c r="M14" s="565">
        <f>RANK(K14, K$7:$K$21)</f>
        <v>1</v>
      </c>
      <c r="N14" s="641"/>
      <c r="O14" s="641"/>
      <c r="P14" s="534">
        <v>16</v>
      </c>
      <c r="Q14" s="535">
        <v>1324.2105263157887</v>
      </c>
      <c r="R14" s="535">
        <v>82.763157894736793</v>
      </c>
      <c r="S14" s="562">
        <f t="shared" si="12"/>
        <v>1</v>
      </c>
      <c r="T14" s="642"/>
      <c r="U14" s="534">
        <v>16</v>
      </c>
      <c r="V14" s="535">
        <v>1337.5471698113215</v>
      </c>
      <c r="W14" s="535">
        <v>83.596698113207594</v>
      </c>
      <c r="X14" s="562">
        <f t="shared" si="13"/>
        <v>1</v>
      </c>
      <c r="Y14" s="642"/>
      <c r="Z14" s="534">
        <v>16</v>
      </c>
      <c r="AA14" s="535">
        <v>1317.8947368421063</v>
      </c>
      <c r="AB14" s="535">
        <v>82.368421052631646</v>
      </c>
      <c r="AC14" s="562">
        <f t="shared" si="14"/>
        <v>1</v>
      </c>
      <c r="AD14" s="642"/>
      <c r="AE14" s="534">
        <v>16</v>
      </c>
      <c r="AF14" s="535">
        <v>1360.4081632653065</v>
      </c>
      <c r="AG14" s="535">
        <v>85.025510204081655</v>
      </c>
      <c r="AH14" s="562">
        <f t="shared" si="15"/>
        <v>1</v>
      </c>
      <c r="AI14" s="642"/>
      <c r="AJ14" s="534">
        <v>16</v>
      </c>
      <c r="AK14" s="535">
        <v>1339.4594594594603</v>
      </c>
      <c r="AL14" s="535">
        <v>83.716216216216267</v>
      </c>
      <c r="AM14" s="562">
        <f t="shared" si="16"/>
        <v>1</v>
      </c>
      <c r="AN14" s="642"/>
      <c r="AO14" s="534">
        <v>16</v>
      </c>
      <c r="AP14" s="535">
        <v>1363.9024390243897</v>
      </c>
      <c r="AQ14" s="535">
        <v>85.243902439024353</v>
      </c>
      <c r="AR14" s="562">
        <f t="shared" si="17"/>
        <v>1</v>
      </c>
      <c r="AS14" s="642"/>
      <c r="AT14" s="534">
        <v>16</v>
      </c>
      <c r="AU14" s="535">
        <v>1331.7073170731703</v>
      </c>
      <c r="AV14" s="535">
        <v>83.231707317073145</v>
      </c>
      <c r="AW14" s="562">
        <f t="shared" si="18"/>
        <v>2</v>
      </c>
      <c r="AX14" s="642"/>
      <c r="AZ14" s="368" t="e">
        <f t="shared" si="10"/>
        <v>#N/A</v>
      </c>
      <c r="BA14" s="642"/>
    </row>
    <row r="15" spans="1:53" ht="14.25">
      <c r="A15" s="81"/>
      <c r="B15" s="647"/>
      <c r="C15" s="534">
        <v>9</v>
      </c>
      <c r="D15" s="225" t="s">
        <v>561</v>
      </c>
      <c r="E15" s="535">
        <v>19</v>
      </c>
      <c r="F15" s="534">
        <v>1636</v>
      </c>
      <c r="G15" s="536">
        <v>86.1</v>
      </c>
      <c r="H15" s="701"/>
      <c r="I15" s="538">
        <f t="shared" si="0"/>
        <v>19</v>
      </c>
      <c r="J15" s="538">
        <f t="shared" si="1"/>
        <v>1442.5832279659037</v>
      </c>
      <c r="K15" s="199">
        <f t="shared" si="2"/>
        <v>75.925433050837029</v>
      </c>
      <c r="L15" s="657"/>
      <c r="M15" s="565">
        <f>RANK(K15, K$7:$K$21)</f>
        <v>5</v>
      </c>
      <c r="N15" s="641"/>
      <c r="O15" s="641"/>
      <c r="P15" s="534">
        <v>19</v>
      </c>
      <c r="Q15" s="535">
        <v>1455.6782608695653</v>
      </c>
      <c r="R15" s="535">
        <v>76.614645308924494</v>
      </c>
      <c r="S15" s="562">
        <f t="shared" si="12"/>
        <v>4</v>
      </c>
      <c r="T15" s="642"/>
      <c r="U15" s="534">
        <v>19</v>
      </c>
      <c r="V15" s="535">
        <v>1449.6635294117646</v>
      </c>
      <c r="W15" s="535">
        <v>76.298080495356032</v>
      </c>
      <c r="X15" s="562">
        <f t="shared" si="13"/>
        <v>4</v>
      </c>
      <c r="Y15" s="642"/>
      <c r="Z15" s="534">
        <v>19</v>
      </c>
      <c r="AA15" s="535">
        <v>1435.2879581151833</v>
      </c>
      <c r="AB15" s="535">
        <v>75.541471479746491</v>
      </c>
      <c r="AC15" s="562">
        <f t="shared" si="14"/>
        <v>5</v>
      </c>
      <c r="AD15" s="642"/>
      <c r="AE15" s="534">
        <v>19</v>
      </c>
      <c r="AF15" s="535">
        <v>1441.6092715231784</v>
      </c>
      <c r="AG15" s="535">
        <v>75.874172185430439</v>
      </c>
      <c r="AH15" s="562">
        <f t="shared" si="15"/>
        <v>5</v>
      </c>
      <c r="AI15" s="642"/>
      <c r="AJ15" s="534">
        <v>19</v>
      </c>
      <c r="AK15" s="535">
        <v>1431.4285714285713</v>
      </c>
      <c r="AL15" s="535">
        <v>75.338345864661648</v>
      </c>
      <c r="AM15" s="562">
        <f t="shared" si="16"/>
        <v>5</v>
      </c>
      <c r="AN15" s="642"/>
      <c r="AO15" s="534">
        <v>19</v>
      </c>
      <c r="AP15" s="535">
        <v>1429.0363636363636</v>
      </c>
      <c r="AQ15" s="535">
        <v>75.212440191387557</v>
      </c>
      <c r="AR15" s="562">
        <f t="shared" si="17"/>
        <v>5</v>
      </c>
      <c r="AS15" s="642"/>
      <c r="AT15" s="534">
        <v>19</v>
      </c>
      <c r="AU15" s="535">
        <v>1455.3786407766991</v>
      </c>
      <c r="AV15" s="535">
        <v>76.598875830352583</v>
      </c>
      <c r="AW15" s="562">
        <f t="shared" si="18"/>
        <v>4</v>
      </c>
      <c r="AX15" s="642"/>
      <c r="AZ15" s="368" t="e">
        <f t="shared" si="10"/>
        <v>#N/A</v>
      </c>
      <c r="BA15" s="642"/>
    </row>
    <row r="16" spans="1:53" ht="14.25">
      <c r="A16" s="81"/>
      <c r="B16" s="647"/>
      <c r="C16" s="534">
        <v>10</v>
      </c>
      <c r="D16" s="225" t="s">
        <v>582</v>
      </c>
      <c r="E16" s="535">
        <v>19</v>
      </c>
      <c r="F16" s="534">
        <v>1440</v>
      </c>
      <c r="G16" s="536">
        <v>75.8</v>
      </c>
      <c r="H16" s="701"/>
      <c r="I16" s="538">
        <f t="shared" si="0"/>
        <v>18.571428571428573</v>
      </c>
      <c r="J16" s="538">
        <f t="shared" si="1"/>
        <v>1089.7421863850475</v>
      </c>
      <c r="K16" s="199">
        <f t="shared" si="2"/>
        <v>58.700551328371091</v>
      </c>
      <c r="L16" s="657"/>
      <c r="M16" s="565">
        <f>RANK(K16, K$7:$K$21)</f>
        <v>13</v>
      </c>
      <c r="N16" s="641"/>
      <c r="O16" s="641"/>
      <c r="P16" s="534">
        <v>19</v>
      </c>
      <c r="Q16" s="535">
        <v>1123.6363636363676</v>
      </c>
      <c r="R16" s="535">
        <v>59.138755980861454</v>
      </c>
      <c r="S16" s="562">
        <f t="shared" si="12"/>
        <v>13</v>
      </c>
      <c r="T16" s="642"/>
      <c r="U16" s="534">
        <v>19</v>
      </c>
      <c r="V16" s="535">
        <v>1085.4545454545491</v>
      </c>
      <c r="W16" s="535">
        <v>57.129186602871009</v>
      </c>
      <c r="X16" s="562">
        <f t="shared" si="13"/>
        <v>13</v>
      </c>
      <c r="Y16" s="642"/>
      <c r="Z16" s="534">
        <v>18</v>
      </c>
      <c r="AA16" s="535">
        <v>1086.0000000000039</v>
      </c>
      <c r="AB16" s="535">
        <v>60.333333333333549</v>
      </c>
      <c r="AC16" s="562">
        <f t="shared" si="14"/>
        <v>13</v>
      </c>
      <c r="AD16" s="642"/>
      <c r="AE16" s="534">
        <v>18</v>
      </c>
      <c r="AF16" s="535">
        <v>1097.1428571428612</v>
      </c>
      <c r="AG16" s="535">
        <v>60.952380952381176</v>
      </c>
      <c r="AH16" s="562">
        <f t="shared" si="15"/>
        <v>12</v>
      </c>
      <c r="AI16" s="642"/>
      <c r="AJ16" s="534">
        <v>19</v>
      </c>
      <c r="AK16" s="535">
        <v>1080.0000000000039</v>
      </c>
      <c r="AL16" s="535">
        <v>56.842105263158096</v>
      </c>
      <c r="AM16" s="562">
        <f t="shared" si="16"/>
        <v>13</v>
      </c>
      <c r="AN16" s="642"/>
      <c r="AO16" s="534">
        <v>19</v>
      </c>
      <c r="AP16" s="535">
        <v>1117.5000000000041</v>
      </c>
      <c r="AQ16" s="535">
        <v>58.815789473684426</v>
      </c>
      <c r="AR16" s="562">
        <f t="shared" si="17"/>
        <v>13</v>
      </c>
      <c r="AS16" s="642"/>
      <c r="AT16" s="534">
        <v>18</v>
      </c>
      <c r="AU16" s="535">
        <v>1038.4615384615422</v>
      </c>
      <c r="AV16" s="535">
        <v>57.692307692307899</v>
      </c>
      <c r="AW16" s="562">
        <f t="shared" si="18"/>
        <v>13</v>
      </c>
      <c r="AX16" s="642"/>
      <c r="AZ16" s="368" t="e">
        <f t="shared" si="10"/>
        <v>#N/A</v>
      </c>
      <c r="BA16" s="642"/>
    </row>
    <row r="17" spans="2:53">
      <c r="B17" s="647"/>
      <c r="C17" s="534">
        <v>11</v>
      </c>
      <c r="D17" s="225" t="s">
        <v>588</v>
      </c>
      <c r="E17" s="535">
        <v>17</v>
      </c>
      <c r="F17" s="534">
        <v>1440</v>
      </c>
      <c r="G17" s="536">
        <v>84.7</v>
      </c>
      <c r="H17" s="701"/>
      <c r="I17" s="538">
        <f t="shared" si="0"/>
        <v>16.857142857142858</v>
      </c>
      <c r="J17" s="538">
        <f t="shared" si="1"/>
        <v>1359.3318526227752</v>
      </c>
      <c r="K17" s="199">
        <f t="shared" si="2"/>
        <v>80.677362192349122</v>
      </c>
      <c r="L17" s="657"/>
      <c r="M17" s="565">
        <f>RANK(K17, K$7:$K$21)</f>
        <v>2</v>
      </c>
      <c r="N17" s="641"/>
      <c r="O17" s="641"/>
      <c r="P17" s="534">
        <v>17</v>
      </c>
      <c r="Q17" s="535">
        <v>1372.6476190476187</v>
      </c>
      <c r="R17" s="535">
        <v>80.743977591036398</v>
      </c>
      <c r="S17" s="562">
        <f t="shared" si="12"/>
        <v>2</v>
      </c>
      <c r="T17" s="642"/>
      <c r="U17" s="534">
        <v>17</v>
      </c>
      <c r="V17" s="535">
        <v>1379.3032258064511</v>
      </c>
      <c r="W17" s="535">
        <v>81.135483870967718</v>
      </c>
      <c r="X17" s="562">
        <f t="shared" si="13"/>
        <v>2</v>
      </c>
      <c r="Y17" s="642"/>
      <c r="Z17" s="534">
        <v>17</v>
      </c>
      <c r="AA17" s="535">
        <v>1346.8551724137928</v>
      </c>
      <c r="AB17" s="535">
        <v>79.226774847870161</v>
      </c>
      <c r="AC17" s="562">
        <f t="shared" si="14"/>
        <v>2</v>
      </c>
      <c r="AD17" s="642"/>
      <c r="AE17" s="534">
        <v>17</v>
      </c>
      <c r="AF17" s="535">
        <v>1368.1578947368414</v>
      </c>
      <c r="AG17" s="535">
        <v>80.479876160990671</v>
      </c>
      <c r="AH17" s="562">
        <f t="shared" si="15"/>
        <v>2</v>
      </c>
      <c r="AI17" s="642"/>
      <c r="AJ17" s="534">
        <v>17</v>
      </c>
      <c r="AK17" s="535">
        <v>1331.6949152542365</v>
      </c>
      <c r="AL17" s="535">
        <v>78.334995014955098</v>
      </c>
      <c r="AM17" s="562">
        <f t="shared" si="16"/>
        <v>2</v>
      </c>
      <c r="AN17" s="642"/>
      <c r="AO17" s="534">
        <v>17</v>
      </c>
      <c r="AP17" s="535">
        <v>1352.1340206185571</v>
      </c>
      <c r="AQ17" s="535">
        <v>79.537295330503355</v>
      </c>
      <c r="AR17" s="562">
        <f t="shared" si="17"/>
        <v>2</v>
      </c>
      <c r="AS17" s="642"/>
      <c r="AT17" s="534">
        <v>16</v>
      </c>
      <c r="AU17" s="535">
        <v>1364.5301204819273</v>
      </c>
      <c r="AV17" s="535">
        <v>85.283132530120454</v>
      </c>
      <c r="AW17" s="562">
        <f t="shared" si="18"/>
        <v>1</v>
      </c>
      <c r="AX17" s="642"/>
      <c r="AZ17" s="368" t="e">
        <f t="shared" si="10"/>
        <v>#N/A</v>
      </c>
      <c r="BA17" s="642"/>
    </row>
    <row r="18" spans="2:53">
      <c r="B18" s="647"/>
      <c r="C18" s="534">
        <v>12</v>
      </c>
      <c r="D18" s="225" t="s">
        <v>641</v>
      </c>
      <c r="E18" s="535">
        <v>19</v>
      </c>
      <c r="F18" s="534">
        <v>1440</v>
      </c>
      <c r="G18" s="536">
        <v>75.8</v>
      </c>
      <c r="H18" s="701"/>
      <c r="I18" s="538">
        <f t="shared" si="0"/>
        <v>19</v>
      </c>
      <c r="J18" s="538">
        <f t="shared" si="1"/>
        <v>1237.4462541007892</v>
      </c>
      <c r="K18" s="199">
        <f t="shared" si="2"/>
        <v>65.128750215831005</v>
      </c>
      <c r="L18" s="657"/>
      <c r="M18" s="565">
        <f>RANK(K18, K$7:$K$21)</f>
        <v>11</v>
      </c>
      <c r="N18" s="641"/>
      <c r="O18" s="641"/>
      <c r="P18" s="534">
        <v>19</v>
      </c>
      <c r="Q18" s="535">
        <v>1263.3333333333323</v>
      </c>
      <c r="R18" s="535">
        <v>66.491228070175382</v>
      </c>
      <c r="S18" s="562">
        <f t="shared" si="12"/>
        <v>11</v>
      </c>
      <c r="T18" s="642"/>
      <c r="U18" s="534">
        <v>19</v>
      </c>
      <c r="V18" s="535">
        <v>1275.4285714285702</v>
      </c>
      <c r="W18" s="535">
        <v>67.127819548872111</v>
      </c>
      <c r="X18" s="562">
        <f t="shared" si="13"/>
        <v>10</v>
      </c>
      <c r="Y18" s="642"/>
      <c r="Z18" s="534">
        <v>19</v>
      </c>
      <c r="AA18" s="535">
        <v>1287.2727272727257</v>
      </c>
      <c r="AB18" s="535">
        <v>67.751196172248726</v>
      </c>
      <c r="AC18" s="562">
        <f t="shared" si="14"/>
        <v>9</v>
      </c>
      <c r="AD18" s="642"/>
      <c r="AE18" s="534">
        <v>19</v>
      </c>
      <c r="AF18" s="535">
        <v>1119.310344827584</v>
      </c>
      <c r="AG18" s="535">
        <v>58.911070780399157</v>
      </c>
      <c r="AH18" s="562">
        <f t="shared" si="15"/>
        <v>13</v>
      </c>
      <c r="AI18" s="642"/>
      <c r="AJ18" s="534">
        <v>19</v>
      </c>
      <c r="AK18" s="535">
        <v>1090.7142857142833</v>
      </c>
      <c r="AL18" s="535">
        <v>57.406015037593853</v>
      </c>
      <c r="AM18" s="562">
        <f t="shared" si="16"/>
        <v>12</v>
      </c>
      <c r="AN18" s="642"/>
      <c r="AO18" s="534">
        <v>19</v>
      </c>
      <c r="AP18" s="535">
        <v>1318.0645161290302</v>
      </c>
      <c r="AQ18" s="535">
        <v>69.371816638370007</v>
      </c>
      <c r="AR18" s="562">
        <f t="shared" si="17"/>
        <v>9</v>
      </c>
      <c r="AS18" s="642"/>
      <c r="AT18" s="534">
        <v>19</v>
      </c>
      <c r="AU18" s="535">
        <v>1307.9999999999989</v>
      </c>
      <c r="AV18" s="535">
        <v>68.842105263157833</v>
      </c>
      <c r="AW18" s="562">
        <f t="shared" si="18"/>
        <v>8</v>
      </c>
      <c r="AX18" s="642"/>
      <c r="AZ18" s="368" t="e">
        <f t="shared" si="10"/>
        <v>#N/A</v>
      </c>
      <c r="BA18" s="642"/>
    </row>
    <row r="19" spans="2:53">
      <c r="B19" s="647"/>
      <c r="C19" s="534">
        <v>13</v>
      </c>
      <c r="D19" s="225" t="s">
        <v>701</v>
      </c>
      <c r="E19" s="535">
        <v>18</v>
      </c>
      <c r="F19" s="534">
        <v>1440</v>
      </c>
      <c r="G19" s="536">
        <v>80</v>
      </c>
      <c r="H19" s="701"/>
      <c r="I19" s="538">
        <f t="shared" si="0"/>
        <v>18</v>
      </c>
      <c r="J19" s="538">
        <f t="shared" si="1"/>
        <v>1317.8207809384528</v>
      </c>
      <c r="K19" s="199">
        <f t="shared" si="2"/>
        <v>73.212265607691833</v>
      </c>
      <c r="L19" s="657"/>
      <c r="M19" s="565">
        <f>RANK(K19, K$7:$K$21)</f>
        <v>6</v>
      </c>
      <c r="N19" s="641"/>
      <c r="O19" s="641"/>
      <c r="P19" s="534">
        <v>18</v>
      </c>
      <c r="Q19" s="535">
        <v>1304.8000000000004</v>
      </c>
      <c r="R19" s="535">
        <v>72.488888888888908</v>
      </c>
      <c r="S19" s="562">
        <f t="shared" si="12"/>
        <v>6</v>
      </c>
      <c r="T19" s="642"/>
      <c r="U19" s="534">
        <v>18</v>
      </c>
      <c r="V19" s="535">
        <v>1307.3684210526321</v>
      </c>
      <c r="W19" s="535">
        <v>72.631578947368453</v>
      </c>
      <c r="X19" s="562">
        <f t="shared" si="13"/>
        <v>6</v>
      </c>
      <c r="Y19" s="642"/>
      <c r="Z19" s="534">
        <v>18</v>
      </c>
      <c r="AA19" s="535">
        <v>1337.5384615384612</v>
      </c>
      <c r="AB19" s="535">
        <v>74.307692307692292</v>
      </c>
      <c r="AC19" s="562">
        <f t="shared" si="14"/>
        <v>6</v>
      </c>
      <c r="AD19" s="642"/>
      <c r="AE19" s="534">
        <v>18</v>
      </c>
      <c r="AF19" s="535">
        <v>1316.1702127659578</v>
      </c>
      <c r="AG19" s="535">
        <v>73.120567375886537</v>
      </c>
      <c r="AH19" s="562">
        <f t="shared" si="15"/>
        <v>6</v>
      </c>
      <c r="AI19" s="642"/>
      <c r="AJ19" s="534">
        <v>18</v>
      </c>
      <c r="AK19" s="535">
        <v>1311.6666666666656</v>
      </c>
      <c r="AL19" s="535">
        <v>72.87037037037031</v>
      </c>
      <c r="AM19" s="562">
        <f t="shared" si="16"/>
        <v>6</v>
      </c>
      <c r="AN19" s="642"/>
      <c r="AO19" s="534">
        <v>18</v>
      </c>
      <c r="AP19" s="535">
        <v>1338.5454545454534</v>
      </c>
      <c r="AQ19" s="535">
        <v>74.363636363636303</v>
      </c>
      <c r="AR19" s="562">
        <f t="shared" si="17"/>
        <v>6</v>
      </c>
      <c r="AS19" s="642"/>
      <c r="AT19" s="534">
        <v>18</v>
      </c>
      <c r="AU19" s="535">
        <v>1308.6562499999998</v>
      </c>
      <c r="AV19" s="535">
        <v>72.703124999999986</v>
      </c>
      <c r="AW19" s="562">
        <f t="shared" si="18"/>
        <v>6</v>
      </c>
      <c r="AX19" s="642"/>
      <c r="AZ19" s="368" t="e">
        <f t="shared" si="10"/>
        <v>#N/A</v>
      </c>
      <c r="BA19" s="642"/>
    </row>
    <row r="20" spans="2:53">
      <c r="B20" s="647"/>
      <c r="C20" s="534">
        <v>14</v>
      </c>
      <c r="D20" s="225"/>
      <c r="E20" s="535"/>
      <c r="F20" s="534"/>
      <c r="G20" s="536"/>
      <c r="H20" s="701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7"/>
      <c r="M20" s="565" t="e">
        <f>RANK(K20, K$7:$K$21)</f>
        <v>#VALUE!</v>
      </c>
      <c r="N20" s="641"/>
      <c r="O20" s="641"/>
      <c r="P20" s="534" t="s">
        <v>585</v>
      </c>
      <c r="Q20" s="535" t="s">
        <v>585</v>
      </c>
      <c r="R20" s="535" t="s">
        <v>585</v>
      </c>
      <c r="S20" s="562" t="e">
        <f t="shared" si="12"/>
        <v>#VALUE!</v>
      </c>
      <c r="T20" s="642"/>
      <c r="U20" s="534" t="s">
        <v>585</v>
      </c>
      <c r="V20" s="535" t="s">
        <v>585</v>
      </c>
      <c r="W20" s="535" t="s">
        <v>585</v>
      </c>
      <c r="X20" s="562" t="e">
        <f t="shared" si="13"/>
        <v>#VALUE!</v>
      </c>
      <c r="Y20" s="642"/>
      <c r="Z20" s="534" t="s">
        <v>585</v>
      </c>
      <c r="AA20" s="535" t="s">
        <v>585</v>
      </c>
      <c r="AB20" s="535" t="s">
        <v>585</v>
      </c>
      <c r="AC20" s="562" t="e">
        <f t="shared" si="14"/>
        <v>#VALUE!</v>
      </c>
      <c r="AD20" s="642"/>
      <c r="AE20" s="534" t="s">
        <v>585</v>
      </c>
      <c r="AF20" s="535" t="s">
        <v>585</v>
      </c>
      <c r="AG20" s="535" t="s">
        <v>585</v>
      </c>
      <c r="AH20" s="562" t="e">
        <f t="shared" si="15"/>
        <v>#VALUE!</v>
      </c>
      <c r="AI20" s="642"/>
      <c r="AJ20" s="534" t="s">
        <v>585</v>
      </c>
      <c r="AK20" s="535" t="s">
        <v>585</v>
      </c>
      <c r="AL20" s="535" t="s">
        <v>585</v>
      </c>
      <c r="AM20" s="562" t="e">
        <f t="shared" si="16"/>
        <v>#VALUE!</v>
      </c>
      <c r="AN20" s="642"/>
      <c r="AO20" s="534" t="s">
        <v>585</v>
      </c>
      <c r="AP20" s="535" t="s">
        <v>585</v>
      </c>
      <c r="AQ20" s="535" t="s">
        <v>585</v>
      </c>
      <c r="AR20" s="562" t="e">
        <f t="shared" si="17"/>
        <v>#VALUE!</v>
      </c>
      <c r="AS20" s="642"/>
      <c r="AT20" s="534" t="s">
        <v>585</v>
      </c>
      <c r="AU20" s="535" t="s">
        <v>585</v>
      </c>
      <c r="AV20" s="535" t="s">
        <v>585</v>
      </c>
      <c r="AW20" s="562" t="e">
        <f t="shared" si="18"/>
        <v>#VALUE!</v>
      </c>
      <c r="AX20" s="642"/>
      <c r="AZ20" s="368" t="e">
        <f t="shared" si="10"/>
        <v>#N/A</v>
      </c>
      <c r="BA20" s="642"/>
    </row>
    <row r="21" spans="2:53">
      <c r="B21" s="647"/>
      <c r="C21" s="534">
        <v>15</v>
      </c>
      <c r="D21" s="225"/>
      <c r="E21" s="535"/>
      <c r="F21" s="534"/>
      <c r="G21" s="536"/>
      <c r="H21" s="702"/>
      <c r="I21" s="538" t="str">
        <f t="shared" si="0"/>
        <v>-</v>
      </c>
      <c r="J21" s="538" t="str">
        <f t="shared" si="1"/>
        <v>-</v>
      </c>
      <c r="K21" s="199" t="str">
        <f t="shared" si="2"/>
        <v>-</v>
      </c>
      <c r="L21" s="658"/>
      <c r="M21" s="565" t="e">
        <f>RANK(K21, K$7:$K$21)</f>
        <v>#VALUE!</v>
      </c>
      <c r="N21" s="641"/>
      <c r="O21" s="641"/>
      <c r="P21" s="534" t="s">
        <v>585</v>
      </c>
      <c r="Q21" s="535" t="s">
        <v>585</v>
      </c>
      <c r="R21" s="535" t="s">
        <v>585</v>
      </c>
      <c r="S21" s="562" t="e">
        <f t="shared" si="12"/>
        <v>#VALUE!</v>
      </c>
      <c r="T21" s="642"/>
      <c r="U21" s="534" t="s">
        <v>585</v>
      </c>
      <c r="V21" s="535" t="s">
        <v>585</v>
      </c>
      <c r="W21" s="535" t="s">
        <v>585</v>
      </c>
      <c r="X21" s="562" t="e">
        <f t="shared" si="13"/>
        <v>#VALUE!</v>
      </c>
      <c r="Y21" s="642"/>
      <c r="Z21" s="534" t="s">
        <v>585</v>
      </c>
      <c r="AA21" s="535" t="s">
        <v>585</v>
      </c>
      <c r="AB21" s="535" t="s">
        <v>585</v>
      </c>
      <c r="AC21" s="562" t="e">
        <f t="shared" si="14"/>
        <v>#VALUE!</v>
      </c>
      <c r="AD21" s="642"/>
      <c r="AE21" s="534" t="s">
        <v>585</v>
      </c>
      <c r="AF21" s="535" t="s">
        <v>585</v>
      </c>
      <c r="AG21" s="535" t="s">
        <v>585</v>
      </c>
      <c r="AH21" s="562" t="e">
        <f t="shared" si="15"/>
        <v>#VALUE!</v>
      </c>
      <c r="AI21" s="642"/>
      <c r="AJ21" s="534" t="s">
        <v>585</v>
      </c>
      <c r="AK21" s="535" t="s">
        <v>585</v>
      </c>
      <c r="AL21" s="535" t="s">
        <v>585</v>
      </c>
      <c r="AM21" s="562" t="e">
        <f t="shared" si="16"/>
        <v>#VALUE!</v>
      </c>
      <c r="AN21" s="642"/>
      <c r="AO21" s="534" t="s">
        <v>585</v>
      </c>
      <c r="AP21" s="535" t="s">
        <v>585</v>
      </c>
      <c r="AQ21" s="535" t="s">
        <v>585</v>
      </c>
      <c r="AR21" s="562" t="e">
        <f t="shared" si="17"/>
        <v>#VALUE!</v>
      </c>
      <c r="AS21" s="642"/>
      <c r="AT21" s="534" t="s">
        <v>585</v>
      </c>
      <c r="AU21" s="535" t="s">
        <v>585</v>
      </c>
      <c r="AV21" s="535" t="s">
        <v>585</v>
      </c>
      <c r="AW21" s="562" t="e">
        <f t="shared" si="18"/>
        <v>#VALUE!</v>
      </c>
      <c r="AX21" s="642"/>
      <c r="AZ21" s="368" t="e">
        <f t="shared" si="10"/>
        <v>#N/A</v>
      </c>
      <c r="BA21" s="642"/>
    </row>
    <row r="22" spans="2:53" ht="15.75">
      <c r="B22" s="680" t="s">
        <v>162</v>
      </c>
      <c r="C22" s="681"/>
      <c r="D22" s="681"/>
      <c r="E22" s="681"/>
      <c r="F22" s="681"/>
      <c r="G22" s="681"/>
      <c r="H22" s="681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68">
        <f>P2+7</f>
        <v>46238</v>
      </c>
      <c r="Q22" s="647"/>
      <c r="R22" s="647"/>
      <c r="S22" s="647"/>
      <c r="T22" s="647"/>
      <c r="U22" s="665">
        <f>P22+1</f>
        <v>46239</v>
      </c>
      <c r="V22" s="666"/>
      <c r="W22" s="666"/>
      <c r="X22" s="666"/>
      <c r="Y22" s="667"/>
      <c r="Z22" s="665">
        <f>U22+1</f>
        <v>46240</v>
      </c>
      <c r="AA22" s="666"/>
      <c r="AB22" s="666"/>
      <c r="AC22" s="666"/>
      <c r="AD22" s="667"/>
      <c r="AE22" s="665">
        <f>Z22+1</f>
        <v>46241</v>
      </c>
      <c r="AF22" s="666"/>
      <c r="AG22" s="666"/>
      <c r="AH22" s="666"/>
      <c r="AI22" s="667"/>
      <c r="AJ22" s="665">
        <f>AE22+1</f>
        <v>46242</v>
      </c>
      <c r="AK22" s="666"/>
      <c r="AL22" s="666"/>
      <c r="AM22" s="666"/>
      <c r="AN22" s="667"/>
      <c r="AO22" s="665">
        <f>AJ22+1</f>
        <v>46243</v>
      </c>
      <c r="AP22" s="666"/>
      <c r="AQ22" s="666"/>
      <c r="AR22" s="666"/>
      <c r="AS22" s="667"/>
      <c r="AT22" s="665">
        <f>AO22+1</f>
        <v>46244</v>
      </c>
      <c r="AU22" s="666"/>
      <c r="AV22" s="666"/>
      <c r="AW22" s="666"/>
      <c r="AX22" s="667"/>
    </row>
    <row r="23" spans="2:53" ht="15.75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45"/>
      <c r="O23" s="645"/>
      <c r="P23" s="668" t="s">
        <v>317</v>
      </c>
      <c r="Q23" s="647"/>
      <c r="R23" s="647"/>
      <c r="S23" s="647"/>
      <c r="T23" s="647"/>
      <c r="U23" s="668" t="s">
        <v>318</v>
      </c>
      <c r="V23" s="647"/>
      <c r="W23" s="647"/>
      <c r="X23" s="647"/>
      <c r="Y23" s="647"/>
      <c r="Z23" s="668" t="s">
        <v>319</v>
      </c>
      <c r="AA23" s="647"/>
      <c r="AB23" s="647"/>
      <c r="AC23" s="647"/>
      <c r="AD23" s="647"/>
      <c r="AE23" s="668" t="s">
        <v>320</v>
      </c>
      <c r="AF23" s="647"/>
      <c r="AG23" s="647"/>
      <c r="AH23" s="647"/>
      <c r="AI23" s="647"/>
      <c r="AJ23" s="668" t="s">
        <v>321</v>
      </c>
      <c r="AK23" s="647"/>
      <c r="AL23" s="647"/>
      <c r="AM23" s="647"/>
      <c r="AN23" s="647"/>
      <c r="AO23" s="668" t="s">
        <v>322</v>
      </c>
      <c r="AP23" s="647"/>
      <c r="AQ23" s="647"/>
      <c r="AR23" s="647"/>
      <c r="AS23" s="647"/>
      <c r="AT23" s="668" t="s">
        <v>323</v>
      </c>
      <c r="AU23" s="647"/>
      <c r="AV23" s="647"/>
      <c r="AW23" s="647"/>
      <c r="AX23" s="647"/>
    </row>
    <row r="24" spans="2:53">
      <c r="B24" s="641" t="s">
        <v>154</v>
      </c>
      <c r="C24" s="641" t="s">
        <v>379</v>
      </c>
      <c r="D24" s="641"/>
      <c r="E24" s="641" t="s">
        <v>370</v>
      </c>
      <c r="F24" s="641"/>
      <c r="G24" s="641"/>
      <c r="H24" s="673" t="s">
        <v>366</v>
      </c>
      <c r="I24" s="688" t="s">
        <v>371</v>
      </c>
      <c r="J24" s="688"/>
      <c r="K24" s="688"/>
      <c r="L24" s="689" t="s">
        <v>366</v>
      </c>
      <c r="M24" s="677" t="s">
        <v>367</v>
      </c>
      <c r="N24" s="641"/>
      <c r="O24" s="641" t="s">
        <v>372</v>
      </c>
      <c r="P24" s="659" t="s">
        <v>368</v>
      </c>
      <c r="Q24" s="660"/>
      <c r="R24" s="660"/>
      <c r="S24" s="661"/>
      <c r="T24" s="641" t="s">
        <v>366</v>
      </c>
      <c r="U24" s="659" t="s">
        <v>368</v>
      </c>
      <c r="V24" s="660"/>
      <c r="W24" s="660"/>
      <c r="X24" s="661"/>
      <c r="Y24" s="641" t="s">
        <v>366</v>
      </c>
      <c r="Z24" s="659" t="s">
        <v>368</v>
      </c>
      <c r="AA24" s="660"/>
      <c r="AB24" s="660"/>
      <c r="AC24" s="661"/>
      <c r="AD24" s="641" t="s">
        <v>366</v>
      </c>
      <c r="AE24" s="659" t="s">
        <v>368</v>
      </c>
      <c r="AF24" s="660"/>
      <c r="AG24" s="660"/>
      <c r="AH24" s="661"/>
      <c r="AI24" s="641" t="s">
        <v>366</v>
      </c>
      <c r="AJ24" s="659" t="s">
        <v>368</v>
      </c>
      <c r="AK24" s="660"/>
      <c r="AL24" s="660"/>
      <c r="AM24" s="661"/>
      <c r="AN24" s="641" t="s">
        <v>366</v>
      </c>
      <c r="AO24" s="659" t="s">
        <v>368</v>
      </c>
      <c r="AP24" s="660"/>
      <c r="AQ24" s="660"/>
      <c r="AR24" s="661"/>
      <c r="AS24" s="641" t="s">
        <v>366</v>
      </c>
      <c r="AT24" s="659" t="s">
        <v>368</v>
      </c>
      <c r="AU24" s="660"/>
      <c r="AV24" s="660"/>
      <c r="AW24" s="661"/>
      <c r="AX24" s="641" t="s">
        <v>366</v>
      </c>
      <c r="BA24" s="641" t="s">
        <v>366</v>
      </c>
    </row>
    <row r="25" spans="2:53">
      <c r="B25" s="641"/>
      <c r="C25" s="641"/>
      <c r="D25" s="641"/>
      <c r="E25" s="641" t="s">
        <v>373</v>
      </c>
      <c r="F25" s="641"/>
      <c r="G25" s="641"/>
      <c r="H25" s="674"/>
      <c r="I25" s="688" t="s">
        <v>373</v>
      </c>
      <c r="J25" s="688"/>
      <c r="K25" s="688"/>
      <c r="L25" s="690"/>
      <c r="M25" s="678"/>
      <c r="N25" s="641"/>
      <c r="O25" s="641"/>
      <c r="P25" s="659" t="s">
        <v>374</v>
      </c>
      <c r="Q25" s="660"/>
      <c r="R25" s="660"/>
      <c r="S25" s="661"/>
      <c r="T25" s="641"/>
      <c r="U25" s="659" t="s">
        <v>374</v>
      </c>
      <c r="V25" s="660"/>
      <c r="W25" s="660"/>
      <c r="X25" s="661"/>
      <c r="Y25" s="641"/>
      <c r="Z25" s="659" t="s">
        <v>374</v>
      </c>
      <c r="AA25" s="660"/>
      <c r="AB25" s="660"/>
      <c r="AC25" s="661"/>
      <c r="AD25" s="641"/>
      <c r="AE25" s="659" t="s">
        <v>374</v>
      </c>
      <c r="AF25" s="660"/>
      <c r="AG25" s="660"/>
      <c r="AH25" s="661"/>
      <c r="AI25" s="641"/>
      <c r="AJ25" s="659" t="s">
        <v>374</v>
      </c>
      <c r="AK25" s="660"/>
      <c r="AL25" s="660"/>
      <c r="AM25" s="661"/>
      <c r="AN25" s="641"/>
      <c r="AO25" s="659" t="s">
        <v>374</v>
      </c>
      <c r="AP25" s="660"/>
      <c r="AQ25" s="660"/>
      <c r="AR25" s="661"/>
      <c r="AS25" s="641"/>
      <c r="AT25" s="659" t="s">
        <v>374</v>
      </c>
      <c r="AU25" s="660"/>
      <c r="AV25" s="660"/>
      <c r="AW25" s="661"/>
      <c r="AX25" s="641"/>
      <c r="BA25" s="641"/>
    </row>
    <row r="26" spans="2:53">
      <c r="B26" s="641"/>
      <c r="C26" s="641"/>
      <c r="D26" s="641"/>
      <c r="E26" s="378" t="s">
        <v>375</v>
      </c>
      <c r="F26" s="378" t="s">
        <v>376</v>
      </c>
      <c r="G26" s="378" t="s">
        <v>377</v>
      </c>
      <c r="H26" s="675"/>
      <c r="I26" s="377" t="s">
        <v>375</v>
      </c>
      <c r="J26" s="377" t="s">
        <v>376</v>
      </c>
      <c r="K26" s="377" t="s">
        <v>377</v>
      </c>
      <c r="L26" s="691"/>
      <c r="M26" s="679"/>
      <c r="N26" s="641"/>
      <c r="O26" s="641"/>
      <c r="P26" s="378" t="s">
        <v>375</v>
      </c>
      <c r="Q26" s="378" t="s">
        <v>376</v>
      </c>
      <c r="R26" s="378" t="s">
        <v>377</v>
      </c>
      <c r="S26" s="378" t="s">
        <v>367</v>
      </c>
      <c r="T26" s="641"/>
      <c r="U26" s="378" t="s">
        <v>375</v>
      </c>
      <c r="V26" s="378" t="s">
        <v>376</v>
      </c>
      <c r="W26" s="378" t="s">
        <v>377</v>
      </c>
      <c r="X26" s="378" t="s">
        <v>367</v>
      </c>
      <c r="Y26" s="641"/>
      <c r="Z26" s="378" t="s">
        <v>375</v>
      </c>
      <c r="AA26" s="378" t="s">
        <v>376</v>
      </c>
      <c r="AB26" s="378" t="s">
        <v>377</v>
      </c>
      <c r="AC26" s="378" t="s">
        <v>367</v>
      </c>
      <c r="AD26" s="641"/>
      <c r="AE26" s="378" t="s">
        <v>375</v>
      </c>
      <c r="AF26" s="378" t="s">
        <v>376</v>
      </c>
      <c r="AG26" s="378" t="s">
        <v>377</v>
      </c>
      <c r="AH26" s="378" t="s">
        <v>367</v>
      </c>
      <c r="AI26" s="641"/>
      <c r="AJ26" s="378" t="s">
        <v>375</v>
      </c>
      <c r="AK26" s="378" t="s">
        <v>376</v>
      </c>
      <c r="AL26" s="378" t="s">
        <v>377</v>
      </c>
      <c r="AM26" s="378" t="s">
        <v>367</v>
      </c>
      <c r="AN26" s="641"/>
      <c r="AO26" s="378" t="s">
        <v>375</v>
      </c>
      <c r="AP26" s="378" t="s">
        <v>376</v>
      </c>
      <c r="AQ26" s="378" t="s">
        <v>377</v>
      </c>
      <c r="AR26" s="378" t="s">
        <v>367</v>
      </c>
      <c r="AS26" s="641"/>
      <c r="AT26" s="378" t="s">
        <v>375</v>
      </c>
      <c r="AU26" s="378" t="s">
        <v>376</v>
      </c>
      <c r="AV26" s="378" t="s">
        <v>377</v>
      </c>
      <c r="AW26" s="378" t="s">
        <v>367</v>
      </c>
      <c r="AX26" s="641"/>
      <c r="AZ26" s="367" t="s">
        <v>367</v>
      </c>
      <c r="BA26" s="641"/>
    </row>
    <row r="27" spans="2:53">
      <c r="B27" s="641" t="s">
        <v>132</v>
      </c>
      <c r="C27" s="379">
        <v>1</v>
      </c>
      <c r="D27" s="225" t="s">
        <v>604</v>
      </c>
      <c r="E27" s="535">
        <v>17</v>
      </c>
      <c r="F27" s="534">
        <v>1440</v>
      </c>
      <c r="G27" s="536">
        <v>84.7</v>
      </c>
      <c r="H27" s="700">
        <f>AVERAGE(G27:G41)</f>
        <v>79.792307692307688</v>
      </c>
      <c r="I27" s="381">
        <f t="shared" ref="I27:I40" si="19">IFERROR(AVERAGE(P27,U27,Z27,AE27,AJ27,AO27,AT27),"-")</f>
        <v>17</v>
      </c>
      <c r="J27" s="381">
        <f t="shared" ref="J27:J40" si="20">IFERROR(AVERAGE(Q27,V27,AA27,AF27,AK27,AP27,AU27),"-")</f>
        <v>1275.7837390456191</v>
      </c>
      <c r="K27" s="199">
        <f t="shared" ref="K27:K40" si="21">IFERROR(AVERAGE(R27,W27,AB27,AG27,AL27,AQ27,AV27),"-")</f>
        <v>75.046102296801124</v>
      </c>
      <c r="L27" s="656">
        <f>IFERROR(AVERAGE(K27:K41),"-")</f>
        <v>72.33406504220406</v>
      </c>
      <c r="M27" s="383">
        <f>RANK(K27, K$24:$K$41)</f>
        <v>5</v>
      </c>
      <c r="N27" s="641"/>
      <c r="O27" s="641"/>
      <c r="P27" s="556">
        <v>17</v>
      </c>
      <c r="Q27" s="557">
        <v>1292.3529411764712</v>
      </c>
      <c r="R27" s="557">
        <v>76.020761245674777</v>
      </c>
      <c r="S27" s="556">
        <f t="shared" ref="S27:S41" si="22">RANK(R27, R$27:R$41)</f>
        <v>4</v>
      </c>
      <c r="T27" s="636">
        <f t="shared" ref="T27" si="23">AVERAGE(R27:R41)</f>
        <v>70.775066375968677</v>
      </c>
      <c r="U27" s="556">
        <v>17</v>
      </c>
      <c r="V27" s="557">
        <v>1285.0000000000002</v>
      </c>
      <c r="W27" s="557">
        <v>75.588235294117666</v>
      </c>
      <c r="X27" s="556">
        <f t="shared" ref="X27:X41" si="24">RANK(W27, W$27:W$41)</f>
        <v>4</v>
      </c>
      <c r="Y27" s="636">
        <f t="shared" ref="Y27" si="25">AVERAGE(W27:W41)</f>
        <v>70.814492305664672</v>
      </c>
      <c r="Z27" s="556">
        <v>17</v>
      </c>
      <c r="AA27" s="557">
        <v>1297.8947368421054</v>
      </c>
      <c r="AB27" s="557">
        <v>76.346749226006196</v>
      </c>
      <c r="AC27" s="556">
        <f t="shared" ref="AC27:AC41" si="26">RANK(AB27, AB$27:AB$41)</f>
        <v>6</v>
      </c>
      <c r="AD27" s="636">
        <f t="shared" ref="AD27" si="27">AVERAGE(AB27:AB41)</f>
        <v>75.965417913177205</v>
      </c>
      <c r="AE27" s="556">
        <v>17</v>
      </c>
      <c r="AF27" s="557">
        <v>1259.9999999999998</v>
      </c>
      <c r="AG27" s="557">
        <v>74.117647058823522</v>
      </c>
      <c r="AH27" s="556">
        <f t="shared" ref="AH27:AH41" si="28">RANK(AG27, AG$27:AG$41)</f>
        <v>7</v>
      </c>
      <c r="AI27" s="636">
        <f t="shared" ref="AI27" si="29">AVERAGE(AG27:AG41)</f>
        <v>75.210789742660978</v>
      </c>
      <c r="AJ27" s="556">
        <v>17</v>
      </c>
      <c r="AK27" s="557">
        <v>1257.6923076923069</v>
      </c>
      <c r="AL27" s="557">
        <v>73.981900452488645</v>
      </c>
      <c r="AM27" s="556">
        <f t="shared" ref="AM27:AM41" si="30">RANK(AL27, AL$27:AL$41)</f>
        <v>7</v>
      </c>
      <c r="AN27" s="636">
        <f t="shared" ref="AN27" si="31">AVERAGE(AL27:AL41)</f>
        <v>75.039432359804849</v>
      </c>
      <c r="AO27" s="556">
        <v>17</v>
      </c>
      <c r="AP27" s="557">
        <v>1268.0412371134014</v>
      </c>
      <c r="AQ27" s="557">
        <v>74.590661006670672</v>
      </c>
      <c r="AR27" s="556">
        <f t="shared" ref="AR27:AR41" si="32">RANK(AQ27, AQ$27:AQ$41)</f>
        <v>6</v>
      </c>
      <c r="AS27" s="636">
        <f t="shared" ref="AS27" si="33">AVERAGE(AQ27:AQ41)</f>
        <v>74.994707970621988</v>
      </c>
      <c r="AT27" s="556">
        <v>17</v>
      </c>
      <c r="AU27" s="557">
        <v>1269.50495049505</v>
      </c>
      <c r="AV27" s="557">
        <v>74.676761793826472</v>
      </c>
      <c r="AW27" s="556">
        <f t="shared" ref="AW27:AW41" si="34">RANK(AV27, AV$27:AV$41)</f>
        <v>7</v>
      </c>
      <c r="AX27" s="636">
        <f t="shared" ref="AX27" si="35">AVERAGE(AV27:AV41)</f>
        <v>75.55779065360997</v>
      </c>
      <c r="AZ27" s="368" t="e">
        <f t="shared" ref="AZ27:AZ41" si="36">RANK(AY27, AY$27:AY$41)</f>
        <v>#N/A</v>
      </c>
      <c r="BA27" s="636" t="e">
        <f t="shared" ref="BA27" si="37">AVERAGE(AY27:AY41)</f>
        <v>#DIV/0!</v>
      </c>
    </row>
    <row r="28" spans="2:53">
      <c r="B28" s="647"/>
      <c r="C28" s="379">
        <v>2</v>
      </c>
      <c r="D28" s="225" t="s">
        <v>346</v>
      </c>
      <c r="E28" s="535">
        <v>18</v>
      </c>
      <c r="F28" s="534">
        <v>1440</v>
      </c>
      <c r="G28" s="536">
        <v>80</v>
      </c>
      <c r="H28" s="701"/>
      <c r="I28" s="381">
        <f t="shared" si="19"/>
        <v>18</v>
      </c>
      <c r="J28" s="381">
        <f t="shared" si="20"/>
        <v>1279.713931725704</v>
      </c>
      <c r="K28" s="199">
        <f t="shared" si="21"/>
        <v>71.095218429205772</v>
      </c>
      <c r="L28" s="657"/>
      <c r="M28" s="387">
        <f>RANK(K28, K$24:$K$41)</f>
        <v>8</v>
      </c>
      <c r="N28" s="641"/>
      <c r="O28" s="641"/>
      <c r="P28" s="556">
        <v>18</v>
      </c>
      <c r="Q28" s="557">
        <v>1078.1818181818169</v>
      </c>
      <c r="R28" s="557">
        <v>59.898989898989825</v>
      </c>
      <c r="S28" s="556">
        <f t="shared" si="22"/>
        <v>12</v>
      </c>
      <c r="T28" s="637"/>
      <c r="U28" s="556">
        <v>18</v>
      </c>
      <c r="V28" s="557">
        <v>1087.2727272727257</v>
      </c>
      <c r="W28" s="557">
        <v>60.404040404040316</v>
      </c>
      <c r="X28" s="556">
        <f t="shared" si="24"/>
        <v>13</v>
      </c>
      <c r="Y28" s="637"/>
      <c r="Z28" s="556">
        <v>18</v>
      </c>
      <c r="AA28" s="557">
        <v>1359.5876288659799</v>
      </c>
      <c r="AB28" s="557">
        <v>75.532646048109996</v>
      </c>
      <c r="AC28" s="556">
        <f t="shared" si="26"/>
        <v>7</v>
      </c>
      <c r="AD28" s="637"/>
      <c r="AE28" s="556">
        <v>18</v>
      </c>
      <c r="AF28" s="557">
        <v>1364.2105263157898</v>
      </c>
      <c r="AG28" s="557">
        <v>75.789473684210549</v>
      </c>
      <c r="AH28" s="556">
        <f t="shared" si="28"/>
        <v>5</v>
      </c>
      <c r="AI28" s="637"/>
      <c r="AJ28" s="556">
        <v>18</v>
      </c>
      <c r="AK28" s="557">
        <v>1350.76923076923</v>
      </c>
      <c r="AL28" s="557">
        <v>75.042735042735004</v>
      </c>
      <c r="AM28" s="556">
        <f t="shared" si="30"/>
        <v>5</v>
      </c>
      <c r="AN28" s="637"/>
      <c r="AO28" s="556">
        <v>18</v>
      </c>
      <c r="AP28" s="557">
        <v>1365.6623376623379</v>
      </c>
      <c r="AQ28" s="557">
        <v>75.870129870129887</v>
      </c>
      <c r="AR28" s="556">
        <f t="shared" si="32"/>
        <v>5</v>
      </c>
      <c r="AS28" s="637"/>
      <c r="AT28" s="556">
        <v>18</v>
      </c>
      <c r="AU28" s="557">
        <v>1352.3132530120479</v>
      </c>
      <c r="AV28" s="557">
        <v>75.128514056224887</v>
      </c>
      <c r="AW28" s="556">
        <f t="shared" si="34"/>
        <v>6</v>
      </c>
      <c r="AX28" s="637"/>
      <c r="AZ28" s="368" t="e">
        <f t="shared" si="36"/>
        <v>#N/A</v>
      </c>
      <c r="BA28" s="637"/>
    </row>
    <row r="29" spans="2:53">
      <c r="B29" s="647"/>
      <c r="C29" s="379">
        <v>3</v>
      </c>
      <c r="D29" s="225" t="s">
        <v>347</v>
      </c>
      <c r="E29" s="535">
        <v>17</v>
      </c>
      <c r="F29" s="534">
        <v>1440</v>
      </c>
      <c r="G29" s="536">
        <v>84.7</v>
      </c>
      <c r="H29" s="701"/>
      <c r="I29" s="381">
        <f t="shared" si="19"/>
        <v>17</v>
      </c>
      <c r="J29" s="381">
        <f t="shared" si="20"/>
        <v>1346.4587796170072</v>
      </c>
      <c r="K29" s="199">
        <f t="shared" si="21"/>
        <v>79.203457624529833</v>
      </c>
      <c r="L29" s="657"/>
      <c r="M29" s="387">
        <f>RANK(K29, K$24:$K$41)</f>
        <v>3</v>
      </c>
      <c r="N29" s="641"/>
      <c r="O29" s="641"/>
      <c r="P29" s="556">
        <v>17</v>
      </c>
      <c r="Q29" s="557">
        <v>1301.7721518987335</v>
      </c>
      <c r="R29" s="557">
        <v>76.574832464631385</v>
      </c>
      <c r="S29" s="556">
        <f t="shared" si="22"/>
        <v>3</v>
      </c>
      <c r="T29" s="637"/>
      <c r="U29" s="556">
        <v>17</v>
      </c>
      <c r="V29" s="557">
        <v>1334.1666666666656</v>
      </c>
      <c r="W29" s="557">
        <v>78.480392156862678</v>
      </c>
      <c r="X29" s="556">
        <f t="shared" si="24"/>
        <v>3</v>
      </c>
      <c r="Y29" s="637"/>
      <c r="Z29" s="556">
        <v>17</v>
      </c>
      <c r="AA29" s="557">
        <v>1352.3076923076937</v>
      </c>
      <c r="AB29" s="557">
        <v>79.547511312217281</v>
      </c>
      <c r="AC29" s="556">
        <f t="shared" si="26"/>
        <v>3</v>
      </c>
      <c r="AD29" s="637"/>
      <c r="AE29" s="556">
        <v>17</v>
      </c>
      <c r="AF29" s="557">
        <v>1356.9999999999993</v>
      </c>
      <c r="AG29" s="557">
        <v>79.823529411764667</v>
      </c>
      <c r="AH29" s="556">
        <f t="shared" si="28"/>
        <v>3</v>
      </c>
      <c r="AI29" s="637"/>
      <c r="AJ29" s="556">
        <v>17</v>
      </c>
      <c r="AK29" s="557">
        <v>1365.2307692307688</v>
      </c>
      <c r="AL29" s="557">
        <v>80.307692307692278</v>
      </c>
      <c r="AM29" s="556">
        <f t="shared" si="30"/>
        <v>3</v>
      </c>
      <c r="AN29" s="637"/>
      <c r="AO29" s="556">
        <v>17</v>
      </c>
      <c r="AP29" s="557">
        <v>1358.7341772151892</v>
      </c>
      <c r="AQ29" s="557">
        <v>79.925539836187596</v>
      </c>
      <c r="AR29" s="556">
        <f t="shared" si="32"/>
        <v>3</v>
      </c>
      <c r="AS29" s="637"/>
      <c r="AT29" s="556">
        <v>17</v>
      </c>
      <c r="AU29" s="557">
        <v>1355.9999999999995</v>
      </c>
      <c r="AV29" s="557">
        <v>79.764705882352914</v>
      </c>
      <c r="AW29" s="556">
        <f t="shared" si="34"/>
        <v>3</v>
      </c>
      <c r="AX29" s="637"/>
      <c r="AZ29" s="368" t="e">
        <f t="shared" si="36"/>
        <v>#N/A</v>
      </c>
      <c r="BA29" s="637"/>
    </row>
    <row r="30" spans="2:53">
      <c r="B30" s="647"/>
      <c r="C30" s="379">
        <v>4</v>
      </c>
      <c r="D30" s="225" t="s">
        <v>348</v>
      </c>
      <c r="E30" s="535">
        <v>21</v>
      </c>
      <c r="F30" s="534">
        <v>1385</v>
      </c>
      <c r="G30" s="536">
        <v>65.900000000000006</v>
      </c>
      <c r="H30" s="701"/>
      <c r="I30" s="381">
        <f t="shared" si="19"/>
        <v>21</v>
      </c>
      <c r="J30" s="381">
        <f t="shared" si="20"/>
        <v>1296.9059484734394</v>
      </c>
      <c r="K30" s="199">
        <f t="shared" si="21"/>
        <v>61.757426117782835</v>
      </c>
      <c r="L30" s="657"/>
      <c r="M30" s="387">
        <f>RANK(K30, K$24:$K$41)</f>
        <v>12</v>
      </c>
      <c r="N30" s="641"/>
      <c r="O30" s="641"/>
      <c r="P30" s="556">
        <v>21</v>
      </c>
      <c r="Q30" s="557">
        <v>1268.2978723404256</v>
      </c>
      <c r="R30" s="557">
        <v>60.3951367781155</v>
      </c>
      <c r="S30" s="556">
        <f t="shared" si="22"/>
        <v>11</v>
      </c>
      <c r="T30" s="637"/>
      <c r="U30" s="556">
        <v>21</v>
      </c>
      <c r="V30" s="557">
        <v>1275.6818181818182</v>
      </c>
      <c r="W30" s="557">
        <v>60.746753246753251</v>
      </c>
      <c r="X30" s="556">
        <f t="shared" si="24"/>
        <v>11</v>
      </c>
      <c r="Y30" s="637"/>
      <c r="Z30" s="556">
        <v>21</v>
      </c>
      <c r="AA30" s="557">
        <v>1305.569620253164</v>
      </c>
      <c r="AB30" s="557">
        <v>62.169981916817335</v>
      </c>
      <c r="AC30" s="556">
        <f t="shared" si="26"/>
        <v>10</v>
      </c>
      <c r="AD30" s="637"/>
      <c r="AE30" s="556">
        <v>21</v>
      </c>
      <c r="AF30" s="557">
        <v>1306.1538461538453</v>
      </c>
      <c r="AG30" s="557">
        <v>62.197802197802154</v>
      </c>
      <c r="AH30" s="556">
        <f t="shared" si="28"/>
        <v>10</v>
      </c>
      <c r="AI30" s="637"/>
      <c r="AJ30" s="556">
        <v>21</v>
      </c>
      <c r="AK30" s="557">
        <v>1312.6829268292679</v>
      </c>
      <c r="AL30" s="557">
        <v>62.508710801393711</v>
      </c>
      <c r="AM30" s="556">
        <f t="shared" si="30"/>
        <v>10</v>
      </c>
      <c r="AN30" s="637"/>
      <c r="AO30" s="556">
        <v>21</v>
      </c>
      <c r="AP30" s="557">
        <v>1305.5555555555561</v>
      </c>
      <c r="AQ30" s="557">
        <v>62.169312169312192</v>
      </c>
      <c r="AR30" s="556">
        <f t="shared" si="32"/>
        <v>10</v>
      </c>
      <c r="AS30" s="637"/>
      <c r="AT30" s="556">
        <v>21</v>
      </c>
      <c r="AU30" s="557">
        <v>1304.4000000000003</v>
      </c>
      <c r="AV30" s="557">
        <v>62.114285714285728</v>
      </c>
      <c r="AW30" s="556">
        <f t="shared" si="34"/>
        <v>10</v>
      </c>
      <c r="AX30" s="637"/>
      <c r="AZ30" s="368" t="e">
        <f t="shared" si="36"/>
        <v>#N/A</v>
      </c>
      <c r="BA30" s="637"/>
    </row>
    <row r="31" spans="2:53">
      <c r="B31" s="647"/>
      <c r="C31" s="379">
        <v>5</v>
      </c>
      <c r="D31" s="225" t="s">
        <v>349</v>
      </c>
      <c r="E31" s="535">
        <v>19</v>
      </c>
      <c r="F31" s="534">
        <v>1440</v>
      </c>
      <c r="G31" s="536">
        <v>75.8</v>
      </c>
      <c r="H31" s="701"/>
      <c r="I31" s="381">
        <f t="shared" si="19"/>
        <v>19</v>
      </c>
      <c r="J31" s="381">
        <f t="shared" si="20"/>
        <v>1351.990367805405</v>
      </c>
      <c r="K31" s="199">
        <f t="shared" si="21"/>
        <v>71.15738777923184</v>
      </c>
      <c r="L31" s="657"/>
      <c r="M31" s="387">
        <f>RANK(K31, K$24:$K$41)</f>
        <v>7</v>
      </c>
      <c r="N31" s="641"/>
      <c r="O31" s="641"/>
      <c r="P31" s="556">
        <v>19</v>
      </c>
      <c r="Q31" s="557">
        <v>1347.5862068965516</v>
      </c>
      <c r="R31" s="557">
        <v>70.925589836660606</v>
      </c>
      <c r="S31" s="556">
        <f t="shared" si="22"/>
        <v>7</v>
      </c>
      <c r="T31" s="637"/>
      <c r="U31" s="556">
        <v>19</v>
      </c>
      <c r="V31" s="557">
        <v>1316.799999999999</v>
      </c>
      <c r="W31" s="557">
        <v>69.305263157894686</v>
      </c>
      <c r="X31" s="556">
        <f t="shared" si="24"/>
        <v>8</v>
      </c>
      <c r="Y31" s="637"/>
      <c r="Z31" s="556">
        <v>19</v>
      </c>
      <c r="AA31" s="557">
        <v>1357.5000000000011</v>
      </c>
      <c r="AB31" s="557">
        <v>71.447368421052687</v>
      </c>
      <c r="AC31" s="556">
        <f t="shared" si="26"/>
        <v>8</v>
      </c>
      <c r="AD31" s="637"/>
      <c r="AE31" s="556">
        <v>19</v>
      </c>
      <c r="AF31" s="557">
        <v>1366.9090909090917</v>
      </c>
      <c r="AG31" s="557">
        <v>71.942583732057457</v>
      </c>
      <c r="AH31" s="556">
        <f t="shared" si="28"/>
        <v>8</v>
      </c>
      <c r="AI31" s="637"/>
      <c r="AJ31" s="556">
        <v>19</v>
      </c>
      <c r="AK31" s="557">
        <v>1362.7118644067807</v>
      </c>
      <c r="AL31" s="557">
        <v>71.721677074041096</v>
      </c>
      <c r="AM31" s="556">
        <f t="shared" si="30"/>
        <v>8</v>
      </c>
      <c r="AN31" s="637"/>
      <c r="AO31" s="556">
        <v>19</v>
      </c>
      <c r="AP31" s="557">
        <v>1358.9189189189178</v>
      </c>
      <c r="AQ31" s="557">
        <v>71.522048364153576</v>
      </c>
      <c r="AR31" s="556">
        <f t="shared" si="32"/>
        <v>8</v>
      </c>
      <c r="AS31" s="637"/>
      <c r="AT31" s="556">
        <v>19</v>
      </c>
      <c r="AU31" s="557">
        <v>1353.5064935064929</v>
      </c>
      <c r="AV31" s="557">
        <v>71.237183868762784</v>
      </c>
      <c r="AW31" s="556">
        <f t="shared" si="34"/>
        <v>8</v>
      </c>
      <c r="AX31" s="637"/>
      <c r="AZ31" s="368" t="e">
        <f t="shared" si="36"/>
        <v>#N/A</v>
      </c>
      <c r="BA31" s="637"/>
    </row>
    <row r="32" spans="2:53">
      <c r="B32" s="647"/>
      <c r="C32" s="379">
        <v>6</v>
      </c>
      <c r="D32" s="225" t="s">
        <v>491</v>
      </c>
      <c r="E32" s="535">
        <v>18</v>
      </c>
      <c r="F32" s="534">
        <v>1385</v>
      </c>
      <c r="G32" s="536">
        <v>76.900000000000006</v>
      </c>
      <c r="H32" s="701"/>
      <c r="I32" s="381">
        <f t="shared" si="19"/>
        <v>18</v>
      </c>
      <c r="J32" s="381">
        <f t="shared" si="20"/>
        <v>1228.8501569358375</v>
      </c>
      <c r="K32" s="199">
        <f t="shared" si="21"/>
        <v>68.269453163102099</v>
      </c>
      <c r="L32" s="657"/>
      <c r="M32" s="387">
        <f>RANK(K32, K$24:$K$41)</f>
        <v>9</v>
      </c>
      <c r="N32" s="641"/>
      <c r="O32" s="641"/>
      <c r="P32" s="556">
        <v>18</v>
      </c>
      <c r="Q32" s="557">
        <v>1248.3582089552224</v>
      </c>
      <c r="R32" s="557">
        <v>69.353233830845681</v>
      </c>
      <c r="S32" s="556">
        <f t="shared" si="22"/>
        <v>8</v>
      </c>
      <c r="T32" s="637"/>
      <c r="U32" s="556">
        <v>18</v>
      </c>
      <c r="V32" s="557">
        <v>1248.7500000000016</v>
      </c>
      <c r="W32" s="557">
        <v>69.375000000000085</v>
      </c>
      <c r="X32" s="556">
        <f t="shared" si="24"/>
        <v>7</v>
      </c>
      <c r="Y32" s="637"/>
      <c r="Z32" s="556">
        <v>18</v>
      </c>
      <c r="AA32" s="557">
        <v>1244.5161290322592</v>
      </c>
      <c r="AB32" s="557">
        <v>69.139784946236617</v>
      </c>
      <c r="AC32" s="556">
        <f t="shared" si="26"/>
        <v>9</v>
      </c>
      <c r="AD32" s="637"/>
      <c r="AE32" s="556">
        <v>18</v>
      </c>
      <c r="AF32" s="557">
        <v>1220.0000000000005</v>
      </c>
      <c r="AG32" s="557">
        <v>67.7777777777778</v>
      </c>
      <c r="AH32" s="556">
        <f t="shared" si="28"/>
        <v>9</v>
      </c>
      <c r="AI32" s="637"/>
      <c r="AJ32" s="556">
        <v>18</v>
      </c>
      <c r="AK32" s="557">
        <v>1208.0000000000014</v>
      </c>
      <c r="AL32" s="557">
        <v>67.111111111111185</v>
      </c>
      <c r="AM32" s="556">
        <f t="shared" si="30"/>
        <v>9</v>
      </c>
      <c r="AN32" s="637"/>
      <c r="AO32" s="556">
        <v>18</v>
      </c>
      <c r="AP32" s="557">
        <v>1211.1999999999989</v>
      </c>
      <c r="AQ32" s="557">
        <v>67.288888888888835</v>
      </c>
      <c r="AR32" s="556">
        <f t="shared" si="32"/>
        <v>9</v>
      </c>
      <c r="AS32" s="637"/>
      <c r="AT32" s="556">
        <v>18</v>
      </c>
      <c r="AU32" s="557">
        <v>1221.1267605633791</v>
      </c>
      <c r="AV32" s="557">
        <v>67.840375586854393</v>
      </c>
      <c r="AW32" s="556">
        <f t="shared" si="34"/>
        <v>9</v>
      </c>
      <c r="AX32" s="637"/>
      <c r="AZ32" s="368" t="e">
        <f t="shared" si="36"/>
        <v>#N/A</v>
      </c>
      <c r="BA32" s="637"/>
    </row>
    <row r="33" spans="2:53">
      <c r="B33" s="647"/>
      <c r="C33" s="379">
        <v>7</v>
      </c>
      <c r="D33" s="225" t="s">
        <v>493</v>
      </c>
      <c r="E33" s="535">
        <v>18</v>
      </c>
      <c r="F33" s="534">
        <v>1385</v>
      </c>
      <c r="G33" s="536">
        <v>76.900000000000006</v>
      </c>
      <c r="H33" s="701"/>
      <c r="I33" s="381">
        <f t="shared" si="19"/>
        <v>18</v>
      </c>
      <c r="J33" s="381">
        <f t="shared" si="20"/>
        <v>1216.8776671408241</v>
      </c>
      <c r="K33" s="199">
        <f t="shared" si="21"/>
        <v>67.604314841156892</v>
      </c>
      <c r="L33" s="657"/>
      <c r="M33" s="387">
        <f>RANK(K33, K$24:$K$41)</f>
        <v>11</v>
      </c>
      <c r="N33" s="641"/>
      <c r="O33" s="641"/>
      <c r="P33" s="556">
        <v>18</v>
      </c>
      <c r="Q33" s="557">
        <v>1211.0526315789464</v>
      </c>
      <c r="R33" s="557">
        <v>67.280701754385916</v>
      </c>
      <c r="S33" s="556">
        <f t="shared" si="22"/>
        <v>10</v>
      </c>
      <c r="T33" s="637"/>
      <c r="U33" s="556">
        <v>18</v>
      </c>
      <c r="V33" s="557">
        <v>1222.7027027027016</v>
      </c>
      <c r="W33" s="557">
        <v>67.927927927927868</v>
      </c>
      <c r="X33" s="556">
        <f t="shared" si="24"/>
        <v>9</v>
      </c>
      <c r="Y33" s="637"/>
      <c r="Z33" s="556" t="s">
        <v>585</v>
      </c>
      <c r="AA33" s="557" t="s">
        <v>585</v>
      </c>
      <c r="AB33" s="557" t="s">
        <v>585</v>
      </c>
      <c r="AC33" s="556" t="e">
        <f t="shared" si="26"/>
        <v>#VALUE!</v>
      </c>
      <c r="AD33" s="637"/>
      <c r="AE33" s="556" t="s">
        <v>585</v>
      </c>
      <c r="AF33" s="557" t="s">
        <v>585</v>
      </c>
      <c r="AG33" s="557" t="s">
        <v>585</v>
      </c>
      <c r="AH33" s="556" t="e">
        <f t="shared" si="28"/>
        <v>#VALUE!</v>
      </c>
      <c r="AI33" s="637"/>
      <c r="AJ33" s="556" t="s">
        <v>585</v>
      </c>
      <c r="AK33" s="557" t="s">
        <v>585</v>
      </c>
      <c r="AL33" s="557" t="s">
        <v>585</v>
      </c>
      <c r="AM33" s="556" t="e">
        <f t="shared" si="30"/>
        <v>#VALUE!</v>
      </c>
      <c r="AN33" s="637"/>
      <c r="AO33" s="556" t="s">
        <v>585</v>
      </c>
      <c r="AP33" s="557" t="s">
        <v>585</v>
      </c>
      <c r="AQ33" s="557" t="s">
        <v>585</v>
      </c>
      <c r="AR33" s="556" t="e">
        <f t="shared" si="32"/>
        <v>#VALUE!</v>
      </c>
      <c r="AS33" s="637"/>
      <c r="AT33" s="556" t="s">
        <v>585</v>
      </c>
      <c r="AU33" s="557" t="s">
        <v>585</v>
      </c>
      <c r="AV33" s="557" t="s">
        <v>585</v>
      </c>
      <c r="AW33" s="556" t="e">
        <f t="shared" si="34"/>
        <v>#VALUE!</v>
      </c>
      <c r="AX33" s="637"/>
      <c r="AZ33" s="368" t="e">
        <f t="shared" si="36"/>
        <v>#N/A</v>
      </c>
      <c r="BA33" s="637"/>
    </row>
    <row r="34" spans="2:53">
      <c r="B34" s="647"/>
      <c r="C34" s="379">
        <v>8</v>
      </c>
      <c r="D34" s="225" t="s">
        <v>510</v>
      </c>
      <c r="E34" s="535">
        <v>16</v>
      </c>
      <c r="F34" s="534">
        <v>1440</v>
      </c>
      <c r="G34" s="536">
        <v>90</v>
      </c>
      <c r="H34" s="701"/>
      <c r="I34" s="381">
        <f t="shared" si="19"/>
        <v>16</v>
      </c>
      <c r="J34" s="381">
        <f t="shared" si="20"/>
        <v>1348.8055416962816</v>
      </c>
      <c r="K34" s="199">
        <f t="shared" si="21"/>
        <v>84.300346356017599</v>
      </c>
      <c r="L34" s="657"/>
      <c r="M34" s="387">
        <f>RANK(K34, K$24:$K$41)</f>
        <v>1</v>
      </c>
      <c r="N34" s="641"/>
      <c r="O34" s="641"/>
      <c r="P34" s="556">
        <v>16</v>
      </c>
      <c r="Q34" s="557">
        <v>1308.2926829268288</v>
      </c>
      <c r="R34" s="557">
        <v>81.768292682926798</v>
      </c>
      <c r="S34" s="556">
        <f t="shared" si="22"/>
        <v>2</v>
      </c>
      <c r="T34" s="637"/>
      <c r="U34" s="556">
        <v>16</v>
      </c>
      <c r="V34" s="557">
        <v>1324.57627118644</v>
      </c>
      <c r="W34" s="557">
        <v>82.786016949152497</v>
      </c>
      <c r="X34" s="556">
        <f t="shared" si="24"/>
        <v>2</v>
      </c>
      <c r="Y34" s="637"/>
      <c r="Z34" s="556">
        <v>16</v>
      </c>
      <c r="AA34" s="557">
        <v>1362.2222222222231</v>
      </c>
      <c r="AB34" s="557">
        <v>85.138888888888943</v>
      </c>
      <c r="AC34" s="556">
        <f t="shared" si="26"/>
        <v>1</v>
      </c>
      <c r="AD34" s="637"/>
      <c r="AE34" s="556">
        <v>16</v>
      </c>
      <c r="AF34" s="557">
        <v>1359.2857142857138</v>
      </c>
      <c r="AG34" s="557">
        <v>84.95535714285711</v>
      </c>
      <c r="AH34" s="556">
        <f t="shared" si="28"/>
        <v>1</v>
      </c>
      <c r="AI34" s="637"/>
      <c r="AJ34" s="556">
        <v>16</v>
      </c>
      <c r="AK34" s="557">
        <v>1363.2000000000003</v>
      </c>
      <c r="AL34" s="557">
        <v>85.200000000000017</v>
      </c>
      <c r="AM34" s="556">
        <f t="shared" si="30"/>
        <v>1</v>
      </c>
      <c r="AN34" s="637"/>
      <c r="AO34" s="556">
        <v>16</v>
      </c>
      <c r="AP34" s="557">
        <v>1357.6271186440672</v>
      </c>
      <c r="AQ34" s="557">
        <v>84.8516949152542</v>
      </c>
      <c r="AR34" s="556">
        <f t="shared" si="32"/>
        <v>1</v>
      </c>
      <c r="AS34" s="637"/>
      <c r="AT34" s="556">
        <v>16</v>
      </c>
      <c r="AU34" s="557">
        <v>1366.4347826086967</v>
      </c>
      <c r="AV34" s="557">
        <v>85.402173913043541</v>
      </c>
      <c r="AW34" s="556">
        <f t="shared" si="34"/>
        <v>1</v>
      </c>
      <c r="AX34" s="637"/>
      <c r="AZ34" s="368" t="e">
        <f t="shared" si="36"/>
        <v>#N/A</v>
      </c>
      <c r="BA34" s="637"/>
    </row>
    <row r="35" spans="2:53">
      <c r="B35" s="647"/>
      <c r="C35" s="379">
        <v>9</v>
      </c>
      <c r="D35" s="225" t="s">
        <v>561</v>
      </c>
      <c r="E35" s="535">
        <v>19</v>
      </c>
      <c r="F35" s="534">
        <v>1636</v>
      </c>
      <c r="G35" s="536">
        <v>86.1</v>
      </c>
      <c r="H35" s="701"/>
      <c r="I35" s="381">
        <f t="shared" si="19"/>
        <v>19</v>
      </c>
      <c r="J35" s="381">
        <f t="shared" si="20"/>
        <v>1455.1467300124746</v>
      </c>
      <c r="K35" s="199">
        <f t="shared" si="21"/>
        <v>76.586670000656554</v>
      </c>
      <c r="L35" s="657"/>
      <c r="M35" s="387">
        <f>RANK(K35, K$24:$K$41)</f>
        <v>4</v>
      </c>
      <c r="N35" s="641"/>
      <c r="O35" s="641"/>
      <c r="P35" s="556">
        <v>19</v>
      </c>
      <c r="Q35" s="557">
        <v>1431.8104712041888</v>
      </c>
      <c r="R35" s="557">
        <v>75.358445852852043</v>
      </c>
      <c r="S35" s="556">
        <f t="shared" si="22"/>
        <v>5</v>
      </c>
      <c r="T35" s="637"/>
      <c r="U35" s="556">
        <v>19</v>
      </c>
      <c r="V35" s="557">
        <v>1409.6492307692306</v>
      </c>
      <c r="W35" s="557">
        <v>74.192064777327928</v>
      </c>
      <c r="X35" s="556">
        <f t="shared" si="24"/>
        <v>5</v>
      </c>
      <c r="Y35" s="637"/>
      <c r="Z35" s="556">
        <v>19</v>
      </c>
      <c r="AA35" s="557">
        <v>1468.5981308411212</v>
      </c>
      <c r="AB35" s="557">
        <v>77.294638465322166</v>
      </c>
      <c r="AC35" s="556">
        <f t="shared" si="26"/>
        <v>5</v>
      </c>
      <c r="AD35" s="637"/>
      <c r="AE35" s="556">
        <v>19</v>
      </c>
      <c r="AF35" s="557">
        <v>1472.3684210526317</v>
      </c>
      <c r="AG35" s="557">
        <v>77.493074792243775</v>
      </c>
      <c r="AH35" s="556">
        <f t="shared" si="28"/>
        <v>4</v>
      </c>
      <c r="AI35" s="637"/>
      <c r="AJ35" s="556">
        <v>19</v>
      </c>
      <c r="AK35" s="557">
        <v>1468.8281249999995</v>
      </c>
      <c r="AL35" s="557">
        <v>77.306743421052602</v>
      </c>
      <c r="AM35" s="556">
        <f t="shared" si="30"/>
        <v>4</v>
      </c>
      <c r="AN35" s="637"/>
      <c r="AO35" s="556">
        <v>19</v>
      </c>
      <c r="AP35" s="557">
        <v>1465.5319148936173</v>
      </c>
      <c r="AQ35" s="557">
        <v>77.13325867861144</v>
      </c>
      <c r="AR35" s="556">
        <f t="shared" si="32"/>
        <v>4</v>
      </c>
      <c r="AS35" s="637"/>
      <c r="AT35" s="556">
        <v>19</v>
      </c>
      <c r="AU35" s="557">
        <v>1469.2408163265313</v>
      </c>
      <c r="AV35" s="557">
        <v>77.328464017185865</v>
      </c>
      <c r="AW35" s="556">
        <f t="shared" si="34"/>
        <v>5</v>
      </c>
      <c r="AX35" s="637"/>
      <c r="AZ35" s="368" t="e">
        <f t="shared" si="36"/>
        <v>#N/A</v>
      </c>
      <c r="BA35" s="637"/>
    </row>
    <row r="36" spans="2:53">
      <c r="B36" s="647"/>
      <c r="C36" s="379">
        <v>10</v>
      </c>
      <c r="D36" s="225" t="s">
        <v>582</v>
      </c>
      <c r="E36" s="535">
        <v>19</v>
      </c>
      <c r="F36" s="534">
        <v>1440</v>
      </c>
      <c r="G36" s="536">
        <v>75.8</v>
      </c>
      <c r="H36" s="701"/>
      <c r="I36" s="381">
        <f t="shared" si="19"/>
        <v>18</v>
      </c>
      <c r="J36" s="381">
        <f t="shared" si="20"/>
        <v>1070.4545454545494</v>
      </c>
      <c r="K36" s="199">
        <f t="shared" si="21"/>
        <v>59.469696969697182</v>
      </c>
      <c r="L36" s="657"/>
      <c r="M36" s="387">
        <f>RANK(K36, K$24:$K$41)</f>
        <v>13</v>
      </c>
      <c r="N36" s="641"/>
      <c r="O36" s="641"/>
      <c r="P36" s="556">
        <v>18</v>
      </c>
      <c r="Q36" s="557">
        <v>1050.0000000000039</v>
      </c>
      <c r="R36" s="557">
        <v>58.333333333333549</v>
      </c>
      <c r="S36" s="556">
        <f t="shared" si="22"/>
        <v>13</v>
      </c>
      <c r="T36" s="637"/>
      <c r="U36" s="556">
        <v>18</v>
      </c>
      <c r="V36" s="557">
        <v>1090.9090909090949</v>
      </c>
      <c r="W36" s="557">
        <v>60.606060606060822</v>
      </c>
      <c r="X36" s="556">
        <f t="shared" si="24"/>
        <v>12</v>
      </c>
      <c r="Y36" s="637"/>
      <c r="Z36" s="556" t="s">
        <v>585</v>
      </c>
      <c r="AA36" s="557" t="s">
        <v>585</v>
      </c>
      <c r="AB36" s="557" t="s">
        <v>585</v>
      </c>
      <c r="AC36" s="556" t="e">
        <f t="shared" si="26"/>
        <v>#VALUE!</v>
      </c>
      <c r="AD36" s="637"/>
      <c r="AE36" s="556" t="s">
        <v>585</v>
      </c>
      <c r="AF36" s="557" t="s">
        <v>585</v>
      </c>
      <c r="AG36" s="557" t="s">
        <v>585</v>
      </c>
      <c r="AH36" s="556" t="e">
        <f t="shared" si="28"/>
        <v>#VALUE!</v>
      </c>
      <c r="AI36" s="637"/>
      <c r="AJ36" s="556" t="s">
        <v>585</v>
      </c>
      <c r="AK36" s="557" t="s">
        <v>585</v>
      </c>
      <c r="AL36" s="557" t="s">
        <v>585</v>
      </c>
      <c r="AM36" s="556" t="e">
        <f t="shared" si="30"/>
        <v>#VALUE!</v>
      </c>
      <c r="AN36" s="637"/>
      <c r="AO36" s="556" t="s">
        <v>585</v>
      </c>
      <c r="AP36" s="557" t="s">
        <v>585</v>
      </c>
      <c r="AQ36" s="557" t="s">
        <v>585</v>
      </c>
      <c r="AR36" s="556" t="e">
        <f t="shared" si="32"/>
        <v>#VALUE!</v>
      </c>
      <c r="AS36" s="637"/>
      <c r="AT36" s="556" t="s">
        <v>585</v>
      </c>
      <c r="AU36" s="557" t="s">
        <v>585</v>
      </c>
      <c r="AV36" s="557" t="s">
        <v>585</v>
      </c>
      <c r="AW36" s="556" t="e">
        <f t="shared" si="34"/>
        <v>#VALUE!</v>
      </c>
      <c r="AX36" s="637"/>
      <c r="AZ36" s="368" t="e">
        <f t="shared" si="36"/>
        <v>#N/A</v>
      </c>
      <c r="BA36" s="637"/>
    </row>
    <row r="37" spans="2:53">
      <c r="B37" s="647"/>
      <c r="C37" s="379">
        <v>11</v>
      </c>
      <c r="D37" s="225" t="s">
        <v>588</v>
      </c>
      <c r="E37" s="535">
        <v>16</v>
      </c>
      <c r="F37" s="534">
        <v>1440</v>
      </c>
      <c r="G37" s="536">
        <v>84.7</v>
      </c>
      <c r="H37" s="701"/>
      <c r="I37" s="381">
        <f t="shared" si="19"/>
        <v>16</v>
      </c>
      <c r="J37" s="381">
        <f t="shared" si="20"/>
        <v>1338.0716619928839</v>
      </c>
      <c r="K37" s="199">
        <f t="shared" si="21"/>
        <v>83.629478874555247</v>
      </c>
      <c r="L37" s="657"/>
      <c r="M37" s="387">
        <f>RANK(K37, K$24:$K$41)</f>
        <v>2</v>
      </c>
      <c r="N37" s="641"/>
      <c r="O37" s="641"/>
      <c r="P37" s="556">
        <v>16</v>
      </c>
      <c r="Q37" s="557">
        <v>1344.16</v>
      </c>
      <c r="R37" s="557">
        <v>84.01</v>
      </c>
      <c r="S37" s="556">
        <f t="shared" si="22"/>
        <v>1</v>
      </c>
      <c r="T37" s="637"/>
      <c r="U37" s="556">
        <v>16</v>
      </c>
      <c r="V37" s="557">
        <v>1330.4740740740735</v>
      </c>
      <c r="W37" s="557">
        <v>83.154629629629596</v>
      </c>
      <c r="X37" s="556">
        <f t="shared" si="24"/>
        <v>1</v>
      </c>
      <c r="Y37" s="637"/>
      <c r="Z37" s="556">
        <v>16</v>
      </c>
      <c r="AA37" s="557">
        <v>1356.8210526315788</v>
      </c>
      <c r="AB37" s="557">
        <v>84.801315789473676</v>
      </c>
      <c r="AC37" s="556">
        <f t="shared" si="26"/>
        <v>2</v>
      </c>
      <c r="AD37" s="637"/>
      <c r="AE37" s="556">
        <v>16</v>
      </c>
      <c r="AF37" s="557">
        <v>1335.7894736842109</v>
      </c>
      <c r="AG37" s="557">
        <v>83.486842105263179</v>
      </c>
      <c r="AH37" s="556">
        <f t="shared" si="28"/>
        <v>2</v>
      </c>
      <c r="AI37" s="637"/>
      <c r="AJ37" s="556">
        <v>16</v>
      </c>
      <c r="AK37" s="557">
        <v>1330.9756097560971</v>
      </c>
      <c r="AL37" s="557">
        <v>83.185975609756071</v>
      </c>
      <c r="AM37" s="556">
        <f t="shared" si="30"/>
        <v>2</v>
      </c>
      <c r="AN37" s="637"/>
      <c r="AO37" s="556">
        <v>16</v>
      </c>
      <c r="AP37" s="557">
        <v>1330.8620689655174</v>
      </c>
      <c r="AQ37" s="557">
        <v>83.17887931034484</v>
      </c>
      <c r="AR37" s="556">
        <f t="shared" si="32"/>
        <v>2</v>
      </c>
      <c r="AS37" s="637"/>
      <c r="AT37" s="556">
        <v>16</v>
      </c>
      <c r="AU37" s="557">
        <v>1337.4193548387093</v>
      </c>
      <c r="AV37" s="557">
        <v>83.588709677419331</v>
      </c>
      <c r="AW37" s="556">
        <f t="shared" si="34"/>
        <v>2</v>
      </c>
      <c r="AX37" s="637"/>
      <c r="AZ37" s="368" t="e">
        <f t="shared" si="36"/>
        <v>#N/A</v>
      </c>
      <c r="BA37" s="637"/>
    </row>
    <row r="38" spans="2:53">
      <c r="B38" s="647"/>
      <c r="C38" s="379">
        <v>12</v>
      </c>
      <c r="D38" s="225" t="s">
        <v>641</v>
      </c>
      <c r="E38" s="535">
        <v>19</v>
      </c>
      <c r="F38" s="534">
        <v>1440</v>
      </c>
      <c r="G38" s="536">
        <v>75.8</v>
      </c>
      <c r="H38" s="701"/>
      <c r="I38" s="381">
        <f t="shared" si="19"/>
        <v>19</v>
      </c>
      <c r="J38" s="381">
        <f t="shared" si="20"/>
        <v>1286.9999999999977</v>
      </c>
      <c r="K38" s="199">
        <f t="shared" si="21"/>
        <v>67.736842105263037</v>
      </c>
      <c r="L38" s="657"/>
      <c r="M38" s="387">
        <f>RANK(K38, K$24:$K$41)</f>
        <v>10</v>
      </c>
      <c r="N38" s="641"/>
      <c r="O38" s="641"/>
      <c r="P38" s="556">
        <v>19</v>
      </c>
      <c r="Q38" s="557">
        <v>1293.9999999999977</v>
      </c>
      <c r="R38" s="557">
        <v>68.105263157894612</v>
      </c>
      <c r="S38" s="556">
        <f t="shared" si="22"/>
        <v>9</v>
      </c>
      <c r="T38" s="637"/>
      <c r="U38" s="556">
        <v>19</v>
      </c>
      <c r="V38" s="557">
        <v>1279.9999999999977</v>
      </c>
      <c r="W38" s="557">
        <v>67.368421052631462</v>
      </c>
      <c r="X38" s="556">
        <f t="shared" si="24"/>
        <v>10</v>
      </c>
      <c r="Y38" s="637"/>
      <c r="Z38" s="556" t="s">
        <v>585</v>
      </c>
      <c r="AA38" s="557" t="s">
        <v>585</v>
      </c>
      <c r="AB38" s="557" t="s">
        <v>585</v>
      </c>
      <c r="AC38" s="556" t="e">
        <f t="shared" si="26"/>
        <v>#VALUE!</v>
      </c>
      <c r="AD38" s="637"/>
      <c r="AE38" s="556" t="s">
        <v>585</v>
      </c>
      <c r="AF38" s="557" t="s">
        <v>585</v>
      </c>
      <c r="AG38" s="557" t="s">
        <v>585</v>
      </c>
      <c r="AH38" s="556" t="e">
        <f t="shared" si="28"/>
        <v>#VALUE!</v>
      </c>
      <c r="AI38" s="637"/>
      <c r="AJ38" s="556" t="s">
        <v>585</v>
      </c>
      <c r="AK38" s="557" t="s">
        <v>585</v>
      </c>
      <c r="AL38" s="557" t="s">
        <v>585</v>
      </c>
      <c r="AM38" s="556" t="e">
        <f t="shared" si="30"/>
        <v>#VALUE!</v>
      </c>
      <c r="AN38" s="637"/>
      <c r="AO38" s="556" t="s">
        <v>585</v>
      </c>
      <c r="AP38" s="557" t="s">
        <v>585</v>
      </c>
      <c r="AQ38" s="557" t="s">
        <v>585</v>
      </c>
      <c r="AR38" s="556" t="e">
        <f t="shared" si="32"/>
        <v>#VALUE!</v>
      </c>
      <c r="AS38" s="637"/>
      <c r="AT38" s="556" t="s">
        <v>585</v>
      </c>
      <c r="AU38" s="557" t="s">
        <v>585</v>
      </c>
      <c r="AV38" s="557" t="s">
        <v>585</v>
      </c>
      <c r="AW38" s="556" t="e">
        <f t="shared" si="34"/>
        <v>#VALUE!</v>
      </c>
      <c r="AX38" s="637"/>
      <c r="AZ38" s="368" t="e">
        <f t="shared" si="36"/>
        <v>#N/A</v>
      </c>
      <c r="BA38" s="637"/>
    </row>
    <row r="39" spans="2:53">
      <c r="B39" s="647"/>
      <c r="C39" s="379">
        <v>13</v>
      </c>
      <c r="D39" s="225" t="s">
        <v>701</v>
      </c>
      <c r="E39" s="535">
        <v>18</v>
      </c>
      <c r="F39" s="534">
        <v>1440</v>
      </c>
      <c r="G39" s="536">
        <v>80</v>
      </c>
      <c r="H39" s="701"/>
      <c r="I39" s="381">
        <f t="shared" si="19"/>
        <v>17.714285714285715</v>
      </c>
      <c r="J39" s="381">
        <f t="shared" si="20"/>
        <v>1318.3658283826355</v>
      </c>
      <c r="K39" s="199">
        <f t="shared" si="21"/>
        <v>74.486450990652685</v>
      </c>
      <c r="L39" s="657"/>
      <c r="M39" s="387">
        <f>RANK(K39, K$24:$K$41)</f>
        <v>6</v>
      </c>
      <c r="N39" s="641"/>
      <c r="O39" s="641"/>
      <c r="P39" s="556">
        <v>18</v>
      </c>
      <c r="Q39" s="557">
        <v>1296.9230769230776</v>
      </c>
      <c r="R39" s="557">
        <v>72.051282051282087</v>
      </c>
      <c r="S39" s="556">
        <f t="shared" si="22"/>
        <v>6</v>
      </c>
      <c r="T39" s="637"/>
      <c r="U39" s="556">
        <v>18</v>
      </c>
      <c r="V39" s="557">
        <v>1271.7647058823536</v>
      </c>
      <c r="W39" s="557">
        <v>70.65359477124187</v>
      </c>
      <c r="X39" s="556">
        <f t="shared" si="24"/>
        <v>6</v>
      </c>
      <c r="Y39" s="637"/>
      <c r="Z39" s="556">
        <v>17</v>
      </c>
      <c r="AA39" s="557">
        <v>1329.9999999999995</v>
      </c>
      <c r="AB39" s="557">
        <v>78.23529411764703</v>
      </c>
      <c r="AC39" s="556">
        <f t="shared" si="26"/>
        <v>4</v>
      </c>
      <c r="AD39" s="637"/>
      <c r="AE39" s="556">
        <v>18</v>
      </c>
      <c r="AF39" s="557">
        <v>1341.4285714285725</v>
      </c>
      <c r="AG39" s="557">
        <v>74.523809523809575</v>
      </c>
      <c r="AH39" s="556">
        <f t="shared" si="28"/>
        <v>6</v>
      </c>
      <c r="AI39" s="637"/>
      <c r="AJ39" s="556">
        <v>18</v>
      </c>
      <c r="AK39" s="557">
        <v>1332.5000000000005</v>
      </c>
      <c r="AL39" s="557">
        <v>74.0277777777778</v>
      </c>
      <c r="AM39" s="556">
        <f t="shared" si="30"/>
        <v>6</v>
      </c>
      <c r="AN39" s="637"/>
      <c r="AO39" s="556">
        <v>18</v>
      </c>
      <c r="AP39" s="557">
        <v>1321.4999999999995</v>
      </c>
      <c r="AQ39" s="557">
        <v>73.416666666666643</v>
      </c>
      <c r="AR39" s="556">
        <f t="shared" si="32"/>
        <v>7</v>
      </c>
      <c r="AS39" s="637"/>
      <c r="AT39" s="556">
        <v>17</v>
      </c>
      <c r="AU39" s="557">
        <v>1334.444444444445</v>
      </c>
      <c r="AV39" s="557">
        <v>78.496732026143832</v>
      </c>
      <c r="AW39" s="556">
        <f t="shared" si="34"/>
        <v>4</v>
      </c>
      <c r="AX39" s="637"/>
      <c r="AZ39" s="368" t="e">
        <f t="shared" si="36"/>
        <v>#N/A</v>
      </c>
      <c r="BA39" s="637"/>
    </row>
    <row r="40" spans="2:53">
      <c r="B40" s="647"/>
      <c r="C40" s="379">
        <v>14</v>
      </c>
      <c r="D40" s="225"/>
      <c r="E40" s="535"/>
      <c r="F40" s="534"/>
      <c r="G40" s="536"/>
      <c r="H40" s="701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7"/>
      <c r="M40" s="387" t="e">
        <f>RANK(K40, K$24:$K$41)</f>
        <v>#VALUE!</v>
      </c>
      <c r="N40" s="641"/>
      <c r="O40" s="641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7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7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7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7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7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7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7"/>
      <c r="AZ40" s="368" t="e">
        <f t="shared" si="36"/>
        <v>#N/A</v>
      </c>
      <c r="BA40" s="637"/>
    </row>
    <row r="41" spans="2:53">
      <c r="B41" s="647"/>
      <c r="C41" s="379">
        <v>15</v>
      </c>
      <c r="D41" s="225"/>
      <c r="E41" s="535"/>
      <c r="F41" s="534"/>
      <c r="G41" s="536"/>
      <c r="H41" s="702"/>
      <c r="I41" s="201"/>
      <c r="J41" s="201"/>
      <c r="K41" s="201"/>
      <c r="L41" s="658"/>
      <c r="M41" s="386" t="e">
        <f>RANK(K41, K$24:$K$41)</f>
        <v>#N/A</v>
      </c>
      <c r="N41" s="641"/>
      <c r="O41" s="641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8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8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8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8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8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8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8"/>
      <c r="AZ41" s="368" t="e">
        <f t="shared" si="36"/>
        <v>#N/A</v>
      </c>
      <c r="BA41" s="638"/>
    </row>
    <row r="42" spans="2:53" ht="15.75">
      <c r="B42" s="680" t="s">
        <v>162</v>
      </c>
      <c r="C42" s="681"/>
      <c r="D42" s="681"/>
      <c r="E42" s="681"/>
      <c r="F42" s="681"/>
      <c r="G42" s="681"/>
      <c r="H42" s="681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68">
        <f>P22+7</f>
        <v>46245</v>
      </c>
      <c r="Q42" s="647"/>
      <c r="R42" s="647"/>
      <c r="S42" s="647"/>
      <c r="T42" s="647"/>
      <c r="U42" s="665">
        <f>P42+1</f>
        <v>46246</v>
      </c>
      <c r="V42" s="666"/>
      <c r="W42" s="666"/>
      <c r="X42" s="666"/>
      <c r="Y42" s="667"/>
      <c r="Z42" s="665">
        <f>U42+1</f>
        <v>46247</v>
      </c>
      <c r="AA42" s="666"/>
      <c r="AB42" s="666"/>
      <c r="AC42" s="666"/>
      <c r="AD42" s="667"/>
      <c r="AE42" s="665">
        <f>Z42+1</f>
        <v>46248</v>
      </c>
      <c r="AF42" s="666"/>
      <c r="AG42" s="666"/>
      <c r="AH42" s="666"/>
      <c r="AI42" s="667"/>
      <c r="AJ42" s="665">
        <f>AE42+1</f>
        <v>46249</v>
      </c>
      <c r="AK42" s="666"/>
      <c r="AL42" s="666"/>
      <c r="AM42" s="666"/>
      <c r="AN42" s="667"/>
      <c r="AO42" s="665">
        <f>AJ42+1</f>
        <v>46250</v>
      </c>
      <c r="AP42" s="666"/>
      <c r="AQ42" s="666"/>
      <c r="AR42" s="666"/>
      <c r="AS42" s="667"/>
      <c r="AT42" s="665">
        <f>AO42+1</f>
        <v>46251</v>
      </c>
      <c r="AU42" s="666"/>
      <c r="AV42" s="666"/>
      <c r="AW42" s="666"/>
      <c r="AX42" s="667"/>
    </row>
    <row r="43" spans="2:53" ht="15.75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45"/>
      <c r="O43" s="645"/>
      <c r="P43" s="668" t="s">
        <v>317</v>
      </c>
      <c r="Q43" s="647"/>
      <c r="R43" s="647"/>
      <c r="S43" s="647"/>
      <c r="T43" s="647"/>
      <c r="U43" s="668" t="s">
        <v>318</v>
      </c>
      <c r="V43" s="647"/>
      <c r="W43" s="647"/>
      <c r="X43" s="647"/>
      <c r="Y43" s="647"/>
      <c r="Z43" s="668" t="s">
        <v>319</v>
      </c>
      <c r="AA43" s="647"/>
      <c r="AB43" s="647"/>
      <c r="AC43" s="647"/>
      <c r="AD43" s="647"/>
      <c r="AE43" s="668" t="s">
        <v>320</v>
      </c>
      <c r="AF43" s="647"/>
      <c r="AG43" s="647"/>
      <c r="AH43" s="647"/>
      <c r="AI43" s="647"/>
      <c r="AJ43" s="668" t="s">
        <v>321</v>
      </c>
      <c r="AK43" s="647"/>
      <c r="AL43" s="647"/>
      <c r="AM43" s="647"/>
      <c r="AN43" s="647"/>
      <c r="AO43" s="668" t="s">
        <v>322</v>
      </c>
      <c r="AP43" s="647"/>
      <c r="AQ43" s="647"/>
      <c r="AR43" s="647"/>
      <c r="AS43" s="647"/>
      <c r="AT43" s="668" t="s">
        <v>323</v>
      </c>
      <c r="AU43" s="647"/>
      <c r="AV43" s="647"/>
      <c r="AW43" s="647"/>
      <c r="AX43" s="647"/>
    </row>
    <row r="44" spans="2:53">
      <c r="B44" s="641" t="s">
        <v>453</v>
      </c>
      <c r="C44" s="641" t="s">
        <v>379</v>
      </c>
      <c r="D44" s="641"/>
      <c r="E44" s="641" t="s">
        <v>370</v>
      </c>
      <c r="F44" s="641"/>
      <c r="G44" s="641"/>
      <c r="H44" s="673" t="s">
        <v>366</v>
      </c>
      <c r="I44" s="688" t="s">
        <v>371</v>
      </c>
      <c r="J44" s="688"/>
      <c r="K44" s="688"/>
      <c r="L44" s="689" t="s">
        <v>366</v>
      </c>
      <c r="M44" s="677" t="s">
        <v>367</v>
      </c>
      <c r="N44" s="641"/>
      <c r="O44" s="641" t="s">
        <v>372</v>
      </c>
      <c r="P44" s="659" t="s">
        <v>368</v>
      </c>
      <c r="Q44" s="660"/>
      <c r="R44" s="660"/>
      <c r="S44" s="661"/>
      <c r="T44" s="641" t="s">
        <v>366</v>
      </c>
      <c r="U44" s="659" t="s">
        <v>368</v>
      </c>
      <c r="V44" s="660"/>
      <c r="W44" s="660"/>
      <c r="X44" s="661"/>
      <c r="Y44" s="641" t="s">
        <v>366</v>
      </c>
      <c r="Z44" s="659" t="s">
        <v>368</v>
      </c>
      <c r="AA44" s="660"/>
      <c r="AB44" s="660"/>
      <c r="AC44" s="661"/>
      <c r="AD44" s="641" t="s">
        <v>366</v>
      </c>
      <c r="AE44" s="659" t="s">
        <v>368</v>
      </c>
      <c r="AF44" s="660"/>
      <c r="AG44" s="660"/>
      <c r="AH44" s="661"/>
      <c r="AI44" s="641" t="s">
        <v>366</v>
      </c>
      <c r="AJ44" s="659" t="s">
        <v>368</v>
      </c>
      <c r="AK44" s="660"/>
      <c r="AL44" s="660"/>
      <c r="AM44" s="661"/>
      <c r="AN44" s="641" t="s">
        <v>366</v>
      </c>
      <c r="AO44" s="659" t="s">
        <v>368</v>
      </c>
      <c r="AP44" s="660"/>
      <c r="AQ44" s="660"/>
      <c r="AR44" s="661"/>
      <c r="AS44" s="641" t="s">
        <v>366</v>
      </c>
      <c r="AT44" s="659" t="s">
        <v>368</v>
      </c>
      <c r="AU44" s="660"/>
      <c r="AV44" s="660"/>
      <c r="AW44" s="661"/>
      <c r="AX44" s="641" t="s">
        <v>366</v>
      </c>
      <c r="BA44" s="641" t="s">
        <v>366</v>
      </c>
    </row>
    <row r="45" spans="2:53">
      <c r="B45" s="641"/>
      <c r="C45" s="641"/>
      <c r="D45" s="641"/>
      <c r="E45" s="641" t="s">
        <v>373</v>
      </c>
      <c r="F45" s="641"/>
      <c r="G45" s="641"/>
      <c r="H45" s="674"/>
      <c r="I45" s="688" t="s">
        <v>373</v>
      </c>
      <c r="J45" s="688"/>
      <c r="K45" s="688"/>
      <c r="L45" s="690"/>
      <c r="M45" s="678"/>
      <c r="N45" s="641"/>
      <c r="O45" s="641"/>
      <c r="P45" s="659" t="s">
        <v>374</v>
      </c>
      <c r="Q45" s="660"/>
      <c r="R45" s="660"/>
      <c r="S45" s="661"/>
      <c r="T45" s="641"/>
      <c r="U45" s="659" t="s">
        <v>374</v>
      </c>
      <c r="V45" s="660"/>
      <c r="W45" s="660"/>
      <c r="X45" s="661"/>
      <c r="Y45" s="641"/>
      <c r="Z45" s="659" t="s">
        <v>374</v>
      </c>
      <c r="AA45" s="660"/>
      <c r="AB45" s="660"/>
      <c r="AC45" s="661"/>
      <c r="AD45" s="641"/>
      <c r="AE45" s="659" t="s">
        <v>374</v>
      </c>
      <c r="AF45" s="660"/>
      <c r="AG45" s="660"/>
      <c r="AH45" s="661"/>
      <c r="AI45" s="641"/>
      <c r="AJ45" s="659" t="s">
        <v>374</v>
      </c>
      <c r="AK45" s="660"/>
      <c r="AL45" s="660"/>
      <c r="AM45" s="661"/>
      <c r="AN45" s="641"/>
      <c r="AO45" s="659" t="s">
        <v>374</v>
      </c>
      <c r="AP45" s="660"/>
      <c r="AQ45" s="660"/>
      <c r="AR45" s="661"/>
      <c r="AS45" s="641"/>
      <c r="AT45" s="659" t="s">
        <v>374</v>
      </c>
      <c r="AU45" s="660"/>
      <c r="AV45" s="660"/>
      <c r="AW45" s="661"/>
      <c r="AX45" s="641"/>
      <c r="BA45" s="641"/>
    </row>
    <row r="46" spans="2:53">
      <c r="B46" s="641"/>
      <c r="C46" s="641"/>
      <c r="D46" s="641"/>
      <c r="E46" s="378" t="s">
        <v>375</v>
      </c>
      <c r="F46" s="378" t="s">
        <v>376</v>
      </c>
      <c r="G46" s="378" t="s">
        <v>377</v>
      </c>
      <c r="H46" s="675"/>
      <c r="I46" s="377" t="s">
        <v>375</v>
      </c>
      <c r="J46" s="377" t="s">
        <v>376</v>
      </c>
      <c r="K46" s="377" t="s">
        <v>377</v>
      </c>
      <c r="L46" s="691"/>
      <c r="M46" s="679"/>
      <c r="N46" s="641"/>
      <c r="O46" s="641"/>
      <c r="P46" s="378" t="s">
        <v>375</v>
      </c>
      <c r="Q46" s="378" t="s">
        <v>376</v>
      </c>
      <c r="R46" s="378" t="s">
        <v>377</v>
      </c>
      <c r="S46" s="378" t="s">
        <v>367</v>
      </c>
      <c r="T46" s="641"/>
      <c r="U46" s="378" t="s">
        <v>375</v>
      </c>
      <c r="V46" s="378" t="s">
        <v>376</v>
      </c>
      <c r="W46" s="378" t="s">
        <v>377</v>
      </c>
      <c r="X46" s="378" t="s">
        <v>367</v>
      </c>
      <c r="Y46" s="641"/>
      <c r="Z46" s="378" t="s">
        <v>375</v>
      </c>
      <c r="AA46" s="378" t="s">
        <v>376</v>
      </c>
      <c r="AB46" s="378" t="s">
        <v>377</v>
      </c>
      <c r="AC46" s="378" t="s">
        <v>367</v>
      </c>
      <c r="AD46" s="641"/>
      <c r="AE46" s="378" t="s">
        <v>375</v>
      </c>
      <c r="AF46" s="378" t="s">
        <v>376</v>
      </c>
      <c r="AG46" s="378" t="s">
        <v>377</v>
      </c>
      <c r="AH46" s="378" t="s">
        <v>367</v>
      </c>
      <c r="AI46" s="641"/>
      <c r="AJ46" s="378" t="s">
        <v>375</v>
      </c>
      <c r="AK46" s="378" t="s">
        <v>376</v>
      </c>
      <c r="AL46" s="378" t="s">
        <v>377</v>
      </c>
      <c r="AM46" s="378" t="s">
        <v>367</v>
      </c>
      <c r="AN46" s="641"/>
      <c r="AO46" s="378" t="s">
        <v>375</v>
      </c>
      <c r="AP46" s="378" t="s">
        <v>376</v>
      </c>
      <c r="AQ46" s="378" t="s">
        <v>377</v>
      </c>
      <c r="AR46" s="378" t="s">
        <v>367</v>
      </c>
      <c r="AS46" s="641"/>
      <c r="AT46" s="378" t="s">
        <v>375</v>
      </c>
      <c r="AU46" s="378" t="s">
        <v>376</v>
      </c>
      <c r="AV46" s="378" t="s">
        <v>377</v>
      </c>
      <c r="AW46" s="378" t="s">
        <v>367</v>
      </c>
      <c r="AX46" s="641"/>
      <c r="AZ46" s="367" t="s">
        <v>560</v>
      </c>
      <c r="BA46" s="641"/>
    </row>
    <row r="47" spans="2:53">
      <c r="B47" s="641" t="s">
        <v>467</v>
      </c>
      <c r="C47" s="379">
        <v>1</v>
      </c>
      <c r="D47" s="225" t="s">
        <v>604</v>
      </c>
      <c r="E47" s="535">
        <v>17</v>
      </c>
      <c r="F47" s="534">
        <v>1440</v>
      </c>
      <c r="G47" s="536">
        <v>84.7</v>
      </c>
      <c r="H47" s="700">
        <f>AVERAGE(G47:G61)</f>
        <v>80.88000000000001</v>
      </c>
      <c r="I47" s="381">
        <f t="shared" ref="I47:I60" si="38">IFERROR(AVERAGE(P47,U47,Z47,AE47,AJ47,AO47,AT47),"-")</f>
        <v>17</v>
      </c>
      <c r="J47" s="381">
        <f t="shared" ref="J47:J60" si="39">IFERROR(AVERAGE(Q47,V47,AA47,AF47,AK47,AP47,AU47),"-")</f>
        <v>1290.8399347521665</v>
      </c>
      <c r="K47" s="199">
        <f t="shared" ref="K47:K60" si="40">IFERROR(AVERAGE(R47,W47,AB47,AG47,AL47,AQ47,AV47),"-")</f>
        <v>75.9317608677745</v>
      </c>
      <c r="L47" s="656">
        <f>IFERROR(AVERAGE(K47:K61),"-")</f>
        <v>73.243043233558595</v>
      </c>
      <c r="M47" s="383">
        <f>RANK(K47, K$47:$K$61)</f>
        <v>4</v>
      </c>
      <c r="N47" s="641"/>
      <c r="O47" s="641"/>
      <c r="P47" s="562">
        <v>17</v>
      </c>
      <c r="Q47" s="566">
        <v>1282.1739130434783</v>
      </c>
      <c r="R47" s="566">
        <v>75.42199488491049</v>
      </c>
      <c r="S47" s="562">
        <f t="shared" ref="S47:S61" si="41">RANK(R47, R$47:R$61)</f>
        <v>4</v>
      </c>
      <c r="T47" s="636">
        <f t="shared" ref="T47" si="42">AVERAGE(R47:R61)</f>
        <v>73.086892125216792</v>
      </c>
      <c r="U47" s="562">
        <v>17</v>
      </c>
      <c r="V47" s="566">
        <v>1292.4705882352939</v>
      </c>
      <c r="W47" s="566">
        <v>76.027681660899646</v>
      </c>
      <c r="X47" s="562">
        <f t="shared" ref="X47:X61" si="43">RANK(W47, W$47:W$61)</f>
        <v>3</v>
      </c>
      <c r="Y47" s="636">
        <f t="shared" ref="Y47" si="44">AVERAGE(W47:W61)</f>
        <v>73.312987338520216</v>
      </c>
      <c r="Z47" s="562">
        <v>17</v>
      </c>
      <c r="AA47" s="566">
        <v>1301.2500000000005</v>
      </c>
      <c r="AB47" s="566">
        <v>76.544117647058854</v>
      </c>
      <c r="AC47" s="562">
        <f t="shared" ref="AC47:AC61" si="45">RANK(AB47, AB$47:AB$61)</f>
        <v>3</v>
      </c>
      <c r="AD47" s="636">
        <f t="shared" ref="AD47" si="46">AVERAGE(AB47:AB61)</f>
        <v>73.275338073313861</v>
      </c>
      <c r="AE47" s="562">
        <v>17</v>
      </c>
      <c r="AF47" s="566">
        <v>1263.7037037037044</v>
      </c>
      <c r="AG47" s="566">
        <v>74.33551198257085</v>
      </c>
      <c r="AH47" s="562">
        <f t="shared" ref="AH47:AH61" si="47">RANK(AG47, AG$47:AG$61)</f>
        <v>4</v>
      </c>
      <c r="AI47" s="636">
        <f t="shared" ref="AI47" si="48">AVERAGE(AG47:AG61)</f>
        <v>72.464055395038287</v>
      </c>
      <c r="AJ47" s="562">
        <v>17</v>
      </c>
      <c r="AK47" s="566">
        <v>1280.2247191011245</v>
      </c>
      <c r="AL47" s="566">
        <v>75.307336417713202</v>
      </c>
      <c r="AM47" s="562">
        <f t="shared" ref="AM47:AM61" si="49">RANK(AL47, AL$47:AL$61)</f>
        <v>4</v>
      </c>
      <c r="AN47" s="636">
        <f t="shared" ref="AN47" si="50">AVERAGE(AL47:AL61)</f>
        <v>72.82309950075819</v>
      </c>
      <c r="AO47" s="562">
        <v>17</v>
      </c>
      <c r="AP47" s="566">
        <v>1306.5420560747671</v>
      </c>
      <c r="AQ47" s="566">
        <v>76.855415063221585</v>
      </c>
      <c r="AR47" s="562">
        <f t="shared" ref="AR47:AR61" si="51">RANK(AQ47, AQ$47:AQ$61)</f>
        <v>3</v>
      </c>
      <c r="AS47" s="636">
        <f t="shared" ref="AS47" si="52">AVERAGE(AQ47:AQ61)</f>
        <v>73.459019224820651</v>
      </c>
      <c r="AT47" s="562">
        <v>17</v>
      </c>
      <c r="AU47" s="566">
        <v>1309.5145631067967</v>
      </c>
      <c r="AV47" s="566">
        <v>77.030268418046859</v>
      </c>
      <c r="AW47" s="562">
        <f t="shared" ref="AW47:AW61" si="53">RANK(AV47, AV$47:AV$61)</f>
        <v>3</v>
      </c>
      <c r="AX47" s="636">
        <f t="shared" ref="AX47" si="54">AVERAGE(AV47:AV61)</f>
        <v>74.27991097724221</v>
      </c>
      <c r="AZ47" s="368" t="e">
        <f t="shared" ref="AZ47:AZ61" si="55">RANK(AY47, AY$47:AY$61)</f>
        <v>#N/A</v>
      </c>
      <c r="BA47" s="636" t="e">
        <f t="shared" ref="BA47" si="56">AVERAGE(AY47:AY61)</f>
        <v>#DIV/0!</v>
      </c>
    </row>
    <row r="48" spans="2:53">
      <c r="B48" s="647"/>
      <c r="C48" s="379">
        <v>2</v>
      </c>
      <c r="D48" s="225" t="s">
        <v>346</v>
      </c>
      <c r="E48" s="535">
        <v>18</v>
      </c>
      <c r="F48" s="534">
        <v>1440</v>
      </c>
      <c r="G48" s="536">
        <v>80</v>
      </c>
      <c r="H48" s="701"/>
      <c r="I48" s="381">
        <f t="shared" si="38"/>
        <v>18</v>
      </c>
      <c r="J48" s="381">
        <f t="shared" si="39"/>
        <v>1297.1135448040482</v>
      </c>
      <c r="K48" s="199">
        <f t="shared" si="40"/>
        <v>72.061863600224896</v>
      </c>
      <c r="L48" s="657"/>
      <c r="M48" s="419">
        <f>RANK(K48, K$47:$K$61)</f>
        <v>6</v>
      </c>
      <c r="N48" s="641"/>
      <c r="O48" s="641"/>
      <c r="P48" s="562">
        <v>18</v>
      </c>
      <c r="Q48" s="566">
        <v>1290.5925925925922</v>
      </c>
      <c r="R48" s="566">
        <v>71.699588477366234</v>
      </c>
      <c r="S48" s="562">
        <f t="shared" si="41"/>
        <v>6</v>
      </c>
      <c r="T48" s="637"/>
      <c r="U48" s="562">
        <v>18</v>
      </c>
      <c r="V48" s="566">
        <v>1291.5105882352939</v>
      </c>
      <c r="W48" s="566">
        <v>71.750588235294103</v>
      </c>
      <c r="X48" s="562">
        <f t="shared" si="43"/>
        <v>6</v>
      </c>
      <c r="Y48" s="637"/>
      <c r="Z48" s="562">
        <v>18</v>
      </c>
      <c r="AA48" s="566">
        <v>1293.2965517241378</v>
      </c>
      <c r="AB48" s="566">
        <v>71.849808429118767</v>
      </c>
      <c r="AC48" s="562">
        <f t="shared" si="45"/>
        <v>6</v>
      </c>
      <c r="AD48" s="637"/>
      <c r="AE48" s="562">
        <v>18</v>
      </c>
      <c r="AF48" s="566">
        <v>1303.7837837837842</v>
      </c>
      <c r="AG48" s="566">
        <v>72.432432432432449</v>
      </c>
      <c r="AH48" s="562">
        <f t="shared" si="47"/>
        <v>6</v>
      </c>
      <c r="AI48" s="637"/>
      <c r="AJ48" s="562">
        <v>18</v>
      </c>
      <c r="AK48" s="566">
        <v>1311.4588235294116</v>
      </c>
      <c r="AL48" s="566">
        <v>72.858823529411751</v>
      </c>
      <c r="AM48" s="562">
        <f t="shared" si="49"/>
        <v>6</v>
      </c>
      <c r="AN48" s="637"/>
      <c r="AO48" s="562">
        <v>18</v>
      </c>
      <c r="AP48" s="566">
        <v>1290.586956521739</v>
      </c>
      <c r="AQ48" s="566">
        <v>71.699275362318829</v>
      </c>
      <c r="AR48" s="562">
        <f t="shared" si="51"/>
        <v>6</v>
      </c>
      <c r="AS48" s="637"/>
      <c r="AT48" s="562">
        <v>18</v>
      </c>
      <c r="AU48" s="566">
        <v>1298.565517241379</v>
      </c>
      <c r="AV48" s="566">
        <v>72.142528735632169</v>
      </c>
      <c r="AW48" s="562">
        <f t="shared" si="53"/>
        <v>6</v>
      </c>
      <c r="AX48" s="637"/>
      <c r="AZ48" s="368" t="e">
        <f t="shared" si="55"/>
        <v>#N/A</v>
      </c>
      <c r="BA48" s="637"/>
    </row>
    <row r="49" spans="2:53">
      <c r="B49" s="647"/>
      <c r="C49" s="379">
        <v>3</v>
      </c>
      <c r="D49" s="225" t="s">
        <v>347</v>
      </c>
      <c r="E49" s="535">
        <v>17</v>
      </c>
      <c r="F49" s="534">
        <v>1440</v>
      </c>
      <c r="G49" s="536">
        <v>84.7</v>
      </c>
      <c r="H49" s="701"/>
      <c r="I49" s="381">
        <f t="shared" si="38"/>
        <v>17</v>
      </c>
      <c r="J49" s="381">
        <f t="shared" si="39"/>
        <v>1301.8524115031894</v>
      </c>
      <c r="K49" s="199">
        <f t="shared" si="40"/>
        <v>76.579553617834677</v>
      </c>
      <c r="L49" s="657"/>
      <c r="M49" s="419">
        <f>RANK(K49, K$47:$K$61)</f>
        <v>3</v>
      </c>
      <c r="N49" s="641"/>
      <c r="O49" s="641"/>
      <c r="P49" s="562">
        <v>17</v>
      </c>
      <c r="Q49" s="566">
        <v>1304.9999999999989</v>
      </c>
      <c r="R49" s="566">
        <v>76.764705882352871</v>
      </c>
      <c r="S49" s="562">
        <f t="shared" si="41"/>
        <v>3</v>
      </c>
      <c r="T49" s="637"/>
      <c r="U49" s="562">
        <v>17</v>
      </c>
      <c r="V49" s="566">
        <v>1290.4109589041086</v>
      </c>
      <c r="W49" s="566">
        <v>75.906526994359325</v>
      </c>
      <c r="X49" s="562">
        <f t="shared" si="43"/>
        <v>4</v>
      </c>
      <c r="Y49" s="637"/>
      <c r="Z49" s="562">
        <v>17</v>
      </c>
      <c r="AA49" s="566">
        <v>1294.7826086956509</v>
      </c>
      <c r="AB49" s="566">
        <v>76.163682864450053</v>
      </c>
      <c r="AC49" s="562">
        <f t="shared" si="45"/>
        <v>4</v>
      </c>
      <c r="AD49" s="637"/>
      <c r="AE49" s="562">
        <v>17</v>
      </c>
      <c r="AF49" s="566">
        <v>1320.0000000000011</v>
      </c>
      <c r="AG49" s="566">
        <v>77.647058823529477</v>
      </c>
      <c r="AH49" s="562">
        <f t="shared" si="47"/>
        <v>3</v>
      </c>
      <c r="AI49" s="637"/>
      <c r="AJ49" s="562">
        <v>17</v>
      </c>
      <c r="AK49" s="566">
        <v>1302.0895522388075</v>
      </c>
      <c r="AL49" s="566">
        <v>76.59350307287103</v>
      </c>
      <c r="AM49" s="562">
        <f t="shared" si="49"/>
        <v>3</v>
      </c>
      <c r="AN49" s="637"/>
      <c r="AO49" s="562">
        <v>17</v>
      </c>
      <c r="AP49" s="566">
        <v>1298.4615384615377</v>
      </c>
      <c r="AQ49" s="566">
        <v>76.380090497737513</v>
      </c>
      <c r="AR49" s="562">
        <f t="shared" si="51"/>
        <v>4</v>
      </c>
      <c r="AS49" s="637"/>
      <c r="AT49" s="562">
        <v>17</v>
      </c>
      <c r="AU49" s="566">
        <v>1302.2222222222217</v>
      </c>
      <c r="AV49" s="566">
        <v>76.601307189542453</v>
      </c>
      <c r="AW49" s="562">
        <f t="shared" si="53"/>
        <v>4</v>
      </c>
      <c r="AX49" s="637"/>
      <c r="AZ49" s="368" t="e">
        <f t="shared" si="55"/>
        <v>#N/A</v>
      </c>
      <c r="BA49" s="637"/>
    </row>
    <row r="50" spans="2:53">
      <c r="B50" s="647"/>
      <c r="C50" s="379">
        <v>4</v>
      </c>
      <c r="D50" s="225" t="s">
        <v>348</v>
      </c>
      <c r="E50" s="535">
        <v>21</v>
      </c>
      <c r="F50" s="534">
        <v>1385</v>
      </c>
      <c r="G50" s="536">
        <v>65.900000000000006</v>
      </c>
      <c r="H50" s="701"/>
      <c r="I50" s="381">
        <f t="shared" si="38"/>
        <v>21</v>
      </c>
      <c r="J50" s="381">
        <f t="shared" si="39"/>
        <v>1274.1818806426868</v>
      </c>
      <c r="K50" s="199">
        <f t="shared" si="40"/>
        <v>60.675327649651749</v>
      </c>
      <c r="L50" s="657"/>
      <c r="M50" s="419">
        <f>RANK(K50, K$47:$K$61)</f>
        <v>10</v>
      </c>
      <c r="N50" s="641"/>
      <c r="O50" s="641"/>
      <c r="P50" s="562">
        <v>21</v>
      </c>
      <c r="Q50" s="566">
        <v>1269.8076923076931</v>
      </c>
      <c r="R50" s="566">
        <v>60.467032967033006</v>
      </c>
      <c r="S50" s="562">
        <f t="shared" si="41"/>
        <v>10</v>
      </c>
      <c r="T50" s="637"/>
      <c r="U50" s="562">
        <v>21</v>
      </c>
      <c r="V50" s="566">
        <v>1265.6842105263161</v>
      </c>
      <c r="W50" s="566">
        <v>60.270676691729335</v>
      </c>
      <c r="X50" s="562">
        <f t="shared" si="43"/>
        <v>10</v>
      </c>
      <c r="Y50" s="637"/>
      <c r="Z50" s="562">
        <v>21</v>
      </c>
      <c r="AA50" s="566">
        <v>1292.5531914893618</v>
      </c>
      <c r="AB50" s="566">
        <v>61.550151975683896</v>
      </c>
      <c r="AC50" s="562">
        <f t="shared" si="45"/>
        <v>10</v>
      </c>
      <c r="AD50" s="637"/>
      <c r="AE50" s="562">
        <v>21</v>
      </c>
      <c r="AF50" s="566">
        <v>1282.8947368421043</v>
      </c>
      <c r="AG50" s="566">
        <v>61.090225563909726</v>
      </c>
      <c r="AH50" s="562">
        <f t="shared" si="47"/>
        <v>9</v>
      </c>
      <c r="AI50" s="637"/>
      <c r="AJ50" s="562">
        <v>21</v>
      </c>
      <c r="AK50" s="566">
        <v>1255.8333333333323</v>
      </c>
      <c r="AL50" s="566">
        <v>59.801587301587254</v>
      </c>
      <c r="AM50" s="562">
        <f t="shared" si="49"/>
        <v>9</v>
      </c>
      <c r="AN50" s="637"/>
      <c r="AO50" s="562">
        <v>21</v>
      </c>
      <c r="AP50" s="566">
        <v>1292.5000000000002</v>
      </c>
      <c r="AQ50" s="566">
        <v>61.547619047619058</v>
      </c>
      <c r="AR50" s="562">
        <f t="shared" si="51"/>
        <v>10</v>
      </c>
      <c r="AS50" s="637"/>
      <c r="AT50" s="562">
        <v>21</v>
      </c>
      <c r="AU50" s="566">
        <v>1260.0000000000005</v>
      </c>
      <c r="AV50" s="566">
        <v>60.000000000000021</v>
      </c>
      <c r="AW50" s="562">
        <f t="shared" si="53"/>
        <v>10</v>
      </c>
      <c r="AX50" s="637"/>
      <c r="AZ50" s="368" t="e">
        <f t="shared" si="55"/>
        <v>#N/A</v>
      </c>
      <c r="BA50" s="637"/>
    </row>
    <row r="51" spans="2:53">
      <c r="B51" s="647"/>
      <c r="C51" s="379">
        <v>5</v>
      </c>
      <c r="D51" s="225" t="s">
        <v>349</v>
      </c>
      <c r="E51" s="535">
        <v>19</v>
      </c>
      <c r="F51" s="534">
        <v>1440</v>
      </c>
      <c r="G51" s="536">
        <v>75.8</v>
      </c>
      <c r="H51" s="701"/>
      <c r="I51" s="381">
        <f t="shared" si="38"/>
        <v>19</v>
      </c>
      <c r="J51" s="381">
        <f t="shared" si="39"/>
        <v>1317.2356130124037</v>
      </c>
      <c r="K51" s="199">
        <f t="shared" si="40"/>
        <v>69.328190158547571</v>
      </c>
      <c r="L51" s="657"/>
      <c r="M51" s="419">
        <f>RANK(K51, K$47:$K$61)</f>
        <v>7</v>
      </c>
      <c r="N51" s="641"/>
      <c r="O51" s="641"/>
      <c r="P51" s="562">
        <v>19</v>
      </c>
      <c r="Q51" s="566">
        <v>1315.4999999999995</v>
      </c>
      <c r="R51" s="566">
        <v>69.236842105263136</v>
      </c>
      <c r="S51" s="562">
        <f t="shared" si="41"/>
        <v>8</v>
      </c>
      <c r="T51" s="637"/>
      <c r="U51" s="562">
        <v>19</v>
      </c>
      <c r="V51" s="566">
        <v>1324.1666666666656</v>
      </c>
      <c r="W51" s="566">
        <v>69.6929824561403</v>
      </c>
      <c r="X51" s="562">
        <f t="shared" si="43"/>
        <v>8</v>
      </c>
      <c r="Y51" s="637"/>
      <c r="Z51" s="562">
        <v>19</v>
      </c>
      <c r="AA51" s="566">
        <v>1298.7341772151892</v>
      </c>
      <c r="AB51" s="566">
        <v>68.354430379746802</v>
      </c>
      <c r="AC51" s="562">
        <f t="shared" si="45"/>
        <v>9</v>
      </c>
      <c r="AD51" s="637"/>
      <c r="AE51" s="562">
        <v>19</v>
      </c>
      <c r="AF51" s="566">
        <v>1317.8571428571438</v>
      </c>
      <c r="AG51" s="566">
        <v>69.360902255639147</v>
      </c>
      <c r="AH51" s="562">
        <f t="shared" si="47"/>
        <v>7</v>
      </c>
      <c r="AI51" s="637"/>
      <c r="AJ51" s="562">
        <v>19</v>
      </c>
      <c r="AK51" s="566">
        <v>1342.0000000000014</v>
      </c>
      <c r="AL51" s="566">
        <v>70.631578947368496</v>
      </c>
      <c r="AM51" s="562">
        <f t="shared" si="49"/>
        <v>7</v>
      </c>
      <c r="AN51" s="637"/>
      <c r="AO51" s="562">
        <v>19</v>
      </c>
      <c r="AP51" s="566">
        <v>1302.391304347826</v>
      </c>
      <c r="AQ51" s="566">
        <v>68.546910755148744</v>
      </c>
      <c r="AR51" s="562">
        <f t="shared" si="51"/>
        <v>9</v>
      </c>
      <c r="AS51" s="637"/>
      <c r="AT51" s="562">
        <v>19</v>
      </c>
      <c r="AU51" s="566">
        <v>1319.9999999999993</v>
      </c>
      <c r="AV51" s="566">
        <v>69.473684210526287</v>
      </c>
      <c r="AW51" s="562">
        <f t="shared" si="53"/>
        <v>8</v>
      </c>
      <c r="AX51" s="637"/>
      <c r="AZ51" s="368" t="e">
        <f t="shared" si="55"/>
        <v>#N/A</v>
      </c>
      <c r="BA51" s="637"/>
    </row>
    <row r="52" spans="2:53">
      <c r="B52" s="647"/>
      <c r="C52" s="379">
        <v>6</v>
      </c>
      <c r="D52" s="225" t="s">
        <v>491</v>
      </c>
      <c r="E52" s="535">
        <v>18</v>
      </c>
      <c r="F52" s="534">
        <v>1385</v>
      </c>
      <c r="G52" s="536">
        <v>76.900000000000006</v>
      </c>
      <c r="H52" s="701"/>
      <c r="I52" s="381">
        <f t="shared" si="38"/>
        <v>18</v>
      </c>
      <c r="J52" s="381">
        <f t="shared" si="39"/>
        <v>1234.9318951534219</v>
      </c>
      <c r="K52" s="199">
        <f t="shared" si="40"/>
        <v>68.60732750852344</v>
      </c>
      <c r="L52" s="657"/>
      <c r="M52" s="419">
        <f>RANK(K52, K$47:$K$61)</f>
        <v>8</v>
      </c>
      <c r="N52" s="641"/>
      <c r="O52" s="641"/>
      <c r="P52" s="562">
        <v>18</v>
      </c>
      <c r="Q52" s="566">
        <v>1226.8656716417927</v>
      </c>
      <c r="R52" s="566">
        <v>68.159203980099591</v>
      </c>
      <c r="S52" s="562">
        <f t="shared" si="41"/>
        <v>9</v>
      </c>
      <c r="T52" s="637"/>
      <c r="U52" s="562">
        <v>18</v>
      </c>
      <c r="V52" s="566">
        <v>1237.5000000000014</v>
      </c>
      <c r="W52" s="566">
        <v>68.750000000000071</v>
      </c>
      <c r="X52" s="562">
        <f t="shared" si="43"/>
        <v>9</v>
      </c>
      <c r="Y52" s="637"/>
      <c r="Z52" s="562">
        <v>18</v>
      </c>
      <c r="AA52" s="566">
        <v>1236.7741935483882</v>
      </c>
      <c r="AB52" s="566">
        <v>68.709677419354904</v>
      </c>
      <c r="AC52" s="562">
        <f t="shared" si="45"/>
        <v>8</v>
      </c>
      <c r="AD52" s="637"/>
      <c r="AE52" s="562">
        <v>18</v>
      </c>
      <c r="AF52" s="566">
        <v>1213.0909090909099</v>
      </c>
      <c r="AG52" s="566">
        <v>67.393939393939434</v>
      </c>
      <c r="AH52" s="562">
        <f t="shared" si="47"/>
        <v>8</v>
      </c>
      <c r="AI52" s="637"/>
      <c r="AJ52" s="562">
        <v>18</v>
      </c>
      <c r="AK52" s="566">
        <v>1235.7894736842115</v>
      </c>
      <c r="AL52" s="566">
        <v>68.654970760233979</v>
      </c>
      <c r="AM52" s="562">
        <f t="shared" si="49"/>
        <v>8</v>
      </c>
      <c r="AN52" s="637"/>
      <c r="AO52" s="562">
        <v>18</v>
      </c>
      <c r="AP52" s="566">
        <v>1249.7142857142844</v>
      </c>
      <c r="AQ52" s="566">
        <v>69.42857142857136</v>
      </c>
      <c r="AR52" s="562">
        <f t="shared" si="51"/>
        <v>8</v>
      </c>
      <c r="AS52" s="637"/>
      <c r="AT52" s="562">
        <v>18</v>
      </c>
      <c r="AU52" s="566">
        <v>1244.7887323943648</v>
      </c>
      <c r="AV52" s="566">
        <v>69.154929577464713</v>
      </c>
      <c r="AW52" s="562">
        <f t="shared" si="53"/>
        <v>9</v>
      </c>
      <c r="AX52" s="637"/>
      <c r="AZ52" s="368" t="e">
        <f t="shared" si="55"/>
        <v>#N/A</v>
      </c>
      <c r="BA52" s="637"/>
    </row>
    <row r="53" spans="2:53">
      <c r="B53" s="647"/>
      <c r="C53" s="379">
        <v>7</v>
      </c>
      <c r="D53" s="225" t="s">
        <v>510</v>
      </c>
      <c r="E53" s="535">
        <v>16</v>
      </c>
      <c r="F53" s="534">
        <v>1440</v>
      </c>
      <c r="G53" s="536">
        <v>90</v>
      </c>
      <c r="H53" s="701"/>
      <c r="I53" s="381">
        <f t="shared" si="38"/>
        <v>16</v>
      </c>
      <c r="J53" s="381">
        <f t="shared" si="39"/>
        <v>1297.7749180260676</v>
      </c>
      <c r="K53" s="199">
        <f t="shared" si="40"/>
        <v>81.110932376629222</v>
      </c>
      <c r="L53" s="657"/>
      <c r="M53" s="419">
        <f>RANK(K53, K$47:$K$61)</f>
        <v>2</v>
      </c>
      <c r="N53" s="641"/>
      <c r="O53" s="641"/>
      <c r="P53" s="562">
        <v>16</v>
      </c>
      <c r="Q53" s="566">
        <v>1282.9999999999993</v>
      </c>
      <c r="R53" s="566">
        <v>80.187499999999957</v>
      </c>
      <c r="S53" s="562">
        <f t="shared" si="41"/>
        <v>2</v>
      </c>
      <c r="T53" s="637"/>
      <c r="U53" s="562">
        <v>16</v>
      </c>
      <c r="V53" s="566">
        <v>1288.0373831775707</v>
      </c>
      <c r="W53" s="566">
        <v>80.502336448598172</v>
      </c>
      <c r="X53" s="562">
        <f t="shared" si="43"/>
        <v>2</v>
      </c>
      <c r="Y53" s="637"/>
      <c r="Z53" s="562">
        <v>16</v>
      </c>
      <c r="AA53" s="566">
        <v>1292.2689075630246</v>
      </c>
      <c r="AB53" s="566">
        <v>80.76680672268904</v>
      </c>
      <c r="AC53" s="562">
        <f t="shared" si="45"/>
        <v>2</v>
      </c>
      <c r="AD53" s="637"/>
      <c r="AE53" s="562">
        <v>16</v>
      </c>
      <c r="AF53" s="566">
        <v>1313.0097087378647</v>
      </c>
      <c r="AG53" s="566">
        <v>82.063106796116543</v>
      </c>
      <c r="AH53" s="562">
        <f t="shared" si="47"/>
        <v>2</v>
      </c>
      <c r="AI53" s="637"/>
      <c r="AJ53" s="562">
        <v>16</v>
      </c>
      <c r="AK53" s="566">
        <v>1301.3445378151255</v>
      </c>
      <c r="AL53" s="566">
        <v>81.334033613445342</v>
      </c>
      <c r="AM53" s="562">
        <f t="shared" si="49"/>
        <v>2</v>
      </c>
      <c r="AN53" s="637"/>
      <c r="AO53" s="562">
        <v>16</v>
      </c>
      <c r="AP53" s="566">
        <v>1284.8888888888889</v>
      </c>
      <c r="AQ53" s="566">
        <v>80.305555555555557</v>
      </c>
      <c r="AR53" s="562">
        <f t="shared" si="51"/>
        <v>2</v>
      </c>
      <c r="AS53" s="637"/>
      <c r="AT53" s="562">
        <v>16</v>
      </c>
      <c r="AU53" s="566">
        <v>1321.8749999999998</v>
      </c>
      <c r="AV53" s="566">
        <v>82.617187499999986</v>
      </c>
      <c r="AW53" s="562">
        <f t="shared" si="53"/>
        <v>2</v>
      </c>
      <c r="AX53" s="637"/>
      <c r="AZ53" s="368" t="e">
        <f t="shared" si="55"/>
        <v>#N/A</v>
      </c>
      <c r="BA53" s="637"/>
    </row>
    <row r="54" spans="2:53">
      <c r="B54" s="647"/>
      <c r="C54" s="379">
        <v>8</v>
      </c>
      <c r="D54" s="225" t="s">
        <v>561</v>
      </c>
      <c r="E54" s="535">
        <v>19</v>
      </c>
      <c r="F54" s="534">
        <v>1636</v>
      </c>
      <c r="G54" s="536">
        <v>86.1</v>
      </c>
      <c r="H54" s="701"/>
      <c r="I54" s="381">
        <f t="shared" si="38"/>
        <v>19</v>
      </c>
      <c r="J54" s="381">
        <f t="shared" si="39"/>
        <v>1409.3778895119581</v>
      </c>
      <c r="K54" s="199">
        <f t="shared" si="40"/>
        <v>74.17778365852412</v>
      </c>
      <c r="L54" s="657"/>
      <c r="M54" s="419">
        <f>RANK(K54, K$47:$K$61)</f>
        <v>5</v>
      </c>
      <c r="N54" s="641"/>
      <c r="O54" s="641"/>
      <c r="P54" s="562">
        <v>19</v>
      </c>
      <c r="Q54" s="566">
        <v>1408.68947368421</v>
      </c>
      <c r="R54" s="566">
        <v>74.141551246537375</v>
      </c>
      <c r="S54" s="562">
        <f t="shared" si="41"/>
        <v>5</v>
      </c>
      <c r="T54" s="637"/>
      <c r="U54" s="562">
        <v>19</v>
      </c>
      <c r="V54" s="566">
        <v>1422.9202453987732</v>
      </c>
      <c r="W54" s="566">
        <v>74.890539231514381</v>
      </c>
      <c r="X54" s="562">
        <f t="shared" si="43"/>
        <v>5</v>
      </c>
      <c r="Y54" s="637"/>
      <c r="Z54" s="562">
        <v>19</v>
      </c>
      <c r="AA54" s="566">
        <v>1415.0886075949368</v>
      </c>
      <c r="AB54" s="566">
        <v>74.478347768154563</v>
      </c>
      <c r="AC54" s="562">
        <f t="shared" si="45"/>
        <v>5</v>
      </c>
      <c r="AD54" s="637"/>
      <c r="AE54" s="562">
        <v>19</v>
      </c>
      <c r="AF54" s="566">
        <v>1403.9999999999995</v>
      </c>
      <c r="AG54" s="566">
        <v>73.894736842105246</v>
      </c>
      <c r="AH54" s="562">
        <f t="shared" si="47"/>
        <v>5</v>
      </c>
      <c r="AI54" s="637"/>
      <c r="AJ54" s="562">
        <v>19</v>
      </c>
      <c r="AK54" s="566">
        <v>1415.0769230769231</v>
      </c>
      <c r="AL54" s="566">
        <v>74.477732793522264</v>
      </c>
      <c r="AM54" s="562">
        <f t="shared" si="49"/>
        <v>5</v>
      </c>
      <c r="AN54" s="637"/>
      <c r="AO54" s="562">
        <v>19</v>
      </c>
      <c r="AP54" s="566">
        <v>1393.1228070175441</v>
      </c>
      <c r="AQ54" s="566">
        <v>73.322253000923368</v>
      </c>
      <c r="AR54" s="562">
        <f t="shared" si="51"/>
        <v>5</v>
      </c>
      <c r="AS54" s="637"/>
      <c r="AT54" s="562">
        <v>19</v>
      </c>
      <c r="AU54" s="566">
        <v>1406.7471698113206</v>
      </c>
      <c r="AV54" s="566">
        <v>74.039324726911616</v>
      </c>
      <c r="AW54" s="562">
        <f t="shared" si="53"/>
        <v>5</v>
      </c>
      <c r="AX54" s="637"/>
      <c r="AZ54" s="368" t="e">
        <f t="shared" si="55"/>
        <v>#N/A</v>
      </c>
      <c r="BA54" s="637"/>
    </row>
    <row r="55" spans="2:53">
      <c r="B55" s="647"/>
      <c r="C55" s="379">
        <v>9</v>
      </c>
      <c r="D55" s="225" t="s">
        <v>588</v>
      </c>
      <c r="E55" s="535">
        <v>16</v>
      </c>
      <c r="F55" s="534">
        <v>1440</v>
      </c>
      <c r="G55" s="536">
        <v>84.7</v>
      </c>
      <c r="H55" s="701"/>
      <c r="I55" s="381">
        <f t="shared" si="38"/>
        <v>15.714285714285714</v>
      </c>
      <c r="J55" s="381">
        <f t="shared" si="39"/>
        <v>1355.995046006142</v>
      </c>
      <c r="K55" s="199">
        <f t="shared" si="40"/>
        <v>86.351203848990394</v>
      </c>
      <c r="L55" s="657"/>
      <c r="M55" s="419">
        <f>RANK(K55, K$47:$K$61)</f>
        <v>1</v>
      </c>
      <c r="N55" s="641"/>
      <c r="O55" s="641"/>
      <c r="P55" s="562">
        <v>16</v>
      </c>
      <c r="Q55" s="566">
        <v>1362.4137931034486</v>
      </c>
      <c r="R55" s="566">
        <v>85.150862068965537</v>
      </c>
      <c r="S55" s="562">
        <f t="shared" si="41"/>
        <v>1</v>
      </c>
      <c r="T55" s="637"/>
      <c r="U55" s="562">
        <v>16</v>
      </c>
      <c r="V55" s="566">
        <v>1338.75</v>
      </c>
      <c r="W55" s="566">
        <v>83.671875</v>
      </c>
      <c r="X55" s="562">
        <f t="shared" si="43"/>
        <v>1</v>
      </c>
      <c r="Y55" s="637"/>
      <c r="Z55" s="562">
        <v>16</v>
      </c>
      <c r="AA55" s="566">
        <v>1342.4999999999995</v>
      </c>
      <c r="AB55" s="566">
        <v>83.906249999999972</v>
      </c>
      <c r="AC55" s="562">
        <f t="shared" si="45"/>
        <v>1</v>
      </c>
      <c r="AD55" s="637"/>
      <c r="AE55" s="562">
        <v>16</v>
      </c>
      <c r="AF55" s="566">
        <v>1370.4545454545455</v>
      </c>
      <c r="AG55" s="566">
        <v>85.653409090909093</v>
      </c>
      <c r="AH55" s="562">
        <f t="shared" si="47"/>
        <v>1</v>
      </c>
      <c r="AI55" s="637"/>
      <c r="AJ55" s="562">
        <v>15</v>
      </c>
      <c r="AK55" s="566">
        <v>1333.3333333333333</v>
      </c>
      <c r="AL55" s="566">
        <v>88.888888888888886</v>
      </c>
      <c r="AM55" s="562">
        <f t="shared" si="49"/>
        <v>1</v>
      </c>
      <c r="AN55" s="637"/>
      <c r="AO55" s="562">
        <v>16</v>
      </c>
      <c r="AP55" s="566">
        <v>1387.3043478260872</v>
      </c>
      <c r="AQ55" s="566">
        <v>86.706521739130451</v>
      </c>
      <c r="AR55" s="562">
        <f t="shared" si="51"/>
        <v>1</v>
      </c>
      <c r="AS55" s="637"/>
      <c r="AT55" s="562">
        <v>15</v>
      </c>
      <c r="AU55" s="566">
        <v>1357.2093023255811</v>
      </c>
      <c r="AV55" s="566">
        <v>90.480620155038736</v>
      </c>
      <c r="AW55" s="562">
        <f t="shared" si="53"/>
        <v>1</v>
      </c>
      <c r="AX55" s="637"/>
      <c r="AZ55" s="368" t="e">
        <f t="shared" si="55"/>
        <v>#N/A</v>
      </c>
      <c r="BA55" s="637"/>
    </row>
    <row r="56" spans="2:53">
      <c r="B56" s="647"/>
      <c r="C56" s="379">
        <v>10</v>
      </c>
      <c r="D56" s="225" t="s">
        <v>701</v>
      </c>
      <c r="E56" s="535">
        <v>18</v>
      </c>
      <c r="F56" s="534">
        <v>1440</v>
      </c>
      <c r="G56" s="536">
        <v>80</v>
      </c>
      <c r="H56" s="701"/>
      <c r="I56" s="381">
        <f t="shared" si="38"/>
        <v>18</v>
      </c>
      <c r="J56" s="381">
        <f t="shared" si="39"/>
        <v>1216.916802879937</v>
      </c>
      <c r="K56" s="199">
        <f t="shared" si="40"/>
        <v>67.606489048885379</v>
      </c>
      <c r="L56" s="657"/>
      <c r="M56" s="419">
        <f>RANK(K56, K$47:$K$61)</f>
        <v>9</v>
      </c>
      <c r="N56" s="641"/>
      <c r="O56" s="641"/>
      <c r="P56" s="562">
        <v>18</v>
      </c>
      <c r="Q56" s="566">
        <v>1253.5135135135126</v>
      </c>
      <c r="R56" s="566">
        <v>69.639639639639597</v>
      </c>
      <c r="S56" s="562">
        <f t="shared" si="41"/>
        <v>7</v>
      </c>
      <c r="T56" s="637"/>
      <c r="U56" s="562">
        <v>18</v>
      </c>
      <c r="V56" s="566">
        <v>1290.0000000000018</v>
      </c>
      <c r="W56" s="566">
        <v>71.666666666666771</v>
      </c>
      <c r="X56" s="562">
        <f t="shared" si="43"/>
        <v>7</v>
      </c>
      <c r="Y56" s="637"/>
      <c r="Z56" s="562">
        <v>18</v>
      </c>
      <c r="AA56" s="566">
        <v>1267.7419354838721</v>
      </c>
      <c r="AB56" s="566">
        <v>70.430107526881784</v>
      </c>
      <c r="AC56" s="562">
        <f t="shared" si="45"/>
        <v>7</v>
      </c>
      <c r="AD56" s="637"/>
      <c r="AE56" s="562">
        <v>18</v>
      </c>
      <c r="AF56" s="566">
        <v>1093.8461538461545</v>
      </c>
      <c r="AG56" s="566">
        <v>60.769230769230802</v>
      </c>
      <c r="AH56" s="562">
        <f t="shared" si="47"/>
        <v>10</v>
      </c>
      <c r="AI56" s="637"/>
      <c r="AJ56" s="562">
        <v>18</v>
      </c>
      <c r="AK56" s="566">
        <v>1074.2857142857138</v>
      </c>
      <c r="AL56" s="566">
        <v>59.682539682539655</v>
      </c>
      <c r="AM56" s="562">
        <f t="shared" si="49"/>
        <v>10</v>
      </c>
      <c r="AN56" s="637"/>
      <c r="AO56" s="562">
        <v>18</v>
      </c>
      <c r="AP56" s="566">
        <v>1256.3636363636379</v>
      </c>
      <c r="AQ56" s="566">
        <v>69.797979797979878</v>
      </c>
      <c r="AR56" s="562">
        <f t="shared" si="51"/>
        <v>7</v>
      </c>
      <c r="AS56" s="637"/>
      <c r="AT56" s="562">
        <v>18</v>
      </c>
      <c r="AU56" s="566">
        <v>1282.6666666666665</v>
      </c>
      <c r="AV56" s="566">
        <v>71.259259259259252</v>
      </c>
      <c r="AW56" s="562">
        <f t="shared" si="53"/>
        <v>7</v>
      </c>
      <c r="AX56" s="637"/>
      <c r="AZ56" s="368" t="e">
        <f t="shared" si="55"/>
        <v>#N/A</v>
      </c>
      <c r="BA56" s="637"/>
    </row>
    <row r="57" spans="2:53">
      <c r="B57" s="647"/>
      <c r="C57" s="379">
        <v>11</v>
      </c>
      <c r="D57" s="225"/>
      <c r="E57" s="535"/>
      <c r="F57" s="534"/>
      <c r="G57" s="536"/>
      <c r="H57" s="701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7"/>
      <c r="M57" s="419" t="e">
        <f>RANK(K57, K$47:$K$61)</f>
        <v>#VALUE!</v>
      </c>
      <c r="N57" s="641"/>
      <c r="O57" s="641"/>
      <c r="P57" s="562" t="s">
        <v>585</v>
      </c>
      <c r="Q57" s="566" t="s">
        <v>585</v>
      </c>
      <c r="R57" s="566" t="s">
        <v>585</v>
      </c>
      <c r="S57" s="562" t="e">
        <f t="shared" si="41"/>
        <v>#VALUE!</v>
      </c>
      <c r="T57" s="637"/>
      <c r="U57" s="562" t="s">
        <v>585</v>
      </c>
      <c r="V57" s="566" t="s">
        <v>585</v>
      </c>
      <c r="W57" s="566" t="s">
        <v>585</v>
      </c>
      <c r="X57" s="562" t="e">
        <f t="shared" si="43"/>
        <v>#VALUE!</v>
      </c>
      <c r="Y57" s="637"/>
      <c r="Z57" s="562" t="s">
        <v>585</v>
      </c>
      <c r="AA57" s="566" t="s">
        <v>585</v>
      </c>
      <c r="AB57" s="566" t="s">
        <v>585</v>
      </c>
      <c r="AC57" s="562" t="e">
        <f t="shared" si="45"/>
        <v>#VALUE!</v>
      </c>
      <c r="AD57" s="637"/>
      <c r="AE57" s="562" t="s">
        <v>585</v>
      </c>
      <c r="AF57" s="566" t="s">
        <v>585</v>
      </c>
      <c r="AG57" s="566" t="s">
        <v>585</v>
      </c>
      <c r="AH57" s="562" t="e">
        <f t="shared" si="47"/>
        <v>#VALUE!</v>
      </c>
      <c r="AI57" s="637"/>
      <c r="AJ57" s="562" t="s">
        <v>585</v>
      </c>
      <c r="AK57" s="566" t="s">
        <v>585</v>
      </c>
      <c r="AL57" s="566" t="s">
        <v>585</v>
      </c>
      <c r="AM57" s="562" t="e">
        <f t="shared" si="49"/>
        <v>#VALUE!</v>
      </c>
      <c r="AN57" s="637"/>
      <c r="AO57" s="562" t="s">
        <v>585</v>
      </c>
      <c r="AP57" s="566" t="s">
        <v>585</v>
      </c>
      <c r="AQ57" s="566" t="s">
        <v>585</v>
      </c>
      <c r="AR57" s="562" t="e">
        <f t="shared" si="51"/>
        <v>#VALUE!</v>
      </c>
      <c r="AS57" s="637"/>
      <c r="AT57" s="562" t="s">
        <v>585</v>
      </c>
      <c r="AU57" s="566" t="s">
        <v>585</v>
      </c>
      <c r="AV57" s="566" t="s">
        <v>585</v>
      </c>
      <c r="AW57" s="562" t="e">
        <f t="shared" si="53"/>
        <v>#VALUE!</v>
      </c>
      <c r="AX57" s="637"/>
      <c r="AZ57" s="368" t="e">
        <f t="shared" si="55"/>
        <v>#N/A</v>
      </c>
      <c r="BA57" s="637"/>
    </row>
    <row r="58" spans="2:53">
      <c r="B58" s="647"/>
      <c r="C58" s="379">
        <v>12</v>
      </c>
      <c r="D58" s="225"/>
      <c r="E58" s="535"/>
      <c r="F58" s="534"/>
      <c r="G58" s="536"/>
      <c r="H58" s="701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7"/>
      <c r="M58" s="419" t="e">
        <f>RANK(K58, K$47:$K$61)</f>
        <v>#VALUE!</v>
      </c>
      <c r="N58" s="641"/>
      <c r="O58" s="641"/>
      <c r="P58" s="562" t="s">
        <v>585</v>
      </c>
      <c r="Q58" s="566" t="s">
        <v>585</v>
      </c>
      <c r="R58" s="566" t="s">
        <v>585</v>
      </c>
      <c r="S58" s="562" t="e">
        <f t="shared" si="41"/>
        <v>#VALUE!</v>
      </c>
      <c r="T58" s="637"/>
      <c r="U58" s="562" t="s">
        <v>585</v>
      </c>
      <c r="V58" s="566" t="s">
        <v>585</v>
      </c>
      <c r="W58" s="566" t="s">
        <v>585</v>
      </c>
      <c r="X58" s="562" t="e">
        <f t="shared" si="43"/>
        <v>#VALUE!</v>
      </c>
      <c r="Y58" s="637"/>
      <c r="Z58" s="562" t="s">
        <v>585</v>
      </c>
      <c r="AA58" s="566" t="s">
        <v>585</v>
      </c>
      <c r="AB58" s="566" t="s">
        <v>585</v>
      </c>
      <c r="AC58" s="562" t="e">
        <f t="shared" si="45"/>
        <v>#VALUE!</v>
      </c>
      <c r="AD58" s="637"/>
      <c r="AE58" s="562" t="s">
        <v>585</v>
      </c>
      <c r="AF58" s="566" t="s">
        <v>585</v>
      </c>
      <c r="AG58" s="566" t="s">
        <v>585</v>
      </c>
      <c r="AH58" s="562" t="e">
        <f t="shared" si="47"/>
        <v>#VALUE!</v>
      </c>
      <c r="AI58" s="637"/>
      <c r="AJ58" s="562" t="s">
        <v>585</v>
      </c>
      <c r="AK58" s="566" t="s">
        <v>585</v>
      </c>
      <c r="AL58" s="566" t="s">
        <v>585</v>
      </c>
      <c r="AM58" s="562" t="e">
        <f t="shared" si="49"/>
        <v>#VALUE!</v>
      </c>
      <c r="AN58" s="637"/>
      <c r="AO58" s="562" t="s">
        <v>585</v>
      </c>
      <c r="AP58" s="566" t="s">
        <v>585</v>
      </c>
      <c r="AQ58" s="566" t="s">
        <v>585</v>
      </c>
      <c r="AR58" s="562" t="e">
        <f t="shared" si="51"/>
        <v>#VALUE!</v>
      </c>
      <c r="AS58" s="637"/>
      <c r="AT58" s="562" t="s">
        <v>585</v>
      </c>
      <c r="AU58" s="566" t="s">
        <v>585</v>
      </c>
      <c r="AV58" s="566" t="s">
        <v>585</v>
      </c>
      <c r="AW58" s="562" t="e">
        <f t="shared" si="53"/>
        <v>#VALUE!</v>
      </c>
      <c r="AX58" s="637"/>
      <c r="AZ58" s="368" t="e">
        <f t="shared" si="55"/>
        <v>#N/A</v>
      </c>
      <c r="BA58" s="637"/>
    </row>
    <row r="59" spans="2:53">
      <c r="B59" s="647"/>
      <c r="C59" s="379">
        <v>13</v>
      </c>
      <c r="D59" s="225"/>
      <c r="E59" s="535"/>
      <c r="F59" s="534"/>
      <c r="G59" s="536"/>
      <c r="H59" s="701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7"/>
      <c r="M59" s="419" t="e">
        <f>RANK(K59, K$47:$K$61)</f>
        <v>#VALUE!</v>
      </c>
      <c r="N59" s="641"/>
      <c r="O59" s="641"/>
      <c r="P59" s="562" t="s">
        <v>585</v>
      </c>
      <c r="Q59" s="566" t="s">
        <v>585</v>
      </c>
      <c r="R59" s="566" t="s">
        <v>585</v>
      </c>
      <c r="S59" s="562" t="e">
        <f t="shared" si="41"/>
        <v>#VALUE!</v>
      </c>
      <c r="T59" s="637"/>
      <c r="U59" s="562" t="s">
        <v>585</v>
      </c>
      <c r="V59" s="566" t="s">
        <v>585</v>
      </c>
      <c r="W59" s="566" t="s">
        <v>585</v>
      </c>
      <c r="X59" s="562" t="e">
        <f t="shared" si="43"/>
        <v>#VALUE!</v>
      </c>
      <c r="Y59" s="637"/>
      <c r="Z59" s="562" t="s">
        <v>585</v>
      </c>
      <c r="AA59" s="566" t="s">
        <v>585</v>
      </c>
      <c r="AB59" s="566" t="s">
        <v>585</v>
      </c>
      <c r="AC59" s="562" t="e">
        <f t="shared" si="45"/>
        <v>#VALUE!</v>
      </c>
      <c r="AD59" s="637"/>
      <c r="AE59" s="562" t="s">
        <v>585</v>
      </c>
      <c r="AF59" s="566" t="s">
        <v>585</v>
      </c>
      <c r="AG59" s="566" t="s">
        <v>585</v>
      </c>
      <c r="AH59" s="562" t="e">
        <f t="shared" si="47"/>
        <v>#VALUE!</v>
      </c>
      <c r="AI59" s="637"/>
      <c r="AJ59" s="562" t="s">
        <v>585</v>
      </c>
      <c r="AK59" s="566" t="s">
        <v>585</v>
      </c>
      <c r="AL59" s="566" t="s">
        <v>585</v>
      </c>
      <c r="AM59" s="562" t="e">
        <f t="shared" si="49"/>
        <v>#VALUE!</v>
      </c>
      <c r="AN59" s="637"/>
      <c r="AO59" s="562" t="s">
        <v>585</v>
      </c>
      <c r="AP59" s="566" t="s">
        <v>585</v>
      </c>
      <c r="AQ59" s="566" t="s">
        <v>585</v>
      </c>
      <c r="AR59" s="562" t="e">
        <f t="shared" si="51"/>
        <v>#VALUE!</v>
      </c>
      <c r="AS59" s="637"/>
      <c r="AT59" s="562" t="s">
        <v>585</v>
      </c>
      <c r="AU59" s="566" t="s">
        <v>585</v>
      </c>
      <c r="AV59" s="566" t="s">
        <v>585</v>
      </c>
      <c r="AW59" s="562" t="e">
        <f t="shared" si="53"/>
        <v>#VALUE!</v>
      </c>
      <c r="AX59" s="637"/>
      <c r="AZ59" s="368" t="e">
        <f t="shared" si="55"/>
        <v>#N/A</v>
      </c>
      <c r="BA59" s="637"/>
    </row>
    <row r="60" spans="2:53">
      <c r="B60" s="647"/>
      <c r="C60" s="379">
        <v>14</v>
      </c>
      <c r="D60" s="225"/>
      <c r="E60" s="535"/>
      <c r="F60" s="534"/>
      <c r="G60" s="536"/>
      <c r="H60" s="701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7"/>
      <c r="M60" s="419" t="e">
        <f>RANK(K60, K$47:$K$61)</f>
        <v>#VALUE!</v>
      </c>
      <c r="N60" s="641"/>
      <c r="O60" s="641"/>
      <c r="P60" s="562" t="s">
        <v>585</v>
      </c>
      <c r="Q60" s="566" t="s">
        <v>585</v>
      </c>
      <c r="R60" s="566" t="s">
        <v>585</v>
      </c>
      <c r="S60" s="562" t="e">
        <f t="shared" si="41"/>
        <v>#VALUE!</v>
      </c>
      <c r="T60" s="637"/>
      <c r="U60" s="562" t="s">
        <v>585</v>
      </c>
      <c r="V60" s="566" t="s">
        <v>585</v>
      </c>
      <c r="W60" s="566" t="s">
        <v>585</v>
      </c>
      <c r="X60" s="562" t="e">
        <f t="shared" si="43"/>
        <v>#VALUE!</v>
      </c>
      <c r="Y60" s="637"/>
      <c r="Z60" s="562" t="s">
        <v>585</v>
      </c>
      <c r="AA60" s="566" t="s">
        <v>585</v>
      </c>
      <c r="AB60" s="566" t="s">
        <v>585</v>
      </c>
      <c r="AC60" s="562" t="e">
        <f t="shared" si="45"/>
        <v>#VALUE!</v>
      </c>
      <c r="AD60" s="637"/>
      <c r="AE60" s="562" t="s">
        <v>585</v>
      </c>
      <c r="AF60" s="566" t="s">
        <v>585</v>
      </c>
      <c r="AG60" s="566" t="s">
        <v>585</v>
      </c>
      <c r="AH60" s="562" t="e">
        <f t="shared" si="47"/>
        <v>#VALUE!</v>
      </c>
      <c r="AI60" s="637"/>
      <c r="AJ60" s="562" t="s">
        <v>585</v>
      </c>
      <c r="AK60" s="566" t="s">
        <v>585</v>
      </c>
      <c r="AL60" s="566" t="s">
        <v>585</v>
      </c>
      <c r="AM60" s="562" t="e">
        <f t="shared" si="49"/>
        <v>#VALUE!</v>
      </c>
      <c r="AN60" s="637"/>
      <c r="AO60" s="562" t="s">
        <v>585</v>
      </c>
      <c r="AP60" s="566" t="s">
        <v>585</v>
      </c>
      <c r="AQ60" s="566" t="s">
        <v>585</v>
      </c>
      <c r="AR60" s="562" t="e">
        <f t="shared" si="51"/>
        <v>#VALUE!</v>
      </c>
      <c r="AS60" s="637"/>
      <c r="AT60" s="562" t="s">
        <v>585</v>
      </c>
      <c r="AU60" s="566" t="s">
        <v>585</v>
      </c>
      <c r="AV60" s="566" t="s">
        <v>585</v>
      </c>
      <c r="AW60" s="562" t="e">
        <f t="shared" si="53"/>
        <v>#VALUE!</v>
      </c>
      <c r="AX60" s="637"/>
      <c r="AZ60" s="368" t="e">
        <f t="shared" si="55"/>
        <v>#N/A</v>
      </c>
      <c r="BA60" s="637"/>
    </row>
    <row r="61" spans="2:53">
      <c r="B61" s="647"/>
      <c r="C61" s="379">
        <v>15</v>
      </c>
      <c r="D61" s="225"/>
      <c r="E61" s="535"/>
      <c r="F61" s="534"/>
      <c r="G61" s="536"/>
      <c r="H61" s="702"/>
      <c r="I61" s="421" t="str">
        <f t="shared" ref="I61" si="57">IFERROR(AVERAGE(P61,U61,Z61,AE61,AJ61,AO61,AT61),"-")</f>
        <v>-</v>
      </c>
      <c r="J61" s="421" t="str">
        <f t="shared" ref="J61" si="58">IFERROR(AVERAGE(Q61,V61,AA61,AF61,AK61,AP61,AU61),"-")</f>
        <v>-</v>
      </c>
      <c r="K61" s="199" t="str">
        <f t="shared" ref="K61" si="59">IFERROR(AVERAGE(R61,W61,AB61,AG61,AL61,AQ61,AV61),"-")</f>
        <v>-</v>
      </c>
      <c r="L61" s="658"/>
      <c r="M61" s="419" t="e">
        <f>RANK(K61, K$47:$K$61)</f>
        <v>#VALUE!</v>
      </c>
      <c r="N61" s="641"/>
      <c r="O61" s="641"/>
      <c r="P61" s="562" t="s">
        <v>585</v>
      </c>
      <c r="Q61" s="566" t="s">
        <v>585</v>
      </c>
      <c r="R61" s="566" t="s">
        <v>585</v>
      </c>
      <c r="S61" s="562" t="e">
        <f t="shared" si="41"/>
        <v>#VALUE!</v>
      </c>
      <c r="T61" s="638"/>
      <c r="U61" s="562" t="s">
        <v>585</v>
      </c>
      <c r="V61" s="566" t="s">
        <v>585</v>
      </c>
      <c r="W61" s="566" t="s">
        <v>585</v>
      </c>
      <c r="X61" s="562" t="e">
        <f t="shared" si="43"/>
        <v>#VALUE!</v>
      </c>
      <c r="Y61" s="638"/>
      <c r="Z61" s="562" t="s">
        <v>585</v>
      </c>
      <c r="AA61" s="566" t="s">
        <v>585</v>
      </c>
      <c r="AB61" s="566" t="s">
        <v>585</v>
      </c>
      <c r="AC61" s="562" t="e">
        <f t="shared" si="45"/>
        <v>#VALUE!</v>
      </c>
      <c r="AD61" s="638"/>
      <c r="AE61" s="562" t="s">
        <v>585</v>
      </c>
      <c r="AF61" s="566" t="s">
        <v>585</v>
      </c>
      <c r="AG61" s="566" t="s">
        <v>585</v>
      </c>
      <c r="AH61" s="562" t="e">
        <f t="shared" si="47"/>
        <v>#VALUE!</v>
      </c>
      <c r="AI61" s="638"/>
      <c r="AJ61" s="562" t="s">
        <v>585</v>
      </c>
      <c r="AK61" s="566" t="s">
        <v>585</v>
      </c>
      <c r="AL61" s="566" t="s">
        <v>585</v>
      </c>
      <c r="AM61" s="562" t="e">
        <f t="shared" si="49"/>
        <v>#VALUE!</v>
      </c>
      <c r="AN61" s="638"/>
      <c r="AO61" s="562" t="s">
        <v>585</v>
      </c>
      <c r="AP61" s="566" t="s">
        <v>585</v>
      </c>
      <c r="AQ61" s="566" t="s">
        <v>585</v>
      </c>
      <c r="AR61" s="562" t="e">
        <f t="shared" si="51"/>
        <v>#VALUE!</v>
      </c>
      <c r="AS61" s="638"/>
      <c r="AT61" s="562" t="s">
        <v>585</v>
      </c>
      <c r="AU61" s="566" t="s">
        <v>585</v>
      </c>
      <c r="AV61" s="566" t="s">
        <v>585</v>
      </c>
      <c r="AW61" s="562" t="e">
        <f t="shared" si="53"/>
        <v>#VALUE!</v>
      </c>
      <c r="AX61" s="638"/>
      <c r="AZ61" s="368" t="e">
        <f t="shared" si="55"/>
        <v>#N/A</v>
      </c>
      <c r="BA61" s="638"/>
    </row>
    <row r="62" spans="2:53" ht="15.75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68">
        <f>P42+7</f>
        <v>46252</v>
      </c>
      <c r="Q62" s="647"/>
      <c r="R62" s="647"/>
      <c r="S62" s="647"/>
      <c r="T62" s="647"/>
      <c r="U62" s="665">
        <f>P62+1</f>
        <v>46253</v>
      </c>
      <c r="V62" s="666"/>
      <c r="W62" s="666"/>
      <c r="X62" s="666"/>
      <c r="Y62" s="667"/>
      <c r="Z62" s="665">
        <f>U62+1</f>
        <v>46254</v>
      </c>
      <c r="AA62" s="666"/>
      <c r="AB62" s="666"/>
      <c r="AC62" s="666"/>
      <c r="AD62" s="667"/>
      <c r="AE62" s="665">
        <f>Z62+1</f>
        <v>46255</v>
      </c>
      <c r="AF62" s="666"/>
      <c r="AG62" s="666"/>
      <c r="AH62" s="666"/>
      <c r="AI62" s="667"/>
      <c r="AJ62" s="665">
        <f>AE62+1</f>
        <v>46256</v>
      </c>
      <c r="AK62" s="666"/>
      <c r="AL62" s="666"/>
      <c r="AM62" s="666"/>
      <c r="AN62" s="667"/>
      <c r="AO62" s="665">
        <f>AJ62+1</f>
        <v>46257</v>
      </c>
      <c r="AP62" s="666"/>
      <c r="AQ62" s="666"/>
      <c r="AR62" s="666"/>
      <c r="AS62" s="667"/>
      <c r="AT62" s="665">
        <f>AO62+1</f>
        <v>46258</v>
      </c>
      <c r="AU62" s="666"/>
      <c r="AV62" s="666"/>
      <c r="AW62" s="666"/>
      <c r="AX62" s="667"/>
    </row>
    <row r="63" spans="2:53" ht="15.75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45"/>
      <c r="O63" s="645"/>
      <c r="P63" s="668" t="s">
        <v>317</v>
      </c>
      <c r="Q63" s="647"/>
      <c r="R63" s="647"/>
      <c r="S63" s="647"/>
      <c r="T63" s="647"/>
      <c r="U63" s="668" t="s">
        <v>318</v>
      </c>
      <c r="V63" s="647"/>
      <c r="W63" s="647"/>
      <c r="X63" s="647"/>
      <c r="Y63" s="647"/>
      <c r="Z63" s="668" t="s">
        <v>319</v>
      </c>
      <c r="AA63" s="647"/>
      <c r="AB63" s="647"/>
      <c r="AC63" s="647"/>
      <c r="AD63" s="647"/>
      <c r="AE63" s="668" t="s">
        <v>320</v>
      </c>
      <c r="AF63" s="647"/>
      <c r="AG63" s="647"/>
      <c r="AH63" s="647"/>
      <c r="AI63" s="647"/>
      <c r="AJ63" s="668" t="s">
        <v>321</v>
      </c>
      <c r="AK63" s="647"/>
      <c r="AL63" s="647"/>
      <c r="AM63" s="647"/>
      <c r="AN63" s="647"/>
      <c r="AO63" s="668" t="s">
        <v>322</v>
      </c>
      <c r="AP63" s="647"/>
      <c r="AQ63" s="647"/>
      <c r="AR63" s="647"/>
      <c r="AS63" s="647"/>
      <c r="AT63" s="668" t="s">
        <v>323</v>
      </c>
      <c r="AU63" s="647"/>
      <c r="AV63" s="647"/>
      <c r="AW63" s="647"/>
      <c r="AX63" s="647"/>
    </row>
    <row r="64" spans="2:53">
      <c r="B64" s="641" t="s">
        <v>369</v>
      </c>
      <c r="C64" s="641" t="s">
        <v>379</v>
      </c>
      <c r="D64" s="641"/>
      <c r="E64" s="641" t="s">
        <v>370</v>
      </c>
      <c r="F64" s="641"/>
      <c r="G64" s="641"/>
      <c r="H64" s="673" t="s">
        <v>366</v>
      </c>
      <c r="I64" s="688" t="s">
        <v>371</v>
      </c>
      <c r="J64" s="688"/>
      <c r="K64" s="688"/>
      <c r="L64" s="689" t="s">
        <v>366</v>
      </c>
      <c r="M64" s="677" t="s">
        <v>367</v>
      </c>
      <c r="N64" s="641"/>
      <c r="O64" s="641" t="s">
        <v>372</v>
      </c>
      <c r="P64" s="659" t="s">
        <v>368</v>
      </c>
      <c r="Q64" s="660"/>
      <c r="R64" s="660"/>
      <c r="S64" s="661"/>
      <c r="T64" s="641" t="s">
        <v>366</v>
      </c>
      <c r="U64" s="659" t="s">
        <v>368</v>
      </c>
      <c r="V64" s="660"/>
      <c r="W64" s="660"/>
      <c r="X64" s="661"/>
      <c r="Y64" s="641" t="s">
        <v>366</v>
      </c>
      <c r="Z64" s="659" t="s">
        <v>368</v>
      </c>
      <c r="AA64" s="660"/>
      <c r="AB64" s="660"/>
      <c r="AC64" s="661"/>
      <c r="AD64" s="641" t="s">
        <v>366</v>
      </c>
      <c r="AE64" s="659" t="s">
        <v>368</v>
      </c>
      <c r="AF64" s="660"/>
      <c r="AG64" s="660"/>
      <c r="AH64" s="661"/>
      <c r="AI64" s="641" t="s">
        <v>366</v>
      </c>
      <c r="AJ64" s="659" t="s">
        <v>368</v>
      </c>
      <c r="AK64" s="660"/>
      <c r="AL64" s="660"/>
      <c r="AM64" s="661"/>
      <c r="AN64" s="641" t="s">
        <v>366</v>
      </c>
      <c r="AO64" s="659" t="s">
        <v>368</v>
      </c>
      <c r="AP64" s="660"/>
      <c r="AQ64" s="660"/>
      <c r="AR64" s="661"/>
      <c r="AS64" s="641" t="s">
        <v>366</v>
      </c>
      <c r="AT64" s="659" t="s">
        <v>368</v>
      </c>
      <c r="AU64" s="660"/>
      <c r="AV64" s="660"/>
      <c r="AW64" s="661"/>
      <c r="AX64" s="641" t="s">
        <v>366</v>
      </c>
      <c r="BA64" s="641" t="s">
        <v>366</v>
      </c>
    </row>
    <row r="65" spans="2:53">
      <c r="B65" s="641"/>
      <c r="C65" s="641"/>
      <c r="D65" s="641"/>
      <c r="E65" s="641" t="s">
        <v>373</v>
      </c>
      <c r="F65" s="641"/>
      <c r="G65" s="641"/>
      <c r="H65" s="674"/>
      <c r="I65" s="688" t="s">
        <v>373</v>
      </c>
      <c r="J65" s="688"/>
      <c r="K65" s="688"/>
      <c r="L65" s="690"/>
      <c r="M65" s="678"/>
      <c r="N65" s="641"/>
      <c r="O65" s="641"/>
      <c r="P65" s="659" t="s">
        <v>374</v>
      </c>
      <c r="Q65" s="660"/>
      <c r="R65" s="660"/>
      <c r="S65" s="661"/>
      <c r="T65" s="641"/>
      <c r="U65" s="659" t="s">
        <v>374</v>
      </c>
      <c r="V65" s="660"/>
      <c r="W65" s="660"/>
      <c r="X65" s="661"/>
      <c r="Y65" s="641"/>
      <c r="Z65" s="659" t="s">
        <v>374</v>
      </c>
      <c r="AA65" s="660"/>
      <c r="AB65" s="660"/>
      <c r="AC65" s="661"/>
      <c r="AD65" s="641"/>
      <c r="AE65" s="659" t="s">
        <v>374</v>
      </c>
      <c r="AF65" s="660"/>
      <c r="AG65" s="660"/>
      <c r="AH65" s="661"/>
      <c r="AI65" s="641"/>
      <c r="AJ65" s="659" t="s">
        <v>374</v>
      </c>
      <c r="AK65" s="660"/>
      <c r="AL65" s="660"/>
      <c r="AM65" s="661"/>
      <c r="AN65" s="641"/>
      <c r="AO65" s="659" t="s">
        <v>374</v>
      </c>
      <c r="AP65" s="660"/>
      <c r="AQ65" s="660"/>
      <c r="AR65" s="661"/>
      <c r="AS65" s="641"/>
      <c r="AT65" s="659" t="s">
        <v>374</v>
      </c>
      <c r="AU65" s="660"/>
      <c r="AV65" s="660"/>
      <c r="AW65" s="661"/>
      <c r="AX65" s="641"/>
      <c r="BA65" s="641"/>
    </row>
    <row r="66" spans="2:53">
      <c r="B66" s="641"/>
      <c r="C66" s="641"/>
      <c r="D66" s="641"/>
      <c r="E66" s="378" t="s">
        <v>375</v>
      </c>
      <c r="F66" s="378" t="s">
        <v>376</v>
      </c>
      <c r="G66" s="378" t="s">
        <v>377</v>
      </c>
      <c r="H66" s="675"/>
      <c r="I66" s="377" t="s">
        <v>375</v>
      </c>
      <c r="J66" s="377" t="s">
        <v>376</v>
      </c>
      <c r="K66" s="377" t="s">
        <v>377</v>
      </c>
      <c r="L66" s="691"/>
      <c r="M66" s="679"/>
      <c r="N66" s="641"/>
      <c r="O66" s="641"/>
      <c r="P66" s="378" t="s">
        <v>375</v>
      </c>
      <c r="Q66" s="378" t="s">
        <v>376</v>
      </c>
      <c r="R66" s="378" t="s">
        <v>377</v>
      </c>
      <c r="S66" s="378" t="s">
        <v>367</v>
      </c>
      <c r="T66" s="641"/>
      <c r="U66" s="378" t="s">
        <v>375</v>
      </c>
      <c r="V66" s="378" t="s">
        <v>376</v>
      </c>
      <c r="W66" s="378" t="s">
        <v>377</v>
      </c>
      <c r="X66" s="378" t="s">
        <v>367</v>
      </c>
      <c r="Y66" s="641"/>
      <c r="Z66" s="378" t="s">
        <v>375</v>
      </c>
      <c r="AA66" s="378" t="s">
        <v>376</v>
      </c>
      <c r="AB66" s="378" t="s">
        <v>377</v>
      </c>
      <c r="AC66" s="378" t="s">
        <v>367</v>
      </c>
      <c r="AD66" s="641"/>
      <c r="AE66" s="378" t="s">
        <v>375</v>
      </c>
      <c r="AF66" s="378" t="s">
        <v>376</v>
      </c>
      <c r="AG66" s="378" t="s">
        <v>377</v>
      </c>
      <c r="AH66" s="378" t="s">
        <v>367</v>
      </c>
      <c r="AI66" s="641"/>
      <c r="AJ66" s="378" t="s">
        <v>375</v>
      </c>
      <c r="AK66" s="378" t="s">
        <v>376</v>
      </c>
      <c r="AL66" s="378" t="s">
        <v>377</v>
      </c>
      <c r="AM66" s="378" t="s">
        <v>367</v>
      </c>
      <c r="AN66" s="641"/>
      <c r="AO66" s="378" t="s">
        <v>375</v>
      </c>
      <c r="AP66" s="378" t="s">
        <v>376</v>
      </c>
      <c r="AQ66" s="378" t="s">
        <v>377</v>
      </c>
      <c r="AR66" s="378" t="s">
        <v>367</v>
      </c>
      <c r="AS66" s="641"/>
      <c r="AT66" s="378" t="s">
        <v>375</v>
      </c>
      <c r="AU66" s="378" t="s">
        <v>376</v>
      </c>
      <c r="AV66" s="378" t="s">
        <v>377</v>
      </c>
      <c r="AW66" s="378" t="s">
        <v>367</v>
      </c>
      <c r="AX66" s="641"/>
      <c r="AZ66" s="367" t="s">
        <v>367</v>
      </c>
      <c r="BA66" s="641"/>
    </row>
    <row r="67" spans="2:53">
      <c r="B67" s="641" t="s">
        <v>387</v>
      </c>
      <c r="C67" s="379">
        <v>1</v>
      </c>
      <c r="D67" s="225" t="s">
        <v>604</v>
      </c>
      <c r="E67" s="535">
        <v>17</v>
      </c>
      <c r="F67" s="534">
        <v>1440</v>
      </c>
      <c r="G67" s="536">
        <v>84.7</v>
      </c>
      <c r="H67" s="700">
        <f>AVERAGE(G67:G81)</f>
        <v>79.245394736842115</v>
      </c>
      <c r="I67" s="381">
        <f t="shared" ref="I67:I79" si="60">IFERROR(AVERAGE(P67,U67,Z67,AE67,AJ67,AO67,AT67),"-")</f>
        <v>17</v>
      </c>
      <c r="J67" s="381">
        <f t="shared" ref="J67:J79" si="61">IFERROR(AVERAGE(Q67,V67,AA67,AF67,AK67,AP67,AU67),"-")</f>
        <v>1291.4971728065796</v>
      </c>
      <c r="K67" s="199">
        <f t="shared" ref="K67:K79" si="62">IFERROR(AVERAGE(R67,W67,AB67,AG67,AL67,AQ67,AV67),"-")</f>
        <v>75.970421929798803</v>
      </c>
      <c r="L67" s="656">
        <f>IFERROR(AVERAGE(K67:K81),"-")</f>
        <v>71.694686003464312</v>
      </c>
      <c r="M67" s="383">
        <f>RANK(K67, K$67:$K$81)</f>
        <v>5</v>
      </c>
      <c r="N67" s="641"/>
      <c r="O67" s="641"/>
      <c r="P67" s="575">
        <v>17</v>
      </c>
      <c r="Q67" s="577">
        <v>1294.3689320388355</v>
      </c>
      <c r="R67" s="577">
        <v>76.139348943460917</v>
      </c>
      <c r="S67" s="575">
        <f t="shared" ref="S67:S81" si="63">RANK(R67, R$67:R$81)</f>
        <v>5</v>
      </c>
      <c r="T67" s="636">
        <f t="shared" ref="T67" si="64">AVERAGE(R67:R81)</f>
        <v>71.789463195907487</v>
      </c>
      <c r="U67" s="575">
        <v>17</v>
      </c>
      <c r="V67" s="577">
        <v>1293.6263736263736</v>
      </c>
      <c r="W67" s="577">
        <v>76.095669036845507</v>
      </c>
      <c r="X67" s="575">
        <f t="shared" ref="X67:X81" si="65">RANK(W67, W$67:W$81)</f>
        <v>5</v>
      </c>
      <c r="Y67" s="636">
        <f t="shared" ref="Y67" si="66">AVERAGE(W67:W81)</f>
        <v>71.477237191422475</v>
      </c>
      <c r="Z67" s="575">
        <v>17</v>
      </c>
      <c r="AA67" s="577">
        <v>1291.9148936170216</v>
      </c>
      <c r="AB67" s="577">
        <v>75.994993742177741</v>
      </c>
      <c r="AC67" s="575">
        <f t="shared" ref="AC67:AC81" si="67">RANK(AB67, AB$67:AB$81)</f>
        <v>4</v>
      </c>
      <c r="AD67" s="636">
        <f t="shared" ref="AD67" si="68">AVERAGE(AB67:AB81)</f>
        <v>71.666758219413722</v>
      </c>
      <c r="AE67" s="575">
        <v>17</v>
      </c>
      <c r="AF67" s="577">
        <v>1282.8571428571427</v>
      </c>
      <c r="AG67" s="577">
        <v>75.462184873949568</v>
      </c>
      <c r="AH67" s="575">
        <f t="shared" ref="AH67:AH81" si="69">RANK(AG67, AG$67:AG$81)</f>
        <v>4</v>
      </c>
      <c r="AI67" s="636">
        <f t="shared" ref="AI67" si="70">AVERAGE(AG67:AG81)</f>
        <v>71.371943266353824</v>
      </c>
      <c r="AJ67" s="575">
        <v>17</v>
      </c>
      <c r="AK67" s="577">
        <v>1299.25925925926</v>
      </c>
      <c r="AL67" s="577">
        <v>76.427015250544713</v>
      </c>
      <c r="AM67" s="575">
        <f t="shared" ref="AM67:AM81" si="71">RANK(AL67, AL$67:AL$81)</f>
        <v>4</v>
      </c>
      <c r="AN67" s="636">
        <f t="shared" ref="AN67" si="72">AVERAGE(AL67:AL81)</f>
        <v>71.873826252783942</v>
      </c>
      <c r="AO67" s="575">
        <v>17</v>
      </c>
      <c r="AP67" s="577">
        <v>1288.4536082474231</v>
      </c>
      <c r="AQ67" s="577">
        <v>75.791388720436657</v>
      </c>
      <c r="AR67" s="575">
        <f t="shared" ref="AR67:AR81" si="73">RANK(AQ67, AQ$67:AQ$81)</f>
        <v>5</v>
      </c>
      <c r="AS67" s="636">
        <f t="shared" ref="AS67" si="74">AVERAGE(AQ67:AQ81)</f>
        <v>72.427999487188231</v>
      </c>
      <c r="AT67" s="575">
        <v>17</v>
      </c>
      <c r="AU67" s="577">
        <v>1290.0000000000007</v>
      </c>
      <c r="AV67" s="577">
        <v>75.882352941176507</v>
      </c>
      <c r="AW67" s="575">
        <f t="shared" ref="AW67:AW81" si="75">RANK(AV67, AV$67:AV$81)</f>
        <v>5</v>
      </c>
      <c r="AX67" s="636">
        <f t="shared" ref="AX67" si="76">AVERAGE(AV67:AV81)</f>
        <v>71.255574411180461</v>
      </c>
      <c r="AZ67" s="368" t="e">
        <f t="shared" ref="AZ67:AZ81" si="77">RANK(AY67, AY$67:AY$81)</f>
        <v>#N/A</v>
      </c>
      <c r="BA67" s="636" t="e">
        <f t="shared" ref="BA67" si="78">AVERAGE(AY67:AY81)</f>
        <v>#DIV/0!</v>
      </c>
    </row>
    <row r="68" spans="2:53">
      <c r="B68" s="647"/>
      <c r="C68" s="379">
        <v>2</v>
      </c>
      <c r="D68" s="225" t="s">
        <v>346</v>
      </c>
      <c r="E68" s="535">
        <v>18</v>
      </c>
      <c r="F68" s="534">
        <v>1440</v>
      </c>
      <c r="G68" s="536">
        <v>80</v>
      </c>
      <c r="H68" s="701"/>
      <c r="I68" s="381">
        <f t="shared" si="60"/>
        <v>18</v>
      </c>
      <c r="J68" s="381">
        <f t="shared" si="61"/>
        <v>1309.0865492463399</v>
      </c>
      <c r="K68" s="199">
        <f t="shared" si="62"/>
        <v>72.727030513685563</v>
      </c>
      <c r="L68" s="657"/>
      <c r="M68" s="422">
        <f>RANK(K68, K$67:$K$81)</f>
        <v>6</v>
      </c>
      <c r="N68" s="641"/>
      <c r="O68" s="641"/>
      <c r="P68" s="575">
        <v>18</v>
      </c>
      <c r="Q68" s="577">
        <v>1317.0731707317068</v>
      </c>
      <c r="R68" s="577">
        <v>73.170731707317046</v>
      </c>
      <c r="S68" s="575">
        <f t="shared" si="63"/>
        <v>6</v>
      </c>
      <c r="T68" s="637"/>
      <c r="U68" s="575">
        <v>18</v>
      </c>
      <c r="V68" s="577">
        <v>1287.5333333333328</v>
      </c>
      <c r="W68" s="577">
        <v>71.529629629629596</v>
      </c>
      <c r="X68" s="575">
        <f t="shared" si="65"/>
        <v>6</v>
      </c>
      <c r="Y68" s="637"/>
      <c r="Z68" s="575">
        <v>18</v>
      </c>
      <c r="AA68" s="577">
        <v>1310.1257142857146</v>
      </c>
      <c r="AB68" s="577">
        <v>72.784761904761922</v>
      </c>
      <c r="AC68" s="575">
        <f t="shared" si="67"/>
        <v>7</v>
      </c>
      <c r="AD68" s="637"/>
      <c r="AE68" s="575">
        <v>18</v>
      </c>
      <c r="AF68" s="577">
        <v>1319.9999999999998</v>
      </c>
      <c r="AG68" s="577">
        <v>73.333333333333314</v>
      </c>
      <c r="AH68" s="575">
        <f t="shared" si="69"/>
        <v>6</v>
      </c>
      <c r="AI68" s="637"/>
      <c r="AJ68" s="575">
        <v>18</v>
      </c>
      <c r="AK68" s="577">
        <v>1324.6153846153843</v>
      </c>
      <c r="AL68" s="577">
        <v>73.589743589743577</v>
      </c>
      <c r="AM68" s="575">
        <f t="shared" si="71"/>
        <v>7</v>
      </c>
      <c r="AN68" s="637"/>
      <c r="AO68" s="575">
        <v>18</v>
      </c>
      <c r="AP68" s="577">
        <v>1304.6153846153848</v>
      </c>
      <c r="AQ68" s="577">
        <v>72.478632478632491</v>
      </c>
      <c r="AR68" s="575">
        <f t="shared" si="73"/>
        <v>7</v>
      </c>
      <c r="AS68" s="637"/>
      <c r="AT68" s="575">
        <v>18</v>
      </c>
      <c r="AU68" s="577">
        <v>1299.6428571428571</v>
      </c>
      <c r="AV68" s="577">
        <v>72.202380952380949</v>
      </c>
      <c r="AW68" s="575">
        <f t="shared" si="75"/>
        <v>6</v>
      </c>
      <c r="AX68" s="637"/>
      <c r="AZ68" s="368" t="e">
        <f t="shared" si="77"/>
        <v>#N/A</v>
      </c>
      <c r="BA68" s="637"/>
    </row>
    <row r="69" spans="2:53">
      <c r="B69" s="647"/>
      <c r="C69" s="379">
        <v>3</v>
      </c>
      <c r="D69" s="225" t="s">
        <v>347</v>
      </c>
      <c r="E69" s="535">
        <v>17</v>
      </c>
      <c r="F69" s="534">
        <v>1440</v>
      </c>
      <c r="G69" s="536">
        <v>84.7</v>
      </c>
      <c r="H69" s="701"/>
      <c r="I69" s="381">
        <f t="shared" si="60"/>
        <v>17</v>
      </c>
      <c r="J69" s="381">
        <f t="shared" si="61"/>
        <v>1311.350692419825</v>
      </c>
      <c r="K69" s="199">
        <f t="shared" si="62"/>
        <v>77.138276024695571</v>
      </c>
      <c r="L69" s="657"/>
      <c r="M69" s="422">
        <f>RANK(K69, K$67:$K$81)</f>
        <v>3</v>
      </c>
      <c r="N69" s="641"/>
      <c r="O69" s="641"/>
      <c r="P69" s="575">
        <v>17</v>
      </c>
      <c r="Q69" s="577">
        <v>1315.9999999999989</v>
      </c>
      <c r="R69" s="577">
        <v>77.411764705882291</v>
      </c>
      <c r="S69" s="575">
        <f t="shared" si="63"/>
        <v>3</v>
      </c>
      <c r="T69" s="637"/>
      <c r="U69" s="575">
        <v>17</v>
      </c>
      <c r="V69" s="577">
        <v>1327.248979591837</v>
      </c>
      <c r="W69" s="577">
        <v>78.073469387755125</v>
      </c>
      <c r="X69" s="575">
        <f t="shared" si="65"/>
        <v>4</v>
      </c>
      <c r="Y69" s="637"/>
      <c r="Z69" s="575">
        <v>17</v>
      </c>
      <c r="AA69" s="577">
        <v>1305.599999999999</v>
      </c>
      <c r="AB69" s="577">
        <v>76.79999999999994</v>
      </c>
      <c r="AC69" s="575">
        <f t="shared" si="67"/>
        <v>3</v>
      </c>
      <c r="AD69" s="637"/>
      <c r="AE69" s="575">
        <v>17</v>
      </c>
      <c r="AF69" s="577">
        <v>1309.6875000000016</v>
      </c>
      <c r="AG69" s="577">
        <v>77.040441176470679</v>
      </c>
      <c r="AH69" s="575">
        <f t="shared" si="69"/>
        <v>3</v>
      </c>
      <c r="AI69" s="637"/>
      <c r="AJ69" s="575">
        <v>17</v>
      </c>
      <c r="AK69" s="577">
        <v>1314.9999999999991</v>
      </c>
      <c r="AL69" s="577">
        <v>77.352941176470537</v>
      </c>
      <c r="AM69" s="575">
        <f t="shared" si="71"/>
        <v>3</v>
      </c>
      <c r="AN69" s="637"/>
      <c r="AO69" s="575">
        <v>17</v>
      </c>
      <c r="AP69" s="577">
        <v>1299.9999999999998</v>
      </c>
      <c r="AQ69" s="577">
        <v>76.470588235294102</v>
      </c>
      <c r="AR69" s="575">
        <f t="shared" si="73"/>
        <v>4</v>
      </c>
      <c r="AS69" s="637"/>
      <c r="AT69" s="575">
        <v>17</v>
      </c>
      <c r="AU69" s="577">
        <v>1305.9183673469392</v>
      </c>
      <c r="AV69" s="577">
        <v>76.818727490996423</v>
      </c>
      <c r="AW69" s="575">
        <f t="shared" si="75"/>
        <v>4</v>
      </c>
      <c r="AX69" s="637"/>
      <c r="AZ69" s="368" t="e">
        <f t="shared" si="77"/>
        <v>#N/A</v>
      </c>
      <c r="BA69" s="637"/>
    </row>
    <row r="70" spans="2:53">
      <c r="B70" s="647"/>
      <c r="C70" s="379">
        <v>4</v>
      </c>
      <c r="D70" s="225" t="s">
        <v>348</v>
      </c>
      <c r="E70" s="535">
        <v>21</v>
      </c>
      <c r="F70" s="534">
        <v>1385</v>
      </c>
      <c r="G70" s="536">
        <v>65.900000000000006</v>
      </c>
      <c r="H70" s="701"/>
      <c r="I70" s="381">
        <f t="shared" si="60"/>
        <v>21</v>
      </c>
      <c r="J70" s="381">
        <f t="shared" si="61"/>
        <v>1252.362157619646</v>
      </c>
      <c r="K70" s="199">
        <f t="shared" si="62"/>
        <v>59.636293219983152</v>
      </c>
      <c r="L70" s="657"/>
      <c r="M70" s="422">
        <f>RANK(K70, K$67:$K$81)</f>
        <v>12</v>
      </c>
      <c r="N70" s="641"/>
      <c r="O70" s="641"/>
      <c r="P70" s="575">
        <v>21</v>
      </c>
      <c r="Q70" s="577">
        <v>1249.677419354839</v>
      </c>
      <c r="R70" s="577">
        <v>59.508448540706617</v>
      </c>
      <c r="S70" s="575">
        <f t="shared" si="63"/>
        <v>12</v>
      </c>
      <c r="T70" s="637"/>
      <c r="U70" s="575">
        <v>21</v>
      </c>
      <c r="V70" s="577">
        <v>1249.285714285714</v>
      </c>
      <c r="W70" s="577">
        <v>59.489795918367335</v>
      </c>
      <c r="X70" s="575">
        <f t="shared" si="65"/>
        <v>12</v>
      </c>
      <c r="Y70" s="637"/>
      <c r="Z70" s="575">
        <v>21</v>
      </c>
      <c r="AA70" s="577">
        <v>1261.8750000000005</v>
      </c>
      <c r="AB70" s="577">
        <v>60.089285714285737</v>
      </c>
      <c r="AC70" s="575">
        <f t="shared" si="67"/>
        <v>12</v>
      </c>
      <c r="AD70" s="637"/>
      <c r="AE70" s="575">
        <v>21</v>
      </c>
      <c r="AF70" s="577">
        <v>1246.6666666666656</v>
      </c>
      <c r="AG70" s="577">
        <v>59.365079365079318</v>
      </c>
      <c r="AH70" s="575">
        <f t="shared" si="69"/>
        <v>12</v>
      </c>
      <c r="AI70" s="637"/>
      <c r="AJ70" s="575">
        <v>21</v>
      </c>
      <c r="AK70" s="577">
        <v>1247.9999999999995</v>
      </c>
      <c r="AL70" s="577">
        <v>59.428571428571409</v>
      </c>
      <c r="AM70" s="575">
        <f t="shared" si="71"/>
        <v>12</v>
      </c>
      <c r="AN70" s="637"/>
      <c r="AO70" s="575">
        <v>21</v>
      </c>
      <c r="AP70" s="577">
        <v>1258.9090909090917</v>
      </c>
      <c r="AQ70" s="577">
        <v>59.948051948051983</v>
      </c>
      <c r="AR70" s="575">
        <f t="shared" si="73"/>
        <v>12</v>
      </c>
      <c r="AS70" s="637"/>
      <c r="AT70" s="575">
        <v>21</v>
      </c>
      <c r="AU70" s="577">
        <v>1252.1212121212125</v>
      </c>
      <c r="AV70" s="577">
        <v>59.624819624819644</v>
      </c>
      <c r="AW70" s="575">
        <f t="shared" si="75"/>
        <v>12</v>
      </c>
      <c r="AX70" s="637"/>
      <c r="AZ70" s="368" t="e">
        <f t="shared" si="77"/>
        <v>#N/A</v>
      </c>
      <c r="BA70" s="637"/>
    </row>
    <row r="71" spans="2:53">
      <c r="B71" s="647"/>
      <c r="C71" s="379">
        <v>5</v>
      </c>
      <c r="D71" s="225" t="s">
        <v>349</v>
      </c>
      <c r="E71" s="535">
        <v>19</v>
      </c>
      <c r="F71" s="534">
        <v>1440</v>
      </c>
      <c r="G71" s="536">
        <v>75.8</v>
      </c>
      <c r="H71" s="701"/>
      <c r="I71" s="381">
        <f t="shared" si="60"/>
        <v>19</v>
      </c>
      <c r="J71" s="381">
        <f t="shared" si="61"/>
        <v>1300.1306105404074</v>
      </c>
      <c r="K71" s="199">
        <f t="shared" si="62"/>
        <v>68.427926870547765</v>
      </c>
      <c r="L71" s="657"/>
      <c r="M71" s="422">
        <f>RANK(K71, K$67:$K$81)</f>
        <v>9</v>
      </c>
      <c r="N71" s="641"/>
      <c r="O71" s="641"/>
      <c r="P71" s="575">
        <v>19</v>
      </c>
      <c r="Q71" s="577">
        <v>1304.1379310344826</v>
      </c>
      <c r="R71" s="577">
        <v>68.638838475499085</v>
      </c>
      <c r="S71" s="575">
        <f t="shared" si="63"/>
        <v>7</v>
      </c>
      <c r="T71" s="637"/>
      <c r="U71" s="575">
        <v>19</v>
      </c>
      <c r="V71" s="577">
        <v>1301.842105263157</v>
      </c>
      <c r="W71" s="577">
        <v>68.518005540166158</v>
      </c>
      <c r="X71" s="575">
        <f t="shared" si="65"/>
        <v>8</v>
      </c>
      <c r="Y71" s="637"/>
      <c r="Z71" s="575">
        <v>19</v>
      </c>
      <c r="AA71" s="577">
        <v>1298.7341772151892</v>
      </c>
      <c r="AB71" s="577">
        <v>68.354430379746802</v>
      </c>
      <c r="AC71" s="575">
        <f t="shared" si="67"/>
        <v>9</v>
      </c>
      <c r="AD71" s="637"/>
      <c r="AE71" s="575">
        <v>19</v>
      </c>
      <c r="AF71" s="577">
        <v>1291.698113207548</v>
      </c>
      <c r="AG71" s="577">
        <v>67.984111221449893</v>
      </c>
      <c r="AH71" s="575">
        <f t="shared" si="69"/>
        <v>9</v>
      </c>
      <c r="AI71" s="637"/>
      <c r="AJ71" s="575">
        <v>19</v>
      </c>
      <c r="AK71" s="577">
        <v>1300.3448275862077</v>
      </c>
      <c r="AL71" s="577">
        <v>68.43920145190566</v>
      </c>
      <c r="AM71" s="575">
        <f t="shared" si="71"/>
        <v>8</v>
      </c>
      <c r="AN71" s="637"/>
      <c r="AO71" s="575">
        <v>19</v>
      </c>
      <c r="AP71" s="577">
        <v>1307.2340425531916</v>
      </c>
      <c r="AQ71" s="577">
        <v>68.801791713325869</v>
      </c>
      <c r="AR71" s="575">
        <f t="shared" si="73"/>
        <v>9</v>
      </c>
      <c r="AS71" s="637"/>
      <c r="AT71" s="575">
        <v>19</v>
      </c>
      <c r="AU71" s="577">
        <v>1296.9230769230762</v>
      </c>
      <c r="AV71" s="577">
        <v>68.259109311740858</v>
      </c>
      <c r="AW71" s="575">
        <f t="shared" si="75"/>
        <v>9</v>
      </c>
      <c r="AX71" s="637"/>
      <c r="AZ71" s="368" t="e">
        <f t="shared" si="77"/>
        <v>#N/A</v>
      </c>
      <c r="BA71" s="637"/>
    </row>
    <row r="72" spans="2:53">
      <c r="B72" s="647"/>
      <c r="C72" s="379">
        <v>6</v>
      </c>
      <c r="D72" s="225" t="s">
        <v>491</v>
      </c>
      <c r="E72" s="535">
        <v>18</v>
      </c>
      <c r="F72" s="534">
        <v>1385</v>
      </c>
      <c r="G72" s="536">
        <v>76.900000000000006</v>
      </c>
      <c r="H72" s="701"/>
      <c r="I72" s="381">
        <f t="shared" si="60"/>
        <v>18</v>
      </c>
      <c r="J72" s="381">
        <f t="shared" si="61"/>
        <v>1235.271412941835</v>
      </c>
      <c r="K72" s="199">
        <f t="shared" si="62"/>
        <v>68.626189607879709</v>
      </c>
      <c r="L72" s="657"/>
      <c r="M72" s="422">
        <f>RANK(K72, K$67:$K$81)</f>
        <v>8</v>
      </c>
      <c r="N72" s="641"/>
      <c r="O72" s="641"/>
      <c r="P72" s="575">
        <v>18</v>
      </c>
      <c r="Q72" s="577">
        <v>1232.3809523809537</v>
      </c>
      <c r="R72" s="577">
        <v>68.46560846560854</v>
      </c>
      <c r="S72" s="575">
        <f t="shared" si="63"/>
        <v>8</v>
      </c>
      <c r="T72" s="637"/>
      <c r="U72" s="575">
        <v>18</v>
      </c>
      <c r="V72" s="577">
        <v>1241.3793103448284</v>
      </c>
      <c r="W72" s="577">
        <v>68.965517241379359</v>
      </c>
      <c r="X72" s="575">
        <f t="shared" si="65"/>
        <v>7</v>
      </c>
      <c r="Y72" s="637"/>
      <c r="Z72" s="575">
        <v>18</v>
      </c>
      <c r="AA72" s="577">
        <v>1234.1379310344837</v>
      </c>
      <c r="AB72" s="577">
        <v>68.56321839080465</v>
      </c>
      <c r="AC72" s="575">
        <f t="shared" si="67"/>
        <v>8</v>
      </c>
      <c r="AD72" s="637"/>
      <c r="AE72" s="575">
        <v>18</v>
      </c>
      <c r="AF72" s="577">
        <v>1232.4999999999982</v>
      </c>
      <c r="AG72" s="577">
        <v>68.472222222222115</v>
      </c>
      <c r="AH72" s="575">
        <f t="shared" si="69"/>
        <v>8</v>
      </c>
      <c r="AI72" s="637"/>
      <c r="AJ72" s="575">
        <v>18</v>
      </c>
      <c r="AK72" s="577">
        <v>1226.5384615384623</v>
      </c>
      <c r="AL72" s="577">
        <v>68.141025641025692</v>
      </c>
      <c r="AM72" s="575">
        <f t="shared" si="71"/>
        <v>9</v>
      </c>
      <c r="AN72" s="637"/>
      <c r="AO72" s="575">
        <v>18</v>
      </c>
      <c r="AP72" s="577">
        <v>1239.3750000000014</v>
      </c>
      <c r="AQ72" s="577">
        <v>68.854166666666742</v>
      </c>
      <c r="AR72" s="575">
        <f t="shared" si="73"/>
        <v>8</v>
      </c>
      <c r="AS72" s="637"/>
      <c r="AT72" s="575">
        <v>18</v>
      </c>
      <c r="AU72" s="577">
        <v>1240.5882352941162</v>
      </c>
      <c r="AV72" s="577">
        <v>68.921568627450895</v>
      </c>
      <c r="AW72" s="575">
        <f t="shared" si="75"/>
        <v>8</v>
      </c>
      <c r="AX72" s="637"/>
      <c r="AZ72" s="368" t="e">
        <f t="shared" si="77"/>
        <v>#N/A</v>
      </c>
      <c r="BA72" s="637"/>
    </row>
    <row r="73" spans="2:53">
      <c r="B73" s="647"/>
      <c r="C73" s="379">
        <v>7</v>
      </c>
      <c r="D73" s="225" t="s">
        <v>510</v>
      </c>
      <c r="E73" s="535">
        <v>16</v>
      </c>
      <c r="F73" s="534">
        <v>1440</v>
      </c>
      <c r="G73" s="536">
        <v>90</v>
      </c>
      <c r="H73" s="701"/>
      <c r="I73" s="381">
        <f t="shared" si="60"/>
        <v>16</v>
      </c>
      <c r="J73" s="381">
        <f t="shared" si="61"/>
        <v>1322.4655758672893</v>
      </c>
      <c r="K73" s="199">
        <f t="shared" si="62"/>
        <v>82.654098491705582</v>
      </c>
      <c r="L73" s="657"/>
      <c r="M73" s="422">
        <f>RANK(K73, K$67:$K$81)</f>
        <v>1</v>
      </c>
      <c r="N73" s="641"/>
      <c r="O73" s="641"/>
      <c r="P73" s="575">
        <v>16</v>
      </c>
      <c r="Q73" s="577">
        <v>1348.7394957983186</v>
      </c>
      <c r="R73" s="577">
        <v>84.29621848739491</v>
      </c>
      <c r="S73" s="575">
        <f t="shared" si="63"/>
        <v>2</v>
      </c>
      <c r="T73" s="637"/>
      <c r="U73" s="575">
        <v>16</v>
      </c>
      <c r="V73" s="577">
        <v>1329.9999999999993</v>
      </c>
      <c r="W73" s="577">
        <v>83.124999999999957</v>
      </c>
      <c r="X73" s="575">
        <f t="shared" si="65"/>
        <v>2</v>
      </c>
      <c r="Y73" s="637"/>
      <c r="Z73" s="575">
        <v>16</v>
      </c>
      <c r="AA73" s="577">
        <v>1316.2831858407069</v>
      </c>
      <c r="AB73" s="577">
        <v>82.267699115044181</v>
      </c>
      <c r="AC73" s="575">
        <f t="shared" si="67"/>
        <v>1</v>
      </c>
      <c r="AD73" s="637"/>
      <c r="AE73" s="575">
        <v>16</v>
      </c>
      <c r="AF73" s="577">
        <v>1329.3506493506486</v>
      </c>
      <c r="AG73" s="577">
        <v>83.084415584415538</v>
      </c>
      <c r="AH73" s="575">
        <f t="shared" si="69"/>
        <v>1</v>
      </c>
      <c r="AI73" s="637"/>
      <c r="AJ73" s="575">
        <v>16</v>
      </c>
      <c r="AK73" s="577">
        <v>1321.2391304347827</v>
      </c>
      <c r="AL73" s="577">
        <v>82.577445652173921</v>
      </c>
      <c r="AM73" s="575">
        <f t="shared" si="71"/>
        <v>1</v>
      </c>
      <c r="AN73" s="637"/>
      <c r="AO73" s="575">
        <v>16</v>
      </c>
      <c r="AP73" s="577">
        <v>1310.108108108109</v>
      </c>
      <c r="AQ73" s="577">
        <v>81.881756756756815</v>
      </c>
      <c r="AR73" s="575">
        <f t="shared" si="73"/>
        <v>2</v>
      </c>
      <c r="AS73" s="637"/>
      <c r="AT73" s="575">
        <v>16</v>
      </c>
      <c r="AU73" s="577">
        <v>1301.538461538461</v>
      </c>
      <c r="AV73" s="577">
        <v>81.346153846153811</v>
      </c>
      <c r="AW73" s="575">
        <f t="shared" si="75"/>
        <v>1</v>
      </c>
      <c r="AX73" s="637"/>
      <c r="AZ73" s="368" t="e">
        <f t="shared" si="77"/>
        <v>#N/A</v>
      </c>
      <c r="BA73" s="637"/>
    </row>
    <row r="74" spans="2:53">
      <c r="B74" s="647"/>
      <c r="C74" s="379">
        <v>8</v>
      </c>
      <c r="D74" s="225" t="s">
        <v>561</v>
      </c>
      <c r="E74" s="535">
        <v>19</v>
      </c>
      <c r="F74" s="534">
        <v>1636</v>
      </c>
      <c r="G74" s="536">
        <v>86.1</v>
      </c>
      <c r="H74" s="701"/>
      <c r="I74" s="381">
        <f t="shared" si="60"/>
        <v>19</v>
      </c>
      <c r="J74" s="381">
        <f t="shared" si="61"/>
        <v>1444.7154698687625</v>
      </c>
      <c r="K74" s="199">
        <f t="shared" si="62"/>
        <v>76.037656308882234</v>
      </c>
      <c r="L74" s="657"/>
      <c r="M74" s="422">
        <f>RANK(K74, K$67:$K$81)</f>
        <v>4</v>
      </c>
      <c r="N74" s="641"/>
      <c r="O74" s="641"/>
      <c r="P74" s="575">
        <v>19</v>
      </c>
      <c r="Q74" s="577">
        <v>1460.6832298136646</v>
      </c>
      <c r="R74" s="577">
        <v>76.878064727034982</v>
      </c>
      <c r="S74" s="575">
        <f t="shared" si="63"/>
        <v>4</v>
      </c>
      <c r="T74" s="637"/>
      <c r="U74" s="575">
        <v>19</v>
      </c>
      <c r="V74" s="577">
        <v>1492.7407407407409</v>
      </c>
      <c r="W74" s="577">
        <v>78.565302144249515</v>
      </c>
      <c r="X74" s="575">
        <f t="shared" si="65"/>
        <v>3</v>
      </c>
      <c r="Y74" s="637"/>
      <c r="Z74" s="575">
        <v>19</v>
      </c>
      <c r="AA74" s="577">
        <v>1415.2542372881358</v>
      </c>
      <c r="AB74" s="577">
        <v>74.487065120428198</v>
      </c>
      <c r="AC74" s="575">
        <f t="shared" si="67"/>
        <v>5</v>
      </c>
      <c r="AD74" s="637"/>
      <c r="AE74" s="575">
        <v>19</v>
      </c>
      <c r="AF74" s="577">
        <v>1371.592356687898</v>
      </c>
      <c r="AG74" s="577">
        <v>72.189071404626205</v>
      </c>
      <c r="AH74" s="575">
        <f t="shared" si="69"/>
        <v>7</v>
      </c>
      <c r="AI74" s="637"/>
      <c r="AJ74" s="575">
        <v>19</v>
      </c>
      <c r="AK74" s="577">
        <v>1400.0000000000002</v>
      </c>
      <c r="AL74" s="577">
        <v>73.684210526315795</v>
      </c>
      <c r="AM74" s="575">
        <f t="shared" si="71"/>
        <v>6</v>
      </c>
      <c r="AN74" s="637"/>
      <c r="AO74" s="575">
        <v>19</v>
      </c>
      <c r="AP74" s="577">
        <v>1497.700598802395</v>
      </c>
      <c r="AQ74" s="577">
        <v>78.826347305389206</v>
      </c>
      <c r="AR74" s="575">
        <f t="shared" si="73"/>
        <v>3</v>
      </c>
      <c r="AS74" s="637"/>
      <c r="AT74" s="575">
        <v>19</v>
      </c>
      <c r="AU74" s="577">
        <v>1475.0371257485026</v>
      </c>
      <c r="AV74" s="577">
        <v>77.633532934131722</v>
      </c>
      <c r="AW74" s="575">
        <f t="shared" si="75"/>
        <v>3</v>
      </c>
      <c r="AX74" s="637"/>
      <c r="AZ74" s="368" t="e">
        <f t="shared" si="77"/>
        <v>#N/A</v>
      </c>
      <c r="BA74" s="637"/>
    </row>
    <row r="75" spans="2:53">
      <c r="B75" s="647"/>
      <c r="C75" s="379">
        <v>9</v>
      </c>
      <c r="D75" s="225" t="s">
        <v>588</v>
      </c>
      <c r="E75" s="535">
        <v>16</v>
      </c>
      <c r="F75" s="534">
        <v>1440</v>
      </c>
      <c r="G75" s="536">
        <v>84.7</v>
      </c>
      <c r="H75" s="701"/>
      <c r="I75" s="381">
        <f t="shared" si="60"/>
        <v>15.571428571428571</v>
      </c>
      <c r="J75" s="381">
        <f t="shared" si="61"/>
        <v>1273.6192701572606</v>
      </c>
      <c r="K75" s="199">
        <f t="shared" si="62"/>
        <v>81.891335546980045</v>
      </c>
      <c r="L75" s="657"/>
      <c r="M75" s="422">
        <f>RANK(K75, K$67:$K$81)</f>
        <v>2</v>
      </c>
      <c r="N75" s="641"/>
      <c r="O75" s="641"/>
      <c r="P75" s="575">
        <v>15</v>
      </c>
      <c r="Q75" s="577">
        <v>1279.8305084745764</v>
      </c>
      <c r="R75" s="577">
        <v>85.322033898305094</v>
      </c>
      <c r="S75" s="575">
        <f t="shared" si="63"/>
        <v>1</v>
      </c>
      <c r="T75" s="637"/>
      <c r="U75" s="575">
        <v>15</v>
      </c>
      <c r="V75" s="577">
        <v>1295.7831325301202</v>
      </c>
      <c r="W75" s="577">
        <v>86.385542168674675</v>
      </c>
      <c r="X75" s="575">
        <f t="shared" si="65"/>
        <v>1</v>
      </c>
      <c r="Y75" s="637"/>
      <c r="Z75" s="575">
        <v>16</v>
      </c>
      <c r="AA75" s="577">
        <v>1269.1666666666661</v>
      </c>
      <c r="AB75" s="577">
        <v>79.322916666666629</v>
      </c>
      <c r="AC75" s="575">
        <f t="shared" si="67"/>
        <v>2</v>
      </c>
      <c r="AD75" s="637"/>
      <c r="AE75" s="575">
        <v>16</v>
      </c>
      <c r="AF75" s="577">
        <v>1261.3483146067415</v>
      </c>
      <c r="AG75" s="577">
        <v>78.834269662921344</v>
      </c>
      <c r="AH75" s="575">
        <f t="shared" si="69"/>
        <v>2</v>
      </c>
      <c r="AI75" s="637"/>
      <c r="AJ75" s="575">
        <v>16</v>
      </c>
      <c r="AK75" s="577">
        <v>1271.2771084337346</v>
      </c>
      <c r="AL75" s="577">
        <v>79.454819277108413</v>
      </c>
      <c r="AM75" s="575">
        <f t="shared" si="71"/>
        <v>2</v>
      </c>
      <c r="AN75" s="637"/>
      <c r="AO75" s="575">
        <v>15</v>
      </c>
      <c r="AP75" s="577">
        <v>1271.8067114093958</v>
      </c>
      <c r="AQ75" s="577">
        <v>84.787114093959715</v>
      </c>
      <c r="AR75" s="575">
        <f t="shared" si="73"/>
        <v>1</v>
      </c>
      <c r="AS75" s="637"/>
      <c r="AT75" s="575">
        <v>16</v>
      </c>
      <c r="AU75" s="577">
        <v>1266.1224489795916</v>
      </c>
      <c r="AV75" s="577">
        <v>79.132653061224474</v>
      </c>
      <c r="AW75" s="575">
        <f t="shared" si="75"/>
        <v>2</v>
      </c>
      <c r="AX75" s="637"/>
      <c r="AZ75" s="368" t="e">
        <f t="shared" si="77"/>
        <v>#N/A</v>
      </c>
      <c r="BA75" s="637"/>
    </row>
    <row r="76" spans="2:53">
      <c r="B76" s="647"/>
      <c r="C76" s="379">
        <v>10</v>
      </c>
      <c r="D76" s="225" t="s">
        <v>701</v>
      </c>
      <c r="E76" s="535">
        <v>18</v>
      </c>
      <c r="F76" s="534">
        <v>1440</v>
      </c>
      <c r="G76" s="536">
        <v>80</v>
      </c>
      <c r="H76" s="701"/>
      <c r="I76" s="381">
        <f t="shared" si="60"/>
        <v>17.428571428571427</v>
      </c>
      <c r="J76" s="381">
        <f t="shared" si="61"/>
        <v>1227.977225672877</v>
      </c>
      <c r="K76" s="199">
        <f t="shared" si="62"/>
        <v>70.585917458770908</v>
      </c>
      <c r="L76" s="657"/>
      <c r="M76" s="422">
        <f>RANK(K76, K$67:$K$81)</f>
        <v>7</v>
      </c>
      <c r="N76" s="641"/>
      <c r="O76" s="641"/>
      <c r="P76" s="575">
        <v>18</v>
      </c>
      <c r="Q76" s="577">
        <v>1132.0000000000011</v>
      </c>
      <c r="R76" s="577">
        <v>62.88888888888895</v>
      </c>
      <c r="S76" s="575">
        <f t="shared" si="63"/>
        <v>10</v>
      </c>
      <c r="T76" s="637"/>
      <c r="U76" s="575">
        <v>18</v>
      </c>
      <c r="V76" s="577">
        <v>1116.4285714285722</v>
      </c>
      <c r="W76" s="577">
        <v>62.023809523809568</v>
      </c>
      <c r="X76" s="575">
        <f t="shared" si="65"/>
        <v>10</v>
      </c>
      <c r="Y76" s="637"/>
      <c r="Z76" s="575">
        <v>17</v>
      </c>
      <c r="AA76" s="577">
        <v>1252.1739130434783</v>
      </c>
      <c r="AB76" s="577">
        <v>73.657289002557548</v>
      </c>
      <c r="AC76" s="575">
        <f t="shared" si="67"/>
        <v>6</v>
      </c>
      <c r="AD76" s="637"/>
      <c r="AE76" s="575">
        <v>17</v>
      </c>
      <c r="AF76" s="577">
        <v>1268.5714285714257</v>
      </c>
      <c r="AG76" s="577">
        <v>74.621848739495633</v>
      </c>
      <c r="AH76" s="575">
        <f t="shared" si="69"/>
        <v>5</v>
      </c>
      <c r="AI76" s="637"/>
      <c r="AJ76" s="575">
        <v>17</v>
      </c>
      <c r="AK76" s="577">
        <v>1294.9999999999959</v>
      </c>
      <c r="AL76" s="577">
        <v>76.176470588235048</v>
      </c>
      <c r="AM76" s="575">
        <f t="shared" si="71"/>
        <v>5</v>
      </c>
      <c r="AN76" s="637"/>
      <c r="AO76" s="575">
        <v>17</v>
      </c>
      <c r="AP76" s="577">
        <v>1250.0000000000005</v>
      </c>
      <c r="AQ76" s="577">
        <v>73.529411764705912</v>
      </c>
      <c r="AR76" s="575">
        <f t="shared" si="73"/>
        <v>6</v>
      </c>
      <c r="AS76" s="637"/>
      <c r="AT76" s="575">
        <v>18</v>
      </c>
      <c r="AU76" s="577">
        <v>1281.6666666666656</v>
      </c>
      <c r="AV76" s="577">
        <v>71.203703703703638</v>
      </c>
      <c r="AW76" s="575">
        <f t="shared" si="75"/>
        <v>7</v>
      </c>
      <c r="AX76" s="637"/>
      <c r="AZ76" s="368" t="e">
        <f t="shared" si="77"/>
        <v>#N/A</v>
      </c>
      <c r="BA76" s="637"/>
    </row>
    <row r="77" spans="2:53">
      <c r="B77" s="647"/>
      <c r="C77" s="379">
        <v>11</v>
      </c>
      <c r="D77" s="225" t="s">
        <v>777</v>
      </c>
      <c r="E77" s="535">
        <v>20</v>
      </c>
      <c r="F77" s="534">
        <v>1385</v>
      </c>
      <c r="G77" s="536">
        <v>69.25</v>
      </c>
      <c r="H77" s="701"/>
      <c r="I77" s="381">
        <f t="shared" si="60"/>
        <v>20</v>
      </c>
      <c r="J77" s="381">
        <f t="shared" si="61"/>
        <v>1219.4026486874939</v>
      </c>
      <c r="K77" s="199">
        <f t="shared" si="62"/>
        <v>60.970132434374705</v>
      </c>
      <c r="L77" s="657"/>
      <c r="M77" s="422">
        <f>RANK(K77, K$67:$K$81)</f>
        <v>11</v>
      </c>
      <c r="N77" s="641"/>
      <c r="O77" s="641"/>
      <c r="P77" s="575">
        <v>20</v>
      </c>
      <c r="Q77" s="577">
        <v>1239.3600000000013</v>
      </c>
      <c r="R77" s="577">
        <v>61.96800000000006</v>
      </c>
      <c r="S77" s="575">
        <f t="shared" si="63"/>
        <v>11</v>
      </c>
      <c r="T77" s="637"/>
      <c r="U77" s="575">
        <v>20</v>
      </c>
      <c r="V77" s="577">
        <v>1212.7670103092787</v>
      </c>
      <c r="W77" s="577">
        <v>60.638350515463934</v>
      </c>
      <c r="X77" s="575">
        <f t="shared" si="65"/>
        <v>11</v>
      </c>
      <c r="Y77" s="637"/>
      <c r="Z77" s="575">
        <v>20</v>
      </c>
      <c r="AA77" s="577">
        <v>1216.7466666666669</v>
      </c>
      <c r="AB77" s="577">
        <v>60.837333333333348</v>
      </c>
      <c r="AC77" s="575">
        <f t="shared" si="67"/>
        <v>11</v>
      </c>
      <c r="AD77" s="637"/>
      <c r="AE77" s="575">
        <v>20</v>
      </c>
      <c r="AF77" s="577">
        <v>1210.1694915254247</v>
      </c>
      <c r="AG77" s="577">
        <v>60.50847457627124</v>
      </c>
      <c r="AH77" s="575">
        <f t="shared" si="69"/>
        <v>11</v>
      </c>
      <c r="AI77" s="637"/>
      <c r="AJ77" s="575">
        <v>20</v>
      </c>
      <c r="AK77" s="577">
        <v>1220.2702702702693</v>
      </c>
      <c r="AL77" s="577">
        <v>61.013513513513466</v>
      </c>
      <c r="AM77" s="575">
        <f t="shared" si="71"/>
        <v>11</v>
      </c>
      <c r="AN77" s="637"/>
      <c r="AO77" s="575">
        <v>20</v>
      </c>
      <c r="AP77" s="577">
        <v>1223.0357142857151</v>
      </c>
      <c r="AQ77" s="577">
        <v>61.151785714285758</v>
      </c>
      <c r="AR77" s="575">
        <f t="shared" si="73"/>
        <v>11</v>
      </c>
      <c r="AS77" s="637"/>
      <c r="AT77" s="575">
        <v>20</v>
      </c>
      <c r="AU77" s="577">
        <v>1213.4693877551024</v>
      </c>
      <c r="AV77" s="577">
        <v>60.673469387755119</v>
      </c>
      <c r="AW77" s="575">
        <f t="shared" si="75"/>
        <v>11</v>
      </c>
      <c r="AX77" s="637"/>
      <c r="AZ77" s="368" t="e">
        <f t="shared" si="77"/>
        <v>#N/A</v>
      </c>
      <c r="BA77" s="637"/>
    </row>
    <row r="78" spans="2:53">
      <c r="B78" s="647"/>
      <c r="C78" s="379">
        <v>12</v>
      </c>
      <c r="D78" s="225" t="s">
        <v>756</v>
      </c>
      <c r="E78" s="535">
        <v>19</v>
      </c>
      <c r="F78" s="534">
        <v>1385</v>
      </c>
      <c r="G78" s="536">
        <v>72.89473684210526</v>
      </c>
      <c r="H78" s="701"/>
      <c r="I78" s="381">
        <f t="shared" si="60"/>
        <v>19</v>
      </c>
      <c r="J78" s="381">
        <f t="shared" si="61"/>
        <v>1247.7481190510848</v>
      </c>
      <c r="K78" s="199">
        <f t="shared" si="62"/>
        <v>65.670953634267633</v>
      </c>
      <c r="L78" s="657"/>
      <c r="M78" s="422">
        <f>RANK(K78, K$67:$K$81)</f>
        <v>10</v>
      </c>
      <c r="N78" s="641"/>
      <c r="O78" s="641"/>
      <c r="P78" s="575">
        <v>19</v>
      </c>
      <c r="Q78" s="577">
        <v>1268.9266187050357</v>
      </c>
      <c r="R78" s="577">
        <v>66.785611510791355</v>
      </c>
      <c r="S78" s="575">
        <f t="shared" si="63"/>
        <v>9</v>
      </c>
      <c r="T78" s="637"/>
      <c r="U78" s="575">
        <v>19</v>
      </c>
      <c r="V78" s="577">
        <v>1222.0183486238523</v>
      </c>
      <c r="W78" s="577">
        <v>64.316755190729069</v>
      </c>
      <c r="X78" s="575">
        <f t="shared" si="65"/>
        <v>9</v>
      </c>
      <c r="Y78" s="637"/>
      <c r="Z78" s="575">
        <v>19</v>
      </c>
      <c r="AA78" s="577">
        <v>1270.0000000000002</v>
      </c>
      <c r="AB78" s="577">
        <v>66.842105263157904</v>
      </c>
      <c r="AC78" s="575">
        <f t="shared" si="67"/>
        <v>10</v>
      </c>
      <c r="AD78" s="637"/>
      <c r="AE78" s="575">
        <v>19</v>
      </c>
      <c r="AF78" s="577">
        <v>1245.7894736842097</v>
      </c>
      <c r="AG78" s="577">
        <v>65.567867036011037</v>
      </c>
      <c r="AH78" s="575">
        <f t="shared" si="69"/>
        <v>10</v>
      </c>
      <c r="AI78" s="637"/>
      <c r="AJ78" s="575">
        <v>19</v>
      </c>
      <c r="AK78" s="577">
        <v>1257.8181818181827</v>
      </c>
      <c r="AL78" s="577">
        <v>66.200956937799091</v>
      </c>
      <c r="AM78" s="575">
        <f t="shared" si="71"/>
        <v>10</v>
      </c>
      <c r="AN78" s="637"/>
      <c r="AO78" s="575">
        <v>19</v>
      </c>
      <c r="AP78" s="577">
        <v>1265.6842105263161</v>
      </c>
      <c r="AQ78" s="577">
        <v>66.614958448753484</v>
      </c>
      <c r="AR78" s="575">
        <f t="shared" si="73"/>
        <v>10</v>
      </c>
      <c r="AS78" s="637"/>
      <c r="AT78" s="575">
        <v>19</v>
      </c>
      <c r="AU78" s="577">
        <v>1203.999999999998</v>
      </c>
      <c r="AV78" s="577">
        <v>63.368421052631469</v>
      </c>
      <c r="AW78" s="575">
        <f t="shared" si="75"/>
        <v>10</v>
      </c>
      <c r="AX78" s="637"/>
      <c r="AZ78" s="368" t="e">
        <f t="shared" si="77"/>
        <v>#N/A</v>
      </c>
      <c r="BA78" s="637"/>
    </row>
    <row r="79" spans="2:53">
      <c r="B79" s="647"/>
      <c r="C79" s="379">
        <v>13</v>
      </c>
      <c r="D79" s="225"/>
      <c r="E79" s="535"/>
      <c r="F79" s="534"/>
      <c r="G79" s="536"/>
      <c r="H79" s="701"/>
      <c r="I79" s="381" t="str">
        <f t="shared" si="60"/>
        <v>-</v>
      </c>
      <c r="J79" s="381" t="str">
        <f t="shared" si="61"/>
        <v>-</v>
      </c>
      <c r="K79" s="199" t="str">
        <f t="shared" si="62"/>
        <v>-</v>
      </c>
      <c r="L79" s="657"/>
      <c r="M79" s="422" t="e">
        <f>RANK(K79, K$67:$K$81)</f>
        <v>#VALUE!</v>
      </c>
      <c r="N79" s="641"/>
      <c r="O79" s="641"/>
      <c r="P79" s="575" t="s">
        <v>585</v>
      </c>
      <c r="Q79" s="577" t="s">
        <v>585</v>
      </c>
      <c r="R79" s="577" t="s">
        <v>585</v>
      </c>
      <c r="S79" s="575" t="e">
        <f t="shared" si="63"/>
        <v>#VALUE!</v>
      </c>
      <c r="T79" s="637"/>
      <c r="U79" s="575" t="s">
        <v>585</v>
      </c>
      <c r="V79" s="577" t="s">
        <v>585</v>
      </c>
      <c r="W79" s="577" t="s">
        <v>585</v>
      </c>
      <c r="X79" s="575" t="e">
        <f t="shared" si="65"/>
        <v>#VALUE!</v>
      </c>
      <c r="Y79" s="637"/>
      <c r="Z79" s="575" t="s">
        <v>585</v>
      </c>
      <c r="AA79" s="577" t="s">
        <v>585</v>
      </c>
      <c r="AB79" s="577" t="s">
        <v>585</v>
      </c>
      <c r="AC79" s="575" t="e">
        <f t="shared" si="67"/>
        <v>#VALUE!</v>
      </c>
      <c r="AD79" s="637"/>
      <c r="AE79" s="575" t="s">
        <v>585</v>
      </c>
      <c r="AF79" s="577" t="s">
        <v>585</v>
      </c>
      <c r="AG79" s="577" t="s">
        <v>585</v>
      </c>
      <c r="AH79" s="575" t="e">
        <f t="shared" si="69"/>
        <v>#VALUE!</v>
      </c>
      <c r="AI79" s="637"/>
      <c r="AJ79" s="575" t="s">
        <v>585</v>
      </c>
      <c r="AK79" s="577" t="s">
        <v>585</v>
      </c>
      <c r="AL79" s="577" t="s">
        <v>585</v>
      </c>
      <c r="AM79" s="575" t="e">
        <f t="shared" si="71"/>
        <v>#VALUE!</v>
      </c>
      <c r="AN79" s="637"/>
      <c r="AO79" s="575" t="s">
        <v>585</v>
      </c>
      <c r="AP79" s="577" t="s">
        <v>585</v>
      </c>
      <c r="AQ79" s="577" t="s">
        <v>585</v>
      </c>
      <c r="AR79" s="575" t="e">
        <f t="shared" si="73"/>
        <v>#VALUE!</v>
      </c>
      <c r="AS79" s="637"/>
      <c r="AT79" s="575" t="s">
        <v>585</v>
      </c>
      <c r="AU79" s="577" t="s">
        <v>585</v>
      </c>
      <c r="AV79" s="577" t="s">
        <v>585</v>
      </c>
      <c r="AW79" s="575" t="e">
        <f t="shared" si="75"/>
        <v>#VALUE!</v>
      </c>
      <c r="AX79" s="637"/>
      <c r="AZ79" s="368" t="e">
        <f t="shared" si="77"/>
        <v>#N/A</v>
      </c>
      <c r="BA79" s="637"/>
    </row>
    <row r="80" spans="2:53">
      <c r="B80" s="647"/>
      <c r="C80" s="379">
        <v>14</v>
      </c>
      <c r="D80" s="225"/>
      <c r="E80" s="535"/>
      <c r="F80" s="534"/>
      <c r="G80" s="536"/>
      <c r="H80" s="701"/>
      <c r="I80" s="421" t="str">
        <f t="shared" ref="I80:I81" si="79">IFERROR(AVERAGE(P80,U80,Z80,AE80,AJ80,AO80,AT80),"-")</f>
        <v>-</v>
      </c>
      <c r="J80" s="421" t="str">
        <f t="shared" ref="J80:J81" si="80">IFERROR(AVERAGE(Q80,V80,AA80,AF80,AK80,AP80,AU80),"-")</f>
        <v>-</v>
      </c>
      <c r="K80" s="199" t="str">
        <f t="shared" ref="K80:K81" si="81">IFERROR(AVERAGE(R80,W80,AB80,AG80,AL80,AQ80,AV80),"-")</f>
        <v>-</v>
      </c>
      <c r="L80" s="657"/>
      <c r="M80" s="422" t="e">
        <f>RANK(K80, K$67:$K$81)</f>
        <v>#VALUE!</v>
      </c>
      <c r="N80" s="641"/>
      <c r="O80" s="641"/>
      <c r="P80" s="575" t="s">
        <v>585</v>
      </c>
      <c r="Q80" s="577" t="s">
        <v>585</v>
      </c>
      <c r="R80" s="577" t="s">
        <v>585</v>
      </c>
      <c r="S80" s="575" t="e">
        <f t="shared" si="63"/>
        <v>#VALUE!</v>
      </c>
      <c r="T80" s="637"/>
      <c r="U80" s="575" t="s">
        <v>585</v>
      </c>
      <c r="V80" s="577" t="s">
        <v>585</v>
      </c>
      <c r="W80" s="577" t="s">
        <v>585</v>
      </c>
      <c r="X80" s="575" t="e">
        <f t="shared" si="65"/>
        <v>#VALUE!</v>
      </c>
      <c r="Y80" s="637"/>
      <c r="Z80" s="575" t="s">
        <v>585</v>
      </c>
      <c r="AA80" s="577" t="s">
        <v>585</v>
      </c>
      <c r="AB80" s="577" t="s">
        <v>585</v>
      </c>
      <c r="AC80" s="575" t="e">
        <f t="shared" si="67"/>
        <v>#VALUE!</v>
      </c>
      <c r="AD80" s="637"/>
      <c r="AE80" s="575" t="s">
        <v>585</v>
      </c>
      <c r="AF80" s="577" t="s">
        <v>585</v>
      </c>
      <c r="AG80" s="577" t="s">
        <v>585</v>
      </c>
      <c r="AH80" s="575" t="e">
        <f t="shared" si="69"/>
        <v>#VALUE!</v>
      </c>
      <c r="AI80" s="637"/>
      <c r="AJ80" s="575" t="s">
        <v>585</v>
      </c>
      <c r="AK80" s="577" t="s">
        <v>585</v>
      </c>
      <c r="AL80" s="577" t="s">
        <v>585</v>
      </c>
      <c r="AM80" s="575" t="e">
        <f t="shared" si="71"/>
        <v>#VALUE!</v>
      </c>
      <c r="AN80" s="637"/>
      <c r="AO80" s="575" t="s">
        <v>585</v>
      </c>
      <c r="AP80" s="577" t="s">
        <v>585</v>
      </c>
      <c r="AQ80" s="577" t="s">
        <v>585</v>
      </c>
      <c r="AR80" s="575" t="e">
        <f t="shared" si="73"/>
        <v>#VALUE!</v>
      </c>
      <c r="AS80" s="637"/>
      <c r="AT80" s="575" t="s">
        <v>585</v>
      </c>
      <c r="AU80" s="577" t="s">
        <v>585</v>
      </c>
      <c r="AV80" s="577" t="s">
        <v>585</v>
      </c>
      <c r="AW80" s="575" t="e">
        <f t="shared" si="75"/>
        <v>#VALUE!</v>
      </c>
      <c r="AX80" s="637"/>
      <c r="AZ80" s="368" t="e">
        <f t="shared" si="77"/>
        <v>#N/A</v>
      </c>
      <c r="BA80" s="637"/>
    </row>
    <row r="81" spans="2:53">
      <c r="B81" s="647"/>
      <c r="C81" s="379">
        <v>15</v>
      </c>
      <c r="D81" s="225"/>
      <c r="E81" s="535"/>
      <c r="F81" s="534"/>
      <c r="G81" s="536"/>
      <c r="H81" s="702"/>
      <c r="I81" s="421" t="str">
        <f t="shared" si="79"/>
        <v>-</v>
      </c>
      <c r="J81" s="421" t="str">
        <f t="shared" si="80"/>
        <v>-</v>
      </c>
      <c r="K81" s="199" t="str">
        <f t="shared" si="81"/>
        <v>-</v>
      </c>
      <c r="L81" s="658"/>
      <c r="M81" s="422" t="e">
        <f>RANK(K81, K$67:$K$81)</f>
        <v>#VALUE!</v>
      </c>
      <c r="N81" s="641"/>
      <c r="O81" s="641"/>
      <c r="P81" s="575" t="s">
        <v>585</v>
      </c>
      <c r="Q81" s="577" t="s">
        <v>585</v>
      </c>
      <c r="R81" s="577" t="s">
        <v>585</v>
      </c>
      <c r="S81" s="575" t="e">
        <f t="shared" si="63"/>
        <v>#VALUE!</v>
      </c>
      <c r="T81" s="638"/>
      <c r="U81" s="575" t="s">
        <v>585</v>
      </c>
      <c r="V81" s="577" t="s">
        <v>585</v>
      </c>
      <c r="W81" s="577" t="s">
        <v>585</v>
      </c>
      <c r="X81" s="575" t="e">
        <f t="shared" si="65"/>
        <v>#VALUE!</v>
      </c>
      <c r="Y81" s="638"/>
      <c r="Z81" s="575" t="s">
        <v>585</v>
      </c>
      <c r="AA81" s="577" t="s">
        <v>585</v>
      </c>
      <c r="AB81" s="577" t="s">
        <v>585</v>
      </c>
      <c r="AC81" s="575" t="e">
        <f t="shared" si="67"/>
        <v>#VALUE!</v>
      </c>
      <c r="AD81" s="638"/>
      <c r="AE81" s="575" t="s">
        <v>585</v>
      </c>
      <c r="AF81" s="577" t="s">
        <v>585</v>
      </c>
      <c r="AG81" s="577" t="s">
        <v>585</v>
      </c>
      <c r="AH81" s="575" t="e">
        <f t="shared" si="69"/>
        <v>#VALUE!</v>
      </c>
      <c r="AI81" s="638"/>
      <c r="AJ81" s="575" t="s">
        <v>585</v>
      </c>
      <c r="AK81" s="577" t="s">
        <v>585</v>
      </c>
      <c r="AL81" s="577" t="s">
        <v>585</v>
      </c>
      <c r="AM81" s="575" t="e">
        <f t="shared" si="71"/>
        <v>#VALUE!</v>
      </c>
      <c r="AN81" s="638"/>
      <c r="AO81" s="575" t="s">
        <v>585</v>
      </c>
      <c r="AP81" s="577" t="s">
        <v>585</v>
      </c>
      <c r="AQ81" s="577" t="s">
        <v>585</v>
      </c>
      <c r="AR81" s="575" t="e">
        <f t="shared" si="73"/>
        <v>#VALUE!</v>
      </c>
      <c r="AS81" s="638"/>
      <c r="AT81" s="575" t="s">
        <v>585</v>
      </c>
      <c r="AU81" s="577" t="s">
        <v>585</v>
      </c>
      <c r="AV81" s="577" t="s">
        <v>585</v>
      </c>
      <c r="AW81" s="575" t="e">
        <f t="shared" si="75"/>
        <v>#VALUE!</v>
      </c>
      <c r="AX81" s="638"/>
      <c r="AZ81" s="368" t="e">
        <f t="shared" si="77"/>
        <v>#N/A</v>
      </c>
      <c r="BA81" s="638"/>
    </row>
    <row r="82" spans="2:53" ht="15.75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68">
        <f>P62+7</f>
        <v>46259</v>
      </c>
      <c r="Q82" s="647"/>
      <c r="R82" s="647"/>
      <c r="S82" s="647"/>
      <c r="T82" s="647"/>
      <c r="U82" s="665">
        <f>P82+1</f>
        <v>46260</v>
      </c>
      <c r="V82" s="666"/>
      <c r="W82" s="666"/>
      <c r="X82" s="666"/>
      <c r="Y82" s="667"/>
      <c r="Z82" s="665">
        <f>U82+1</f>
        <v>46261</v>
      </c>
      <c r="AA82" s="666"/>
      <c r="AB82" s="666"/>
      <c r="AC82" s="666"/>
      <c r="AD82" s="667"/>
      <c r="AE82" s="665">
        <f>Z82+1</f>
        <v>46262</v>
      </c>
      <c r="AF82" s="666"/>
      <c r="AG82" s="666"/>
      <c r="AH82" s="666"/>
      <c r="AI82" s="667"/>
      <c r="AJ82" s="665">
        <f>AE82+1</f>
        <v>46263</v>
      </c>
      <c r="AK82" s="666"/>
      <c r="AL82" s="666"/>
      <c r="AM82" s="666"/>
      <c r="AN82" s="667"/>
      <c r="AO82" s="665">
        <f>AJ82+1</f>
        <v>46264</v>
      </c>
      <c r="AP82" s="666"/>
      <c r="AQ82" s="666"/>
      <c r="AR82" s="666"/>
      <c r="AS82" s="667"/>
      <c r="AT82" s="665">
        <f>AO82+1</f>
        <v>46265</v>
      </c>
      <c r="AU82" s="666"/>
      <c r="AV82" s="666"/>
      <c r="AW82" s="666"/>
      <c r="AX82" s="667"/>
    </row>
    <row r="83" spans="2:53" ht="15.75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45"/>
      <c r="O83" s="645"/>
      <c r="P83" s="668" t="s">
        <v>317</v>
      </c>
      <c r="Q83" s="647"/>
      <c r="R83" s="647"/>
      <c r="S83" s="647"/>
      <c r="T83" s="647"/>
      <c r="U83" s="668" t="s">
        <v>318</v>
      </c>
      <c r="V83" s="647"/>
      <c r="W83" s="647"/>
      <c r="X83" s="647"/>
      <c r="Y83" s="647"/>
      <c r="Z83" s="668" t="s">
        <v>319</v>
      </c>
      <c r="AA83" s="647"/>
      <c r="AB83" s="647"/>
      <c r="AC83" s="647"/>
      <c r="AD83" s="647"/>
      <c r="AE83" s="668" t="s">
        <v>320</v>
      </c>
      <c r="AF83" s="647"/>
      <c r="AG83" s="647"/>
      <c r="AH83" s="647"/>
      <c r="AI83" s="647"/>
      <c r="AJ83" s="668" t="s">
        <v>321</v>
      </c>
      <c r="AK83" s="647"/>
      <c r="AL83" s="647"/>
      <c r="AM83" s="647"/>
      <c r="AN83" s="647"/>
      <c r="AO83" s="668" t="s">
        <v>322</v>
      </c>
      <c r="AP83" s="647"/>
      <c r="AQ83" s="647"/>
      <c r="AR83" s="647"/>
      <c r="AS83" s="647"/>
      <c r="AT83" s="668" t="s">
        <v>323</v>
      </c>
      <c r="AU83" s="647"/>
      <c r="AV83" s="647"/>
      <c r="AW83" s="647"/>
      <c r="AX83" s="647"/>
    </row>
    <row r="84" spans="2:53">
      <c r="B84" s="641" t="s">
        <v>389</v>
      </c>
      <c r="C84" s="641" t="s">
        <v>379</v>
      </c>
      <c r="D84" s="641"/>
      <c r="E84" s="641" t="s">
        <v>370</v>
      </c>
      <c r="F84" s="641"/>
      <c r="G84" s="641"/>
      <c r="H84" s="673" t="s">
        <v>366</v>
      </c>
      <c r="I84" s="688" t="s">
        <v>371</v>
      </c>
      <c r="J84" s="688"/>
      <c r="K84" s="688"/>
      <c r="L84" s="689" t="s">
        <v>366</v>
      </c>
      <c r="M84" s="677" t="s">
        <v>367</v>
      </c>
      <c r="N84" s="641"/>
      <c r="O84" s="641" t="s">
        <v>372</v>
      </c>
      <c r="P84" s="659" t="s">
        <v>368</v>
      </c>
      <c r="Q84" s="660"/>
      <c r="R84" s="660"/>
      <c r="S84" s="661"/>
      <c r="T84" s="641" t="s">
        <v>366</v>
      </c>
      <c r="U84" s="659" t="s">
        <v>368</v>
      </c>
      <c r="V84" s="660"/>
      <c r="W84" s="660"/>
      <c r="X84" s="661"/>
      <c r="Y84" s="641" t="s">
        <v>366</v>
      </c>
      <c r="Z84" s="659" t="s">
        <v>368</v>
      </c>
      <c r="AA84" s="660"/>
      <c r="AB84" s="660"/>
      <c r="AC84" s="661"/>
      <c r="AD84" s="641" t="s">
        <v>366</v>
      </c>
      <c r="AE84" s="659" t="s">
        <v>368</v>
      </c>
      <c r="AF84" s="660"/>
      <c r="AG84" s="660"/>
      <c r="AH84" s="661"/>
      <c r="AI84" s="641" t="s">
        <v>366</v>
      </c>
      <c r="AJ84" s="659" t="s">
        <v>368</v>
      </c>
      <c r="AK84" s="660"/>
      <c r="AL84" s="660"/>
      <c r="AM84" s="661"/>
      <c r="AN84" s="641" t="s">
        <v>366</v>
      </c>
      <c r="AO84" s="659" t="s">
        <v>368</v>
      </c>
      <c r="AP84" s="660"/>
      <c r="AQ84" s="660"/>
      <c r="AR84" s="661"/>
      <c r="AS84" s="641" t="s">
        <v>366</v>
      </c>
      <c r="AT84" s="659" t="s">
        <v>368</v>
      </c>
      <c r="AU84" s="660"/>
      <c r="AV84" s="660"/>
      <c r="AW84" s="661"/>
      <c r="AX84" s="641" t="s">
        <v>366</v>
      </c>
      <c r="BA84" s="641" t="s">
        <v>366</v>
      </c>
    </row>
    <row r="85" spans="2:53">
      <c r="B85" s="641"/>
      <c r="C85" s="641"/>
      <c r="D85" s="641"/>
      <c r="E85" s="641" t="s">
        <v>373</v>
      </c>
      <c r="F85" s="641"/>
      <c r="G85" s="641"/>
      <c r="H85" s="674"/>
      <c r="I85" s="688" t="s">
        <v>373</v>
      </c>
      <c r="J85" s="688"/>
      <c r="K85" s="688"/>
      <c r="L85" s="690"/>
      <c r="M85" s="678"/>
      <c r="N85" s="641"/>
      <c r="O85" s="641"/>
      <c r="P85" s="659" t="s">
        <v>374</v>
      </c>
      <c r="Q85" s="660"/>
      <c r="R85" s="660"/>
      <c r="S85" s="661"/>
      <c r="T85" s="641"/>
      <c r="U85" s="659" t="s">
        <v>374</v>
      </c>
      <c r="V85" s="660"/>
      <c r="W85" s="660"/>
      <c r="X85" s="661"/>
      <c r="Y85" s="641"/>
      <c r="Z85" s="659" t="s">
        <v>374</v>
      </c>
      <c r="AA85" s="660"/>
      <c r="AB85" s="660"/>
      <c r="AC85" s="661"/>
      <c r="AD85" s="641"/>
      <c r="AE85" s="659" t="s">
        <v>374</v>
      </c>
      <c r="AF85" s="660"/>
      <c r="AG85" s="660"/>
      <c r="AH85" s="661"/>
      <c r="AI85" s="641"/>
      <c r="AJ85" s="659" t="s">
        <v>374</v>
      </c>
      <c r="AK85" s="660"/>
      <c r="AL85" s="660"/>
      <c r="AM85" s="661"/>
      <c r="AN85" s="641"/>
      <c r="AO85" s="659" t="s">
        <v>374</v>
      </c>
      <c r="AP85" s="660"/>
      <c r="AQ85" s="660"/>
      <c r="AR85" s="661"/>
      <c r="AS85" s="641"/>
      <c r="AT85" s="659" t="s">
        <v>374</v>
      </c>
      <c r="AU85" s="660"/>
      <c r="AV85" s="660"/>
      <c r="AW85" s="661"/>
      <c r="AX85" s="641"/>
      <c r="BA85" s="641"/>
    </row>
    <row r="86" spans="2:53">
      <c r="B86" s="641"/>
      <c r="C86" s="641"/>
      <c r="D86" s="641"/>
      <c r="E86" s="378" t="s">
        <v>375</v>
      </c>
      <c r="F86" s="378" t="s">
        <v>376</v>
      </c>
      <c r="G86" s="378" t="s">
        <v>377</v>
      </c>
      <c r="H86" s="675"/>
      <c r="I86" s="377" t="s">
        <v>375</v>
      </c>
      <c r="J86" s="377" t="s">
        <v>376</v>
      </c>
      <c r="K86" s="377" t="s">
        <v>377</v>
      </c>
      <c r="L86" s="691"/>
      <c r="M86" s="679"/>
      <c r="N86" s="641"/>
      <c r="O86" s="641"/>
      <c r="P86" s="378" t="s">
        <v>375</v>
      </c>
      <c r="Q86" s="378" t="s">
        <v>376</v>
      </c>
      <c r="R86" s="378" t="s">
        <v>377</v>
      </c>
      <c r="S86" s="378" t="s">
        <v>367</v>
      </c>
      <c r="T86" s="641"/>
      <c r="U86" s="378" t="s">
        <v>375</v>
      </c>
      <c r="V86" s="378" t="s">
        <v>376</v>
      </c>
      <c r="W86" s="378" t="s">
        <v>377</v>
      </c>
      <c r="X86" s="378" t="s">
        <v>367</v>
      </c>
      <c r="Y86" s="641"/>
      <c r="Z86" s="378" t="s">
        <v>375</v>
      </c>
      <c r="AA86" s="378" t="s">
        <v>376</v>
      </c>
      <c r="AB86" s="378" t="s">
        <v>377</v>
      </c>
      <c r="AC86" s="378" t="s">
        <v>367</v>
      </c>
      <c r="AD86" s="641"/>
      <c r="AE86" s="378" t="s">
        <v>375</v>
      </c>
      <c r="AF86" s="378" t="s">
        <v>376</v>
      </c>
      <c r="AG86" s="378" t="s">
        <v>377</v>
      </c>
      <c r="AH86" s="378" t="s">
        <v>367</v>
      </c>
      <c r="AI86" s="641"/>
      <c r="AJ86" s="378" t="s">
        <v>375</v>
      </c>
      <c r="AK86" s="378" t="s">
        <v>376</v>
      </c>
      <c r="AL86" s="378" t="s">
        <v>377</v>
      </c>
      <c r="AM86" s="378" t="s">
        <v>367</v>
      </c>
      <c r="AN86" s="641"/>
      <c r="AO86" s="378" t="s">
        <v>375</v>
      </c>
      <c r="AP86" s="378" t="s">
        <v>376</v>
      </c>
      <c r="AQ86" s="378" t="s">
        <v>377</v>
      </c>
      <c r="AR86" s="378" t="s">
        <v>367</v>
      </c>
      <c r="AS86" s="641"/>
      <c r="AT86" s="378" t="s">
        <v>375</v>
      </c>
      <c r="AU86" s="378" t="s">
        <v>376</v>
      </c>
      <c r="AV86" s="378" t="s">
        <v>377</v>
      </c>
      <c r="AW86" s="378" t="s">
        <v>367</v>
      </c>
      <c r="AX86" s="641"/>
      <c r="AZ86" s="367" t="s">
        <v>367</v>
      </c>
      <c r="BA86" s="641"/>
    </row>
    <row r="87" spans="2:53">
      <c r="B87" s="641" t="s">
        <v>405</v>
      </c>
      <c r="C87" s="379">
        <v>1</v>
      </c>
      <c r="D87" s="225"/>
      <c r="E87" s="519"/>
      <c r="F87" s="516"/>
      <c r="G87" s="515"/>
      <c r="H87" s="700" t="e">
        <f>AVERAGE(G87:G101)</f>
        <v>#DIV/0!</v>
      </c>
      <c r="I87" s="381" t="str">
        <f t="shared" ref="I87:I100" si="82">IFERROR(AVERAGE(P87,U87,Z87,AE87,AJ87,AO87,AT87),"-")</f>
        <v>-</v>
      </c>
      <c r="J87" s="381" t="str">
        <f t="shared" ref="J87:J100" si="83">IFERROR(AVERAGE(Q87,V87,AA87,AF87,AK87,AP87,AU87),"-")</f>
        <v>-</v>
      </c>
      <c r="K87" s="199" t="str">
        <f t="shared" ref="K87:K100" si="84">IFERROR(AVERAGE(R87,W87,AB87,AG87,AL87,AQ87,AV87),"-")</f>
        <v>-</v>
      </c>
      <c r="L87" s="656" t="str">
        <f>IFERROR(AVERAGE(K87:K101),"-")</f>
        <v>-</v>
      </c>
      <c r="M87" s="383" t="e">
        <f>RANK(K87, K$87:$K$101)</f>
        <v>#VALUE!</v>
      </c>
      <c r="N87" s="641"/>
      <c r="O87" s="641"/>
      <c r="P87" s="529"/>
      <c r="Q87" s="530"/>
      <c r="R87" s="530"/>
      <c r="S87" s="529"/>
      <c r="T87" s="642"/>
      <c r="U87" s="529"/>
      <c r="V87" s="530"/>
      <c r="W87" s="530"/>
      <c r="X87" s="529"/>
      <c r="Y87" s="642"/>
      <c r="Z87" s="529"/>
      <c r="AA87" s="530"/>
      <c r="AB87" s="530"/>
      <c r="AC87" s="529"/>
      <c r="AD87" s="642"/>
      <c r="AE87" s="529"/>
      <c r="AF87" s="530"/>
      <c r="AG87" s="530"/>
      <c r="AH87" s="529"/>
      <c r="AI87" s="642"/>
      <c r="AJ87" s="529"/>
      <c r="AK87" s="530"/>
      <c r="AL87" s="530"/>
      <c r="AM87" s="529"/>
      <c r="AN87" s="642"/>
      <c r="AO87" s="529"/>
      <c r="AP87" s="530"/>
      <c r="AQ87" s="530"/>
      <c r="AR87" s="529"/>
      <c r="AS87" s="642"/>
      <c r="AT87" s="529"/>
      <c r="AU87" s="530"/>
      <c r="AV87" s="530"/>
      <c r="AW87" s="529"/>
      <c r="AX87" s="642"/>
      <c r="AZ87" s="368" t="e">
        <f t="shared" ref="AZ87:AZ101" si="85">RANK(AY87, AY$87:AY$101)</f>
        <v>#N/A</v>
      </c>
      <c r="BA87" s="642" t="e">
        <f t="shared" ref="BA87" si="86">AVERAGE(AY87:AY101)</f>
        <v>#DIV/0!</v>
      </c>
    </row>
    <row r="88" spans="2:53">
      <c r="B88" s="647"/>
      <c r="C88" s="379">
        <v>2</v>
      </c>
      <c r="D88" s="225"/>
      <c r="E88" s="519"/>
      <c r="F88" s="516"/>
      <c r="G88" s="515"/>
      <c r="H88" s="701"/>
      <c r="I88" s="381" t="str">
        <f t="shared" si="82"/>
        <v>-</v>
      </c>
      <c r="J88" s="381" t="str">
        <f t="shared" si="83"/>
        <v>-</v>
      </c>
      <c r="K88" s="199" t="str">
        <f t="shared" si="84"/>
        <v>-</v>
      </c>
      <c r="L88" s="657"/>
      <c r="M88" s="469" t="e">
        <f>RANK(K88, K$87:$K$101)</f>
        <v>#VALUE!</v>
      </c>
      <c r="N88" s="641"/>
      <c r="O88" s="641"/>
      <c r="P88" s="529"/>
      <c r="Q88" s="530"/>
      <c r="R88" s="530"/>
      <c r="S88" s="529"/>
      <c r="T88" s="642"/>
      <c r="U88" s="529"/>
      <c r="V88" s="530"/>
      <c r="W88" s="530"/>
      <c r="X88" s="529"/>
      <c r="Y88" s="642"/>
      <c r="Z88" s="529"/>
      <c r="AA88" s="530"/>
      <c r="AB88" s="530"/>
      <c r="AC88" s="529"/>
      <c r="AD88" s="642"/>
      <c r="AE88" s="529"/>
      <c r="AF88" s="530"/>
      <c r="AG88" s="530"/>
      <c r="AH88" s="529"/>
      <c r="AI88" s="642"/>
      <c r="AJ88" s="529"/>
      <c r="AK88" s="530"/>
      <c r="AL88" s="530"/>
      <c r="AM88" s="529"/>
      <c r="AN88" s="642"/>
      <c r="AO88" s="529"/>
      <c r="AP88" s="530"/>
      <c r="AQ88" s="530"/>
      <c r="AR88" s="529"/>
      <c r="AS88" s="642"/>
      <c r="AT88" s="529"/>
      <c r="AU88" s="530"/>
      <c r="AV88" s="530"/>
      <c r="AW88" s="529"/>
      <c r="AX88" s="642"/>
      <c r="AZ88" s="368" t="e">
        <f t="shared" si="85"/>
        <v>#N/A</v>
      </c>
      <c r="BA88" s="642"/>
    </row>
    <row r="89" spans="2:53">
      <c r="B89" s="647"/>
      <c r="C89" s="379">
        <v>3</v>
      </c>
      <c r="D89" s="225"/>
      <c r="E89" s="519"/>
      <c r="F89" s="516"/>
      <c r="G89" s="515"/>
      <c r="H89" s="701"/>
      <c r="I89" s="381" t="str">
        <f t="shared" si="82"/>
        <v>-</v>
      </c>
      <c r="J89" s="381" t="str">
        <f t="shared" si="83"/>
        <v>-</v>
      </c>
      <c r="K89" s="199" t="str">
        <f t="shared" si="84"/>
        <v>-</v>
      </c>
      <c r="L89" s="657"/>
      <c r="M89" s="469" t="e">
        <f>RANK(K89, K$87:$K$101)</f>
        <v>#VALUE!</v>
      </c>
      <c r="N89" s="641"/>
      <c r="O89" s="641"/>
      <c r="P89" s="529"/>
      <c r="Q89" s="530"/>
      <c r="R89" s="530"/>
      <c r="S89" s="529"/>
      <c r="T89" s="642"/>
      <c r="U89" s="529"/>
      <c r="V89" s="530"/>
      <c r="W89" s="530"/>
      <c r="X89" s="529"/>
      <c r="Y89" s="642"/>
      <c r="Z89" s="529"/>
      <c r="AA89" s="530"/>
      <c r="AB89" s="530"/>
      <c r="AC89" s="529"/>
      <c r="AD89" s="642"/>
      <c r="AE89" s="529"/>
      <c r="AF89" s="530"/>
      <c r="AG89" s="530"/>
      <c r="AH89" s="529"/>
      <c r="AI89" s="642"/>
      <c r="AJ89" s="529"/>
      <c r="AK89" s="530"/>
      <c r="AL89" s="530"/>
      <c r="AM89" s="529"/>
      <c r="AN89" s="642"/>
      <c r="AO89" s="529"/>
      <c r="AP89" s="530"/>
      <c r="AQ89" s="530"/>
      <c r="AR89" s="529"/>
      <c r="AS89" s="642"/>
      <c r="AT89" s="529"/>
      <c r="AU89" s="530"/>
      <c r="AV89" s="530"/>
      <c r="AW89" s="529"/>
      <c r="AX89" s="642"/>
      <c r="AZ89" s="368" t="e">
        <f t="shared" si="85"/>
        <v>#N/A</v>
      </c>
      <c r="BA89" s="642"/>
    </row>
    <row r="90" spans="2:53">
      <c r="B90" s="647"/>
      <c r="C90" s="379">
        <v>4</v>
      </c>
      <c r="D90" s="225"/>
      <c r="E90" s="519"/>
      <c r="F90" s="516"/>
      <c r="G90" s="515"/>
      <c r="H90" s="701"/>
      <c r="I90" s="381" t="str">
        <f t="shared" si="82"/>
        <v>-</v>
      </c>
      <c r="J90" s="381" t="str">
        <f t="shared" si="83"/>
        <v>-</v>
      </c>
      <c r="K90" s="199" t="str">
        <f t="shared" si="84"/>
        <v>-</v>
      </c>
      <c r="L90" s="657"/>
      <c r="M90" s="469" t="e">
        <f>RANK(K90, K$87:$K$101)</f>
        <v>#VALUE!</v>
      </c>
      <c r="N90" s="641"/>
      <c r="O90" s="641"/>
      <c r="P90" s="529"/>
      <c r="Q90" s="530"/>
      <c r="R90" s="530"/>
      <c r="S90" s="529"/>
      <c r="T90" s="642"/>
      <c r="U90" s="529"/>
      <c r="V90" s="530"/>
      <c r="W90" s="530"/>
      <c r="X90" s="529"/>
      <c r="Y90" s="642"/>
      <c r="Z90" s="529"/>
      <c r="AA90" s="530"/>
      <c r="AB90" s="530"/>
      <c r="AC90" s="529"/>
      <c r="AD90" s="642"/>
      <c r="AE90" s="529"/>
      <c r="AF90" s="530"/>
      <c r="AG90" s="530"/>
      <c r="AH90" s="529"/>
      <c r="AI90" s="642"/>
      <c r="AJ90" s="529"/>
      <c r="AK90" s="530"/>
      <c r="AL90" s="530"/>
      <c r="AM90" s="529"/>
      <c r="AN90" s="642"/>
      <c r="AO90" s="529"/>
      <c r="AP90" s="530"/>
      <c r="AQ90" s="530"/>
      <c r="AR90" s="529"/>
      <c r="AS90" s="642"/>
      <c r="AT90" s="529"/>
      <c r="AU90" s="530"/>
      <c r="AV90" s="530"/>
      <c r="AW90" s="529"/>
      <c r="AX90" s="642"/>
      <c r="AZ90" s="368" t="e">
        <f t="shared" si="85"/>
        <v>#N/A</v>
      </c>
      <c r="BA90" s="642"/>
    </row>
    <row r="91" spans="2:53">
      <c r="B91" s="647"/>
      <c r="C91" s="379">
        <v>5</v>
      </c>
      <c r="D91" s="225"/>
      <c r="E91" s="519"/>
      <c r="F91" s="516"/>
      <c r="G91" s="515"/>
      <c r="H91" s="701"/>
      <c r="I91" s="381" t="str">
        <f t="shared" si="82"/>
        <v>-</v>
      </c>
      <c r="J91" s="381" t="str">
        <f t="shared" si="83"/>
        <v>-</v>
      </c>
      <c r="K91" s="199" t="str">
        <f t="shared" si="84"/>
        <v>-</v>
      </c>
      <c r="L91" s="657"/>
      <c r="M91" s="469" t="e">
        <f>RANK(K91, K$87:$K$101)</f>
        <v>#VALUE!</v>
      </c>
      <c r="N91" s="641"/>
      <c r="O91" s="641"/>
      <c r="P91" s="529"/>
      <c r="Q91" s="530"/>
      <c r="R91" s="530"/>
      <c r="S91" s="529"/>
      <c r="T91" s="642"/>
      <c r="U91" s="529"/>
      <c r="V91" s="530"/>
      <c r="W91" s="530"/>
      <c r="X91" s="529"/>
      <c r="Y91" s="642"/>
      <c r="Z91" s="529"/>
      <c r="AA91" s="530"/>
      <c r="AB91" s="530"/>
      <c r="AC91" s="529"/>
      <c r="AD91" s="642"/>
      <c r="AE91" s="529"/>
      <c r="AF91" s="530"/>
      <c r="AG91" s="530"/>
      <c r="AH91" s="529"/>
      <c r="AI91" s="642"/>
      <c r="AJ91" s="529"/>
      <c r="AK91" s="530"/>
      <c r="AL91" s="530"/>
      <c r="AM91" s="529"/>
      <c r="AN91" s="642"/>
      <c r="AO91" s="529"/>
      <c r="AP91" s="530"/>
      <c r="AQ91" s="530"/>
      <c r="AR91" s="529"/>
      <c r="AS91" s="642"/>
      <c r="AT91" s="529"/>
      <c r="AU91" s="530"/>
      <c r="AV91" s="530"/>
      <c r="AW91" s="529"/>
      <c r="AX91" s="642"/>
      <c r="AZ91" s="368" t="e">
        <f t="shared" si="85"/>
        <v>#N/A</v>
      </c>
      <c r="BA91" s="642"/>
    </row>
    <row r="92" spans="2:53">
      <c r="B92" s="647"/>
      <c r="C92" s="379">
        <v>6</v>
      </c>
      <c r="D92" s="225"/>
      <c r="E92" s="519"/>
      <c r="F92" s="516"/>
      <c r="G92" s="515"/>
      <c r="H92" s="701"/>
      <c r="I92" s="381" t="str">
        <f t="shared" si="82"/>
        <v>-</v>
      </c>
      <c r="J92" s="381" t="str">
        <f t="shared" si="83"/>
        <v>-</v>
      </c>
      <c r="K92" s="199" t="str">
        <f t="shared" si="84"/>
        <v>-</v>
      </c>
      <c r="L92" s="657"/>
      <c r="M92" s="469" t="e">
        <f>RANK(K92, K$87:$K$101)</f>
        <v>#VALUE!</v>
      </c>
      <c r="N92" s="641"/>
      <c r="O92" s="641"/>
      <c r="P92" s="529"/>
      <c r="Q92" s="530"/>
      <c r="R92" s="530"/>
      <c r="S92" s="529"/>
      <c r="T92" s="642"/>
      <c r="U92" s="529"/>
      <c r="V92" s="530"/>
      <c r="W92" s="530"/>
      <c r="X92" s="529"/>
      <c r="Y92" s="642"/>
      <c r="Z92" s="529"/>
      <c r="AA92" s="530"/>
      <c r="AB92" s="530"/>
      <c r="AC92" s="529"/>
      <c r="AD92" s="642"/>
      <c r="AE92" s="529"/>
      <c r="AF92" s="530"/>
      <c r="AG92" s="530"/>
      <c r="AH92" s="529"/>
      <c r="AI92" s="642"/>
      <c r="AJ92" s="529"/>
      <c r="AK92" s="530"/>
      <c r="AL92" s="530"/>
      <c r="AM92" s="529"/>
      <c r="AN92" s="642"/>
      <c r="AO92" s="529"/>
      <c r="AP92" s="530"/>
      <c r="AQ92" s="530"/>
      <c r="AR92" s="529"/>
      <c r="AS92" s="642"/>
      <c r="AT92" s="529"/>
      <c r="AU92" s="530"/>
      <c r="AV92" s="530"/>
      <c r="AW92" s="529"/>
      <c r="AX92" s="642"/>
      <c r="AZ92" s="368" t="e">
        <f t="shared" si="85"/>
        <v>#N/A</v>
      </c>
      <c r="BA92" s="642"/>
    </row>
    <row r="93" spans="2:53">
      <c r="B93" s="647"/>
      <c r="C93" s="379">
        <v>7</v>
      </c>
      <c r="D93" s="225"/>
      <c r="E93" s="519"/>
      <c r="F93" s="516"/>
      <c r="G93" s="515"/>
      <c r="H93" s="701"/>
      <c r="I93" s="381" t="str">
        <f t="shared" si="82"/>
        <v>-</v>
      </c>
      <c r="J93" s="381" t="str">
        <f t="shared" si="83"/>
        <v>-</v>
      </c>
      <c r="K93" s="199" t="str">
        <f t="shared" si="84"/>
        <v>-</v>
      </c>
      <c r="L93" s="657"/>
      <c r="M93" s="469" t="e">
        <f>RANK(K93, K$87:$K$101)</f>
        <v>#VALUE!</v>
      </c>
      <c r="N93" s="641"/>
      <c r="O93" s="641"/>
      <c r="P93" s="529"/>
      <c r="Q93" s="530"/>
      <c r="R93" s="530"/>
      <c r="S93" s="529"/>
      <c r="T93" s="642"/>
      <c r="U93" s="529"/>
      <c r="V93" s="530"/>
      <c r="W93" s="530"/>
      <c r="X93" s="529"/>
      <c r="Y93" s="642"/>
      <c r="Z93" s="529"/>
      <c r="AA93" s="530"/>
      <c r="AB93" s="530"/>
      <c r="AC93" s="529"/>
      <c r="AD93" s="642"/>
      <c r="AE93" s="529"/>
      <c r="AF93" s="530"/>
      <c r="AG93" s="530"/>
      <c r="AH93" s="529"/>
      <c r="AI93" s="642"/>
      <c r="AJ93" s="529"/>
      <c r="AK93" s="530"/>
      <c r="AL93" s="530"/>
      <c r="AM93" s="529"/>
      <c r="AN93" s="642"/>
      <c r="AO93" s="529"/>
      <c r="AP93" s="530"/>
      <c r="AQ93" s="530"/>
      <c r="AR93" s="529"/>
      <c r="AS93" s="642"/>
      <c r="AT93" s="529"/>
      <c r="AU93" s="530"/>
      <c r="AV93" s="530"/>
      <c r="AW93" s="529"/>
      <c r="AX93" s="642"/>
      <c r="AZ93" s="368" t="e">
        <f t="shared" si="85"/>
        <v>#N/A</v>
      </c>
      <c r="BA93" s="642"/>
    </row>
    <row r="94" spans="2:53">
      <c r="B94" s="647"/>
      <c r="C94" s="379">
        <v>8</v>
      </c>
      <c r="D94" s="225"/>
      <c r="E94" s="519"/>
      <c r="F94" s="516"/>
      <c r="G94" s="515"/>
      <c r="H94" s="701"/>
      <c r="I94" s="381" t="str">
        <f t="shared" si="82"/>
        <v>-</v>
      </c>
      <c r="J94" s="381" t="str">
        <f t="shared" si="83"/>
        <v>-</v>
      </c>
      <c r="K94" s="199" t="str">
        <f t="shared" si="84"/>
        <v>-</v>
      </c>
      <c r="L94" s="657"/>
      <c r="M94" s="469" t="e">
        <f>RANK(K94, K$87:$K$101)</f>
        <v>#VALUE!</v>
      </c>
      <c r="N94" s="641"/>
      <c r="O94" s="641"/>
      <c r="P94" s="529"/>
      <c r="Q94" s="530"/>
      <c r="R94" s="530"/>
      <c r="S94" s="529"/>
      <c r="T94" s="642"/>
      <c r="U94" s="529"/>
      <c r="V94" s="530"/>
      <c r="W94" s="530"/>
      <c r="X94" s="529"/>
      <c r="Y94" s="642"/>
      <c r="Z94" s="529"/>
      <c r="AA94" s="530"/>
      <c r="AB94" s="530"/>
      <c r="AC94" s="529"/>
      <c r="AD94" s="642"/>
      <c r="AE94" s="529"/>
      <c r="AF94" s="530"/>
      <c r="AG94" s="530"/>
      <c r="AH94" s="529"/>
      <c r="AI94" s="642"/>
      <c r="AJ94" s="529"/>
      <c r="AK94" s="530"/>
      <c r="AL94" s="530"/>
      <c r="AM94" s="529"/>
      <c r="AN94" s="642"/>
      <c r="AO94" s="529"/>
      <c r="AP94" s="530"/>
      <c r="AQ94" s="530"/>
      <c r="AR94" s="529"/>
      <c r="AS94" s="642"/>
      <c r="AT94" s="529"/>
      <c r="AU94" s="530"/>
      <c r="AV94" s="530"/>
      <c r="AW94" s="529"/>
      <c r="AX94" s="642"/>
      <c r="AZ94" s="368" t="e">
        <f t="shared" si="85"/>
        <v>#N/A</v>
      </c>
      <c r="BA94" s="642"/>
    </row>
    <row r="95" spans="2:53">
      <c r="B95" s="647"/>
      <c r="C95" s="379">
        <v>9</v>
      </c>
      <c r="D95" s="225"/>
      <c r="E95" s="519"/>
      <c r="F95" s="516"/>
      <c r="G95" s="515"/>
      <c r="H95" s="701"/>
      <c r="I95" s="381" t="str">
        <f t="shared" si="82"/>
        <v>-</v>
      </c>
      <c r="J95" s="381" t="str">
        <f t="shared" si="83"/>
        <v>-</v>
      </c>
      <c r="K95" s="199" t="str">
        <f t="shared" si="84"/>
        <v>-</v>
      </c>
      <c r="L95" s="657"/>
      <c r="M95" s="469" t="e">
        <f>RANK(K95, K$87:$K$101)</f>
        <v>#VALUE!</v>
      </c>
      <c r="N95" s="641"/>
      <c r="O95" s="641"/>
      <c r="P95" s="529"/>
      <c r="Q95" s="530"/>
      <c r="R95" s="530"/>
      <c r="S95" s="529"/>
      <c r="T95" s="642"/>
      <c r="U95" s="529"/>
      <c r="V95" s="530"/>
      <c r="W95" s="530"/>
      <c r="X95" s="529"/>
      <c r="Y95" s="642"/>
      <c r="Z95" s="529"/>
      <c r="AA95" s="530"/>
      <c r="AB95" s="530"/>
      <c r="AC95" s="529"/>
      <c r="AD95" s="642"/>
      <c r="AE95" s="529"/>
      <c r="AF95" s="530"/>
      <c r="AG95" s="530"/>
      <c r="AH95" s="529"/>
      <c r="AI95" s="642"/>
      <c r="AJ95" s="529"/>
      <c r="AK95" s="530"/>
      <c r="AL95" s="530"/>
      <c r="AM95" s="529"/>
      <c r="AN95" s="642"/>
      <c r="AO95" s="529"/>
      <c r="AP95" s="530"/>
      <c r="AQ95" s="530"/>
      <c r="AR95" s="529"/>
      <c r="AS95" s="642"/>
      <c r="AT95" s="529"/>
      <c r="AU95" s="530"/>
      <c r="AV95" s="530"/>
      <c r="AW95" s="529"/>
      <c r="AX95" s="642"/>
      <c r="AZ95" s="368" t="e">
        <f t="shared" si="85"/>
        <v>#N/A</v>
      </c>
      <c r="BA95" s="642"/>
    </row>
    <row r="96" spans="2:53">
      <c r="B96" s="647"/>
      <c r="C96" s="379">
        <v>10</v>
      </c>
      <c r="D96" s="225"/>
      <c r="E96" s="519"/>
      <c r="F96" s="516"/>
      <c r="G96" s="515"/>
      <c r="H96" s="701"/>
      <c r="I96" s="381" t="str">
        <f t="shared" si="82"/>
        <v>-</v>
      </c>
      <c r="J96" s="381" t="str">
        <f t="shared" si="83"/>
        <v>-</v>
      </c>
      <c r="K96" s="199" t="str">
        <f t="shared" si="84"/>
        <v>-</v>
      </c>
      <c r="L96" s="657"/>
      <c r="M96" s="469" t="e">
        <f>RANK(K96, K$87:$K$101)</f>
        <v>#VALUE!</v>
      </c>
      <c r="N96" s="641"/>
      <c r="O96" s="641"/>
      <c r="P96" s="529"/>
      <c r="Q96" s="530"/>
      <c r="R96" s="530"/>
      <c r="S96" s="529"/>
      <c r="T96" s="642"/>
      <c r="U96" s="529"/>
      <c r="V96" s="530"/>
      <c r="W96" s="530"/>
      <c r="X96" s="529"/>
      <c r="Y96" s="642"/>
      <c r="Z96" s="529"/>
      <c r="AA96" s="530"/>
      <c r="AB96" s="530"/>
      <c r="AC96" s="529"/>
      <c r="AD96" s="642"/>
      <c r="AE96" s="529"/>
      <c r="AF96" s="530"/>
      <c r="AG96" s="530"/>
      <c r="AH96" s="529"/>
      <c r="AI96" s="642"/>
      <c r="AJ96" s="529"/>
      <c r="AK96" s="530"/>
      <c r="AL96" s="530"/>
      <c r="AM96" s="529"/>
      <c r="AN96" s="642"/>
      <c r="AO96" s="529"/>
      <c r="AP96" s="530"/>
      <c r="AQ96" s="530"/>
      <c r="AR96" s="529"/>
      <c r="AS96" s="642"/>
      <c r="AT96" s="529"/>
      <c r="AU96" s="530"/>
      <c r="AV96" s="530"/>
      <c r="AW96" s="529"/>
      <c r="AX96" s="642"/>
      <c r="AZ96" s="368" t="e">
        <f t="shared" si="85"/>
        <v>#N/A</v>
      </c>
      <c r="BA96" s="642"/>
    </row>
    <row r="97" spans="2:53">
      <c r="B97" s="647"/>
      <c r="C97" s="379">
        <v>11</v>
      </c>
      <c r="D97" s="225"/>
      <c r="E97" s="519"/>
      <c r="F97" s="516"/>
      <c r="G97" s="515"/>
      <c r="H97" s="701"/>
      <c r="I97" s="381" t="str">
        <f t="shared" si="82"/>
        <v>-</v>
      </c>
      <c r="J97" s="381" t="str">
        <f t="shared" si="83"/>
        <v>-</v>
      </c>
      <c r="K97" s="199" t="str">
        <f t="shared" si="84"/>
        <v>-</v>
      </c>
      <c r="L97" s="657"/>
      <c r="M97" s="469" t="e">
        <f>RANK(K97, K$87:$K$101)</f>
        <v>#VALUE!</v>
      </c>
      <c r="N97" s="641"/>
      <c r="O97" s="641"/>
      <c r="P97" s="529"/>
      <c r="Q97" s="530"/>
      <c r="R97" s="530"/>
      <c r="S97" s="529"/>
      <c r="T97" s="642"/>
      <c r="U97" s="529"/>
      <c r="V97" s="530"/>
      <c r="W97" s="530"/>
      <c r="X97" s="529"/>
      <c r="Y97" s="642"/>
      <c r="Z97" s="529"/>
      <c r="AA97" s="530"/>
      <c r="AB97" s="530"/>
      <c r="AC97" s="529"/>
      <c r="AD97" s="642"/>
      <c r="AE97" s="529"/>
      <c r="AF97" s="530"/>
      <c r="AG97" s="530"/>
      <c r="AH97" s="529"/>
      <c r="AI97" s="642"/>
      <c r="AJ97" s="529"/>
      <c r="AK97" s="530"/>
      <c r="AL97" s="530"/>
      <c r="AM97" s="529"/>
      <c r="AN97" s="642"/>
      <c r="AO97" s="529"/>
      <c r="AP97" s="530"/>
      <c r="AQ97" s="530"/>
      <c r="AR97" s="529"/>
      <c r="AS97" s="642"/>
      <c r="AT97" s="529"/>
      <c r="AU97" s="530"/>
      <c r="AV97" s="530"/>
      <c r="AW97" s="529"/>
      <c r="AX97" s="642"/>
      <c r="AZ97" s="368" t="e">
        <f t="shared" si="85"/>
        <v>#N/A</v>
      </c>
      <c r="BA97" s="642"/>
    </row>
    <row r="98" spans="2:53">
      <c r="B98" s="647"/>
      <c r="C98" s="379">
        <v>12</v>
      </c>
      <c r="D98" s="225"/>
      <c r="E98" s="519"/>
      <c r="F98" s="516"/>
      <c r="G98" s="515"/>
      <c r="H98" s="701"/>
      <c r="I98" s="381" t="str">
        <f t="shared" si="82"/>
        <v>-</v>
      </c>
      <c r="J98" s="381" t="str">
        <f t="shared" si="83"/>
        <v>-</v>
      </c>
      <c r="K98" s="199" t="str">
        <f t="shared" si="84"/>
        <v>-</v>
      </c>
      <c r="L98" s="657"/>
      <c r="M98" s="469" t="e">
        <f>RANK(K98, K$87:$K$101)</f>
        <v>#VALUE!</v>
      </c>
      <c r="N98" s="641"/>
      <c r="O98" s="641"/>
      <c r="P98" s="529"/>
      <c r="Q98" s="530"/>
      <c r="R98" s="530"/>
      <c r="S98" s="529"/>
      <c r="T98" s="642"/>
      <c r="U98" s="529"/>
      <c r="V98" s="530"/>
      <c r="W98" s="530"/>
      <c r="X98" s="529"/>
      <c r="Y98" s="642"/>
      <c r="Z98" s="529"/>
      <c r="AA98" s="530"/>
      <c r="AB98" s="530"/>
      <c r="AC98" s="529"/>
      <c r="AD98" s="642"/>
      <c r="AE98" s="529"/>
      <c r="AF98" s="530"/>
      <c r="AG98" s="530"/>
      <c r="AH98" s="529"/>
      <c r="AI98" s="642"/>
      <c r="AJ98" s="529"/>
      <c r="AK98" s="530"/>
      <c r="AL98" s="530"/>
      <c r="AM98" s="529"/>
      <c r="AN98" s="642"/>
      <c r="AO98" s="529"/>
      <c r="AP98" s="530"/>
      <c r="AQ98" s="530"/>
      <c r="AR98" s="529"/>
      <c r="AS98" s="642"/>
      <c r="AT98" s="529"/>
      <c r="AU98" s="530"/>
      <c r="AV98" s="530"/>
      <c r="AW98" s="529"/>
      <c r="AX98" s="642"/>
      <c r="AZ98" s="368" t="e">
        <f t="shared" si="85"/>
        <v>#N/A</v>
      </c>
      <c r="BA98" s="642"/>
    </row>
    <row r="99" spans="2:53">
      <c r="B99" s="647"/>
      <c r="C99" s="379">
        <v>13</v>
      </c>
      <c r="D99" s="225"/>
      <c r="E99" s="519"/>
      <c r="F99" s="516"/>
      <c r="G99" s="515"/>
      <c r="H99" s="701"/>
      <c r="I99" s="381" t="str">
        <f t="shared" si="82"/>
        <v>-</v>
      </c>
      <c r="J99" s="381" t="str">
        <f t="shared" si="83"/>
        <v>-</v>
      </c>
      <c r="K99" s="199" t="str">
        <f t="shared" si="84"/>
        <v>-</v>
      </c>
      <c r="L99" s="657"/>
      <c r="M99" s="469" t="e">
        <f>RANK(K99, K$87:$K$101)</f>
        <v>#VALUE!</v>
      </c>
      <c r="N99" s="641"/>
      <c r="O99" s="641"/>
      <c r="P99" s="529"/>
      <c r="Q99" s="530"/>
      <c r="R99" s="530"/>
      <c r="S99" s="529"/>
      <c r="T99" s="642"/>
      <c r="U99" s="529"/>
      <c r="V99" s="530"/>
      <c r="W99" s="530"/>
      <c r="X99" s="529"/>
      <c r="Y99" s="642"/>
      <c r="Z99" s="529"/>
      <c r="AA99" s="530"/>
      <c r="AB99" s="530"/>
      <c r="AC99" s="529"/>
      <c r="AD99" s="642"/>
      <c r="AE99" s="529"/>
      <c r="AF99" s="530"/>
      <c r="AG99" s="530"/>
      <c r="AH99" s="529"/>
      <c r="AI99" s="642"/>
      <c r="AJ99" s="529"/>
      <c r="AK99" s="530"/>
      <c r="AL99" s="530"/>
      <c r="AM99" s="529"/>
      <c r="AN99" s="642"/>
      <c r="AO99" s="529"/>
      <c r="AP99" s="530"/>
      <c r="AQ99" s="530"/>
      <c r="AR99" s="529"/>
      <c r="AS99" s="642"/>
      <c r="AT99" s="529"/>
      <c r="AU99" s="530"/>
      <c r="AV99" s="530"/>
      <c r="AW99" s="529"/>
      <c r="AX99" s="642"/>
      <c r="AZ99" s="368" t="e">
        <f t="shared" si="85"/>
        <v>#N/A</v>
      </c>
      <c r="BA99" s="642"/>
    </row>
    <row r="100" spans="2:53">
      <c r="B100" s="647"/>
      <c r="C100" s="379">
        <v>14</v>
      </c>
      <c r="D100" s="225"/>
      <c r="E100" s="519"/>
      <c r="F100" s="516"/>
      <c r="G100" s="515"/>
      <c r="H100" s="701"/>
      <c r="I100" s="381" t="str">
        <f t="shared" si="82"/>
        <v>-</v>
      </c>
      <c r="J100" s="381" t="str">
        <f t="shared" si="83"/>
        <v>-</v>
      </c>
      <c r="K100" s="199" t="str">
        <f t="shared" si="84"/>
        <v>-</v>
      </c>
      <c r="L100" s="657"/>
      <c r="M100" s="469" t="e">
        <f>RANK(K100, K$87:$K$101)</f>
        <v>#VALUE!</v>
      </c>
      <c r="N100" s="641"/>
      <c r="O100" s="641"/>
      <c r="P100" s="529"/>
      <c r="Q100" s="530"/>
      <c r="R100" s="530"/>
      <c r="S100" s="529"/>
      <c r="T100" s="642"/>
      <c r="U100" s="529"/>
      <c r="V100" s="530"/>
      <c r="W100" s="530"/>
      <c r="X100" s="529"/>
      <c r="Y100" s="642"/>
      <c r="Z100" s="529"/>
      <c r="AA100" s="530"/>
      <c r="AB100" s="530"/>
      <c r="AC100" s="529"/>
      <c r="AD100" s="642"/>
      <c r="AE100" s="529"/>
      <c r="AF100" s="530"/>
      <c r="AG100" s="530"/>
      <c r="AH100" s="529"/>
      <c r="AI100" s="642"/>
      <c r="AJ100" s="529"/>
      <c r="AK100" s="530"/>
      <c r="AL100" s="530"/>
      <c r="AM100" s="529"/>
      <c r="AN100" s="642"/>
      <c r="AO100" s="529"/>
      <c r="AP100" s="530"/>
      <c r="AQ100" s="530"/>
      <c r="AR100" s="529"/>
      <c r="AS100" s="642"/>
      <c r="AT100" s="529"/>
      <c r="AU100" s="530"/>
      <c r="AV100" s="530"/>
      <c r="AW100" s="529"/>
      <c r="AX100" s="642"/>
      <c r="AZ100" s="368" t="e">
        <f t="shared" si="85"/>
        <v>#N/A</v>
      </c>
      <c r="BA100" s="642"/>
    </row>
    <row r="101" spans="2:53">
      <c r="B101" s="647"/>
      <c r="C101" s="379">
        <v>15</v>
      </c>
      <c r="D101" s="225"/>
      <c r="E101" s="519"/>
      <c r="F101" s="516"/>
      <c r="G101" s="515"/>
      <c r="H101" s="702"/>
      <c r="I101" s="421" t="str">
        <f t="shared" ref="I101" si="87">IFERROR(AVERAGE(P101,U101,Z101,AE101,AJ101,AO101,AT101),"-")</f>
        <v>-</v>
      </c>
      <c r="J101" s="421" t="str">
        <f t="shared" ref="J101" si="88">IFERROR(AVERAGE(Q101,V101,AA101,AF101,AK101,AP101,AU101),"-")</f>
        <v>-</v>
      </c>
      <c r="K101" s="199" t="str">
        <f t="shared" ref="K101" si="89">IFERROR(AVERAGE(R101,W101,AB101,AG101,AL101,AQ101,AV101),"-")</f>
        <v>-</v>
      </c>
      <c r="L101" s="658"/>
      <c r="M101" s="469" t="e">
        <f>RANK(K101, K$87:$K$101)</f>
        <v>#VALUE!</v>
      </c>
      <c r="N101" s="641"/>
      <c r="O101" s="641"/>
      <c r="P101" s="529"/>
      <c r="Q101" s="530"/>
      <c r="R101" s="530"/>
      <c r="S101" s="529"/>
      <c r="T101" s="642"/>
      <c r="U101" s="529"/>
      <c r="V101" s="530"/>
      <c r="W101" s="530"/>
      <c r="X101" s="529"/>
      <c r="Y101" s="642"/>
      <c r="Z101" s="529"/>
      <c r="AA101" s="530"/>
      <c r="AB101" s="530"/>
      <c r="AC101" s="529"/>
      <c r="AD101" s="642"/>
      <c r="AE101" s="529"/>
      <c r="AF101" s="530"/>
      <c r="AG101" s="530"/>
      <c r="AH101" s="529"/>
      <c r="AI101" s="642"/>
      <c r="AJ101" s="529"/>
      <c r="AK101" s="530"/>
      <c r="AL101" s="530"/>
      <c r="AM101" s="529"/>
      <c r="AN101" s="642"/>
      <c r="AO101" s="529"/>
      <c r="AP101" s="530"/>
      <c r="AQ101" s="530"/>
      <c r="AR101" s="529"/>
      <c r="AS101" s="642"/>
      <c r="AT101" s="529"/>
      <c r="AU101" s="530"/>
      <c r="AV101" s="530"/>
      <c r="AW101" s="529"/>
      <c r="AX101" s="642"/>
      <c r="AZ101" s="368" t="e">
        <f t="shared" si="85"/>
        <v>#N/A</v>
      </c>
      <c r="BA101" s="642"/>
    </row>
    <row r="102" spans="2:53" ht="15.75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68">
        <f>P82+7</f>
        <v>46266</v>
      </c>
      <c r="Q102" s="647"/>
      <c r="R102" s="647"/>
      <c r="S102" s="647"/>
      <c r="T102" s="647"/>
      <c r="U102" s="665">
        <f>P102+1</f>
        <v>46267</v>
      </c>
      <c r="V102" s="666"/>
      <c r="W102" s="666"/>
      <c r="X102" s="666"/>
      <c r="Y102" s="667"/>
      <c r="Z102" s="665">
        <f>U102+1</f>
        <v>46268</v>
      </c>
      <c r="AA102" s="666"/>
      <c r="AB102" s="666"/>
      <c r="AC102" s="666"/>
      <c r="AD102" s="667"/>
      <c r="AE102" s="665">
        <f>Z102+1</f>
        <v>46269</v>
      </c>
      <c r="AF102" s="666"/>
      <c r="AG102" s="666"/>
      <c r="AH102" s="666"/>
      <c r="AI102" s="667"/>
      <c r="AJ102" s="665">
        <f>AE102+1</f>
        <v>46270</v>
      </c>
      <c r="AK102" s="666"/>
      <c r="AL102" s="666"/>
      <c r="AM102" s="666"/>
      <c r="AN102" s="667"/>
      <c r="AO102" s="665">
        <f>AJ102+1</f>
        <v>46271</v>
      </c>
      <c r="AP102" s="666"/>
      <c r="AQ102" s="666"/>
      <c r="AR102" s="666"/>
      <c r="AS102" s="667"/>
      <c r="AT102" s="665">
        <f>AO102+1</f>
        <v>46272</v>
      </c>
      <c r="AU102" s="666"/>
      <c r="AV102" s="666"/>
      <c r="AW102" s="666"/>
      <c r="AX102" s="667"/>
    </row>
    <row r="103" spans="2:53" ht="15.75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45"/>
      <c r="O103" s="645"/>
      <c r="P103" s="668" t="s">
        <v>158</v>
      </c>
      <c r="Q103" s="647"/>
      <c r="R103" s="647"/>
      <c r="S103" s="647"/>
      <c r="T103" s="647"/>
      <c r="U103" s="668" t="s">
        <v>114</v>
      </c>
      <c r="V103" s="647"/>
      <c r="W103" s="647"/>
      <c r="X103" s="647"/>
      <c r="Y103" s="647"/>
      <c r="Z103" s="668" t="s">
        <v>159</v>
      </c>
      <c r="AA103" s="647"/>
      <c r="AB103" s="647"/>
      <c r="AC103" s="647"/>
      <c r="AD103" s="647"/>
      <c r="AE103" s="668" t="s">
        <v>157</v>
      </c>
      <c r="AF103" s="647"/>
      <c r="AG103" s="647"/>
      <c r="AH103" s="647"/>
      <c r="AI103" s="647"/>
      <c r="AJ103" s="668" t="s">
        <v>160</v>
      </c>
      <c r="AK103" s="647"/>
      <c r="AL103" s="647"/>
      <c r="AM103" s="647"/>
      <c r="AN103" s="647"/>
      <c r="AO103" s="668" t="s">
        <v>115</v>
      </c>
      <c r="AP103" s="647"/>
      <c r="AQ103" s="647"/>
      <c r="AR103" s="647"/>
      <c r="AS103" s="647"/>
      <c r="AT103" s="668" t="s">
        <v>161</v>
      </c>
      <c r="AU103" s="647"/>
      <c r="AV103" s="647"/>
      <c r="AW103" s="647"/>
      <c r="AX103" s="647"/>
    </row>
    <row r="104" spans="2:53">
      <c r="B104" s="641" t="s">
        <v>154</v>
      </c>
      <c r="C104" s="641" t="s">
        <v>379</v>
      </c>
      <c r="D104" s="641"/>
      <c r="E104" s="641" t="s">
        <v>370</v>
      </c>
      <c r="F104" s="641"/>
      <c r="G104" s="641"/>
      <c r="H104" s="673" t="s">
        <v>366</v>
      </c>
      <c r="I104" s="688" t="s">
        <v>371</v>
      </c>
      <c r="J104" s="688"/>
      <c r="K104" s="688"/>
      <c r="L104" s="689" t="s">
        <v>366</v>
      </c>
      <c r="M104" s="677" t="s">
        <v>367</v>
      </c>
      <c r="N104" s="641"/>
      <c r="O104" s="641" t="s">
        <v>372</v>
      </c>
      <c r="P104" s="659" t="s">
        <v>368</v>
      </c>
      <c r="Q104" s="660"/>
      <c r="R104" s="660"/>
      <c r="S104" s="661"/>
      <c r="T104" s="641" t="s">
        <v>366</v>
      </c>
      <c r="U104" s="659" t="s">
        <v>368</v>
      </c>
      <c r="V104" s="660"/>
      <c r="W104" s="660"/>
      <c r="X104" s="661"/>
      <c r="Y104" s="641" t="s">
        <v>366</v>
      </c>
      <c r="Z104" s="659" t="s">
        <v>368</v>
      </c>
      <c r="AA104" s="660"/>
      <c r="AB104" s="660"/>
      <c r="AC104" s="661"/>
      <c r="AD104" s="641" t="s">
        <v>366</v>
      </c>
      <c r="AE104" s="659" t="s">
        <v>368</v>
      </c>
      <c r="AF104" s="660"/>
      <c r="AG104" s="660"/>
      <c r="AH104" s="661"/>
      <c r="AI104" s="641" t="s">
        <v>366</v>
      </c>
      <c r="AJ104" s="659" t="s">
        <v>368</v>
      </c>
      <c r="AK104" s="660"/>
      <c r="AL104" s="660"/>
      <c r="AM104" s="661"/>
      <c r="AN104" s="641" t="s">
        <v>366</v>
      </c>
      <c r="AO104" s="659" t="s">
        <v>368</v>
      </c>
      <c r="AP104" s="660"/>
      <c r="AQ104" s="660"/>
      <c r="AR104" s="661"/>
      <c r="AS104" s="641" t="s">
        <v>366</v>
      </c>
      <c r="AT104" s="659" t="s">
        <v>368</v>
      </c>
      <c r="AU104" s="660"/>
      <c r="AV104" s="660"/>
      <c r="AW104" s="661"/>
      <c r="AX104" s="641" t="s">
        <v>366</v>
      </c>
      <c r="BA104" s="641" t="s">
        <v>366</v>
      </c>
    </row>
    <row r="105" spans="2:53">
      <c r="B105" s="641"/>
      <c r="C105" s="641"/>
      <c r="D105" s="641"/>
      <c r="E105" s="641" t="s">
        <v>373</v>
      </c>
      <c r="F105" s="641"/>
      <c r="G105" s="641"/>
      <c r="H105" s="674"/>
      <c r="I105" s="688" t="s">
        <v>373</v>
      </c>
      <c r="J105" s="688"/>
      <c r="K105" s="688"/>
      <c r="L105" s="690"/>
      <c r="M105" s="678"/>
      <c r="N105" s="641"/>
      <c r="O105" s="641"/>
      <c r="P105" s="659" t="s">
        <v>374</v>
      </c>
      <c r="Q105" s="660"/>
      <c r="R105" s="660"/>
      <c r="S105" s="661"/>
      <c r="T105" s="641"/>
      <c r="U105" s="659" t="s">
        <v>374</v>
      </c>
      <c r="V105" s="660"/>
      <c r="W105" s="660"/>
      <c r="X105" s="661"/>
      <c r="Y105" s="641"/>
      <c r="Z105" s="659" t="s">
        <v>374</v>
      </c>
      <c r="AA105" s="660"/>
      <c r="AB105" s="660"/>
      <c r="AC105" s="661"/>
      <c r="AD105" s="641"/>
      <c r="AE105" s="659" t="s">
        <v>374</v>
      </c>
      <c r="AF105" s="660"/>
      <c r="AG105" s="660"/>
      <c r="AH105" s="661"/>
      <c r="AI105" s="641"/>
      <c r="AJ105" s="659" t="s">
        <v>374</v>
      </c>
      <c r="AK105" s="660"/>
      <c r="AL105" s="660"/>
      <c r="AM105" s="661"/>
      <c r="AN105" s="641"/>
      <c r="AO105" s="659" t="s">
        <v>374</v>
      </c>
      <c r="AP105" s="660"/>
      <c r="AQ105" s="660"/>
      <c r="AR105" s="661"/>
      <c r="AS105" s="641"/>
      <c r="AT105" s="659" t="s">
        <v>374</v>
      </c>
      <c r="AU105" s="660"/>
      <c r="AV105" s="660"/>
      <c r="AW105" s="661"/>
      <c r="AX105" s="641"/>
      <c r="BA105" s="641"/>
    </row>
    <row r="106" spans="2:53">
      <c r="B106" s="641"/>
      <c r="C106" s="641"/>
      <c r="D106" s="641"/>
      <c r="E106" s="304" t="s">
        <v>375</v>
      </c>
      <c r="F106" s="304" t="s">
        <v>376</v>
      </c>
      <c r="G106" s="304" t="s">
        <v>377</v>
      </c>
      <c r="H106" s="675"/>
      <c r="I106" s="305" t="s">
        <v>375</v>
      </c>
      <c r="J106" s="305" t="s">
        <v>376</v>
      </c>
      <c r="K106" s="305" t="s">
        <v>377</v>
      </c>
      <c r="L106" s="691"/>
      <c r="M106" s="679"/>
      <c r="N106" s="641"/>
      <c r="O106" s="641"/>
      <c r="P106" s="304" t="s">
        <v>375</v>
      </c>
      <c r="Q106" s="304" t="s">
        <v>376</v>
      </c>
      <c r="R106" s="304" t="s">
        <v>377</v>
      </c>
      <c r="S106" s="304" t="s">
        <v>367</v>
      </c>
      <c r="T106" s="641"/>
      <c r="U106" s="304" t="s">
        <v>375</v>
      </c>
      <c r="V106" s="304" t="s">
        <v>376</v>
      </c>
      <c r="W106" s="304" t="s">
        <v>377</v>
      </c>
      <c r="X106" s="304" t="s">
        <v>367</v>
      </c>
      <c r="Y106" s="641"/>
      <c r="Z106" s="304" t="s">
        <v>375</v>
      </c>
      <c r="AA106" s="304" t="s">
        <v>376</v>
      </c>
      <c r="AB106" s="304" t="s">
        <v>377</v>
      </c>
      <c r="AC106" s="304" t="s">
        <v>367</v>
      </c>
      <c r="AD106" s="641"/>
      <c r="AE106" s="304" t="s">
        <v>375</v>
      </c>
      <c r="AF106" s="304" t="s">
        <v>376</v>
      </c>
      <c r="AG106" s="304" t="s">
        <v>377</v>
      </c>
      <c r="AH106" s="304" t="s">
        <v>367</v>
      </c>
      <c r="AI106" s="641"/>
      <c r="AJ106" s="304" t="s">
        <v>375</v>
      </c>
      <c r="AK106" s="304" t="s">
        <v>376</v>
      </c>
      <c r="AL106" s="304" t="s">
        <v>377</v>
      </c>
      <c r="AM106" s="304" t="s">
        <v>367</v>
      </c>
      <c r="AN106" s="641"/>
      <c r="AO106" s="304" t="s">
        <v>375</v>
      </c>
      <c r="AP106" s="304" t="s">
        <v>376</v>
      </c>
      <c r="AQ106" s="304" t="s">
        <v>377</v>
      </c>
      <c r="AR106" s="304" t="s">
        <v>367</v>
      </c>
      <c r="AS106" s="641"/>
      <c r="AT106" s="304" t="s">
        <v>375</v>
      </c>
      <c r="AU106" s="304" t="s">
        <v>376</v>
      </c>
      <c r="AV106" s="304" t="s">
        <v>377</v>
      </c>
      <c r="AW106" s="304" t="s">
        <v>367</v>
      </c>
      <c r="AX106" s="641"/>
      <c r="AZ106" s="367" t="s">
        <v>367</v>
      </c>
      <c r="BA106" s="641"/>
    </row>
    <row r="107" spans="2:53">
      <c r="B107" s="641" t="s">
        <v>132</v>
      </c>
      <c r="C107" s="303">
        <v>1</v>
      </c>
      <c r="D107" s="225"/>
      <c r="E107" s="181"/>
      <c r="F107" s="353"/>
      <c r="G107" s="354"/>
      <c r="H107" s="700" t="e">
        <f>AVERAGE(G107:G121)</f>
        <v>#DIV/0!</v>
      </c>
      <c r="I107" s="363" t="str">
        <f t="shared" ref="I107:I120" si="90">IFERROR(AVERAGE(P107,U107,Z107,AE107,AJ107,AO107,AT107),"-")</f>
        <v>-</v>
      </c>
      <c r="J107" s="363" t="str">
        <f t="shared" ref="J107:J120" si="91">IFERROR(AVERAGE(Q107,V107,AA107,AF107,AK107,AP107,AU107),"-")</f>
        <v>-</v>
      </c>
      <c r="K107" s="199" t="str">
        <f t="shared" ref="K107:K120" si="92">IFERROR(AVERAGE(R107,W107,AB107,AG107,AL107,AQ107,AV107),"-")</f>
        <v>-</v>
      </c>
      <c r="L107" s="656" t="str">
        <f>IFERROR(AVERAGE(K107:K121),"-")</f>
        <v>-</v>
      </c>
      <c r="M107" s="200" t="e">
        <f>RANK(K107, K$107:$K$121)</f>
        <v>#VALUE!</v>
      </c>
      <c r="N107" s="641"/>
      <c r="O107" s="641"/>
      <c r="P107" s="510"/>
      <c r="Q107" s="512"/>
      <c r="R107" s="512"/>
      <c r="S107" s="510"/>
      <c r="T107" s="642"/>
      <c r="U107" s="510"/>
      <c r="V107" s="512"/>
      <c r="W107" s="512"/>
      <c r="X107" s="510"/>
      <c r="Y107" s="642"/>
      <c r="Z107" s="510"/>
      <c r="AA107" s="512"/>
      <c r="AB107" s="512"/>
      <c r="AC107" s="510"/>
      <c r="AD107" s="642"/>
      <c r="AE107" s="510"/>
      <c r="AF107" s="512"/>
      <c r="AG107" s="512"/>
      <c r="AH107" s="510"/>
      <c r="AI107" s="642"/>
      <c r="AJ107" s="510"/>
      <c r="AK107" s="512"/>
      <c r="AL107" s="512"/>
      <c r="AM107" s="510"/>
      <c r="AN107" s="642"/>
      <c r="AO107" s="510"/>
      <c r="AP107" s="512"/>
      <c r="AQ107" s="512"/>
      <c r="AR107" s="510"/>
      <c r="AS107" s="642"/>
      <c r="AT107" s="510"/>
      <c r="AU107" s="512"/>
      <c r="AV107" s="512"/>
      <c r="AW107" s="510"/>
      <c r="AX107" s="642"/>
      <c r="AZ107" s="368" t="e">
        <f>RANK(AY107, AY$107:AY$121)</f>
        <v>#N/A</v>
      </c>
      <c r="BA107" s="642" t="e">
        <f>AVERAGE(AY107:AY121)</f>
        <v>#DIV/0!</v>
      </c>
    </row>
    <row r="108" spans="2:53">
      <c r="B108" s="647"/>
      <c r="C108" s="303">
        <v>2</v>
      </c>
      <c r="D108" s="225"/>
      <c r="E108" s="181"/>
      <c r="F108" s="353"/>
      <c r="G108" s="354"/>
      <c r="H108" s="701"/>
      <c r="I108" s="363" t="str">
        <f t="shared" si="90"/>
        <v>-</v>
      </c>
      <c r="J108" s="363" t="str">
        <f t="shared" si="91"/>
        <v>-</v>
      </c>
      <c r="K108" s="199" t="str">
        <f t="shared" si="92"/>
        <v>-</v>
      </c>
      <c r="L108" s="657"/>
      <c r="M108" s="313" t="e">
        <f>RANK(K108, K$107:$K$121)</f>
        <v>#VALUE!</v>
      </c>
      <c r="N108" s="641"/>
      <c r="O108" s="641"/>
      <c r="P108" s="510"/>
      <c r="Q108" s="512"/>
      <c r="R108" s="512"/>
      <c r="S108" s="510"/>
      <c r="T108" s="642"/>
      <c r="U108" s="510"/>
      <c r="V108" s="512"/>
      <c r="W108" s="512"/>
      <c r="X108" s="510"/>
      <c r="Y108" s="642"/>
      <c r="Z108" s="510"/>
      <c r="AA108" s="512"/>
      <c r="AB108" s="512"/>
      <c r="AC108" s="510"/>
      <c r="AD108" s="642"/>
      <c r="AE108" s="510"/>
      <c r="AF108" s="512"/>
      <c r="AG108" s="512"/>
      <c r="AH108" s="510"/>
      <c r="AI108" s="642"/>
      <c r="AJ108" s="510"/>
      <c r="AK108" s="512"/>
      <c r="AL108" s="512"/>
      <c r="AM108" s="510"/>
      <c r="AN108" s="642"/>
      <c r="AO108" s="510"/>
      <c r="AP108" s="512"/>
      <c r="AQ108" s="512"/>
      <c r="AR108" s="510"/>
      <c r="AS108" s="642"/>
      <c r="AT108" s="510"/>
      <c r="AU108" s="512"/>
      <c r="AV108" s="512"/>
      <c r="AW108" s="510"/>
      <c r="AX108" s="642"/>
      <c r="AZ108" s="368" t="e">
        <f t="shared" ref="AZ108:AZ121" si="93">RANK(AY108, AY$107:AY$121)</f>
        <v>#N/A</v>
      </c>
      <c r="BA108" s="642"/>
    </row>
    <row r="109" spans="2:53">
      <c r="B109" s="647"/>
      <c r="C109" s="303">
        <v>3</v>
      </c>
      <c r="D109" s="225"/>
      <c r="E109" s="181"/>
      <c r="F109" s="353"/>
      <c r="G109" s="354"/>
      <c r="H109" s="701"/>
      <c r="I109" s="363" t="str">
        <f t="shared" si="90"/>
        <v>-</v>
      </c>
      <c r="J109" s="363" t="str">
        <f t="shared" si="91"/>
        <v>-</v>
      </c>
      <c r="K109" s="199" t="str">
        <f t="shared" si="92"/>
        <v>-</v>
      </c>
      <c r="L109" s="657"/>
      <c r="M109" s="313" t="e">
        <f>RANK(K109, K$107:$K$121)</f>
        <v>#VALUE!</v>
      </c>
      <c r="N109" s="641"/>
      <c r="O109" s="641"/>
      <c r="P109" s="510"/>
      <c r="Q109" s="512"/>
      <c r="R109" s="512"/>
      <c r="S109" s="510"/>
      <c r="T109" s="642"/>
      <c r="U109" s="510"/>
      <c r="V109" s="512"/>
      <c r="W109" s="512"/>
      <c r="X109" s="510"/>
      <c r="Y109" s="642"/>
      <c r="Z109" s="510"/>
      <c r="AA109" s="512"/>
      <c r="AB109" s="512"/>
      <c r="AC109" s="510"/>
      <c r="AD109" s="642"/>
      <c r="AE109" s="510"/>
      <c r="AF109" s="512"/>
      <c r="AG109" s="512"/>
      <c r="AH109" s="510"/>
      <c r="AI109" s="642"/>
      <c r="AJ109" s="510"/>
      <c r="AK109" s="512"/>
      <c r="AL109" s="512"/>
      <c r="AM109" s="510"/>
      <c r="AN109" s="642"/>
      <c r="AO109" s="510"/>
      <c r="AP109" s="512"/>
      <c r="AQ109" s="512"/>
      <c r="AR109" s="510"/>
      <c r="AS109" s="642"/>
      <c r="AT109" s="510"/>
      <c r="AU109" s="512"/>
      <c r="AV109" s="512"/>
      <c r="AW109" s="510"/>
      <c r="AX109" s="642"/>
      <c r="AZ109" s="368" t="e">
        <f t="shared" si="93"/>
        <v>#N/A</v>
      </c>
      <c r="BA109" s="642"/>
    </row>
    <row r="110" spans="2:53">
      <c r="B110" s="647"/>
      <c r="C110" s="303">
        <v>4</v>
      </c>
      <c r="D110" s="225"/>
      <c r="E110" s="181"/>
      <c r="F110" s="353"/>
      <c r="G110" s="354"/>
      <c r="H110" s="701"/>
      <c r="I110" s="363" t="str">
        <f t="shared" si="90"/>
        <v>-</v>
      </c>
      <c r="J110" s="363" t="str">
        <f t="shared" si="91"/>
        <v>-</v>
      </c>
      <c r="K110" s="199" t="str">
        <f t="shared" si="92"/>
        <v>-</v>
      </c>
      <c r="L110" s="657"/>
      <c r="M110" s="313" t="e">
        <f>RANK(K110, K$107:$K$121)</f>
        <v>#VALUE!</v>
      </c>
      <c r="N110" s="641"/>
      <c r="O110" s="641"/>
      <c r="P110" s="510"/>
      <c r="Q110" s="512"/>
      <c r="R110" s="512"/>
      <c r="S110" s="510"/>
      <c r="T110" s="642"/>
      <c r="U110" s="510"/>
      <c r="V110" s="512"/>
      <c r="W110" s="512"/>
      <c r="X110" s="510"/>
      <c r="Y110" s="642"/>
      <c r="Z110" s="510"/>
      <c r="AA110" s="512"/>
      <c r="AB110" s="512"/>
      <c r="AC110" s="510"/>
      <c r="AD110" s="642"/>
      <c r="AE110" s="510"/>
      <c r="AF110" s="512"/>
      <c r="AG110" s="512"/>
      <c r="AH110" s="510"/>
      <c r="AI110" s="642"/>
      <c r="AJ110" s="510"/>
      <c r="AK110" s="512"/>
      <c r="AL110" s="512"/>
      <c r="AM110" s="510"/>
      <c r="AN110" s="642"/>
      <c r="AO110" s="510"/>
      <c r="AP110" s="512"/>
      <c r="AQ110" s="512"/>
      <c r="AR110" s="510"/>
      <c r="AS110" s="642"/>
      <c r="AT110" s="510"/>
      <c r="AU110" s="512"/>
      <c r="AV110" s="512"/>
      <c r="AW110" s="510"/>
      <c r="AX110" s="642"/>
      <c r="AZ110" s="368" t="e">
        <f t="shared" si="93"/>
        <v>#N/A</v>
      </c>
      <c r="BA110" s="642"/>
    </row>
    <row r="111" spans="2:53">
      <c r="B111" s="647"/>
      <c r="C111" s="303">
        <v>5</v>
      </c>
      <c r="D111" s="225"/>
      <c r="E111" s="181"/>
      <c r="F111" s="353"/>
      <c r="G111" s="354"/>
      <c r="H111" s="701"/>
      <c r="I111" s="363" t="str">
        <f t="shared" si="90"/>
        <v>-</v>
      </c>
      <c r="J111" s="363" t="str">
        <f t="shared" si="91"/>
        <v>-</v>
      </c>
      <c r="K111" s="199" t="str">
        <f t="shared" si="92"/>
        <v>-</v>
      </c>
      <c r="L111" s="657"/>
      <c r="M111" s="313" t="e">
        <f>RANK(K111, K$107:$K$121)</f>
        <v>#VALUE!</v>
      </c>
      <c r="N111" s="641"/>
      <c r="O111" s="641"/>
      <c r="P111" s="510"/>
      <c r="Q111" s="512"/>
      <c r="R111" s="512"/>
      <c r="S111" s="510"/>
      <c r="T111" s="642"/>
      <c r="U111" s="510"/>
      <c r="V111" s="512"/>
      <c r="W111" s="512"/>
      <c r="X111" s="510"/>
      <c r="Y111" s="642"/>
      <c r="Z111" s="510"/>
      <c r="AA111" s="512"/>
      <c r="AB111" s="512"/>
      <c r="AC111" s="510"/>
      <c r="AD111" s="642"/>
      <c r="AE111" s="510"/>
      <c r="AF111" s="512"/>
      <c r="AG111" s="512"/>
      <c r="AH111" s="510"/>
      <c r="AI111" s="642"/>
      <c r="AJ111" s="510"/>
      <c r="AK111" s="512"/>
      <c r="AL111" s="512"/>
      <c r="AM111" s="510"/>
      <c r="AN111" s="642"/>
      <c r="AO111" s="510"/>
      <c r="AP111" s="512"/>
      <c r="AQ111" s="512"/>
      <c r="AR111" s="510"/>
      <c r="AS111" s="642"/>
      <c r="AT111" s="510"/>
      <c r="AU111" s="512"/>
      <c r="AV111" s="512"/>
      <c r="AW111" s="510"/>
      <c r="AX111" s="642"/>
      <c r="AZ111" s="368" t="e">
        <f t="shared" si="93"/>
        <v>#N/A</v>
      </c>
      <c r="BA111" s="642"/>
    </row>
    <row r="112" spans="2:53">
      <c r="B112" s="647"/>
      <c r="C112" s="303">
        <v>6</v>
      </c>
      <c r="D112" s="225"/>
      <c r="E112" s="181"/>
      <c r="F112" s="353"/>
      <c r="G112" s="354"/>
      <c r="H112" s="701"/>
      <c r="I112" s="363" t="str">
        <f t="shared" si="90"/>
        <v>-</v>
      </c>
      <c r="J112" s="363" t="str">
        <f t="shared" si="91"/>
        <v>-</v>
      </c>
      <c r="K112" s="199" t="str">
        <f t="shared" si="92"/>
        <v>-</v>
      </c>
      <c r="L112" s="657"/>
      <c r="M112" s="313" t="e">
        <f>RANK(K112, K$107:$K$121)</f>
        <v>#VALUE!</v>
      </c>
      <c r="N112" s="641"/>
      <c r="O112" s="641"/>
      <c r="P112" s="510"/>
      <c r="Q112" s="512"/>
      <c r="R112" s="512"/>
      <c r="S112" s="510"/>
      <c r="T112" s="642"/>
      <c r="U112" s="510"/>
      <c r="V112" s="512"/>
      <c r="W112" s="512"/>
      <c r="X112" s="510"/>
      <c r="Y112" s="642"/>
      <c r="Z112" s="510"/>
      <c r="AA112" s="512"/>
      <c r="AB112" s="512"/>
      <c r="AC112" s="510"/>
      <c r="AD112" s="642"/>
      <c r="AE112" s="510"/>
      <c r="AF112" s="512"/>
      <c r="AG112" s="512"/>
      <c r="AH112" s="510"/>
      <c r="AI112" s="642"/>
      <c r="AJ112" s="510"/>
      <c r="AK112" s="512"/>
      <c r="AL112" s="512"/>
      <c r="AM112" s="510"/>
      <c r="AN112" s="642"/>
      <c r="AO112" s="510"/>
      <c r="AP112" s="512"/>
      <c r="AQ112" s="512"/>
      <c r="AR112" s="510"/>
      <c r="AS112" s="642"/>
      <c r="AT112" s="510"/>
      <c r="AU112" s="512"/>
      <c r="AV112" s="512"/>
      <c r="AW112" s="510"/>
      <c r="AX112" s="642"/>
      <c r="AZ112" s="368" t="e">
        <f t="shared" si="93"/>
        <v>#N/A</v>
      </c>
      <c r="BA112" s="642"/>
    </row>
    <row r="113" spans="2:53">
      <c r="B113" s="647"/>
      <c r="C113" s="303">
        <v>7</v>
      </c>
      <c r="D113" s="225"/>
      <c r="E113" s="181"/>
      <c r="F113" s="353"/>
      <c r="G113" s="354"/>
      <c r="H113" s="701"/>
      <c r="I113" s="363" t="str">
        <f t="shared" si="90"/>
        <v>-</v>
      </c>
      <c r="J113" s="363" t="str">
        <f t="shared" si="91"/>
        <v>-</v>
      </c>
      <c r="K113" s="199" t="str">
        <f t="shared" si="92"/>
        <v>-</v>
      </c>
      <c r="L113" s="657"/>
      <c r="M113" s="313" t="e">
        <f>RANK(K113, K$107:$K$121)</f>
        <v>#VALUE!</v>
      </c>
      <c r="N113" s="641"/>
      <c r="O113" s="641"/>
      <c r="P113" s="510"/>
      <c r="Q113" s="512"/>
      <c r="R113" s="512"/>
      <c r="S113" s="510"/>
      <c r="T113" s="642"/>
      <c r="U113" s="510"/>
      <c r="V113" s="512"/>
      <c r="W113" s="512"/>
      <c r="X113" s="510"/>
      <c r="Y113" s="642"/>
      <c r="Z113" s="510"/>
      <c r="AA113" s="512"/>
      <c r="AB113" s="512"/>
      <c r="AC113" s="510"/>
      <c r="AD113" s="642"/>
      <c r="AE113" s="510"/>
      <c r="AF113" s="512"/>
      <c r="AG113" s="512"/>
      <c r="AH113" s="510"/>
      <c r="AI113" s="642"/>
      <c r="AJ113" s="510"/>
      <c r="AK113" s="512"/>
      <c r="AL113" s="512"/>
      <c r="AM113" s="510"/>
      <c r="AN113" s="642"/>
      <c r="AO113" s="510"/>
      <c r="AP113" s="512"/>
      <c r="AQ113" s="512"/>
      <c r="AR113" s="510"/>
      <c r="AS113" s="642"/>
      <c r="AT113" s="510"/>
      <c r="AU113" s="512"/>
      <c r="AV113" s="512"/>
      <c r="AW113" s="510"/>
      <c r="AX113" s="642"/>
      <c r="AZ113" s="368" t="e">
        <f t="shared" si="93"/>
        <v>#N/A</v>
      </c>
      <c r="BA113" s="642"/>
    </row>
    <row r="114" spans="2:53">
      <c r="B114" s="647"/>
      <c r="C114" s="303">
        <v>8</v>
      </c>
      <c r="D114" s="225"/>
      <c r="E114" s="181"/>
      <c r="F114" s="353"/>
      <c r="G114" s="354"/>
      <c r="H114" s="701"/>
      <c r="I114" s="363" t="str">
        <f t="shared" si="90"/>
        <v>-</v>
      </c>
      <c r="J114" s="363" t="str">
        <f t="shared" si="91"/>
        <v>-</v>
      </c>
      <c r="K114" s="199" t="str">
        <f t="shared" si="92"/>
        <v>-</v>
      </c>
      <c r="L114" s="657"/>
      <c r="M114" s="313" t="e">
        <f>RANK(K114, K$107:$K$121)</f>
        <v>#VALUE!</v>
      </c>
      <c r="N114" s="641"/>
      <c r="O114" s="641"/>
      <c r="P114" s="510"/>
      <c r="Q114" s="512"/>
      <c r="R114" s="512"/>
      <c r="S114" s="510"/>
      <c r="T114" s="642"/>
      <c r="U114" s="510"/>
      <c r="V114" s="512"/>
      <c r="W114" s="512"/>
      <c r="X114" s="510"/>
      <c r="Y114" s="642"/>
      <c r="Z114" s="510"/>
      <c r="AA114" s="512"/>
      <c r="AB114" s="512"/>
      <c r="AC114" s="510"/>
      <c r="AD114" s="642"/>
      <c r="AE114" s="510"/>
      <c r="AF114" s="512"/>
      <c r="AG114" s="512"/>
      <c r="AH114" s="510"/>
      <c r="AI114" s="642"/>
      <c r="AJ114" s="510"/>
      <c r="AK114" s="512"/>
      <c r="AL114" s="512"/>
      <c r="AM114" s="510"/>
      <c r="AN114" s="642"/>
      <c r="AO114" s="510"/>
      <c r="AP114" s="512"/>
      <c r="AQ114" s="512"/>
      <c r="AR114" s="510"/>
      <c r="AS114" s="642"/>
      <c r="AT114" s="510"/>
      <c r="AU114" s="512"/>
      <c r="AV114" s="512"/>
      <c r="AW114" s="510"/>
      <c r="AX114" s="642"/>
      <c r="AZ114" s="368" t="e">
        <f t="shared" si="93"/>
        <v>#N/A</v>
      </c>
      <c r="BA114" s="642"/>
    </row>
    <row r="115" spans="2:53">
      <c r="B115" s="647"/>
      <c r="C115" s="303">
        <v>9</v>
      </c>
      <c r="D115" s="225"/>
      <c r="E115" s="181"/>
      <c r="F115" s="353"/>
      <c r="G115" s="354"/>
      <c r="H115" s="701"/>
      <c r="I115" s="363" t="str">
        <f t="shared" si="90"/>
        <v>-</v>
      </c>
      <c r="J115" s="363" t="str">
        <f t="shared" si="91"/>
        <v>-</v>
      </c>
      <c r="K115" s="199" t="str">
        <f t="shared" si="92"/>
        <v>-</v>
      </c>
      <c r="L115" s="657"/>
      <c r="M115" s="313" t="e">
        <f>RANK(K115, K$107:$K$121)</f>
        <v>#VALUE!</v>
      </c>
      <c r="N115" s="641"/>
      <c r="O115" s="641"/>
      <c r="P115" s="510"/>
      <c r="Q115" s="512"/>
      <c r="R115" s="512"/>
      <c r="S115" s="510"/>
      <c r="T115" s="642"/>
      <c r="U115" s="510"/>
      <c r="V115" s="512"/>
      <c r="W115" s="512"/>
      <c r="X115" s="510"/>
      <c r="Y115" s="642"/>
      <c r="Z115" s="510"/>
      <c r="AA115" s="512"/>
      <c r="AB115" s="512"/>
      <c r="AC115" s="510"/>
      <c r="AD115" s="642"/>
      <c r="AE115" s="510"/>
      <c r="AF115" s="512"/>
      <c r="AG115" s="512"/>
      <c r="AH115" s="510"/>
      <c r="AI115" s="642"/>
      <c r="AJ115" s="510"/>
      <c r="AK115" s="512"/>
      <c r="AL115" s="512"/>
      <c r="AM115" s="510"/>
      <c r="AN115" s="642"/>
      <c r="AO115" s="510"/>
      <c r="AP115" s="512"/>
      <c r="AQ115" s="512"/>
      <c r="AR115" s="510"/>
      <c r="AS115" s="642"/>
      <c r="AT115" s="510"/>
      <c r="AU115" s="512"/>
      <c r="AV115" s="512"/>
      <c r="AW115" s="510"/>
      <c r="AX115" s="642"/>
      <c r="AZ115" s="368" t="e">
        <f t="shared" si="93"/>
        <v>#N/A</v>
      </c>
      <c r="BA115" s="642"/>
    </row>
    <row r="116" spans="2:53">
      <c r="B116" s="647"/>
      <c r="C116" s="303">
        <v>10</v>
      </c>
      <c r="D116" s="225"/>
      <c r="E116" s="181"/>
      <c r="F116" s="353"/>
      <c r="G116" s="354"/>
      <c r="H116" s="701"/>
      <c r="I116" s="363" t="str">
        <f t="shared" si="90"/>
        <v>-</v>
      </c>
      <c r="J116" s="363" t="str">
        <f t="shared" si="91"/>
        <v>-</v>
      </c>
      <c r="K116" s="199" t="str">
        <f t="shared" si="92"/>
        <v>-</v>
      </c>
      <c r="L116" s="657"/>
      <c r="M116" s="313" t="e">
        <f>RANK(K116, K$107:$K$121)</f>
        <v>#VALUE!</v>
      </c>
      <c r="N116" s="641"/>
      <c r="O116" s="641"/>
      <c r="P116" s="510"/>
      <c r="Q116" s="512"/>
      <c r="R116" s="512"/>
      <c r="S116" s="510"/>
      <c r="T116" s="642"/>
      <c r="U116" s="510"/>
      <c r="V116" s="512"/>
      <c r="W116" s="512"/>
      <c r="X116" s="510"/>
      <c r="Y116" s="642"/>
      <c r="Z116" s="510"/>
      <c r="AA116" s="512"/>
      <c r="AB116" s="512"/>
      <c r="AC116" s="510"/>
      <c r="AD116" s="642"/>
      <c r="AE116" s="510"/>
      <c r="AF116" s="512"/>
      <c r="AG116" s="512"/>
      <c r="AH116" s="510"/>
      <c r="AI116" s="642"/>
      <c r="AJ116" s="510"/>
      <c r="AK116" s="512"/>
      <c r="AL116" s="512"/>
      <c r="AM116" s="510"/>
      <c r="AN116" s="642"/>
      <c r="AO116" s="510"/>
      <c r="AP116" s="512"/>
      <c r="AQ116" s="512"/>
      <c r="AR116" s="510"/>
      <c r="AS116" s="642"/>
      <c r="AT116" s="510"/>
      <c r="AU116" s="512"/>
      <c r="AV116" s="512"/>
      <c r="AW116" s="510"/>
      <c r="AX116" s="642"/>
      <c r="AZ116" s="368" t="e">
        <f t="shared" si="93"/>
        <v>#N/A</v>
      </c>
      <c r="BA116" s="642"/>
    </row>
    <row r="117" spans="2:53">
      <c r="B117" s="647"/>
      <c r="C117" s="303">
        <v>11</v>
      </c>
      <c r="D117" s="225"/>
      <c r="E117" s="181"/>
      <c r="F117" s="353"/>
      <c r="G117" s="354"/>
      <c r="H117" s="701"/>
      <c r="I117" s="363" t="str">
        <f t="shared" si="90"/>
        <v>-</v>
      </c>
      <c r="J117" s="363" t="str">
        <f t="shared" si="91"/>
        <v>-</v>
      </c>
      <c r="K117" s="199" t="str">
        <f t="shared" si="92"/>
        <v>-</v>
      </c>
      <c r="L117" s="657"/>
      <c r="M117" s="313" t="e">
        <f>RANK(K117, K$107:$K$121)</f>
        <v>#VALUE!</v>
      </c>
      <c r="N117" s="641"/>
      <c r="O117" s="641"/>
      <c r="P117" s="510"/>
      <c r="Q117" s="512"/>
      <c r="R117" s="512"/>
      <c r="S117" s="510"/>
      <c r="T117" s="642"/>
      <c r="U117" s="510"/>
      <c r="V117" s="512"/>
      <c r="W117" s="512"/>
      <c r="X117" s="510"/>
      <c r="Y117" s="642"/>
      <c r="Z117" s="510"/>
      <c r="AA117" s="512"/>
      <c r="AB117" s="512"/>
      <c r="AC117" s="510"/>
      <c r="AD117" s="642"/>
      <c r="AE117" s="510"/>
      <c r="AF117" s="512"/>
      <c r="AG117" s="512"/>
      <c r="AH117" s="510"/>
      <c r="AI117" s="642"/>
      <c r="AJ117" s="510"/>
      <c r="AK117" s="512"/>
      <c r="AL117" s="512"/>
      <c r="AM117" s="510"/>
      <c r="AN117" s="642"/>
      <c r="AO117" s="510"/>
      <c r="AP117" s="512"/>
      <c r="AQ117" s="512"/>
      <c r="AR117" s="510"/>
      <c r="AS117" s="642"/>
      <c r="AT117" s="510"/>
      <c r="AU117" s="512"/>
      <c r="AV117" s="512"/>
      <c r="AW117" s="510"/>
      <c r="AX117" s="642"/>
      <c r="AZ117" s="368" t="e">
        <f t="shared" si="93"/>
        <v>#N/A</v>
      </c>
      <c r="BA117" s="642"/>
    </row>
    <row r="118" spans="2:53">
      <c r="B118" s="647"/>
      <c r="C118" s="303">
        <v>12</v>
      </c>
      <c r="D118" s="225"/>
      <c r="E118" s="181"/>
      <c r="F118" s="353"/>
      <c r="G118" s="354"/>
      <c r="H118" s="701"/>
      <c r="I118" s="363" t="str">
        <f t="shared" si="90"/>
        <v>-</v>
      </c>
      <c r="J118" s="363" t="str">
        <f t="shared" si="91"/>
        <v>-</v>
      </c>
      <c r="K118" s="199" t="str">
        <f t="shared" si="92"/>
        <v>-</v>
      </c>
      <c r="L118" s="657"/>
      <c r="M118" s="313" t="e">
        <f>RANK(K118, K$107:$K$121)</f>
        <v>#VALUE!</v>
      </c>
      <c r="N118" s="641"/>
      <c r="O118" s="641"/>
      <c r="P118" s="510"/>
      <c r="Q118" s="512"/>
      <c r="R118" s="512"/>
      <c r="S118" s="510"/>
      <c r="T118" s="642"/>
      <c r="U118" s="510"/>
      <c r="V118" s="512"/>
      <c r="W118" s="512"/>
      <c r="X118" s="510"/>
      <c r="Y118" s="642"/>
      <c r="Z118" s="510"/>
      <c r="AA118" s="512"/>
      <c r="AB118" s="512"/>
      <c r="AC118" s="510"/>
      <c r="AD118" s="642"/>
      <c r="AE118" s="510"/>
      <c r="AF118" s="512"/>
      <c r="AG118" s="512"/>
      <c r="AH118" s="510"/>
      <c r="AI118" s="642"/>
      <c r="AJ118" s="510"/>
      <c r="AK118" s="512"/>
      <c r="AL118" s="512"/>
      <c r="AM118" s="510"/>
      <c r="AN118" s="642"/>
      <c r="AO118" s="510"/>
      <c r="AP118" s="512"/>
      <c r="AQ118" s="512"/>
      <c r="AR118" s="510"/>
      <c r="AS118" s="642"/>
      <c r="AT118" s="510"/>
      <c r="AU118" s="512"/>
      <c r="AV118" s="512"/>
      <c r="AW118" s="510"/>
      <c r="AX118" s="642"/>
      <c r="AZ118" s="368" t="e">
        <f t="shared" si="93"/>
        <v>#N/A</v>
      </c>
      <c r="BA118" s="642"/>
    </row>
    <row r="119" spans="2:53">
      <c r="B119" s="647"/>
      <c r="C119" s="303">
        <v>13</v>
      </c>
      <c r="D119" s="225"/>
      <c r="E119" s="181"/>
      <c r="F119" s="353"/>
      <c r="G119" s="354"/>
      <c r="H119" s="701"/>
      <c r="I119" s="363" t="str">
        <f t="shared" si="90"/>
        <v>-</v>
      </c>
      <c r="J119" s="363" t="str">
        <f t="shared" si="91"/>
        <v>-</v>
      </c>
      <c r="K119" s="199" t="str">
        <f t="shared" si="92"/>
        <v>-</v>
      </c>
      <c r="L119" s="657"/>
      <c r="M119" s="313" t="e">
        <f>RANK(K119, K$107:$K$121)</f>
        <v>#VALUE!</v>
      </c>
      <c r="N119" s="641"/>
      <c r="O119" s="641"/>
      <c r="P119" s="510"/>
      <c r="Q119" s="512"/>
      <c r="R119" s="512"/>
      <c r="S119" s="510"/>
      <c r="T119" s="642"/>
      <c r="U119" s="510"/>
      <c r="V119" s="512"/>
      <c r="W119" s="512"/>
      <c r="X119" s="510"/>
      <c r="Y119" s="642"/>
      <c r="Z119" s="510"/>
      <c r="AA119" s="512"/>
      <c r="AB119" s="512"/>
      <c r="AC119" s="510"/>
      <c r="AD119" s="642"/>
      <c r="AE119" s="510"/>
      <c r="AF119" s="512"/>
      <c r="AG119" s="512"/>
      <c r="AH119" s="510"/>
      <c r="AI119" s="642"/>
      <c r="AJ119" s="510"/>
      <c r="AK119" s="512"/>
      <c r="AL119" s="512"/>
      <c r="AM119" s="510"/>
      <c r="AN119" s="642"/>
      <c r="AO119" s="510"/>
      <c r="AP119" s="512"/>
      <c r="AQ119" s="512"/>
      <c r="AR119" s="510"/>
      <c r="AS119" s="642"/>
      <c r="AT119" s="510"/>
      <c r="AU119" s="512"/>
      <c r="AV119" s="512"/>
      <c r="AW119" s="510"/>
      <c r="AX119" s="642"/>
      <c r="AZ119" s="368" t="e">
        <f t="shared" si="93"/>
        <v>#N/A</v>
      </c>
      <c r="BA119" s="642"/>
    </row>
    <row r="120" spans="2:53">
      <c r="B120" s="647"/>
      <c r="C120" s="303">
        <v>14</v>
      </c>
      <c r="D120" s="225"/>
      <c r="E120" s="181"/>
      <c r="F120" s="353"/>
      <c r="G120" s="354"/>
      <c r="H120" s="701"/>
      <c r="I120" s="363" t="str">
        <f t="shared" si="90"/>
        <v>-</v>
      </c>
      <c r="J120" s="363" t="str">
        <f t="shared" si="91"/>
        <v>-</v>
      </c>
      <c r="K120" s="199" t="str">
        <f t="shared" si="92"/>
        <v>-</v>
      </c>
      <c r="L120" s="657"/>
      <c r="M120" s="313" t="e">
        <f>RANK(K120, K$107:$K$121)</f>
        <v>#VALUE!</v>
      </c>
      <c r="N120" s="641"/>
      <c r="O120" s="641"/>
      <c r="P120" s="510"/>
      <c r="Q120" s="512"/>
      <c r="R120" s="512"/>
      <c r="S120" s="510"/>
      <c r="T120" s="642"/>
      <c r="U120" s="510"/>
      <c r="V120" s="512"/>
      <c r="W120" s="512"/>
      <c r="X120" s="510"/>
      <c r="Y120" s="642"/>
      <c r="Z120" s="510"/>
      <c r="AA120" s="512"/>
      <c r="AB120" s="512"/>
      <c r="AC120" s="510"/>
      <c r="AD120" s="642"/>
      <c r="AE120" s="510"/>
      <c r="AF120" s="512"/>
      <c r="AG120" s="512"/>
      <c r="AH120" s="510"/>
      <c r="AI120" s="642"/>
      <c r="AJ120" s="510"/>
      <c r="AK120" s="512"/>
      <c r="AL120" s="512"/>
      <c r="AM120" s="510"/>
      <c r="AN120" s="642"/>
      <c r="AO120" s="510"/>
      <c r="AP120" s="512"/>
      <c r="AQ120" s="512"/>
      <c r="AR120" s="510"/>
      <c r="AS120" s="642"/>
      <c r="AT120" s="510"/>
      <c r="AU120" s="512"/>
      <c r="AV120" s="512"/>
      <c r="AW120" s="510"/>
      <c r="AX120" s="642"/>
      <c r="AZ120" s="368" t="e">
        <f t="shared" si="93"/>
        <v>#N/A</v>
      </c>
      <c r="BA120" s="642"/>
    </row>
    <row r="121" spans="2:53">
      <c r="B121" s="647"/>
      <c r="C121" s="303">
        <v>15</v>
      </c>
      <c r="D121" s="225"/>
      <c r="E121" s="181"/>
      <c r="F121" s="353"/>
      <c r="G121" s="354"/>
      <c r="H121" s="702"/>
      <c r="I121" s="201"/>
      <c r="J121" s="201"/>
      <c r="K121" s="201"/>
      <c r="L121" s="658"/>
      <c r="M121" s="313" t="e">
        <f>RANK(K121, K$107:$K$121)</f>
        <v>#N/A</v>
      </c>
      <c r="N121" s="641"/>
      <c r="O121" s="641"/>
      <c r="P121" s="510"/>
      <c r="Q121" s="512"/>
      <c r="R121" s="512"/>
      <c r="S121" s="510"/>
      <c r="T121" s="642"/>
      <c r="U121" s="510"/>
      <c r="V121" s="512"/>
      <c r="W121" s="512"/>
      <c r="X121" s="510"/>
      <c r="Y121" s="642"/>
      <c r="Z121" s="510"/>
      <c r="AA121" s="512"/>
      <c r="AB121" s="512"/>
      <c r="AC121" s="510"/>
      <c r="AD121" s="642"/>
      <c r="AE121" s="510"/>
      <c r="AF121" s="512"/>
      <c r="AG121" s="512"/>
      <c r="AH121" s="510"/>
      <c r="AI121" s="642"/>
      <c r="AJ121" s="510"/>
      <c r="AK121" s="512"/>
      <c r="AL121" s="512"/>
      <c r="AM121" s="510"/>
      <c r="AN121" s="642"/>
      <c r="AO121" s="510"/>
      <c r="AP121" s="512"/>
      <c r="AQ121" s="512"/>
      <c r="AR121" s="510"/>
      <c r="AS121" s="642"/>
      <c r="AT121" s="510"/>
      <c r="AU121" s="512"/>
      <c r="AV121" s="512"/>
      <c r="AW121" s="510"/>
      <c r="AX121" s="642"/>
      <c r="AZ121" s="368" t="e">
        <f t="shared" si="93"/>
        <v>#N/A</v>
      </c>
      <c r="BA121" s="642"/>
    </row>
    <row r="123" spans="2:53" ht="15.75">
      <c r="B123" s="649" t="s">
        <v>472</v>
      </c>
      <c r="C123" s="650"/>
      <c r="D123" s="650"/>
      <c r="E123" s="650"/>
      <c r="F123" s="650"/>
      <c r="G123" s="650"/>
      <c r="H123" s="651"/>
      <c r="I123" s="307"/>
      <c r="J123" s="307"/>
      <c r="K123" s="307"/>
      <c r="L123" s="307"/>
      <c r="M123" s="308"/>
    </row>
    <row r="124" spans="2:53" ht="15.75">
      <c r="B124" s="652"/>
      <c r="C124" s="652"/>
      <c r="D124" s="652"/>
      <c r="E124" s="652"/>
      <c r="F124" s="652"/>
      <c r="G124" s="652"/>
      <c r="H124" s="652"/>
      <c r="I124" s="309"/>
      <c r="J124" s="309"/>
      <c r="K124" s="309"/>
      <c r="L124" s="309"/>
      <c r="M124" s="310"/>
    </row>
    <row r="125" spans="2:53">
      <c r="B125" s="641" t="s">
        <v>473</v>
      </c>
      <c r="C125" s="641" t="s">
        <v>474</v>
      </c>
      <c r="D125" s="641"/>
      <c r="E125" s="641" t="s">
        <v>475</v>
      </c>
      <c r="F125" s="641"/>
      <c r="G125" s="641"/>
      <c r="H125" s="673" t="s">
        <v>476</v>
      </c>
      <c r="I125" s="653" t="s">
        <v>477</v>
      </c>
      <c r="J125" s="653"/>
      <c r="K125" s="653"/>
      <c r="L125" s="706" t="s">
        <v>476</v>
      </c>
      <c r="M125" s="709" t="s">
        <v>478</v>
      </c>
    </row>
    <row r="126" spans="2:53">
      <c r="B126" s="641"/>
      <c r="C126" s="641"/>
      <c r="D126" s="641"/>
      <c r="E126" s="641" t="s">
        <v>479</v>
      </c>
      <c r="F126" s="641"/>
      <c r="G126" s="641"/>
      <c r="H126" s="674"/>
      <c r="I126" s="653" t="s">
        <v>479</v>
      </c>
      <c r="J126" s="653"/>
      <c r="K126" s="653"/>
      <c r="L126" s="707"/>
      <c r="M126" s="710"/>
    </row>
    <row r="127" spans="2:53">
      <c r="B127" s="641"/>
      <c r="C127" s="641"/>
      <c r="D127" s="641"/>
      <c r="E127" s="304" t="s">
        <v>480</v>
      </c>
      <c r="F127" s="304" t="s">
        <v>481</v>
      </c>
      <c r="G127" s="304" t="s">
        <v>482</v>
      </c>
      <c r="H127" s="675"/>
      <c r="I127" s="311" t="s">
        <v>480</v>
      </c>
      <c r="J127" s="311" t="s">
        <v>481</v>
      </c>
      <c r="K127" s="311" t="s">
        <v>482</v>
      </c>
      <c r="L127" s="708"/>
      <c r="M127" s="711"/>
    </row>
    <row r="128" spans="2:53">
      <c r="B128" s="641" t="s">
        <v>488</v>
      </c>
      <c r="C128" s="303">
        <v>1</v>
      </c>
      <c r="D128" s="225"/>
      <c r="E128" s="181"/>
      <c r="F128" s="303"/>
      <c r="G128" s="306"/>
      <c r="H128" s="700" t="e">
        <f>AVERAGE(G128:G142)</f>
        <v>#DIV/0!</v>
      </c>
      <c r="I128" s="198" t="e">
        <f t="shared" ref="I128:J135" si="94">AVERAGEIF($D$7:$D$121,$D128,I$7:I$121)</f>
        <v>#DIV/0!</v>
      </c>
      <c r="J128" s="198" t="e">
        <f t="shared" si="94"/>
        <v>#DIV/0!</v>
      </c>
      <c r="K128" s="198" t="e">
        <f t="shared" ref="K128:K135" si="95"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39">
      <c r="B129" s="647"/>
      <c r="C129" s="303">
        <v>2</v>
      </c>
      <c r="D129" s="225"/>
      <c r="E129" s="181"/>
      <c r="F129" s="303"/>
      <c r="G129" s="306"/>
      <c r="H129" s="701"/>
      <c r="I129" s="198" t="e">
        <f t="shared" si="94"/>
        <v>#DIV/0!</v>
      </c>
      <c r="J129" s="198" t="e">
        <f t="shared" si="94"/>
        <v>#DIV/0!</v>
      </c>
      <c r="K129" s="198" t="e">
        <f t="shared" si="95"/>
        <v>#DIV/0!</v>
      </c>
      <c r="L129" s="704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7"/>
      <c r="C130" s="303">
        <v>3</v>
      </c>
      <c r="D130" s="225"/>
      <c r="E130" s="181"/>
      <c r="F130" s="303"/>
      <c r="G130" s="306"/>
      <c r="H130" s="701"/>
      <c r="I130" s="198" t="e">
        <f t="shared" si="94"/>
        <v>#DIV/0!</v>
      </c>
      <c r="J130" s="198" t="e">
        <f t="shared" si="94"/>
        <v>#DIV/0!</v>
      </c>
      <c r="K130" s="198" t="e">
        <f t="shared" si="95"/>
        <v>#DIV/0!</v>
      </c>
      <c r="L130" s="704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7"/>
      <c r="C131" s="303">
        <v>4</v>
      </c>
      <c r="D131" s="225"/>
      <c r="E131" s="181"/>
      <c r="F131" s="303"/>
      <c r="G131" s="306"/>
      <c r="H131" s="701"/>
      <c r="I131" s="198" t="e">
        <f t="shared" si="94"/>
        <v>#DIV/0!</v>
      </c>
      <c r="J131" s="198" t="e">
        <f t="shared" si="94"/>
        <v>#DIV/0!</v>
      </c>
      <c r="K131" s="198" t="e">
        <f t="shared" si="95"/>
        <v>#DIV/0!</v>
      </c>
      <c r="L131" s="704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7"/>
      <c r="C132" s="303">
        <v>5</v>
      </c>
      <c r="D132" s="225"/>
      <c r="E132" s="181"/>
      <c r="F132" s="303"/>
      <c r="G132" s="306"/>
      <c r="H132" s="701"/>
      <c r="I132" s="198" t="e">
        <f t="shared" si="94"/>
        <v>#DIV/0!</v>
      </c>
      <c r="J132" s="198" t="e">
        <f t="shared" si="94"/>
        <v>#DIV/0!</v>
      </c>
      <c r="K132" s="198" t="e">
        <f t="shared" si="95"/>
        <v>#DIV/0!</v>
      </c>
      <c r="L132" s="704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7"/>
      <c r="C133" s="303">
        <v>6</v>
      </c>
      <c r="D133" s="312"/>
      <c r="E133" s="181"/>
      <c r="F133" s="303"/>
      <c r="G133" s="306"/>
      <c r="H133" s="701"/>
      <c r="I133" s="198" t="e">
        <f t="shared" si="94"/>
        <v>#DIV/0!</v>
      </c>
      <c r="J133" s="198" t="e">
        <f t="shared" si="94"/>
        <v>#DIV/0!</v>
      </c>
      <c r="K133" s="198" t="e">
        <f t="shared" si="95"/>
        <v>#DIV/0!</v>
      </c>
      <c r="L133" s="704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7"/>
      <c r="C134" s="303">
        <v>7</v>
      </c>
      <c r="D134" s="225"/>
      <c r="E134" s="181"/>
      <c r="F134" s="303"/>
      <c r="G134" s="306"/>
      <c r="H134" s="701"/>
      <c r="I134" s="198" t="e">
        <f t="shared" si="94"/>
        <v>#DIV/0!</v>
      </c>
      <c r="J134" s="198" t="e">
        <f t="shared" si="94"/>
        <v>#DIV/0!</v>
      </c>
      <c r="K134" s="198" t="e">
        <f t="shared" si="95"/>
        <v>#DIV/0!</v>
      </c>
      <c r="L134" s="704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7"/>
      <c r="C135" s="303">
        <v>8</v>
      </c>
      <c r="D135" s="225"/>
      <c r="E135" s="181"/>
      <c r="F135" s="303"/>
      <c r="G135" s="306"/>
      <c r="H135" s="701"/>
      <c r="I135" s="198" t="e">
        <f t="shared" si="94"/>
        <v>#DIV/0!</v>
      </c>
      <c r="J135" s="198" t="e">
        <f t="shared" si="94"/>
        <v>#DIV/0!</v>
      </c>
      <c r="K135" s="198" t="e">
        <f t="shared" si="95"/>
        <v>#DIV/0!</v>
      </c>
      <c r="L135" s="704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7"/>
      <c r="C136" s="303">
        <v>9</v>
      </c>
      <c r="D136" s="225"/>
      <c r="E136" s="303"/>
      <c r="F136" s="303"/>
      <c r="G136" s="303"/>
      <c r="H136" s="701"/>
      <c r="I136" s="198"/>
      <c r="J136" s="198"/>
      <c r="K136" s="198"/>
      <c r="L136" s="704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7"/>
      <c r="C137" s="303">
        <v>10</v>
      </c>
      <c r="D137" s="225"/>
      <c r="E137" s="303"/>
      <c r="F137" s="303"/>
      <c r="G137" s="303"/>
      <c r="H137" s="701"/>
      <c r="I137" s="198"/>
      <c r="J137" s="198"/>
      <c r="K137" s="198"/>
      <c r="L137" s="704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7"/>
      <c r="C138" s="303">
        <v>11</v>
      </c>
      <c r="D138" s="225"/>
      <c r="E138" s="303"/>
      <c r="F138" s="303"/>
      <c r="G138" s="303"/>
      <c r="H138" s="701"/>
      <c r="I138" s="198"/>
      <c r="J138" s="198"/>
      <c r="K138" s="198"/>
      <c r="L138" s="704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7"/>
      <c r="C139" s="303">
        <v>12</v>
      </c>
      <c r="D139" s="225"/>
      <c r="E139" s="303"/>
      <c r="F139" s="303"/>
      <c r="G139" s="303"/>
      <c r="H139" s="701"/>
      <c r="I139" s="198"/>
      <c r="J139" s="198"/>
      <c r="K139" s="198"/>
      <c r="L139" s="704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7"/>
      <c r="C140" s="303">
        <v>13</v>
      </c>
      <c r="D140" s="225"/>
      <c r="E140" s="303"/>
      <c r="F140" s="303"/>
      <c r="G140" s="303"/>
      <c r="H140" s="701"/>
      <c r="I140" s="198"/>
      <c r="J140" s="198"/>
      <c r="K140" s="198"/>
      <c r="L140" s="704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7"/>
      <c r="C141" s="303">
        <v>14</v>
      </c>
      <c r="D141" s="225"/>
      <c r="E141" s="303"/>
      <c r="F141" s="303"/>
      <c r="G141" s="303"/>
      <c r="H141" s="701"/>
      <c r="I141" s="198"/>
      <c r="J141" s="198"/>
      <c r="K141" s="198"/>
      <c r="L141" s="704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7"/>
      <c r="C142" s="303">
        <v>15</v>
      </c>
      <c r="D142" s="225"/>
      <c r="E142" s="303"/>
      <c r="F142" s="303"/>
      <c r="G142" s="303"/>
      <c r="H142" s="702"/>
      <c r="I142" s="198"/>
      <c r="J142" s="198"/>
      <c r="K142" s="198"/>
      <c r="L142" s="705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1" zoomScale="40" zoomScaleNormal="40" workbookViewId="0">
      <pane xSplit="15" topLeftCell="P1" activePane="topRight" state="frozen"/>
      <selection activeCell="A8" sqref="A8:L28"/>
      <selection pane="topRight" activeCell="AF91" sqref="AF9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79.434871024498577</v>
      </c>
    </row>
    <row r="2" spans="1:53" ht="15.75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43" t="s">
        <v>156</v>
      </c>
      <c r="O2" s="643" t="s">
        <v>155</v>
      </c>
      <c r="P2" s="668">
        <v>46231</v>
      </c>
      <c r="Q2" s="647"/>
      <c r="R2" s="647"/>
      <c r="S2" s="647"/>
      <c r="T2" s="647"/>
      <c r="U2" s="665">
        <f>P2+1</f>
        <v>46232</v>
      </c>
      <c r="V2" s="666"/>
      <c r="W2" s="666"/>
      <c r="X2" s="666"/>
      <c r="Y2" s="667"/>
      <c r="Z2" s="665">
        <f>U2+1</f>
        <v>46233</v>
      </c>
      <c r="AA2" s="666"/>
      <c r="AB2" s="666"/>
      <c r="AC2" s="666"/>
      <c r="AD2" s="667"/>
      <c r="AE2" s="665">
        <f>Z2+1</f>
        <v>46234</v>
      </c>
      <c r="AF2" s="666"/>
      <c r="AG2" s="666"/>
      <c r="AH2" s="666"/>
      <c r="AI2" s="667"/>
      <c r="AJ2" s="665">
        <f>AE2+1</f>
        <v>46235</v>
      </c>
      <c r="AK2" s="666"/>
      <c r="AL2" s="666"/>
      <c r="AM2" s="666"/>
      <c r="AN2" s="667"/>
      <c r="AO2" s="665">
        <f>AJ2+1</f>
        <v>46236</v>
      </c>
      <c r="AP2" s="666"/>
      <c r="AQ2" s="666"/>
      <c r="AR2" s="666"/>
      <c r="AS2" s="667"/>
      <c r="AT2" s="665">
        <f>AO2+1</f>
        <v>46237</v>
      </c>
      <c r="AU2" s="666"/>
      <c r="AV2" s="666"/>
      <c r="AW2" s="666"/>
      <c r="AX2" s="667"/>
    </row>
    <row r="3" spans="1:53" ht="15.75">
      <c r="A3" s="81"/>
      <c r="B3" s="713"/>
      <c r="C3" s="713"/>
      <c r="D3" s="713"/>
      <c r="E3" s="713"/>
      <c r="F3" s="713"/>
      <c r="G3" s="713"/>
      <c r="H3" s="713"/>
      <c r="I3" s="285"/>
      <c r="J3" s="285"/>
      <c r="K3" s="285"/>
      <c r="L3" s="285"/>
      <c r="M3" s="197"/>
      <c r="N3" s="645"/>
      <c r="O3" s="645"/>
      <c r="P3" s="668" t="s">
        <v>158</v>
      </c>
      <c r="Q3" s="647"/>
      <c r="R3" s="647"/>
      <c r="S3" s="647"/>
      <c r="T3" s="647"/>
      <c r="U3" s="668" t="s">
        <v>114</v>
      </c>
      <c r="V3" s="647"/>
      <c r="W3" s="647"/>
      <c r="X3" s="647"/>
      <c r="Y3" s="647"/>
      <c r="Z3" s="668" t="s">
        <v>159</v>
      </c>
      <c r="AA3" s="647"/>
      <c r="AB3" s="647"/>
      <c r="AC3" s="647"/>
      <c r="AD3" s="647"/>
      <c r="AE3" s="668" t="s">
        <v>157</v>
      </c>
      <c r="AF3" s="647"/>
      <c r="AG3" s="647"/>
      <c r="AH3" s="647"/>
      <c r="AI3" s="647"/>
      <c r="AJ3" s="668" t="s">
        <v>160</v>
      </c>
      <c r="AK3" s="647"/>
      <c r="AL3" s="647"/>
      <c r="AM3" s="647"/>
      <c r="AN3" s="647"/>
      <c r="AO3" s="668" t="s">
        <v>115</v>
      </c>
      <c r="AP3" s="647"/>
      <c r="AQ3" s="647"/>
      <c r="AR3" s="647"/>
      <c r="AS3" s="647"/>
      <c r="AT3" s="668" t="s">
        <v>161</v>
      </c>
      <c r="AU3" s="647"/>
      <c r="AV3" s="647"/>
      <c r="AW3" s="647"/>
      <c r="AX3" s="647"/>
    </row>
    <row r="4" spans="1:53" ht="14.25">
      <c r="A4" s="81"/>
      <c r="B4" s="641" t="s">
        <v>531</v>
      </c>
      <c r="C4" s="641" t="s">
        <v>532</v>
      </c>
      <c r="D4" s="641"/>
      <c r="E4" s="641" t="s">
        <v>533</v>
      </c>
      <c r="F4" s="641"/>
      <c r="G4" s="641"/>
      <c r="H4" s="673" t="s">
        <v>534</v>
      </c>
      <c r="I4" s="641" t="s">
        <v>535</v>
      </c>
      <c r="J4" s="641"/>
      <c r="K4" s="641"/>
      <c r="L4" s="673" t="s">
        <v>366</v>
      </c>
      <c r="M4" s="643" t="s">
        <v>536</v>
      </c>
      <c r="N4" s="641"/>
      <c r="O4" s="641" t="s">
        <v>537</v>
      </c>
      <c r="P4" s="659" t="s">
        <v>368</v>
      </c>
      <c r="Q4" s="660"/>
      <c r="R4" s="660"/>
      <c r="S4" s="661"/>
      <c r="T4" s="641" t="s">
        <v>366</v>
      </c>
      <c r="U4" s="659" t="s">
        <v>368</v>
      </c>
      <c r="V4" s="660"/>
      <c r="W4" s="660"/>
      <c r="X4" s="661"/>
      <c r="Y4" s="641" t="s">
        <v>366</v>
      </c>
      <c r="Z4" s="659" t="s">
        <v>368</v>
      </c>
      <c r="AA4" s="660"/>
      <c r="AB4" s="660"/>
      <c r="AC4" s="661"/>
      <c r="AD4" s="641" t="s">
        <v>366</v>
      </c>
      <c r="AE4" s="659" t="s">
        <v>368</v>
      </c>
      <c r="AF4" s="660"/>
      <c r="AG4" s="660"/>
      <c r="AH4" s="661"/>
      <c r="AI4" s="641" t="s">
        <v>366</v>
      </c>
      <c r="AJ4" s="659" t="s">
        <v>368</v>
      </c>
      <c r="AK4" s="660"/>
      <c r="AL4" s="660"/>
      <c r="AM4" s="661"/>
      <c r="AN4" s="641" t="s">
        <v>366</v>
      </c>
      <c r="AO4" s="659" t="s">
        <v>368</v>
      </c>
      <c r="AP4" s="660"/>
      <c r="AQ4" s="660"/>
      <c r="AR4" s="661"/>
      <c r="AS4" s="641" t="s">
        <v>366</v>
      </c>
      <c r="AT4" s="659" t="s">
        <v>368</v>
      </c>
      <c r="AU4" s="660"/>
      <c r="AV4" s="660"/>
      <c r="AW4" s="661"/>
      <c r="AX4" s="641" t="s">
        <v>366</v>
      </c>
      <c r="BA4" s="641" t="s">
        <v>366</v>
      </c>
    </row>
    <row r="5" spans="1:53" ht="14.25">
      <c r="A5" s="81"/>
      <c r="B5" s="641"/>
      <c r="C5" s="641"/>
      <c r="D5" s="641"/>
      <c r="E5" s="641" t="s">
        <v>538</v>
      </c>
      <c r="F5" s="641"/>
      <c r="G5" s="641"/>
      <c r="H5" s="674"/>
      <c r="I5" s="641" t="s">
        <v>538</v>
      </c>
      <c r="J5" s="641"/>
      <c r="K5" s="641"/>
      <c r="L5" s="674"/>
      <c r="M5" s="644"/>
      <c r="N5" s="641"/>
      <c r="O5" s="641"/>
      <c r="P5" s="659" t="s">
        <v>374</v>
      </c>
      <c r="Q5" s="660"/>
      <c r="R5" s="660"/>
      <c r="S5" s="661"/>
      <c r="T5" s="641"/>
      <c r="U5" s="659" t="s">
        <v>374</v>
      </c>
      <c r="V5" s="660"/>
      <c r="W5" s="660"/>
      <c r="X5" s="661"/>
      <c r="Y5" s="641"/>
      <c r="Z5" s="659" t="s">
        <v>374</v>
      </c>
      <c r="AA5" s="660"/>
      <c r="AB5" s="660"/>
      <c r="AC5" s="661"/>
      <c r="AD5" s="641"/>
      <c r="AE5" s="659" t="s">
        <v>374</v>
      </c>
      <c r="AF5" s="660"/>
      <c r="AG5" s="660"/>
      <c r="AH5" s="661"/>
      <c r="AI5" s="641"/>
      <c r="AJ5" s="659" t="s">
        <v>374</v>
      </c>
      <c r="AK5" s="660"/>
      <c r="AL5" s="660"/>
      <c r="AM5" s="661"/>
      <c r="AN5" s="641"/>
      <c r="AO5" s="659" t="s">
        <v>374</v>
      </c>
      <c r="AP5" s="660"/>
      <c r="AQ5" s="660"/>
      <c r="AR5" s="661"/>
      <c r="AS5" s="641"/>
      <c r="AT5" s="659" t="s">
        <v>374</v>
      </c>
      <c r="AU5" s="660"/>
      <c r="AV5" s="660"/>
      <c r="AW5" s="661"/>
      <c r="AX5" s="641"/>
      <c r="BA5" s="641"/>
    </row>
    <row r="6" spans="1:53" ht="14.25">
      <c r="A6" s="79"/>
      <c r="B6" s="641"/>
      <c r="C6" s="641"/>
      <c r="D6" s="641"/>
      <c r="E6" s="533" t="s">
        <v>539</v>
      </c>
      <c r="F6" s="533" t="s">
        <v>540</v>
      </c>
      <c r="G6" s="533" t="s">
        <v>541</v>
      </c>
      <c r="H6" s="675"/>
      <c r="I6" s="533" t="s">
        <v>539</v>
      </c>
      <c r="J6" s="533" t="s">
        <v>540</v>
      </c>
      <c r="K6" s="533" t="s">
        <v>541</v>
      </c>
      <c r="L6" s="675"/>
      <c r="M6" s="645"/>
      <c r="N6" s="641"/>
      <c r="O6" s="641"/>
      <c r="P6" s="533" t="s">
        <v>375</v>
      </c>
      <c r="Q6" s="533" t="s">
        <v>376</v>
      </c>
      <c r="R6" s="533" t="s">
        <v>377</v>
      </c>
      <c r="S6" s="533" t="s">
        <v>367</v>
      </c>
      <c r="T6" s="641"/>
      <c r="U6" s="533" t="s">
        <v>375</v>
      </c>
      <c r="V6" s="533" t="s">
        <v>376</v>
      </c>
      <c r="W6" s="533" t="s">
        <v>377</v>
      </c>
      <c r="X6" s="533" t="s">
        <v>367</v>
      </c>
      <c r="Y6" s="641"/>
      <c r="Z6" s="533" t="s">
        <v>375</v>
      </c>
      <c r="AA6" s="533" t="s">
        <v>376</v>
      </c>
      <c r="AB6" s="533" t="s">
        <v>377</v>
      </c>
      <c r="AC6" s="533" t="s">
        <v>367</v>
      </c>
      <c r="AD6" s="641"/>
      <c r="AE6" s="533" t="s">
        <v>375</v>
      </c>
      <c r="AF6" s="533" t="s">
        <v>376</v>
      </c>
      <c r="AG6" s="533" t="s">
        <v>377</v>
      </c>
      <c r="AH6" s="533" t="s">
        <v>367</v>
      </c>
      <c r="AI6" s="641"/>
      <c r="AJ6" s="533" t="s">
        <v>375</v>
      </c>
      <c r="AK6" s="533" t="s">
        <v>376</v>
      </c>
      <c r="AL6" s="533" t="s">
        <v>377</v>
      </c>
      <c r="AM6" s="533" t="s">
        <v>367</v>
      </c>
      <c r="AN6" s="641"/>
      <c r="AO6" s="533" t="s">
        <v>375</v>
      </c>
      <c r="AP6" s="533" t="s">
        <v>376</v>
      </c>
      <c r="AQ6" s="533" t="s">
        <v>377</v>
      </c>
      <c r="AR6" s="533" t="s">
        <v>367</v>
      </c>
      <c r="AS6" s="641"/>
      <c r="AT6" s="533" t="s">
        <v>375</v>
      </c>
      <c r="AU6" s="533" t="s">
        <v>376</v>
      </c>
      <c r="AV6" s="533" t="s">
        <v>377</v>
      </c>
      <c r="AW6" s="533" t="s">
        <v>367</v>
      </c>
      <c r="AX6" s="641"/>
      <c r="AZ6" s="367" t="s">
        <v>367</v>
      </c>
      <c r="BA6" s="641"/>
    </row>
    <row r="7" spans="1:53" ht="14.25">
      <c r="A7" s="81"/>
      <c r="B7" s="641" t="s">
        <v>135</v>
      </c>
      <c r="C7" s="537">
        <v>1</v>
      </c>
      <c r="D7" s="225" t="s">
        <v>587</v>
      </c>
      <c r="E7" s="535">
        <v>17</v>
      </c>
      <c r="F7" s="534">
        <v>1565</v>
      </c>
      <c r="G7" s="536">
        <v>92.058823529411768</v>
      </c>
      <c r="H7" s="654">
        <f>AVERAGE(G7:G21)</f>
        <v>88.413656690746478</v>
      </c>
      <c r="I7" s="538">
        <f t="shared" ref="I7:I20" si="0">IFERROR(AVERAGE(P7,U7,Z7,AE7,AJ7,AO7,AT7),"-")</f>
        <v>17</v>
      </c>
      <c r="J7" s="538">
        <f t="shared" ref="J7:J20" si="1">IFERROR(AVERAGE(Q7,V7,AA7,AF7,AK7,AP7,AU7),"-")</f>
        <v>1443.5661483128183</v>
      </c>
      <c r="K7" s="199">
        <f t="shared" ref="K7:K20" si="2">IFERROR(AVERAGE(R7,W7,AB7,AG7,AL7,AQ7,AV7),"-")</f>
        <v>84.91565578310697</v>
      </c>
      <c r="L7" s="656">
        <f>IFERROR(AVERAGE(K7:K21),"-")</f>
        <v>78.155763973133134</v>
      </c>
      <c r="M7" s="513">
        <f>RANK(K7, K$7:$K$21)</f>
        <v>1</v>
      </c>
      <c r="N7" s="641"/>
      <c r="O7" s="641"/>
      <c r="P7" s="534">
        <v>17</v>
      </c>
      <c r="Q7" s="535">
        <v>1420.6643835616439</v>
      </c>
      <c r="R7" s="535">
        <v>83.568493150684944</v>
      </c>
      <c r="S7" s="534">
        <f>RANK(R7, R$7:R$21)</f>
        <v>1</v>
      </c>
      <c r="T7" s="642">
        <f t="shared" ref="T7" si="3">AVERAGE(R7:R21)</f>
        <v>78.405322088280556</v>
      </c>
      <c r="U7" s="534">
        <v>17</v>
      </c>
      <c r="V7" s="535">
        <v>1457.9770992366412</v>
      </c>
      <c r="W7" s="535">
        <v>85.763358778625957</v>
      </c>
      <c r="X7" s="562">
        <f>RANK(W7, W$7:W$21)</f>
        <v>1</v>
      </c>
      <c r="Y7" s="642">
        <f t="shared" ref="Y7" si="4">AVERAGE(W7:W21)</f>
        <v>78.114690916330645</v>
      </c>
      <c r="Z7" s="534">
        <v>17</v>
      </c>
      <c r="AA7" s="535">
        <v>1441.3533834586465</v>
      </c>
      <c r="AB7" s="535">
        <v>84.785493144626258</v>
      </c>
      <c r="AC7" s="562">
        <f>RANK(AB7, AB$7:AB$21)</f>
        <v>1</v>
      </c>
      <c r="AD7" s="642">
        <f t="shared" ref="AD7" si="5">AVERAGE(AB7:AB21)</f>
        <v>77.842550404815938</v>
      </c>
      <c r="AE7" s="534">
        <v>17</v>
      </c>
      <c r="AF7" s="535">
        <v>1429.2682926829264</v>
      </c>
      <c r="AG7" s="535">
        <v>84.074605451936847</v>
      </c>
      <c r="AH7" s="562">
        <f>RANK(AG7, AG$7:AG$21)</f>
        <v>1</v>
      </c>
      <c r="AI7" s="642">
        <f t="shared" ref="AI7" si="6">AVERAGE(AG7:AG21)</f>
        <v>77.716853147015087</v>
      </c>
      <c r="AJ7" s="534">
        <v>17</v>
      </c>
      <c r="AK7" s="535">
        <v>1452.9850746268655</v>
      </c>
      <c r="AL7" s="535">
        <v>85.469710272168555</v>
      </c>
      <c r="AM7" s="562">
        <f>RANK(AL7, AL$7:AL$21)</f>
        <v>1</v>
      </c>
      <c r="AN7" s="642">
        <f t="shared" ref="AN7" si="7">AVERAGE(AL7:AL21)</f>
        <v>78.074923518538341</v>
      </c>
      <c r="AO7" s="534">
        <v>17</v>
      </c>
      <c r="AP7" s="535">
        <v>1466.0869565217392</v>
      </c>
      <c r="AQ7" s="535">
        <v>86.240409207161136</v>
      </c>
      <c r="AR7" s="562">
        <f>RANK(AQ7, AQ$7:AQ$21)</f>
        <v>1</v>
      </c>
      <c r="AS7" s="642">
        <f t="shared" ref="AS7" si="8">AVERAGE(AQ7:AQ21)</f>
        <v>78.975018210326908</v>
      </c>
      <c r="AT7" s="534">
        <v>17</v>
      </c>
      <c r="AU7" s="535">
        <v>1436.6278481012657</v>
      </c>
      <c r="AV7" s="535">
        <v>84.507520476545039</v>
      </c>
      <c r="AW7" s="562">
        <f>RANK(AV7, AV$7:AV$21)</f>
        <v>1</v>
      </c>
      <c r="AX7" s="642">
        <f t="shared" ref="AX7" si="9">AVERAGE(AV7:AV21)</f>
        <v>77.960989526624488</v>
      </c>
      <c r="AZ7" s="370" t="e">
        <f t="shared" ref="AZ7:AZ21" si="10">RANK(AY7, AY$7:AY$21)</f>
        <v>#N/A</v>
      </c>
      <c r="BA7" s="718" t="e">
        <f t="shared" ref="BA7" si="11">AVERAGE(AY7:AY21)</f>
        <v>#DIV/0!</v>
      </c>
    </row>
    <row r="8" spans="1:53" ht="15" customHeight="1">
      <c r="A8" s="81"/>
      <c r="B8" s="676"/>
      <c r="C8" s="537">
        <v>2</v>
      </c>
      <c r="D8" s="225" t="s">
        <v>608</v>
      </c>
      <c r="E8" s="535">
        <v>19</v>
      </c>
      <c r="F8" s="534">
        <v>1500</v>
      </c>
      <c r="G8" s="536">
        <v>78.94736842105263</v>
      </c>
      <c r="H8" s="655"/>
      <c r="I8" s="538">
        <f t="shared" si="0"/>
        <v>19</v>
      </c>
      <c r="J8" s="538">
        <f t="shared" si="1"/>
        <v>1385.1040931579744</v>
      </c>
      <c r="K8" s="199">
        <f t="shared" si="2"/>
        <v>72.90021542936708</v>
      </c>
      <c r="L8" s="657"/>
      <c r="M8" s="513">
        <f>RANK(K8, K$7:$K$21)</f>
        <v>5</v>
      </c>
      <c r="N8" s="641"/>
      <c r="O8" s="641"/>
      <c r="P8" s="534">
        <v>19</v>
      </c>
      <c r="Q8" s="535">
        <v>1398.5526315789471</v>
      </c>
      <c r="R8" s="535">
        <v>73.608033240997216</v>
      </c>
      <c r="S8" s="562">
        <f t="shared" ref="S8:S21" si="12">RANK(R8, R$7:R$21)</f>
        <v>5</v>
      </c>
      <c r="T8" s="642"/>
      <c r="U8" s="534">
        <v>19</v>
      </c>
      <c r="V8" s="535">
        <v>1365.3061224489802</v>
      </c>
      <c r="W8" s="535">
        <v>71.858216970998953</v>
      </c>
      <c r="X8" s="562">
        <f t="shared" ref="X8:X21" si="13">RANK(W8, W$7:W$21)</f>
        <v>5</v>
      </c>
      <c r="Y8" s="642"/>
      <c r="Z8" s="534">
        <v>19</v>
      </c>
      <c r="AA8" s="535">
        <v>1384</v>
      </c>
      <c r="AB8" s="535">
        <v>72.84210526315789</v>
      </c>
      <c r="AC8" s="562">
        <f t="shared" ref="AC8:AC21" si="14">RANK(AB8, AB$7:AB$21)</f>
        <v>5</v>
      </c>
      <c r="AD8" s="642"/>
      <c r="AE8" s="534">
        <v>19</v>
      </c>
      <c r="AF8" s="535">
        <v>1383.0291262135929</v>
      </c>
      <c r="AG8" s="535">
        <v>72.791006642820676</v>
      </c>
      <c r="AH8" s="562">
        <f t="shared" ref="AH8:AH21" si="15">RANK(AG8, AG$7:AG$21)</f>
        <v>5</v>
      </c>
      <c r="AI8" s="642"/>
      <c r="AJ8" s="534">
        <v>19</v>
      </c>
      <c r="AK8" s="535">
        <v>1377.6000000000004</v>
      </c>
      <c r="AL8" s="535">
        <v>72.50526315789476</v>
      </c>
      <c r="AM8" s="562">
        <f t="shared" ref="AM8:AM21" si="16">RANK(AL8, AL$7:AL$21)</f>
        <v>5</v>
      </c>
      <c r="AN8" s="642"/>
      <c r="AO8" s="534">
        <v>19</v>
      </c>
      <c r="AP8" s="535">
        <v>1399.2592592592594</v>
      </c>
      <c r="AQ8" s="535">
        <v>73.645224171539965</v>
      </c>
      <c r="AR8" s="562">
        <f t="shared" ref="AR8:AR21" si="17">RANK(AQ8, AQ$7:AQ$21)</f>
        <v>5</v>
      </c>
      <c r="AS8" s="642"/>
      <c r="AT8" s="534">
        <v>19</v>
      </c>
      <c r="AU8" s="535">
        <v>1387.9815126050423</v>
      </c>
      <c r="AV8" s="535">
        <v>73.051658558160128</v>
      </c>
      <c r="AW8" s="562">
        <f t="shared" ref="AW8:AW21" si="18">RANK(AV8, AV$7:AV$21)</f>
        <v>5</v>
      </c>
      <c r="AX8" s="642"/>
      <c r="AZ8" s="370" t="e">
        <f t="shared" si="10"/>
        <v>#N/A</v>
      </c>
      <c r="BA8" s="719"/>
    </row>
    <row r="9" spans="1:53" ht="14.25">
      <c r="A9" s="81"/>
      <c r="B9" s="676"/>
      <c r="C9" s="537">
        <v>3</v>
      </c>
      <c r="D9" s="225" t="s">
        <v>616</v>
      </c>
      <c r="E9" s="535">
        <v>18</v>
      </c>
      <c r="F9" s="534">
        <v>1565</v>
      </c>
      <c r="G9" s="536">
        <v>86.944444444444443</v>
      </c>
      <c r="H9" s="655"/>
      <c r="I9" s="538">
        <f t="shared" si="0"/>
        <v>18</v>
      </c>
      <c r="J9" s="538">
        <f t="shared" si="1"/>
        <v>1369.5483505318093</v>
      </c>
      <c r="K9" s="199">
        <f t="shared" si="2"/>
        <v>76.08601947398941</v>
      </c>
      <c r="L9" s="657"/>
      <c r="M9" s="513">
        <f>RANK(K9, K$7:$K$21)</f>
        <v>4</v>
      </c>
      <c r="N9" s="641"/>
      <c r="O9" s="641"/>
      <c r="P9" s="534">
        <v>18</v>
      </c>
      <c r="Q9" s="535">
        <v>1387.6923076923085</v>
      </c>
      <c r="R9" s="535">
        <v>77.094017094017147</v>
      </c>
      <c r="S9" s="562">
        <f t="shared" si="12"/>
        <v>3</v>
      </c>
      <c r="T9" s="642"/>
      <c r="U9" s="534">
        <v>18</v>
      </c>
      <c r="V9" s="535">
        <v>1382.3684210526321</v>
      </c>
      <c r="W9" s="535">
        <v>76.798245614035125</v>
      </c>
      <c r="X9" s="562">
        <f t="shared" si="13"/>
        <v>3</v>
      </c>
      <c r="Y9" s="642"/>
      <c r="Z9" s="534">
        <v>18</v>
      </c>
      <c r="AA9" s="535">
        <v>1361.3513513513517</v>
      </c>
      <c r="AB9" s="535">
        <v>75.630630630630648</v>
      </c>
      <c r="AC9" s="562">
        <f t="shared" si="14"/>
        <v>4</v>
      </c>
      <c r="AD9" s="642"/>
      <c r="AE9" s="534">
        <v>18</v>
      </c>
      <c r="AF9" s="535">
        <v>1347.8571428571418</v>
      </c>
      <c r="AG9" s="535">
        <v>74.880952380952323</v>
      </c>
      <c r="AH9" s="562">
        <f t="shared" si="15"/>
        <v>4</v>
      </c>
      <c r="AI9" s="642"/>
      <c r="AJ9" s="534">
        <v>18</v>
      </c>
      <c r="AK9" s="535">
        <v>1355.7692307692314</v>
      </c>
      <c r="AL9" s="535">
        <v>75.32051282051286</v>
      </c>
      <c r="AM9" s="562">
        <f t="shared" si="16"/>
        <v>4</v>
      </c>
      <c r="AN9" s="642"/>
      <c r="AO9" s="534">
        <v>18</v>
      </c>
      <c r="AP9" s="535">
        <v>1376.8000000000006</v>
      </c>
      <c r="AQ9" s="535">
        <v>76.488888888888923</v>
      </c>
      <c r="AR9" s="562">
        <f t="shared" si="17"/>
        <v>4</v>
      </c>
      <c r="AS9" s="642"/>
      <c r="AT9" s="534">
        <v>18</v>
      </c>
      <c r="AU9" s="535">
        <v>1374.9999999999995</v>
      </c>
      <c r="AV9" s="535">
        <v>76.388888888888857</v>
      </c>
      <c r="AW9" s="562">
        <f t="shared" si="18"/>
        <v>3</v>
      </c>
      <c r="AX9" s="642"/>
      <c r="AZ9" s="370" t="e">
        <f t="shared" si="10"/>
        <v>#N/A</v>
      </c>
      <c r="BA9" s="719"/>
    </row>
    <row r="10" spans="1:53" ht="14.25">
      <c r="A10" s="81"/>
      <c r="B10" s="676"/>
      <c r="C10" s="537">
        <v>4</v>
      </c>
      <c r="D10" s="225" t="s">
        <v>624</v>
      </c>
      <c r="E10" s="535">
        <v>17</v>
      </c>
      <c r="F10" s="534">
        <v>1565</v>
      </c>
      <c r="G10" s="536">
        <v>92.058823529411768</v>
      </c>
      <c r="H10" s="655"/>
      <c r="I10" s="538">
        <f t="shared" si="0"/>
        <v>17</v>
      </c>
      <c r="J10" s="538">
        <f t="shared" si="1"/>
        <v>1368.9010563488387</v>
      </c>
      <c r="K10" s="199">
        <f t="shared" si="2"/>
        <v>80.523591549931695</v>
      </c>
      <c r="L10" s="657"/>
      <c r="M10" s="513">
        <f>RANK(K10, K$7:$K$21)</f>
        <v>2</v>
      </c>
      <c r="N10" s="641"/>
      <c r="O10" s="641"/>
      <c r="P10" s="534">
        <v>17</v>
      </c>
      <c r="Q10" s="535">
        <v>1376.3883495145637</v>
      </c>
      <c r="R10" s="535">
        <v>80.964020559680222</v>
      </c>
      <c r="S10" s="562">
        <f t="shared" si="12"/>
        <v>2</v>
      </c>
      <c r="T10" s="642"/>
      <c r="U10" s="534">
        <v>17</v>
      </c>
      <c r="V10" s="535">
        <v>1363.2000000000005</v>
      </c>
      <c r="W10" s="535">
        <v>80.188235294117675</v>
      </c>
      <c r="X10" s="562">
        <f t="shared" si="13"/>
        <v>2</v>
      </c>
      <c r="Y10" s="642"/>
      <c r="Z10" s="534">
        <v>17</v>
      </c>
      <c r="AA10" s="535">
        <v>1350.285714285714</v>
      </c>
      <c r="AB10" s="535">
        <v>79.428571428571416</v>
      </c>
      <c r="AC10" s="562">
        <f t="shared" si="14"/>
        <v>2</v>
      </c>
      <c r="AD10" s="642"/>
      <c r="AE10" s="534">
        <v>17</v>
      </c>
      <c r="AF10" s="535">
        <v>1355.555555555555</v>
      </c>
      <c r="AG10" s="535">
        <v>79.73856209150324</v>
      </c>
      <c r="AH10" s="562">
        <f t="shared" si="15"/>
        <v>2</v>
      </c>
      <c r="AI10" s="642"/>
      <c r="AJ10" s="534">
        <v>17</v>
      </c>
      <c r="AK10" s="535">
        <v>1381.4634146341459</v>
      </c>
      <c r="AL10" s="535">
        <v>81.262553802008583</v>
      </c>
      <c r="AM10" s="562">
        <f t="shared" si="16"/>
        <v>2</v>
      </c>
      <c r="AN10" s="642"/>
      <c r="AO10" s="534">
        <v>17</v>
      </c>
      <c r="AP10" s="535">
        <v>1393.7614678899081</v>
      </c>
      <c r="AQ10" s="535">
        <v>81.985968699406357</v>
      </c>
      <c r="AR10" s="562">
        <f t="shared" si="17"/>
        <v>2</v>
      </c>
      <c r="AS10" s="642"/>
      <c r="AT10" s="534">
        <v>17</v>
      </c>
      <c r="AU10" s="535">
        <v>1361.6528925619837</v>
      </c>
      <c r="AV10" s="535">
        <v>80.097228974234326</v>
      </c>
      <c r="AW10" s="562">
        <f t="shared" si="18"/>
        <v>2</v>
      </c>
      <c r="AX10" s="642"/>
      <c r="AZ10" s="370" t="e">
        <f t="shared" si="10"/>
        <v>#N/A</v>
      </c>
      <c r="BA10" s="719"/>
    </row>
    <row r="11" spans="1:53" ht="14.25">
      <c r="A11" s="81"/>
      <c r="B11" s="676"/>
      <c r="C11" s="537">
        <v>5</v>
      </c>
      <c r="D11" s="225" t="s">
        <v>719</v>
      </c>
      <c r="E11" s="535">
        <v>17</v>
      </c>
      <c r="F11" s="534">
        <v>1565</v>
      </c>
      <c r="G11" s="536">
        <v>92.058823529411768</v>
      </c>
      <c r="H11" s="655"/>
      <c r="I11" s="538">
        <f t="shared" si="0"/>
        <v>17</v>
      </c>
      <c r="J11" s="538">
        <f t="shared" si="1"/>
        <v>1298.0067396975987</v>
      </c>
      <c r="K11" s="199">
        <f t="shared" si="2"/>
        <v>76.353337629270527</v>
      </c>
      <c r="L11" s="657"/>
      <c r="M11" s="513">
        <f>RANK(K11, K$7:$K$21)</f>
        <v>3</v>
      </c>
      <c r="N11" s="641"/>
      <c r="O11" s="641"/>
      <c r="P11" s="534">
        <v>17</v>
      </c>
      <c r="Q11" s="535">
        <v>1305.4647887323949</v>
      </c>
      <c r="R11" s="535">
        <v>76.792046396023238</v>
      </c>
      <c r="S11" s="562">
        <f t="shared" si="12"/>
        <v>4</v>
      </c>
      <c r="T11" s="642"/>
      <c r="U11" s="534">
        <v>17</v>
      </c>
      <c r="V11" s="535">
        <v>1291.4117647058827</v>
      </c>
      <c r="W11" s="535">
        <v>75.965397923875457</v>
      </c>
      <c r="X11" s="562">
        <f t="shared" si="13"/>
        <v>4</v>
      </c>
      <c r="Y11" s="642"/>
      <c r="Z11" s="534">
        <v>17</v>
      </c>
      <c r="AA11" s="535">
        <v>1300.9411764705883</v>
      </c>
      <c r="AB11" s="535">
        <v>76.525951557093435</v>
      </c>
      <c r="AC11" s="562">
        <f t="shared" si="14"/>
        <v>3</v>
      </c>
      <c r="AD11" s="642"/>
      <c r="AE11" s="534">
        <v>17</v>
      </c>
      <c r="AF11" s="535">
        <v>1310.6853658536586</v>
      </c>
      <c r="AG11" s="535">
        <v>77.099139167862276</v>
      </c>
      <c r="AH11" s="562">
        <f t="shared" si="15"/>
        <v>3</v>
      </c>
      <c r="AI11" s="642"/>
      <c r="AJ11" s="534">
        <v>17</v>
      </c>
      <c r="AK11" s="535">
        <v>1288.8818181818181</v>
      </c>
      <c r="AL11" s="535">
        <v>75.816577540106948</v>
      </c>
      <c r="AM11" s="562">
        <f t="shared" si="16"/>
        <v>3</v>
      </c>
      <c r="AN11" s="642"/>
      <c r="AO11" s="534">
        <v>17</v>
      </c>
      <c r="AP11" s="535">
        <v>1300.7482014388488</v>
      </c>
      <c r="AQ11" s="535">
        <v>76.514600084638161</v>
      </c>
      <c r="AR11" s="562">
        <f t="shared" si="17"/>
        <v>3</v>
      </c>
      <c r="AS11" s="642"/>
      <c r="AT11" s="534">
        <v>17</v>
      </c>
      <c r="AU11" s="535">
        <v>1287.9140624999998</v>
      </c>
      <c r="AV11" s="535">
        <v>75.759650735294102</v>
      </c>
      <c r="AW11" s="562">
        <f t="shared" si="18"/>
        <v>4</v>
      </c>
      <c r="AX11" s="642"/>
      <c r="AZ11" s="370" t="e">
        <f t="shared" si="10"/>
        <v>#N/A</v>
      </c>
      <c r="BA11" s="719"/>
    </row>
    <row r="12" spans="1:53" ht="14.25">
      <c r="A12" s="81"/>
      <c r="B12" s="676"/>
      <c r="C12" s="537">
        <v>6</v>
      </c>
      <c r="D12" s="225"/>
      <c r="E12" s="535"/>
      <c r="F12" s="534"/>
      <c r="G12" s="536"/>
      <c r="H12" s="655"/>
      <c r="I12" s="538" t="str">
        <f t="shared" si="0"/>
        <v>-</v>
      </c>
      <c r="J12" s="538" t="str">
        <f t="shared" si="1"/>
        <v>-</v>
      </c>
      <c r="K12" s="199" t="str">
        <f t="shared" si="2"/>
        <v>-</v>
      </c>
      <c r="L12" s="657"/>
      <c r="M12" s="513" t="e">
        <f>RANK(K12, K$7:$K$21)</f>
        <v>#VALUE!</v>
      </c>
      <c r="N12" s="641"/>
      <c r="O12" s="641"/>
      <c r="P12" s="534" t="s">
        <v>585</v>
      </c>
      <c r="Q12" s="535" t="s">
        <v>585</v>
      </c>
      <c r="R12" s="535" t="s">
        <v>585</v>
      </c>
      <c r="S12" s="562" t="e">
        <f t="shared" si="12"/>
        <v>#VALUE!</v>
      </c>
      <c r="T12" s="642"/>
      <c r="U12" s="534" t="s">
        <v>585</v>
      </c>
      <c r="V12" s="535" t="s">
        <v>585</v>
      </c>
      <c r="W12" s="535" t="s">
        <v>585</v>
      </c>
      <c r="X12" s="562" t="e">
        <f t="shared" si="13"/>
        <v>#VALUE!</v>
      </c>
      <c r="Y12" s="642"/>
      <c r="Z12" s="534" t="s">
        <v>585</v>
      </c>
      <c r="AA12" s="535" t="s">
        <v>585</v>
      </c>
      <c r="AB12" s="535" t="s">
        <v>585</v>
      </c>
      <c r="AC12" s="562" t="e">
        <f t="shared" si="14"/>
        <v>#VALUE!</v>
      </c>
      <c r="AD12" s="642"/>
      <c r="AE12" s="534" t="s">
        <v>585</v>
      </c>
      <c r="AF12" s="535" t="s">
        <v>585</v>
      </c>
      <c r="AG12" s="535" t="s">
        <v>585</v>
      </c>
      <c r="AH12" s="562" t="e">
        <f t="shared" si="15"/>
        <v>#VALUE!</v>
      </c>
      <c r="AI12" s="642"/>
      <c r="AJ12" s="534" t="s">
        <v>585</v>
      </c>
      <c r="AK12" s="535" t="s">
        <v>585</v>
      </c>
      <c r="AL12" s="535" t="s">
        <v>585</v>
      </c>
      <c r="AM12" s="562" t="e">
        <f t="shared" si="16"/>
        <v>#VALUE!</v>
      </c>
      <c r="AN12" s="642"/>
      <c r="AO12" s="534" t="s">
        <v>585</v>
      </c>
      <c r="AP12" s="535" t="s">
        <v>585</v>
      </c>
      <c r="AQ12" s="535" t="s">
        <v>585</v>
      </c>
      <c r="AR12" s="562" t="e">
        <f t="shared" si="17"/>
        <v>#VALUE!</v>
      </c>
      <c r="AS12" s="642"/>
      <c r="AT12" s="534" t="s">
        <v>585</v>
      </c>
      <c r="AU12" s="535" t="s">
        <v>585</v>
      </c>
      <c r="AV12" s="535" t="s">
        <v>585</v>
      </c>
      <c r="AW12" s="562" t="e">
        <f t="shared" si="18"/>
        <v>#VALUE!</v>
      </c>
      <c r="AX12" s="642"/>
      <c r="AZ12" s="370" t="e">
        <f t="shared" si="10"/>
        <v>#N/A</v>
      </c>
      <c r="BA12" s="719"/>
    </row>
    <row r="13" spans="1:53" ht="14.25">
      <c r="A13" s="81"/>
      <c r="B13" s="676"/>
      <c r="C13" s="537">
        <v>7</v>
      </c>
      <c r="D13" s="225"/>
      <c r="E13" s="535"/>
      <c r="F13" s="534"/>
      <c r="G13" s="536"/>
      <c r="H13" s="655"/>
      <c r="I13" s="538" t="str">
        <f t="shared" si="0"/>
        <v>-</v>
      </c>
      <c r="J13" s="538" t="str">
        <f t="shared" si="1"/>
        <v>-</v>
      </c>
      <c r="K13" s="199" t="str">
        <f t="shared" si="2"/>
        <v>-</v>
      </c>
      <c r="L13" s="657"/>
      <c r="M13" s="513" t="e">
        <f>RANK(K13, K$7:$K$21)</f>
        <v>#VALUE!</v>
      </c>
      <c r="N13" s="641"/>
      <c r="O13" s="641"/>
      <c r="P13" s="534" t="s">
        <v>585</v>
      </c>
      <c r="Q13" s="535" t="s">
        <v>585</v>
      </c>
      <c r="R13" s="535" t="s">
        <v>585</v>
      </c>
      <c r="S13" s="562" t="e">
        <f t="shared" si="12"/>
        <v>#VALUE!</v>
      </c>
      <c r="T13" s="642"/>
      <c r="U13" s="534" t="s">
        <v>585</v>
      </c>
      <c r="V13" s="535" t="s">
        <v>585</v>
      </c>
      <c r="W13" s="535" t="s">
        <v>585</v>
      </c>
      <c r="X13" s="562" t="e">
        <f t="shared" si="13"/>
        <v>#VALUE!</v>
      </c>
      <c r="Y13" s="642"/>
      <c r="Z13" s="534" t="s">
        <v>585</v>
      </c>
      <c r="AA13" s="535" t="s">
        <v>585</v>
      </c>
      <c r="AB13" s="535" t="s">
        <v>585</v>
      </c>
      <c r="AC13" s="562" t="e">
        <f t="shared" si="14"/>
        <v>#VALUE!</v>
      </c>
      <c r="AD13" s="642"/>
      <c r="AE13" s="534" t="s">
        <v>585</v>
      </c>
      <c r="AF13" s="535" t="s">
        <v>585</v>
      </c>
      <c r="AG13" s="535" t="s">
        <v>585</v>
      </c>
      <c r="AH13" s="562" t="e">
        <f t="shared" si="15"/>
        <v>#VALUE!</v>
      </c>
      <c r="AI13" s="642"/>
      <c r="AJ13" s="534" t="s">
        <v>585</v>
      </c>
      <c r="AK13" s="535" t="s">
        <v>585</v>
      </c>
      <c r="AL13" s="535" t="s">
        <v>585</v>
      </c>
      <c r="AM13" s="562" t="e">
        <f t="shared" si="16"/>
        <v>#VALUE!</v>
      </c>
      <c r="AN13" s="642"/>
      <c r="AO13" s="534" t="s">
        <v>585</v>
      </c>
      <c r="AP13" s="535" t="s">
        <v>585</v>
      </c>
      <c r="AQ13" s="535" t="s">
        <v>585</v>
      </c>
      <c r="AR13" s="562" t="e">
        <f t="shared" si="17"/>
        <v>#VALUE!</v>
      </c>
      <c r="AS13" s="642"/>
      <c r="AT13" s="534" t="s">
        <v>585</v>
      </c>
      <c r="AU13" s="535" t="s">
        <v>585</v>
      </c>
      <c r="AV13" s="535" t="s">
        <v>585</v>
      </c>
      <c r="AW13" s="562" t="e">
        <f t="shared" si="18"/>
        <v>#VALUE!</v>
      </c>
      <c r="AX13" s="642"/>
      <c r="AZ13" s="370" t="e">
        <f t="shared" si="10"/>
        <v>#N/A</v>
      </c>
      <c r="BA13" s="719"/>
    </row>
    <row r="14" spans="1:53" ht="14.25">
      <c r="A14" s="81"/>
      <c r="B14" s="676"/>
      <c r="C14" s="537">
        <v>8</v>
      </c>
      <c r="D14" s="225"/>
      <c r="E14" s="535"/>
      <c r="F14" s="534"/>
      <c r="G14" s="536"/>
      <c r="H14" s="655"/>
      <c r="I14" s="538" t="str">
        <f t="shared" si="0"/>
        <v>-</v>
      </c>
      <c r="J14" s="538" t="str">
        <f t="shared" si="1"/>
        <v>-</v>
      </c>
      <c r="K14" s="199" t="str">
        <f t="shared" si="2"/>
        <v>-</v>
      </c>
      <c r="L14" s="657"/>
      <c r="M14" s="513" t="e">
        <f>RANK(K14, K$7:$K$21)</f>
        <v>#VALUE!</v>
      </c>
      <c r="N14" s="641"/>
      <c r="O14" s="641"/>
      <c r="P14" s="534" t="s">
        <v>585</v>
      </c>
      <c r="Q14" s="535" t="s">
        <v>585</v>
      </c>
      <c r="R14" s="535" t="s">
        <v>585</v>
      </c>
      <c r="S14" s="562" t="e">
        <f t="shared" si="12"/>
        <v>#VALUE!</v>
      </c>
      <c r="T14" s="642"/>
      <c r="U14" s="534" t="s">
        <v>585</v>
      </c>
      <c r="V14" s="535" t="s">
        <v>585</v>
      </c>
      <c r="W14" s="535" t="s">
        <v>585</v>
      </c>
      <c r="X14" s="562" t="e">
        <f t="shared" si="13"/>
        <v>#VALUE!</v>
      </c>
      <c r="Y14" s="642"/>
      <c r="Z14" s="534" t="s">
        <v>585</v>
      </c>
      <c r="AA14" s="535" t="s">
        <v>585</v>
      </c>
      <c r="AB14" s="535" t="s">
        <v>585</v>
      </c>
      <c r="AC14" s="562" t="e">
        <f t="shared" si="14"/>
        <v>#VALUE!</v>
      </c>
      <c r="AD14" s="642"/>
      <c r="AE14" s="534" t="s">
        <v>585</v>
      </c>
      <c r="AF14" s="535" t="s">
        <v>585</v>
      </c>
      <c r="AG14" s="535" t="s">
        <v>585</v>
      </c>
      <c r="AH14" s="562" t="e">
        <f t="shared" si="15"/>
        <v>#VALUE!</v>
      </c>
      <c r="AI14" s="642"/>
      <c r="AJ14" s="534" t="s">
        <v>585</v>
      </c>
      <c r="AK14" s="535" t="s">
        <v>585</v>
      </c>
      <c r="AL14" s="535" t="s">
        <v>585</v>
      </c>
      <c r="AM14" s="562" t="e">
        <f t="shared" si="16"/>
        <v>#VALUE!</v>
      </c>
      <c r="AN14" s="642"/>
      <c r="AO14" s="534" t="s">
        <v>585</v>
      </c>
      <c r="AP14" s="535" t="s">
        <v>585</v>
      </c>
      <c r="AQ14" s="535" t="s">
        <v>585</v>
      </c>
      <c r="AR14" s="562" t="e">
        <f t="shared" si="17"/>
        <v>#VALUE!</v>
      </c>
      <c r="AS14" s="642"/>
      <c r="AT14" s="534" t="s">
        <v>585</v>
      </c>
      <c r="AU14" s="535" t="s">
        <v>585</v>
      </c>
      <c r="AV14" s="535" t="s">
        <v>585</v>
      </c>
      <c r="AW14" s="562" t="e">
        <f t="shared" si="18"/>
        <v>#VALUE!</v>
      </c>
      <c r="AX14" s="642"/>
      <c r="AZ14" s="370" t="e">
        <f t="shared" si="10"/>
        <v>#N/A</v>
      </c>
      <c r="BA14" s="719"/>
    </row>
    <row r="15" spans="1:53" ht="14.25">
      <c r="A15" s="81"/>
      <c r="B15" s="676"/>
      <c r="C15" s="537">
        <v>9</v>
      </c>
      <c r="D15" s="225"/>
      <c r="E15" s="535"/>
      <c r="F15" s="534"/>
      <c r="G15" s="536"/>
      <c r="H15" s="655"/>
      <c r="I15" s="538" t="str">
        <f t="shared" si="0"/>
        <v>-</v>
      </c>
      <c r="J15" s="538" t="str">
        <f t="shared" si="1"/>
        <v>-</v>
      </c>
      <c r="K15" s="199" t="str">
        <f t="shared" si="2"/>
        <v>-</v>
      </c>
      <c r="L15" s="657"/>
      <c r="M15" s="513" t="e">
        <f>RANK(K15, K$7:$K$21)</f>
        <v>#VALUE!</v>
      </c>
      <c r="N15" s="641"/>
      <c r="O15" s="641"/>
      <c r="P15" s="534" t="s">
        <v>585</v>
      </c>
      <c r="Q15" s="535" t="s">
        <v>585</v>
      </c>
      <c r="R15" s="535" t="s">
        <v>585</v>
      </c>
      <c r="S15" s="562" t="e">
        <f t="shared" si="12"/>
        <v>#VALUE!</v>
      </c>
      <c r="T15" s="642"/>
      <c r="U15" s="534" t="s">
        <v>585</v>
      </c>
      <c r="V15" s="535" t="s">
        <v>585</v>
      </c>
      <c r="W15" s="535" t="s">
        <v>585</v>
      </c>
      <c r="X15" s="562" t="e">
        <f t="shared" si="13"/>
        <v>#VALUE!</v>
      </c>
      <c r="Y15" s="642"/>
      <c r="Z15" s="534" t="s">
        <v>585</v>
      </c>
      <c r="AA15" s="535" t="s">
        <v>585</v>
      </c>
      <c r="AB15" s="535" t="s">
        <v>585</v>
      </c>
      <c r="AC15" s="562" t="e">
        <f t="shared" si="14"/>
        <v>#VALUE!</v>
      </c>
      <c r="AD15" s="642"/>
      <c r="AE15" s="534" t="s">
        <v>585</v>
      </c>
      <c r="AF15" s="535" t="s">
        <v>585</v>
      </c>
      <c r="AG15" s="535" t="s">
        <v>585</v>
      </c>
      <c r="AH15" s="562" t="e">
        <f t="shared" si="15"/>
        <v>#VALUE!</v>
      </c>
      <c r="AI15" s="642"/>
      <c r="AJ15" s="534" t="s">
        <v>585</v>
      </c>
      <c r="AK15" s="535" t="s">
        <v>585</v>
      </c>
      <c r="AL15" s="535" t="s">
        <v>585</v>
      </c>
      <c r="AM15" s="562" t="e">
        <f t="shared" si="16"/>
        <v>#VALUE!</v>
      </c>
      <c r="AN15" s="642"/>
      <c r="AO15" s="534" t="s">
        <v>585</v>
      </c>
      <c r="AP15" s="535" t="s">
        <v>585</v>
      </c>
      <c r="AQ15" s="535" t="s">
        <v>585</v>
      </c>
      <c r="AR15" s="562" t="e">
        <f t="shared" si="17"/>
        <v>#VALUE!</v>
      </c>
      <c r="AS15" s="642"/>
      <c r="AT15" s="534" t="s">
        <v>585</v>
      </c>
      <c r="AU15" s="535" t="s">
        <v>585</v>
      </c>
      <c r="AV15" s="535" t="s">
        <v>585</v>
      </c>
      <c r="AW15" s="562" t="e">
        <f t="shared" si="18"/>
        <v>#VALUE!</v>
      </c>
      <c r="AX15" s="642"/>
      <c r="AZ15" s="370" t="e">
        <f t="shared" si="10"/>
        <v>#N/A</v>
      </c>
      <c r="BA15" s="719"/>
    </row>
    <row r="16" spans="1:53" ht="14.25">
      <c r="A16" s="81"/>
      <c r="B16" s="676"/>
      <c r="C16" s="537">
        <v>10</v>
      </c>
      <c r="D16" s="225"/>
      <c r="E16" s="535"/>
      <c r="F16" s="534"/>
      <c r="G16" s="536"/>
      <c r="H16" s="655"/>
      <c r="I16" s="538" t="str">
        <f t="shared" si="0"/>
        <v>-</v>
      </c>
      <c r="J16" s="538" t="str">
        <f t="shared" si="1"/>
        <v>-</v>
      </c>
      <c r="K16" s="199" t="str">
        <f t="shared" si="2"/>
        <v>-</v>
      </c>
      <c r="L16" s="657"/>
      <c r="M16" s="513" t="e">
        <f>RANK(K16, K$7:$K$21)</f>
        <v>#VALUE!</v>
      </c>
      <c r="N16" s="641"/>
      <c r="O16" s="641"/>
      <c r="P16" s="534" t="s">
        <v>585</v>
      </c>
      <c r="Q16" s="535" t="s">
        <v>585</v>
      </c>
      <c r="R16" s="535" t="s">
        <v>585</v>
      </c>
      <c r="S16" s="562" t="e">
        <f t="shared" si="12"/>
        <v>#VALUE!</v>
      </c>
      <c r="T16" s="642"/>
      <c r="U16" s="534" t="s">
        <v>585</v>
      </c>
      <c r="V16" s="535" t="s">
        <v>585</v>
      </c>
      <c r="W16" s="535" t="s">
        <v>585</v>
      </c>
      <c r="X16" s="562" t="e">
        <f t="shared" si="13"/>
        <v>#VALUE!</v>
      </c>
      <c r="Y16" s="642"/>
      <c r="Z16" s="534" t="s">
        <v>585</v>
      </c>
      <c r="AA16" s="535" t="s">
        <v>585</v>
      </c>
      <c r="AB16" s="535" t="s">
        <v>585</v>
      </c>
      <c r="AC16" s="562" t="e">
        <f t="shared" si="14"/>
        <v>#VALUE!</v>
      </c>
      <c r="AD16" s="642"/>
      <c r="AE16" s="534" t="s">
        <v>585</v>
      </c>
      <c r="AF16" s="535" t="s">
        <v>585</v>
      </c>
      <c r="AG16" s="535" t="s">
        <v>585</v>
      </c>
      <c r="AH16" s="562" t="e">
        <f t="shared" si="15"/>
        <v>#VALUE!</v>
      </c>
      <c r="AI16" s="642"/>
      <c r="AJ16" s="534" t="s">
        <v>585</v>
      </c>
      <c r="AK16" s="535" t="s">
        <v>585</v>
      </c>
      <c r="AL16" s="535" t="s">
        <v>585</v>
      </c>
      <c r="AM16" s="562" t="e">
        <f t="shared" si="16"/>
        <v>#VALUE!</v>
      </c>
      <c r="AN16" s="642"/>
      <c r="AO16" s="534" t="s">
        <v>585</v>
      </c>
      <c r="AP16" s="535" t="s">
        <v>585</v>
      </c>
      <c r="AQ16" s="535" t="s">
        <v>585</v>
      </c>
      <c r="AR16" s="562" t="e">
        <f t="shared" si="17"/>
        <v>#VALUE!</v>
      </c>
      <c r="AS16" s="642"/>
      <c r="AT16" s="534" t="s">
        <v>585</v>
      </c>
      <c r="AU16" s="535" t="s">
        <v>585</v>
      </c>
      <c r="AV16" s="535" t="s">
        <v>585</v>
      </c>
      <c r="AW16" s="562" t="e">
        <f t="shared" si="18"/>
        <v>#VALUE!</v>
      </c>
      <c r="AX16" s="642"/>
      <c r="AZ16" s="370" t="e">
        <f t="shared" si="10"/>
        <v>#N/A</v>
      </c>
      <c r="BA16" s="719"/>
    </row>
    <row r="17" spans="2:53">
      <c r="B17" s="676"/>
      <c r="C17" s="537">
        <v>11</v>
      </c>
      <c r="D17" s="225"/>
      <c r="E17" s="535"/>
      <c r="F17" s="534"/>
      <c r="G17" s="536"/>
      <c r="H17" s="655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57"/>
      <c r="M17" s="513" t="e">
        <f>RANK(K17, K$7:$K$21)</f>
        <v>#VALUE!</v>
      </c>
      <c r="N17" s="641"/>
      <c r="O17" s="641"/>
      <c r="P17" s="534" t="s">
        <v>585</v>
      </c>
      <c r="Q17" s="535" t="s">
        <v>585</v>
      </c>
      <c r="R17" s="535" t="s">
        <v>585</v>
      </c>
      <c r="S17" s="562" t="e">
        <f t="shared" si="12"/>
        <v>#VALUE!</v>
      </c>
      <c r="T17" s="642"/>
      <c r="U17" s="534" t="s">
        <v>585</v>
      </c>
      <c r="V17" s="535" t="s">
        <v>585</v>
      </c>
      <c r="W17" s="535" t="s">
        <v>585</v>
      </c>
      <c r="X17" s="562" t="e">
        <f t="shared" si="13"/>
        <v>#VALUE!</v>
      </c>
      <c r="Y17" s="642"/>
      <c r="Z17" s="534" t="s">
        <v>585</v>
      </c>
      <c r="AA17" s="535" t="s">
        <v>585</v>
      </c>
      <c r="AB17" s="535" t="s">
        <v>585</v>
      </c>
      <c r="AC17" s="562" t="e">
        <f t="shared" si="14"/>
        <v>#VALUE!</v>
      </c>
      <c r="AD17" s="642"/>
      <c r="AE17" s="534" t="s">
        <v>585</v>
      </c>
      <c r="AF17" s="535" t="s">
        <v>585</v>
      </c>
      <c r="AG17" s="535" t="s">
        <v>585</v>
      </c>
      <c r="AH17" s="562" t="e">
        <f t="shared" si="15"/>
        <v>#VALUE!</v>
      </c>
      <c r="AI17" s="642"/>
      <c r="AJ17" s="534" t="s">
        <v>585</v>
      </c>
      <c r="AK17" s="535" t="s">
        <v>585</v>
      </c>
      <c r="AL17" s="535" t="s">
        <v>585</v>
      </c>
      <c r="AM17" s="562" t="e">
        <f t="shared" si="16"/>
        <v>#VALUE!</v>
      </c>
      <c r="AN17" s="642"/>
      <c r="AO17" s="534" t="s">
        <v>585</v>
      </c>
      <c r="AP17" s="535" t="s">
        <v>585</v>
      </c>
      <c r="AQ17" s="535" t="s">
        <v>585</v>
      </c>
      <c r="AR17" s="562" t="e">
        <f t="shared" si="17"/>
        <v>#VALUE!</v>
      </c>
      <c r="AS17" s="642"/>
      <c r="AT17" s="534" t="s">
        <v>585</v>
      </c>
      <c r="AU17" s="535" t="s">
        <v>585</v>
      </c>
      <c r="AV17" s="535" t="s">
        <v>585</v>
      </c>
      <c r="AW17" s="562" t="e">
        <f t="shared" si="18"/>
        <v>#VALUE!</v>
      </c>
      <c r="AX17" s="642"/>
      <c r="AZ17" s="370" t="e">
        <f t="shared" si="10"/>
        <v>#N/A</v>
      </c>
      <c r="BA17" s="719"/>
    </row>
    <row r="18" spans="2:53">
      <c r="B18" s="676"/>
      <c r="C18" s="537">
        <v>12</v>
      </c>
      <c r="D18" s="225"/>
      <c r="E18" s="535"/>
      <c r="F18" s="534"/>
      <c r="G18" s="536"/>
      <c r="H18" s="655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57"/>
      <c r="M18" s="513" t="e">
        <f>RANK(K18, K$7:$K$21)</f>
        <v>#VALUE!</v>
      </c>
      <c r="N18" s="641"/>
      <c r="O18" s="641"/>
      <c r="P18" s="534" t="s">
        <v>585</v>
      </c>
      <c r="Q18" s="535" t="s">
        <v>585</v>
      </c>
      <c r="R18" s="535" t="s">
        <v>585</v>
      </c>
      <c r="S18" s="562" t="e">
        <f t="shared" si="12"/>
        <v>#VALUE!</v>
      </c>
      <c r="T18" s="642"/>
      <c r="U18" s="534" t="s">
        <v>585</v>
      </c>
      <c r="V18" s="535" t="s">
        <v>585</v>
      </c>
      <c r="W18" s="535" t="s">
        <v>585</v>
      </c>
      <c r="X18" s="562" t="e">
        <f t="shared" si="13"/>
        <v>#VALUE!</v>
      </c>
      <c r="Y18" s="642"/>
      <c r="Z18" s="534" t="s">
        <v>585</v>
      </c>
      <c r="AA18" s="535" t="s">
        <v>585</v>
      </c>
      <c r="AB18" s="535" t="s">
        <v>585</v>
      </c>
      <c r="AC18" s="562" t="e">
        <f t="shared" si="14"/>
        <v>#VALUE!</v>
      </c>
      <c r="AD18" s="642"/>
      <c r="AE18" s="534" t="s">
        <v>585</v>
      </c>
      <c r="AF18" s="535" t="s">
        <v>585</v>
      </c>
      <c r="AG18" s="535" t="s">
        <v>585</v>
      </c>
      <c r="AH18" s="562" t="e">
        <f t="shared" si="15"/>
        <v>#VALUE!</v>
      </c>
      <c r="AI18" s="642"/>
      <c r="AJ18" s="534" t="s">
        <v>585</v>
      </c>
      <c r="AK18" s="535" t="s">
        <v>585</v>
      </c>
      <c r="AL18" s="535" t="s">
        <v>585</v>
      </c>
      <c r="AM18" s="562" t="e">
        <f t="shared" si="16"/>
        <v>#VALUE!</v>
      </c>
      <c r="AN18" s="642"/>
      <c r="AO18" s="534" t="s">
        <v>585</v>
      </c>
      <c r="AP18" s="535" t="s">
        <v>585</v>
      </c>
      <c r="AQ18" s="535" t="s">
        <v>585</v>
      </c>
      <c r="AR18" s="562" t="e">
        <f t="shared" si="17"/>
        <v>#VALUE!</v>
      </c>
      <c r="AS18" s="642"/>
      <c r="AT18" s="534" t="s">
        <v>585</v>
      </c>
      <c r="AU18" s="535" t="s">
        <v>585</v>
      </c>
      <c r="AV18" s="535" t="s">
        <v>585</v>
      </c>
      <c r="AW18" s="562" t="e">
        <f t="shared" si="18"/>
        <v>#VALUE!</v>
      </c>
      <c r="AX18" s="642"/>
      <c r="AZ18" s="370" t="e">
        <f t="shared" si="10"/>
        <v>#N/A</v>
      </c>
      <c r="BA18" s="719"/>
    </row>
    <row r="19" spans="2:53">
      <c r="B19" s="676"/>
      <c r="C19" s="537">
        <v>13</v>
      </c>
      <c r="D19" s="225"/>
      <c r="E19" s="535"/>
      <c r="F19" s="534"/>
      <c r="G19" s="536"/>
      <c r="H19" s="655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57"/>
      <c r="M19" s="513" t="e">
        <f>RANK(K19, K$7:$K$21)</f>
        <v>#VALUE!</v>
      </c>
      <c r="N19" s="641"/>
      <c r="O19" s="641"/>
      <c r="P19" s="534" t="s">
        <v>585</v>
      </c>
      <c r="Q19" s="535" t="s">
        <v>585</v>
      </c>
      <c r="R19" s="535" t="s">
        <v>585</v>
      </c>
      <c r="S19" s="562" t="e">
        <f t="shared" si="12"/>
        <v>#VALUE!</v>
      </c>
      <c r="T19" s="642"/>
      <c r="U19" s="534" t="s">
        <v>585</v>
      </c>
      <c r="V19" s="535" t="s">
        <v>585</v>
      </c>
      <c r="W19" s="535" t="s">
        <v>585</v>
      </c>
      <c r="X19" s="562" t="e">
        <f t="shared" si="13"/>
        <v>#VALUE!</v>
      </c>
      <c r="Y19" s="642"/>
      <c r="Z19" s="534" t="s">
        <v>585</v>
      </c>
      <c r="AA19" s="535" t="s">
        <v>585</v>
      </c>
      <c r="AB19" s="535" t="s">
        <v>585</v>
      </c>
      <c r="AC19" s="562" t="e">
        <f t="shared" si="14"/>
        <v>#VALUE!</v>
      </c>
      <c r="AD19" s="642"/>
      <c r="AE19" s="534" t="s">
        <v>585</v>
      </c>
      <c r="AF19" s="535" t="s">
        <v>585</v>
      </c>
      <c r="AG19" s="535" t="s">
        <v>585</v>
      </c>
      <c r="AH19" s="562" t="e">
        <f t="shared" si="15"/>
        <v>#VALUE!</v>
      </c>
      <c r="AI19" s="642"/>
      <c r="AJ19" s="534" t="s">
        <v>585</v>
      </c>
      <c r="AK19" s="535" t="s">
        <v>585</v>
      </c>
      <c r="AL19" s="535" t="s">
        <v>585</v>
      </c>
      <c r="AM19" s="562" t="e">
        <f t="shared" si="16"/>
        <v>#VALUE!</v>
      </c>
      <c r="AN19" s="642"/>
      <c r="AO19" s="534" t="s">
        <v>585</v>
      </c>
      <c r="AP19" s="535" t="s">
        <v>585</v>
      </c>
      <c r="AQ19" s="535" t="s">
        <v>585</v>
      </c>
      <c r="AR19" s="562" t="e">
        <f t="shared" si="17"/>
        <v>#VALUE!</v>
      </c>
      <c r="AS19" s="642"/>
      <c r="AT19" s="534" t="s">
        <v>585</v>
      </c>
      <c r="AU19" s="535" t="s">
        <v>585</v>
      </c>
      <c r="AV19" s="535" t="s">
        <v>585</v>
      </c>
      <c r="AW19" s="562" t="e">
        <f t="shared" si="18"/>
        <v>#VALUE!</v>
      </c>
      <c r="AX19" s="642"/>
      <c r="AZ19" s="370" t="e">
        <f t="shared" si="10"/>
        <v>#N/A</v>
      </c>
      <c r="BA19" s="719"/>
    </row>
    <row r="20" spans="2:53">
      <c r="B20" s="676"/>
      <c r="C20" s="537">
        <v>14</v>
      </c>
      <c r="D20" s="225"/>
      <c r="E20" s="535"/>
      <c r="F20" s="534"/>
      <c r="G20" s="536"/>
      <c r="H20" s="655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7"/>
      <c r="M20" s="513" t="e">
        <f>RANK(K20, K$7:$K$21)</f>
        <v>#VALUE!</v>
      </c>
      <c r="N20" s="641"/>
      <c r="O20" s="641"/>
      <c r="P20" s="534" t="s">
        <v>585</v>
      </c>
      <c r="Q20" s="535" t="s">
        <v>585</v>
      </c>
      <c r="R20" s="535" t="s">
        <v>585</v>
      </c>
      <c r="S20" s="562" t="e">
        <f t="shared" si="12"/>
        <v>#VALUE!</v>
      </c>
      <c r="T20" s="642"/>
      <c r="U20" s="534" t="s">
        <v>585</v>
      </c>
      <c r="V20" s="535" t="s">
        <v>585</v>
      </c>
      <c r="W20" s="535" t="s">
        <v>585</v>
      </c>
      <c r="X20" s="562" t="e">
        <f t="shared" si="13"/>
        <v>#VALUE!</v>
      </c>
      <c r="Y20" s="642"/>
      <c r="Z20" s="534" t="s">
        <v>585</v>
      </c>
      <c r="AA20" s="535" t="s">
        <v>585</v>
      </c>
      <c r="AB20" s="535" t="s">
        <v>585</v>
      </c>
      <c r="AC20" s="562" t="e">
        <f t="shared" si="14"/>
        <v>#VALUE!</v>
      </c>
      <c r="AD20" s="642"/>
      <c r="AE20" s="534" t="s">
        <v>585</v>
      </c>
      <c r="AF20" s="535" t="s">
        <v>585</v>
      </c>
      <c r="AG20" s="535" t="s">
        <v>585</v>
      </c>
      <c r="AH20" s="562" t="e">
        <f t="shared" si="15"/>
        <v>#VALUE!</v>
      </c>
      <c r="AI20" s="642"/>
      <c r="AJ20" s="534" t="s">
        <v>585</v>
      </c>
      <c r="AK20" s="535" t="s">
        <v>585</v>
      </c>
      <c r="AL20" s="535" t="s">
        <v>585</v>
      </c>
      <c r="AM20" s="562" t="e">
        <f t="shared" si="16"/>
        <v>#VALUE!</v>
      </c>
      <c r="AN20" s="642"/>
      <c r="AO20" s="534" t="s">
        <v>585</v>
      </c>
      <c r="AP20" s="535" t="s">
        <v>585</v>
      </c>
      <c r="AQ20" s="535" t="s">
        <v>585</v>
      </c>
      <c r="AR20" s="562" t="e">
        <f t="shared" si="17"/>
        <v>#VALUE!</v>
      </c>
      <c r="AS20" s="642"/>
      <c r="AT20" s="534" t="s">
        <v>585</v>
      </c>
      <c r="AU20" s="535" t="s">
        <v>585</v>
      </c>
      <c r="AV20" s="535" t="s">
        <v>585</v>
      </c>
      <c r="AW20" s="562" t="e">
        <f t="shared" si="18"/>
        <v>#VALUE!</v>
      </c>
      <c r="AX20" s="642"/>
      <c r="AZ20" s="370" t="e">
        <f t="shared" si="10"/>
        <v>#N/A</v>
      </c>
      <c r="BA20" s="719"/>
    </row>
    <row r="21" spans="2:53">
      <c r="B21" s="676"/>
      <c r="C21" s="537">
        <v>15</v>
      </c>
      <c r="D21" s="225"/>
      <c r="E21" s="535"/>
      <c r="F21" s="534"/>
      <c r="G21" s="536"/>
      <c r="H21" s="712"/>
      <c r="I21" s="537"/>
      <c r="J21" s="537"/>
      <c r="K21" s="537"/>
      <c r="L21" s="658"/>
      <c r="M21" s="513" t="e">
        <f>RANK(K21, K$7:$K$21)</f>
        <v>#N/A</v>
      </c>
      <c r="N21" s="641"/>
      <c r="O21" s="641"/>
      <c r="P21" s="534" t="s">
        <v>585</v>
      </c>
      <c r="Q21" s="535" t="s">
        <v>585</v>
      </c>
      <c r="R21" s="535" t="s">
        <v>585</v>
      </c>
      <c r="S21" s="562" t="e">
        <f t="shared" si="12"/>
        <v>#VALUE!</v>
      </c>
      <c r="T21" s="642"/>
      <c r="U21" s="534" t="s">
        <v>585</v>
      </c>
      <c r="V21" s="535" t="s">
        <v>585</v>
      </c>
      <c r="W21" s="535" t="s">
        <v>585</v>
      </c>
      <c r="X21" s="562" t="e">
        <f t="shared" si="13"/>
        <v>#VALUE!</v>
      </c>
      <c r="Y21" s="642"/>
      <c r="Z21" s="534" t="s">
        <v>585</v>
      </c>
      <c r="AA21" s="535" t="s">
        <v>585</v>
      </c>
      <c r="AB21" s="535" t="s">
        <v>585</v>
      </c>
      <c r="AC21" s="562" t="e">
        <f t="shared" si="14"/>
        <v>#VALUE!</v>
      </c>
      <c r="AD21" s="642"/>
      <c r="AE21" s="534" t="s">
        <v>585</v>
      </c>
      <c r="AF21" s="535" t="s">
        <v>585</v>
      </c>
      <c r="AG21" s="535" t="s">
        <v>585</v>
      </c>
      <c r="AH21" s="562" t="e">
        <f t="shared" si="15"/>
        <v>#VALUE!</v>
      </c>
      <c r="AI21" s="642"/>
      <c r="AJ21" s="534" t="s">
        <v>585</v>
      </c>
      <c r="AK21" s="535" t="s">
        <v>585</v>
      </c>
      <c r="AL21" s="535" t="s">
        <v>585</v>
      </c>
      <c r="AM21" s="562" t="e">
        <f t="shared" si="16"/>
        <v>#VALUE!</v>
      </c>
      <c r="AN21" s="642"/>
      <c r="AO21" s="534" t="s">
        <v>585</v>
      </c>
      <c r="AP21" s="535" t="s">
        <v>585</v>
      </c>
      <c r="AQ21" s="535" t="s">
        <v>585</v>
      </c>
      <c r="AR21" s="562" t="e">
        <f t="shared" si="17"/>
        <v>#VALUE!</v>
      </c>
      <c r="AS21" s="642"/>
      <c r="AT21" s="534" t="s">
        <v>585</v>
      </c>
      <c r="AU21" s="535" t="s">
        <v>585</v>
      </c>
      <c r="AV21" s="535" t="s">
        <v>585</v>
      </c>
      <c r="AW21" s="562" t="e">
        <f t="shared" si="18"/>
        <v>#VALUE!</v>
      </c>
      <c r="AX21" s="642"/>
      <c r="AZ21" s="370" t="e">
        <f t="shared" si="10"/>
        <v>#N/A</v>
      </c>
      <c r="BA21" s="720"/>
    </row>
    <row r="22" spans="2:53" ht="15.75">
      <c r="B22" s="680" t="s">
        <v>162</v>
      </c>
      <c r="C22" s="681"/>
      <c r="D22" s="681"/>
      <c r="E22" s="681"/>
      <c r="F22" s="681"/>
      <c r="G22" s="681"/>
      <c r="H22" s="681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68">
        <f>P2+7</f>
        <v>46238</v>
      </c>
      <c r="Q22" s="647"/>
      <c r="R22" s="647"/>
      <c r="S22" s="647"/>
      <c r="T22" s="647"/>
      <c r="U22" s="665">
        <f>P22+1</f>
        <v>46239</v>
      </c>
      <c r="V22" s="666"/>
      <c r="W22" s="666"/>
      <c r="X22" s="666"/>
      <c r="Y22" s="667"/>
      <c r="Z22" s="665">
        <f>U22+1</f>
        <v>46240</v>
      </c>
      <c r="AA22" s="666"/>
      <c r="AB22" s="666"/>
      <c r="AC22" s="666"/>
      <c r="AD22" s="667"/>
      <c r="AE22" s="665">
        <f>Z22+1</f>
        <v>46241</v>
      </c>
      <c r="AF22" s="666"/>
      <c r="AG22" s="666"/>
      <c r="AH22" s="666"/>
      <c r="AI22" s="667"/>
      <c r="AJ22" s="665">
        <f>AE22+1</f>
        <v>46242</v>
      </c>
      <c r="AK22" s="666"/>
      <c r="AL22" s="666"/>
      <c r="AM22" s="666"/>
      <c r="AN22" s="667"/>
      <c r="AO22" s="665">
        <f>AJ22+1</f>
        <v>46243</v>
      </c>
      <c r="AP22" s="666"/>
      <c r="AQ22" s="666"/>
      <c r="AR22" s="666"/>
      <c r="AS22" s="667"/>
      <c r="AT22" s="665">
        <f>AO22+1</f>
        <v>46244</v>
      </c>
      <c r="AU22" s="666"/>
      <c r="AV22" s="666"/>
      <c r="AW22" s="666"/>
      <c r="AX22" s="667"/>
    </row>
    <row r="23" spans="2:53" ht="15.75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45"/>
      <c r="O23" s="645"/>
      <c r="P23" s="668" t="s">
        <v>317</v>
      </c>
      <c r="Q23" s="647"/>
      <c r="R23" s="647"/>
      <c r="S23" s="647"/>
      <c r="T23" s="647"/>
      <c r="U23" s="668" t="s">
        <v>318</v>
      </c>
      <c r="V23" s="647"/>
      <c r="W23" s="647"/>
      <c r="X23" s="647"/>
      <c r="Y23" s="647"/>
      <c r="Z23" s="668" t="s">
        <v>319</v>
      </c>
      <c r="AA23" s="647"/>
      <c r="AB23" s="647"/>
      <c r="AC23" s="647"/>
      <c r="AD23" s="647"/>
      <c r="AE23" s="668" t="s">
        <v>320</v>
      </c>
      <c r="AF23" s="647"/>
      <c r="AG23" s="647"/>
      <c r="AH23" s="647"/>
      <c r="AI23" s="647"/>
      <c r="AJ23" s="668" t="s">
        <v>321</v>
      </c>
      <c r="AK23" s="647"/>
      <c r="AL23" s="647"/>
      <c r="AM23" s="647"/>
      <c r="AN23" s="647"/>
      <c r="AO23" s="668" t="s">
        <v>322</v>
      </c>
      <c r="AP23" s="647"/>
      <c r="AQ23" s="647"/>
      <c r="AR23" s="647"/>
      <c r="AS23" s="647"/>
      <c r="AT23" s="668" t="s">
        <v>323</v>
      </c>
      <c r="AU23" s="647"/>
      <c r="AV23" s="647"/>
      <c r="AW23" s="647"/>
      <c r="AX23" s="647"/>
    </row>
    <row r="24" spans="2:53">
      <c r="B24" s="641" t="s">
        <v>369</v>
      </c>
      <c r="C24" s="641" t="s">
        <v>532</v>
      </c>
      <c r="D24" s="641"/>
      <c r="E24" s="641" t="s">
        <v>533</v>
      </c>
      <c r="F24" s="641"/>
      <c r="G24" s="641"/>
      <c r="H24" s="673" t="s">
        <v>534</v>
      </c>
      <c r="I24" s="641" t="s">
        <v>535</v>
      </c>
      <c r="J24" s="641"/>
      <c r="K24" s="641"/>
      <c r="L24" s="673" t="s">
        <v>366</v>
      </c>
      <c r="M24" s="643" t="s">
        <v>536</v>
      </c>
      <c r="N24" s="641"/>
      <c r="O24" s="641" t="s">
        <v>537</v>
      </c>
      <c r="P24" s="659" t="s">
        <v>368</v>
      </c>
      <c r="Q24" s="660"/>
      <c r="R24" s="660"/>
      <c r="S24" s="661"/>
      <c r="T24" s="641" t="s">
        <v>366</v>
      </c>
      <c r="U24" s="659" t="s">
        <v>368</v>
      </c>
      <c r="V24" s="660"/>
      <c r="W24" s="660"/>
      <c r="X24" s="661"/>
      <c r="Y24" s="641" t="s">
        <v>366</v>
      </c>
      <c r="Z24" s="659" t="s">
        <v>368</v>
      </c>
      <c r="AA24" s="660"/>
      <c r="AB24" s="660"/>
      <c r="AC24" s="661"/>
      <c r="AD24" s="641" t="s">
        <v>366</v>
      </c>
      <c r="AE24" s="659" t="s">
        <v>368</v>
      </c>
      <c r="AF24" s="660"/>
      <c r="AG24" s="660"/>
      <c r="AH24" s="661"/>
      <c r="AI24" s="641" t="s">
        <v>366</v>
      </c>
      <c r="AJ24" s="659" t="s">
        <v>368</v>
      </c>
      <c r="AK24" s="660"/>
      <c r="AL24" s="660"/>
      <c r="AM24" s="661"/>
      <c r="AN24" s="641" t="s">
        <v>366</v>
      </c>
      <c r="AO24" s="659" t="s">
        <v>368</v>
      </c>
      <c r="AP24" s="660"/>
      <c r="AQ24" s="660"/>
      <c r="AR24" s="661"/>
      <c r="AS24" s="641" t="s">
        <v>366</v>
      </c>
      <c r="AT24" s="659" t="s">
        <v>368</v>
      </c>
      <c r="AU24" s="660"/>
      <c r="AV24" s="660"/>
      <c r="AW24" s="661"/>
      <c r="AX24" s="641" t="s">
        <v>366</v>
      </c>
      <c r="BA24" s="641" t="s">
        <v>366</v>
      </c>
    </row>
    <row r="25" spans="2:53">
      <c r="B25" s="641"/>
      <c r="C25" s="641"/>
      <c r="D25" s="641"/>
      <c r="E25" s="641" t="s">
        <v>538</v>
      </c>
      <c r="F25" s="641"/>
      <c r="G25" s="641"/>
      <c r="H25" s="674"/>
      <c r="I25" s="641" t="s">
        <v>538</v>
      </c>
      <c r="J25" s="641"/>
      <c r="K25" s="641"/>
      <c r="L25" s="674"/>
      <c r="M25" s="644"/>
      <c r="N25" s="641"/>
      <c r="O25" s="641"/>
      <c r="P25" s="659" t="s">
        <v>374</v>
      </c>
      <c r="Q25" s="660"/>
      <c r="R25" s="660"/>
      <c r="S25" s="661"/>
      <c r="T25" s="641"/>
      <c r="U25" s="659" t="s">
        <v>374</v>
      </c>
      <c r="V25" s="660"/>
      <c r="W25" s="660"/>
      <c r="X25" s="661"/>
      <c r="Y25" s="641"/>
      <c r="Z25" s="659" t="s">
        <v>374</v>
      </c>
      <c r="AA25" s="660"/>
      <c r="AB25" s="660"/>
      <c r="AC25" s="661"/>
      <c r="AD25" s="641"/>
      <c r="AE25" s="659" t="s">
        <v>374</v>
      </c>
      <c r="AF25" s="660"/>
      <c r="AG25" s="660"/>
      <c r="AH25" s="661"/>
      <c r="AI25" s="641"/>
      <c r="AJ25" s="659" t="s">
        <v>374</v>
      </c>
      <c r="AK25" s="660"/>
      <c r="AL25" s="660"/>
      <c r="AM25" s="661"/>
      <c r="AN25" s="641"/>
      <c r="AO25" s="659" t="s">
        <v>374</v>
      </c>
      <c r="AP25" s="660"/>
      <c r="AQ25" s="660"/>
      <c r="AR25" s="661"/>
      <c r="AS25" s="641"/>
      <c r="AT25" s="659" t="s">
        <v>374</v>
      </c>
      <c r="AU25" s="660"/>
      <c r="AV25" s="660"/>
      <c r="AW25" s="661"/>
      <c r="AX25" s="641"/>
      <c r="BA25" s="641"/>
    </row>
    <row r="26" spans="2:53">
      <c r="B26" s="641"/>
      <c r="C26" s="641"/>
      <c r="D26" s="641"/>
      <c r="E26" s="378" t="s">
        <v>539</v>
      </c>
      <c r="F26" s="378" t="s">
        <v>540</v>
      </c>
      <c r="G26" s="378" t="s">
        <v>541</v>
      </c>
      <c r="H26" s="675"/>
      <c r="I26" s="378" t="s">
        <v>539</v>
      </c>
      <c r="J26" s="378" t="s">
        <v>540</v>
      </c>
      <c r="K26" s="378" t="s">
        <v>541</v>
      </c>
      <c r="L26" s="675"/>
      <c r="M26" s="645"/>
      <c r="N26" s="641"/>
      <c r="O26" s="641"/>
      <c r="P26" s="378" t="s">
        <v>375</v>
      </c>
      <c r="Q26" s="378" t="s">
        <v>376</v>
      </c>
      <c r="R26" s="378" t="s">
        <v>377</v>
      </c>
      <c r="S26" s="378" t="s">
        <v>367</v>
      </c>
      <c r="T26" s="641"/>
      <c r="U26" s="378" t="s">
        <v>375</v>
      </c>
      <c r="V26" s="378" t="s">
        <v>376</v>
      </c>
      <c r="W26" s="378" t="s">
        <v>377</v>
      </c>
      <c r="X26" s="378" t="s">
        <v>367</v>
      </c>
      <c r="Y26" s="641"/>
      <c r="Z26" s="378" t="s">
        <v>375</v>
      </c>
      <c r="AA26" s="378" t="s">
        <v>376</v>
      </c>
      <c r="AB26" s="378" t="s">
        <v>377</v>
      </c>
      <c r="AC26" s="378" t="s">
        <v>367</v>
      </c>
      <c r="AD26" s="641"/>
      <c r="AE26" s="378" t="s">
        <v>375</v>
      </c>
      <c r="AF26" s="378" t="s">
        <v>376</v>
      </c>
      <c r="AG26" s="378" t="s">
        <v>377</v>
      </c>
      <c r="AH26" s="378" t="s">
        <v>367</v>
      </c>
      <c r="AI26" s="641"/>
      <c r="AJ26" s="378" t="s">
        <v>375</v>
      </c>
      <c r="AK26" s="378" t="s">
        <v>376</v>
      </c>
      <c r="AL26" s="378" t="s">
        <v>377</v>
      </c>
      <c r="AM26" s="378" t="s">
        <v>367</v>
      </c>
      <c r="AN26" s="641"/>
      <c r="AO26" s="378" t="s">
        <v>375</v>
      </c>
      <c r="AP26" s="378" t="s">
        <v>376</v>
      </c>
      <c r="AQ26" s="378" t="s">
        <v>377</v>
      </c>
      <c r="AR26" s="378" t="s">
        <v>367</v>
      </c>
      <c r="AS26" s="641"/>
      <c r="AT26" s="378" t="s">
        <v>375</v>
      </c>
      <c r="AU26" s="378" t="s">
        <v>376</v>
      </c>
      <c r="AV26" s="378" t="s">
        <v>377</v>
      </c>
      <c r="AW26" s="378" t="s">
        <v>367</v>
      </c>
      <c r="AX26" s="641"/>
      <c r="AZ26" s="367" t="s">
        <v>367</v>
      </c>
      <c r="BA26" s="641"/>
    </row>
    <row r="27" spans="2:53">
      <c r="B27" s="641" t="s">
        <v>381</v>
      </c>
      <c r="C27" s="380">
        <v>1</v>
      </c>
      <c r="D27" s="225" t="s">
        <v>587</v>
      </c>
      <c r="E27" s="535">
        <v>17</v>
      </c>
      <c r="F27" s="534">
        <v>1565</v>
      </c>
      <c r="G27" s="536">
        <v>92.058823529411768</v>
      </c>
      <c r="H27" s="654">
        <f>AVERAGE(G27:G41)</f>
        <v>88.413656690746478</v>
      </c>
      <c r="I27" s="381">
        <f t="shared" ref="I27:I40" si="19">IFERROR(AVERAGE(P27,U27,Z27,AE27,AJ27,AO27,AT27),"-")</f>
        <v>17</v>
      </c>
      <c r="J27" s="381">
        <f t="shared" ref="J27:J40" si="20">IFERROR(AVERAGE(Q27,V27,AA27,AF27,AK27,AP27,AU27),"-")</f>
        <v>1353.2714264524914</v>
      </c>
      <c r="K27" s="199">
        <f t="shared" ref="K27:K40" si="21">IFERROR(AVERAGE(R27,W27,AB27,AG27,AL27,AQ27,AV27),"-")</f>
        <v>79.604201556028897</v>
      </c>
      <c r="L27" s="656">
        <f>IFERROR(AVERAGE(K27:K41),"-")</f>
        <v>79.740748911099814</v>
      </c>
      <c r="M27" s="385">
        <f>RANK(K27, K$24:$K$41)</f>
        <v>3</v>
      </c>
      <c r="N27" s="641"/>
      <c r="O27" s="641"/>
      <c r="P27" s="556">
        <v>17</v>
      </c>
      <c r="Q27" s="557">
        <v>1367.6521739130435</v>
      </c>
      <c r="R27" s="557">
        <v>80.450127877237847</v>
      </c>
      <c r="S27" s="556">
        <f t="shared" ref="S27:S41" si="22">RANK(R27, R$27:R$41)</f>
        <v>3</v>
      </c>
      <c r="T27" s="636">
        <f t="shared" ref="T27" si="23">AVERAGE(R27:R41)</f>
        <v>78.52807866289514</v>
      </c>
      <c r="U27" s="556">
        <v>17</v>
      </c>
      <c r="V27" s="557">
        <v>1373.5555555555552</v>
      </c>
      <c r="W27" s="557">
        <v>80.797385620915009</v>
      </c>
      <c r="X27" s="556">
        <f t="shared" ref="X27:X41" si="24">RANK(W27, W$27:W$41)</f>
        <v>2</v>
      </c>
      <c r="Y27" s="636">
        <f t="shared" ref="Y27" si="25">AVERAGE(W27:W41)</f>
        <v>78.599633931761531</v>
      </c>
      <c r="Z27" s="556">
        <v>17</v>
      </c>
      <c r="AA27" s="557">
        <v>1329.6774193548388</v>
      </c>
      <c r="AB27" s="557">
        <v>78.21631878557875</v>
      </c>
      <c r="AC27" s="556">
        <f t="shared" ref="AC27:AC41" si="26">RANK(AB27, AB$27:AB$41)</f>
        <v>4</v>
      </c>
      <c r="AD27" s="636">
        <f t="shared" ref="AD27" si="27">AVERAGE(AB27:AB41)</f>
        <v>80.215104575163409</v>
      </c>
      <c r="AE27" s="556">
        <v>17</v>
      </c>
      <c r="AF27" s="557">
        <v>1336.030534351145</v>
      </c>
      <c r="AG27" s="557">
        <v>78.59003143242029</v>
      </c>
      <c r="AH27" s="556">
        <f t="shared" ref="AH27:AH41" si="28">RANK(AG27, AG$27:AG$41)</f>
        <v>4</v>
      </c>
      <c r="AI27" s="636">
        <f t="shared" ref="AI27" si="29">AVERAGE(AG27:AG41)</f>
        <v>80.051694549586642</v>
      </c>
      <c r="AJ27" s="556">
        <v>17</v>
      </c>
      <c r="AK27" s="557">
        <v>1334.3835616438359</v>
      </c>
      <c r="AL27" s="557">
        <v>78.493150684931521</v>
      </c>
      <c r="AM27" s="556">
        <f t="shared" ref="AM27:AM41" si="30">RANK(AL27, AL$27:AL$41)</f>
        <v>4</v>
      </c>
      <c r="AN27" s="636">
        <f t="shared" ref="AN27" si="31">AVERAGE(AL27:AL41)</f>
        <v>80.001379202101788</v>
      </c>
      <c r="AO27" s="556">
        <v>17</v>
      </c>
      <c r="AP27" s="557">
        <v>1366.3548387096778</v>
      </c>
      <c r="AQ27" s="557">
        <v>80.373814041745746</v>
      </c>
      <c r="AR27" s="556">
        <f t="shared" ref="AR27:AR41" si="32">RANK(AQ27, AQ$27:AQ$41)</f>
        <v>3</v>
      </c>
      <c r="AS27" s="636">
        <f t="shared" ref="AS27" si="33">AVERAGE(AQ27:AQ41)</f>
        <v>80.397716318547225</v>
      </c>
      <c r="AT27" s="556">
        <v>17</v>
      </c>
      <c r="AU27" s="557">
        <v>1365.2459016393443</v>
      </c>
      <c r="AV27" s="557">
        <v>80.308582449373191</v>
      </c>
      <c r="AW27" s="556">
        <f t="shared" ref="AW27:AW41" si="34">RANK(AV27, AV$27:AV$41)</f>
        <v>3</v>
      </c>
      <c r="AX27" s="636">
        <f t="shared" ref="AX27" si="35">AVERAGE(AV27:AV41)</f>
        <v>80.391635137642908</v>
      </c>
      <c r="AZ27" s="368" t="e">
        <f t="shared" ref="AZ27:AZ41" si="36">RANK(AY27, AY$27:AY$41)</f>
        <v>#N/A</v>
      </c>
      <c r="BA27" s="636" t="e">
        <f t="shared" ref="BA27" si="37">AVERAGE(AY27:AY41)</f>
        <v>#DIV/0!</v>
      </c>
    </row>
    <row r="28" spans="2:53">
      <c r="B28" s="647"/>
      <c r="C28" s="380">
        <v>2</v>
      </c>
      <c r="D28" s="225" t="s">
        <v>608</v>
      </c>
      <c r="E28" s="535">
        <v>19</v>
      </c>
      <c r="F28" s="534">
        <v>1500</v>
      </c>
      <c r="G28" s="536">
        <v>78.94736842105263</v>
      </c>
      <c r="H28" s="655"/>
      <c r="I28" s="381">
        <f t="shared" si="19"/>
        <v>19</v>
      </c>
      <c r="J28" s="381">
        <f t="shared" si="20"/>
        <v>1407.5949179694292</v>
      </c>
      <c r="K28" s="199">
        <f t="shared" si="21"/>
        <v>74.083943051022615</v>
      </c>
      <c r="L28" s="657"/>
      <c r="M28" s="388">
        <f>RANK(K28, K$24:$K$41)</f>
        <v>5</v>
      </c>
      <c r="N28" s="641"/>
      <c r="O28" s="641"/>
      <c r="P28" s="556">
        <v>19</v>
      </c>
      <c r="Q28" s="557">
        <v>1383.2523364485978</v>
      </c>
      <c r="R28" s="557">
        <v>72.802754549926206</v>
      </c>
      <c r="S28" s="556">
        <f t="shared" si="22"/>
        <v>5</v>
      </c>
      <c r="T28" s="637"/>
      <c r="U28" s="556">
        <v>19</v>
      </c>
      <c r="V28" s="557">
        <v>1381.7889908256877</v>
      </c>
      <c r="W28" s="557">
        <v>72.725736359246724</v>
      </c>
      <c r="X28" s="556">
        <f t="shared" si="24"/>
        <v>5</v>
      </c>
      <c r="Y28" s="637"/>
      <c r="Z28" s="556">
        <v>19</v>
      </c>
      <c r="AA28" s="557">
        <v>1413.1250000000005</v>
      </c>
      <c r="AB28" s="557">
        <v>74.375000000000028</v>
      </c>
      <c r="AC28" s="556">
        <f t="shared" si="26"/>
        <v>5</v>
      </c>
      <c r="AD28" s="637"/>
      <c r="AE28" s="556">
        <v>19</v>
      </c>
      <c r="AF28" s="557">
        <v>1418.6086956521744</v>
      </c>
      <c r="AG28" s="557">
        <v>74.663615560640764</v>
      </c>
      <c r="AH28" s="556">
        <f t="shared" si="28"/>
        <v>5</v>
      </c>
      <c r="AI28" s="637"/>
      <c r="AJ28" s="556">
        <v>19</v>
      </c>
      <c r="AK28" s="557">
        <v>1420.9756097560978</v>
      </c>
      <c r="AL28" s="557">
        <v>74.788189987163037</v>
      </c>
      <c r="AM28" s="556">
        <f t="shared" si="30"/>
        <v>5</v>
      </c>
      <c r="AN28" s="637"/>
      <c r="AO28" s="556">
        <v>19</v>
      </c>
      <c r="AP28" s="557">
        <v>1418.9999999999993</v>
      </c>
      <c r="AQ28" s="557">
        <v>74.684210526315752</v>
      </c>
      <c r="AR28" s="556">
        <f t="shared" si="32"/>
        <v>5</v>
      </c>
      <c r="AS28" s="637"/>
      <c r="AT28" s="556">
        <v>19</v>
      </c>
      <c r="AU28" s="557">
        <v>1416.4137931034481</v>
      </c>
      <c r="AV28" s="557">
        <v>74.548094373865695</v>
      </c>
      <c r="AW28" s="556">
        <f t="shared" si="34"/>
        <v>5</v>
      </c>
      <c r="AX28" s="637"/>
      <c r="AZ28" s="368" t="e">
        <f t="shared" si="36"/>
        <v>#N/A</v>
      </c>
      <c r="BA28" s="637"/>
    </row>
    <row r="29" spans="2:53">
      <c r="B29" s="647"/>
      <c r="C29" s="380">
        <v>3</v>
      </c>
      <c r="D29" s="225" t="s">
        <v>616</v>
      </c>
      <c r="E29" s="535">
        <v>18</v>
      </c>
      <c r="F29" s="534">
        <v>1565</v>
      </c>
      <c r="G29" s="536">
        <v>86.944444444444443</v>
      </c>
      <c r="H29" s="655"/>
      <c r="I29" s="381">
        <f t="shared" si="19"/>
        <v>18</v>
      </c>
      <c r="J29" s="381">
        <f t="shared" si="20"/>
        <v>1449.6381480825003</v>
      </c>
      <c r="K29" s="199">
        <f t="shared" si="21"/>
        <v>80.535452671250013</v>
      </c>
      <c r="L29" s="657"/>
      <c r="M29" s="388">
        <f>RANK(K29, K$24:$K$41)</f>
        <v>2</v>
      </c>
      <c r="N29" s="641"/>
      <c r="O29" s="641"/>
      <c r="P29" s="556">
        <v>18</v>
      </c>
      <c r="Q29" s="557">
        <v>1452.7272727272727</v>
      </c>
      <c r="R29" s="557">
        <v>80.707070707070713</v>
      </c>
      <c r="S29" s="556">
        <f t="shared" si="22"/>
        <v>2</v>
      </c>
      <c r="T29" s="637"/>
      <c r="U29" s="556">
        <v>18</v>
      </c>
      <c r="V29" s="557">
        <v>1413.7499999999998</v>
      </c>
      <c r="W29" s="557">
        <v>78.541666666666657</v>
      </c>
      <c r="X29" s="556">
        <f t="shared" si="24"/>
        <v>3</v>
      </c>
      <c r="Y29" s="637"/>
      <c r="Z29" s="556">
        <v>18</v>
      </c>
      <c r="AA29" s="557">
        <v>1469.0000000000002</v>
      </c>
      <c r="AB29" s="557">
        <v>81.611111111111128</v>
      </c>
      <c r="AC29" s="556">
        <f t="shared" si="26"/>
        <v>2</v>
      </c>
      <c r="AD29" s="637"/>
      <c r="AE29" s="556">
        <v>18</v>
      </c>
      <c r="AF29" s="557">
        <v>1451.1627906976742</v>
      </c>
      <c r="AG29" s="557">
        <v>80.620155038759677</v>
      </c>
      <c r="AH29" s="556">
        <f t="shared" si="28"/>
        <v>2</v>
      </c>
      <c r="AI29" s="637"/>
      <c r="AJ29" s="556">
        <v>18</v>
      </c>
      <c r="AK29" s="557">
        <v>1444.1860465116276</v>
      </c>
      <c r="AL29" s="557">
        <v>80.232558139534873</v>
      </c>
      <c r="AM29" s="556">
        <f t="shared" si="30"/>
        <v>2</v>
      </c>
      <c r="AN29" s="637"/>
      <c r="AO29" s="556">
        <v>18</v>
      </c>
      <c r="AP29" s="557">
        <v>1462.8571428571427</v>
      </c>
      <c r="AQ29" s="557">
        <v>81.269841269841265</v>
      </c>
      <c r="AR29" s="556">
        <f t="shared" si="32"/>
        <v>2</v>
      </c>
      <c r="AS29" s="637"/>
      <c r="AT29" s="556">
        <v>18</v>
      </c>
      <c r="AU29" s="557">
        <v>1453.7837837837835</v>
      </c>
      <c r="AV29" s="557">
        <v>80.76576576576575</v>
      </c>
      <c r="AW29" s="556">
        <f t="shared" si="34"/>
        <v>2</v>
      </c>
      <c r="AX29" s="637"/>
      <c r="AZ29" s="368" t="e">
        <f t="shared" si="36"/>
        <v>#N/A</v>
      </c>
      <c r="BA29" s="637"/>
    </row>
    <row r="30" spans="2:53">
      <c r="B30" s="647"/>
      <c r="C30" s="380">
        <v>4</v>
      </c>
      <c r="D30" s="225" t="s">
        <v>624</v>
      </c>
      <c r="E30" s="535">
        <v>17</v>
      </c>
      <c r="F30" s="534">
        <v>1565</v>
      </c>
      <c r="G30" s="536">
        <v>92.058823529411768</v>
      </c>
      <c r="H30" s="655"/>
      <c r="I30" s="381">
        <f t="shared" si="19"/>
        <v>17</v>
      </c>
      <c r="J30" s="381">
        <f t="shared" si="20"/>
        <v>1454.4829687554416</v>
      </c>
      <c r="K30" s="199">
        <f t="shared" si="21"/>
        <v>85.557821691496542</v>
      </c>
      <c r="L30" s="657"/>
      <c r="M30" s="388">
        <f>RANK(K30, K$24:$K$41)</f>
        <v>1</v>
      </c>
      <c r="N30" s="641"/>
      <c r="O30" s="641"/>
      <c r="P30" s="556">
        <v>17</v>
      </c>
      <c r="Q30" s="557">
        <v>1408.5148514851485</v>
      </c>
      <c r="R30" s="557">
        <v>82.853814793244027</v>
      </c>
      <c r="S30" s="556">
        <f t="shared" si="22"/>
        <v>1</v>
      </c>
      <c r="T30" s="637"/>
      <c r="U30" s="556">
        <v>17</v>
      </c>
      <c r="V30" s="557">
        <v>1442.5531914893613</v>
      </c>
      <c r="W30" s="557">
        <v>84.856070087609496</v>
      </c>
      <c r="X30" s="556">
        <f t="shared" si="24"/>
        <v>1</v>
      </c>
      <c r="Y30" s="637"/>
      <c r="Z30" s="556">
        <v>17</v>
      </c>
      <c r="AA30" s="557">
        <v>1469.3225806451617</v>
      </c>
      <c r="AB30" s="557">
        <v>86.430740037950684</v>
      </c>
      <c r="AC30" s="556">
        <f t="shared" si="26"/>
        <v>1</v>
      </c>
      <c r="AD30" s="637"/>
      <c r="AE30" s="556">
        <v>17</v>
      </c>
      <c r="AF30" s="557">
        <v>1468.695652173913</v>
      </c>
      <c r="AG30" s="557">
        <v>86.393861892583118</v>
      </c>
      <c r="AH30" s="556">
        <f t="shared" si="28"/>
        <v>1</v>
      </c>
      <c r="AI30" s="637"/>
      <c r="AJ30" s="556">
        <v>17</v>
      </c>
      <c r="AK30" s="557">
        <v>1466.5714285714289</v>
      </c>
      <c r="AL30" s="557">
        <v>86.268907563025223</v>
      </c>
      <c r="AM30" s="556">
        <f t="shared" si="30"/>
        <v>1</v>
      </c>
      <c r="AN30" s="637"/>
      <c r="AO30" s="556">
        <v>17</v>
      </c>
      <c r="AP30" s="557">
        <v>1457.7230769230764</v>
      </c>
      <c r="AQ30" s="557">
        <v>85.748416289592726</v>
      </c>
      <c r="AR30" s="556">
        <f t="shared" si="32"/>
        <v>1</v>
      </c>
      <c r="AS30" s="637"/>
      <c r="AT30" s="556">
        <v>17</v>
      </c>
      <c r="AU30" s="557">
        <v>1468</v>
      </c>
      <c r="AV30" s="557">
        <v>86.352941176470594</v>
      </c>
      <c r="AW30" s="556">
        <f t="shared" si="34"/>
        <v>1</v>
      </c>
      <c r="AX30" s="637"/>
      <c r="AZ30" s="368" t="e">
        <f t="shared" si="36"/>
        <v>#N/A</v>
      </c>
      <c r="BA30" s="637"/>
    </row>
    <row r="31" spans="2:53">
      <c r="B31" s="647"/>
      <c r="C31" s="380">
        <v>5</v>
      </c>
      <c r="D31" s="225" t="s">
        <v>719</v>
      </c>
      <c r="E31" s="535">
        <v>17</v>
      </c>
      <c r="F31" s="534">
        <v>1565</v>
      </c>
      <c r="G31" s="536">
        <v>92.058823529411768</v>
      </c>
      <c r="H31" s="655"/>
      <c r="I31" s="381">
        <f t="shared" si="19"/>
        <v>17</v>
      </c>
      <c r="J31" s="381">
        <f t="shared" si="20"/>
        <v>1341.6795349569163</v>
      </c>
      <c r="K31" s="199">
        <f t="shared" si="21"/>
        <v>78.922325585700946</v>
      </c>
      <c r="L31" s="657"/>
      <c r="M31" s="388">
        <f>RANK(K31, K$24:$K$41)</f>
        <v>4</v>
      </c>
      <c r="N31" s="641"/>
      <c r="O31" s="641"/>
      <c r="P31" s="556">
        <v>17</v>
      </c>
      <c r="Q31" s="557">
        <v>1289.0526315789475</v>
      </c>
      <c r="R31" s="557">
        <v>75.826625386996909</v>
      </c>
      <c r="S31" s="556">
        <f t="shared" si="22"/>
        <v>4</v>
      </c>
      <c r="T31" s="637"/>
      <c r="U31" s="556">
        <v>17</v>
      </c>
      <c r="V31" s="557">
        <v>1293.3142857142855</v>
      </c>
      <c r="W31" s="557">
        <v>76.077310924369726</v>
      </c>
      <c r="X31" s="556">
        <f t="shared" si="24"/>
        <v>4</v>
      </c>
      <c r="Y31" s="637"/>
      <c r="Z31" s="556">
        <v>17</v>
      </c>
      <c r="AA31" s="557">
        <v>1367.5200000000002</v>
      </c>
      <c r="AB31" s="557">
        <v>80.44235294117648</v>
      </c>
      <c r="AC31" s="556">
        <f t="shared" si="26"/>
        <v>3</v>
      </c>
      <c r="AD31" s="637"/>
      <c r="AE31" s="556">
        <v>17</v>
      </c>
      <c r="AF31" s="557">
        <v>1359.8437499999998</v>
      </c>
      <c r="AG31" s="557">
        <v>79.990808823529392</v>
      </c>
      <c r="AH31" s="556">
        <f t="shared" si="28"/>
        <v>3</v>
      </c>
      <c r="AI31" s="637"/>
      <c r="AJ31" s="556">
        <v>17</v>
      </c>
      <c r="AK31" s="557">
        <v>1363.8095238095234</v>
      </c>
      <c r="AL31" s="557">
        <v>80.224089635854313</v>
      </c>
      <c r="AM31" s="556">
        <f t="shared" si="30"/>
        <v>3</v>
      </c>
      <c r="AN31" s="637"/>
      <c r="AO31" s="556">
        <v>17</v>
      </c>
      <c r="AP31" s="557">
        <v>1358.5090909090907</v>
      </c>
      <c r="AQ31" s="557">
        <v>79.912299465240622</v>
      </c>
      <c r="AR31" s="556">
        <f t="shared" si="32"/>
        <v>4</v>
      </c>
      <c r="AS31" s="637"/>
      <c r="AT31" s="556">
        <v>17</v>
      </c>
      <c r="AU31" s="557">
        <v>1359.7074626865672</v>
      </c>
      <c r="AV31" s="557">
        <v>79.982791922739239</v>
      </c>
      <c r="AW31" s="556">
        <f t="shared" si="34"/>
        <v>4</v>
      </c>
      <c r="AX31" s="637"/>
      <c r="AZ31" s="368" t="e">
        <f t="shared" si="36"/>
        <v>#N/A</v>
      </c>
      <c r="BA31" s="637"/>
    </row>
    <row r="32" spans="2:53">
      <c r="B32" s="647"/>
      <c r="C32" s="380">
        <v>6</v>
      </c>
      <c r="D32" s="225"/>
      <c r="E32" s="535"/>
      <c r="F32" s="534"/>
      <c r="G32" s="536"/>
      <c r="H32" s="655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57"/>
      <c r="M32" s="388" t="e">
        <f>RANK(K32, K$24:$K$41)</f>
        <v>#VALUE!</v>
      </c>
      <c r="N32" s="641"/>
      <c r="O32" s="641"/>
      <c r="P32" s="556" t="s">
        <v>585</v>
      </c>
      <c r="Q32" s="557" t="s">
        <v>585</v>
      </c>
      <c r="R32" s="557" t="s">
        <v>585</v>
      </c>
      <c r="S32" s="556" t="e">
        <f t="shared" si="22"/>
        <v>#VALUE!</v>
      </c>
      <c r="T32" s="637"/>
      <c r="U32" s="556" t="s">
        <v>585</v>
      </c>
      <c r="V32" s="557" t="s">
        <v>585</v>
      </c>
      <c r="W32" s="557" t="s">
        <v>585</v>
      </c>
      <c r="X32" s="556" t="e">
        <f t="shared" si="24"/>
        <v>#VALUE!</v>
      </c>
      <c r="Y32" s="637"/>
      <c r="Z32" s="556" t="s">
        <v>585</v>
      </c>
      <c r="AA32" s="557" t="s">
        <v>585</v>
      </c>
      <c r="AB32" s="557" t="s">
        <v>585</v>
      </c>
      <c r="AC32" s="556" t="e">
        <f t="shared" si="26"/>
        <v>#VALUE!</v>
      </c>
      <c r="AD32" s="637"/>
      <c r="AE32" s="556" t="s">
        <v>585</v>
      </c>
      <c r="AF32" s="557" t="s">
        <v>585</v>
      </c>
      <c r="AG32" s="557" t="s">
        <v>585</v>
      </c>
      <c r="AH32" s="556" t="e">
        <f t="shared" si="28"/>
        <v>#VALUE!</v>
      </c>
      <c r="AI32" s="637"/>
      <c r="AJ32" s="556" t="s">
        <v>585</v>
      </c>
      <c r="AK32" s="557" t="s">
        <v>585</v>
      </c>
      <c r="AL32" s="557" t="s">
        <v>585</v>
      </c>
      <c r="AM32" s="556" t="e">
        <f t="shared" si="30"/>
        <v>#VALUE!</v>
      </c>
      <c r="AN32" s="637"/>
      <c r="AO32" s="556" t="s">
        <v>585</v>
      </c>
      <c r="AP32" s="557" t="s">
        <v>585</v>
      </c>
      <c r="AQ32" s="557" t="s">
        <v>585</v>
      </c>
      <c r="AR32" s="556" t="e">
        <f t="shared" si="32"/>
        <v>#VALUE!</v>
      </c>
      <c r="AS32" s="637"/>
      <c r="AT32" s="556" t="s">
        <v>585</v>
      </c>
      <c r="AU32" s="557" t="s">
        <v>585</v>
      </c>
      <c r="AV32" s="557" t="s">
        <v>585</v>
      </c>
      <c r="AW32" s="556" t="e">
        <f t="shared" si="34"/>
        <v>#VALUE!</v>
      </c>
      <c r="AX32" s="637"/>
      <c r="AZ32" s="368" t="e">
        <f t="shared" si="36"/>
        <v>#N/A</v>
      </c>
      <c r="BA32" s="637"/>
    </row>
    <row r="33" spans="2:53">
      <c r="B33" s="647"/>
      <c r="C33" s="380">
        <v>7</v>
      </c>
      <c r="D33" s="225"/>
      <c r="E33" s="535"/>
      <c r="F33" s="534"/>
      <c r="G33" s="536"/>
      <c r="H33" s="655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57"/>
      <c r="M33" s="388" t="e">
        <f>RANK(K33, K$24:$K$41)</f>
        <v>#VALUE!</v>
      </c>
      <c r="N33" s="641"/>
      <c r="O33" s="641"/>
      <c r="P33" s="556" t="s">
        <v>585</v>
      </c>
      <c r="Q33" s="557" t="s">
        <v>585</v>
      </c>
      <c r="R33" s="557" t="s">
        <v>585</v>
      </c>
      <c r="S33" s="556" t="e">
        <f t="shared" si="22"/>
        <v>#VALUE!</v>
      </c>
      <c r="T33" s="637"/>
      <c r="U33" s="556" t="s">
        <v>585</v>
      </c>
      <c r="V33" s="557" t="s">
        <v>585</v>
      </c>
      <c r="W33" s="557" t="s">
        <v>585</v>
      </c>
      <c r="X33" s="556" t="e">
        <f t="shared" si="24"/>
        <v>#VALUE!</v>
      </c>
      <c r="Y33" s="637"/>
      <c r="Z33" s="556" t="s">
        <v>585</v>
      </c>
      <c r="AA33" s="557" t="s">
        <v>585</v>
      </c>
      <c r="AB33" s="557" t="s">
        <v>585</v>
      </c>
      <c r="AC33" s="556" t="e">
        <f t="shared" si="26"/>
        <v>#VALUE!</v>
      </c>
      <c r="AD33" s="637"/>
      <c r="AE33" s="556" t="s">
        <v>585</v>
      </c>
      <c r="AF33" s="557" t="s">
        <v>585</v>
      </c>
      <c r="AG33" s="557" t="s">
        <v>585</v>
      </c>
      <c r="AH33" s="556" t="e">
        <f t="shared" si="28"/>
        <v>#VALUE!</v>
      </c>
      <c r="AI33" s="637"/>
      <c r="AJ33" s="556" t="s">
        <v>585</v>
      </c>
      <c r="AK33" s="557" t="s">
        <v>585</v>
      </c>
      <c r="AL33" s="557" t="s">
        <v>585</v>
      </c>
      <c r="AM33" s="556" t="e">
        <f t="shared" si="30"/>
        <v>#VALUE!</v>
      </c>
      <c r="AN33" s="637"/>
      <c r="AO33" s="556" t="s">
        <v>585</v>
      </c>
      <c r="AP33" s="557" t="s">
        <v>585</v>
      </c>
      <c r="AQ33" s="557" t="s">
        <v>585</v>
      </c>
      <c r="AR33" s="556" t="e">
        <f t="shared" si="32"/>
        <v>#VALUE!</v>
      </c>
      <c r="AS33" s="637"/>
      <c r="AT33" s="556" t="s">
        <v>585</v>
      </c>
      <c r="AU33" s="557" t="s">
        <v>585</v>
      </c>
      <c r="AV33" s="557" t="s">
        <v>585</v>
      </c>
      <c r="AW33" s="556" t="e">
        <f t="shared" si="34"/>
        <v>#VALUE!</v>
      </c>
      <c r="AX33" s="637"/>
      <c r="AZ33" s="368" t="e">
        <f t="shared" si="36"/>
        <v>#N/A</v>
      </c>
      <c r="BA33" s="637"/>
    </row>
    <row r="34" spans="2:53">
      <c r="B34" s="647"/>
      <c r="C34" s="380">
        <v>8</v>
      </c>
      <c r="D34" s="225"/>
      <c r="E34" s="535"/>
      <c r="F34" s="534"/>
      <c r="G34" s="536"/>
      <c r="H34" s="655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57"/>
      <c r="M34" s="388" t="e">
        <f>RANK(K34, K$24:$K$41)</f>
        <v>#VALUE!</v>
      </c>
      <c r="N34" s="641"/>
      <c r="O34" s="641"/>
      <c r="P34" s="556" t="s">
        <v>585</v>
      </c>
      <c r="Q34" s="557" t="s">
        <v>585</v>
      </c>
      <c r="R34" s="557" t="s">
        <v>585</v>
      </c>
      <c r="S34" s="556" t="e">
        <f t="shared" si="22"/>
        <v>#VALUE!</v>
      </c>
      <c r="T34" s="637"/>
      <c r="U34" s="556" t="s">
        <v>585</v>
      </c>
      <c r="V34" s="557" t="s">
        <v>585</v>
      </c>
      <c r="W34" s="557" t="s">
        <v>585</v>
      </c>
      <c r="X34" s="556" t="e">
        <f t="shared" si="24"/>
        <v>#VALUE!</v>
      </c>
      <c r="Y34" s="637"/>
      <c r="Z34" s="556" t="s">
        <v>585</v>
      </c>
      <c r="AA34" s="557" t="s">
        <v>585</v>
      </c>
      <c r="AB34" s="557" t="s">
        <v>585</v>
      </c>
      <c r="AC34" s="556" t="e">
        <f t="shared" si="26"/>
        <v>#VALUE!</v>
      </c>
      <c r="AD34" s="637"/>
      <c r="AE34" s="556" t="s">
        <v>585</v>
      </c>
      <c r="AF34" s="557" t="s">
        <v>585</v>
      </c>
      <c r="AG34" s="557" t="s">
        <v>585</v>
      </c>
      <c r="AH34" s="556" t="e">
        <f t="shared" si="28"/>
        <v>#VALUE!</v>
      </c>
      <c r="AI34" s="637"/>
      <c r="AJ34" s="556" t="s">
        <v>585</v>
      </c>
      <c r="AK34" s="557" t="s">
        <v>585</v>
      </c>
      <c r="AL34" s="557" t="s">
        <v>585</v>
      </c>
      <c r="AM34" s="556" t="e">
        <f t="shared" si="30"/>
        <v>#VALUE!</v>
      </c>
      <c r="AN34" s="637"/>
      <c r="AO34" s="556" t="s">
        <v>585</v>
      </c>
      <c r="AP34" s="557" t="s">
        <v>585</v>
      </c>
      <c r="AQ34" s="557" t="s">
        <v>585</v>
      </c>
      <c r="AR34" s="556" t="e">
        <f t="shared" si="32"/>
        <v>#VALUE!</v>
      </c>
      <c r="AS34" s="637"/>
      <c r="AT34" s="556" t="s">
        <v>585</v>
      </c>
      <c r="AU34" s="557" t="s">
        <v>585</v>
      </c>
      <c r="AV34" s="557" t="s">
        <v>585</v>
      </c>
      <c r="AW34" s="556" t="e">
        <f t="shared" si="34"/>
        <v>#VALUE!</v>
      </c>
      <c r="AX34" s="637"/>
      <c r="AZ34" s="368" t="e">
        <f t="shared" si="36"/>
        <v>#N/A</v>
      </c>
      <c r="BA34" s="637"/>
    </row>
    <row r="35" spans="2:53">
      <c r="B35" s="647"/>
      <c r="C35" s="380">
        <v>9</v>
      </c>
      <c r="D35" s="225"/>
      <c r="E35" s="535"/>
      <c r="F35" s="534"/>
      <c r="G35" s="536"/>
      <c r="H35" s="655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57"/>
      <c r="M35" s="388" t="e">
        <f>RANK(K35, K$24:$K$41)</f>
        <v>#VALUE!</v>
      </c>
      <c r="N35" s="641"/>
      <c r="O35" s="641"/>
      <c r="P35" s="556" t="s">
        <v>585</v>
      </c>
      <c r="Q35" s="557" t="s">
        <v>585</v>
      </c>
      <c r="R35" s="557" t="s">
        <v>585</v>
      </c>
      <c r="S35" s="556" t="e">
        <f t="shared" si="22"/>
        <v>#VALUE!</v>
      </c>
      <c r="T35" s="637"/>
      <c r="U35" s="556" t="s">
        <v>585</v>
      </c>
      <c r="V35" s="557" t="s">
        <v>585</v>
      </c>
      <c r="W35" s="557" t="s">
        <v>585</v>
      </c>
      <c r="X35" s="556" t="e">
        <f t="shared" si="24"/>
        <v>#VALUE!</v>
      </c>
      <c r="Y35" s="637"/>
      <c r="Z35" s="556" t="s">
        <v>585</v>
      </c>
      <c r="AA35" s="557" t="s">
        <v>585</v>
      </c>
      <c r="AB35" s="557" t="s">
        <v>585</v>
      </c>
      <c r="AC35" s="556" t="e">
        <f t="shared" si="26"/>
        <v>#VALUE!</v>
      </c>
      <c r="AD35" s="637"/>
      <c r="AE35" s="556" t="s">
        <v>585</v>
      </c>
      <c r="AF35" s="557" t="s">
        <v>585</v>
      </c>
      <c r="AG35" s="557" t="s">
        <v>585</v>
      </c>
      <c r="AH35" s="556" t="e">
        <f t="shared" si="28"/>
        <v>#VALUE!</v>
      </c>
      <c r="AI35" s="637"/>
      <c r="AJ35" s="556" t="s">
        <v>585</v>
      </c>
      <c r="AK35" s="557" t="s">
        <v>585</v>
      </c>
      <c r="AL35" s="557" t="s">
        <v>585</v>
      </c>
      <c r="AM35" s="556" t="e">
        <f t="shared" si="30"/>
        <v>#VALUE!</v>
      </c>
      <c r="AN35" s="637"/>
      <c r="AO35" s="556" t="s">
        <v>585</v>
      </c>
      <c r="AP35" s="557" t="s">
        <v>585</v>
      </c>
      <c r="AQ35" s="557" t="s">
        <v>585</v>
      </c>
      <c r="AR35" s="556" t="e">
        <f t="shared" si="32"/>
        <v>#VALUE!</v>
      </c>
      <c r="AS35" s="637"/>
      <c r="AT35" s="556" t="s">
        <v>585</v>
      </c>
      <c r="AU35" s="557" t="s">
        <v>585</v>
      </c>
      <c r="AV35" s="557" t="s">
        <v>585</v>
      </c>
      <c r="AW35" s="556" t="e">
        <f t="shared" si="34"/>
        <v>#VALUE!</v>
      </c>
      <c r="AX35" s="637"/>
      <c r="AZ35" s="368" t="e">
        <f t="shared" si="36"/>
        <v>#N/A</v>
      </c>
      <c r="BA35" s="637"/>
    </row>
    <row r="36" spans="2:53">
      <c r="B36" s="647"/>
      <c r="C36" s="380">
        <v>10</v>
      </c>
      <c r="D36" s="225"/>
      <c r="E36" s="535"/>
      <c r="F36" s="534"/>
      <c r="G36" s="536"/>
      <c r="H36" s="655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57"/>
      <c r="M36" s="388" t="e">
        <f>RANK(K36, K$24:$K$41)</f>
        <v>#VALUE!</v>
      </c>
      <c r="N36" s="641"/>
      <c r="O36" s="641"/>
      <c r="P36" s="556" t="s">
        <v>585</v>
      </c>
      <c r="Q36" s="557" t="s">
        <v>585</v>
      </c>
      <c r="R36" s="557" t="s">
        <v>585</v>
      </c>
      <c r="S36" s="556" t="e">
        <f t="shared" si="22"/>
        <v>#VALUE!</v>
      </c>
      <c r="T36" s="637"/>
      <c r="U36" s="556" t="s">
        <v>585</v>
      </c>
      <c r="V36" s="557" t="s">
        <v>585</v>
      </c>
      <c r="W36" s="557" t="s">
        <v>585</v>
      </c>
      <c r="X36" s="556" t="e">
        <f t="shared" si="24"/>
        <v>#VALUE!</v>
      </c>
      <c r="Y36" s="637"/>
      <c r="Z36" s="556" t="s">
        <v>585</v>
      </c>
      <c r="AA36" s="557" t="s">
        <v>585</v>
      </c>
      <c r="AB36" s="557" t="s">
        <v>585</v>
      </c>
      <c r="AC36" s="556" t="e">
        <f t="shared" si="26"/>
        <v>#VALUE!</v>
      </c>
      <c r="AD36" s="637"/>
      <c r="AE36" s="556" t="s">
        <v>585</v>
      </c>
      <c r="AF36" s="557" t="s">
        <v>585</v>
      </c>
      <c r="AG36" s="557" t="s">
        <v>585</v>
      </c>
      <c r="AH36" s="556" t="e">
        <f t="shared" si="28"/>
        <v>#VALUE!</v>
      </c>
      <c r="AI36" s="637"/>
      <c r="AJ36" s="556" t="s">
        <v>585</v>
      </c>
      <c r="AK36" s="557" t="s">
        <v>585</v>
      </c>
      <c r="AL36" s="557" t="s">
        <v>585</v>
      </c>
      <c r="AM36" s="556" t="e">
        <f t="shared" si="30"/>
        <v>#VALUE!</v>
      </c>
      <c r="AN36" s="637"/>
      <c r="AO36" s="556" t="s">
        <v>585</v>
      </c>
      <c r="AP36" s="557" t="s">
        <v>585</v>
      </c>
      <c r="AQ36" s="557" t="s">
        <v>585</v>
      </c>
      <c r="AR36" s="556" t="e">
        <f t="shared" si="32"/>
        <v>#VALUE!</v>
      </c>
      <c r="AS36" s="637"/>
      <c r="AT36" s="556" t="s">
        <v>585</v>
      </c>
      <c r="AU36" s="557" t="s">
        <v>585</v>
      </c>
      <c r="AV36" s="557" t="s">
        <v>585</v>
      </c>
      <c r="AW36" s="556" t="e">
        <f t="shared" si="34"/>
        <v>#VALUE!</v>
      </c>
      <c r="AX36" s="637"/>
      <c r="AZ36" s="368" t="e">
        <f t="shared" si="36"/>
        <v>#N/A</v>
      </c>
      <c r="BA36" s="637"/>
    </row>
    <row r="37" spans="2:53">
      <c r="B37" s="647"/>
      <c r="C37" s="380">
        <v>11</v>
      </c>
      <c r="D37" s="225"/>
      <c r="E37" s="535"/>
      <c r="F37" s="534"/>
      <c r="G37" s="536"/>
      <c r="H37" s="655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57"/>
      <c r="M37" s="388" t="e">
        <f>RANK(K37, K$24:$K$41)</f>
        <v>#VALUE!</v>
      </c>
      <c r="N37" s="641"/>
      <c r="O37" s="641"/>
      <c r="P37" s="556" t="s">
        <v>585</v>
      </c>
      <c r="Q37" s="557" t="s">
        <v>585</v>
      </c>
      <c r="R37" s="557" t="s">
        <v>585</v>
      </c>
      <c r="S37" s="556" t="e">
        <f t="shared" si="22"/>
        <v>#VALUE!</v>
      </c>
      <c r="T37" s="637"/>
      <c r="U37" s="556" t="s">
        <v>585</v>
      </c>
      <c r="V37" s="557" t="s">
        <v>585</v>
      </c>
      <c r="W37" s="557" t="s">
        <v>585</v>
      </c>
      <c r="X37" s="556" t="e">
        <f t="shared" si="24"/>
        <v>#VALUE!</v>
      </c>
      <c r="Y37" s="637"/>
      <c r="Z37" s="556" t="s">
        <v>585</v>
      </c>
      <c r="AA37" s="557" t="s">
        <v>585</v>
      </c>
      <c r="AB37" s="557" t="s">
        <v>585</v>
      </c>
      <c r="AC37" s="556" t="e">
        <f t="shared" si="26"/>
        <v>#VALUE!</v>
      </c>
      <c r="AD37" s="637"/>
      <c r="AE37" s="556" t="s">
        <v>585</v>
      </c>
      <c r="AF37" s="557" t="s">
        <v>585</v>
      </c>
      <c r="AG37" s="557" t="s">
        <v>585</v>
      </c>
      <c r="AH37" s="556" t="e">
        <f t="shared" si="28"/>
        <v>#VALUE!</v>
      </c>
      <c r="AI37" s="637"/>
      <c r="AJ37" s="556" t="s">
        <v>585</v>
      </c>
      <c r="AK37" s="557" t="s">
        <v>585</v>
      </c>
      <c r="AL37" s="557" t="s">
        <v>585</v>
      </c>
      <c r="AM37" s="556" t="e">
        <f t="shared" si="30"/>
        <v>#VALUE!</v>
      </c>
      <c r="AN37" s="637"/>
      <c r="AO37" s="556" t="s">
        <v>585</v>
      </c>
      <c r="AP37" s="557" t="s">
        <v>585</v>
      </c>
      <c r="AQ37" s="557" t="s">
        <v>585</v>
      </c>
      <c r="AR37" s="556" t="e">
        <f t="shared" si="32"/>
        <v>#VALUE!</v>
      </c>
      <c r="AS37" s="637"/>
      <c r="AT37" s="556" t="s">
        <v>585</v>
      </c>
      <c r="AU37" s="557" t="s">
        <v>585</v>
      </c>
      <c r="AV37" s="557" t="s">
        <v>585</v>
      </c>
      <c r="AW37" s="556" t="e">
        <f t="shared" si="34"/>
        <v>#VALUE!</v>
      </c>
      <c r="AX37" s="637"/>
      <c r="AZ37" s="368" t="e">
        <f t="shared" si="36"/>
        <v>#N/A</v>
      </c>
      <c r="BA37" s="637"/>
    </row>
    <row r="38" spans="2:53">
      <c r="B38" s="647"/>
      <c r="C38" s="380">
        <v>12</v>
      </c>
      <c r="D38" s="225"/>
      <c r="E38" s="535"/>
      <c r="F38" s="534"/>
      <c r="G38" s="536"/>
      <c r="H38" s="655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57"/>
      <c r="M38" s="388" t="e">
        <f>RANK(K38, K$24:$K$41)</f>
        <v>#VALUE!</v>
      </c>
      <c r="N38" s="641"/>
      <c r="O38" s="641"/>
      <c r="P38" s="556" t="s">
        <v>585</v>
      </c>
      <c r="Q38" s="557" t="s">
        <v>585</v>
      </c>
      <c r="R38" s="557" t="s">
        <v>585</v>
      </c>
      <c r="S38" s="556" t="e">
        <f t="shared" si="22"/>
        <v>#VALUE!</v>
      </c>
      <c r="T38" s="637"/>
      <c r="U38" s="556" t="s">
        <v>585</v>
      </c>
      <c r="V38" s="557" t="s">
        <v>585</v>
      </c>
      <c r="W38" s="557" t="s">
        <v>585</v>
      </c>
      <c r="X38" s="556" t="e">
        <f t="shared" si="24"/>
        <v>#VALUE!</v>
      </c>
      <c r="Y38" s="637"/>
      <c r="Z38" s="556" t="s">
        <v>585</v>
      </c>
      <c r="AA38" s="557" t="s">
        <v>585</v>
      </c>
      <c r="AB38" s="557" t="s">
        <v>585</v>
      </c>
      <c r="AC38" s="556" t="e">
        <f t="shared" si="26"/>
        <v>#VALUE!</v>
      </c>
      <c r="AD38" s="637"/>
      <c r="AE38" s="556" t="s">
        <v>585</v>
      </c>
      <c r="AF38" s="557" t="s">
        <v>585</v>
      </c>
      <c r="AG38" s="557" t="s">
        <v>585</v>
      </c>
      <c r="AH38" s="556" t="e">
        <f t="shared" si="28"/>
        <v>#VALUE!</v>
      </c>
      <c r="AI38" s="637"/>
      <c r="AJ38" s="556" t="s">
        <v>585</v>
      </c>
      <c r="AK38" s="557" t="s">
        <v>585</v>
      </c>
      <c r="AL38" s="557" t="s">
        <v>585</v>
      </c>
      <c r="AM38" s="556" t="e">
        <f t="shared" si="30"/>
        <v>#VALUE!</v>
      </c>
      <c r="AN38" s="637"/>
      <c r="AO38" s="556" t="s">
        <v>585</v>
      </c>
      <c r="AP38" s="557" t="s">
        <v>585</v>
      </c>
      <c r="AQ38" s="557" t="s">
        <v>585</v>
      </c>
      <c r="AR38" s="556" t="e">
        <f t="shared" si="32"/>
        <v>#VALUE!</v>
      </c>
      <c r="AS38" s="637"/>
      <c r="AT38" s="556" t="s">
        <v>585</v>
      </c>
      <c r="AU38" s="557" t="s">
        <v>585</v>
      </c>
      <c r="AV38" s="557" t="s">
        <v>585</v>
      </c>
      <c r="AW38" s="556" t="e">
        <f t="shared" si="34"/>
        <v>#VALUE!</v>
      </c>
      <c r="AX38" s="637"/>
      <c r="AZ38" s="368" t="e">
        <f t="shared" si="36"/>
        <v>#N/A</v>
      </c>
      <c r="BA38" s="637"/>
    </row>
    <row r="39" spans="2:53">
      <c r="B39" s="647"/>
      <c r="C39" s="380">
        <v>13</v>
      </c>
      <c r="D39" s="225"/>
      <c r="E39" s="535"/>
      <c r="F39" s="534"/>
      <c r="G39" s="536"/>
      <c r="H39" s="655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57"/>
      <c r="M39" s="388" t="e">
        <f>RANK(K39, K$24:$K$41)</f>
        <v>#VALUE!</v>
      </c>
      <c r="N39" s="641"/>
      <c r="O39" s="641"/>
      <c r="P39" s="556" t="s">
        <v>585</v>
      </c>
      <c r="Q39" s="557" t="s">
        <v>585</v>
      </c>
      <c r="R39" s="557" t="s">
        <v>585</v>
      </c>
      <c r="S39" s="556" t="e">
        <f t="shared" si="22"/>
        <v>#VALUE!</v>
      </c>
      <c r="T39" s="637"/>
      <c r="U39" s="556" t="s">
        <v>585</v>
      </c>
      <c r="V39" s="557" t="s">
        <v>585</v>
      </c>
      <c r="W39" s="557" t="s">
        <v>585</v>
      </c>
      <c r="X39" s="556" t="e">
        <f t="shared" si="24"/>
        <v>#VALUE!</v>
      </c>
      <c r="Y39" s="637"/>
      <c r="Z39" s="556" t="s">
        <v>585</v>
      </c>
      <c r="AA39" s="557" t="s">
        <v>585</v>
      </c>
      <c r="AB39" s="557" t="s">
        <v>585</v>
      </c>
      <c r="AC39" s="556" t="e">
        <f t="shared" si="26"/>
        <v>#VALUE!</v>
      </c>
      <c r="AD39" s="637"/>
      <c r="AE39" s="556" t="s">
        <v>585</v>
      </c>
      <c r="AF39" s="557" t="s">
        <v>585</v>
      </c>
      <c r="AG39" s="557" t="s">
        <v>585</v>
      </c>
      <c r="AH39" s="556" t="e">
        <f t="shared" si="28"/>
        <v>#VALUE!</v>
      </c>
      <c r="AI39" s="637"/>
      <c r="AJ39" s="556" t="s">
        <v>585</v>
      </c>
      <c r="AK39" s="557" t="s">
        <v>585</v>
      </c>
      <c r="AL39" s="557" t="s">
        <v>585</v>
      </c>
      <c r="AM39" s="556" t="e">
        <f t="shared" si="30"/>
        <v>#VALUE!</v>
      </c>
      <c r="AN39" s="637"/>
      <c r="AO39" s="556" t="s">
        <v>585</v>
      </c>
      <c r="AP39" s="557" t="s">
        <v>585</v>
      </c>
      <c r="AQ39" s="557" t="s">
        <v>585</v>
      </c>
      <c r="AR39" s="556" t="e">
        <f t="shared" si="32"/>
        <v>#VALUE!</v>
      </c>
      <c r="AS39" s="637"/>
      <c r="AT39" s="556" t="s">
        <v>585</v>
      </c>
      <c r="AU39" s="557" t="s">
        <v>585</v>
      </c>
      <c r="AV39" s="557" t="s">
        <v>585</v>
      </c>
      <c r="AW39" s="556" t="e">
        <f t="shared" si="34"/>
        <v>#VALUE!</v>
      </c>
      <c r="AX39" s="637"/>
      <c r="AZ39" s="368" t="e">
        <f t="shared" si="36"/>
        <v>#N/A</v>
      </c>
      <c r="BA39" s="637"/>
    </row>
    <row r="40" spans="2:53">
      <c r="B40" s="647"/>
      <c r="C40" s="380">
        <v>14</v>
      </c>
      <c r="D40" s="225"/>
      <c r="E40" s="535"/>
      <c r="F40" s="534"/>
      <c r="G40" s="536"/>
      <c r="H40" s="655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7"/>
      <c r="M40" s="388" t="e">
        <f>RANK(K40, K$24:$K$41)</f>
        <v>#VALUE!</v>
      </c>
      <c r="N40" s="641"/>
      <c r="O40" s="641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7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7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7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7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7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7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7"/>
      <c r="AZ40" s="368" t="e">
        <f t="shared" si="36"/>
        <v>#N/A</v>
      </c>
      <c r="BA40" s="637"/>
    </row>
    <row r="41" spans="2:53">
      <c r="B41" s="647"/>
      <c r="C41" s="380">
        <v>15</v>
      </c>
      <c r="D41" s="225"/>
      <c r="E41" s="535"/>
      <c r="F41" s="534"/>
      <c r="G41" s="536"/>
      <c r="H41" s="712"/>
      <c r="I41" s="380"/>
      <c r="J41" s="380"/>
      <c r="K41" s="380"/>
      <c r="L41" s="658"/>
      <c r="M41" s="388" t="e">
        <f>RANK(K41, K$24:$K$41)</f>
        <v>#N/A</v>
      </c>
      <c r="N41" s="641"/>
      <c r="O41" s="641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8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8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8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8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8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8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8"/>
      <c r="AZ41" s="368" t="e">
        <f t="shared" si="36"/>
        <v>#N/A</v>
      </c>
      <c r="BA41" s="638"/>
    </row>
    <row r="42" spans="2:53" ht="15.75">
      <c r="B42" s="680" t="s">
        <v>162</v>
      </c>
      <c r="C42" s="681"/>
      <c r="D42" s="681"/>
      <c r="E42" s="681"/>
      <c r="F42" s="681"/>
      <c r="G42" s="681"/>
      <c r="H42" s="681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68">
        <f>P22+7</f>
        <v>46245</v>
      </c>
      <c r="Q42" s="647"/>
      <c r="R42" s="647"/>
      <c r="S42" s="647"/>
      <c r="T42" s="647"/>
      <c r="U42" s="665">
        <f>P42+1</f>
        <v>46246</v>
      </c>
      <c r="V42" s="666"/>
      <c r="W42" s="666"/>
      <c r="X42" s="666"/>
      <c r="Y42" s="667"/>
      <c r="Z42" s="665">
        <f>U42+1</f>
        <v>46247</v>
      </c>
      <c r="AA42" s="666"/>
      <c r="AB42" s="666"/>
      <c r="AC42" s="666"/>
      <c r="AD42" s="667"/>
      <c r="AE42" s="665">
        <f>Z42+1</f>
        <v>46248</v>
      </c>
      <c r="AF42" s="666"/>
      <c r="AG42" s="666"/>
      <c r="AH42" s="666"/>
      <c r="AI42" s="667"/>
      <c r="AJ42" s="665">
        <f>AE42+1</f>
        <v>46249</v>
      </c>
      <c r="AK42" s="666"/>
      <c r="AL42" s="666"/>
      <c r="AM42" s="666"/>
      <c r="AN42" s="667"/>
      <c r="AO42" s="665">
        <f>AJ42+1</f>
        <v>46250</v>
      </c>
      <c r="AP42" s="666"/>
      <c r="AQ42" s="666"/>
      <c r="AR42" s="666"/>
      <c r="AS42" s="667"/>
      <c r="AT42" s="665">
        <f>AO42+1</f>
        <v>46251</v>
      </c>
      <c r="AU42" s="666"/>
      <c r="AV42" s="666"/>
      <c r="AW42" s="666"/>
      <c r="AX42" s="667"/>
    </row>
    <row r="43" spans="2:53" ht="15.75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45"/>
      <c r="O43" s="645"/>
      <c r="P43" s="668" t="s">
        <v>317</v>
      </c>
      <c r="Q43" s="647"/>
      <c r="R43" s="647"/>
      <c r="S43" s="647"/>
      <c r="T43" s="647"/>
      <c r="U43" s="668" t="s">
        <v>318</v>
      </c>
      <c r="V43" s="647"/>
      <c r="W43" s="647"/>
      <c r="X43" s="647"/>
      <c r="Y43" s="647"/>
      <c r="Z43" s="668" t="s">
        <v>319</v>
      </c>
      <c r="AA43" s="647"/>
      <c r="AB43" s="647"/>
      <c r="AC43" s="647"/>
      <c r="AD43" s="647"/>
      <c r="AE43" s="668" t="s">
        <v>320</v>
      </c>
      <c r="AF43" s="647"/>
      <c r="AG43" s="647"/>
      <c r="AH43" s="647"/>
      <c r="AI43" s="647"/>
      <c r="AJ43" s="668" t="s">
        <v>321</v>
      </c>
      <c r="AK43" s="647"/>
      <c r="AL43" s="647"/>
      <c r="AM43" s="647"/>
      <c r="AN43" s="647"/>
      <c r="AO43" s="668" t="s">
        <v>322</v>
      </c>
      <c r="AP43" s="647"/>
      <c r="AQ43" s="647"/>
      <c r="AR43" s="647"/>
      <c r="AS43" s="647"/>
      <c r="AT43" s="668" t="s">
        <v>323</v>
      </c>
      <c r="AU43" s="647"/>
      <c r="AV43" s="647"/>
      <c r="AW43" s="647"/>
      <c r="AX43" s="647"/>
    </row>
    <row r="44" spans="2:53">
      <c r="B44" s="641" t="s">
        <v>369</v>
      </c>
      <c r="C44" s="641" t="s">
        <v>532</v>
      </c>
      <c r="D44" s="641"/>
      <c r="E44" s="641" t="s">
        <v>533</v>
      </c>
      <c r="F44" s="641"/>
      <c r="G44" s="641"/>
      <c r="H44" s="673" t="s">
        <v>534</v>
      </c>
      <c r="I44" s="641" t="s">
        <v>535</v>
      </c>
      <c r="J44" s="641"/>
      <c r="K44" s="641"/>
      <c r="L44" s="673" t="s">
        <v>366</v>
      </c>
      <c r="M44" s="643" t="s">
        <v>536</v>
      </c>
      <c r="N44" s="641"/>
      <c r="O44" s="641" t="s">
        <v>537</v>
      </c>
      <c r="P44" s="659" t="s">
        <v>368</v>
      </c>
      <c r="Q44" s="660"/>
      <c r="R44" s="660"/>
      <c r="S44" s="661"/>
      <c r="T44" s="641" t="s">
        <v>366</v>
      </c>
      <c r="U44" s="659" t="s">
        <v>368</v>
      </c>
      <c r="V44" s="660"/>
      <c r="W44" s="660"/>
      <c r="X44" s="661"/>
      <c r="Y44" s="641" t="s">
        <v>366</v>
      </c>
      <c r="Z44" s="659" t="s">
        <v>368</v>
      </c>
      <c r="AA44" s="660"/>
      <c r="AB44" s="660"/>
      <c r="AC44" s="661"/>
      <c r="AD44" s="641" t="s">
        <v>366</v>
      </c>
      <c r="AE44" s="659" t="s">
        <v>368</v>
      </c>
      <c r="AF44" s="660"/>
      <c r="AG44" s="660"/>
      <c r="AH44" s="661"/>
      <c r="AI44" s="641" t="s">
        <v>366</v>
      </c>
      <c r="AJ44" s="659" t="s">
        <v>368</v>
      </c>
      <c r="AK44" s="660"/>
      <c r="AL44" s="660"/>
      <c r="AM44" s="661"/>
      <c r="AN44" s="641" t="s">
        <v>366</v>
      </c>
      <c r="AO44" s="659" t="s">
        <v>368</v>
      </c>
      <c r="AP44" s="660"/>
      <c r="AQ44" s="660"/>
      <c r="AR44" s="661"/>
      <c r="AS44" s="641" t="s">
        <v>366</v>
      </c>
      <c r="AT44" s="659" t="s">
        <v>368</v>
      </c>
      <c r="AU44" s="660"/>
      <c r="AV44" s="660"/>
      <c r="AW44" s="661"/>
      <c r="AX44" s="641" t="s">
        <v>366</v>
      </c>
      <c r="BA44" s="641" t="s">
        <v>366</v>
      </c>
    </row>
    <row r="45" spans="2:53">
      <c r="B45" s="641"/>
      <c r="C45" s="641"/>
      <c r="D45" s="641"/>
      <c r="E45" s="641" t="s">
        <v>538</v>
      </c>
      <c r="F45" s="641"/>
      <c r="G45" s="641"/>
      <c r="H45" s="674"/>
      <c r="I45" s="641" t="s">
        <v>538</v>
      </c>
      <c r="J45" s="641"/>
      <c r="K45" s="641"/>
      <c r="L45" s="674"/>
      <c r="M45" s="644"/>
      <c r="N45" s="641"/>
      <c r="O45" s="641"/>
      <c r="P45" s="659" t="s">
        <v>374</v>
      </c>
      <c r="Q45" s="660"/>
      <c r="R45" s="660"/>
      <c r="S45" s="661"/>
      <c r="T45" s="641"/>
      <c r="U45" s="659" t="s">
        <v>374</v>
      </c>
      <c r="V45" s="660"/>
      <c r="W45" s="660"/>
      <c r="X45" s="661"/>
      <c r="Y45" s="641"/>
      <c r="Z45" s="659" t="s">
        <v>374</v>
      </c>
      <c r="AA45" s="660"/>
      <c r="AB45" s="660"/>
      <c r="AC45" s="661"/>
      <c r="AD45" s="641"/>
      <c r="AE45" s="659" t="s">
        <v>374</v>
      </c>
      <c r="AF45" s="660"/>
      <c r="AG45" s="660"/>
      <c r="AH45" s="661"/>
      <c r="AI45" s="641"/>
      <c r="AJ45" s="659" t="s">
        <v>374</v>
      </c>
      <c r="AK45" s="660"/>
      <c r="AL45" s="660"/>
      <c r="AM45" s="661"/>
      <c r="AN45" s="641"/>
      <c r="AO45" s="659" t="s">
        <v>374</v>
      </c>
      <c r="AP45" s="660"/>
      <c r="AQ45" s="660"/>
      <c r="AR45" s="661"/>
      <c r="AS45" s="641"/>
      <c r="AT45" s="659" t="s">
        <v>374</v>
      </c>
      <c r="AU45" s="660"/>
      <c r="AV45" s="660"/>
      <c r="AW45" s="661"/>
      <c r="AX45" s="641"/>
      <c r="BA45" s="641"/>
    </row>
    <row r="46" spans="2:53">
      <c r="B46" s="641"/>
      <c r="C46" s="641"/>
      <c r="D46" s="641"/>
      <c r="E46" s="378" t="s">
        <v>539</v>
      </c>
      <c r="F46" s="378" t="s">
        <v>540</v>
      </c>
      <c r="G46" s="378" t="s">
        <v>541</v>
      </c>
      <c r="H46" s="675"/>
      <c r="I46" s="378" t="s">
        <v>539</v>
      </c>
      <c r="J46" s="378" t="s">
        <v>540</v>
      </c>
      <c r="K46" s="378" t="s">
        <v>541</v>
      </c>
      <c r="L46" s="675"/>
      <c r="M46" s="645"/>
      <c r="N46" s="641"/>
      <c r="O46" s="641"/>
      <c r="P46" s="378" t="s">
        <v>375</v>
      </c>
      <c r="Q46" s="378" t="s">
        <v>376</v>
      </c>
      <c r="R46" s="378" t="s">
        <v>377</v>
      </c>
      <c r="S46" s="378" t="s">
        <v>367</v>
      </c>
      <c r="T46" s="641"/>
      <c r="U46" s="378" t="s">
        <v>375</v>
      </c>
      <c r="V46" s="378" t="s">
        <v>376</v>
      </c>
      <c r="W46" s="378" t="s">
        <v>377</v>
      </c>
      <c r="X46" s="378" t="s">
        <v>367</v>
      </c>
      <c r="Y46" s="641"/>
      <c r="Z46" s="378" t="s">
        <v>375</v>
      </c>
      <c r="AA46" s="378" t="s">
        <v>376</v>
      </c>
      <c r="AB46" s="378" t="s">
        <v>377</v>
      </c>
      <c r="AC46" s="378" t="s">
        <v>367</v>
      </c>
      <c r="AD46" s="641"/>
      <c r="AE46" s="378" t="s">
        <v>375</v>
      </c>
      <c r="AF46" s="378" t="s">
        <v>376</v>
      </c>
      <c r="AG46" s="378" t="s">
        <v>377</v>
      </c>
      <c r="AH46" s="378" t="s">
        <v>367</v>
      </c>
      <c r="AI46" s="641"/>
      <c r="AJ46" s="378" t="s">
        <v>375</v>
      </c>
      <c r="AK46" s="378" t="s">
        <v>376</v>
      </c>
      <c r="AL46" s="378" t="s">
        <v>377</v>
      </c>
      <c r="AM46" s="378" t="s">
        <v>367</v>
      </c>
      <c r="AN46" s="641"/>
      <c r="AO46" s="378" t="s">
        <v>375</v>
      </c>
      <c r="AP46" s="378" t="s">
        <v>376</v>
      </c>
      <c r="AQ46" s="378" t="s">
        <v>377</v>
      </c>
      <c r="AR46" s="378" t="s">
        <v>367</v>
      </c>
      <c r="AS46" s="641"/>
      <c r="AT46" s="378" t="s">
        <v>375</v>
      </c>
      <c r="AU46" s="378" t="s">
        <v>376</v>
      </c>
      <c r="AV46" s="378" t="s">
        <v>377</v>
      </c>
      <c r="AW46" s="378" t="s">
        <v>367</v>
      </c>
      <c r="AX46" s="641"/>
      <c r="AZ46" s="367" t="s">
        <v>560</v>
      </c>
      <c r="BA46" s="641"/>
    </row>
    <row r="47" spans="2:53">
      <c r="B47" s="641" t="s">
        <v>381</v>
      </c>
      <c r="C47" s="380">
        <v>1</v>
      </c>
      <c r="D47" s="225" t="s">
        <v>587</v>
      </c>
      <c r="E47" s="535">
        <v>17</v>
      </c>
      <c r="F47" s="534">
        <v>1565</v>
      </c>
      <c r="G47" s="536">
        <v>92.058823529411768</v>
      </c>
      <c r="H47" s="654">
        <f>AVERAGE(G47:G61)</f>
        <v>88.413656690746478</v>
      </c>
      <c r="I47" s="381">
        <f t="shared" ref="I47:I60" si="38">IFERROR(AVERAGE(P47,U47,Z47,AE47,AJ47,AO47,AT47),"-")</f>
        <v>17</v>
      </c>
      <c r="J47" s="381">
        <f t="shared" ref="J47:J60" si="39">IFERROR(AVERAGE(Q47,V47,AA47,AF47,AK47,AP47,AU47),"-")</f>
        <v>1405.2841020149276</v>
      </c>
      <c r="K47" s="199">
        <f t="shared" ref="K47:K60" si="40">IFERROR(AVERAGE(R47,W47,AB47,AG47,AL47,AQ47,AV47),"-")</f>
        <v>82.663770706760459</v>
      </c>
      <c r="L47" s="656">
        <f>IFERROR(AVERAGE(K47:K61),"-")</f>
        <v>78.826599166932567</v>
      </c>
      <c r="M47" s="420">
        <f>RANK(K47, K$47:$K$61)</f>
        <v>2</v>
      </c>
      <c r="N47" s="641"/>
      <c r="O47" s="641"/>
      <c r="P47" s="562">
        <v>17</v>
      </c>
      <c r="Q47" s="566">
        <v>1405.4545454545455</v>
      </c>
      <c r="R47" s="566">
        <v>82.673796791443849</v>
      </c>
      <c r="S47" s="562">
        <f t="shared" ref="S47:S61" si="41">RANK(R47, R$47:R$61)</f>
        <v>1</v>
      </c>
      <c r="T47" s="636">
        <f t="shared" ref="T47" si="42">AVERAGE(R47:R61)</f>
        <v>79.394266509691462</v>
      </c>
      <c r="U47" s="562">
        <v>17</v>
      </c>
      <c r="V47" s="566">
        <v>1404.6719999999996</v>
      </c>
      <c r="W47" s="566">
        <v>82.627764705882328</v>
      </c>
      <c r="X47" s="562">
        <f t="shared" ref="X47:X61" si="43">RANK(W47, W$47:W$61)</f>
        <v>2</v>
      </c>
      <c r="Y47" s="636">
        <f t="shared" ref="Y47" si="44">AVERAGE(W47:W61)</f>
        <v>78.567452663411956</v>
      </c>
      <c r="Z47" s="562">
        <v>17</v>
      </c>
      <c r="AA47" s="566">
        <v>1395.9183673469386</v>
      </c>
      <c r="AB47" s="566">
        <v>82.112845138055206</v>
      </c>
      <c r="AC47" s="562">
        <f t="shared" ref="AC47:AC61" si="45">RANK(AB47, AB$47:AB$61)</f>
        <v>2</v>
      </c>
      <c r="AD47" s="636">
        <f t="shared" ref="AD47" si="46">AVERAGE(AB47:AB61)</f>
        <v>78.713312523685687</v>
      </c>
      <c r="AE47" s="562">
        <v>17</v>
      </c>
      <c r="AF47" s="566">
        <v>1416.3934426229512</v>
      </c>
      <c r="AG47" s="566">
        <v>83.317261330761838</v>
      </c>
      <c r="AH47" s="562">
        <f t="shared" ref="AH47:AH61" si="47">RANK(AG47, AG$47:AG$61)</f>
        <v>2</v>
      </c>
      <c r="AI47" s="636">
        <f t="shared" ref="AI47" si="48">AVERAGE(AG47:AG61)</f>
        <v>79.148853854854934</v>
      </c>
      <c r="AJ47" s="562">
        <v>17</v>
      </c>
      <c r="AK47" s="566">
        <v>1415.7268292682932</v>
      </c>
      <c r="AL47" s="566">
        <v>83.278048780487836</v>
      </c>
      <c r="AM47" s="562">
        <f t="shared" ref="AM47:AM61" si="49">RANK(AL47, AL$47:AL$61)</f>
        <v>1</v>
      </c>
      <c r="AN47" s="636">
        <f t="shared" ref="AN47" si="50">AVERAGE(AL47:AL61)</f>
        <v>78.367109602794457</v>
      </c>
      <c r="AO47" s="562">
        <v>17</v>
      </c>
      <c r="AP47" s="566">
        <v>1382.042016806723</v>
      </c>
      <c r="AQ47" s="566">
        <v>81.296589223924883</v>
      </c>
      <c r="AR47" s="562">
        <f t="shared" ref="AR47:AR61" si="51">RANK(AQ47, AQ$47:AQ$61)</f>
        <v>2</v>
      </c>
      <c r="AS47" s="636">
        <f t="shared" ref="AS47" si="52">AVERAGE(AQ47:AQ61)</f>
        <v>78.500225641119854</v>
      </c>
      <c r="AT47" s="562">
        <v>17</v>
      </c>
      <c r="AU47" s="566">
        <v>1416.7815126050425</v>
      </c>
      <c r="AV47" s="566">
        <v>83.340088976767206</v>
      </c>
      <c r="AW47" s="562">
        <f t="shared" ref="AW47:AW61" si="53">RANK(AV47, AV$47:AV$61)</f>
        <v>1</v>
      </c>
      <c r="AX47" s="636">
        <f t="shared" ref="AX47" si="54">AVERAGE(AV47:AV61)</f>
        <v>79.09497337296969</v>
      </c>
      <c r="AZ47" s="368" t="e">
        <f t="shared" ref="AZ47:AZ61" si="55">RANK(AY47, AY$47:AY$61)</f>
        <v>#N/A</v>
      </c>
      <c r="BA47" s="682" t="e">
        <f t="shared" ref="BA47" si="56">AVERAGE(AY47:AY61)</f>
        <v>#DIV/0!</v>
      </c>
    </row>
    <row r="48" spans="2:53">
      <c r="B48" s="647"/>
      <c r="C48" s="380">
        <v>2</v>
      </c>
      <c r="D48" s="225" t="s">
        <v>608</v>
      </c>
      <c r="E48" s="535">
        <v>19</v>
      </c>
      <c r="F48" s="534">
        <v>1500</v>
      </c>
      <c r="G48" s="536">
        <v>78.94736842105263</v>
      </c>
      <c r="H48" s="655"/>
      <c r="I48" s="381">
        <f t="shared" si="38"/>
        <v>19</v>
      </c>
      <c r="J48" s="381">
        <f t="shared" si="39"/>
        <v>1385.3775046702015</v>
      </c>
      <c r="K48" s="199">
        <f t="shared" si="40"/>
        <v>72.914605508957976</v>
      </c>
      <c r="L48" s="657"/>
      <c r="M48" s="420">
        <f>RANK(K48, K$47:$K$61)</f>
        <v>5</v>
      </c>
      <c r="N48" s="641"/>
      <c r="O48" s="641"/>
      <c r="P48" s="562">
        <v>19</v>
      </c>
      <c r="Q48" s="566">
        <v>1408.627450980392</v>
      </c>
      <c r="R48" s="566">
        <v>74.138286893704844</v>
      </c>
      <c r="S48" s="562">
        <f t="shared" si="41"/>
        <v>5</v>
      </c>
      <c r="T48" s="637"/>
      <c r="U48" s="562">
        <v>19</v>
      </c>
      <c r="V48" s="566">
        <v>1370.2040816326532</v>
      </c>
      <c r="W48" s="566">
        <v>72.116004296455429</v>
      </c>
      <c r="X48" s="562">
        <f t="shared" si="43"/>
        <v>5</v>
      </c>
      <c r="Y48" s="637"/>
      <c r="Z48" s="562">
        <v>19</v>
      </c>
      <c r="AA48" s="566">
        <v>1383.4285714285713</v>
      </c>
      <c r="AB48" s="566">
        <v>72.812030075187963</v>
      </c>
      <c r="AC48" s="562">
        <f t="shared" si="45"/>
        <v>5</v>
      </c>
      <c r="AD48" s="637"/>
      <c r="AE48" s="562">
        <v>19</v>
      </c>
      <c r="AF48" s="566">
        <v>1392.3495145631073</v>
      </c>
      <c r="AG48" s="566">
        <v>73.281553398058279</v>
      </c>
      <c r="AH48" s="562">
        <f t="shared" si="47"/>
        <v>5</v>
      </c>
      <c r="AI48" s="637"/>
      <c r="AJ48" s="562">
        <v>19</v>
      </c>
      <c r="AK48" s="566">
        <v>1367.3437499999998</v>
      </c>
      <c r="AL48" s="566">
        <v>71.96546052631578</v>
      </c>
      <c r="AM48" s="562">
        <f t="shared" si="49"/>
        <v>5</v>
      </c>
      <c r="AN48" s="637"/>
      <c r="AO48" s="562">
        <v>19</v>
      </c>
      <c r="AP48" s="566">
        <v>1374.4421052631574</v>
      </c>
      <c r="AQ48" s="566">
        <v>72.339058171745123</v>
      </c>
      <c r="AR48" s="562">
        <f t="shared" si="51"/>
        <v>5</v>
      </c>
      <c r="AS48" s="637"/>
      <c r="AT48" s="562">
        <v>19</v>
      </c>
      <c r="AU48" s="566">
        <v>1401.2470588235294</v>
      </c>
      <c r="AV48" s="566">
        <v>73.749845201238386</v>
      </c>
      <c r="AW48" s="562">
        <f t="shared" si="53"/>
        <v>5</v>
      </c>
      <c r="AX48" s="637"/>
      <c r="AZ48" s="368" t="e">
        <f t="shared" si="55"/>
        <v>#N/A</v>
      </c>
      <c r="BA48" s="683"/>
    </row>
    <row r="49" spans="2:53">
      <c r="B49" s="647"/>
      <c r="C49" s="380">
        <v>3</v>
      </c>
      <c r="D49" s="225" t="s">
        <v>616</v>
      </c>
      <c r="E49" s="535">
        <v>18</v>
      </c>
      <c r="F49" s="534">
        <v>1565</v>
      </c>
      <c r="G49" s="536">
        <v>86.944444444444443</v>
      </c>
      <c r="H49" s="655"/>
      <c r="I49" s="381">
        <f t="shared" si="38"/>
        <v>18</v>
      </c>
      <c r="J49" s="381">
        <f t="shared" si="39"/>
        <v>1388.6996892628467</v>
      </c>
      <c r="K49" s="199">
        <f t="shared" si="40"/>
        <v>77.149982736824811</v>
      </c>
      <c r="L49" s="657"/>
      <c r="M49" s="420">
        <f>RANK(K49, K$47:$K$61)</f>
        <v>4</v>
      </c>
      <c r="N49" s="641"/>
      <c r="O49" s="641"/>
      <c r="P49" s="562">
        <v>18</v>
      </c>
      <c r="Q49" s="566">
        <v>1434.6666666666672</v>
      </c>
      <c r="R49" s="566">
        <v>79.703703703703738</v>
      </c>
      <c r="S49" s="562">
        <f t="shared" si="41"/>
        <v>3</v>
      </c>
      <c r="T49" s="637"/>
      <c r="U49" s="562">
        <v>18</v>
      </c>
      <c r="V49" s="566">
        <v>1393.0434782608695</v>
      </c>
      <c r="W49" s="566">
        <v>77.391304347826079</v>
      </c>
      <c r="X49" s="562">
        <f t="shared" si="43"/>
        <v>3</v>
      </c>
      <c r="Y49" s="637"/>
      <c r="Z49" s="562">
        <v>18</v>
      </c>
      <c r="AA49" s="566">
        <v>1361.2499999999998</v>
      </c>
      <c r="AB49" s="566">
        <v>75.624999999999986</v>
      </c>
      <c r="AC49" s="562">
        <f t="shared" si="45"/>
        <v>4</v>
      </c>
      <c r="AD49" s="637"/>
      <c r="AE49" s="562">
        <v>18</v>
      </c>
      <c r="AF49" s="566">
        <v>1387.0588235294117</v>
      </c>
      <c r="AG49" s="566">
        <v>77.058823529411768</v>
      </c>
      <c r="AH49" s="562">
        <f t="shared" si="47"/>
        <v>4</v>
      </c>
      <c r="AI49" s="637"/>
      <c r="AJ49" s="562">
        <v>18</v>
      </c>
      <c r="AK49" s="566">
        <v>1375.0000000000002</v>
      </c>
      <c r="AL49" s="566">
        <v>76.3888888888889</v>
      </c>
      <c r="AM49" s="562">
        <f t="shared" si="49"/>
        <v>4</v>
      </c>
      <c r="AN49" s="637"/>
      <c r="AO49" s="562">
        <v>18</v>
      </c>
      <c r="AP49" s="566">
        <v>1371.0851063829782</v>
      </c>
      <c r="AQ49" s="566">
        <v>76.17139479905434</v>
      </c>
      <c r="AR49" s="562">
        <f t="shared" si="51"/>
        <v>4</v>
      </c>
      <c r="AS49" s="637"/>
      <c r="AT49" s="562">
        <v>18</v>
      </c>
      <c r="AU49" s="566">
        <v>1398.7937500000005</v>
      </c>
      <c r="AV49" s="566">
        <v>77.71076388888892</v>
      </c>
      <c r="AW49" s="562">
        <f t="shared" si="53"/>
        <v>4</v>
      </c>
      <c r="AX49" s="637"/>
      <c r="AZ49" s="368" t="e">
        <f t="shared" si="55"/>
        <v>#N/A</v>
      </c>
      <c r="BA49" s="683"/>
    </row>
    <row r="50" spans="2:53">
      <c r="B50" s="647"/>
      <c r="C50" s="380">
        <v>4</v>
      </c>
      <c r="D50" s="225" t="s">
        <v>624</v>
      </c>
      <c r="E50" s="535">
        <v>17</v>
      </c>
      <c r="F50" s="534">
        <v>1565</v>
      </c>
      <c r="G50" s="536">
        <v>92.058823529411768</v>
      </c>
      <c r="H50" s="655"/>
      <c r="I50" s="381">
        <f t="shared" si="38"/>
        <v>17</v>
      </c>
      <c r="J50" s="381">
        <f t="shared" si="39"/>
        <v>1420.0382617130231</v>
      </c>
      <c r="K50" s="199">
        <f t="shared" si="40"/>
        <v>83.531662453707227</v>
      </c>
      <c r="L50" s="657"/>
      <c r="M50" s="420">
        <f>RANK(K50, K$47:$K$61)</f>
        <v>1</v>
      </c>
      <c r="N50" s="641"/>
      <c r="O50" s="641"/>
      <c r="P50" s="562">
        <v>17</v>
      </c>
      <c r="Q50" s="566">
        <v>1390.8510638297876</v>
      </c>
      <c r="R50" s="566">
        <v>81.814768460575735</v>
      </c>
      <c r="S50" s="562">
        <f t="shared" si="41"/>
        <v>2</v>
      </c>
      <c r="T50" s="637"/>
      <c r="U50" s="562">
        <v>17</v>
      </c>
      <c r="V50" s="566">
        <v>1424.3181818181818</v>
      </c>
      <c r="W50" s="566">
        <v>83.783422459893046</v>
      </c>
      <c r="X50" s="562">
        <f t="shared" si="43"/>
        <v>1</v>
      </c>
      <c r="Y50" s="637"/>
      <c r="Z50" s="562">
        <v>17</v>
      </c>
      <c r="AA50" s="566">
        <v>1427.5862068965514</v>
      </c>
      <c r="AB50" s="566">
        <v>83.975659229208901</v>
      </c>
      <c r="AC50" s="562">
        <f t="shared" si="45"/>
        <v>1</v>
      </c>
      <c r="AD50" s="637"/>
      <c r="AE50" s="562">
        <v>17</v>
      </c>
      <c r="AF50" s="566">
        <v>1437.2727272727273</v>
      </c>
      <c r="AG50" s="566">
        <v>84.545454545454547</v>
      </c>
      <c r="AH50" s="562">
        <f t="shared" si="47"/>
        <v>1</v>
      </c>
      <c r="AI50" s="637"/>
      <c r="AJ50" s="562">
        <v>17</v>
      </c>
      <c r="AK50" s="566">
        <v>1408.695652173913</v>
      </c>
      <c r="AL50" s="566">
        <v>82.864450127877234</v>
      </c>
      <c r="AM50" s="562">
        <f t="shared" si="49"/>
        <v>2</v>
      </c>
      <c r="AN50" s="637"/>
      <c r="AO50" s="562">
        <v>17</v>
      </c>
      <c r="AP50" s="566">
        <v>1441.5440000000003</v>
      </c>
      <c r="AQ50" s="566">
        <v>84.796705882352967</v>
      </c>
      <c r="AR50" s="562">
        <f t="shared" si="51"/>
        <v>1</v>
      </c>
      <c r="AS50" s="637"/>
      <c r="AT50" s="562">
        <v>17</v>
      </c>
      <c r="AU50" s="566">
        <v>1409.9999999999998</v>
      </c>
      <c r="AV50" s="566">
        <v>82.941176470588218</v>
      </c>
      <c r="AW50" s="562">
        <f t="shared" si="53"/>
        <v>2</v>
      </c>
      <c r="AX50" s="637"/>
      <c r="AZ50" s="368" t="e">
        <f t="shared" si="55"/>
        <v>#N/A</v>
      </c>
      <c r="BA50" s="683"/>
    </row>
    <row r="51" spans="2:53">
      <c r="B51" s="647"/>
      <c r="C51" s="380">
        <v>5</v>
      </c>
      <c r="D51" s="225" t="s">
        <v>719</v>
      </c>
      <c r="E51" s="535">
        <v>17</v>
      </c>
      <c r="F51" s="534">
        <v>1565</v>
      </c>
      <c r="G51" s="536">
        <v>92.058823529411768</v>
      </c>
      <c r="H51" s="655"/>
      <c r="I51" s="381">
        <f t="shared" si="38"/>
        <v>17</v>
      </c>
      <c r="J51" s="381">
        <f t="shared" si="39"/>
        <v>1323.8405652830104</v>
      </c>
      <c r="K51" s="199">
        <f t="shared" si="40"/>
        <v>77.872974428412377</v>
      </c>
      <c r="L51" s="657"/>
      <c r="M51" s="420">
        <f>RANK(K51, K$47:$K$61)</f>
        <v>3</v>
      </c>
      <c r="N51" s="641"/>
      <c r="O51" s="641"/>
      <c r="P51" s="562">
        <v>17</v>
      </c>
      <c r="Q51" s="566">
        <v>1336.8932038834948</v>
      </c>
      <c r="R51" s="566">
        <v>78.640776699029104</v>
      </c>
      <c r="S51" s="562">
        <f t="shared" si="41"/>
        <v>4</v>
      </c>
      <c r="T51" s="637"/>
      <c r="U51" s="562">
        <v>17</v>
      </c>
      <c r="V51" s="566">
        <v>1307.6190476190482</v>
      </c>
      <c r="W51" s="566">
        <v>76.918767507002826</v>
      </c>
      <c r="X51" s="562">
        <f t="shared" si="43"/>
        <v>4</v>
      </c>
      <c r="Y51" s="637"/>
      <c r="Z51" s="562">
        <v>17</v>
      </c>
      <c r="AA51" s="566">
        <v>1343.6974789915969</v>
      </c>
      <c r="AB51" s="566">
        <v>79.041028175976294</v>
      </c>
      <c r="AC51" s="562">
        <f t="shared" si="45"/>
        <v>3</v>
      </c>
      <c r="AD51" s="637"/>
      <c r="AE51" s="562">
        <v>17</v>
      </c>
      <c r="AF51" s="566">
        <v>1318.1999999999996</v>
      </c>
      <c r="AG51" s="566">
        <v>77.541176470588212</v>
      </c>
      <c r="AH51" s="562">
        <f t="shared" si="47"/>
        <v>3</v>
      </c>
      <c r="AI51" s="637"/>
      <c r="AJ51" s="562">
        <v>17</v>
      </c>
      <c r="AK51" s="566">
        <v>1314.7578947368424</v>
      </c>
      <c r="AL51" s="566">
        <v>77.338699690402493</v>
      </c>
      <c r="AM51" s="562">
        <f t="shared" si="49"/>
        <v>3</v>
      </c>
      <c r="AN51" s="637"/>
      <c r="AO51" s="562">
        <v>17</v>
      </c>
      <c r="AP51" s="566">
        <v>1324.2554621848742</v>
      </c>
      <c r="AQ51" s="566">
        <v>77.897380128522016</v>
      </c>
      <c r="AR51" s="562">
        <f t="shared" si="51"/>
        <v>3</v>
      </c>
      <c r="AS51" s="637"/>
      <c r="AT51" s="562">
        <v>17</v>
      </c>
      <c r="AU51" s="566">
        <v>1321.4608695652175</v>
      </c>
      <c r="AV51" s="566">
        <v>77.732992327365736</v>
      </c>
      <c r="AW51" s="562">
        <f t="shared" si="53"/>
        <v>3</v>
      </c>
      <c r="AX51" s="637"/>
      <c r="AZ51" s="368" t="e">
        <f t="shared" si="55"/>
        <v>#N/A</v>
      </c>
      <c r="BA51" s="683"/>
    </row>
    <row r="52" spans="2:53">
      <c r="B52" s="647"/>
      <c r="C52" s="380">
        <v>6</v>
      </c>
      <c r="D52" s="225"/>
      <c r="E52" s="535"/>
      <c r="F52" s="534"/>
      <c r="G52" s="536"/>
      <c r="H52" s="655"/>
      <c r="I52" s="381" t="str">
        <f t="shared" si="38"/>
        <v>-</v>
      </c>
      <c r="J52" s="381" t="str">
        <f t="shared" si="39"/>
        <v>-</v>
      </c>
      <c r="K52" s="199" t="str">
        <f t="shared" si="40"/>
        <v>-</v>
      </c>
      <c r="L52" s="657"/>
      <c r="M52" s="420" t="e">
        <f>RANK(K52, K$47:$K$61)</f>
        <v>#VALUE!</v>
      </c>
      <c r="N52" s="641"/>
      <c r="O52" s="641"/>
      <c r="P52" s="562" t="s">
        <v>585</v>
      </c>
      <c r="Q52" s="566" t="s">
        <v>585</v>
      </c>
      <c r="R52" s="566" t="s">
        <v>585</v>
      </c>
      <c r="S52" s="562" t="e">
        <f t="shared" si="41"/>
        <v>#VALUE!</v>
      </c>
      <c r="T52" s="637"/>
      <c r="U52" s="562" t="s">
        <v>585</v>
      </c>
      <c r="V52" s="566" t="s">
        <v>585</v>
      </c>
      <c r="W52" s="566" t="s">
        <v>585</v>
      </c>
      <c r="X52" s="562" t="e">
        <f t="shared" si="43"/>
        <v>#VALUE!</v>
      </c>
      <c r="Y52" s="637"/>
      <c r="Z52" s="562" t="s">
        <v>585</v>
      </c>
      <c r="AA52" s="566" t="s">
        <v>585</v>
      </c>
      <c r="AB52" s="566" t="s">
        <v>585</v>
      </c>
      <c r="AC52" s="562" t="e">
        <f t="shared" si="45"/>
        <v>#VALUE!</v>
      </c>
      <c r="AD52" s="637"/>
      <c r="AE52" s="562" t="s">
        <v>585</v>
      </c>
      <c r="AF52" s="566" t="s">
        <v>585</v>
      </c>
      <c r="AG52" s="566" t="s">
        <v>585</v>
      </c>
      <c r="AH52" s="562" t="e">
        <f t="shared" si="47"/>
        <v>#VALUE!</v>
      </c>
      <c r="AI52" s="637"/>
      <c r="AJ52" s="562" t="s">
        <v>585</v>
      </c>
      <c r="AK52" s="566" t="s">
        <v>585</v>
      </c>
      <c r="AL52" s="566" t="s">
        <v>585</v>
      </c>
      <c r="AM52" s="562" t="e">
        <f t="shared" si="49"/>
        <v>#VALUE!</v>
      </c>
      <c r="AN52" s="637"/>
      <c r="AO52" s="562" t="s">
        <v>585</v>
      </c>
      <c r="AP52" s="566" t="s">
        <v>585</v>
      </c>
      <c r="AQ52" s="566" t="s">
        <v>585</v>
      </c>
      <c r="AR52" s="562" t="e">
        <f t="shared" si="51"/>
        <v>#VALUE!</v>
      </c>
      <c r="AS52" s="637"/>
      <c r="AT52" s="562" t="s">
        <v>585</v>
      </c>
      <c r="AU52" s="566" t="s">
        <v>585</v>
      </c>
      <c r="AV52" s="566" t="s">
        <v>585</v>
      </c>
      <c r="AW52" s="562" t="e">
        <f t="shared" si="53"/>
        <v>#VALUE!</v>
      </c>
      <c r="AX52" s="637"/>
      <c r="AZ52" s="368" t="e">
        <f t="shared" si="55"/>
        <v>#N/A</v>
      </c>
      <c r="BA52" s="683"/>
    </row>
    <row r="53" spans="2:53">
      <c r="B53" s="647"/>
      <c r="C53" s="380">
        <v>7</v>
      </c>
      <c r="D53" s="225"/>
      <c r="E53" s="535"/>
      <c r="F53" s="534"/>
      <c r="G53" s="536"/>
      <c r="H53" s="655"/>
      <c r="I53" s="381" t="str">
        <f t="shared" si="38"/>
        <v>-</v>
      </c>
      <c r="J53" s="381" t="str">
        <f t="shared" si="39"/>
        <v>-</v>
      </c>
      <c r="K53" s="199" t="str">
        <f t="shared" si="40"/>
        <v>-</v>
      </c>
      <c r="L53" s="657"/>
      <c r="M53" s="420" t="e">
        <f>RANK(K53, K$47:$K$61)</f>
        <v>#VALUE!</v>
      </c>
      <c r="N53" s="641"/>
      <c r="O53" s="641"/>
      <c r="P53" s="562" t="s">
        <v>585</v>
      </c>
      <c r="Q53" s="566" t="s">
        <v>585</v>
      </c>
      <c r="R53" s="566" t="s">
        <v>585</v>
      </c>
      <c r="S53" s="562" t="e">
        <f t="shared" si="41"/>
        <v>#VALUE!</v>
      </c>
      <c r="T53" s="637"/>
      <c r="U53" s="562" t="s">
        <v>585</v>
      </c>
      <c r="V53" s="566" t="s">
        <v>585</v>
      </c>
      <c r="W53" s="566" t="s">
        <v>585</v>
      </c>
      <c r="X53" s="562" t="e">
        <f t="shared" si="43"/>
        <v>#VALUE!</v>
      </c>
      <c r="Y53" s="637"/>
      <c r="Z53" s="562" t="s">
        <v>585</v>
      </c>
      <c r="AA53" s="566" t="s">
        <v>585</v>
      </c>
      <c r="AB53" s="566" t="s">
        <v>585</v>
      </c>
      <c r="AC53" s="562" t="e">
        <f t="shared" si="45"/>
        <v>#VALUE!</v>
      </c>
      <c r="AD53" s="637"/>
      <c r="AE53" s="562" t="s">
        <v>585</v>
      </c>
      <c r="AF53" s="566" t="s">
        <v>585</v>
      </c>
      <c r="AG53" s="566" t="s">
        <v>585</v>
      </c>
      <c r="AH53" s="562" t="e">
        <f t="shared" si="47"/>
        <v>#VALUE!</v>
      </c>
      <c r="AI53" s="637"/>
      <c r="AJ53" s="562" t="s">
        <v>585</v>
      </c>
      <c r="AK53" s="566" t="s">
        <v>585</v>
      </c>
      <c r="AL53" s="566" t="s">
        <v>585</v>
      </c>
      <c r="AM53" s="562" t="e">
        <f t="shared" si="49"/>
        <v>#VALUE!</v>
      </c>
      <c r="AN53" s="637"/>
      <c r="AO53" s="562" t="s">
        <v>585</v>
      </c>
      <c r="AP53" s="566" t="s">
        <v>585</v>
      </c>
      <c r="AQ53" s="566" t="s">
        <v>585</v>
      </c>
      <c r="AR53" s="562" t="e">
        <f t="shared" si="51"/>
        <v>#VALUE!</v>
      </c>
      <c r="AS53" s="637"/>
      <c r="AT53" s="562" t="s">
        <v>585</v>
      </c>
      <c r="AU53" s="566" t="s">
        <v>585</v>
      </c>
      <c r="AV53" s="566" t="s">
        <v>585</v>
      </c>
      <c r="AW53" s="562" t="e">
        <f t="shared" si="53"/>
        <v>#VALUE!</v>
      </c>
      <c r="AX53" s="637"/>
      <c r="AZ53" s="368" t="e">
        <f t="shared" si="55"/>
        <v>#N/A</v>
      </c>
      <c r="BA53" s="683"/>
    </row>
    <row r="54" spans="2:53">
      <c r="B54" s="647"/>
      <c r="C54" s="380">
        <v>8</v>
      </c>
      <c r="D54" s="225"/>
      <c r="E54" s="535"/>
      <c r="F54" s="534"/>
      <c r="G54" s="536"/>
      <c r="H54" s="655"/>
      <c r="I54" s="381" t="str">
        <f t="shared" si="38"/>
        <v>-</v>
      </c>
      <c r="J54" s="381" t="str">
        <f t="shared" si="39"/>
        <v>-</v>
      </c>
      <c r="K54" s="199" t="str">
        <f t="shared" si="40"/>
        <v>-</v>
      </c>
      <c r="L54" s="657"/>
      <c r="M54" s="420" t="e">
        <f>RANK(K54, K$47:$K$61)</f>
        <v>#VALUE!</v>
      </c>
      <c r="N54" s="641"/>
      <c r="O54" s="641"/>
      <c r="P54" s="562" t="s">
        <v>585</v>
      </c>
      <c r="Q54" s="566" t="s">
        <v>585</v>
      </c>
      <c r="R54" s="566" t="s">
        <v>585</v>
      </c>
      <c r="S54" s="562" t="e">
        <f t="shared" si="41"/>
        <v>#VALUE!</v>
      </c>
      <c r="T54" s="637"/>
      <c r="U54" s="562" t="s">
        <v>585</v>
      </c>
      <c r="V54" s="566" t="s">
        <v>585</v>
      </c>
      <c r="W54" s="566" t="s">
        <v>585</v>
      </c>
      <c r="X54" s="562" t="e">
        <f t="shared" si="43"/>
        <v>#VALUE!</v>
      </c>
      <c r="Y54" s="637"/>
      <c r="Z54" s="562" t="s">
        <v>585</v>
      </c>
      <c r="AA54" s="566" t="s">
        <v>585</v>
      </c>
      <c r="AB54" s="566" t="s">
        <v>585</v>
      </c>
      <c r="AC54" s="562" t="e">
        <f t="shared" si="45"/>
        <v>#VALUE!</v>
      </c>
      <c r="AD54" s="637"/>
      <c r="AE54" s="562" t="s">
        <v>585</v>
      </c>
      <c r="AF54" s="566" t="s">
        <v>585</v>
      </c>
      <c r="AG54" s="566" t="s">
        <v>585</v>
      </c>
      <c r="AH54" s="562" t="e">
        <f t="shared" si="47"/>
        <v>#VALUE!</v>
      </c>
      <c r="AI54" s="637"/>
      <c r="AJ54" s="562" t="s">
        <v>585</v>
      </c>
      <c r="AK54" s="566" t="s">
        <v>585</v>
      </c>
      <c r="AL54" s="566" t="s">
        <v>585</v>
      </c>
      <c r="AM54" s="562" t="e">
        <f t="shared" si="49"/>
        <v>#VALUE!</v>
      </c>
      <c r="AN54" s="637"/>
      <c r="AO54" s="562" t="s">
        <v>585</v>
      </c>
      <c r="AP54" s="566" t="s">
        <v>585</v>
      </c>
      <c r="AQ54" s="566" t="s">
        <v>585</v>
      </c>
      <c r="AR54" s="562" t="e">
        <f t="shared" si="51"/>
        <v>#VALUE!</v>
      </c>
      <c r="AS54" s="637"/>
      <c r="AT54" s="562" t="s">
        <v>585</v>
      </c>
      <c r="AU54" s="566" t="s">
        <v>585</v>
      </c>
      <c r="AV54" s="566" t="s">
        <v>585</v>
      </c>
      <c r="AW54" s="562" t="e">
        <f t="shared" si="53"/>
        <v>#VALUE!</v>
      </c>
      <c r="AX54" s="637"/>
      <c r="AZ54" s="368" t="e">
        <f t="shared" si="55"/>
        <v>#N/A</v>
      </c>
      <c r="BA54" s="683"/>
    </row>
    <row r="55" spans="2:53">
      <c r="B55" s="647"/>
      <c r="C55" s="380">
        <v>9</v>
      </c>
      <c r="D55" s="225"/>
      <c r="E55" s="535"/>
      <c r="F55" s="534"/>
      <c r="G55" s="536"/>
      <c r="H55" s="655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57"/>
      <c r="M55" s="420" t="e">
        <f>RANK(K55, K$47:$K$61)</f>
        <v>#VALUE!</v>
      </c>
      <c r="N55" s="641"/>
      <c r="O55" s="641"/>
      <c r="P55" s="562" t="s">
        <v>585</v>
      </c>
      <c r="Q55" s="566" t="s">
        <v>585</v>
      </c>
      <c r="R55" s="566" t="s">
        <v>585</v>
      </c>
      <c r="S55" s="562" t="e">
        <f t="shared" si="41"/>
        <v>#VALUE!</v>
      </c>
      <c r="T55" s="637"/>
      <c r="U55" s="562" t="s">
        <v>585</v>
      </c>
      <c r="V55" s="566" t="s">
        <v>585</v>
      </c>
      <c r="W55" s="566" t="s">
        <v>585</v>
      </c>
      <c r="X55" s="562" t="e">
        <f t="shared" si="43"/>
        <v>#VALUE!</v>
      </c>
      <c r="Y55" s="637"/>
      <c r="Z55" s="562" t="s">
        <v>585</v>
      </c>
      <c r="AA55" s="566" t="s">
        <v>585</v>
      </c>
      <c r="AB55" s="566" t="s">
        <v>585</v>
      </c>
      <c r="AC55" s="562" t="e">
        <f t="shared" si="45"/>
        <v>#VALUE!</v>
      </c>
      <c r="AD55" s="637"/>
      <c r="AE55" s="562" t="s">
        <v>585</v>
      </c>
      <c r="AF55" s="566" t="s">
        <v>585</v>
      </c>
      <c r="AG55" s="566" t="s">
        <v>585</v>
      </c>
      <c r="AH55" s="562" t="e">
        <f t="shared" si="47"/>
        <v>#VALUE!</v>
      </c>
      <c r="AI55" s="637"/>
      <c r="AJ55" s="562" t="s">
        <v>585</v>
      </c>
      <c r="AK55" s="566" t="s">
        <v>585</v>
      </c>
      <c r="AL55" s="566" t="s">
        <v>585</v>
      </c>
      <c r="AM55" s="562" t="e">
        <f t="shared" si="49"/>
        <v>#VALUE!</v>
      </c>
      <c r="AN55" s="637"/>
      <c r="AO55" s="562" t="s">
        <v>585</v>
      </c>
      <c r="AP55" s="566" t="s">
        <v>585</v>
      </c>
      <c r="AQ55" s="566" t="s">
        <v>585</v>
      </c>
      <c r="AR55" s="562" t="e">
        <f t="shared" si="51"/>
        <v>#VALUE!</v>
      </c>
      <c r="AS55" s="637"/>
      <c r="AT55" s="562" t="s">
        <v>585</v>
      </c>
      <c r="AU55" s="566" t="s">
        <v>585</v>
      </c>
      <c r="AV55" s="566" t="s">
        <v>585</v>
      </c>
      <c r="AW55" s="562" t="e">
        <f t="shared" si="53"/>
        <v>#VALUE!</v>
      </c>
      <c r="AX55" s="637"/>
      <c r="AZ55" s="368" t="e">
        <f t="shared" si="55"/>
        <v>#N/A</v>
      </c>
      <c r="BA55" s="683"/>
    </row>
    <row r="56" spans="2:53">
      <c r="B56" s="647"/>
      <c r="C56" s="380">
        <v>10</v>
      </c>
      <c r="D56" s="225"/>
      <c r="E56" s="535"/>
      <c r="F56" s="534"/>
      <c r="G56" s="536"/>
      <c r="H56" s="655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57"/>
      <c r="M56" s="420" t="e">
        <f>RANK(K56, K$47:$K$61)</f>
        <v>#VALUE!</v>
      </c>
      <c r="N56" s="641"/>
      <c r="O56" s="641"/>
      <c r="P56" s="562" t="s">
        <v>585</v>
      </c>
      <c r="Q56" s="566" t="s">
        <v>585</v>
      </c>
      <c r="R56" s="566" t="s">
        <v>585</v>
      </c>
      <c r="S56" s="562" t="e">
        <f t="shared" si="41"/>
        <v>#VALUE!</v>
      </c>
      <c r="T56" s="637"/>
      <c r="U56" s="562" t="s">
        <v>585</v>
      </c>
      <c r="V56" s="566" t="s">
        <v>585</v>
      </c>
      <c r="W56" s="566" t="s">
        <v>585</v>
      </c>
      <c r="X56" s="562" t="e">
        <f t="shared" si="43"/>
        <v>#VALUE!</v>
      </c>
      <c r="Y56" s="637"/>
      <c r="Z56" s="562" t="s">
        <v>585</v>
      </c>
      <c r="AA56" s="566" t="s">
        <v>585</v>
      </c>
      <c r="AB56" s="566" t="s">
        <v>585</v>
      </c>
      <c r="AC56" s="562" t="e">
        <f t="shared" si="45"/>
        <v>#VALUE!</v>
      </c>
      <c r="AD56" s="637"/>
      <c r="AE56" s="562" t="s">
        <v>585</v>
      </c>
      <c r="AF56" s="566" t="s">
        <v>585</v>
      </c>
      <c r="AG56" s="566" t="s">
        <v>585</v>
      </c>
      <c r="AH56" s="562" t="e">
        <f t="shared" si="47"/>
        <v>#VALUE!</v>
      </c>
      <c r="AI56" s="637"/>
      <c r="AJ56" s="562" t="s">
        <v>585</v>
      </c>
      <c r="AK56" s="566" t="s">
        <v>585</v>
      </c>
      <c r="AL56" s="566" t="s">
        <v>585</v>
      </c>
      <c r="AM56" s="562" t="e">
        <f t="shared" si="49"/>
        <v>#VALUE!</v>
      </c>
      <c r="AN56" s="637"/>
      <c r="AO56" s="562" t="s">
        <v>585</v>
      </c>
      <c r="AP56" s="566" t="s">
        <v>585</v>
      </c>
      <c r="AQ56" s="566" t="s">
        <v>585</v>
      </c>
      <c r="AR56" s="562" t="e">
        <f t="shared" si="51"/>
        <v>#VALUE!</v>
      </c>
      <c r="AS56" s="637"/>
      <c r="AT56" s="562" t="s">
        <v>585</v>
      </c>
      <c r="AU56" s="566" t="s">
        <v>585</v>
      </c>
      <c r="AV56" s="566" t="s">
        <v>585</v>
      </c>
      <c r="AW56" s="562" t="e">
        <f t="shared" si="53"/>
        <v>#VALUE!</v>
      </c>
      <c r="AX56" s="637"/>
      <c r="AZ56" s="368" t="e">
        <f t="shared" si="55"/>
        <v>#N/A</v>
      </c>
      <c r="BA56" s="683"/>
    </row>
    <row r="57" spans="2:53">
      <c r="B57" s="647"/>
      <c r="C57" s="380">
        <v>11</v>
      </c>
      <c r="D57" s="225"/>
      <c r="E57" s="535"/>
      <c r="F57" s="534"/>
      <c r="G57" s="536"/>
      <c r="H57" s="655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7"/>
      <c r="M57" s="420" t="e">
        <f>RANK(K57, K$47:$K$61)</f>
        <v>#VALUE!</v>
      </c>
      <c r="N57" s="641"/>
      <c r="O57" s="641"/>
      <c r="P57" s="562" t="s">
        <v>585</v>
      </c>
      <c r="Q57" s="566" t="s">
        <v>585</v>
      </c>
      <c r="R57" s="566" t="s">
        <v>585</v>
      </c>
      <c r="S57" s="562" t="e">
        <f t="shared" si="41"/>
        <v>#VALUE!</v>
      </c>
      <c r="T57" s="637"/>
      <c r="U57" s="562" t="s">
        <v>585</v>
      </c>
      <c r="V57" s="566" t="s">
        <v>585</v>
      </c>
      <c r="W57" s="566" t="s">
        <v>585</v>
      </c>
      <c r="X57" s="562" t="e">
        <f t="shared" si="43"/>
        <v>#VALUE!</v>
      </c>
      <c r="Y57" s="637"/>
      <c r="Z57" s="562" t="s">
        <v>585</v>
      </c>
      <c r="AA57" s="566" t="s">
        <v>585</v>
      </c>
      <c r="AB57" s="566" t="s">
        <v>585</v>
      </c>
      <c r="AC57" s="562" t="e">
        <f t="shared" si="45"/>
        <v>#VALUE!</v>
      </c>
      <c r="AD57" s="637"/>
      <c r="AE57" s="562" t="s">
        <v>585</v>
      </c>
      <c r="AF57" s="566" t="s">
        <v>585</v>
      </c>
      <c r="AG57" s="566" t="s">
        <v>585</v>
      </c>
      <c r="AH57" s="562" t="e">
        <f t="shared" si="47"/>
        <v>#VALUE!</v>
      </c>
      <c r="AI57" s="637"/>
      <c r="AJ57" s="561" t="s">
        <v>585</v>
      </c>
      <c r="AK57" s="566" t="s">
        <v>585</v>
      </c>
      <c r="AL57" s="566" t="s">
        <v>585</v>
      </c>
      <c r="AM57" s="562" t="e">
        <f t="shared" si="49"/>
        <v>#VALUE!</v>
      </c>
      <c r="AN57" s="637"/>
      <c r="AO57" s="562" t="s">
        <v>585</v>
      </c>
      <c r="AP57" s="566" t="s">
        <v>585</v>
      </c>
      <c r="AQ57" s="566" t="s">
        <v>585</v>
      </c>
      <c r="AR57" s="562" t="e">
        <f t="shared" si="51"/>
        <v>#VALUE!</v>
      </c>
      <c r="AS57" s="637"/>
      <c r="AT57" s="562" t="s">
        <v>585</v>
      </c>
      <c r="AU57" s="566" t="s">
        <v>585</v>
      </c>
      <c r="AV57" s="566" t="s">
        <v>585</v>
      </c>
      <c r="AW57" s="562" t="e">
        <f t="shared" si="53"/>
        <v>#VALUE!</v>
      </c>
      <c r="AX57" s="637"/>
      <c r="AZ57" s="368" t="e">
        <f t="shared" si="55"/>
        <v>#N/A</v>
      </c>
      <c r="BA57" s="683"/>
    </row>
    <row r="58" spans="2:53">
      <c r="B58" s="647"/>
      <c r="C58" s="380">
        <v>12</v>
      </c>
      <c r="D58" s="225"/>
      <c r="E58" s="535"/>
      <c r="F58" s="534"/>
      <c r="G58" s="536"/>
      <c r="H58" s="655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7"/>
      <c r="M58" s="420" t="e">
        <f>RANK(K58, K$47:$K$61)</f>
        <v>#VALUE!</v>
      </c>
      <c r="N58" s="641"/>
      <c r="O58" s="641"/>
      <c r="P58" s="562" t="s">
        <v>585</v>
      </c>
      <c r="Q58" s="566" t="s">
        <v>585</v>
      </c>
      <c r="R58" s="566" t="s">
        <v>585</v>
      </c>
      <c r="S58" s="562" t="e">
        <f t="shared" si="41"/>
        <v>#VALUE!</v>
      </c>
      <c r="T58" s="637"/>
      <c r="U58" s="562" t="s">
        <v>585</v>
      </c>
      <c r="V58" s="566" t="s">
        <v>585</v>
      </c>
      <c r="W58" s="566" t="s">
        <v>585</v>
      </c>
      <c r="X58" s="562" t="e">
        <f t="shared" si="43"/>
        <v>#VALUE!</v>
      </c>
      <c r="Y58" s="637"/>
      <c r="Z58" s="562" t="s">
        <v>585</v>
      </c>
      <c r="AA58" s="566" t="s">
        <v>585</v>
      </c>
      <c r="AB58" s="566" t="s">
        <v>585</v>
      </c>
      <c r="AC58" s="562" t="e">
        <f t="shared" si="45"/>
        <v>#VALUE!</v>
      </c>
      <c r="AD58" s="637"/>
      <c r="AE58" s="562" t="s">
        <v>585</v>
      </c>
      <c r="AF58" s="566" t="s">
        <v>585</v>
      </c>
      <c r="AG58" s="566" t="s">
        <v>585</v>
      </c>
      <c r="AH58" s="562" t="e">
        <f t="shared" si="47"/>
        <v>#VALUE!</v>
      </c>
      <c r="AI58" s="637"/>
      <c r="AJ58" s="562" t="s">
        <v>585</v>
      </c>
      <c r="AK58" s="566" t="s">
        <v>585</v>
      </c>
      <c r="AL58" s="566" t="s">
        <v>585</v>
      </c>
      <c r="AM58" s="562" t="e">
        <f t="shared" si="49"/>
        <v>#VALUE!</v>
      </c>
      <c r="AN58" s="637"/>
      <c r="AO58" s="562" t="s">
        <v>585</v>
      </c>
      <c r="AP58" s="566" t="s">
        <v>585</v>
      </c>
      <c r="AQ58" s="566" t="s">
        <v>585</v>
      </c>
      <c r="AR58" s="562" t="e">
        <f t="shared" si="51"/>
        <v>#VALUE!</v>
      </c>
      <c r="AS58" s="637"/>
      <c r="AT58" s="562" t="s">
        <v>585</v>
      </c>
      <c r="AU58" s="566" t="s">
        <v>585</v>
      </c>
      <c r="AV58" s="566" t="s">
        <v>585</v>
      </c>
      <c r="AW58" s="562" t="e">
        <f t="shared" si="53"/>
        <v>#VALUE!</v>
      </c>
      <c r="AX58" s="637"/>
      <c r="AZ58" s="368" t="e">
        <f t="shared" si="55"/>
        <v>#N/A</v>
      </c>
      <c r="BA58" s="683"/>
    </row>
    <row r="59" spans="2:53">
      <c r="B59" s="647"/>
      <c r="C59" s="380">
        <v>13</v>
      </c>
      <c r="D59" s="225"/>
      <c r="E59" s="535"/>
      <c r="F59" s="534"/>
      <c r="G59" s="536"/>
      <c r="H59" s="655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7"/>
      <c r="M59" s="420" t="e">
        <f>RANK(K59, K$47:$K$61)</f>
        <v>#VALUE!</v>
      </c>
      <c r="N59" s="641"/>
      <c r="O59" s="641"/>
      <c r="P59" s="562" t="s">
        <v>585</v>
      </c>
      <c r="Q59" s="566" t="s">
        <v>585</v>
      </c>
      <c r="R59" s="566" t="s">
        <v>585</v>
      </c>
      <c r="S59" s="562" t="e">
        <f t="shared" si="41"/>
        <v>#VALUE!</v>
      </c>
      <c r="T59" s="637"/>
      <c r="U59" s="562" t="s">
        <v>585</v>
      </c>
      <c r="V59" s="566" t="s">
        <v>585</v>
      </c>
      <c r="W59" s="566" t="s">
        <v>585</v>
      </c>
      <c r="X59" s="562" t="e">
        <f t="shared" si="43"/>
        <v>#VALUE!</v>
      </c>
      <c r="Y59" s="637"/>
      <c r="Z59" s="562" t="s">
        <v>585</v>
      </c>
      <c r="AA59" s="566" t="s">
        <v>585</v>
      </c>
      <c r="AB59" s="566" t="s">
        <v>585</v>
      </c>
      <c r="AC59" s="562" t="e">
        <f t="shared" si="45"/>
        <v>#VALUE!</v>
      </c>
      <c r="AD59" s="637"/>
      <c r="AE59" s="562" t="s">
        <v>585</v>
      </c>
      <c r="AF59" s="566" t="s">
        <v>585</v>
      </c>
      <c r="AG59" s="566" t="s">
        <v>585</v>
      </c>
      <c r="AH59" s="562" t="e">
        <f t="shared" si="47"/>
        <v>#VALUE!</v>
      </c>
      <c r="AI59" s="637"/>
      <c r="AJ59" s="562" t="s">
        <v>585</v>
      </c>
      <c r="AK59" s="566" t="s">
        <v>585</v>
      </c>
      <c r="AL59" s="566" t="s">
        <v>585</v>
      </c>
      <c r="AM59" s="562" t="e">
        <f t="shared" si="49"/>
        <v>#VALUE!</v>
      </c>
      <c r="AN59" s="637"/>
      <c r="AO59" s="562" t="s">
        <v>585</v>
      </c>
      <c r="AP59" s="566" t="s">
        <v>585</v>
      </c>
      <c r="AQ59" s="566" t="s">
        <v>585</v>
      </c>
      <c r="AR59" s="562" t="e">
        <f t="shared" si="51"/>
        <v>#VALUE!</v>
      </c>
      <c r="AS59" s="637"/>
      <c r="AT59" s="562" t="s">
        <v>585</v>
      </c>
      <c r="AU59" s="566" t="s">
        <v>585</v>
      </c>
      <c r="AV59" s="566" t="s">
        <v>585</v>
      </c>
      <c r="AW59" s="562" t="e">
        <f t="shared" si="53"/>
        <v>#VALUE!</v>
      </c>
      <c r="AX59" s="637"/>
      <c r="AZ59" s="368" t="e">
        <f t="shared" si="55"/>
        <v>#N/A</v>
      </c>
      <c r="BA59" s="683"/>
    </row>
    <row r="60" spans="2:53">
      <c r="B60" s="647"/>
      <c r="C60" s="380">
        <v>14</v>
      </c>
      <c r="D60" s="225"/>
      <c r="E60" s="535"/>
      <c r="F60" s="534"/>
      <c r="G60" s="536"/>
      <c r="H60" s="655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7"/>
      <c r="M60" s="420" t="e">
        <f>RANK(K60, K$47:$K$61)</f>
        <v>#VALUE!</v>
      </c>
      <c r="N60" s="641"/>
      <c r="O60" s="641"/>
      <c r="P60" s="562" t="s">
        <v>585</v>
      </c>
      <c r="Q60" s="566" t="s">
        <v>585</v>
      </c>
      <c r="R60" s="566" t="s">
        <v>585</v>
      </c>
      <c r="S60" s="562" t="e">
        <f t="shared" si="41"/>
        <v>#VALUE!</v>
      </c>
      <c r="T60" s="637"/>
      <c r="U60" s="562" t="s">
        <v>585</v>
      </c>
      <c r="V60" s="566" t="s">
        <v>585</v>
      </c>
      <c r="W60" s="566" t="s">
        <v>585</v>
      </c>
      <c r="X60" s="562" t="e">
        <f t="shared" si="43"/>
        <v>#VALUE!</v>
      </c>
      <c r="Y60" s="637"/>
      <c r="Z60" s="562" t="s">
        <v>585</v>
      </c>
      <c r="AA60" s="566" t="s">
        <v>585</v>
      </c>
      <c r="AB60" s="566" t="s">
        <v>585</v>
      </c>
      <c r="AC60" s="562" t="e">
        <f t="shared" si="45"/>
        <v>#VALUE!</v>
      </c>
      <c r="AD60" s="637"/>
      <c r="AE60" s="562" t="s">
        <v>585</v>
      </c>
      <c r="AF60" s="566" t="s">
        <v>585</v>
      </c>
      <c r="AG60" s="566" t="s">
        <v>585</v>
      </c>
      <c r="AH60" s="562" t="e">
        <f t="shared" si="47"/>
        <v>#VALUE!</v>
      </c>
      <c r="AI60" s="637"/>
      <c r="AJ60" s="562" t="s">
        <v>585</v>
      </c>
      <c r="AK60" s="566" t="s">
        <v>585</v>
      </c>
      <c r="AL60" s="566" t="s">
        <v>585</v>
      </c>
      <c r="AM60" s="562" t="e">
        <f t="shared" si="49"/>
        <v>#VALUE!</v>
      </c>
      <c r="AN60" s="637"/>
      <c r="AO60" s="562" t="s">
        <v>585</v>
      </c>
      <c r="AP60" s="566" t="s">
        <v>585</v>
      </c>
      <c r="AQ60" s="566" t="s">
        <v>585</v>
      </c>
      <c r="AR60" s="562" t="e">
        <f t="shared" si="51"/>
        <v>#VALUE!</v>
      </c>
      <c r="AS60" s="637"/>
      <c r="AT60" s="562" t="s">
        <v>585</v>
      </c>
      <c r="AU60" s="566" t="s">
        <v>585</v>
      </c>
      <c r="AV60" s="566" t="s">
        <v>585</v>
      </c>
      <c r="AW60" s="562" t="e">
        <f t="shared" si="53"/>
        <v>#VALUE!</v>
      </c>
      <c r="AX60" s="637"/>
      <c r="AZ60" s="368" t="e">
        <f t="shared" si="55"/>
        <v>#N/A</v>
      </c>
      <c r="BA60" s="683"/>
    </row>
    <row r="61" spans="2:53">
      <c r="B61" s="647"/>
      <c r="C61" s="380">
        <v>15</v>
      </c>
      <c r="D61" s="225"/>
      <c r="E61" s="535"/>
      <c r="F61" s="534"/>
      <c r="G61" s="536"/>
      <c r="H61" s="712"/>
      <c r="I61" s="380"/>
      <c r="J61" s="380"/>
      <c r="K61" s="380"/>
      <c r="L61" s="658"/>
      <c r="M61" s="420" t="e">
        <f>RANK(K61, K$47:$K$61)</f>
        <v>#N/A</v>
      </c>
      <c r="N61" s="641"/>
      <c r="O61" s="641"/>
      <c r="P61" s="562" t="s">
        <v>585</v>
      </c>
      <c r="Q61" s="566" t="s">
        <v>585</v>
      </c>
      <c r="R61" s="566" t="s">
        <v>585</v>
      </c>
      <c r="S61" s="562" t="e">
        <f t="shared" si="41"/>
        <v>#VALUE!</v>
      </c>
      <c r="T61" s="638"/>
      <c r="U61" s="562" t="s">
        <v>585</v>
      </c>
      <c r="V61" s="566" t="s">
        <v>585</v>
      </c>
      <c r="W61" s="566" t="s">
        <v>585</v>
      </c>
      <c r="X61" s="562" t="e">
        <f t="shared" si="43"/>
        <v>#VALUE!</v>
      </c>
      <c r="Y61" s="638"/>
      <c r="Z61" s="562" t="s">
        <v>585</v>
      </c>
      <c r="AA61" s="566" t="s">
        <v>585</v>
      </c>
      <c r="AB61" s="566" t="s">
        <v>585</v>
      </c>
      <c r="AC61" s="562" t="e">
        <f t="shared" si="45"/>
        <v>#VALUE!</v>
      </c>
      <c r="AD61" s="638"/>
      <c r="AE61" s="562" t="s">
        <v>585</v>
      </c>
      <c r="AF61" s="566" t="s">
        <v>585</v>
      </c>
      <c r="AG61" s="566" t="s">
        <v>585</v>
      </c>
      <c r="AH61" s="562" t="e">
        <f t="shared" si="47"/>
        <v>#VALUE!</v>
      </c>
      <c r="AI61" s="638"/>
      <c r="AJ61" s="562" t="s">
        <v>585</v>
      </c>
      <c r="AK61" s="566" t="s">
        <v>585</v>
      </c>
      <c r="AL61" s="566" t="s">
        <v>585</v>
      </c>
      <c r="AM61" s="562" t="e">
        <f t="shared" si="49"/>
        <v>#VALUE!</v>
      </c>
      <c r="AN61" s="638"/>
      <c r="AO61" s="562" t="s">
        <v>585</v>
      </c>
      <c r="AP61" s="566" t="s">
        <v>585</v>
      </c>
      <c r="AQ61" s="566" t="s">
        <v>585</v>
      </c>
      <c r="AR61" s="562" t="e">
        <f t="shared" si="51"/>
        <v>#VALUE!</v>
      </c>
      <c r="AS61" s="638"/>
      <c r="AT61" s="562" t="s">
        <v>585</v>
      </c>
      <c r="AU61" s="566" t="s">
        <v>585</v>
      </c>
      <c r="AV61" s="566" t="s">
        <v>585</v>
      </c>
      <c r="AW61" s="562" t="e">
        <f t="shared" si="53"/>
        <v>#VALUE!</v>
      </c>
      <c r="AX61" s="638"/>
      <c r="AZ61" s="368" t="e">
        <f t="shared" si="55"/>
        <v>#N/A</v>
      </c>
      <c r="BA61" s="684"/>
    </row>
    <row r="62" spans="2:53" ht="15.75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68">
        <f>P42+7</f>
        <v>46252</v>
      </c>
      <c r="Q62" s="647"/>
      <c r="R62" s="647"/>
      <c r="S62" s="647"/>
      <c r="T62" s="647"/>
      <c r="U62" s="665">
        <f>P62+1</f>
        <v>46253</v>
      </c>
      <c r="V62" s="666"/>
      <c r="W62" s="666"/>
      <c r="X62" s="666"/>
      <c r="Y62" s="667"/>
      <c r="Z62" s="665">
        <f>U62+1</f>
        <v>46254</v>
      </c>
      <c r="AA62" s="666"/>
      <c r="AB62" s="666"/>
      <c r="AC62" s="666"/>
      <c r="AD62" s="667"/>
      <c r="AE62" s="665">
        <f>Z62+1</f>
        <v>46255</v>
      </c>
      <c r="AF62" s="666"/>
      <c r="AG62" s="666"/>
      <c r="AH62" s="666"/>
      <c r="AI62" s="667"/>
      <c r="AJ62" s="665">
        <f>AE62+1</f>
        <v>46256</v>
      </c>
      <c r="AK62" s="666"/>
      <c r="AL62" s="666"/>
      <c r="AM62" s="666"/>
      <c r="AN62" s="667"/>
      <c r="AO62" s="665">
        <f>AJ62+1</f>
        <v>46257</v>
      </c>
      <c r="AP62" s="666"/>
      <c r="AQ62" s="666"/>
      <c r="AR62" s="666"/>
      <c r="AS62" s="667"/>
      <c r="AT62" s="665">
        <f>AO62+1</f>
        <v>46258</v>
      </c>
      <c r="AU62" s="666"/>
      <c r="AV62" s="666"/>
      <c r="AW62" s="666"/>
      <c r="AX62" s="667"/>
    </row>
    <row r="63" spans="2:53" ht="15.75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45"/>
      <c r="O63" s="645"/>
      <c r="P63" s="668" t="s">
        <v>317</v>
      </c>
      <c r="Q63" s="647"/>
      <c r="R63" s="647"/>
      <c r="S63" s="647"/>
      <c r="T63" s="647"/>
      <c r="U63" s="668" t="s">
        <v>318</v>
      </c>
      <c r="V63" s="647"/>
      <c r="W63" s="647"/>
      <c r="X63" s="647"/>
      <c r="Y63" s="647"/>
      <c r="Z63" s="668" t="s">
        <v>319</v>
      </c>
      <c r="AA63" s="647"/>
      <c r="AB63" s="647"/>
      <c r="AC63" s="647"/>
      <c r="AD63" s="647"/>
      <c r="AE63" s="668" t="s">
        <v>320</v>
      </c>
      <c r="AF63" s="647"/>
      <c r="AG63" s="647"/>
      <c r="AH63" s="647"/>
      <c r="AI63" s="647"/>
      <c r="AJ63" s="668" t="s">
        <v>321</v>
      </c>
      <c r="AK63" s="647"/>
      <c r="AL63" s="647"/>
      <c r="AM63" s="647"/>
      <c r="AN63" s="647"/>
      <c r="AO63" s="668" t="s">
        <v>322</v>
      </c>
      <c r="AP63" s="647"/>
      <c r="AQ63" s="647"/>
      <c r="AR63" s="647"/>
      <c r="AS63" s="647"/>
      <c r="AT63" s="668" t="s">
        <v>323</v>
      </c>
      <c r="AU63" s="647"/>
      <c r="AV63" s="647"/>
      <c r="AW63" s="647"/>
      <c r="AX63" s="647"/>
    </row>
    <row r="64" spans="2:53">
      <c r="B64" s="641" t="s">
        <v>369</v>
      </c>
      <c r="C64" s="641" t="s">
        <v>532</v>
      </c>
      <c r="D64" s="641"/>
      <c r="E64" s="641" t="s">
        <v>533</v>
      </c>
      <c r="F64" s="641"/>
      <c r="G64" s="641"/>
      <c r="H64" s="673" t="s">
        <v>534</v>
      </c>
      <c r="I64" s="641" t="s">
        <v>535</v>
      </c>
      <c r="J64" s="641"/>
      <c r="K64" s="641"/>
      <c r="L64" s="673" t="s">
        <v>366</v>
      </c>
      <c r="M64" s="643" t="s">
        <v>536</v>
      </c>
      <c r="N64" s="641"/>
      <c r="O64" s="641" t="s">
        <v>537</v>
      </c>
      <c r="P64" s="659" t="s">
        <v>368</v>
      </c>
      <c r="Q64" s="660"/>
      <c r="R64" s="660"/>
      <c r="S64" s="661"/>
      <c r="T64" s="641" t="s">
        <v>366</v>
      </c>
      <c r="U64" s="659" t="s">
        <v>368</v>
      </c>
      <c r="V64" s="660"/>
      <c r="W64" s="660"/>
      <c r="X64" s="661"/>
      <c r="Y64" s="641" t="s">
        <v>366</v>
      </c>
      <c r="Z64" s="659" t="s">
        <v>368</v>
      </c>
      <c r="AA64" s="660"/>
      <c r="AB64" s="660"/>
      <c r="AC64" s="661"/>
      <c r="AD64" s="641" t="s">
        <v>366</v>
      </c>
      <c r="AE64" s="659" t="s">
        <v>368</v>
      </c>
      <c r="AF64" s="660"/>
      <c r="AG64" s="660"/>
      <c r="AH64" s="661"/>
      <c r="AI64" s="641" t="s">
        <v>366</v>
      </c>
      <c r="AJ64" s="659" t="s">
        <v>368</v>
      </c>
      <c r="AK64" s="660"/>
      <c r="AL64" s="660"/>
      <c r="AM64" s="661"/>
      <c r="AN64" s="641" t="s">
        <v>366</v>
      </c>
      <c r="AO64" s="659" t="s">
        <v>368</v>
      </c>
      <c r="AP64" s="660"/>
      <c r="AQ64" s="660"/>
      <c r="AR64" s="661"/>
      <c r="AS64" s="641" t="s">
        <v>366</v>
      </c>
      <c r="AT64" s="659" t="s">
        <v>368</v>
      </c>
      <c r="AU64" s="660"/>
      <c r="AV64" s="660"/>
      <c r="AW64" s="661"/>
      <c r="AX64" s="641" t="s">
        <v>366</v>
      </c>
      <c r="BA64" s="641" t="s">
        <v>366</v>
      </c>
    </row>
    <row r="65" spans="2:53">
      <c r="B65" s="641"/>
      <c r="C65" s="641"/>
      <c r="D65" s="641"/>
      <c r="E65" s="641" t="s">
        <v>538</v>
      </c>
      <c r="F65" s="641"/>
      <c r="G65" s="641"/>
      <c r="H65" s="674"/>
      <c r="I65" s="641" t="s">
        <v>538</v>
      </c>
      <c r="J65" s="641"/>
      <c r="K65" s="641"/>
      <c r="L65" s="674"/>
      <c r="M65" s="644"/>
      <c r="N65" s="641"/>
      <c r="O65" s="641"/>
      <c r="P65" s="659" t="s">
        <v>374</v>
      </c>
      <c r="Q65" s="660"/>
      <c r="R65" s="660"/>
      <c r="S65" s="661"/>
      <c r="T65" s="641"/>
      <c r="U65" s="659" t="s">
        <v>374</v>
      </c>
      <c r="V65" s="660"/>
      <c r="W65" s="660"/>
      <c r="X65" s="661"/>
      <c r="Y65" s="641"/>
      <c r="Z65" s="659" t="s">
        <v>374</v>
      </c>
      <c r="AA65" s="660"/>
      <c r="AB65" s="660"/>
      <c r="AC65" s="661"/>
      <c r="AD65" s="641"/>
      <c r="AE65" s="659" t="s">
        <v>374</v>
      </c>
      <c r="AF65" s="660"/>
      <c r="AG65" s="660"/>
      <c r="AH65" s="661"/>
      <c r="AI65" s="641"/>
      <c r="AJ65" s="659" t="s">
        <v>374</v>
      </c>
      <c r="AK65" s="660"/>
      <c r="AL65" s="660"/>
      <c r="AM65" s="661"/>
      <c r="AN65" s="641"/>
      <c r="AO65" s="659" t="s">
        <v>374</v>
      </c>
      <c r="AP65" s="660"/>
      <c r="AQ65" s="660"/>
      <c r="AR65" s="661"/>
      <c r="AS65" s="641"/>
      <c r="AT65" s="659" t="s">
        <v>374</v>
      </c>
      <c r="AU65" s="660"/>
      <c r="AV65" s="660"/>
      <c r="AW65" s="661"/>
      <c r="AX65" s="641"/>
      <c r="BA65" s="641"/>
    </row>
    <row r="66" spans="2:53">
      <c r="B66" s="641"/>
      <c r="C66" s="641"/>
      <c r="D66" s="641"/>
      <c r="E66" s="378" t="s">
        <v>539</v>
      </c>
      <c r="F66" s="378" t="s">
        <v>540</v>
      </c>
      <c r="G66" s="378" t="s">
        <v>541</v>
      </c>
      <c r="H66" s="675"/>
      <c r="I66" s="378" t="s">
        <v>539</v>
      </c>
      <c r="J66" s="378" t="s">
        <v>540</v>
      </c>
      <c r="K66" s="378" t="s">
        <v>541</v>
      </c>
      <c r="L66" s="675"/>
      <c r="M66" s="645"/>
      <c r="N66" s="641"/>
      <c r="O66" s="641"/>
      <c r="P66" s="378" t="s">
        <v>375</v>
      </c>
      <c r="Q66" s="378" t="s">
        <v>376</v>
      </c>
      <c r="R66" s="378" t="s">
        <v>377</v>
      </c>
      <c r="S66" s="378" t="s">
        <v>367</v>
      </c>
      <c r="T66" s="641"/>
      <c r="U66" s="378" t="s">
        <v>375</v>
      </c>
      <c r="V66" s="378" t="s">
        <v>376</v>
      </c>
      <c r="W66" s="378" t="s">
        <v>377</v>
      </c>
      <c r="X66" s="378" t="s">
        <v>367</v>
      </c>
      <c r="Y66" s="641"/>
      <c r="Z66" s="378" t="s">
        <v>375</v>
      </c>
      <c r="AA66" s="378" t="s">
        <v>376</v>
      </c>
      <c r="AB66" s="378" t="s">
        <v>377</v>
      </c>
      <c r="AC66" s="378" t="s">
        <v>367</v>
      </c>
      <c r="AD66" s="641"/>
      <c r="AE66" s="378" t="s">
        <v>375</v>
      </c>
      <c r="AF66" s="378" t="s">
        <v>376</v>
      </c>
      <c r="AG66" s="378" t="s">
        <v>377</v>
      </c>
      <c r="AH66" s="378" t="s">
        <v>367</v>
      </c>
      <c r="AI66" s="641"/>
      <c r="AJ66" s="378" t="s">
        <v>375</v>
      </c>
      <c r="AK66" s="378" t="s">
        <v>376</v>
      </c>
      <c r="AL66" s="378" t="s">
        <v>377</v>
      </c>
      <c r="AM66" s="378" t="s">
        <v>367</v>
      </c>
      <c r="AN66" s="641"/>
      <c r="AO66" s="378" t="s">
        <v>375</v>
      </c>
      <c r="AP66" s="378" t="s">
        <v>376</v>
      </c>
      <c r="AQ66" s="378" t="s">
        <v>377</v>
      </c>
      <c r="AR66" s="378" t="s">
        <v>367</v>
      </c>
      <c r="AS66" s="641"/>
      <c r="AT66" s="378" t="s">
        <v>375</v>
      </c>
      <c r="AU66" s="378" t="s">
        <v>376</v>
      </c>
      <c r="AV66" s="378" t="s">
        <v>377</v>
      </c>
      <c r="AW66" s="378" t="s">
        <v>367</v>
      </c>
      <c r="AX66" s="641"/>
      <c r="AZ66" s="367" t="s">
        <v>367</v>
      </c>
      <c r="BA66" s="641"/>
    </row>
    <row r="67" spans="2:53">
      <c r="B67" s="641" t="s">
        <v>381</v>
      </c>
      <c r="C67" s="380">
        <v>1</v>
      </c>
      <c r="D67" s="225" t="s">
        <v>587</v>
      </c>
      <c r="E67" s="535">
        <v>17</v>
      </c>
      <c r="F67" s="534">
        <v>1565</v>
      </c>
      <c r="G67" s="536">
        <v>92.058823529411768</v>
      </c>
      <c r="H67" s="654">
        <f>AVERAGE(G67:G81)</f>
        <v>91.035947712418306</v>
      </c>
      <c r="I67" s="381">
        <f t="shared" ref="I67:I80" si="57">IFERROR(AVERAGE(P67,U67,Z67,AE67,AJ67,AO67,AT67),"-")</f>
        <v>17</v>
      </c>
      <c r="J67" s="381">
        <f t="shared" ref="J67:J80" si="58">IFERROR(AVERAGE(Q67,V67,AA67,AF67,AK67,AP67,AU67),"-")</f>
        <v>1387.9263570873959</v>
      </c>
      <c r="K67" s="199">
        <f t="shared" ref="K67:K80" si="59">IFERROR(AVERAGE(R67,W67,AB67,AG67,AL67,AQ67,AV67),"-")</f>
        <v>81.642726887493879</v>
      </c>
      <c r="L67" s="656">
        <f>IFERROR(AVERAGE(K67:K81),"-")</f>
        <v>81.016372046828806</v>
      </c>
      <c r="M67" s="385">
        <f>RANK(K67, K$67:$K$81)</f>
        <v>3</v>
      </c>
      <c r="N67" s="641"/>
      <c r="O67" s="641"/>
      <c r="P67" s="575">
        <v>17</v>
      </c>
      <c r="Q67" s="577">
        <v>1388.1405405405412</v>
      </c>
      <c r="R67" s="577">
        <v>81.655325914149486</v>
      </c>
      <c r="S67" s="575">
        <f t="shared" ref="S67:S81" si="60">RANK(R67, R$67:R$81)</f>
        <v>3</v>
      </c>
      <c r="T67" s="636">
        <f t="shared" ref="T67" si="61">AVERAGE(R67:R81)</f>
        <v>80.260756633527308</v>
      </c>
      <c r="U67" s="575">
        <v>17</v>
      </c>
      <c r="V67" s="577">
        <v>1383.5064935064934</v>
      </c>
      <c r="W67" s="577">
        <v>81.382734912146674</v>
      </c>
      <c r="X67" s="575">
        <f t="shared" ref="X67:X81" si="62">RANK(W67, W$67:W$81)</f>
        <v>3</v>
      </c>
      <c r="Y67" s="636">
        <f t="shared" ref="Y67" si="63">AVERAGE(W67:W81)</f>
        <v>81.369450142596918</v>
      </c>
      <c r="Z67" s="575">
        <v>17</v>
      </c>
      <c r="AA67" s="577">
        <v>1381.1999999999998</v>
      </c>
      <c r="AB67" s="577">
        <v>81.2470588235294</v>
      </c>
      <c r="AC67" s="575">
        <f t="shared" ref="AC67:AC81" si="64">RANK(AB67, AB$67:AB$81)</f>
        <v>3</v>
      </c>
      <c r="AD67" s="636">
        <f t="shared" ref="AD67" si="65">AVERAGE(AB67:AB81)</f>
        <v>80.972916560143702</v>
      </c>
      <c r="AE67" s="575">
        <v>17</v>
      </c>
      <c r="AF67" s="577">
        <v>1392.0000000000002</v>
      </c>
      <c r="AG67" s="577">
        <v>81.882352941176478</v>
      </c>
      <c r="AH67" s="575">
        <f t="shared" ref="AH67:AH81" si="66">RANK(AG67, AG$67:AG$81)</f>
        <v>3</v>
      </c>
      <c r="AI67" s="636">
        <f t="shared" ref="AI67" si="67">AVERAGE(AG67:AG81)</f>
        <v>80.213547257184302</v>
      </c>
      <c r="AJ67" s="575">
        <v>17</v>
      </c>
      <c r="AK67" s="577">
        <v>1397.3333333333333</v>
      </c>
      <c r="AL67" s="577">
        <v>82.196078431372541</v>
      </c>
      <c r="AM67" s="575">
        <f t="shared" ref="AM67:AM81" si="68">RANK(AL67, AL$67:AL$81)</f>
        <v>3</v>
      </c>
      <c r="AN67" s="636">
        <f t="shared" ref="AN67" si="69">AVERAGE(AL67:AL81)</f>
        <v>81.528596561789485</v>
      </c>
      <c r="AO67" s="575">
        <v>17</v>
      </c>
      <c r="AP67" s="577">
        <v>1395.7041322314044</v>
      </c>
      <c r="AQ67" s="577">
        <v>82.100243072435546</v>
      </c>
      <c r="AR67" s="575">
        <f t="shared" ref="AR67:AR81" si="70">RANK(AQ67, AQ$67:AQ$81)</f>
        <v>3</v>
      </c>
      <c r="AS67" s="636">
        <f t="shared" ref="AS67" si="71">AVERAGE(AQ67:AQ81)</f>
        <v>81.37627101601602</v>
      </c>
      <c r="AT67" s="575">
        <v>17</v>
      </c>
      <c r="AU67" s="577">
        <v>1377.6</v>
      </c>
      <c r="AV67" s="577">
        <v>81.035294117647055</v>
      </c>
      <c r="AW67" s="575">
        <f t="shared" ref="AW67:AW81" si="72">RANK(AV67, AV$67:AV$81)</f>
        <v>3</v>
      </c>
      <c r="AX67" s="636">
        <f t="shared" ref="AX67" si="73">AVERAGE(AV67:AV81)</f>
        <v>81.393066156543924</v>
      </c>
      <c r="AZ67" s="368" t="e">
        <f t="shared" ref="AZ67:AZ81" si="74">RANK(AY67, AY$67:AY$81)</f>
        <v>#N/A</v>
      </c>
      <c r="BA67" s="682" t="e">
        <f t="shared" ref="BA67" si="75">AVERAGE(AY67:AY81)</f>
        <v>#DIV/0!</v>
      </c>
    </row>
    <row r="68" spans="2:53">
      <c r="B68" s="647"/>
      <c r="C68" s="380">
        <v>2</v>
      </c>
      <c r="D68" s="225" t="s">
        <v>616</v>
      </c>
      <c r="E68" s="535">
        <v>18</v>
      </c>
      <c r="F68" s="534">
        <v>1565</v>
      </c>
      <c r="G68" s="536">
        <v>86.944444444444443</v>
      </c>
      <c r="H68" s="655"/>
      <c r="I68" s="381">
        <f t="shared" si="57"/>
        <v>18</v>
      </c>
      <c r="J68" s="381">
        <f t="shared" si="58"/>
        <v>1389.1792517797383</v>
      </c>
      <c r="K68" s="199">
        <f t="shared" si="59"/>
        <v>77.176625098874339</v>
      </c>
      <c r="L68" s="657"/>
      <c r="M68" s="385">
        <f>RANK(K68, K$67:$K$81)</f>
        <v>5</v>
      </c>
      <c r="N68" s="641"/>
      <c r="O68" s="641"/>
      <c r="P68" s="575">
        <v>18</v>
      </c>
      <c r="Q68" s="577">
        <v>1338.8059701492537</v>
      </c>
      <c r="R68" s="577">
        <v>74.378109452736311</v>
      </c>
      <c r="S68" s="575">
        <f t="shared" si="60"/>
        <v>5</v>
      </c>
      <c r="T68" s="637"/>
      <c r="U68" s="575">
        <v>18</v>
      </c>
      <c r="V68" s="577">
        <v>1412.9032258064517</v>
      </c>
      <c r="W68" s="577">
        <v>78.494623655913983</v>
      </c>
      <c r="X68" s="575">
        <f t="shared" si="62"/>
        <v>4</v>
      </c>
      <c r="Y68" s="637"/>
      <c r="Z68" s="575">
        <v>18</v>
      </c>
      <c r="AA68" s="577">
        <v>1396.2500000000005</v>
      </c>
      <c r="AB68" s="577">
        <v>77.569444444444471</v>
      </c>
      <c r="AC68" s="575">
        <f t="shared" si="64"/>
        <v>4</v>
      </c>
      <c r="AD68" s="637"/>
      <c r="AE68" s="575">
        <v>18</v>
      </c>
      <c r="AF68" s="577">
        <v>1368.6206896551716</v>
      </c>
      <c r="AG68" s="577">
        <v>76.034482758620641</v>
      </c>
      <c r="AH68" s="575">
        <f t="shared" si="66"/>
        <v>5</v>
      </c>
      <c r="AI68" s="637"/>
      <c r="AJ68" s="575">
        <v>18</v>
      </c>
      <c r="AK68" s="577">
        <v>1413.1034482758612</v>
      </c>
      <c r="AL68" s="577">
        <v>78.505747126436731</v>
      </c>
      <c r="AM68" s="575">
        <f t="shared" si="68"/>
        <v>4</v>
      </c>
      <c r="AN68" s="637"/>
      <c r="AO68" s="575">
        <v>18</v>
      </c>
      <c r="AP68" s="577">
        <v>1398.5714285714282</v>
      </c>
      <c r="AQ68" s="577">
        <v>77.698412698412682</v>
      </c>
      <c r="AR68" s="575">
        <f t="shared" si="70"/>
        <v>5</v>
      </c>
      <c r="AS68" s="637"/>
      <c r="AT68" s="575">
        <v>18</v>
      </c>
      <c r="AU68" s="577">
        <v>1396.0000000000005</v>
      </c>
      <c r="AV68" s="577">
        <v>77.555555555555586</v>
      </c>
      <c r="AW68" s="575">
        <f t="shared" si="72"/>
        <v>4</v>
      </c>
      <c r="AX68" s="637"/>
      <c r="AZ68" s="368" t="e">
        <f t="shared" si="74"/>
        <v>#N/A</v>
      </c>
      <c r="BA68" s="683"/>
    </row>
    <row r="69" spans="2:53">
      <c r="B69" s="647"/>
      <c r="C69" s="380">
        <v>3</v>
      </c>
      <c r="D69" s="225" t="s">
        <v>624</v>
      </c>
      <c r="E69" s="535">
        <v>17</v>
      </c>
      <c r="F69" s="534">
        <v>1565</v>
      </c>
      <c r="G69" s="536">
        <v>92.058823529411768</v>
      </c>
      <c r="H69" s="655"/>
      <c r="I69" s="381">
        <f t="shared" si="57"/>
        <v>17</v>
      </c>
      <c r="J69" s="381">
        <f t="shared" si="58"/>
        <v>1432.0774165685241</v>
      </c>
      <c r="K69" s="199">
        <f t="shared" si="59"/>
        <v>84.239848033442598</v>
      </c>
      <c r="L69" s="657"/>
      <c r="M69" s="385">
        <f>RANK(K69, K$67:$K$81)</f>
        <v>2</v>
      </c>
      <c r="N69" s="641"/>
      <c r="O69" s="641"/>
      <c r="P69" s="575">
        <v>17</v>
      </c>
      <c r="Q69" s="577">
        <v>1432.0481927710839</v>
      </c>
      <c r="R69" s="577">
        <v>84.238128986534349</v>
      </c>
      <c r="S69" s="575">
        <f t="shared" si="60"/>
        <v>1</v>
      </c>
      <c r="T69" s="637"/>
      <c r="U69" s="575">
        <v>17</v>
      </c>
      <c r="V69" s="577">
        <v>1434.0000000000007</v>
      </c>
      <c r="W69" s="577">
        <v>84.352941176470623</v>
      </c>
      <c r="X69" s="575">
        <f t="shared" si="62"/>
        <v>2</v>
      </c>
      <c r="Y69" s="637"/>
      <c r="Z69" s="575">
        <v>17</v>
      </c>
      <c r="AA69" s="577">
        <v>1419.4936708860769</v>
      </c>
      <c r="AB69" s="577">
        <v>83.499627699180991</v>
      </c>
      <c r="AC69" s="575">
        <f t="shared" si="64"/>
        <v>2</v>
      </c>
      <c r="AD69" s="637"/>
      <c r="AE69" s="575">
        <v>17</v>
      </c>
      <c r="AF69" s="577">
        <v>1416.2068965517242</v>
      </c>
      <c r="AG69" s="577">
        <v>83.306288032454361</v>
      </c>
      <c r="AH69" s="575">
        <f t="shared" si="66"/>
        <v>2</v>
      </c>
      <c r="AI69" s="637"/>
      <c r="AJ69" s="575">
        <v>17</v>
      </c>
      <c r="AK69" s="577">
        <v>1435.9322033898306</v>
      </c>
      <c r="AL69" s="577">
        <v>84.466600199401796</v>
      </c>
      <c r="AM69" s="575">
        <f t="shared" si="68"/>
        <v>2</v>
      </c>
      <c r="AN69" s="637"/>
      <c r="AO69" s="575">
        <v>17</v>
      </c>
      <c r="AP69" s="577">
        <v>1435.7142857142851</v>
      </c>
      <c r="AQ69" s="577">
        <v>84.453781512605005</v>
      </c>
      <c r="AR69" s="575">
        <f t="shared" si="70"/>
        <v>1</v>
      </c>
      <c r="AS69" s="637"/>
      <c r="AT69" s="575">
        <v>17</v>
      </c>
      <c r="AU69" s="577">
        <v>1451.1466666666668</v>
      </c>
      <c r="AV69" s="577">
        <v>85.361568627450993</v>
      </c>
      <c r="AW69" s="575">
        <f t="shared" si="72"/>
        <v>2</v>
      </c>
      <c r="AX69" s="637"/>
      <c r="AZ69" s="368" t="e">
        <f t="shared" si="74"/>
        <v>#N/A</v>
      </c>
      <c r="BA69" s="683"/>
    </row>
    <row r="70" spans="2:53">
      <c r="B70" s="647"/>
      <c r="C70" s="380">
        <v>4</v>
      </c>
      <c r="D70" s="225" t="s">
        <v>719</v>
      </c>
      <c r="E70" s="535">
        <v>17</v>
      </c>
      <c r="F70" s="534">
        <v>1565</v>
      </c>
      <c r="G70" s="536">
        <v>92.058823529411768</v>
      </c>
      <c r="H70" s="655"/>
      <c r="I70" s="381">
        <f t="shared" si="57"/>
        <v>17</v>
      </c>
      <c r="J70" s="381">
        <f t="shared" si="58"/>
        <v>1315.5045708748719</v>
      </c>
      <c r="K70" s="199">
        <f t="shared" si="59"/>
        <v>77.382621816168921</v>
      </c>
      <c r="L70" s="657"/>
      <c r="M70" s="385">
        <f>RANK(K70, K$67:$K$81)</f>
        <v>4</v>
      </c>
      <c r="N70" s="641"/>
      <c r="O70" s="641"/>
      <c r="P70" s="575">
        <v>17</v>
      </c>
      <c r="Q70" s="577">
        <v>1320.5128205128208</v>
      </c>
      <c r="R70" s="577">
        <v>77.677224736048288</v>
      </c>
      <c r="S70" s="575">
        <f t="shared" si="60"/>
        <v>4</v>
      </c>
      <c r="T70" s="637"/>
      <c r="U70" s="575">
        <v>17</v>
      </c>
      <c r="V70" s="577">
        <v>1315.2475247524753</v>
      </c>
      <c r="W70" s="577">
        <v>77.367501456027966</v>
      </c>
      <c r="X70" s="575">
        <f t="shared" si="62"/>
        <v>5</v>
      </c>
      <c r="Y70" s="637"/>
      <c r="Z70" s="575">
        <v>17</v>
      </c>
      <c r="AA70" s="577">
        <v>1316.9387755102039</v>
      </c>
      <c r="AB70" s="577">
        <v>77.466986794717869</v>
      </c>
      <c r="AC70" s="575">
        <f t="shared" si="64"/>
        <v>5</v>
      </c>
      <c r="AD70" s="637"/>
      <c r="AE70" s="575">
        <v>17</v>
      </c>
      <c r="AF70" s="577">
        <v>1296.1643835616442</v>
      </c>
      <c r="AG70" s="577">
        <v>76.244963738920248</v>
      </c>
      <c r="AH70" s="575">
        <f t="shared" si="66"/>
        <v>4</v>
      </c>
      <c r="AI70" s="637"/>
      <c r="AJ70" s="575">
        <v>17</v>
      </c>
      <c r="AK70" s="577">
        <v>1315.1999999999996</v>
      </c>
      <c r="AL70" s="577">
        <v>77.364705882352922</v>
      </c>
      <c r="AM70" s="575">
        <f t="shared" si="68"/>
        <v>5</v>
      </c>
      <c r="AN70" s="637"/>
      <c r="AO70" s="575">
        <v>17</v>
      </c>
      <c r="AP70" s="577">
        <v>1333.248979591837</v>
      </c>
      <c r="AQ70" s="577">
        <v>78.426410564225705</v>
      </c>
      <c r="AR70" s="575">
        <f t="shared" si="70"/>
        <v>4</v>
      </c>
      <c r="AS70" s="637"/>
      <c r="AT70" s="575">
        <v>17</v>
      </c>
      <c r="AU70" s="577">
        <v>1311.219512195122</v>
      </c>
      <c r="AV70" s="577">
        <v>77.130559540889521</v>
      </c>
      <c r="AW70" s="575">
        <f t="shared" si="72"/>
        <v>5</v>
      </c>
      <c r="AX70" s="637"/>
      <c r="AZ70" s="368" t="e">
        <f t="shared" si="74"/>
        <v>#N/A</v>
      </c>
      <c r="BA70" s="683"/>
    </row>
    <row r="71" spans="2:53">
      <c r="B71" s="647"/>
      <c r="C71" s="380">
        <v>5</v>
      </c>
      <c r="D71" s="225" t="s">
        <v>786</v>
      </c>
      <c r="E71" s="535">
        <v>17</v>
      </c>
      <c r="F71" s="534">
        <v>1565</v>
      </c>
      <c r="G71" s="536">
        <v>92.058823529411768</v>
      </c>
      <c r="H71" s="655"/>
      <c r="I71" s="381">
        <f t="shared" si="57"/>
        <v>17</v>
      </c>
      <c r="J71" s="381">
        <f t="shared" si="58"/>
        <v>1438.8806527687932</v>
      </c>
      <c r="K71" s="199">
        <f t="shared" si="59"/>
        <v>84.640038398164293</v>
      </c>
      <c r="L71" s="657"/>
      <c r="M71" s="385">
        <f>RANK(K71, K$67:$K$81)</f>
        <v>1</v>
      </c>
      <c r="N71" s="641"/>
      <c r="O71" s="641"/>
      <c r="P71" s="575">
        <v>17</v>
      </c>
      <c r="Q71" s="577">
        <v>1417.034899328859</v>
      </c>
      <c r="R71" s="577">
        <v>83.354994078168176</v>
      </c>
      <c r="S71" s="575">
        <f t="shared" si="60"/>
        <v>2</v>
      </c>
      <c r="T71" s="637"/>
      <c r="U71" s="575">
        <v>17</v>
      </c>
      <c r="V71" s="577">
        <v>1449.2406417112302</v>
      </c>
      <c r="W71" s="577">
        <v>85.249449512425301</v>
      </c>
      <c r="X71" s="575">
        <f t="shared" si="62"/>
        <v>1</v>
      </c>
      <c r="Y71" s="637"/>
      <c r="Z71" s="575">
        <v>17</v>
      </c>
      <c r="AA71" s="577">
        <v>1446.3849056603783</v>
      </c>
      <c r="AB71" s="577">
        <v>85.081465038845778</v>
      </c>
      <c r="AC71" s="575">
        <f t="shared" si="64"/>
        <v>1</v>
      </c>
      <c r="AD71" s="637"/>
      <c r="AE71" s="575">
        <v>17</v>
      </c>
      <c r="AF71" s="577">
        <v>1421.1940298507463</v>
      </c>
      <c r="AG71" s="577">
        <v>83.599648814749784</v>
      </c>
      <c r="AH71" s="575">
        <f t="shared" si="66"/>
        <v>1</v>
      </c>
      <c r="AI71" s="637"/>
      <c r="AJ71" s="575">
        <v>17</v>
      </c>
      <c r="AK71" s="577">
        <v>1446.8674698795185</v>
      </c>
      <c r="AL71" s="577">
        <v>85.109851169383433</v>
      </c>
      <c r="AM71" s="575">
        <f t="shared" si="68"/>
        <v>1</v>
      </c>
      <c r="AN71" s="637"/>
      <c r="AO71" s="575">
        <v>17</v>
      </c>
      <c r="AP71" s="577">
        <v>1431.4426229508194</v>
      </c>
      <c r="AQ71" s="577">
        <v>84.202507232401146</v>
      </c>
      <c r="AR71" s="575">
        <f t="shared" si="70"/>
        <v>2</v>
      </c>
      <c r="AS71" s="637"/>
      <c r="AT71" s="575">
        <v>17</v>
      </c>
      <c r="AU71" s="577">
        <v>1459.9999999999998</v>
      </c>
      <c r="AV71" s="577">
        <v>85.882352941176464</v>
      </c>
      <c r="AW71" s="575">
        <f t="shared" si="72"/>
        <v>1</v>
      </c>
      <c r="AX71" s="637"/>
      <c r="AZ71" s="368" t="e">
        <f t="shared" si="74"/>
        <v>#N/A</v>
      </c>
      <c r="BA71" s="683"/>
    </row>
    <row r="72" spans="2:53">
      <c r="B72" s="647"/>
      <c r="C72" s="380">
        <v>6</v>
      </c>
      <c r="D72" s="225"/>
      <c r="E72" s="535"/>
      <c r="F72" s="534"/>
      <c r="G72" s="536"/>
      <c r="H72" s="655"/>
      <c r="I72" s="381" t="str">
        <f t="shared" si="57"/>
        <v>-</v>
      </c>
      <c r="J72" s="381" t="str">
        <f t="shared" si="58"/>
        <v>-</v>
      </c>
      <c r="K72" s="199" t="str">
        <f t="shared" si="59"/>
        <v>-</v>
      </c>
      <c r="L72" s="657"/>
      <c r="M72" s="385" t="e">
        <f>RANK(K72, K$67:$K$81)</f>
        <v>#VALUE!</v>
      </c>
      <c r="N72" s="641"/>
      <c r="O72" s="641"/>
      <c r="P72" s="575" t="s">
        <v>585</v>
      </c>
      <c r="Q72" s="577" t="s">
        <v>585</v>
      </c>
      <c r="R72" s="577" t="s">
        <v>585</v>
      </c>
      <c r="S72" s="575" t="e">
        <f t="shared" si="60"/>
        <v>#VALUE!</v>
      </c>
      <c r="T72" s="637"/>
      <c r="U72" s="575" t="s">
        <v>585</v>
      </c>
      <c r="V72" s="577" t="s">
        <v>585</v>
      </c>
      <c r="W72" s="577" t="s">
        <v>585</v>
      </c>
      <c r="X72" s="575" t="e">
        <f t="shared" si="62"/>
        <v>#VALUE!</v>
      </c>
      <c r="Y72" s="637"/>
      <c r="Z72" s="575" t="s">
        <v>585</v>
      </c>
      <c r="AA72" s="577" t="s">
        <v>585</v>
      </c>
      <c r="AB72" s="577" t="s">
        <v>585</v>
      </c>
      <c r="AC72" s="575" t="e">
        <f t="shared" si="64"/>
        <v>#VALUE!</v>
      </c>
      <c r="AD72" s="637"/>
      <c r="AE72" s="575" t="s">
        <v>585</v>
      </c>
      <c r="AF72" s="577" t="s">
        <v>585</v>
      </c>
      <c r="AG72" s="577" t="s">
        <v>585</v>
      </c>
      <c r="AH72" s="575" t="e">
        <f t="shared" si="66"/>
        <v>#VALUE!</v>
      </c>
      <c r="AI72" s="637"/>
      <c r="AJ72" s="575" t="s">
        <v>585</v>
      </c>
      <c r="AK72" s="577" t="s">
        <v>585</v>
      </c>
      <c r="AL72" s="577" t="s">
        <v>585</v>
      </c>
      <c r="AM72" s="575" t="e">
        <f t="shared" si="68"/>
        <v>#VALUE!</v>
      </c>
      <c r="AN72" s="637"/>
      <c r="AO72" s="575" t="s">
        <v>585</v>
      </c>
      <c r="AP72" s="577" t="s">
        <v>585</v>
      </c>
      <c r="AQ72" s="577" t="s">
        <v>585</v>
      </c>
      <c r="AR72" s="575" t="e">
        <f t="shared" si="70"/>
        <v>#VALUE!</v>
      </c>
      <c r="AS72" s="637"/>
      <c r="AT72" s="575" t="s">
        <v>585</v>
      </c>
      <c r="AU72" s="577" t="s">
        <v>585</v>
      </c>
      <c r="AV72" s="577" t="s">
        <v>585</v>
      </c>
      <c r="AW72" s="575" t="e">
        <f t="shared" si="72"/>
        <v>#VALUE!</v>
      </c>
      <c r="AX72" s="637"/>
      <c r="AZ72" s="368" t="e">
        <f t="shared" si="74"/>
        <v>#N/A</v>
      </c>
      <c r="BA72" s="683"/>
    </row>
    <row r="73" spans="2:53">
      <c r="B73" s="647"/>
      <c r="C73" s="380">
        <v>7</v>
      </c>
      <c r="D73" s="225"/>
      <c r="E73" s="535"/>
      <c r="F73" s="534"/>
      <c r="G73" s="536"/>
      <c r="H73" s="655"/>
      <c r="I73" s="381" t="str">
        <f t="shared" si="57"/>
        <v>-</v>
      </c>
      <c r="J73" s="381" t="str">
        <f t="shared" si="58"/>
        <v>-</v>
      </c>
      <c r="K73" s="199" t="str">
        <f t="shared" si="59"/>
        <v>-</v>
      </c>
      <c r="L73" s="657"/>
      <c r="M73" s="385" t="e">
        <f>RANK(K73, K$67:$K$81)</f>
        <v>#VALUE!</v>
      </c>
      <c r="N73" s="641"/>
      <c r="O73" s="641"/>
      <c r="P73" s="575" t="s">
        <v>585</v>
      </c>
      <c r="Q73" s="577" t="s">
        <v>585</v>
      </c>
      <c r="R73" s="577" t="s">
        <v>585</v>
      </c>
      <c r="S73" s="575" t="e">
        <f t="shared" si="60"/>
        <v>#VALUE!</v>
      </c>
      <c r="T73" s="637"/>
      <c r="U73" s="575" t="s">
        <v>585</v>
      </c>
      <c r="V73" s="577" t="s">
        <v>585</v>
      </c>
      <c r="W73" s="577" t="s">
        <v>585</v>
      </c>
      <c r="X73" s="575" t="e">
        <f t="shared" si="62"/>
        <v>#VALUE!</v>
      </c>
      <c r="Y73" s="637"/>
      <c r="Z73" s="575" t="s">
        <v>585</v>
      </c>
      <c r="AA73" s="577" t="s">
        <v>585</v>
      </c>
      <c r="AB73" s="577" t="s">
        <v>585</v>
      </c>
      <c r="AC73" s="575" t="e">
        <f t="shared" si="64"/>
        <v>#VALUE!</v>
      </c>
      <c r="AD73" s="637"/>
      <c r="AE73" s="575" t="s">
        <v>585</v>
      </c>
      <c r="AF73" s="577" t="s">
        <v>585</v>
      </c>
      <c r="AG73" s="577" t="s">
        <v>585</v>
      </c>
      <c r="AH73" s="575" t="e">
        <f t="shared" si="66"/>
        <v>#VALUE!</v>
      </c>
      <c r="AI73" s="637"/>
      <c r="AJ73" s="575" t="s">
        <v>585</v>
      </c>
      <c r="AK73" s="577" t="s">
        <v>585</v>
      </c>
      <c r="AL73" s="577" t="s">
        <v>585</v>
      </c>
      <c r="AM73" s="575" t="e">
        <f t="shared" si="68"/>
        <v>#VALUE!</v>
      </c>
      <c r="AN73" s="637"/>
      <c r="AO73" s="575" t="s">
        <v>585</v>
      </c>
      <c r="AP73" s="577" t="s">
        <v>585</v>
      </c>
      <c r="AQ73" s="577" t="s">
        <v>585</v>
      </c>
      <c r="AR73" s="575" t="e">
        <f t="shared" si="70"/>
        <v>#VALUE!</v>
      </c>
      <c r="AS73" s="637"/>
      <c r="AT73" s="575" t="s">
        <v>585</v>
      </c>
      <c r="AU73" s="577" t="s">
        <v>585</v>
      </c>
      <c r="AV73" s="577" t="s">
        <v>585</v>
      </c>
      <c r="AW73" s="575" t="e">
        <f t="shared" si="72"/>
        <v>#VALUE!</v>
      </c>
      <c r="AX73" s="637"/>
      <c r="AZ73" s="368" t="e">
        <f t="shared" si="74"/>
        <v>#N/A</v>
      </c>
      <c r="BA73" s="683"/>
    </row>
    <row r="74" spans="2:53">
      <c r="B74" s="647"/>
      <c r="C74" s="380">
        <v>8</v>
      </c>
      <c r="D74" s="225"/>
      <c r="E74" s="535"/>
      <c r="F74" s="534"/>
      <c r="G74" s="536"/>
      <c r="H74" s="655"/>
      <c r="I74" s="381" t="str">
        <f t="shared" si="57"/>
        <v>-</v>
      </c>
      <c r="J74" s="381" t="str">
        <f t="shared" si="58"/>
        <v>-</v>
      </c>
      <c r="K74" s="199" t="str">
        <f t="shared" si="59"/>
        <v>-</v>
      </c>
      <c r="L74" s="657"/>
      <c r="M74" s="385" t="e">
        <f>RANK(K74, K$67:$K$81)</f>
        <v>#VALUE!</v>
      </c>
      <c r="N74" s="641"/>
      <c r="O74" s="641"/>
      <c r="P74" s="575" t="s">
        <v>585</v>
      </c>
      <c r="Q74" s="577" t="s">
        <v>585</v>
      </c>
      <c r="R74" s="577" t="s">
        <v>585</v>
      </c>
      <c r="S74" s="575" t="e">
        <f t="shared" si="60"/>
        <v>#VALUE!</v>
      </c>
      <c r="T74" s="637"/>
      <c r="U74" s="575" t="s">
        <v>585</v>
      </c>
      <c r="V74" s="577" t="s">
        <v>585</v>
      </c>
      <c r="W74" s="577" t="s">
        <v>585</v>
      </c>
      <c r="X74" s="575" t="e">
        <f t="shared" si="62"/>
        <v>#VALUE!</v>
      </c>
      <c r="Y74" s="637"/>
      <c r="Z74" s="575" t="s">
        <v>585</v>
      </c>
      <c r="AA74" s="577" t="s">
        <v>585</v>
      </c>
      <c r="AB74" s="577" t="s">
        <v>585</v>
      </c>
      <c r="AC74" s="575" t="e">
        <f t="shared" si="64"/>
        <v>#VALUE!</v>
      </c>
      <c r="AD74" s="637"/>
      <c r="AE74" s="575" t="s">
        <v>585</v>
      </c>
      <c r="AF74" s="577" t="s">
        <v>585</v>
      </c>
      <c r="AG74" s="577" t="s">
        <v>585</v>
      </c>
      <c r="AH74" s="575" t="e">
        <f t="shared" si="66"/>
        <v>#VALUE!</v>
      </c>
      <c r="AI74" s="637"/>
      <c r="AJ74" s="575" t="s">
        <v>585</v>
      </c>
      <c r="AK74" s="577" t="s">
        <v>585</v>
      </c>
      <c r="AL74" s="577" t="s">
        <v>585</v>
      </c>
      <c r="AM74" s="575" t="e">
        <f t="shared" si="68"/>
        <v>#VALUE!</v>
      </c>
      <c r="AN74" s="637"/>
      <c r="AO74" s="575" t="s">
        <v>585</v>
      </c>
      <c r="AP74" s="577" t="s">
        <v>585</v>
      </c>
      <c r="AQ74" s="577" t="s">
        <v>585</v>
      </c>
      <c r="AR74" s="575" t="e">
        <f t="shared" si="70"/>
        <v>#VALUE!</v>
      </c>
      <c r="AS74" s="637"/>
      <c r="AT74" s="575" t="s">
        <v>585</v>
      </c>
      <c r="AU74" s="577" t="s">
        <v>585</v>
      </c>
      <c r="AV74" s="577" t="s">
        <v>585</v>
      </c>
      <c r="AW74" s="575" t="e">
        <f t="shared" si="72"/>
        <v>#VALUE!</v>
      </c>
      <c r="AX74" s="637"/>
      <c r="AZ74" s="368" t="e">
        <f t="shared" si="74"/>
        <v>#N/A</v>
      </c>
      <c r="BA74" s="683"/>
    </row>
    <row r="75" spans="2:53">
      <c r="B75" s="647"/>
      <c r="C75" s="380">
        <v>9</v>
      </c>
      <c r="D75" s="225"/>
      <c r="E75" s="535"/>
      <c r="F75" s="534"/>
      <c r="G75" s="536"/>
      <c r="H75" s="655"/>
      <c r="I75" s="381" t="str">
        <f t="shared" si="57"/>
        <v>-</v>
      </c>
      <c r="J75" s="381" t="str">
        <f t="shared" si="58"/>
        <v>-</v>
      </c>
      <c r="K75" s="199" t="str">
        <f t="shared" si="59"/>
        <v>-</v>
      </c>
      <c r="L75" s="657"/>
      <c r="M75" s="385" t="e">
        <f>RANK(K75, K$67:$K$81)</f>
        <v>#VALUE!</v>
      </c>
      <c r="N75" s="641"/>
      <c r="O75" s="641"/>
      <c r="P75" s="575" t="s">
        <v>585</v>
      </c>
      <c r="Q75" s="577" t="s">
        <v>585</v>
      </c>
      <c r="R75" s="577" t="s">
        <v>585</v>
      </c>
      <c r="S75" s="575" t="e">
        <f t="shared" si="60"/>
        <v>#VALUE!</v>
      </c>
      <c r="T75" s="637"/>
      <c r="U75" s="575" t="s">
        <v>585</v>
      </c>
      <c r="V75" s="577" t="s">
        <v>585</v>
      </c>
      <c r="W75" s="577" t="s">
        <v>585</v>
      </c>
      <c r="X75" s="575" t="e">
        <f t="shared" si="62"/>
        <v>#VALUE!</v>
      </c>
      <c r="Y75" s="637"/>
      <c r="Z75" s="575" t="s">
        <v>585</v>
      </c>
      <c r="AA75" s="577" t="s">
        <v>585</v>
      </c>
      <c r="AB75" s="577" t="s">
        <v>585</v>
      </c>
      <c r="AC75" s="575" t="e">
        <f t="shared" si="64"/>
        <v>#VALUE!</v>
      </c>
      <c r="AD75" s="637"/>
      <c r="AE75" s="575" t="s">
        <v>585</v>
      </c>
      <c r="AF75" s="577" t="s">
        <v>585</v>
      </c>
      <c r="AG75" s="577" t="s">
        <v>585</v>
      </c>
      <c r="AH75" s="575" t="e">
        <f t="shared" si="66"/>
        <v>#VALUE!</v>
      </c>
      <c r="AI75" s="637"/>
      <c r="AJ75" s="575" t="s">
        <v>585</v>
      </c>
      <c r="AK75" s="577" t="s">
        <v>585</v>
      </c>
      <c r="AL75" s="577" t="s">
        <v>585</v>
      </c>
      <c r="AM75" s="575" t="e">
        <f t="shared" si="68"/>
        <v>#VALUE!</v>
      </c>
      <c r="AN75" s="637"/>
      <c r="AO75" s="575" t="s">
        <v>585</v>
      </c>
      <c r="AP75" s="577" t="s">
        <v>585</v>
      </c>
      <c r="AQ75" s="577" t="s">
        <v>585</v>
      </c>
      <c r="AR75" s="575" t="e">
        <f t="shared" si="70"/>
        <v>#VALUE!</v>
      </c>
      <c r="AS75" s="637"/>
      <c r="AT75" s="575" t="s">
        <v>585</v>
      </c>
      <c r="AU75" s="577" t="s">
        <v>585</v>
      </c>
      <c r="AV75" s="577" t="s">
        <v>585</v>
      </c>
      <c r="AW75" s="575" t="e">
        <f t="shared" si="72"/>
        <v>#VALUE!</v>
      </c>
      <c r="AX75" s="637"/>
      <c r="AZ75" s="368" t="e">
        <f t="shared" si="74"/>
        <v>#N/A</v>
      </c>
      <c r="BA75" s="683"/>
    </row>
    <row r="76" spans="2:53">
      <c r="B76" s="647"/>
      <c r="C76" s="380">
        <v>10</v>
      </c>
      <c r="D76" s="225"/>
      <c r="E76" s="535"/>
      <c r="F76" s="534"/>
      <c r="G76" s="536"/>
      <c r="H76" s="655"/>
      <c r="I76" s="381" t="str">
        <f t="shared" si="57"/>
        <v>-</v>
      </c>
      <c r="J76" s="381" t="str">
        <f t="shared" si="58"/>
        <v>-</v>
      </c>
      <c r="K76" s="199" t="str">
        <f t="shared" si="59"/>
        <v>-</v>
      </c>
      <c r="L76" s="657"/>
      <c r="M76" s="385" t="e">
        <f>RANK(K76, K$67:$K$81)</f>
        <v>#VALUE!</v>
      </c>
      <c r="N76" s="641"/>
      <c r="O76" s="641"/>
      <c r="P76" s="575" t="s">
        <v>585</v>
      </c>
      <c r="Q76" s="577" t="s">
        <v>585</v>
      </c>
      <c r="R76" s="577" t="s">
        <v>585</v>
      </c>
      <c r="S76" s="575" t="e">
        <f t="shared" si="60"/>
        <v>#VALUE!</v>
      </c>
      <c r="T76" s="637"/>
      <c r="U76" s="575" t="s">
        <v>585</v>
      </c>
      <c r="V76" s="577" t="s">
        <v>585</v>
      </c>
      <c r="W76" s="577" t="s">
        <v>585</v>
      </c>
      <c r="X76" s="575" t="e">
        <f t="shared" si="62"/>
        <v>#VALUE!</v>
      </c>
      <c r="Y76" s="637"/>
      <c r="Z76" s="575" t="s">
        <v>585</v>
      </c>
      <c r="AA76" s="577" t="s">
        <v>585</v>
      </c>
      <c r="AB76" s="577" t="s">
        <v>585</v>
      </c>
      <c r="AC76" s="575" t="e">
        <f t="shared" si="64"/>
        <v>#VALUE!</v>
      </c>
      <c r="AD76" s="637"/>
      <c r="AE76" s="575" t="s">
        <v>585</v>
      </c>
      <c r="AF76" s="577" t="s">
        <v>585</v>
      </c>
      <c r="AG76" s="577" t="s">
        <v>585</v>
      </c>
      <c r="AH76" s="575" t="e">
        <f t="shared" si="66"/>
        <v>#VALUE!</v>
      </c>
      <c r="AI76" s="637"/>
      <c r="AJ76" s="575" t="s">
        <v>585</v>
      </c>
      <c r="AK76" s="577" t="s">
        <v>585</v>
      </c>
      <c r="AL76" s="577" t="s">
        <v>585</v>
      </c>
      <c r="AM76" s="575" t="e">
        <f t="shared" si="68"/>
        <v>#VALUE!</v>
      </c>
      <c r="AN76" s="637"/>
      <c r="AO76" s="575" t="s">
        <v>585</v>
      </c>
      <c r="AP76" s="577" t="s">
        <v>585</v>
      </c>
      <c r="AQ76" s="577" t="s">
        <v>585</v>
      </c>
      <c r="AR76" s="575" t="e">
        <f t="shared" si="70"/>
        <v>#VALUE!</v>
      </c>
      <c r="AS76" s="637"/>
      <c r="AT76" s="575" t="s">
        <v>585</v>
      </c>
      <c r="AU76" s="577" t="s">
        <v>585</v>
      </c>
      <c r="AV76" s="577" t="s">
        <v>585</v>
      </c>
      <c r="AW76" s="575" t="e">
        <f t="shared" si="72"/>
        <v>#VALUE!</v>
      </c>
      <c r="AX76" s="637"/>
      <c r="AZ76" s="368" t="e">
        <f t="shared" si="74"/>
        <v>#N/A</v>
      </c>
      <c r="BA76" s="683"/>
    </row>
    <row r="77" spans="2:53">
      <c r="B77" s="647"/>
      <c r="C77" s="380">
        <v>11</v>
      </c>
      <c r="D77" s="225"/>
      <c r="E77" s="535"/>
      <c r="F77" s="534"/>
      <c r="G77" s="536"/>
      <c r="H77" s="655"/>
      <c r="I77" s="381" t="str">
        <f t="shared" si="57"/>
        <v>-</v>
      </c>
      <c r="J77" s="381" t="str">
        <f t="shared" si="58"/>
        <v>-</v>
      </c>
      <c r="K77" s="199" t="str">
        <f t="shared" si="59"/>
        <v>-</v>
      </c>
      <c r="L77" s="657"/>
      <c r="M77" s="385" t="e">
        <f>RANK(K77, K$67:$K$81)</f>
        <v>#VALUE!</v>
      </c>
      <c r="N77" s="641"/>
      <c r="O77" s="641"/>
      <c r="P77" s="575" t="s">
        <v>585</v>
      </c>
      <c r="Q77" s="577" t="s">
        <v>585</v>
      </c>
      <c r="R77" s="577" t="s">
        <v>585</v>
      </c>
      <c r="S77" s="575" t="e">
        <f t="shared" si="60"/>
        <v>#VALUE!</v>
      </c>
      <c r="T77" s="637"/>
      <c r="U77" s="575" t="s">
        <v>585</v>
      </c>
      <c r="V77" s="577" t="s">
        <v>585</v>
      </c>
      <c r="W77" s="577" t="s">
        <v>585</v>
      </c>
      <c r="X77" s="575" t="e">
        <f t="shared" si="62"/>
        <v>#VALUE!</v>
      </c>
      <c r="Y77" s="637"/>
      <c r="Z77" s="575" t="s">
        <v>585</v>
      </c>
      <c r="AA77" s="577" t="s">
        <v>585</v>
      </c>
      <c r="AB77" s="577" t="s">
        <v>585</v>
      </c>
      <c r="AC77" s="575" t="e">
        <f t="shared" si="64"/>
        <v>#VALUE!</v>
      </c>
      <c r="AD77" s="637"/>
      <c r="AE77" s="575" t="s">
        <v>585</v>
      </c>
      <c r="AF77" s="577" t="s">
        <v>585</v>
      </c>
      <c r="AG77" s="577" t="s">
        <v>585</v>
      </c>
      <c r="AH77" s="575" t="e">
        <f t="shared" si="66"/>
        <v>#VALUE!</v>
      </c>
      <c r="AI77" s="637"/>
      <c r="AJ77" s="575" t="s">
        <v>585</v>
      </c>
      <c r="AK77" s="577" t="s">
        <v>585</v>
      </c>
      <c r="AL77" s="577" t="s">
        <v>585</v>
      </c>
      <c r="AM77" s="575" t="e">
        <f t="shared" si="68"/>
        <v>#VALUE!</v>
      </c>
      <c r="AN77" s="637"/>
      <c r="AO77" s="575" t="s">
        <v>585</v>
      </c>
      <c r="AP77" s="577" t="s">
        <v>585</v>
      </c>
      <c r="AQ77" s="577" t="s">
        <v>585</v>
      </c>
      <c r="AR77" s="575" t="e">
        <f t="shared" si="70"/>
        <v>#VALUE!</v>
      </c>
      <c r="AS77" s="637"/>
      <c r="AT77" s="575" t="s">
        <v>585</v>
      </c>
      <c r="AU77" s="577" t="s">
        <v>585</v>
      </c>
      <c r="AV77" s="577" t="s">
        <v>585</v>
      </c>
      <c r="AW77" s="575" t="e">
        <f t="shared" si="72"/>
        <v>#VALUE!</v>
      </c>
      <c r="AX77" s="637"/>
      <c r="AZ77" s="368" t="e">
        <f t="shared" si="74"/>
        <v>#N/A</v>
      </c>
      <c r="BA77" s="683"/>
    </row>
    <row r="78" spans="2:53">
      <c r="B78" s="647"/>
      <c r="C78" s="380">
        <v>12</v>
      </c>
      <c r="D78" s="225"/>
      <c r="E78" s="535"/>
      <c r="F78" s="534"/>
      <c r="G78" s="536"/>
      <c r="H78" s="655"/>
      <c r="I78" s="381" t="str">
        <f t="shared" si="57"/>
        <v>-</v>
      </c>
      <c r="J78" s="381" t="str">
        <f t="shared" si="58"/>
        <v>-</v>
      </c>
      <c r="K78" s="199" t="str">
        <f t="shared" si="59"/>
        <v>-</v>
      </c>
      <c r="L78" s="657"/>
      <c r="M78" s="385" t="e">
        <f>RANK(K78, K$67:$K$81)</f>
        <v>#VALUE!</v>
      </c>
      <c r="N78" s="641"/>
      <c r="O78" s="641"/>
      <c r="P78" s="575" t="s">
        <v>585</v>
      </c>
      <c r="Q78" s="577" t="s">
        <v>585</v>
      </c>
      <c r="R78" s="577" t="s">
        <v>585</v>
      </c>
      <c r="S78" s="575" t="e">
        <f t="shared" si="60"/>
        <v>#VALUE!</v>
      </c>
      <c r="T78" s="637"/>
      <c r="U78" s="575" t="s">
        <v>585</v>
      </c>
      <c r="V78" s="577" t="s">
        <v>585</v>
      </c>
      <c r="W78" s="577" t="s">
        <v>585</v>
      </c>
      <c r="X78" s="575" t="e">
        <f t="shared" si="62"/>
        <v>#VALUE!</v>
      </c>
      <c r="Y78" s="637"/>
      <c r="Z78" s="575" t="s">
        <v>585</v>
      </c>
      <c r="AA78" s="577" t="s">
        <v>585</v>
      </c>
      <c r="AB78" s="577" t="s">
        <v>585</v>
      </c>
      <c r="AC78" s="575" t="e">
        <f t="shared" si="64"/>
        <v>#VALUE!</v>
      </c>
      <c r="AD78" s="637"/>
      <c r="AE78" s="575" t="s">
        <v>585</v>
      </c>
      <c r="AF78" s="577" t="s">
        <v>585</v>
      </c>
      <c r="AG78" s="577" t="s">
        <v>585</v>
      </c>
      <c r="AH78" s="575" t="e">
        <f t="shared" si="66"/>
        <v>#VALUE!</v>
      </c>
      <c r="AI78" s="637"/>
      <c r="AJ78" s="575" t="s">
        <v>585</v>
      </c>
      <c r="AK78" s="577" t="s">
        <v>585</v>
      </c>
      <c r="AL78" s="577" t="s">
        <v>585</v>
      </c>
      <c r="AM78" s="575" t="e">
        <f t="shared" si="68"/>
        <v>#VALUE!</v>
      </c>
      <c r="AN78" s="637"/>
      <c r="AO78" s="575" t="s">
        <v>585</v>
      </c>
      <c r="AP78" s="577" t="s">
        <v>585</v>
      </c>
      <c r="AQ78" s="577" t="s">
        <v>585</v>
      </c>
      <c r="AR78" s="575" t="e">
        <f t="shared" si="70"/>
        <v>#VALUE!</v>
      </c>
      <c r="AS78" s="637"/>
      <c r="AT78" s="575" t="s">
        <v>585</v>
      </c>
      <c r="AU78" s="577" t="s">
        <v>585</v>
      </c>
      <c r="AV78" s="577" t="s">
        <v>585</v>
      </c>
      <c r="AW78" s="575" t="e">
        <f t="shared" si="72"/>
        <v>#VALUE!</v>
      </c>
      <c r="AX78" s="637"/>
      <c r="AZ78" s="368" t="e">
        <f t="shared" si="74"/>
        <v>#N/A</v>
      </c>
      <c r="BA78" s="683"/>
    </row>
    <row r="79" spans="2:53">
      <c r="B79" s="647"/>
      <c r="C79" s="380">
        <v>13</v>
      </c>
      <c r="D79" s="225"/>
      <c r="E79" s="535"/>
      <c r="F79" s="534"/>
      <c r="G79" s="536"/>
      <c r="H79" s="655"/>
      <c r="I79" s="381" t="str">
        <f t="shared" si="57"/>
        <v>-</v>
      </c>
      <c r="J79" s="381" t="str">
        <f t="shared" si="58"/>
        <v>-</v>
      </c>
      <c r="K79" s="199" t="str">
        <f t="shared" si="59"/>
        <v>-</v>
      </c>
      <c r="L79" s="657"/>
      <c r="M79" s="385" t="e">
        <f>RANK(K79, K$67:$K$81)</f>
        <v>#VALUE!</v>
      </c>
      <c r="N79" s="641"/>
      <c r="O79" s="641"/>
      <c r="P79" s="575" t="s">
        <v>585</v>
      </c>
      <c r="Q79" s="577" t="s">
        <v>585</v>
      </c>
      <c r="R79" s="577" t="s">
        <v>585</v>
      </c>
      <c r="S79" s="575" t="e">
        <f t="shared" si="60"/>
        <v>#VALUE!</v>
      </c>
      <c r="T79" s="637"/>
      <c r="U79" s="575" t="s">
        <v>585</v>
      </c>
      <c r="V79" s="577" t="s">
        <v>585</v>
      </c>
      <c r="W79" s="577" t="s">
        <v>585</v>
      </c>
      <c r="X79" s="575" t="e">
        <f t="shared" si="62"/>
        <v>#VALUE!</v>
      </c>
      <c r="Y79" s="637"/>
      <c r="Z79" s="575" t="s">
        <v>585</v>
      </c>
      <c r="AA79" s="577" t="s">
        <v>585</v>
      </c>
      <c r="AB79" s="577" t="s">
        <v>585</v>
      </c>
      <c r="AC79" s="575" t="e">
        <f t="shared" si="64"/>
        <v>#VALUE!</v>
      </c>
      <c r="AD79" s="637"/>
      <c r="AE79" s="575" t="s">
        <v>585</v>
      </c>
      <c r="AF79" s="577" t="s">
        <v>585</v>
      </c>
      <c r="AG79" s="577" t="s">
        <v>585</v>
      </c>
      <c r="AH79" s="575" t="e">
        <f t="shared" si="66"/>
        <v>#VALUE!</v>
      </c>
      <c r="AI79" s="637"/>
      <c r="AJ79" s="575" t="s">
        <v>585</v>
      </c>
      <c r="AK79" s="577" t="s">
        <v>585</v>
      </c>
      <c r="AL79" s="577" t="s">
        <v>585</v>
      </c>
      <c r="AM79" s="575" t="e">
        <f t="shared" si="68"/>
        <v>#VALUE!</v>
      </c>
      <c r="AN79" s="637"/>
      <c r="AO79" s="575" t="s">
        <v>585</v>
      </c>
      <c r="AP79" s="577" t="s">
        <v>585</v>
      </c>
      <c r="AQ79" s="577" t="s">
        <v>585</v>
      </c>
      <c r="AR79" s="575" t="e">
        <f t="shared" si="70"/>
        <v>#VALUE!</v>
      </c>
      <c r="AS79" s="637"/>
      <c r="AT79" s="575" t="s">
        <v>585</v>
      </c>
      <c r="AU79" s="577" t="s">
        <v>585</v>
      </c>
      <c r="AV79" s="577" t="s">
        <v>585</v>
      </c>
      <c r="AW79" s="575" t="e">
        <f t="shared" si="72"/>
        <v>#VALUE!</v>
      </c>
      <c r="AX79" s="637"/>
      <c r="AZ79" s="368" t="e">
        <f t="shared" si="74"/>
        <v>#N/A</v>
      </c>
      <c r="BA79" s="683"/>
    </row>
    <row r="80" spans="2:53">
      <c r="B80" s="647"/>
      <c r="C80" s="380">
        <v>14</v>
      </c>
      <c r="D80" s="225"/>
      <c r="E80" s="535"/>
      <c r="F80" s="534"/>
      <c r="G80" s="536"/>
      <c r="H80" s="655"/>
      <c r="I80" s="381" t="str">
        <f t="shared" si="57"/>
        <v>-</v>
      </c>
      <c r="J80" s="381" t="str">
        <f t="shared" si="58"/>
        <v>-</v>
      </c>
      <c r="K80" s="199" t="str">
        <f t="shared" si="59"/>
        <v>-</v>
      </c>
      <c r="L80" s="657"/>
      <c r="M80" s="385" t="e">
        <f>RANK(K80, K$67:$K$81)</f>
        <v>#VALUE!</v>
      </c>
      <c r="N80" s="641"/>
      <c r="O80" s="641"/>
      <c r="P80" s="575" t="s">
        <v>585</v>
      </c>
      <c r="Q80" s="577" t="s">
        <v>585</v>
      </c>
      <c r="R80" s="577" t="s">
        <v>585</v>
      </c>
      <c r="S80" s="575" t="e">
        <f t="shared" si="60"/>
        <v>#VALUE!</v>
      </c>
      <c r="T80" s="637"/>
      <c r="U80" s="575" t="s">
        <v>585</v>
      </c>
      <c r="V80" s="577" t="s">
        <v>585</v>
      </c>
      <c r="W80" s="577" t="s">
        <v>585</v>
      </c>
      <c r="X80" s="575" t="e">
        <f t="shared" si="62"/>
        <v>#VALUE!</v>
      </c>
      <c r="Y80" s="637"/>
      <c r="Z80" s="575" t="s">
        <v>585</v>
      </c>
      <c r="AA80" s="577" t="s">
        <v>585</v>
      </c>
      <c r="AB80" s="577" t="s">
        <v>585</v>
      </c>
      <c r="AC80" s="575" t="e">
        <f t="shared" si="64"/>
        <v>#VALUE!</v>
      </c>
      <c r="AD80" s="637"/>
      <c r="AE80" s="575" t="s">
        <v>585</v>
      </c>
      <c r="AF80" s="577" t="s">
        <v>585</v>
      </c>
      <c r="AG80" s="577" t="s">
        <v>585</v>
      </c>
      <c r="AH80" s="575" t="e">
        <f t="shared" si="66"/>
        <v>#VALUE!</v>
      </c>
      <c r="AI80" s="637"/>
      <c r="AJ80" s="575" t="s">
        <v>585</v>
      </c>
      <c r="AK80" s="577" t="s">
        <v>585</v>
      </c>
      <c r="AL80" s="577" t="s">
        <v>585</v>
      </c>
      <c r="AM80" s="575" t="e">
        <f t="shared" si="68"/>
        <v>#VALUE!</v>
      </c>
      <c r="AN80" s="637"/>
      <c r="AO80" s="575" t="s">
        <v>585</v>
      </c>
      <c r="AP80" s="577" t="s">
        <v>585</v>
      </c>
      <c r="AQ80" s="577" t="s">
        <v>585</v>
      </c>
      <c r="AR80" s="575" t="e">
        <f t="shared" si="70"/>
        <v>#VALUE!</v>
      </c>
      <c r="AS80" s="637"/>
      <c r="AT80" s="575" t="s">
        <v>585</v>
      </c>
      <c r="AU80" s="577" t="s">
        <v>585</v>
      </c>
      <c r="AV80" s="577" t="s">
        <v>585</v>
      </c>
      <c r="AW80" s="575" t="e">
        <f t="shared" si="72"/>
        <v>#VALUE!</v>
      </c>
      <c r="AX80" s="637"/>
      <c r="AZ80" s="368" t="e">
        <f t="shared" si="74"/>
        <v>#N/A</v>
      </c>
      <c r="BA80" s="683"/>
    </row>
    <row r="81" spans="2:53">
      <c r="B81" s="647"/>
      <c r="C81" s="380">
        <v>15</v>
      </c>
      <c r="D81" s="225"/>
      <c r="E81" s="535"/>
      <c r="F81" s="534"/>
      <c r="G81" s="536"/>
      <c r="H81" s="712"/>
      <c r="I81" s="380"/>
      <c r="J81" s="380"/>
      <c r="K81" s="380"/>
      <c r="L81" s="658"/>
      <c r="M81" s="385" t="e">
        <f>RANK(K81, K$67:$K$81)</f>
        <v>#N/A</v>
      </c>
      <c r="N81" s="641"/>
      <c r="O81" s="641"/>
      <c r="P81" s="575" t="s">
        <v>585</v>
      </c>
      <c r="Q81" s="577" t="s">
        <v>585</v>
      </c>
      <c r="R81" s="577" t="s">
        <v>585</v>
      </c>
      <c r="S81" s="575" t="e">
        <f t="shared" si="60"/>
        <v>#VALUE!</v>
      </c>
      <c r="T81" s="638"/>
      <c r="U81" s="575" t="s">
        <v>585</v>
      </c>
      <c r="V81" s="577" t="s">
        <v>585</v>
      </c>
      <c r="W81" s="577" t="s">
        <v>585</v>
      </c>
      <c r="X81" s="575" t="e">
        <f t="shared" si="62"/>
        <v>#VALUE!</v>
      </c>
      <c r="Y81" s="638"/>
      <c r="Z81" s="575" t="s">
        <v>585</v>
      </c>
      <c r="AA81" s="577" t="s">
        <v>585</v>
      </c>
      <c r="AB81" s="577" t="s">
        <v>585</v>
      </c>
      <c r="AC81" s="575" t="e">
        <f t="shared" si="64"/>
        <v>#VALUE!</v>
      </c>
      <c r="AD81" s="638"/>
      <c r="AE81" s="575" t="s">
        <v>585</v>
      </c>
      <c r="AF81" s="577" t="s">
        <v>585</v>
      </c>
      <c r="AG81" s="577" t="s">
        <v>585</v>
      </c>
      <c r="AH81" s="575" t="e">
        <f t="shared" si="66"/>
        <v>#VALUE!</v>
      </c>
      <c r="AI81" s="638"/>
      <c r="AJ81" s="575" t="s">
        <v>585</v>
      </c>
      <c r="AK81" s="577" t="s">
        <v>585</v>
      </c>
      <c r="AL81" s="577" t="s">
        <v>585</v>
      </c>
      <c r="AM81" s="575" t="e">
        <f t="shared" si="68"/>
        <v>#VALUE!</v>
      </c>
      <c r="AN81" s="638"/>
      <c r="AO81" s="575" t="s">
        <v>585</v>
      </c>
      <c r="AP81" s="577" t="s">
        <v>585</v>
      </c>
      <c r="AQ81" s="577" t="s">
        <v>585</v>
      </c>
      <c r="AR81" s="575" t="e">
        <f t="shared" si="70"/>
        <v>#VALUE!</v>
      </c>
      <c r="AS81" s="638"/>
      <c r="AT81" s="575" t="s">
        <v>585</v>
      </c>
      <c r="AU81" s="577" t="s">
        <v>585</v>
      </c>
      <c r="AV81" s="577" t="s">
        <v>585</v>
      </c>
      <c r="AW81" s="575" t="e">
        <f t="shared" si="72"/>
        <v>#VALUE!</v>
      </c>
      <c r="AX81" s="638"/>
      <c r="AZ81" s="368" t="e">
        <f t="shared" si="74"/>
        <v>#N/A</v>
      </c>
      <c r="BA81" s="684"/>
    </row>
    <row r="82" spans="2:53" ht="15.75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68">
        <f>P62+7</f>
        <v>46259</v>
      </c>
      <c r="Q82" s="647"/>
      <c r="R82" s="647"/>
      <c r="S82" s="647"/>
      <c r="T82" s="647"/>
      <c r="U82" s="665">
        <f>P82+1</f>
        <v>46260</v>
      </c>
      <c r="V82" s="666"/>
      <c r="W82" s="666"/>
      <c r="X82" s="666"/>
      <c r="Y82" s="667"/>
      <c r="Z82" s="665">
        <f>U82+1</f>
        <v>46261</v>
      </c>
      <c r="AA82" s="666"/>
      <c r="AB82" s="666"/>
      <c r="AC82" s="666"/>
      <c r="AD82" s="667"/>
      <c r="AE82" s="665">
        <f>Z82+1</f>
        <v>46262</v>
      </c>
      <c r="AF82" s="666"/>
      <c r="AG82" s="666"/>
      <c r="AH82" s="666"/>
      <c r="AI82" s="667"/>
      <c r="AJ82" s="665">
        <f>AE82+1</f>
        <v>46263</v>
      </c>
      <c r="AK82" s="666"/>
      <c r="AL82" s="666"/>
      <c r="AM82" s="666"/>
      <c r="AN82" s="667"/>
      <c r="AO82" s="665">
        <f>AJ82+1</f>
        <v>46264</v>
      </c>
      <c r="AP82" s="666"/>
      <c r="AQ82" s="666"/>
      <c r="AR82" s="666"/>
      <c r="AS82" s="667"/>
      <c r="AT82" s="665">
        <f>AO82+1</f>
        <v>46265</v>
      </c>
      <c r="AU82" s="666"/>
      <c r="AV82" s="666"/>
      <c r="AW82" s="666"/>
      <c r="AX82" s="667"/>
    </row>
    <row r="83" spans="2:53" ht="15.75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45"/>
      <c r="O83" s="645"/>
      <c r="P83" s="668" t="s">
        <v>317</v>
      </c>
      <c r="Q83" s="647"/>
      <c r="R83" s="647"/>
      <c r="S83" s="647"/>
      <c r="T83" s="647"/>
      <c r="U83" s="668" t="s">
        <v>318</v>
      </c>
      <c r="V83" s="647"/>
      <c r="W83" s="647"/>
      <c r="X83" s="647"/>
      <c r="Y83" s="647"/>
      <c r="Z83" s="668" t="s">
        <v>319</v>
      </c>
      <c r="AA83" s="647"/>
      <c r="AB83" s="647"/>
      <c r="AC83" s="647"/>
      <c r="AD83" s="647"/>
      <c r="AE83" s="668" t="s">
        <v>320</v>
      </c>
      <c r="AF83" s="647"/>
      <c r="AG83" s="647"/>
      <c r="AH83" s="647"/>
      <c r="AI83" s="647"/>
      <c r="AJ83" s="668" t="s">
        <v>321</v>
      </c>
      <c r="AK83" s="647"/>
      <c r="AL83" s="647"/>
      <c r="AM83" s="647"/>
      <c r="AN83" s="647"/>
      <c r="AO83" s="668" t="s">
        <v>322</v>
      </c>
      <c r="AP83" s="647"/>
      <c r="AQ83" s="647"/>
      <c r="AR83" s="647"/>
      <c r="AS83" s="647"/>
      <c r="AT83" s="668" t="s">
        <v>323</v>
      </c>
      <c r="AU83" s="647"/>
      <c r="AV83" s="647"/>
      <c r="AW83" s="647"/>
      <c r="AX83" s="647"/>
    </row>
    <row r="84" spans="2:53">
      <c r="B84" s="641" t="s">
        <v>389</v>
      </c>
      <c r="C84" s="641" t="s">
        <v>532</v>
      </c>
      <c r="D84" s="641"/>
      <c r="E84" s="641" t="s">
        <v>533</v>
      </c>
      <c r="F84" s="641"/>
      <c r="G84" s="641"/>
      <c r="H84" s="673" t="s">
        <v>534</v>
      </c>
      <c r="I84" s="641" t="s">
        <v>535</v>
      </c>
      <c r="J84" s="641"/>
      <c r="K84" s="641"/>
      <c r="L84" s="673" t="s">
        <v>366</v>
      </c>
      <c r="M84" s="643" t="s">
        <v>536</v>
      </c>
      <c r="N84" s="641"/>
      <c r="O84" s="641" t="s">
        <v>537</v>
      </c>
      <c r="P84" s="659" t="s">
        <v>368</v>
      </c>
      <c r="Q84" s="660"/>
      <c r="R84" s="660"/>
      <c r="S84" s="661"/>
      <c r="T84" s="641" t="s">
        <v>366</v>
      </c>
      <c r="U84" s="659" t="s">
        <v>368</v>
      </c>
      <c r="V84" s="660"/>
      <c r="W84" s="660"/>
      <c r="X84" s="661"/>
      <c r="Y84" s="641" t="s">
        <v>366</v>
      </c>
      <c r="Z84" s="659" t="s">
        <v>368</v>
      </c>
      <c r="AA84" s="660"/>
      <c r="AB84" s="660"/>
      <c r="AC84" s="661"/>
      <c r="AD84" s="641" t="s">
        <v>366</v>
      </c>
      <c r="AE84" s="659" t="s">
        <v>368</v>
      </c>
      <c r="AF84" s="660"/>
      <c r="AG84" s="660"/>
      <c r="AH84" s="661"/>
      <c r="AI84" s="641" t="s">
        <v>366</v>
      </c>
      <c r="AJ84" s="659" t="s">
        <v>368</v>
      </c>
      <c r="AK84" s="660"/>
      <c r="AL84" s="660"/>
      <c r="AM84" s="661"/>
      <c r="AN84" s="641" t="s">
        <v>366</v>
      </c>
      <c r="AO84" s="659" t="s">
        <v>368</v>
      </c>
      <c r="AP84" s="660"/>
      <c r="AQ84" s="660"/>
      <c r="AR84" s="661"/>
      <c r="AS84" s="641" t="s">
        <v>366</v>
      </c>
      <c r="AT84" s="659" t="s">
        <v>368</v>
      </c>
      <c r="AU84" s="660"/>
      <c r="AV84" s="660"/>
      <c r="AW84" s="661"/>
      <c r="AX84" s="641" t="s">
        <v>366</v>
      </c>
      <c r="BA84" s="641" t="s">
        <v>366</v>
      </c>
    </row>
    <row r="85" spans="2:53">
      <c r="B85" s="641"/>
      <c r="C85" s="641"/>
      <c r="D85" s="641"/>
      <c r="E85" s="641" t="s">
        <v>538</v>
      </c>
      <c r="F85" s="641"/>
      <c r="G85" s="641"/>
      <c r="H85" s="674"/>
      <c r="I85" s="641" t="s">
        <v>538</v>
      </c>
      <c r="J85" s="641"/>
      <c r="K85" s="641"/>
      <c r="L85" s="674"/>
      <c r="M85" s="644"/>
      <c r="N85" s="641"/>
      <c r="O85" s="641"/>
      <c r="P85" s="659" t="s">
        <v>374</v>
      </c>
      <c r="Q85" s="660"/>
      <c r="R85" s="660"/>
      <c r="S85" s="661"/>
      <c r="T85" s="641"/>
      <c r="U85" s="659" t="s">
        <v>374</v>
      </c>
      <c r="V85" s="660"/>
      <c r="W85" s="660"/>
      <c r="X85" s="661"/>
      <c r="Y85" s="641"/>
      <c r="Z85" s="659" t="s">
        <v>374</v>
      </c>
      <c r="AA85" s="660"/>
      <c r="AB85" s="660"/>
      <c r="AC85" s="661"/>
      <c r="AD85" s="641"/>
      <c r="AE85" s="659" t="s">
        <v>374</v>
      </c>
      <c r="AF85" s="660"/>
      <c r="AG85" s="660"/>
      <c r="AH85" s="661"/>
      <c r="AI85" s="641"/>
      <c r="AJ85" s="659" t="s">
        <v>374</v>
      </c>
      <c r="AK85" s="660"/>
      <c r="AL85" s="660"/>
      <c r="AM85" s="661"/>
      <c r="AN85" s="641"/>
      <c r="AO85" s="659" t="s">
        <v>374</v>
      </c>
      <c r="AP85" s="660"/>
      <c r="AQ85" s="660"/>
      <c r="AR85" s="661"/>
      <c r="AS85" s="641"/>
      <c r="AT85" s="659" t="s">
        <v>374</v>
      </c>
      <c r="AU85" s="660"/>
      <c r="AV85" s="660"/>
      <c r="AW85" s="661"/>
      <c r="AX85" s="641"/>
      <c r="BA85" s="641"/>
    </row>
    <row r="86" spans="2:53">
      <c r="B86" s="641"/>
      <c r="C86" s="641"/>
      <c r="D86" s="641"/>
      <c r="E86" s="378" t="s">
        <v>539</v>
      </c>
      <c r="F86" s="378" t="s">
        <v>540</v>
      </c>
      <c r="G86" s="378" t="s">
        <v>541</v>
      </c>
      <c r="H86" s="675"/>
      <c r="I86" s="378" t="s">
        <v>539</v>
      </c>
      <c r="J86" s="378" t="s">
        <v>540</v>
      </c>
      <c r="K86" s="378" t="s">
        <v>541</v>
      </c>
      <c r="L86" s="675"/>
      <c r="M86" s="645"/>
      <c r="N86" s="641"/>
      <c r="O86" s="641"/>
      <c r="P86" s="378" t="s">
        <v>375</v>
      </c>
      <c r="Q86" s="378" t="s">
        <v>376</v>
      </c>
      <c r="R86" s="378" t="s">
        <v>377</v>
      </c>
      <c r="S86" s="378" t="s">
        <v>367</v>
      </c>
      <c r="T86" s="641"/>
      <c r="U86" s="378" t="s">
        <v>375</v>
      </c>
      <c r="V86" s="378" t="s">
        <v>376</v>
      </c>
      <c r="W86" s="378" t="s">
        <v>377</v>
      </c>
      <c r="X86" s="378" t="s">
        <v>367</v>
      </c>
      <c r="Y86" s="641"/>
      <c r="Z86" s="378" t="s">
        <v>375</v>
      </c>
      <c r="AA86" s="378" t="s">
        <v>376</v>
      </c>
      <c r="AB86" s="378" t="s">
        <v>377</v>
      </c>
      <c r="AC86" s="378" t="s">
        <v>367</v>
      </c>
      <c r="AD86" s="641"/>
      <c r="AE86" s="378" t="s">
        <v>375</v>
      </c>
      <c r="AF86" s="378" t="s">
        <v>376</v>
      </c>
      <c r="AG86" s="378" t="s">
        <v>377</v>
      </c>
      <c r="AH86" s="378" t="s">
        <v>367</v>
      </c>
      <c r="AI86" s="641"/>
      <c r="AJ86" s="378" t="s">
        <v>375</v>
      </c>
      <c r="AK86" s="378" t="s">
        <v>376</v>
      </c>
      <c r="AL86" s="378" t="s">
        <v>377</v>
      </c>
      <c r="AM86" s="378" t="s">
        <v>367</v>
      </c>
      <c r="AN86" s="641"/>
      <c r="AO86" s="378" t="s">
        <v>375</v>
      </c>
      <c r="AP86" s="378" t="s">
        <v>376</v>
      </c>
      <c r="AQ86" s="378" t="s">
        <v>377</v>
      </c>
      <c r="AR86" s="378" t="s">
        <v>367</v>
      </c>
      <c r="AS86" s="641"/>
      <c r="AT86" s="378" t="s">
        <v>375</v>
      </c>
      <c r="AU86" s="378" t="s">
        <v>376</v>
      </c>
      <c r="AV86" s="378" t="s">
        <v>377</v>
      </c>
      <c r="AW86" s="378" t="s">
        <v>367</v>
      </c>
      <c r="AX86" s="641"/>
      <c r="AZ86" s="367" t="s">
        <v>367</v>
      </c>
      <c r="BA86" s="641"/>
    </row>
    <row r="87" spans="2:53">
      <c r="B87" s="641" t="s">
        <v>406</v>
      </c>
      <c r="C87" s="380">
        <v>1</v>
      </c>
      <c r="D87" s="225"/>
      <c r="E87" s="519"/>
      <c r="F87" s="516"/>
      <c r="G87" s="515"/>
      <c r="H87" s="654" t="e">
        <f>AVERAGE(G87:G101)</f>
        <v>#DIV/0!</v>
      </c>
      <c r="I87" s="381" t="str">
        <f t="shared" ref="I87:I100" si="76">IFERROR(AVERAGE(P87,U87,Z87,AE87,AJ87,AO87,AT87),"-")</f>
        <v>-</v>
      </c>
      <c r="J87" s="381" t="str">
        <f t="shared" ref="J87:J100" si="77">IFERROR(AVERAGE(Q87,V87,AA87,AF87,AK87,AP87,AU87),"-")</f>
        <v>-</v>
      </c>
      <c r="K87" s="199" t="str">
        <f t="shared" ref="K87:K100" si="78">IFERROR(AVERAGE(R87,W87,AB87,AG87,AL87,AQ87,AV87),"-")</f>
        <v>-</v>
      </c>
      <c r="L87" s="656" t="str">
        <f>IFERROR(AVERAGE(K87:K101),"-")</f>
        <v>-</v>
      </c>
      <c r="M87" s="385" t="e">
        <f>RANK(K87, K$87:$K$101)</f>
        <v>#VALUE!</v>
      </c>
      <c r="N87" s="641"/>
      <c r="O87" s="641"/>
      <c r="P87" s="529"/>
      <c r="Q87" s="530"/>
      <c r="R87" s="530"/>
      <c r="S87" s="529"/>
      <c r="T87" s="642"/>
      <c r="U87" s="529"/>
      <c r="V87" s="530"/>
      <c r="W87" s="530"/>
      <c r="X87" s="529"/>
      <c r="Y87" s="642"/>
      <c r="Z87" s="529"/>
      <c r="AA87" s="530"/>
      <c r="AB87" s="530"/>
      <c r="AC87" s="529"/>
      <c r="AD87" s="642"/>
      <c r="AE87" s="529"/>
      <c r="AF87" s="530"/>
      <c r="AG87" s="530"/>
      <c r="AH87" s="529"/>
      <c r="AI87" s="642"/>
      <c r="AJ87" s="529"/>
      <c r="AK87" s="530"/>
      <c r="AL87" s="530"/>
      <c r="AM87" s="529"/>
      <c r="AN87" s="642"/>
      <c r="AO87" s="529"/>
      <c r="AP87" s="530"/>
      <c r="AQ87" s="530"/>
      <c r="AR87" s="529"/>
      <c r="AS87" s="642"/>
      <c r="AT87" s="529"/>
      <c r="AU87" s="530"/>
      <c r="AV87" s="530"/>
      <c r="AW87" s="529"/>
      <c r="AX87" s="642"/>
      <c r="AZ87" s="368" t="e">
        <f t="shared" ref="AZ87:AZ101" si="79">RANK(AY87, AY$87:AY$101)</f>
        <v>#N/A</v>
      </c>
      <c r="BA87" s="642" t="e">
        <f t="shared" ref="BA87" si="80">AVERAGE(AY87:AY101)</f>
        <v>#DIV/0!</v>
      </c>
    </row>
    <row r="88" spans="2:53">
      <c r="B88" s="647"/>
      <c r="C88" s="380">
        <v>2</v>
      </c>
      <c r="D88" s="225"/>
      <c r="E88" s="519"/>
      <c r="F88" s="516"/>
      <c r="G88" s="515"/>
      <c r="H88" s="655"/>
      <c r="I88" s="381" t="str">
        <f t="shared" si="76"/>
        <v>-</v>
      </c>
      <c r="J88" s="381" t="str">
        <f t="shared" si="77"/>
        <v>-</v>
      </c>
      <c r="K88" s="199" t="str">
        <f t="shared" si="78"/>
        <v>-</v>
      </c>
      <c r="L88" s="657"/>
      <c r="M88" s="425" t="e">
        <f>RANK(K88, K$87:$K$101)</f>
        <v>#VALUE!</v>
      </c>
      <c r="N88" s="641"/>
      <c r="O88" s="641"/>
      <c r="P88" s="529"/>
      <c r="Q88" s="530"/>
      <c r="R88" s="530"/>
      <c r="S88" s="529"/>
      <c r="T88" s="642"/>
      <c r="U88" s="529"/>
      <c r="V88" s="530"/>
      <c r="W88" s="530"/>
      <c r="X88" s="529"/>
      <c r="Y88" s="642"/>
      <c r="Z88" s="529"/>
      <c r="AA88" s="530"/>
      <c r="AB88" s="530"/>
      <c r="AC88" s="529"/>
      <c r="AD88" s="642"/>
      <c r="AE88" s="529"/>
      <c r="AF88" s="530"/>
      <c r="AG88" s="530"/>
      <c r="AH88" s="529"/>
      <c r="AI88" s="642"/>
      <c r="AJ88" s="529"/>
      <c r="AK88" s="530"/>
      <c r="AL88" s="530"/>
      <c r="AM88" s="529"/>
      <c r="AN88" s="642"/>
      <c r="AO88" s="529"/>
      <c r="AP88" s="530"/>
      <c r="AQ88" s="530"/>
      <c r="AR88" s="529"/>
      <c r="AS88" s="642"/>
      <c r="AT88" s="529"/>
      <c r="AU88" s="530"/>
      <c r="AV88" s="530"/>
      <c r="AW88" s="529"/>
      <c r="AX88" s="642"/>
      <c r="AZ88" s="368" t="e">
        <f t="shared" si="79"/>
        <v>#N/A</v>
      </c>
      <c r="BA88" s="642"/>
    </row>
    <row r="89" spans="2:53">
      <c r="B89" s="647"/>
      <c r="C89" s="380">
        <v>3</v>
      </c>
      <c r="D89" s="225"/>
      <c r="E89" s="519"/>
      <c r="F89" s="516"/>
      <c r="G89" s="515"/>
      <c r="H89" s="655"/>
      <c r="I89" s="381" t="str">
        <f t="shared" si="76"/>
        <v>-</v>
      </c>
      <c r="J89" s="381" t="str">
        <f t="shared" si="77"/>
        <v>-</v>
      </c>
      <c r="K89" s="199" t="str">
        <f t="shared" si="78"/>
        <v>-</v>
      </c>
      <c r="L89" s="657"/>
      <c r="M89" s="425" t="e">
        <f>RANK(K89, K$87:$K$101)</f>
        <v>#VALUE!</v>
      </c>
      <c r="N89" s="641"/>
      <c r="O89" s="641"/>
      <c r="P89" s="529"/>
      <c r="Q89" s="530"/>
      <c r="R89" s="530"/>
      <c r="S89" s="529"/>
      <c r="T89" s="642"/>
      <c r="U89" s="529"/>
      <c r="V89" s="530"/>
      <c r="W89" s="530"/>
      <c r="X89" s="529"/>
      <c r="Y89" s="642"/>
      <c r="Z89" s="529"/>
      <c r="AA89" s="530"/>
      <c r="AB89" s="530"/>
      <c r="AC89" s="529"/>
      <c r="AD89" s="642"/>
      <c r="AE89" s="529"/>
      <c r="AF89" s="530"/>
      <c r="AG89" s="530"/>
      <c r="AH89" s="529"/>
      <c r="AI89" s="642"/>
      <c r="AJ89" s="529"/>
      <c r="AK89" s="530"/>
      <c r="AL89" s="530"/>
      <c r="AM89" s="529"/>
      <c r="AN89" s="642"/>
      <c r="AO89" s="529"/>
      <c r="AP89" s="530"/>
      <c r="AQ89" s="530"/>
      <c r="AR89" s="529"/>
      <c r="AS89" s="642"/>
      <c r="AT89" s="529"/>
      <c r="AU89" s="530"/>
      <c r="AV89" s="530"/>
      <c r="AW89" s="529"/>
      <c r="AX89" s="642"/>
      <c r="AZ89" s="368" t="e">
        <f t="shared" si="79"/>
        <v>#N/A</v>
      </c>
      <c r="BA89" s="642"/>
    </row>
    <row r="90" spans="2:53">
      <c r="B90" s="647"/>
      <c r="C90" s="380">
        <v>4</v>
      </c>
      <c r="D90" s="225"/>
      <c r="E90" s="519"/>
      <c r="F90" s="516"/>
      <c r="G90" s="515"/>
      <c r="H90" s="655"/>
      <c r="I90" s="381" t="str">
        <f t="shared" si="76"/>
        <v>-</v>
      </c>
      <c r="J90" s="381" t="str">
        <f t="shared" si="77"/>
        <v>-</v>
      </c>
      <c r="K90" s="199" t="str">
        <f t="shared" si="78"/>
        <v>-</v>
      </c>
      <c r="L90" s="657"/>
      <c r="M90" s="425" t="e">
        <f>RANK(K90, K$87:$K$101)</f>
        <v>#VALUE!</v>
      </c>
      <c r="N90" s="641"/>
      <c r="O90" s="641"/>
      <c r="P90" s="529"/>
      <c r="Q90" s="530"/>
      <c r="R90" s="530"/>
      <c r="S90" s="529"/>
      <c r="T90" s="642"/>
      <c r="U90" s="529"/>
      <c r="V90" s="530"/>
      <c r="W90" s="530"/>
      <c r="X90" s="529"/>
      <c r="Y90" s="642"/>
      <c r="Z90" s="529"/>
      <c r="AA90" s="530"/>
      <c r="AB90" s="530"/>
      <c r="AC90" s="529"/>
      <c r="AD90" s="642"/>
      <c r="AE90" s="529"/>
      <c r="AF90" s="530"/>
      <c r="AG90" s="530"/>
      <c r="AH90" s="529"/>
      <c r="AI90" s="642"/>
      <c r="AJ90" s="529"/>
      <c r="AK90" s="530"/>
      <c r="AL90" s="530"/>
      <c r="AM90" s="529"/>
      <c r="AN90" s="642"/>
      <c r="AO90" s="529"/>
      <c r="AP90" s="530"/>
      <c r="AQ90" s="530"/>
      <c r="AR90" s="529"/>
      <c r="AS90" s="642"/>
      <c r="AT90" s="529"/>
      <c r="AU90" s="530"/>
      <c r="AV90" s="530"/>
      <c r="AW90" s="529"/>
      <c r="AX90" s="642"/>
      <c r="AZ90" s="368" t="e">
        <f t="shared" si="79"/>
        <v>#N/A</v>
      </c>
      <c r="BA90" s="642"/>
    </row>
    <row r="91" spans="2:53">
      <c r="B91" s="647"/>
      <c r="C91" s="380">
        <v>5</v>
      </c>
      <c r="D91" s="225"/>
      <c r="E91" s="519"/>
      <c r="F91" s="516"/>
      <c r="G91" s="515"/>
      <c r="H91" s="655"/>
      <c r="I91" s="381" t="str">
        <f t="shared" si="76"/>
        <v>-</v>
      </c>
      <c r="J91" s="381" t="str">
        <f t="shared" si="77"/>
        <v>-</v>
      </c>
      <c r="K91" s="199" t="str">
        <f t="shared" si="78"/>
        <v>-</v>
      </c>
      <c r="L91" s="657"/>
      <c r="M91" s="425" t="e">
        <f>RANK(K91, K$87:$K$101)</f>
        <v>#VALUE!</v>
      </c>
      <c r="N91" s="641"/>
      <c r="O91" s="641"/>
      <c r="P91" s="529"/>
      <c r="Q91" s="530"/>
      <c r="R91" s="530"/>
      <c r="S91" s="529"/>
      <c r="T91" s="642"/>
      <c r="U91" s="529"/>
      <c r="V91" s="530"/>
      <c r="W91" s="530"/>
      <c r="X91" s="529"/>
      <c r="Y91" s="642"/>
      <c r="Z91" s="529"/>
      <c r="AA91" s="530"/>
      <c r="AB91" s="530"/>
      <c r="AC91" s="529"/>
      <c r="AD91" s="642"/>
      <c r="AE91" s="529"/>
      <c r="AF91" s="530"/>
      <c r="AG91" s="530"/>
      <c r="AH91" s="529"/>
      <c r="AI91" s="642"/>
      <c r="AJ91" s="529"/>
      <c r="AK91" s="530"/>
      <c r="AL91" s="530"/>
      <c r="AM91" s="529"/>
      <c r="AN91" s="642"/>
      <c r="AO91" s="529"/>
      <c r="AP91" s="530"/>
      <c r="AQ91" s="530"/>
      <c r="AR91" s="529"/>
      <c r="AS91" s="642"/>
      <c r="AT91" s="529"/>
      <c r="AU91" s="530"/>
      <c r="AV91" s="530"/>
      <c r="AW91" s="529"/>
      <c r="AX91" s="642"/>
      <c r="AZ91" s="368" t="e">
        <f t="shared" si="79"/>
        <v>#N/A</v>
      </c>
      <c r="BA91" s="642"/>
    </row>
    <row r="92" spans="2:53">
      <c r="B92" s="647"/>
      <c r="C92" s="380">
        <v>6</v>
      </c>
      <c r="D92" s="225"/>
      <c r="E92" s="519"/>
      <c r="F92" s="516"/>
      <c r="G92" s="515"/>
      <c r="H92" s="655"/>
      <c r="I92" s="381" t="str">
        <f t="shared" si="76"/>
        <v>-</v>
      </c>
      <c r="J92" s="381" t="str">
        <f t="shared" si="77"/>
        <v>-</v>
      </c>
      <c r="K92" s="199" t="str">
        <f t="shared" si="78"/>
        <v>-</v>
      </c>
      <c r="L92" s="657"/>
      <c r="M92" s="425" t="e">
        <f>RANK(K92, K$87:$K$101)</f>
        <v>#VALUE!</v>
      </c>
      <c r="N92" s="641"/>
      <c r="O92" s="641"/>
      <c r="P92" s="529"/>
      <c r="Q92" s="530"/>
      <c r="R92" s="530"/>
      <c r="S92" s="529"/>
      <c r="T92" s="642"/>
      <c r="U92" s="529"/>
      <c r="V92" s="530"/>
      <c r="W92" s="530"/>
      <c r="X92" s="529"/>
      <c r="Y92" s="642"/>
      <c r="Z92" s="529"/>
      <c r="AA92" s="530"/>
      <c r="AB92" s="530"/>
      <c r="AC92" s="529"/>
      <c r="AD92" s="642"/>
      <c r="AE92" s="529"/>
      <c r="AF92" s="530"/>
      <c r="AG92" s="530"/>
      <c r="AH92" s="529"/>
      <c r="AI92" s="642"/>
      <c r="AJ92" s="529"/>
      <c r="AK92" s="530"/>
      <c r="AL92" s="530"/>
      <c r="AM92" s="529"/>
      <c r="AN92" s="642"/>
      <c r="AO92" s="529"/>
      <c r="AP92" s="530"/>
      <c r="AQ92" s="530"/>
      <c r="AR92" s="529"/>
      <c r="AS92" s="642"/>
      <c r="AT92" s="529"/>
      <c r="AU92" s="530"/>
      <c r="AV92" s="530"/>
      <c r="AW92" s="529"/>
      <c r="AX92" s="642"/>
      <c r="AZ92" s="368" t="e">
        <f t="shared" si="79"/>
        <v>#N/A</v>
      </c>
      <c r="BA92" s="642"/>
    </row>
    <row r="93" spans="2:53">
      <c r="B93" s="647"/>
      <c r="C93" s="380">
        <v>7</v>
      </c>
      <c r="D93" s="225"/>
      <c r="E93" s="519"/>
      <c r="F93" s="516"/>
      <c r="G93" s="515"/>
      <c r="H93" s="655"/>
      <c r="I93" s="381" t="str">
        <f t="shared" si="76"/>
        <v>-</v>
      </c>
      <c r="J93" s="381" t="str">
        <f t="shared" si="77"/>
        <v>-</v>
      </c>
      <c r="K93" s="199" t="str">
        <f t="shared" si="78"/>
        <v>-</v>
      </c>
      <c r="L93" s="657"/>
      <c r="M93" s="425" t="e">
        <f>RANK(K93, K$87:$K$101)</f>
        <v>#VALUE!</v>
      </c>
      <c r="N93" s="641"/>
      <c r="O93" s="641"/>
      <c r="P93" s="529"/>
      <c r="Q93" s="530"/>
      <c r="R93" s="530"/>
      <c r="S93" s="529"/>
      <c r="T93" s="642"/>
      <c r="U93" s="529"/>
      <c r="V93" s="530"/>
      <c r="W93" s="530"/>
      <c r="X93" s="529"/>
      <c r="Y93" s="642"/>
      <c r="Z93" s="529"/>
      <c r="AA93" s="530"/>
      <c r="AB93" s="530"/>
      <c r="AC93" s="529"/>
      <c r="AD93" s="642"/>
      <c r="AE93" s="529"/>
      <c r="AF93" s="530"/>
      <c r="AG93" s="530"/>
      <c r="AH93" s="529"/>
      <c r="AI93" s="642"/>
      <c r="AJ93" s="529"/>
      <c r="AK93" s="530"/>
      <c r="AL93" s="530"/>
      <c r="AM93" s="529"/>
      <c r="AN93" s="642"/>
      <c r="AO93" s="529"/>
      <c r="AP93" s="530"/>
      <c r="AQ93" s="530"/>
      <c r="AR93" s="529"/>
      <c r="AS93" s="642"/>
      <c r="AT93" s="529"/>
      <c r="AU93" s="530"/>
      <c r="AV93" s="530"/>
      <c r="AW93" s="529"/>
      <c r="AX93" s="642"/>
      <c r="AZ93" s="368" t="e">
        <f t="shared" si="79"/>
        <v>#N/A</v>
      </c>
      <c r="BA93" s="642"/>
    </row>
    <row r="94" spans="2:53">
      <c r="B94" s="647"/>
      <c r="C94" s="380">
        <v>8</v>
      </c>
      <c r="D94" s="225"/>
      <c r="E94" s="519"/>
      <c r="F94" s="516"/>
      <c r="G94" s="515"/>
      <c r="H94" s="655"/>
      <c r="I94" s="381" t="str">
        <f t="shared" si="76"/>
        <v>-</v>
      </c>
      <c r="J94" s="381" t="str">
        <f t="shared" si="77"/>
        <v>-</v>
      </c>
      <c r="K94" s="199" t="str">
        <f t="shared" si="78"/>
        <v>-</v>
      </c>
      <c r="L94" s="657"/>
      <c r="M94" s="425" t="e">
        <f>RANK(K94, K$87:$K$101)</f>
        <v>#VALUE!</v>
      </c>
      <c r="N94" s="641"/>
      <c r="O94" s="641"/>
      <c r="P94" s="529"/>
      <c r="Q94" s="530"/>
      <c r="R94" s="530"/>
      <c r="S94" s="529"/>
      <c r="T94" s="642"/>
      <c r="U94" s="529"/>
      <c r="V94" s="530"/>
      <c r="W94" s="530"/>
      <c r="X94" s="529"/>
      <c r="Y94" s="642"/>
      <c r="Z94" s="529"/>
      <c r="AA94" s="530"/>
      <c r="AB94" s="530"/>
      <c r="AC94" s="529"/>
      <c r="AD94" s="642"/>
      <c r="AE94" s="529"/>
      <c r="AF94" s="530"/>
      <c r="AG94" s="530"/>
      <c r="AH94" s="529"/>
      <c r="AI94" s="642"/>
      <c r="AJ94" s="529"/>
      <c r="AK94" s="530"/>
      <c r="AL94" s="530"/>
      <c r="AM94" s="529"/>
      <c r="AN94" s="642"/>
      <c r="AO94" s="529"/>
      <c r="AP94" s="530"/>
      <c r="AQ94" s="530"/>
      <c r="AR94" s="529"/>
      <c r="AS94" s="642"/>
      <c r="AT94" s="529"/>
      <c r="AU94" s="530"/>
      <c r="AV94" s="530"/>
      <c r="AW94" s="529"/>
      <c r="AX94" s="642"/>
      <c r="AZ94" s="368" t="e">
        <f t="shared" si="79"/>
        <v>#N/A</v>
      </c>
      <c r="BA94" s="642"/>
    </row>
    <row r="95" spans="2:53">
      <c r="B95" s="647"/>
      <c r="C95" s="380">
        <v>9</v>
      </c>
      <c r="D95" s="225"/>
      <c r="E95" s="519"/>
      <c r="F95" s="516"/>
      <c r="G95" s="515"/>
      <c r="H95" s="655"/>
      <c r="I95" s="381" t="str">
        <f t="shared" si="76"/>
        <v>-</v>
      </c>
      <c r="J95" s="381" t="str">
        <f t="shared" si="77"/>
        <v>-</v>
      </c>
      <c r="K95" s="199" t="str">
        <f t="shared" si="78"/>
        <v>-</v>
      </c>
      <c r="L95" s="657"/>
      <c r="M95" s="425" t="e">
        <f>RANK(K95, K$87:$K$101)</f>
        <v>#VALUE!</v>
      </c>
      <c r="N95" s="641"/>
      <c r="O95" s="641"/>
      <c r="P95" s="529"/>
      <c r="Q95" s="530"/>
      <c r="R95" s="530"/>
      <c r="S95" s="529"/>
      <c r="T95" s="642"/>
      <c r="U95" s="529"/>
      <c r="V95" s="530"/>
      <c r="W95" s="530"/>
      <c r="X95" s="529"/>
      <c r="Y95" s="642"/>
      <c r="Z95" s="529"/>
      <c r="AA95" s="530"/>
      <c r="AB95" s="530"/>
      <c r="AC95" s="529"/>
      <c r="AD95" s="642"/>
      <c r="AE95" s="529"/>
      <c r="AF95" s="530"/>
      <c r="AG95" s="530"/>
      <c r="AH95" s="529"/>
      <c r="AI95" s="642"/>
      <c r="AJ95" s="529"/>
      <c r="AK95" s="530"/>
      <c r="AL95" s="530"/>
      <c r="AM95" s="529"/>
      <c r="AN95" s="642"/>
      <c r="AO95" s="529"/>
      <c r="AP95" s="530"/>
      <c r="AQ95" s="530"/>
      <c r="AR95" s="529"/>
      <c r="AS95" s="642"/>
      <c r="AT95" s="529"/>
      <c r="AU95" s="530"/>
      <c r="AV95" s="530"/>
      <c r="AW95" s="529"/>
      <c r="AX95" s="642"/>
      <c r="AZ95" s="368" t="e">
        <f t="shared" si="79"/>
        <v>#N/A</v>
      </c>
      <c r="BA95" s="642"/>
    </row>
    <row r="96" spans="2:53">
      <c r="B96" s="647"/>
      <c r="C96" s="380">
        <v>10</v>
      </c>
      <c r="D96" s="225"/>
      <c r="E96" s="519"/>
      <c r="F96" s="516"/>
      <c r="G96" s="515"/>
      <c r="H96" s="655"/>
      <c r="I96" s="381" t="str">
        <f t="shared" si="76"/>
        <v>-</v>
      </c>
      <c r="J96" s="381" t="str">
        <f t="shared" si="77"/>
        <v>-</v>
      </c>
      <c r="K96" s="199" t="str">
        <f t="shared" si="78"/>
        <v>-</v>
      </c>
      <c r="L96" s="657"/>
      <c r="M96" s="425" t="e">
        <f>RANK(K96, K$87:$K$101)</f>
        <v>#VALUE!</v>
      </c>
      <c r="N96" s="641"/>
      <c r="O96" s="641"/>
      <c r="P96" s="529"/>
      <c r="Q96" s="530"/>
      <c r="R96" s="530"/>
      <c r="S96" s="529"/>
      <c r="T96" s="642"/>
      <c r="U96" s="529"/>
      <c r="V96" s="530"/>
      <c r="W96" s="530"/>
      <c r="X96" s="529"/>
      <c r="Y96" s="642"/>
      <c r="Z96" s="529"/>
      <c r="AA96" s="530"/>
      <c r="AB96" s="530"/>
      <c r="AC96" s="529"/>
      <c r="AD96" s="642"/>
      <c r="AE96" s="529"/>
      <c r="AF96" s="530"/>
      <c r="AG96" s="530"/>
      <c r="AH96" s="529"/>
      <c r="AI96" s="642"/>
      <c r="AJ96" s="529"/>
      <c r="AK96" s="530"/>
      <c r="AL96" s="530"/>
      <c r="AM96" s="529"/>
      <c r="AN96" s="642"/>
      <c r="AO96" s="529"/>
      <c r="AP96" s="530"/>
      <c r="AQ96" s="530"/>
      <c r="AR96" s="529"/>
      <c r="AS96" s="642"/>
      <c r="AT96" s="529"/>
      <c r="AU96" s="530"/>
      <c r="AV96" s="530"/>
      <c r="AW96" s="529"/>
      <c r="AX96" s="642"/>
      <c r="AZ96" s="368" t="e">
        <f t="shared" si="79"/>
        <v>#N/A</v>
      </c>
      <c r="BA96" s="642"/>
    </row>
    <row r="97" spans="2:53">
      <c r="B97" s="647"/>
      <c r="C97" s="380">
        <v>11</v>
      </c>
      <c r="D97" s="225"/>
      <c r="E97" s="519"/>
      <c r="F97" s="516"/>
      <c r="G97" s="515"/>
      <c r="H97" s="655"/>
      <c r="I97" s="381" t="str">
        <f t="shared" si="76"/>
        <v>-</v>
      </c>
      <c r="J97" s="381" t="str">
        <f t="shared" si="77"/>
        <v>-</v>
      </c>
      <c r="K97" s="199" t="str">
        <f t="shared" si="78"/>
        <v>-</v>
      </c>
      <c r="L97" s="657"/>
      <c r="M97" s="425" t="e">
        <f>RANK(K97, K$87:$K$101)</f>
        <v>#VALUE!</v>
      </c>
      <c r="N97" s="641"/>
      <c r="O97" s="641"/>
      <c r="P97" s="529"/>
      <c r="Q97" s="530"/>
      <c r="R97" s="530"/>
      <c r="S97" s="529"/>
      <c r="T97" s="642"/>
      <c r="U97" s="529"/>
      <c r="V97" s="530"/>
      <c r="W97" s="530"/>
      <c r="X97" s="529"/>
      <c r="Y97" s="642"/>
      <c r="Z97" s="529"/>
      <c r="AA97" s="530"/>
      <c r="AB97" s="530"/>
      <c r="AC97" s="529"/>
      <c r="AD97" s="642"/>
      <c r="AE97" s="529"/>
      <c r="AF97" s="530"/>
      <c r="AG97" s="530"/>
      <c r="AH97" s="529"/>
      <c r="AI97" s="642"/>
      <c r="AJ97" s="529"/>
      <c r="AK97" s="530"/>
      <c r="AL97" s="530"/>
      <c r="AM97" s="529"/>
      <c r="AN97" s="642"/>
      <c r="AO97" s="529"/>
      <c r="AP97" s="530"/>
      <c r="AQ97" s="530"/>
      <c r="AR97" s="529"/>
      <c r="AS97" s="642"/>
      <c r="AT97" s="529"/>
      <c r="AU97" s="530"/>
      <c r="AV97" s="530"/>
      <c r="AW97" s="529"/>
      <c r="AX97" s="642"/>
      <c r="AZ97" s="368" t="e">
        <f t="shared" si="79"/>
        <v>#N/A</v>
      </c>
      <c r="BA97" s="642"/>
    </row>
    <row r="98" spans="2:53">
      <c r="B98" s="647"/>
      <c r="C98" s="380">
        <v>12</v>
      </c>
      <c r="D98" s="225"/>
      <c r="E98" s="519"/>
      <c r="F98" s="516"/>
      <c r="G98" s="515"/>
      <c r="H98" s="655"/>
      <c r="I98" s="381" t="str">
        <f t="shared" si="76"/>
        <v>-</v>
      </c>
      <c r="J98" s="381" t="str">
        <f t="shared" si="77"/>
        <v>-</v>
      </c>
      <c r="K98" s="199" t="str">
        <f t="shared" si="78"/>
        <v>-</v>
      </c>
      <c r="L98" s="657"/>
      <c r="M98" s="425" t="e">
        <f>RANK(K98, K$87:$K$101)</f>
        <v>#VALUE!</v>
      </c>
      <c r="N98" s="641"/>
      <c r="O98" s="641"/>
      <c r="P98" s="529"/>
      <c r="Q98" s="530"/>
      <c r="R98" s="530"/>
      <c r="S98" s="529"/>
      <c r="T98" s="642"/>
      <c r="U98" s="529"/>
      <c r="V98" s="530"/>
      <c r="W98" s="530"/>
      <c r="X98" s="529"/>
      <c r="Y98" s="642"/>
      <c r="Z98" s="529"/>
      <c r="AA98" s="530"/>
      <c r="AB98" s="530"/>
      <c r="AC98" s="529"/>
      <c r="AD98" s="642"/>
      <c r="AE98" s="529"/>
      <c r="AF98" s="530"/>
      <c r="AG98" s="530"/>
      <c r="AH98" s="529"/>
      <c r="AI98" s="642"/>
      <c r="AJ98" s="529"/>
      <c r="AK98" s="530"/>
      <c r="AL98" s="530"/>
      <c r="AM98" s="529"/>
      <c r="AN98" s="642"/>
      <c r="AO98" s="529"/>
      <c r="AP98" s="530"/>
      <c r="AQ98" s="530"/>
      <c r="AR98" s="529"/>
      <c r="AS98" s="642"/>
      <c r="AT98" s="529"/>
      <c r="AU98" s="530"/>
      <c r="AV98" s="530"/>
      <c r="AW98" s="529"/>
      <c r="AX98" s="642"/>
      <c r="AZ98" s="368" t="e">
        <f t="shared" si="79"/>
        <v>#N/A</v>
      </c>
      <c r="BA98" s="642"/>
    </row>
    <row r="99" spans="2:53">
      <c r="B99" s="647"/>
      <c r="C99" s="380">
        <v>13</v>
      </c>
      <c r="D99" s="225"/>
      <c r="E99" s="519"/>
      <c r="F99" s="516"/>
      <c r="G99" s="515"/>
      <c r="H99" s="655"/>
      <c r="I99" s="381" t="str">
        <f t="shared" si="76"/>
        <v>-</v>
      </c>
      <c r="J99" s="381" t="str">
        <f t="shared" si="77"/>
        <v>-</v>
      </c>
      <c r="K99" s="199" t="str">
        <f t="shared" si="78"/>
        <v>-</v>
      </c>
      <c r="L99" s="657"/>
      <c r="M99" s="425" t="e">
        <f>RANK(K99, K$87:$K$101)</f>
        <v>#VALUE!</v>
      </c>
      <c r="N99" s="641"/>
      <c r="O99" s="641"/>
      <c r="P99" s="529"/>
      <c r="Q99" s="530"/>
      <c r="R99" s="530"/>
      <c r="S99" s="529"/>
      <c r="T99" s="642"/>
      <c r="U99" s="529"/>
      <c r="V99" s="530"/>
      <c r="W99" s="530"/>
      <c r="X99" s="529"/>
      <c r="Y99" s="642"/>
      <c r="Z99" s="529"/>
      <c r="AA99" s="530"/>
      <c r="AB99" s="530"/>
      <c r="AC99" s="529"/>
      <c r="AD99" s="642"/>
      <c r="AE99" s="529"/>
      <c r="AF99" s="530"/>
      <c r="AG99" s="530"/>
      <c r="AH99" s="529"/>
      <c r="AI99" s="642"/>
      <c r="AJ99" s="529"/>
      <c r="AK99" s="530"/>
      <c r="AL99" s="530"/>
      <c r="AM99" s="529"/>
      <c r="AN99" s="642"/>
      <c r="AO99" s="529"/>
      <c r="AP99" s="530"/>
      <c r="AQ99" s="530"/>
      <c r="AR99" s="529"/>
      <c r="AS99" s="642"/>
      <c r="AT99" s="529"/>
      <c r="AU99" s="530"/>
      <c r="AV99" s="530"/>
      <c r="AW99" s="529"/>
      <c r="AX99" s="642"/>
      <c r="AZ99" s="368" t="e">
        <f t="shared" si="79"/>
        <v>#N/A</v>
      </c>
      <c r="BA99" s="642"/>
    </row>
    <row r="100" spans="2:53">
      <c r="B100" s="647"/>
      <c r="C100" s="380">
        <v>14</v>
      </c>
      <c r="D100" s="225"/>
      <c r="E100" s="519"/>
      <c r="F100" s="516"/>
      <c r="G100" s="515"/>
      <c r="H100" s="655"/>
      <c r="I100" s="381" t="str">
        <f t="shared" si="76"/>
        <v>-</v>
      </c>
      <c r="J100" s="381" t="str">
        <f t="shared" si="77"/>
        <v>-</v>
      </c>
      <c r="K100" s="199" t="str">
        <f t="shared" si="78"/>
        <v>-</v>
      </c>
      <c r="L100" s="657"/>
      <c r="M100" s="425" t="e">
        <f>RANK(K100, K$87:$K$101)</f>
        <v>#VALUE!</v>
      </c>
      <c r="N100" s="641"/>
      <c r="O100" s="641"/>
      <c r="P100" s="529"/>
      <c r="Q100" s="530"/>
      <c r="R100" s="530"/>
      <c r="S100" s="529"/>
      <c r="T100" s="642"/>
      <c r="U100" s="529"/>
      <c r="V100" s="530"/>
      <c r="W100" s="530"/>
      <c r="X100" s="529"/>
      <c r="Y100" s="642"/>
      <c r="Z100" s="529"/>
      <c r="AA100" s="530"/>
      <c r="AB100" s="530"/>
      <c r="AC100" s="529"/>
      <c r="AD100" s="642"/>
      <c r="AE100" s="529"/>
      <c r="AF100" s="530"/>
      <c r="AG100" s="530"/>
      <c r="AH100" s="529"/>
      <c r="AI100" s="642"/>
      <c r="AJ100" s="529"/>
      <c r="AK100" s="530"/>
      <c r="AL100" s="530"/>
      <c r="AM100" s="529"/>
      <c r="AN100" s="642"/>
      <c r="AO100" s="529"/>
      <c r="AP100" s="530"/>
      <c r="AQ100" s="530"/>
      <c r="AR100" s="529"/>
      <c r="AS100" s="642"/>
      <c r="AT100" s="529"/>
      <c r="AU100" s="530"/>
      <c r="AV100" s="530"/>
      <c r="AW100" s="529"/>
      <c r="AX100" s="642"/>
      <c r="AZ100" s="368" t="e">
        <f t="shared" si="79"/>
        <v>#N/A</v>
      </c>
      <c r="BA100" s="642"/>
    </row>
    <row r="101" spans="2:53">
      <c r="B101" s="647"/>
      <c r="C101" s="380">
        <v>15</v>
      </c>
      <c r="D101" s="225"/>
      <c r="E101" s="519"/>
      <c r="F101" s="516"/>
      <c r="G101" s="515"/>
      <c r="H101" s="712"/>
      <c r="I101" s="380"/>
      <c r="J101" s="380"/>
      <c r="K101" s="380"/>
      <c r="L101" s="658"/>
      <c r="M101" s="425" t="e">
        <f>RANK(K101, K$87:$K$101)</f>
        <v>#N/A</v>
      </c>
      <c r="N101" s="641"/>
      <c r="O101" s="641"/>
      <c r="P101" s="529"/>
      <c r="Q101" s="530"/>
      <c r="R101" s="530"/>
      <c r="S101" s="529"/>
      <c r="T101" s="642"/>
      <c r="U101" s="529"/>
      <c r="V101" s="530"/>
      <c r="W101" s="530"/>
      <c r="X101" s="529"/>
      <c r="Y101" s="642"/>
      <c r="Z101" s="529"/>
      <c r="AA101" s="530"/>
      <c r="AB101" s="530"/>
      <c r="AC101" s="529"/>
      <c r="AD101" s="642"/>
      <c r="AE101" s="529"/>
      <c r="AF101" s="530"/>
      <c r="AG101" s="530"/>
      <c r="AH101" s="529"/>
      <c r="AI101" s="642"/>
      <c r="AJ101" s="529"/>
      <c r="AK101" s="530"/>
      <c r="AL101" s="530"/>
      <c r="AM101" s="529"/>
      <c r="AN101" s="642"/>
      <c r="AO101" s="529"/>
      <c r="AP101" s="530"/>
      <c r="AQ101" s="530"/>
      <c r="AR101" s="529"/>
      <c r="AS101" s="642"/>
      <c r="AT101" s="529"/>
      <c r="AU101" s="530"/>
      <c r="AV101" s="530"/>
      <c r="AW101" s="529"/>
      <c r="AX101" s="642"/>
      <c r="AZ101" s="368" t="e">
        <f t="shared" si="79"/>
        <v>#N/A</v>
      </c>
      <c r="BA101" s="642"/>
    </row>
    <row r="102" spans="2:53" ht="15.75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68">
        <f>P82+7</f>
        <v>46266</v>
      </c>
      <c r="Q102" s="647"/>
      <c r="R102" s="647"/>
      <c r="S102" s="647"/>
      <c r="T102" s="647"/>
      <c r="U102" s="665">
        <f>P102+1</f>
        <v>46267</v>
      </c>
      <c r="V102" s="666"/>
      <c r="W102" s="666"/>
      <c r="X102" s="666"/>
      <c r="Y102" s="667"/>
      <c r="Z102" s="665">
        <f>U102+1</f>
        <v>46268</v>
      </c>
      <c r="AA102" s="666"/>
      <c r="AB102" s="666"/>
      <c r="AC102" s="666"/>
      <c r="AD102" s="667"/>
      <c r="AE102" s="665">
        <f>Z102+1</f>
        <v>46269</v>
      </c>
      <c r="AF102" s="666"/>
      <c r="AG102" s="666"/>
      <c r="AH102" s="666"/>
      <c r="AI102" s="667"/>
      <c r="AJ102" s="665">
        <f>AE102+1</f>
        <v>46270</v>
      </c>
      <c r="AK102" s="666"/>
      <c r="AL102" s="666"/>
      <c r="AM102" s="666"/>
      <c r="AN102" s="667"/>
      <c r="AO102" s="665">
        <f>AJ102+1</f>
        <v>46271</v>
      </c>
      <c r="AP102" s="666"/>
      <c r="AQ102" s="666"/>
      <c r="AR102" s="666"/>
      <c r="AS102" s="667"/>
      <c r="AT102" s="665">
        <f>AO102+1</f>
        <v>46272</v>
      </c>
      <c r="AU102" s="666"/>
      <c r="AV102" s="666"/>
      <c r="AW102" s="666"/>
      <c r="AX102" s="667"/>
    </row>
    <row r="103" spans="2:53" ht="15.75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45"/>
      <c r="O103" s="645"/>
      <c r="P103" s="668" t="s">
        <v>158</v>
      </c>
      <c r="Q103" s="647"/>
      <c r="R103" s="647"/>
      <c r="S103" s="647"/>
      <c r="T103" s="647"/>
      <c r="U103" s="668" t="s">
        <v>114</v>
      </c>
      <c r="V103" s="647"/>
      <c r="W103" s="647"/>
      <c r="X103" s="647"/>
      <c r="Y103" s="647"/>
      <c r="Z103" s="668" t="s">
        <v>159</v>
      </c>
      <c r="AA103" s="647"/>
      <c r="AB103" s="647"/>
      <c r="AC103" s="647"/>
      <c r="AD103" s="647"/>
      <c r="AE103" s="668" t="s">
        <v>157</v>
      </c>
      <c r="AF103" s="647"/>
      <c r="AG103" s="647"/>
      <c r="AH103" s="647"/>
      <c r="AI103" s="647"/>
      <c r="AJ103" s="668" t="s">
        <v>160</v>
      </c>
      <c r="AK103" s="647"/>
      <c r="AL103" s="647"/>
      <c r="AM103" s="647"/>
      <c r="AN103" s="647"/>
      <c r="AO103" s="668" t="s">
        <v>115</v>
      </c>
      <c r="AP103" s="647"/>
      <c r="AQ103" s="647"/>
      <c r="AR103" s="647"/>
      <c r="AS103" s="647"/>
      <c r="AT103" s="668" t="s">
        <v>161</v>
      </c>
      <c r="AU103" s="647"/>
      <c r="AV103" s="647"/>
      <c r="AW103" s="647"/>
      <c r="AX103" s="647"/>
    </row>
    <row r="104" spans="2:53">
      <c r="B104" s="641" t="s">
        <v>531</v>
      </c>
      <c r="C104" s="641" t="s">
        <v>532</v>
      </c>
      <c r="D104" s="641"/>
      <c r="E104" s="641" t="s">
        <v>533</v>
      </c>
      <c r="F104" s="641"/>
      <c r="G104" s="641"/>
      <c r="H104" s="673" t="s">
        <v>534</v>
      </c>
      <c r="I104" s="641" t="s">
        <v>535</v>
      </c>
      <c r="J104" s="641"/>
      <c r="K104" s="641"/>
      <c r="L104" s="673" t="s">
        <v>366</v>
      </c>
      <c r="M104" s="643" t="s">
        <v>536</v>
      </c>
      <c r="N104" s="641"/>
      <c r="O104" s="641" t="s">
        <v>537</v>
      </c>
      <c r="P104" s="659" t="s">
        <v>523</v>
      </c>
      <c r="Q104" s="660"/>
      <c r="R104" s="660"/>
      <c r="S104" s="661"/>
      <c r="T104" s="641" t="s">
        <v>519</v>
      </c>
      <c r="U104" s="659" t="s">
        <v>523</v>
      </c>
      <c r="V104" s="660"/>
      <c r="W104" s="660"/>
      <c r="X104" s="661"/>
      <c r="Y104" s="641" t="s">
        <v>519</v>
      </c>
      <c r="Z104" s="659" t="s">
        <v>523</v>
      </c>
      <c r="AA104" s="660"/>
      <c r="AB104" s="660"/>
      <c r="AC104" s="661"/>
      <c r="AD104" s="641" t="s">
        <v>519</v>
      </c>
      <c r="AE104" s="659" t="s">
        <v>523</v>
      </c>
      <c r="AF104" s="660"/>
      <c r="AG104" s="660"/>
      <c r="AH104" s="661"/>
      <c r="AI104" s="641" t="s">
        <v>519</v>
      </c>
      <c r="AJ104" s="659" t="s">
        <v>523</v>
      </c>
      <c r="AK104" s="660"/>
      <c r="AL104" s="660"/>
      <c r="AM104" s="661"/>
      <c r="AN104" s="641" t="s">
        <v>519</v>
      </c>
      <c r="AO104" s="659" t="s">
        <v>523</v>
      </c>
      <c r="AP104" s="660"/>
      <c r="AQ104" s="660"/>
      <c r="AR104" s="661"/>
      <c r="AS104" s="641" t="s">
        <v>519</v>
      </c>
      <c r="AT104" s="659" t="s">
        <v>523</v>
      </c>
      <c r="AU104" s="660"/>
      <c r="AV104" s="660"/>
      <c r="AW104" s="661"/>
      <c r="AX104" s="641" t="s">
        <v>519</v>
      </c>
      <c r="BA104" s="641" t="s">
        <v>366</v>
      </c>
    </row>
    <row r="105" spans="2:53">
      <c r="B105" s="641"/>
      <c r="C105" s="641"/>
      <c r="D105" s="641"/>
      <c r="E105" s="641" t="s">
        <v>538</v>
      </c>
      <c r="F105" s="641"/>
      <c r="G105" s="641"/>
      <c r="H105" s="674"/>
      <c r="I105" s="641" t="s">
        <v>538</v>
      </c>
      <c r="J105" s="641"/>
      <c r="K105" s="641"/>
      <c r="L105" s="674"/>
      <c r="M105" s="644"/>
      <c r="N105" s="641"/>
      <c r="O105" s="641"/>
      <c r="P105" s="659" t="s">
        <v>525</v>
      </c>
      <c r="Q105" s="660"/>
      <c r="R105" s="660"/>
      <c r="S105" s="661"/>
      <c r="T105" s="641"/>
      <c r="U105" s="659" t="s">
        <v>525</v>
      </c>
      <c r="V105" s="660"/>
      <c r="W105" s="660"/>
      <c r="X105" s="661"/>
      <c r="Y105" s="641"/>
      <c r="Z105" s="659" t="s">
        <v>525</v>
      </c>
      <c r="AA105" s="660"/>
      <c r="AB105" s="660"/>
      <c r="AC105" s="661"/>
      <c r="AD105" s="641"/>
      <c r="AE105" s="659" t="s">
        <v>525</v>
      </c>
      <c r="AF105" s="660"/>
      <c r="AG105" s="660"/>
      <c r="AH105" s="661"/>
      <c r="AI105" s="641"/>
      <c r="AJ105" s="659" t="s">
        <v>525</v>
      </c>
      <c r="AK105" s="660"/>
      <c r="AL105" s="660"/>
      <c r="AM105" s="661"/>
      <c r="AN105" s="641"/>
      <c r="AO105" s="659" t="s">
        <v>525</v>
      </c>
      <c r="AP105" s="660"/>
      <c r="AQ105" s="660"/>
      <c r="AR105" s="661"/>
      <c r="AS105" s="641"/>
      <c r="AT105" s="659" t="s">
        <v>525</v>
      </c>
      <c r="AU105" s="660"/>
      <c r="AV105" s="660"/>
      <c r="AW105" s="661"/>
      <c r="AX105" s="641"/>
      <c r="BA105" s="641"/>
    </row>
    <row r="106" spans="2:53">
      <c r="B106" s="641"/>
      <c r="C106" s="641"/>
      <c r="D106" s="641"/>
      <c r="E106" s="345" t="s">
        <v>539</v>
      </c>
      <c r="F106" s="345" t="s">
        <v>540</v>
      </c>
      <c r="G106" s="345" t="s">
        <v>541</v>
      </c>
      <c r="H106" s="675"/>
      <c r="I106" s="345" t="s">
        <v>539</v>
      </c>
      <c r="J106" s="345" t="s">
        <v>540</v>
      </c>
      <c r="K106" s="345" t="s">
        <v>541</v>
      </c>
      <c r="L106" s="675"/>
      <c r="M106" s="645"/>
      <c r="N106" s="641"/>
      <c r="O106" s="641"/>
      <c r="P106" s="345" t="s">
        <v>526</v>
      </c>
      <c r="Q106" s="345" t="s">
        <v>527</v>
      </c>
      <c r="R106" s="345" t="s">
        <v>528</v>
      </c>
      <c r="S106" s="345" t="s">
        <v>521</v>
      </c>
      <c r="T106" s="641"/>
      <c r="U106" s="345" t="s">
        <v>526</v>
      </c>
      <c r="V106" s="345" t="s">
        <v>527</v>
      </c>
      <c r="W106" s="345" t="s">
        <v>528</v>
      </c>
      <c r="X106" s="345" t="s">
        <v>521</v>
      </c>
      <c r="Y106" s="641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41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41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41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41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41"/>
      <c r="AZ106" s="367" t="s">
        <v>521</v>
      </c>
      <c r="BA106" s="641"/>
    </row>
    <row r="107" spans="2:53">
      <c r="B107" s="641" t="s">
        <v>135</v>
      </c>
      <c r="C107" s="348">
        <v>1</v>
      </c>
      <c r="D107" s="225"/>
      <c r="E107" s="181"/>
      <c r="F107" s="353"/>
      <c r="G107" s="354"/>
      <c r="H107" s="654" t="e">
        <f>AVERAGE(G107:G121)</f>
        <v>#DIV/0!</v>
      </c>
      <c r="I107" s="363" t="str">
        <f t="shared" ref="I107:I120" si="81">IFERROR(AVERAGE(P107,U107,Z107,AE107,AJ107,AO107,AT107),"-")</f>
        <v>-</v>
      </c>
      <c r="J107" s="363" t="str">
        <f t="shared" ref="J107:J120" si="82">IFERROR(AVERAGE(Q107,V107,AA107,AF107,AK107,AP107,AU107),"-")</f>
        <v>-</v>
      </c>
      <c r="K107" s="199" t="str">
        <f t="shared" ref="K107:K120" si="83">IFERROR(AVERAGE(R107,W107,AB107,AG107,AL107,AQ107,AV107),"-")</f>
        <v>-</v>
      </c>
      <c r="L107" s="656" t="str">
        <f>IFERROR(AVERAGE(K107:K121),"-")</f>
        <v>-</v>
      </c>
      <c r="M107" s="349" t="e">
        <f>RANK(K107, K$67:$K$81)</f>
        <v>#VALUE!</v>
      </c>
      <c r="N107" s="641"/>
      <c r="O107" s="641"/>
      <c r="P107" s="510"/>
      <c r="Q107" s="512"/>
      <c r="R107" s="512"/>
      <c r="S107" s="510"/>
      <c r="T107" s="642"/>
      <c r="U107" s="510"/>
      <c r="V107" s="512"/>
      <c r="W107" s="512"/>
      <c r="X107" s="510"/>
      <c r="Y107" s="642"/>
      <c r="Z107" s="510"/>
      <c r="AA107" s="512"/>
      <c r="AB107" s="512"/>
      <c r="AC107" s="510"/>
      <c r="AD107" s="642"/>
      <c r="AE107" s="510"/>
      <c r="AF107" s="512"/>
      <c r="AG107" s="512"/>
      <c r="AH107" s="510"/>
      <c r="AI107" s="642"/>
      <c r="AJ107" s="510"/>
      <c r="AK107" s="512"/>
      <c r="AL107" s="512"/>
      <c r="AM107" s="510"/>
      <c r="AN107" s="642"/>
      <c r="AO107" s="510"/>
      <c r="AP107" s="512"/>
      <c r="AQ107" s="512"/>
      <c r="AR107" s="510"/>
      <c r="AS107" s="642"/>
      <c r="AT107" s="510"/>
      <c r="AU107" s="512"/>
      <c r="AV107" s="512"/>
      <c r="AW107" s="510"/>
      <c r="AX107" s="642"/>
      <c r="AZ107" s="369" t="e">
        <f>RANK(AY107, AY$67:AY$81)</f>
        <v>#N/A</v>
      </c>
      <c r="BA107" s="717" t="e">
        <f>AVERAGE(AY107:AY121)</f>
        <v>#DIV/0!</v>
      </c>
    </row>
    <row r="108" spans="2:53">
      <c r="B108" s="676"/>
      <c r="C108" s="348">
        <v>2</v>
      </c>
      <c r="D108" s="225"/>
      <c r="E108" s="181"/>
      <c r="F108" s="353"/>
      <c r="G108" s="354"/>
      <c r="H108" s="655"/>
      <c r="I108" s="363" t="str">
        <f t="shared" si="81"/>
        <v>-</v>
      </c>
      <c r="J108" s="363" t="str">
        <f t="shared" si="82"/>
        <v>-</v>
      </c>
      <c r="K108" s="199" t="str">
        <f t="shared" si="83"/>
        <v>-</v>
      </c>
      <c r="L108" s="657"/>
      <c r="M108" s="349" t="e">
        <f>RANK(K108, K$67:$K$81)</f>
        <v>#VALUE!</v>
      </c>
      <c r="N108" s="641"/>
      <c r="O108" s="641"/>
      <c r="P108" s="510"/>
      <c r="Q108" s="512"/>
      <c r="R108" s="512"/>
      <c r="S108" s="510"/>
      <c r="T108" s="642"/>
      <c r="U108" s="510"/>
      <c r="V108" s="512"/>
      <c r="W108" s="512"/>
      <c r="X108" s="510"/>
      <c r="Y108" s="642"/>
      <c r="Z108" s="510"/>
      <c r="AA108" s="512"/>
      <c r="AB108" s="512"/>
      <c r="AC108" s="510"/>
      <c r="AD108" s="642"/>
      <c r="AE108" s="510"/>
      <c r="AF108" s="512"/>
      <c r="AG108" s="512"/>
      <c r="AH108" s="510"/>
      <c r="AI108" s="642"/>
      <c r="AJ108" s="510"/>
      <c r="AK108" s="512"/>
      <c r="AL108" s="512"/>
      <c r="AM108" s="510"/>
      <c r="AN108" s="642"/>
      <c r="AO108" s="510"/>
      <c r="AP108" s="512"/>
      <c r="AQ108" s="512"/>
      <c r="AR108" s="510"/>
      <c r="AS108" s="642"/>
      <c r="AT108" s="510"/>
      <c r="AU108" s="512"/>
      <c r="AV108" s="512"/>
      <c r="AW108" s="510"/>
      <c r="AX108" s="642"/>
      <c r="AZ108" s="369" t="e">
        <f t="shared" ref="AZ108:AZ121" si="84">RANK(AY108, AY$67:AY$81)</f>
        <v>#N/A</v>
      </c>
      <c r="BA108" s="717"/>
    </row>
    <row r="109" spans="2:53">
      <c r="B109" s="676"/>
      <c r="C109" s="348">
        <v>3</v>
      </c>
      <c r="D109" s="225"/>
      <c r="E109" s="181"/>
      <c r="F109" s="353"/>
      <c r="G109" s="354"/>
      <c r="H109" s="655"/>
      <c r="I109" s="363" t="str">
        <f t="shared" si="81"/>
        <v>-</v>
      </c>
      <c r="J109" s="363" t="str">
        <f t="shared" si="82"/>
        <v>-</v>
      </c>
      <c r="K109" s="199" t="str">
        <f t="shared" si="83"/>
        <v>-</v>
      </c>
      <c r="L109" s="657"/>
      <c r="M109" s="349" t="e">
        <f>RANK(K109, K$67:$K$81)</f>
        <v>#VALUE!</v>
      </c>
      <c r="N109" s="641"/>
      <c r="O109" s="641"/>
      <c r="P109" s="510"/>
      <c r="Q109" s="512"/>
      <c r="R109" s="512"/>
      <c r="S109" s="510"/>
      <c r="T109" s="642"/>
      <c r="U109" s="510"/>
      <c r="V109" s="512"/>
      <c r="W109" s="512"/>
      <c r="X109" s="510"/>
      <c r="Y109" s="642"/>
      <c r="Z109" s="510"/>
      <c r="AA109" s="512"/>
      <c r="AB109" s="512"/>
      <c r="AC109" s="510"/>
      <c r="AD109" s="642"/>
      <c r="AE109" s="510"/>
      <c r="AF109" s="512"/>
      <c r="AG109" s="512"/>
      <c r="AH109" s="510"/>
      <c r="AI109" s="642"/>
      <c r="AJ109" s="510"/>
      <c r="AK109" s="512"/>
      <c r="AL109" s="512"/>
      <c r="AM109" s="510"/>
      <c r="AN109" s="642"/>
      <c r="AO109" s="510"/>
      <c r="AP109" s="512"/>
      <c r="AQ109" s="512"/>
      <c r="AR109" s="510"/>
      <c r="AS109" s="642"/>
      <c r="AT109" s="510"/>
      <c r="AU109" s="512"/>
      <c r="AV109" s="512"/>
      <c r="AW109" s="510"/>
      <c r="AX109" s="642"/>
      <c r="AZ109" s="369" t="e">
        <f t="shared" si="84"/>
        <v>#N/A</v>
      </c>
      <c r="BA109" s="717"/>
    </row>
    <row r="110" spans="2:53">
      <c r="B110" s="676"/>
      <c r="C110" s="348">
        <v>4</v>
      </c>
      <c r="D110" s="225"/>
      <c r="E110" s="181"/>
      <c r="F110" s="353"/>
      <c r="G110" s="354"/>
      <c r="H110" s="655"/>
      <c r="I110" s="363" t="str">
        <f t="shared" si="81"/>
        <v>-</v>
      </c>
      <c r="J110" s="363" t="str">
        <f t="shared" si="82"/>
        <v>-</v>
      </c>
      <c r="K110" s="199" t="str">
        <f t="shared" si="83"/>
        <v>-</v>
      </c>
      <c r="L110" s="657"/>
      <c r="M110" s="349" t="e">
        <f>RANK(K110, K$67:$K$81)</f>
        <v>#VALUE!</v>
      </c>
      <c r="N110" s="641"/>
      <c r="O110" s="641"/>
      <c r="P110" s="510"/>
      <c r="Q110" s="512"/>
      <c r="R110" s="512"/>
      <c r="S110" s="510"/>
      <c r="T110" s="642"/>
      <c r="U110" s="510"/>
      <c r="V110" s="512"/>
      <c r="W110" s="512"/>
      <c r="X110" s="510"/>
      <c r="Y110" s="642"/>
      <c r="Z110" s="510"/>
      <c r="AA110" s="512"/>
      <c r="AB110" s="512"/>
      <c r="AC110" s="510"/>
      <c r="AD110" s="642"/>
      <c r="AE110" s="510"/>
      <c r="AF110" s="512"/>
      <c r="AG110" s="512"/>
      <c r="AH110" s="510"/>
      <c r="AI110" s="642"/>
      <c r="AJ110" s="510"/>
      <c r="AK110" s="512"/>
      <c r="AL110" s="512"/>
      <c r="AM110" s="510"/>
      <c r="AN110" s="642"/>
      <c r="AO110" s="510"/>
      <c r="AP110" s="512"/>
      <c r="AQ110" s="512"/>
      <c r="AR110" s="510"/>
      <c r="AS110" s="642"/>
      <c r="AT110" s="510"/>
      <c r="AU110" s="512"/>
      <c r="AV110" s="512"/>
      <c r="AW110" s="510"/>
      <c r="AX110" s="642"/>
      <c r="AZ110" s="369" t="e">
        <f t="shared" si="84"/>
        <v>#N/A</v>
      </c>
      <c r="BA110" s="717"/>
    </row>
    <row r="111" spans="2:53">
      <c r="B111" s="676"/>
      <c r="C111" s="348">
        <v>5</v>
      </c>
      <c r="D111" s="225"/>
      <c r="E111" s="181"/>
      <c r="F111" s="353"/>
      <c r="G111" s="354"/>
      <c r="H111" s="655"/>
      <c r="I111" s="363" t="str">
        <f t="shared" si="81"/>
        <v>-</v>
      </c>
      <c r="J111" s="363" t="str">
        <f t="shared" si="82"/>
        <v>-</v>
      </c>
      <c r="K111" s="199" t="str">
        <f t="shared" si="83"/>
        <v>-</v>
      </c>
      <c r="L111" s="657"/>
      <c r="M111" s="349" t="e">
        <f>RANK(K111, K$67:$K$81)</f>
        <v>#VALUE!</v>
      </c>
      <c r="N111" s="641"/>
      <c r="O111" s="641"/>
      <c r="P111" s="510"/>
      <c r="Q111" s="512"/>
      <c r="R111" s="512"/>
      <c r="S111" s="510"/>
      <c r="T111" s="642"/>
      <c r="U111" s="510"/>
      <c r="V111" s="512"/>
      <c r="W111" s="512"/>
      <c r="X111" s="510"/>
      <c r="Y111" s="642"/>
      <c r="Z111" s="510"/>
      <c r="AA111" s="512"/>
      <c r="AB111" s="512"/>
      <c r="AC111" s="510"/>
      <c r="AD111" s="642"/>
      <c r="AE111" s="510"/>
      <c r="AF111" s="512"/>
      <c r="AG111" s="512"/>
      <c r="AH111" s="510"/>
      <c r="AI111" s="642"/>
      <c r="AJ111" s="510"/>
      <c r="AK111" s="512"/>
      <c r="AL111" s="512"/>
      <c r="AM111" s="510"/>
      <c r="AN111" s="642"/>
      <c r="AO111" s="510"/>
      <c r="AP111" s="512"/>
      <c r="AQ111" s="512"/>
      <c r="AR111" s="510"/>
      <c r="AS111" s="642"/>
      <c r="AT111" s="510"/>
      <c r="AU111" s="512"/>
      <c r="AV111" s="512"/>
      <c r="AW111" s="510"/>
      <c r="AX111" s="642"/>
      <c r="AZ111" s="369" t="e">
        <f t="shared" si="84"/>
        <v>#N/A</v>
      </c>
      <c r="BA111" s="717"/>
    </row>
    <row r="112" spans="2:53">
      <c r="B112" s="676"/>
      <c r="C112" s="348">
        <v>6</v>
      </c>
      <c r="D112" s="225"/>
      <c r="E112" s="181"/>
      <c r="F112" s="353"/>
      <c r="G112" s="354"/>
      <c r="H112" s="655"/>
      <c r="I112" s="363" t="str">
        <f t="shared" si="81"/>
        <v>-</v>
      </c>
      <c r="J112" s="363" t="str">
        <f t="shared" si="82"/>
        <v>-</v>
      </c>
      <c r="K112" s="199" t="str">
        <f t="shared" si="83"/>
        <v>-</v>
      </c>
      <c r="L112" s="657"/>
      <c r="M112" s="349" t="e">
        <f>RANK(K112, K$67:$K$81)</f>
        <v>#VALUE!</v>
      </c>
      <c r="N112" s="641"/>
      <c r="O112" s="641"/>
      <c r="P112" s="510"/>
      <c r="Q112" s="512"/>
      <c r="R112" s="512"/>
      <c r="S112" s="510"/>
      <c r="T112" s="642"/>
      <c r="U112" s="510"/>
      <c r="V112" s="512"/>
      <c r="W112" s="512"/>
      <c r="X112" s="510"/>
      <c r="Y112" s="642"/>
      <c r="Z112" s="510"/>
      <c r="AA112" s="512"/>
      <c r="AB112" s="512"/>
      <c r="AC112" s="510"/>
      <c r="AD112" s="642"/>
      <c r="AE112" s="510"/>
      <c r="AF112" s="512"/>
      <c r="AG112" s="512"/>
      <c r="AH112" s="510"/>
      <c r="AI112" s="642"/>
      <c r="AJ112" s="510"/>
      <c r="AK112" s="512"/>
      <c r="AL112" s="512"/>
      <c r="AM112" s="510"/>
      <c r="AN112" s="642"/>
      <c r="AO112" s="510"/>
      <c r="AP112" s="512"/>
      <c r="AQ112" s="512"/>
      <c r="AR112" s="510"/>
      <c r="AS112" s="642"/>
      <c r="AT112" s="510"/>
      <c r="AU112" s="512"/>
      <c r="AV112" s="512"/>
      <c r="AW112" s="510"/>
      <c r="AX112" s="642"/>
      <c r="AZ112" s="369" t="e">
        <f t="shared" si="84"/>
        <v>#N/A</v>
      </c>
      <c r="BA112" s="717"/>
    </row>
    <row r="113" spans="2:53">
      <c r="B113" s="676"/>
      <c r="C113" s="348">
        <v>7</v>
      </c>
      <c r="D113" s="225"/>
      <c r="E113" s="181"/>
      <c r="F113" s="353"/>
      <c r="G113" s="354"/>
      <c r="H113" s="655"/>
      <c r="I113" s="363" t="str">
        <f t="shared" si="81"/>
        <v>-</v>
      </c>
      <c r="J113" s="363" t="str">
        <f t="shared" si="82"/>
        <v>-</v>
      </c>
      <c r="K113" s="199" t="str">
        <f t="shared" si="83"/>
        <v>-</v>
      </c>
      <c r="L113" s="657"/>
      <c r="M113" s="349" t="e">
        <f>RANK(K113, K$67:$K$81)</f>
        <v>#VALUE!</v>
      </c>
      <c r="N113" s="641"/>
      <c r="O113" s="641"/>
      <c r="P113" s="510"/>
      <c r="Q113" s="512"/>
      <c r="R113" s="512"/>
      <c r="S113" s="510"/>
      <c r="T113" s="642"/>
      <c r="U113" s="510"/>
      <c r="V113" s="512"/>
      <c r="W113" s="512"/>
      <c r="X113" s="510"/>
      <c r="Y113" s="642"/>
      <c r="Z113" s="510"/>
      <c r="AA113" s="512"/>
      <c r="AB113" s="512"/>
      <c r="AC113" s="510"/>
      <c r="AD113" s="642"/>
      <c r="AE113" s="510"/>
      <c r="AF113" s="512"/>
      <c r="AG113" s="512"/>
      <c r="AH113" s="510"/>
      <c r="AI113" s="642"/>
      <c r="AJ113" s="510"/>
      <c r="AK113" s="512"/>
      <c r="AL113" s="512"/>
      <c r="AM113" s="510"/>
      <c r="AN113" s="642"/>
      <c r="AO113" s="510"/>
      <c r="AP113" s="512"/>
      <c r="AQ113" s="512"/>
      <c r="AR113" s="510"/>
      <c r="AS113" s="642"/>
      <c r="AT113" s="510"/>
      <c r="AU113" s="512"/>
      <c r="AV113" s="512"/>
      <c r="AW113" s="510"/>
      <c r="AX113" s="642"/>
      <c r="AZ113" s="369" t="e">
        <f t="shared" si="84"/>
        <v>#N/A</v>
      </c>
      <c r="BA113" s="717"/>
    </row>
    <row r="114" spans="2:53">
      <c r="B114" s="676"/>
      <c r="C114" s="348">
        <v>8</v>
      </c>
      <c r="D114" s="225"/>
      <c r="E114" s="181"/>
      <c r="F114" s="353"/>
      <c r="G114" s="354"/>
      <c r="H114" s="655"/>
      <c r="I114" s="363" t="str">
        <f t="shared" si="81"/>
        <v>-</v>
      </c>
      <c r="J114" s="363" t="str">
        <f t="shared" si="82"/>
        <v>-</v>
      </c>
      <c r="K114" s="199" t="str">
        <f t="shared" si="83"/>
        <v>-</v>
      </c>
      <c r="L114" s="657"/>
      <c r="M114" s="349" t="e">
        <f>RANK(K114, K$67:$K$81)</f>
        <v>#VALUE!</v>
      </c>
      <c r="N114" s="641"/>
      <c r="O114" s="641"/>
      <c r="P114" s="510"/>
      <c r="Q114" s="512"/>
      <c r="R114" s="512"/>
      <c r="S114" s="510"/>
      <c r="T114" s="642"/>
      <c r="U114" s="510"/>
      <c r="V114" s="512"/>
      <c r="W114" s="512"/>
      <c r="X114" s="510"/>
      <c r="Y114" s="642"/>
      <c r="Z114" s="510"/>
      <c r="AA114" s="512"/>
      <c r="AB114" s="512"/>
      <c r="AC114" s="510"/>
      <c r="AD114" s="642"/>
      <c r="AE114" s="510"/>
      <c r="AF114" s="512"/>
      <c r="AG114" s="512"/>
      <c r="AH114" s="510"/>
      <c r="AI114" s="642"/>
      <c r="AJ114" s="510"/>
      <c r="AK114" s="512"/>
      <c r="AL114" s="512"/>
      <c r="AM114" s="510"/>
      <c r="AN114" s="642"/>
      <c r="AO114" s="510"/>
      <c r="AP114" s="512"/>
      <c r="AQ114" s="512"/>
      <c r="AR114" s="510"/>
      <c r="AS114" s="642"/>
      <c r="AT114" s="510"/>
      <c r="AU114" s="512"/>
      <c r="AV114" s="512"/>
      <c r="AW114" s="510"/>
      <c r="AX114" s="642"/>
      <c r="AZ114" s="369" t="e">
        <f t="shared" si="84"/>
        <v>#N/A</v>
      </c>
      <c r="BA114" s="717"/>
    </row>
    <row r="115" spans="2:53">
      <c r="B115" s="676"/>
      <c r="C115" s="348">
        <v>9</v>
      </c>
      <c r="D115" s="225"/>
      <c r="E115" s="181"/>
      <c r="F115" s="353"/>
      <c r="G115" s="354"/>
      <c r="H115" s="655"/>
      <c r="I115" s="363" t="str">
        <f t="shared" si="81"/>
        <v>-</v>
      </c>
      <c r="J115" s="363" t="str">
        <f t="shared" si="82"/>
        <v>-</v>
      </c>
      <c r="K115" s="199" t="str">
        <f t="shared" si="83"/>
        <v>-</v>
      </c>
      <c r="L115" s="657"/>
      <c r="M115" s="349" t="e">
        <f>RANK(K115, K$67:$K$81)</f>
        <v>#VALUE!</v>
      </c>
      <c r="N115" s="641"/>
      <c r="O115" s="641"/>
      <c r="P115" s="510"/>
      <c r="Q115" s="512"/>
      <c r="R115" s="512"/>
      <c r="S115" s="510"/>
      <c r="T115" s="642"/>
      <c r="U115" s="510"/>
      <c r="V115" s="512"/>
      <c r="W115" s="512"/>
      <c r="X115" s="510"/>
      <c r="Y115" s="642"/>
      <c r="Z115" s="510"/>
      <c r="AA115" s="512"/>
      <c r="AB115" s="512"/>
      <c r="AC115" s="510"/>
      <c r="AD115" s="642"/>
      <c r="AE115" s="510"/>
      <c r="AF115" s="512"/>
      <c r="AG115" s="512"/>
      <c r="AH115" s="510"/>
      <c r="AI115" s="642"/>
      <c r="AJ115" s="510"/>
      <c r="AK115" s="512"/>
      <c r="AL115" s="512"/>
      <c r="AM115" s="510"/>
      <c r="AN115" s="642"/>
      <c r="AO115" s="510"/>
      <c r="AP115" s="512"/>
      <c r="AQ115" s="512"/>
      <c r="AR115" s="510"/>
      <c r="AS115" s="642"/>
      <c r="AT115" s="510"/>
      <c r="AU115" s="512"/>
      <c r="AV115" s="512"/>
      <c r="AW115" s="510"/>
      <c r="AX115" s="642"/>
      <c r="AZ115" s="369" t="e">
        <f t="shared" si="84"/>
        <v>#N/A</v>
      </c>
      <c r="BA115" s="717"/>
    </row>
    <row r="116" spans="2:53">
      <c r="B116" s="676"/>
      <c r="C116" s="348">
        <v>10</v>
      </c>
      <c r="D116" s="225"/>
      <c r="E116" s="181"/>
      <c r="F116" s="353"/>
      <c r="G116" s="354"/>
      <c r="H116" s="655"/>
      <c r="I116" s="363" t="str">
        <f t="shared" si="81"/>
        <v>-</v>
      </c>
      <c r="J116" s="363" t="str">
        <f t="shared" si="82"/>
        <v>-</v>
      </c>
      <c r="K116" s="199" t="str">
        <f t="shared" si="83"/>
        <v>-</v>
      </c>
      <c r="L116" s="657"/>
      <c r="M116" s="349" t="e">
        <f>RANK(K116, K$67:$K$81)</f>
        <v>#VALUE!</v>
      </c>
      <c r="N116" s="641"/>
      <c r="O116" s="641"/>
      <c r="P116" s="510"/>
      <c r="Q116" s="512"/>
      <c r="R116" s="512"/>
      <c r="S116" s="510"/>
      <c r="T116" s="642"/>
      <c r="U116" s="510"/>
      <c r="V116" s="512"/>
      <c r="W116" s="512"/>
      <c r="X116" s="510"/>
      <c r="Y116" s="642"/>
      <c r="Z116" s="510"/>
      <c r="AA116" s="512"/>
      <c r="AB116" s="512"/>
      <c r="AC116" s="510"/>
      <c r="AD116" s="642"/>
      <c r="AE116" s="510"/>
      <c r="AF116" s="512"/>
      <c r="AG116" s="512"/>
      <c r="AH116" s="510"/>
      <c r="AI116" s="642"/>
      <c r="AJ116" s="510"/>
      <c r="AK116" s="512"/>
      <c r="AL116" s="512"/>
      <c r="AM116" s="510"/>
      <c r="AN116" s="642"/>
      <c r="AO116" s="510"/>
      <c r="AP116" s="512"/>
      <c r="AQ116" s="512"/>
      <c r="AR116" s="510"/>
      <c r="AS116" s="642"/>
      <c r="AT116" s="510"/>
      <c r="AU116" s="512"/>
      <c r="AV116" s="512"/>
      <c r="AW116" s="510"/>
      <c r="AX116" s="642"/>
      <c r="AZ116" s="369" t="e">
        <f t="shared" si="84"/>
        <v>#N/A</v>
      </c>
      <c r="BA116" s="717"/>
    </row>
    <row r="117" spans="2:53">
      <c r="B117" s="676"/>
      <c r="C117" s="348">
        <v>11</v>
      </c>
      <c r="D117" s="225"/>
      <c r="E117" s="181"/>
      <c r="F117" s="353"/>
      <c r="G117" s="354"/>
      <c r="H117" s="655"/>
      <c r="I117" s="363" t="str">
        <f t="shared" si="81"/>
        <v>-</v>
      </c>
      <c r="J117" s="363" t="str">
        <f t="shared" si="82"/>
        <v>-</v>
      </c>
      <c r="K117" s="199" t="str">
        <f t="shared" si="83"/>
        <v>-</v>
      </c>
      <c r="L117" s="657"/>
      <c r="M117" s="349" t="e">
        <f>RANK(K117, K$67:$K$81)</f>
        <v>#VALUE!</v>
      </c>
      <c r="N117" s="641"/>
      <c r="O117" s="641"/>
      <c r="P117" s="510"/>
      <c r="Q117" s="512"/>
      <c r="R117" s="512"/>
      <c r="S117" s="510"/>
      <c r="T117" s="642"/>
      <c r="U117" s="510"/>
      <c r="V117" s="512"/>
      <c r="W117" s="512"/>
      <c r="X117" s="510"/>
      <c r="Y117" s="642"/>
      <c r="Z117" s="510"/>
      <c r="AA117" s="512"/>
      <c r="AB117" s="512"/>
      <c r="AC117" s="510"/>
      <c r="AD117" s="642"/>
      <c r="AE117" s="510"/>
      <c r="AF117" s="512"/>
      <c r="AG117" s="512"/>
      <c r="AH117" s="510"/>
      <c r="AI117" s="642"/>
      <c r="AJ117" s="510"/>
      <c r="AK117" s="512"/>
      <c r="AL117" s="512"/>
      <c r="AM117" s="510"/>
      <c r="AN117" s="642"/>
      <c r="AO117" s="510"/>
      <c r="AP117" s="512"/>
      <c r="AQ117" s="512"/>
      <c r="AR117" s="510"/>
      <c r="AS117" s="642"/>
      <c r="AT117" s="510"/>
      <c r="AU117" s="512"/>
      <c r="AV117" s="512"/>
      <c r="AW117" s="510"/>
      <c r="AX117" s="642"/>
      <c r="AZ117" s="369" t="e">
        <f t="shared" si="84"/>
        <v>#N/A</v>
      </c>
      <c r="BA117" s="717"/>
    </row>
    <row r="118" spans="2:53">
      <c r="B118" s="676"/>
      <c r="C118" s="348">
        <v>12</v>
      </c>
      <c r="D118" s="225"/>
      <c r="E118" s="181"/>
      <c r="F118" s="353"/>
      <c r="G118" s="354"/>
      <c r="H118" s="655"/>
      <c r="I118" s="363" t="str">
        <f t="shared" si="81"/>
        <v>-</v>
      </c>
      <c r="J118" s="363" t="str">
        <f t="shared" si="82"/>
        <v>-</v>
      </c>
      <c r="K118" s="199" t="str">
        <f t="shared" si="83"/>
        <v>-</v>
      </c>
      <c r="L118" s="657"/>
      <c r="M118" s="349" t="e">
        <f>RANK(K118, K$67:$K$81)</f>
        <v>#VALUE!</v>
      </c>
      <c r="N118" s="641"/>
      <c r="O118" s="641"/>
      <c r="P118" s="510"/>
      <c r="Q118" s="512"/>
      <c r="R118" s="512"/>
      <c r="S118" s="510"/>
      <c r="T118" s="642"/>
      <c r="U118" s="510"/>
      <c r="V118" s="512"/>
      <c r="W118" s="512"/>
      <c r="X118" s="510"/>
      <c r="Y118" s="642"/>
      <c r="Z118" s="510"/>
      <c r="AA118" s="512"/>
      <c r="AB118" s="512"/>
      <c r="AC118" s="510"/>
      <c r="AD118" s="642"/>
      <c r="AE118" s="510"/>
      <c r="AF118" s="512"/>
      <c r="AG118" s="512"/>
      <c r="AH118" s="510"/>
      <c r="AI118" s="642"/>
      <c r="AJ118" s="510"/>
      <c r="AK118" s="512"/>
      <c r="AL118" s="512"/>
      <c r="AM118" s="510"/>
      <c r="AN118" s="642"/>
      <c r="AO118" s="510"/>
      <c r="AP118" s="512"/>
      <c r="AQ118" s="512"/>
      <c r="AR118" s="510"/>
      <c r="AS118" s="642"/>
      <c r="AT118" s="510"/>
      <c r="AU118" s="512"/>
      <c r="AV118" s="512"/>
      <c r="AW118" s="510"/>
      <c r="AX118" s="642"/>
      <c r="AZ118" s="369" t="e">
        <f t="shared" si="84"/>
        <v>#N/A</v>
      </c>
      <c r="BA118" s="717"/>
    </row>
    <row r="119" spans="2:53">
      <c r="B119" s="676"/>
      <c r="C119" s="348">
        <v>13</v>
      </c>
      <c r="D119" s="225"/>
      <c r="E119" s="181"/>
      <c r="F119" s="353"/>
      <c r="G119" s="354"/>
      <c r="H119" s="655"/>
      <c r="I119" s="363" t="str">
        <f t="shared" si="81"/>
        <v>-</v>
      </c>
      <c r="J119" s="363" t="str">
        <f t="shared" si="82"/>
        <v>-</v>
      </c>
      <c r="K119" s="199" t="str">
        <f t="shared" si="83"/>
        <v>-</v>
      </c>
      <c r="L119" s="657"/>
      <c r="M119" s="349" t="e">
        <f>RANK(K119, K$67:$K$81)</f>
        <v>#VALUE!</v>
      </c>
      <c r="N119" s="641"/>
      <c r="O119" s="641"/>
      <c r="P119" s="510"/>
      <c r="Q119" s="512"/>
      <c r="R119" s="512"/>
      <c r="S119" s="510"/>
      <c r="T119" s="642"/>
      <c r="U119" s="510"/>
      <c r="V119" s="512"/>
      <c r="W119" s="512"/>
      <c r="X119" s="510"/>
      <c r="Y119" s="642"/>
      <c r="Z119" s="510"/>
      <c r="AA119" s="512"/>
      <c r="AB119" s="512"/>
      <c r="AC119" s="510"/>
      <c r="AD119" s="642"/>
      <c r="AE119" s="510"/>
      <c r="AF119" s="512"/>
      <c r="AG119" s="512"/>
      <c r="AH119" s="510"/>
      <c r="AI119" s="642"/>
      <c r="AJ119" s="510"/>
      <c r="AK119" s="512"/>
      <c r="AL119" s="512"/>
      <c r="AM119" s="510"/>
      <c r="AN119" s="642"/>
      <c r="AO119" s="510"/>
      <c r="AP119" s="512"/>
      <c r="AQ119" s="512"/>
      <c r="AR119" s="510"/>
      <c r="AS119" s="642"/>
      <c r="AT119" s="510"/>
      <c r="AU119" s="512"/>
      <c r="AV119" s="512"/>
      <c r="AW119" s="510"/>
      <c r="AX119" s="642"/>
      <c r="AZ119" s="369" t="e">
        <f t="shared" si="84"/>
        <v>#N/A</v>
      </c>
      <c r="BA119" s="717"/>
    </row>
    <row r="120" spans="2:53">
      <c r="B120" s="676"/>
      <c r="C120" s="348">
        <v>14</v>
      </c>
      <c r="D120" s="225"/>
      <c r="E120" s="181"/>
      <c r="F120" s="353"/>
      <c r="G120" s="354"/>
      <c r="H120" s="655"/>
      <c r="I120" s="363" t="str">
        <f t="shared" si="81"/>
        <v>-</v>
      </c>
      <c r="J120" s="363" t="str">
        <f t="shared" si="82"/>
        <v>-</v>
      </c>
      <c r="K120" s="199" t="str">
        <f t="shared" si="83"/>
        <v>-</v>
      </c>
      <c r="L120" s="657"/>
      <c r="M120" s="349" t="e">
        <f>RANK(K120, K$67:$K$81)</f>
        <v>#VALUE!</v>
      </c>
      <c r="N120" s="641"/>
      <c r="O120" s="641"/>
      <c r="P120" s="510"/>
      <c r="Q120" s="512"/>
      <c r="R120" s="512"/>
      <c r="S120" s="510"/>
      <c r="T120" s="642"/>
      <c r="U120" s="510"/>
      <c r="V120" s="512"/>
      <c r="W120" s="512"/>
      <c r="X120" s="510"/>
      <c r="Y120" s="642"/>
      <c r="Z120" s="510"/>
      <c r="AA120" s="512"/>
      <c r="AB120" s="512"/>
      <c r="AC120" s="510"/>
      <c r="AD120" s="642"/>
      <c r="AE120" s="510"/>
      <c r="AF120" s="512"/>
      <c r="AG120" s="512"/>
      <c r="AH120" s="510"/>
      <c r="AI120" s="642"/>
      <c r="AJ120" s="510"/>
      <c r="AK120" s="512"/>
      <c r="AL120" s="512"/>
      <c r="AM120" s="510"/>
      <c r="AN120" s="642"/>
      <c r="AO120" s="510"/>
      <c r="AP120" s="512"/>
      <c r="AQ120" s="512"/>
      <c r="AR120" s="510"/>
      <c r="AS120" s="642"/>
      <c r="AT120" s="510"/>
      <c r="AU120" s="512"/>
      <c r="AV120" s="512"/>
      <c r="AW120" s="510"/>
      <c r="AX120" s="642"/>
      <c r="AZ120" s="369" t="e">
        <f t="shared" si="84"/>
        <v>#N/A</v>
      </c>
      <c r="BA120" s="717"/>
    </row>
    <row r="121" spans="2:53">
      <c r="B121" s="676"/>
      <c r="C121" s="348">
        <v>15</v>
      </c>
      <c r="D121" s="225"/>
      <c r="E121" s="181"/>
      <c r="F121" s="353"/>
      <c r="G121" s="354"/>
      <c r="H121" s="712"/>
      <c r="I121" s="365"/>
      <c r="J121" s="365"/>
      <c r="K121" s="365"/>
      <c r="L121" s="658"/>
      <c r="M121" s="349" t="e">
        <f>RANK(K121, K$67:$K$81)</f>
        <v>#N/A</v>
      </c>
      <c r="N121" s="641"/>
      <c r="O121" s="641"/>
      <c r="P121" s="510"/>
      <c r="Q121" s="512"/>
      <c r="R121" s="512"/>
      <c r="S121" s="510"/>
      <c r="T121" s="642"/>
      <c r="U121" s="510"/>
      <c r="V121" s="512"/>
      <c r="W121" s="512"/>
      <c r="X121" s="510"/>
      <c r="Y121" s="642"/>
      <c r="Z121" s="510"/>
      <c r="AA121" s="512"/>
      <c r="AB121" s="512"/>
      <c r="AC121" s="510"/>
      <c r="AD121" s="642"/>
      <c r="AE121" s="510"/>
      <c r="AF121" s="512"/>
      <c r="AG121" s="512"/>
      <c r="AH121" s="510"/>
      <c r="AI121" s="642"/>
      <c r="AJ121" s="510"/>
      <c r="AK121" s="512"/>
      <c r="AL121" s="512"/>
      <c r="AM121" s="510"/>
      <c r="AN121" s="642"/>
      <c r="AO121" s="510"/>
      <c r="AP121" s="512"/>
      <c r="AQ121" s="512"/>
      <c r="AR121" s="510"/>
      <c r="AS121" s="642"/>
      <c r="AT121" s="510"/>
      <c r="AU121" s="512"/>
      <c r="AV121" s="512"/>
      <c r="AW121" s="510"/>
      <c r="AX121" s="642"/>
      <c r="AZ121" s="369" t="e">
        <f t="shared" si="84"/>
        <v>#N/A</v>
      </c>
      <c r="BA121" s="717"/>
    </row>
    <row r="123" spans="2:53" ht="15.75">
      <c r="B123" s="649" t="s">
        <v>485</v>
      </c>
      <c r="C123" s="650"/>
      <c r="D123" s="650"/>
      <c r="E123" s="650"/>
      <c r="F123" s="650"/>
      <c r="G123" s="650"/>
      <c r="H123" s="651"/>
      <c r="I123" s="307"/>
      <c r="J123" s="307"/>
      <c r="K123" s="307"/>
      <c r="L123" s="307"/>
      <c r="M123" s="308"/>
    </row>
    <row r="124" spans="2:53" ht="15.75">
      <c r="B124" s="652"/>
      <c r="C124" s="652"/>
      <c r="D124" s="652"/>
      <c r="E124" s="652"/>
      <c r="F124" s="652"/>
      <c r="G124" s="652"/>
      <c r="H124" s="652"/>
      <c r="I124" s="309"/>
      <c r="J124" s="309"/>
      <c r="K124" s="309"/>
      <c r="L124" s="309"/>
      <c r="M124" s="310"/>
    </row>
    <row r="125" spans="2:53">
      <c r="B125" s="641" t="s">
        <v>154</v>
      </c>
      <c r="C125" s="641" t="s">
        <v>379</v>
      </c>
      <c r="D125" s="641"/>
      <c r="E125" s="641" t="s">
        <v>370</v>
      </c>
      <c r="F125" s="641"/>
      <c r="G125" s="641"/>
      <c r="H125" s="673" t="s">
        <v>366</v>
      </c>
      <c r="I125" s="653" t="s">
        <v>371</v>
      </c>
      <c r="J125" s="653"/>
      <c r="K125" s="653"/>
      <c r="L125" s="706" t="s">
        <v>366</v>
      </c>
      <c r="M125" s="709" t="s">
        <v>367</v>
      </c>
    </row>
    <row r="126" spans="2:53">
      <c r="B126" s="641"/>
      <c r="C126" s="641"/>
      <c r="D126" s="641"/>
      <c r="E126" s="641" t="s">
        <v>373</v>
      </c>
      <c r="F126" s="641"/>
      <c r="G126" s="641"/>
      <c r="H126" s="674"/>
      <c r="I126" s="653" t="s">
        <v>373</v>
      </c>
      <c r="J126" s="653"/>
      <c r="K126" s="653"/>
      <c r="L126" s="707"/>
      <c r="M126" s="710"/>
    </row>
    <row r="127" spans="2:53">
      <c r="B127" s="641"/>
      <c r="C127" s="641"/>
      <c r="D127" s="641"/>
      <c r="E127" s="304" t="s">
        <v>375</v>
      </c>
      <c r="F127" s="304" t="s">
        <v>376</v>
      </c>
      <c r="G127" s="304" t="s">
        <v>377</v>
      </c>
      <c r="H127" s="675"/>
      <c r="I127" s="311" t="s">
        <v>375</v>
      </c>
      <c r="J127" s="311" t="s">
        <v>376</v>
      </c>
      <c r="K127" s="311" t="s">
        <v>377</v>
      </c>
      <c r="L127" s="708"/>
      <c r="M127" s="711"/>
    </row>
    <row r="128" spans="2:53">
      <c r="B128" s="641" t="s">
        <v>381</v>
      </c>
      <c r="C128" s="303">
        <v>1</v>
      </c>
      <c r="D128" s="225"/>
      <c r="E128" s="181"/>
      <c r="F128" s="303"/>
      <c r="G128" s="306"/>
      <c r="H128" s="700" t="e">
        <f>AVERAGE(G128:G142)</f>
        <v>#DIV/0!</v>
      </c>
      <c r="I128" s="198" t="e">
        <f t="shared" ref="I128:J137" si="85">AVERAGEIF($D$7:$D$121,$D128,I$7:I$121)</f>
        <v>#DIV/0!</v>
      </c>
      <c r="J128" s="198" t="e">
        <f t="shared" si="85"/>
        <v>#DIV/0!</v>
      </c>
      <c r="K128" s="198" t="e">
        <f t="shared" ref="K128:K137" si="86"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39">
      <c r="B129" s="647"/>
      <c r="C129" s="303">
        <v>2</v>
      </c>
      <c r="D129" s="225"/>
      <c r="E129" s="181"/>
      <c r="F129" s="303"/>
      <c r="G129" s="306"/>
      <c r="H129" s="701"/>
      <c r="I129" s="198" t="e">
        <f t="shared" si="85"/>
        <v>#DIV/0!</v>
      </c>
      <c r="J129" s="198" t="e">
        <f t="shared" si="85"/>
        <v>#DIV/0!</v>
      </c>
      <c r="K129" s="198" t="e">
        <f t="shared" si="86"/>
        <v>#DIV/0!</v>
      </c>
      <c r="L129" s="704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7"/>
      <c r="C130" s="303">
        <v>3</v>
      </c>
      <c r="D130" s="225"/>
      <c r="E130" s="181"/>
      <c r="F130" s="303"/>
      <c r="G130" s="306"/>
      <c r="H130" s="701"/>
      <c r="I130" s="198" t="e">
        <f t="shared" si="85"/>
        <v>#DIV/0!</v>
      </c>
      <c r="J130" s="198" t="e">
        <f t="shared" si="85"/>
        <v>#DIV/0!</v>
      </c>
      <c r="K130" s="198" t="e">
        <f t="shared" si="86"/>
        <v>#DIV/0!</v>
      </c>
      <c r="L130" s="704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7"/>
      <c r="C131" s="303">
        <v>4</v>
      </c>
      <c r="D131" s="225"/>
      <c r="E131" s="181"/>
      <c r="F131" s="303"/>
      <c r="G131" s="306"/>
      <c r="H131" s="701"/>
      <c r="I131" s="198" t="e">
        <f t="shared" si="85"/>
        <v>#DIV/0!</v>
      </c>
      <c r="J131" s="198" t="e">
        <f t="shared" si="85"/>
        <v>#DIV/0!</v>
      </c>
      <c r="K131" s="198" t="e">
        <f t="shared" si="86"/>
        <v>#DIV/0!</v>
      </c>
      <c r="L131" s="704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7"/>
      <c r="C132" s="303">
        <v>5</v>
      </c>
      <c r="D132" s="225"/>
      <c r="E132" s="181"/>
      <c r="F132" s="303"/>
      <c r="G132" s="306"/>
      <c r="H132" s="701"/>
      <c r="I132" s="198" t="e">
        <f t="shared" si="85"/>
        <v>#DIV/0!</v>
      </c>
      <c r="J132" s="198" t="e">
        <f t="shared" si="85"/>
        <v>#DIV/0!</v>
      </c>
      <c r="K132" s="198" t="e">
        <f t="shared" si="86"/>
        <v>#DIV/0!</v>
      </c>
      <c r="L132" s="704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7"/>
      <c r="C133" s="303">
        <v>6</v>
      </c>
      <c r="D133" s="312"/>
      <c r="E133" s="181"/>
      <c r="F133" s="303"/>
      <c r="G133" s="306"/>
      <c r="H133" s="701"/>
      <c r="I133" s="198" t="e">
        <f t="shared" si="85"/>
        <v>#DIV/0!</v>
      </c>
      <c r="J133" s="198" t="e">
        <f t="shared" si="85"/>
        <v>#DIV/0!</v>
      </c>
      <c r="K133" s="198" t="e">
        <f t="shared" si="86"/>
        <v>#DIV/0!</v>
      </c>
      <c r="L133" s="704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7"/>
      <c r="C134" s="303">
        <v>7</v>
      </c>
      <c r="D134" s="225"/>
      <c r="E134" s="181"/>
      <c r="F134" s="303"/>
      <c r="G134" s="306"/>
      <c r="H134" s="701"/>
      <c r="I134" s="198" t="e">
        <f t="shared" si="85"/>
        <v>#DIV/0!</v>
      </c>
      <c r="J134" s="198" t="e">
        <f t="shared" si="85"/>
        <v>#DIV/0!</v>
      </c>
      <c r="K134" s="198" t="e">
        <f t="shared" si="86"/>
        <v>#DIV/0!</v>
      </c>
      <c r="L134" s="704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7"/>
      <c r="C135" s="303">
        <v>8</v>
      </c>
      <c r="D135" s="225"/>
      <c r="E135" s="181"/>
      <c r="F135" s="303"/>
      <c r="G135" s="306"/>
      <c r="H135" s="701"/>
      <c r="I135" s="198" t="e">
        <f t="shared" si="85"/>
        <v>#DIV/0!</v>
      </c>
      <c r="J135" s="198" t="e">
        <f t="shared" si="85"/>
        <v>#DIV/0!</v>
      </c>
      <c r="K135" s="198" t="e">
        <f t="shared" si="86"/>
        <v>#DIV/0!</v>
      </c>
      <c r="L135" s="704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7"/>
      <c r="C136" s="303">
        <v>9</v>
      </c>
      <c r="D136" s="225"/>
      <c r="E136" s="303"/>
      <c r="F136" s="303"/>
      <c r="G136" s="303"/>
      <c r="H136" s="701"/>
      <c r="I136" s="198" t="e">
        <f t="shared" si="85"/>
        <v>#DIV/0!</v>
      </c>
      <c r="J136" s="198" t="e">
        <f t="shared" si="85"/>
        <v>#DIV/0!</v>
      </c>
      <c r="K136" s="198" t="e">
        <f t="shared" si="86"/>
        <v>#DIV/0!</v>
      </c>
      <c r="L136" s="704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7"/>
      <c r="C137" s="303">
        <v>10</v>
      </c>
      <c r="D137" s="225"/>
      <c r="E137" s="303"/>
      <c r="F137" s="303"/>
      <c r="G137" s="303"/>
      <c r="H137" s="701"/>
      <c r="I137" s="198" t="e">
        <f t="shared" si="85"/>
        <v>#DIV/0!</v>
      </c>
      <c r="J137" s="198" t="e">
        <f t="shared" si="85"/>
        <v>#DIV/0!</v>
      </c>
      <c r="K137" s="198" t="e">
        <f t="shared" si="86"/>
        <v>#DIV/0!</v>
      </c>
      <c r="L137" s="704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7"/>
      <c r="C138" s="303">
        <v>11</v>
      </c>
      <c r="D138" s="225"/>
      <c r="E138" s="303"/>
      <c r="F138" s="303"/>
      <c r="G138" s="303"/>
      <c r="H138" s="701"/>
      <c r="I138" s="198"/>
      <c r="J138" s="198"/>
      <c r="K138" s="198"/>
      <c r="L138" s="704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7"/>
      <c r="C139" s="303">
        <v>12</v>
      </c>
      <c r="D139" s="225"/>
      <c r="E139" s="303"/>
      <c r="F139" s="303"/>
      <c r="G139" s="303"/>
      <c r="H139" s="701"/>
      <c r="I139" s="198"/>
      <c r="J139" s="198"/>
      <c r="K139" s="198"/>
      <c r="L139" s="704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7"/>
      <c r="C140" s="303">
        <v>13</v>
      </c>
      <c r="D140" s="225"/>
      <c r="E140" s="303"/>
      <c r="F140" s="303"/>
      <c r="G140" s="303"/>
      <c r="H140" s="701"/>
      <c r="I140" s="198"/>
      <c r="J140" s="198"/>
      <c r="K140" s="198"/>
      <c r="L140" s="704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7"/>
      <c r="C141" s="303">
        <v>14</v>
      </c>
      <c r="D141" s="225"/>
      <c r="E141" s="303"/>
      <c r="F141" s="303"/>
      <c r="G141" s="303"/>
      <c r="H141" s="701"/>
      <c r="I141" s="198"/>
      <c r="J141" s="198"/>
      <c r="K141" s="198"/>
      <c r="L141" s="704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7"/>
      <c r="C142" s="303">
        <v>15</v>
      </c>
      <c r="D142" s="225"/>
      <c r="E142" s="303"/>
      <c r="F142" s="303"/>
      <c r="G142" s="303"/>
      <c r="H142" s="702"/>
      <c r="I142" s="198"/>
      <c r="J142" s="198"/>
      <c r="K142" s="198"/>
      <c r="L142" s="705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9" zoomScale="40" zoomScaleNormal="40" workbookViewId="0">
      <pane xSplit="15" topLeftCell="P1" activePane="topRight" state="frozen"/>
      <selection activeCell="A8" sqref="A8:L28"/>
      <selection pane="topRight" activeCell="AX67" activeCellId="6" sqref="S67:T81 X67:Y81 AC67:AD81 AH67:AI81 AM67:AN81 AR67:AS81 AW67:AX8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125.01769768827204</v>
      </c>
    </row>
    <row r="2" spans="1:53" ht="15.75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43" t="s">
        <v>156</v>
      </c>
      <c r="O2" s="643" t="s">
        <v>155</v>
      </c>
      <c r="P2" s="668">
        <v>46231</v>
      </c>
      <c r="Q2" s="647"/>
      <c r="R2" s="647"/>
      <c r="S2" s="647"/>
      <c r="T2" s="647"/>
      <c r="U2" s="665">
        <f>P2+1</f>
        <v>46232</v>
      </c>
      <c r="V2" s="666"/>
      <c r="W2" s="666"/>
      <c r="X2" s="666"/>
      <c r="Y2" s="667"/>
      <c r="Z2" s="665">
        <f>U2+1</f>
        <v>46233</v>
      </c>
      <c r="AA2" s="666"/>
      <c r="AB2" s="666"/>
      <c r="AC2" s="666"/>
      <c r="AD2" s="667"/>
      <c r="AE2" s="665">
        <f>Z2+1</f>
        <v>46234</v>
      </c>
      <c r="AF2" s="666"/>
      <c r="AG2" s="666"/>
      <c r="AH2" s="666"/>
      <c r="AI2" s="667"/>
      <c r="AJ2" s="665">
        <f>AE2+1</f>
        <v>46235</v>
      </c>
      <c r="AK2" s="666"/>
      <c r="AL2" s="666"/>
      <c r="AM2" s="666"/>
      <c r="AN2" s="667"/>
      <c r="AO2" s="665">
        <f>AJ2+1</f>
        <v>46236</v>
      </c>
      <c r="AP2" s="666"/>
      <c r="AQ2" s="666"/>
      <c r="AR2" s="666"/>
      <c r="AS2" s="667"/>
      <c r="AT2" s="665">
        <f>AO2+1</f>
        <v>46237</v>
      </c>
      <c r="AU2" s="666"/>
      <c r="AV2" s="666"/>
      <c r="AW2" s="666"/>
      <c r="AX2" s="667"/>
    </row>
    <row r="3" spans="1:53" ht="15.75">
      <c r="A3" s="81"/>
      <c r="B3" s="713"/>
      <c r="C3" s="713"/>
      <c r="D3" s="713"/>
      <c r="E3" s="713"/>
      <c r="F3" s="713"/>
      <c r="G3" s="713"/>
      <c r="H3" s="713"/>
      <c r="I3" s="285"/>
      <c r="J3" s="285"/>
      <c r="K3" s="285"/>
      <c r="L3" s="285"/>
      <c r="M3" s="197"/>
      <c r="N3" s="645"/>
      <c r="O3" s="645"/>
      <c r="P3" s="668" t="s">
        <v>158</v>
      </c>
      <c r="Q3" s="647"/>
      <c r="R3" s="647"/>
      <c r="S3" s="647"/>
      <c r="T3" s="647"/>
      <c r="U3" s="668" t="s">
        <v>114</v>
      </c>
      <c r="V3" s="647"/>
      <c r="W3" s="647"/>
      <c r="X3" s="647"/>
      <c r="Y3" s="647"/>
      <c r="Z3" s="668" t="s">
        <v>159</v>
      </c>
      <c r="AA3" s="647"/>
      <c r="AB3" s="647"/>
      <c r="AC3" s="647"/>
      <c r="AD3" s="647"/>
      <c r="AE3" s="668" t="s">
        <v>157</v>
      </c>
      <c r="AF3" s="647"/>
      <c r="AG3" s="647"/>
      <c r="AH3" s="647"/>
      <c r="AI3" s="647"/>
      <c r="AJ3" s="668" t="s">
        <v>160</v>
      </c>
      <c r="AK3" s="647"/>
      <c r="AL3" s="647"/>
      <c r="AM3" s="647"/>
      <c r="AN3" s="647"/>
      <c r="AO3" s="668" t="s">
        <v>115</v>
      </c>
      <c r="AP3" s="647"/>
      <c r="AQ3" s="647"/>
      <c r="AR3" s="647"/>
      <c r="AS3" s="647"/>
      <c r="AT3" s="668" t="s">
        <v>161</v>
      </c>
      <c r="AU3" s="647"/>
      <c r="AV3" s="647"/>
      <c r="AW3" s="647"/>
      <c r="AX3" s="647"/>
    </row>
    <row r="4" spans="1:53" ht="14.25">
      <c r="A4" s="81"/>
      <c r="B4" s="641" t="s">
        <v>531</v>
      </c>
      <c r="C4" s="641" t="s">
        <v>532</v>
      </c>
      <c r="D4" s="641"/>
      <c r="E4" s="641" t="s">
        <v>533</v>
      </c>
      <c r="F4" s="641"/>
      <c r="G4" s="641"/>
      <c r="H4" s="673" t="s">
        <v>534</v>
      </c>
      <c r="I4" s="641" t="s">
        <v>535</v>
      </c>
      <c r="J4" s="641"/>
      <c r="K4" s="641"/>
      <c r="L4" s="673" t="s">
        <v>366</v>
      </c>
      <c r="M4" s="643" t="s">
        <v>536</v>
      </c>
      <c r="N4" s="641"/>
      <c r="O4" s="641" t="s">
        <v>372</v>
      </c>
      <c r="P4" s="659" t="s">
        <v>368</v>
      </c>
      <c r="Q4" s="660"/>
      <c r="R4" s="660"/>
      <c r="S4" s="661"/>
      <c r="T4" s="641" t="s">
        <v>366</v>
      </c>
      <c r="U4" s="659" t="s">
        <v>368</v>
      </c>
      <c r="V4" s="660"/>
      <c r="W4" s="660"/>
      <c r="X4" s="661"/>
      <c r="Y4" s="641" t="s">
        <v>366</v>
      </c>
      <c r="Z4" s="659" t="s">
        <v>368</v>
      </c>
      <c r="AA4" s="660"/>
      <c r="AB4" s="660"/>
      <c r="AC4" s="661"/>
      <c r="AD4" s="641" t="s">
        <v>366</v>
      </c>
      <c r="AE4" s="659" t="s">
        <v>368</v>
      </c>
      <c r="AF4" s="660"/>
      <c r="AG4" s="660"/>
      <c r="AH4" s="661"/>
      <c r="AI4" s="641" t="s">
        <v>366</v>
      </c>
      <c r="AJ4" s="659" t="s">
        <v>368</v>
      </c>
      <c r="AK4" s="660"/>
      <c r="AL4" s="660"/>
      <c r="AM4" s="661"/>
      <c r="AN4" s="641" t="s">
        <v>366</v>
      </c>
      <c r="AO4" s="659" t="s">
        <v>368</v>
      </c>
      <c r="AP4" s="660"/>
      <c r="AQ4" s="660"/>
      <c r="AR4" s="661"/>
      <c r="AS4" s="641" t="s">
        <v>366</v>
      </c>
      <c r="AT4" s="659" t="s">
        <v>368</v>
      </c>
      <c r="AU4" s="660"/>
      <c r="AV4" s="660"/>
      <c r="AW4" s="661"/>
      <c r="AX4" s="641" t="s">
        <v>366</v>
      </c>
      <c r="BA4" s="641" t="s">
        <v>366</v>
      </c>
    </row>
    <row r="5" spans="1:53" ht="14.25">
      <c r="A5" s="81"/>
      <c r="B5" s="641"/>
      <c r="C5" s="641"/>
      <c r="D5" s="641"/>
      <c r="E5" s="641" t="s">
        <v>538</v>
      </c>
      <c r="F5" s="641"/>
      <c r="G5" s="641"/>
      <c r="H5" s="674"/>
      <c r="I5" s="641" t="s">
        <v>538</v>
      </c>
      <c r="J5" s="641"/>
      <c r="K5" s="641"/>
      <c r="L5" s="674"/>
      <c r="M5" s="644"/>
      <c r="N5" s="641"/>
      <c r="O5" s="641"/>
      <c r="P5" s="659" t="s">
        <v>374</v>
      </c>
      <c r="Q5" s="660"/>
      <c r="R5" s="660"/>
      <c r="S5" s="661"/>
      <c r="T5" s="641"/>
      <c r="U5" s="659" t="s">
        <v>374</v>
      </c>
      <c r="V5" s="660"/>
      <c r="W5" s="660"/>
      <c r="X5" s="661"/>
      <c r="Y5" s="641"/>
      <c r="Z5" s="659" t="s">
        <v>374</v>
      </c>
      <c r="AA5" s="660"/>
      <c r="AB5" s="660"/>
      <c r="AC5" s="661"/>
      <c r="AD5" s="641"/>
      <c r="AE5" s="659" t="s">
        <v>374</v>
      </c>
      <c r="AF5" s="660"/>
      <c r="AG5" s="660"/>
      <c r="AH5" s="661"/>
      <c r="AI5" s="641"/>
      <c r="AJ5" s="659" t="s">
        <v>374</v>
      </c>
      <c r="AK5" s="660"/>
      <c r="AL5" s="660"/>
      <c r="AM5" s="661"/>
      <c r="AN5" s="641"/>
      <c r="AO5" s="659" t="s">
        <v>374</v>
      </c>
      <c r="AP5" s="660"/>
      <c r="AQ5" s="660"/>
      <c r="AR5" s="661"/>
      <c r="AS5" s="641"/>
      <c r="AT5" s="659" t="s">
        <v>374</v>
      </c>
      <c r="AU5" s="660"/>
      <c r="AV5" s="660"/>
      <c r="AW5" s="661"/>
      <c r="AX5" s="641"/>
      <c r="BA5" s="641"/>
    </row>
    <row r="6" spans="1:53" ht="14.25">
      <c r="A6" s="79"/>
      <c r="B6" s="641"/>
      <c r="C6" s="641"/>
      <c r="D6" s="641"/>
      <c r="E6" s="533" t="s">
        <v>539</v>
      </c>
      <c r="F6" s="533" t="s">
        <v>540</v>
      </c>
      <c r="G6" s="533" t="s">
        <v>541</v>
      </c>
      <c r="H6" s="675"/>
      <c r="I6" s="533" t="s">
        <v>539</v>
      </c>
      <c r="J6" s="533" t="s">
        <v>540</v>
      </c>
      <c r="K6" s="533" t="s">
        <v>541</v>
      </c>
      <c r="L6" s="675"/>
      <c r="M6" s="645"/>
      <c r="N6" s="641"/>
      <c r="O6" s="641"/>
      <c r="P6" s="533" t="s">
        <v>375</v>
      </c>
      <c r="Q6" s="533" t="s">
        <v>376</v>
      </c>
      <c r="R6" s="533" t="s">
        <v>377</v>
      </c>
      <c r="S6" s="533" t="s">
        <v>367</v>
      </c>
      <c r="T6" s="641"/>
      <c r="U6" s="533" t="s">
        <v>375</v>
      </c>
      <c r="V6" s="533" t="s">
        <v>376</v>
      </c>
      <c r="W6" s="533" t="s">
        <v>377</v>
      </c>
      <c r="X6" s="533" t="s">
        <v>367</v>
      </c>
      <c r="Y6" s="641"/>
      <c r="Z6" s="533" t="s">
        <v>375</v>
      </c>
      <c r="AA6" s="533" t="s">
        <v>376</v>
      </c>
      <c r="AB6" s="533" t="s">
        <v>377</v>
      </c>
      <c r="AC6" s="533" t="s">
        <v>367</v>
      </c>
      <c r="AD6" s="641"/>
      <c r="AE6" s="533" t="s">
        <v>375</v>
      </c>
      <c r="AF6" s="533" t="s">
        <v>376</v>
      </c>
      <c r="AG6" s="533" t="s">
        <v>377</v>
      </c>
      <c r="AH6" s="533" t="s">
        <v>367</v>
      </c>
      <c r="AI6" s="641"/>
      <c r="AJ6" s="533" t="s">
        <v>375</v>
      </c>
      <c r="AK6" s="533" t="s">
        <v>376</v>
      </c>
      <c r="AL6" s="533" t="s">
        <v>377</v>
      </c>
      <c r="AM6" s="533" t="s">
        <v>367</v>
      </c>
      <c r="AN6" s="641"/>
      <c r="AO6" s="533" t="s">
        <v>375</v>
      </c>
      <c r="AP6" s="533" t="s">
        <v>376</v>
      </c>
      <c r="AQ6" s="533" t="s">
        <v>377</v>
      </c>
      <c r="AR6" s="533" t="s">
        <v>367</v>
      </c>
      <c r="AS6" s="641"/>
      <c r="AT6" s="533" t="s">
        <v>375</v>
      </c>
      <c r="AU6" s="533" t="s">
        <v>376</v>
      </c>
      <c r="AV6" s="533" t="s">
        <v>377</v>
      </c>
      <c r="AW6" s="533" t="s">
        <v>367</v>
      </c>
      <c r="AX6" s="641"/>
      <c r="AZ6" s="367" t="s">
        <v>367</v>
      </c>
      <c r="BA6" s="641"/>
    </row>
    <row r="7" spans="1:53" ht="14.25">
      <c r="A7" s="81"/>
      <c r="B7" s="641" t="s">
        <v>136</v>
      </c>
      <c r="C7" s="537">
        <v>1</v>
      </c>
      <c r="D7" s="225" t="s">
        <v>350</v>
      </c>
      <c r="E7" s="535">
        <v>20</v>
      </c>
      <c r="F7" s="534">
        <v>2400</v>
      </c>
      <c r="G7" s="536">
        <v>120</v>
      </c>
      <c r="H7" s="654">
        <f>AVERAGE(G7:G21)</f>
        <v>136.57420942061034</v>
      </c>
      <c r="I7" s="538">
        <f t="shared" ref="I7:I20" si="0">IFERROR(AVERAGE(P7,U7,Z7,AE7,AJ7,AO7,AT7),"-")</f>
        <v>20.142857142857142</v>
      </c>
      <c r="J7" s="538">
        <f t="shared" ref="J7:J20" si="1">IFERROR(AVERAGE(Q7,V7,AA7,AF7,AK7,AP7,AU7),"-")</f>
        <v>2361.8831532222707</v>
      </c>
      <c r="K7" s="199">
        <f t="shared" ref="K7:K20" si="2">IFERROR(AVERAGE(R7,W7,AB7,AG7,AL7,AQ7,AV7),"-")</f>
        <v>117.29250366618224</v>
      </c>
      <c r="L7" s="656">
        <f>IFERROR(AVERAGE(K7:K21),"-")</f>
        <v>122.16120145961088</v>
      </c>
      <c r="M7" s="513">
        <f>RANK(K7, K$7:$K$21)</f>
        <v>7</v>
      </c>
      <c r="N7" s="641"/>
      <c r="O7" s="641"/>
      <c r="P7" s="537">
        <v>20</v>
      </c>
      <c r="Q7" s="513">
        <v>2329.292307692308</v>
      </c>
      <c r="R7" s="513">
        <v>116.4646153846154</v>
      </c>
      <c r="S7" s="534">
        <f>RANK(R7, R$7:R$21)</f>
        <v>8</v>
      </c>
      <c r="T7" s="642">
        <f t="shared" ref="T7" si="3">AVERAGE(R7:R21)</f>
        <v>121.7787112578178</v>
      </c>
      <c r="U7" s="537">
        <v>20</v>
      </c>
      <c r="V7" s="513">
        <v>2365.1503448275867</v>
      </c>
      <c r="W7" s="513">
        <v>118.25751724137933</v>
      </c>
      <c r="X7" s="562">
        <f>RANK(W7, W$7:W$21)</f>
        <v>7</v>
      </c>
      <c r="Y7" s="642">
        <f t="shared" ref="Y7" si="4">AVERAGE(W7:W21)</f>
        <v>122.16709089732062</v>
      </c>
      <c r="Z7" s="537">
        <v>21</v>
      </c>
      <c r="AA7" s="513">
        <v>2356.8627450980389</v>
      </c>
      <c r="AB7" s="513">
        <v>112.2315592903828</v>
      </c>
      <c r="AC7" s="562">
        <f>RANK(AB7, AB$7:AB$21)</f>
        <v>10</v>
      </c>
      <c r="AD7" s="642">
        <f t="shared" ref="AD7" si="5">AVERAGE(AB7:AB21)</f>
        <v>121.11157560326212</v>
      </c>
      <c r="AE7" s="537">
        <v>20</v>
      </c>
      <c r="AF7" s="513">
        <v>2349.677419354839</v>
      </c>
      <c r="AG7" s="513">
        <v>117.48387096774195</v>
      </c>
      <c r="AH7" s="562">
        <f>RANK(AG7, AG$7:AG$21)</f>
        <v>7</v>
      </c>
      <c r="AI7" s="642">
        <f t="shared" ref="AI7" si="6">AVERAGE(AG7:AG21)</f>
        <v>121.30272001263428</v>
      </c>
      <c r="AJ7" s="537">
        <v>20</v>
      </c>
      <c r="AK7" s="513">
        <v>2377.4999999999991</v>
      </c>
      <c r="AL7" s="513">
        <v>118.87499999999996</v>
      </c>
      <c r="AM7" s="562">
        <f>RANK(AL7, AL$7:AL$21)</f>
        <v>7</v>
      </c>
      <c r="AN7" s="642">
        <f t="shared" ref="AN7" si="7">AVERAGE(AL7:AL21)</f>
        <v>123.4413305604387</v>
      </c>
      <c r="AO7" s="537">
        <v>20</v>
      </c>
      <c r="AP7" s="513">
        <v>2387.2153846153838</v>
      </c>
      <c r="AQ7" s="513">
        <v>119.36076923076919</v>
      </c>
      <c r="AR7" s="562">
        <f>RANK(AQ7, AQ$7:AQ$21)</f>
        <v>7</v>
      </c>
      <c r="AS7" s="642">
        <f t="shared" ref="AS7" si="8">AVERAGE(AQ7:AQ21)</f>
        <v>124.47340433502995</v>
      </c>
      <c r="AT7" s="534">
        <v>20</v>
      </c>
      <c r="AU7" s="535">
        <v>2367.483870967742</v>
      </c>
      <c r="AV7" s="535">
        <v>118.3741935483871</v>
      </c>
      <c r="AW7" s="562">
        <f>RANK(AV7, AV$7:AV$21)</f>
        <v>7</v>
      </c>
      <c r="AX7" s="642">
        <f t="shared" ref="AX7" si="9">AVERAGE(AV7:AV21)</f>
        <v>122.65789230021001</v>
      </c>
      <c r="AZ7" s="369" t="e">
        <f t="shared" ref="AZ7:AZ21" si="10">RANK(AY7, AY$7:AY$21)</f>
        <v>#N/A</v>
      </c>
      <c r="BA7" s="698" t="e">
        <f t="shared" ref="BA7" si="11">AVERAGE(AY7:AY21)</f>
        <v>#DIV/0!</v>
      </c>
    </row>
    <row r="8" spans="1:53" ht="15" customHeight="1">
      <c r="A8" s="81"/>
      <c r="B8" s="676"/>
      <c r="C8" s="537">
        <v>2</v>
      </c>
      <c r="D8" s="225" t="s">
        <v>351</v>
      </c>
      <c r="E8" s="535">
        <v>18</v>
      </c>
      <c r="F8" s="534">
        <v>2769</v>
      </c>
      <c r="G8" s="536">
        <v>153.83333333333334</v>
      </c>
      <c r="H8" s="655"/>
      <c r="I8" s="538">
        <f t="shared" si="0"/>
        <v>18.142857142857142</v>
      </c>
      <c r="J8" s="538">
        <f t="shared" si="1"/>
        <v>2527.874140479204</v>
      </c>
      <c r="K8" s="199">
        <f t="shared" si="2"/>
        <v>139.36613759858264</v>
      </c>
      <c r="L8" s="657"/>
      <c r="M8" s="513">
        <f>RANK(K8, K$7:$K$21)</f>
        <v>1</v>
      </c>
      <c r="N8" s="641"/>
      <c r="O8" s="641"/>
      <c r="P8" s="537">
        <v>18</v>
      </c>
      <c r="Q8" s="513">
        <v>2513.4545454545473</v>
      </c>
      <c r="R8" s="513">
        <v>139.63636363636374</v>
      </c>
      <c r="S8" s="562">
        <f t="shared" ref="S8:S21" si="12">RANK(R8, R$7:R$21)</f>
        <v>2</v>
      </c>
      <c r="T8" s="642"/>
      <c r="U8" s="537">
        <v>18</v>
      </c>
      <c r="V8" s="513">
        <v>2501.1111111111122</v>
      </c>
      <c r="W8" s="513">
        <v>138.95061728395069</v>
      </c>
      <c r="X8" s="562">
        <f t="shared" ref="X8:X21" si="13">RANK(W8, W$7:W$21)</f>
        <v>1</v>
      </c>
      <c r="Y8" s="642"/>
      <c r="Z8" s="537">
        <v>19</v>
      </c>
      <c r="AA8" s="513">
        <v>2564.7272727272743</v>
      </c>
      <c r="AB8" s="513">
        <v>134.98564593301444</v>
      </c>
      <c r="AC8" s="562">
        <f t="shared" ref="AC8:AC21" si="14">RANK(AB8, AB$7:AB$21)</f>
        <v>3</v>
      </c>
      <c r="AD8" s="642"/>
      <c r="AE8" s="537">
        <v>18</v>
      </c>
      <c r="AF8" s="513">
        <v>2522.1428571428592</v>
      </c>
      <c r="AG8" s="513">
        <v>140.11904761904773</v>
      </c>
      <c r="AH8" s="562">
        <f t="shared" ref="AH8:AH21" si="15">RANK(AG8, AG$7:AG$21)</f>
        <v>1</v>
      </c>
      <c r="AI8" s="642"/>
      <c r="AJ8" s="537">
        <v>18</v>
      </c>
      <c r="AK8" s="513">
        <v>2515.1612903225828</v>
      </c>
      <c r="AL8" s="513">
        <v>139.73118279569906</v>
      </c>
      <c r="AM8" s="562">
        <f t="shared" ref="AM8:AM21" si="16">RANK(AL8, AL$7:AL$21)</f>
        <v>1</v>
      </c>
      <c r="AN8" s="642"/>
      <c r="AO8" s="537">
        <v>18</v>
      </c>
      <c r="AP8" s="513">
        <v>2544.1935483870989</v>
      </c>
      <c r="AQ8" s="513">
        <v>141.34408602150549</v>
      </c>
      <c r="AR8" s="562">
        <f t="shared" ref="AR8:AR21" si="17">RANK(AQ8, AQ$7:AQ$21)</f>
        <v>1</v>
      </c>
      <c r="AS8" s="642"/>
      <c r="AT8" s="534">
        <v>18</v>
      </c>
      <c r="AU8" s="535">
        <v>2534.3283582089521</v>
      </c>
      <c r="AV8" s="535">
        <v>140.79601990049733</v>
      </c>
      <c r="AW8" s="562">
        <f t="shared" ref="AW8:AW21" si="18">RANK(AV8, AV$7:AV$21)</f>
        <v>1</v>
      </c>
      <c r="AX8" s="642"/>
      <c r="AZ8" s="369" t="e">
        <f t="shared" si="10"/>
        <v>#N/A</v>
      </c>
      <c r="BA8" s="698"/>
    </row>
    <row r="9" spans="1:53" ht="14.25">
      <c r="A9" s="81"/>
      <c r="B9" s="676"/>
      <c r="C9" s="537">
        <v>3</v>
      </c>
      <c r="D9" s="225" t="s">
        <v>352</v>
      </c>
      <c r="E9" s="535">
        <v>19</v>
      </c>
      <c r="F9" s="534">
        <v>2769</v>
      </c>
      <c r="G9" s="536">
        <v>145.73684210526315</v>
      </c>
      <c r="H9" s="655"/>
      <c r="I9" s="538">
        <f t="shared" si="0"/>
        <v>19.142857142857142</v>
      </c>
      <c r="J9" s="538">
        <f t="shared" si="1"/>
        <v>2528.8290498206002</v>
      </c>
      <c r="K9" s="199">
        <f t="shared" si="2"/>
        <v>132.14801853855127</v>
      </c>
      <c r="L9" s="657"/>
      <c r="M9" s="513">
        <f>RANK(K9, K$7:$K$21)</f>
        <v>3</v>
      </c>
      <c r="N9" s="641"/>
      <c r="O9" s="641"/>
      <c r="P9" s="537">
        <v>19</v>
      </c>
      <c r="Q9" s="513">
        <v>2532.3287671232856</v>
      </c>
      <c r="R9" s="513">
        <v>133.28046142754135</v>
      </c>
      <c r="S9" s="562">
        <f t="shared" si="12"/>
        <v>3</v>
      </c>
      <c r="T9" s="642"/>
      <c r="U9" s="537">
        <v>19</v>
      </c>
      <c r="V9" s="513">
        <v>2497.2972972972957</v>
      </c>
      <c r="W9" s="513">
        <v>131.43669985775242</v>
      </c>
      <c r="X9" s="562">
        <f t="shared" si="13"/>
        <v>3</v>
      </c>
      <c r="Y9" s="642"/>
      <c r="Z9" s="537">
        <v>20</v>
      </c>
      <c r="AA9" s="513">
        <v>2522.3376623376607</v>
      </c>
      <c r="AB9" s="513">
        <v>126.11688311688303</v>
      </c>
      <c r="AC9" s="562">
        <f t="shared" si="14"/>
        <v>5</v>
      </c>
      <c r="AD9" s="642"/>
      <c r="AE9" s="537">
        <v>19</v>
      </c>
      <c r="AF9" s="513">
        <v>2499.2307692307677</v>
      </c>
      <c r="AG9" s="513">
        <v>131.53846153846146</v>
      </c>
      <c r="AH9" s="562">
        <f t="shared" si="15"/>
        <v>3</v>
      </c>
      <c r="AI9" s="642"/>
      <c r="AJ9" s="537">
        <v>19</v>
      </c>
      <c r="AK9" s="513">
        <v>2572.6829268292672</v>
      </c>
      <c r="AL9" s="513">
        <v>135.40436456996144</v>
      </c>
      <c r="AM9" s="562">
        <f t="shared" si="16"/>
        <v>3</v>
      </c>
      <c r="AN9" s="642"/>
      <c r="AO9" s="537">
        <v>19</v>
      </c>
      <c r="AP9" s="513">
        <v>2545.9259259259252</v>
      </c>
      <c r="AQ9" s="513">
        <v>133.99610136452239</v>
      </c>
      <c r="AR9" s="562">
        <f t="shared" si="17"/>
        <v>3</v>
      </c>
      <c r="AS9" s="642"/>
      <c r="AT9" s="534">
        <v>19</v>
      </c>
      <c r="AU9" s="535">
        <v>2532</v>
      </c>
      <c r="AV9" s="535">
        <v>133.26315789473685</v>
      </c>
      <c r="AW9" s="562">
        <f t="shared" si="18"/>
        <v>3</v>
      </c>
      <c r="AX9" s="642"/>
      <c r="AZ9" s="369" t="e">
        <f t="shared" si="10"/>
        <v>#N/A</v>
      </c>
      <c r="BA9" s="698"/>
    </row>
    <row r="10" spans="1:53" ht="14.25">
      <c r="A10" s="81"/>
      <c r="B10" s="676"/>
      <c r="C10" s="537">
        <v>4</v>
      </c>
      <c r="D10" s="225" t="s">
        <v>353</v>
      </c>
      <c r="E10" s="535">
        <v>20</v>
      </c>
      <c r="F10" s="534">
        <v>2769</v>
      </c>
      <c r="G10" s="536">
        <v>138.44999999999999</v>
      </c>
      <c r="H10" s="655"/>
      <c r="I10" s="538">
        <f t="shared" si="0"/>
        <v>20</v>
      </c>
      <c r="J10" s="538">
        <f t="shared" si="1"/>
        <v>2468.5627215104209</v>
      </c>
      <c r="K10" s="199">
        <f t="shared" si="2"/>
        <v>123.42813607552105</v>
      </c>
      <c r="L10" s="657"/>
      <c r="M10" s="513">
        <f>RANK(K10, K$7:$K$21)</f>
        <v>6</v>
      </c>
      <c r="N10" s="641"/>
      <c r="O10" s="641"/>
      <c r="P10" s="537">
        <v>20</v>
      </c>
      <c r="Q10" s="513">
        <v>2436.0000000000005</v>
      </c>
      <c r="R10" s="513">
        <v>121.80000000000003</v>
      </c>
      <c r="S10" s="562">
        <f t="shared" si="12"/>
        <v>6</v>
      </c>
      <c r="T10" s="642"/>
      <c r="U10" s="537">
        <v>20</v>
      </c>
      <c r="V10" s="513">
        <v>2428.5436893203896</v>
      </c>
      <c r="W10" s="513">
        <v>121.42718446601948</v>
      </c>
      <c r="X10" s="562">
        <f t="shared" si="13"/>
        <v>6</v>
      </c>
      <c r="Y10" s="642"/>
      <c r="Z10" s="537">
        <v>20</v>
      </c>
      <c r="AA10" s="513">
        <v>2422.6229508196711</v>
      </c>
      <c r="AB10" s="513">
        <v>121.13114754098356</v>
      </c>
      <c r="AC10" s="562">
        <f t="shared" si="14"/>
        <v>6</v>
      </c>
      <c r="AD10" s="642"/>
      <c r="AE10" s="537">
        <v>20</v>
      </c>
      <c r="AF10" s="513">
        <v>2498.7931034482745</v>
      </c>
      <c r="AG10" s="513">
        <v>124.93965517241372</v>
      </c>
      <c r="AH10" s="562">
        <f t="shared" si="15"/>
        <v>5</v>
      </c>
      <c r="AI10" s="642"/>
      <c r="AJ10" s="537">
        <v>20</v>
      </c>
      <c r="AK10" s="513">
        <v>2497.5609756097551</v>
      </c>
      <c r="AL10" s="513">
        <v>124.87804878048776</v>
      </c>
      <c r="AM10" s="562">
        <f t="shared" si="16"/>
        <v>6</v>
      </c>
      <c r="AN10" s="642"/>
      <c r="AO10" s="537">
        <v>20</v>
      </c>
      <c r="AP10" s="513">
        <v>2527.0270270270289</v>
      </c>
      <c r="AQ10" s="513">
        <v>126.35135135135144</v>
      </c>
      <c r="AR10" s="562">
        <f t="shared" si="17"/>
        <v>6</v>
      </c>
      <c r="AS10" s="642"/>
      <c r="AT10" s="534">
        <v>20</v>
      </c>
      <c r="AU10" s="535">
        <v>2469.3913043478283</v>
      </c>
      <c r="AV10" s="535">
        <v>123.46956521739142</v>
      </c>
      <c r="AW10" s="562">
        <f t="shared" si="18"/>
        <v>6</v>
      </c>
      <c r="AX10" s="642"/>
      <c r="AZ10" s="369" t="e">
        <f t="shared" si="10"/>
        <v>#N/A</v>
      </c>
      <c r="BA10" s="698"/>
    </row>
    <row r="11" spans="1:53" ht="14.25">
      <c r="A11" s="81"/>
      <c r="B11" s="676"/>
      <c r="C11" s="537">
        <v>5</v>
      </c>
      <c r="D11" s="225" t="s">
        <v>511</v>
      </c>
      <c r="E11" s="535">
        <v>18</v>
      </c>
      <c r="F11" s="534">
        <v>2400</v>
      </c>
      <c r="G11" s="536">
        <v>133.33333333333334</v>
      </c>
      <c r="H11" s="655"/>
      <c r="I11" s="538">
        <f t="shared" si="0"/>
        <v>18.857142857142858</v>
      </c>
      <c r="J11" s="538">
        <f t="shared" si="1"/>
        <v>2140.6207819700094</v>
      </c>
      <c r="K11" s="199">
        <f t="shared" si="2"/>
        <v>113.52097682883091</v>
      </c>
      <c r="L11" s="657"/>
      <c r="M11" s="513">
        <f>RANK(K11, K$7:$K$21)</f>
        <v>9</v>
      </c>
      <c r="N11" s="641"/>
      <c r="O11" s="641"/>
      <c r="P11" s="537">
        <v>19</v>
      </c>
      <c r="Q11" s="513">
        <v>2162.3529411764716</v>
      </c>
      <c r="R11" s="513">
        <v>113.80804953560377</v>
      </c>
      <c r="S11" s="562">
        <f t="shared" si="12"/>
        <v>9</v>
      </c>
      <c r="T11" s="642"/>
      <c r="U11" s="537">
        <v>19</v>
      </c>
      <c r="V11" s="513">
        <v>2200.8000000000006</v>
      </c>
      <c r="W11" s="513">
        <v>115.83157894736846</v>
      </c>
      <c r="X11" s="562">
        <f t="shared" si="13"/>
        <v>10</v>
      </c>
      <c r="Y11" s="642"/>
      <c r="Z11" s="537">
        <v>19</v>
      </c>
      <c r="AA11" s="513">
        <v>2138.8888888888901</v>
      </c>
      <c r="AB11" s="513">
        <v>112.57309941520474</v>
      </c>
      <c r="AC11" s="562">
        <f t="shared" si="14"/>
        <v>9</v>
      </c>
      <c r="AD11" s="642"/>
      <c r="AE11" s="537">
        <v>19</v>
      </c>
      <c r="AF11" s="513">
        <v>2088.0000000000014</v>
      </c>
      <c r="AG11" s="513">
        <v>109.89473684210533</v>
      </c>
      <c r="AH11" s="562">
        <f t="shared" si="15"/>
        <v>10</v>
      </c>
      <c r="AI11" s="642"/>
      <c r="AJ11" s="537">
        <v>18</v>
      </c>
      <c r="AK11" s="513">
        <v>2051.0000000000018</v>
      </c>
      <c r="AL11" s="513">
        <v>113.94444444444454</v>
      </c>
      <c r="AM11" s="562">
        <f t="shared" si="16"/>
        <v>8</v>
      </c>
      <c r="AN11" s="642"/>
      <c r="AO11" s="537">
        <v>19</v>
      </c>
      <c r="AP11" s="513">
        <v>2176.8421052631597</v>
      </c>
      <c r="AQ11" s="513">
        <v>114.57063711911367</v>
      </c>
      <c r="AR11" s="562">
        <f t="shared" si="17"/>
        <v>9</v>
      </c>
      <c r="AS11" s="642"/>
      <c r="AT11" s="534">
        <v>19</v>
      </c>
      <c r="AU11" s="535">
        <v>2166.4615384615408</v>
      </c>
      <c r="AV11" s="535">
        <v>114.02429149797584</v>
      </c>
      <c r="AW11" s="562">
        <f t="shared" si="18"/>
        <v>8</v>
      </c>
      <c r="AX11" s="642"/>
      <c r="AZ11" s="369" t="e">
        <f t="shared" si="10"/>
        <v>#N/A</v>
      </c>
      <c r="BA11" s="698"/>
    </row>
    <row r="12" spans="1:53" ht="14.25">
      <c r="A12" s="81"/>
      <c r="B12" s="676"/>
      <c r="C12" s="537">
        <v>6</v>
      </c>
      <c r="D12" s="225" t="s">
        <v>593</v>
      </c>
      <c r="E12" s="535">
        <v>17</v>
      </c>
      <c r="F12" s="534">
        <v>2571</v>
      </c>
      <c r="G12" s="536">
        <v>151.23529411764707</v>
      </c>
      <c r="H12" s="655"/>
      <c r="I12" s="538">
        <f t="shared" si="0"/>
        <v>17</v>
      </c>
      <c r="J12" s="538">
        <f t="shared" si="1"/>
        <v>2353.6527080108581</v>
      </c>
      <c r="K12" s="199">
        <f t="shared" si="2"/>
        <v>138.45015929475636</v>
      </c>
      <c r="L12" s="657"/>
      <c r="M12" s="513">
        <f>RANK(K12, K$7:$K$21)</f>
        <v>2</v>
      </c>
      <c r="N12" s="641"/>
      <c r="O12" s="641"/>
      <c r="P12" s="537">
        <v>17</v>
      </c>
      <c r="Q12" s="513">
        <v>2379.5454545454545</v>
      </c>
      <c r="R12" s="513">
        <v>139.97326203208556</v>
      </c>
      <c r="S12" s="562">
        <f t="shared" si="12"/>
        <v>1</v>
      </c>
      <c r="T12" s="642"/>
      <c r="U12" s="537">
        <v>17</v>
      </c>
      <c r="V12" s="513">
        <v>2300.5263157894719</v>
      </c>
      <c r="W12" s="513">
        <v>135.32507739938069</v>
      </c>
      <c r="X12" s="562">
        <f t="shared" si="13"/>
        <v>2</v>
      </c>
      <c r="Y12" s="642"/>
      <c r="Z12" s="537">
        <v>17</v>
      </c>
      <c r="AA12" s="513">
        <v>2347.6923076923067</v>
      </c>
      <c r="AB12" s="513">
        <v>138.09954751131215</v>
      </c>
      <c r="AC12" s="562">
        <f t="shared" si="14"/>
        <v>2</v>
      </c>
      <c r="AD12" s="642"/>
      <c r="AE12" s="537">
        <v>17</v>
      </c>
      <c r="AF12" s="513">
        <v>2354.6341463414624</v>
      </c>
      <c r="AG12" s="513">
        <v>138.50789096126249</v>
      </c>
      <c r="AH12" s="562">
        <f t="shared" si="15"/>
        <v>2</v>
      </c>
      <c r="AI12" s="642"/>
      <c r="AJ12" s="537">
        <v>17</v>
      </c>
      <c r="AK12" s="513">
        <v>2353.170731707316</v>
      </c>
      <c r="AL12" s="513">
        <v>138.42180774748917</v>
      </c>
      <c r="AM12" s="562">
        <f t="shared" si="16"/>
        <v>2</v>
      </c>
      <c r="AN12" s="642"/>
      <c r="AO12" s="537">
        <v>17</v>
      </c>
      <c r="AP12" s="513">
        <v>2375.1219512195112</v>
      </c>
      <c r="AQ12" s="513">
        <v>139.7130559540889</v>
      </c>
      <c r="AR12" s="562">
        <f t="shared" si="17"/>
        <v>2</v>
      </c>
      <c r="AS12" s="642"/>
      <c r="AT12" s="534">
        <v>17</v>
      </c>
      <c r="AU12" s="535">
        <v>2364.878048780487</v>
      </c>
      <c r="AV12" s="535">
        <v>139.11047345767571</v>
      </c>
      <c r="AW12" s="562">
        <f t="shared" si="18"/>
        <v>2</v>
      </c>
      <c r="AX12" s="642"/>
      <c r="AZ12" s="369" t="e">
        <f t="shared" si="10"/>
        <v>#N/A</v>
      </c>
      <c r="BA12" s="698"/>
    </row>
    <row r="13" spans="1:53" ht="14.25">
      <c r="A13" s="81"/>
      <c r="B13" s="676"/>
      <c r="C13" s="537">
        <v>7</v>
      </c>
      <c r="D13" s="225" t="s">
        <v>609</v>
      </c>
      <c r="E13" s="535">
        <v>19</v>
      </c>
      <c r="F13" s="534">
        <v>2400</v>
      </c>
      <c r="G13" s="536">
        <v>126.31578947368421</v>
      </c>
      <c r="H13" s="655"/>
      <c r="I13" s="538">
        <f t="shared" si="0"/>
        <v>18.285714285714285</v>
      </c>
      <c r="J13" s="538">
        <f t="shared" si="1"/>
        <v>2069.9390480583875</v>
      </c>
      <c r="K13" s="199">
        <f t="shared" si="2"/>
        <v>113.27417106946811</v>
      </c>
      <c r="L13" s="657"/>
      <c r="M13" s="513">
        <f>RANK(K13, K$7:$K$21)</f>
        <v>10</v>
      </c>
      <c r="N13" s="641"/>
      <c r="O13" s="641"/>
      <c r="P13" s="537">
        <v>19</v>
      </c>
      <c r="Q13" s="513">
        <v>2060.7692307692323</v>
      </c>
      <c r="R13" s="513">
        <v>108.46153846153854</v>
      </c>
      <c r="S13" s="562">
        <f t="shared" si="12"/>
        <v>11</v>
      </c>
      <c r="T13" s="642"/>
      <c r="U13" s="537">
        <v>18</v>
      </c>
      <c r="V13" s="513">
        <v>2102.400000000001</v>
      </c>
      <c r="W13" s="513">
        <v>116.80000000000005</v>
      </c>
      <c r="X13" s="562">
        <f t="shared" si="13"/>
        <v>9</v>
      </c>
      <c r="Y13" s="642"/>
      <c r="Z13" s="537">
        <v>18</v>
      </c>
      <c r="AA13" s="513">
        <v>2072.3076923076933</v>
      </c>
      <c r="AB13" s="513">
        <v>115.12820512820518</v>
      </c>
      <c r="AC13" s="562">
        <f t="shared" si="14"/>
        <v>7</v>
      </c>
      <c r="AD13" s="642"/>
      <c r="AE13" s="537">
        <v>18</v>
      </c>
      <c r="AF13" s="513">
        <v>2093.0769230769179</v>
      </c>
      <c r="AG13" s="513">
        <v>116.28205128205099</v>
      </c>
      <c r="AH13" s="562">
        <f t="shared" si="15"/>
        <v>8</v>
      </c>
      <c r="AI13" s="642"/>
      <c r="AJ13" s="537">
        <v>18</v>
      </c>
      <c r="AK13" s="513">
        <v>2008.6956521739203</v>
      </c>
      <c r="AL13" s="513">
        <v>111.59420289855113</v>
      </c>
      <c r="AM13" s="562">
        <f t="shared" si="16"/>
        <v>9</v>
      </c>
      <c r="AN13" s="642"/>
      <c r="AO13" s="537">
        <v>18</v>
      </c>
      <c r="AP13" s="513">
        <v>2089.5652173912972</v>
      </c>
      <c r="AQ13" s="513">
        <v>116.08695652173873</v>
      </c>
      <c r="AR13" s="562">
        <f t="shared" si="17"/>
        <v>8</v>
      </c>
      <c r="AS13" s="642"/>
      <c r="AT13" s="534">
        <v>19</v>
      </c>
      <c r="AU13" s="535">
        <v>2062.7586206896508</v>
      </c>
      <c r="AV13" s="535">
        <v>108.56624319419215</v>
      </c>
      <c r="AW13" s="562">
        <f t="shared" si="18"/>
        <v>10</v>
      </c>
      <c r="AX13" s="642"/>
      <c r="AZ13" s="369" t="e">
        <f t="shared" si="10"/>
        <v>#N/A</v>
      </c>
      <c r="BA13" s="698"/>
    </row>
    <row r="14" spans="1:53" ht="14.25">
      <c r="A14" s="81"/>
      <c r="B14" s="676"/>
      <c r="C14" s="537">
        <v>8</v>
      </c>
      <c r="D14" s="225" t="s">
        <v>617</v>
      </c>
      <c r="E14" s="535">
        <v>18</v>
      </c>
      <c r="F14" s="534">
        <v>2571</v>
      </c>
      <c r="G14" s="536">
        <v>142.83333333333334</v>
      </c>
      <c r="H14" s="655"/>
      <c r="I14" s="538">
        <f t="shared" si="0"/>
        <v>17.857142857142858</v>
      </c>
      <c r="J14" s="538">
        <f t="shared" si="1"/>
        <v>2353.2846586910628</v>
      </c>
      <c r="K14" s="199">
        <f t="shared" si="2"/>
        <v>131.83447516937809</v>
      </c>
      <c r="L14" s="657"/>
      <c r="M14" s="513">
        <f>RANK(K14, K$7:$K$21)</f>
        <v>4</v>
      </c>
      <c r="N14" s="641"/>
      <c r="O14" s="641"/>
      <c r="P14" s="537">
        <v>18</v>
      </c>
      <c r="Q14" s="513">
        <v>2325.0000000000018</v>
      </c>
      <c r="R14" s="513">
        <v>129.16666666666677</v>
      </c>
      <c r="S14" s="562">
        <f t="shared" si="12"/>
        <v>4</v>
      </c>
      <c r="T14" s="642"/>
      <c r="U14" s="537">
        <v>18</v>
      </c>
      <c r="V14" s="513">
        <v>2356.0714285714266</v>
      </c>
      <c r="W14" s="513">
        <v>130.89285714285703</v>
      </c>
      <c r="X14" s="562">
        <f t="shared" si="13"/>
        <v>4</v>
      </c>
      <c r="Y14" s="642"/>
      <c r="Z14" s="537">
        <v>17</v>
      </c>
      <c r="AA14" s="513">
        <v>2348.5714285714303</v>
      </c>
      <c r="AB14" s="513">
        <v>138.15126050420179</v>
      </c>
      <c r="AC14" s="562">
        <f t="shared" si="14"/>
        <v>1</v>
      </c>
      <c r="AD14" s="642"/>
      <c r="AE14" s="537">
        <v>18</v>
      </c>
      <c r="AF14" s="513">
        <v>2305.7142857142876</v>
      </c>
      <c r="AG14" s="513">
        <v>128.09523809523819</v>
      </c>
      <c r="AH14" s="562">
        <f t="shared" si="15"/>
        <v>4</v>
      </c>
      <c r="AI14" s="642"/>
      <c r="AJ14" s="537">
        <v>18</v>
      </c>
      <c r="AK14" s="513">
        <v>2346.2068965517224</v>
      </c>
      <c r="AL14" s="513">
        <v>130.3448275862068</v>
      </c>
      <c r="AM14" s="562">
        <f t="shared" si="16"/>
        <v>4</v>
      </c>
      <c r="AN14" s="642"/>
      <c r="AO14" s="537">
        <v>18</v>
      </c>
      <c r="AP14" s="513">
        <v>2399.9999999999982</v>
      </c>
      <c r="AQ14" s="513">
        <v>133.33333333333323</v>
      </c>
      <c r="AR14" s="562">
        <f t="shared" si="17"/>
        <v>4</v>
      </c>
      <c r="AS14" s="642"/>
      <c r="AT14" s="534">
        <v>18</v>
      </c>
      <c r="AU14" s="535">
        <v>2391.4285714285697</v>
      </c>
      <c r="AV14" s="535">
        <v>132.85714285714278</v>
      </c>
      <c r="AW14" s="562">
        <f t="shared" si="18"/>
        <v>4</v>
      </c>
      <c r="AX14" s="642"/>
      <c r="AZ14" s="369" t="e">
        <f t="shared" si="10"/>
        <v>#N/A</v>
      </c>
      <c r="BA14" s="698"/>
    </row>
    <row r="15" spans="1:53" ht="14.25">
      <c r="A15" s="81"/>
      <c r="B15" s="676"/>
      <c r="C15" s="537">
        <v>9</v>
      </c>
      <c r="D15" s="225" t="s">
        <v>620</v>
      </c>
      <c r="E15" s="535">
        <v>19</v>
      </c>
      <c r="F15" s="534">
        <v>2400</v>
      </c>
      <c r="G15" s="536">
        <v>126.31578947368421</v>
      </c>
      <c r="H15" s="655"/>
      <c r="I15" s="538">
        <f t="shared" si="0"/>
        <v>19</v>
      </c>
      <c r="J15" s="538">
        <f t="shared" si="1"/>
        <v>2078.1788875261373</v>
      </c>
      <c r="K15" s="199">
        <f t="shared" si="2"/>
        <v>109.37783618558615</v>
      </c>
      <c r="L15" s="657"/>
      <c r="M15" s="513">
        <f>RANK(K15, K$7:$K$21)</f>
        <v>11</v>
      </c>
      <c r="N15" s="641"/>
      <c r="O15" s="641"/>
      <c r="P15" s="537">
        <v>19</v>
      </c>
      <c r="Q15" s="513">
        <v>2061.1764705882379</v>
      </c>
      <c r="R15" s="513">
        <v>108.48297213622304</v>
      </c>
      <c r="S15" s="562">
        <f t="shared" si="12"/>
        <v>10</v>
      </c>
      <c r="T15" s="642"/>
      <c r="U15" s="537">
        <v>19</v>
      </c>
      <c r="V15" s="513">
        <v>2072.7272727272748</v>
      </c>
      <c r="W15" s="513">
        <v>109.09090909090919</v>
      </c>
      <c r="X15" s="562">
        <f t="shared" si="13"/>
        <v>11</v>
      </c>
      <c r="Y15" s="642"/>
      <c r="Z15" s="537">
        <v>19</v>
      </c>
      <c r="AA15" s="513">
        <v>2077.0588235294144</v>
      </c>
      <c r="AB15" s="513">
        <v>109.31888544891655</v>
      </c>
      <c r="AC15" s="562">
        <f t="shared" si="14"/>
        <v>11</v>
      </c>
      <c r="AD15" s="642"/>
      <c r="AE15" s="537">
        <v>19</v>
      </c>
      <c r="AF15" s="513">
        <v>2069.9999999999973</v>
      </c>
      <c r="AG15" s="513">
        <v>108.94736842105249</v>
      </c>
      <c r="AH15" s="562">
        <f t="shared" si="15"/>
        <v>11</v>
      </c>
      <c r="AI15" s="642"/>
      <c r="AJ15" s="537">
        <v>19</v>
      </c>
      <c r="AK15" s="513">
        <v>2113.548387096771</v>
      </c>
      <c r="AL15" s="513">
        <v>111.23938879456689</v>
      </c>
      <c r="AM15" s="562">
        <f t="shared" si="16"/>
        <v>10</v>
      </c>
      <c r="AN15" s="642"/>
      <c r="AO15" s="537">
        <v>19</v>
      </c>
      <c r="AP15" s="513">
        <v>2081.8181818181793</v>
      </c>
      <c r="AQ15" s="513">
        <v>109.56937799043048</v>
      </c>
      <c r="AR15" s="562">
        <f t="shared" si="17"/>
        <v>10</v>
      </c>
      <c r="AS15" s="642"/>
      <c r="AT15" s="534">
        <v>19</v>
      </c>
      <c r="AU15" s="535">
        <v>2070.9230769230844</v>
      </c>
      <c r="AV15" s="535">
        <v>108.99595141700445</v>
      </c>
      <c r="AW15" s="562">
        <f t="shared" si="18"/>
        <v>9</v>
      </c>
      <c r="AX15" s="642"/>
      <c r="AZ15" s="369" t="e">
        <f t="shared" si="10"/>
        <v>#N/A</v>
      </c>
      <c r="BA15" s="698"/>
    </row>
    <row r="16" spans="1:53" ht="14.25">
      <c r="A16" s="81"/>
      <c r="B16" s="676"/>
      <c r="C16" s="537">
        <v>10</v>
      </c>
      <c r="D16" s="225" t="s">
        <v>626</v>
      </c>
      <c r="E16" s="535">
        <v>21</v>
      </c>
      <c r="F16" s="534">
        <v>2400</v>
      </c>
      <c r="G16" s="536">
        <v>114.28571428571429</v>
      </c>
      <c r="H16" s="655"/>
      <c r="I16" s="538">
        <f t="shared" si="0"/>
        <v>21</v>
      </c>
      <c r="J16" s="538">
        <f t="shared" si="1"/>
        <v>2191.4067216842382</v>
      </c>
      <c r="K16" s="199">
        <f t="shared" si="2"/>
        <v>104.35270103258276</v>
      </c>
      <c r="L16" s="657"/>
      <c r="M16" s="513">
        <f>RANK(K16, K$7:$K$21)</f>
        <v>12</v>
      </c>
      <c r="N16" s="641"/>
      <c r="O16" s="641"/>
      <c r="P16" s="537">
        <v>21</v>
      </c>
      <c r="Q16" s="513">
        <v>2171.7647058823522</v>
      </c>
      <c r="R16" s="513">
        <v>103.41736694677869</v>
      </c>
      <c r="S16" s="562">
        <f t="shared" si="12"/>
        <v>12</v>
      </c>
      <c r="T16" s="642"/>
      <c r="U16" s="537">
        <v>21</v>
      </c>
      <c r="V16" s="513">
        <v>2174.716981132075</v>
      </c>
      <c r="W16" s="513">
        <v>103.55795148247977</v>
      </c>
      <c r="X16" s="562">
        <f t="shared" si="13"/>
        <v>12</v>
      </c>
      <c r="Y16" s="642"/>
      <c r="Z16" s="537">
        <v>21</v>
      </c>
      <c r="AA16" s="513">
        <v>2192.3999999999992</v>
      </c>
      <c r="AB16" s="513">
        <v>104.39999999999996</v>
      </c>
      <c r="AC16" s="562">
        <f t="shared" si="14"/>
        <v>12</v>
      </c>
      <c r="AD16" s="642"/>
      <c r="AE16" s="537">
        <v>21</v>
      </c>
      <c r="AF16" s="513">
        <v>2163.913043478261</v>
      </c>
      <c r="AG16" s="513">
        <v>103.04347826086958</v>
      </c>
      <c r="AH16" s="562">
        <f t="shared" si="15"/>
        <v>12</v>
      </c>
      <c r="AI16" s="642"/>
      <c r="AJ16" s="537">
        <v>21</v>
      </c>
      <c r="AK16" s="513">
        <v>2219.9999999999991</v>
      </c>
      <c r="AL16" s="513">
        <v>105.71428571428567</v>
      </c>
      <c r="AM16" s="562">
        <f t="shared" si="16"/>
        <v>11</v>
      </c>
      <c r="AN16" s="642"/>
      <c r="AO16" s="537">
        <v>21</v>
      </c>
      <c r="AP16" s="513">
        <v>2217.391304347826</v>
      </c>
      <c r="AQ16" s="513">
        <v>105.59006211180125</v>
      </c>
      <c r="AR16" s="562">
        <f t="shared" si="17"/>
        <v>11</v>
      </c>
      <c r="AS16" s="642"/>
      <c r="AT16" s="534">
        <v>21</v>
      </c>
      <c r="AU16" s="535">
        <v>2199.6610169491514</v>
      </c>
      <c r="AV16" s="535">
        <v>104.74576271186436</v>
      </c>
      <c r="AW16" s="562">
        <f t="shared" si="18"/>
        <v>11</v>
      </c>
      <c r="AX16" s="642"/>
      <c r="AZ16" s="369" t="e">
        <f t="shared" si="10"/>
        <v>#N/A</v>
      </c>
      <c r="BA16" s="698"/>
    </row>
    <row r="17" spans="2:53">
      <c r="B17" s="676"/>
      <c r="C17" s="537">
        <v>11</v>
      </c>
      <c r="D17" s="225" t="s">
        <v>699</v>
      </c>
      <c r="E17" s="535">
        <v>19</v>
      </c>
      <c r="F17" s="534">
        <v>2571</v>
      </c>
      <c r="G17" s="536">
        <v>135.31578947368422</v>
      </c>
      <c r="H17" s="655"/>
      <c r="I17" s="538">
        <f t="shared" si="0"/>
        <v>19</v>
      </c>
      <c r="J17" s="538">
        <f t="shared" si="1"/>
        <v>2209.8320512820519</v>
      </c>
      <c r="K17" s="199">
        <f t="shared" si="2"/>
        <v>116.30695006747641</v>
      </c>
      <c r="L17" s="657"/>
      <c r="M17" s="513">
        <f>RANK(K17, K$7:$K$21)</f>
        <v>8</v>
      </c>
      <c r="N17" s="641"/>
      <c r="O17" s="641"/>
      <c r="P17" s="537">
        <v>19</v>
      </c>
      <c r="Q17" s="513">
        <v>2253.4615384615395</v>
      </c>
      <c r="R17" s="513">
        <v>118.60323886639681</v>
      </c>
      <c r="S17" s="562">
        <f t="shared" si="12"/>
        <v>7</v>
      </c>
      <c r="T17" s="642"/>
      <c r="U17" s="537">
        <v>19</v>
      </c>
      <c r="V17" s="513">
        <v>2220.0000000000009</v>
      </c>
      <c r="W17" s="513">
        <v>116.84210526315795</v>
      </c>
      <c r="X17" s="562">
        <f t="shared" si="13"/>
        <v>8</v>
      </c>
      <c r="Y17" s="642"/>
      <c r="Z17" s="537">
        <v>19</v>
      </c>
      <c r="AA17" s="513">
        <v>2179.2000000000003</v>
      </c>
      <c r="AB17" s="513">
        <v>114.69473684210527</v>
      </c>
      <c r="AC17" s="562">
        <f t="shared" si="14"/>
        <v>8</v>
      </c>
      <c r="AD17" s="642"/>
      <c r="AE17" s="537">
        <v>19</v>
      </c>
      <c r="AF17" s="513">
        <v>2186.6666666666665</v>
      </c>
      <c r="AG17" s="513">
        <v>115.0877192982456</v>
      </c>
      <c r="AH17" s="562">
        <f t="shared" si="15"/>
        <v>9</v>
      </c>
      <c r="AI17" s="642"/>
      <c r="AJ17" s="537" t="s">
        <v>585</v>
      </c>
      <c r="AK17" s="513" t="s">
        <v>585</v>
      </c>
      <c r="AL17" s="513" t="s">
        <v>585</v>
      </c>
      <c r="AM17" s="562" t="e">
        <f t="shared" si="16"/>
        <v>#VALUE!</v>
      </c>
      <c r="AN17" s="642"/>
      <c r="AO17" s="537" t="s">
        <v>585</v>
      </c>
      <c r="AP17" s="513" t="s">
        <v>585</v>
      </c>
      <c r="AQ17" s="513" t="s">
        <v>585</v>
      </c>
      <c r="AR17" s="562" t="e">
        <f t="shared" si="17"/>
        <v>#VALUE!</v>
      </c>
      <c r="AS17" s="642"/>
      <c r="AT17" s="534" t="s">
        <v>585</v>
      </c>
      <c r="AU17" s="535" t="s">
        <v>585</v>
      </c>
      <c r="AV17" s="535" t="s">
        <v>585</v>
      </c>
      <c r="AW17" s="562" t="e">
        <f t="shared" si="18"/>
        <v>#VALUE!</v>
      </c>
      <c r="AX17" s="642"/>
      <c r="AZ17" s="369" t="e">
        <f t="shared" si="10"/>
        <v>#N/A</v>
      </c>
      <c r="BA17" s="698"/>
    </row>
    <row r="18" spans="2:53">
      <c r="B18" s="676"/>
      <c r="C18" s="537">
        <v>12</v>
      </c>
      <c r="D18" s="225" t="s">
        <v>720</v>
      </c>
      <c r="E18" s="535">
        <v>17</v>
      </c>
      <c r="F18" s="534">
        <v>2571</v>
      </c>
      <c r="G18" s="536">
        <v>151.23529411764707</v>
      </c>
      <c r="H18" s="655"/>
      <c r="I18" s="538">
        <f t="shared" si="0"/>
        <v>17.714285714285715</v>
      </c>
      <c r="J18" s="538">
        <f t="shared" si="1"/>
        <v>2241.7682215743444</v>
      </c>
      <c r="K18" s="199">
        <f t="shared" si="2"/>
        <v>126.58235198841443</v>
      </c>
      <c r="L18" s="657"/>
      <c r="M18" s="513">
        <f>RANK(K18, K$7:$K$21)</f>
        <v>5</v>
      </c>
      <c r="N18" s="641"/>
      <c r="O18" s="641"/>
      <c r="P18" s="537">
        <v>18</v>
      </c>
      <c r="Q18" s="513">
        <v>2308.4999999999991</v>
      </c>
      <c r="R18" s="513">
        <v>128.24999999999994</v>
      </c>
      <c r="S18" s="562">
        <f t="shared" si="12"/>
        <v>5</v>
      </c>
      <c r="T18" s="642"/>
      <c r="U18" s="537">
        <v>18</v>
      </c>
      <c r="V18" s="513">
        <v>2296.6666666666652</v>
      </c>
      <c r="W18" s="513">
        <v>127.59259259259251</v>
      </c>
      <c r="X18" s="562">
        <f t="shared" si="13"/>
        <v>5</v>
      </c>
      <c r="Y18" s="642"/>
      <c r="Z18" s="537">
        <v>18</v>
      </c>
      <c r="AA18" s="513">
        <v>2277.1428571428564</v>
      </c>
      <c r="AB18" s="513">
        <v>126.50793650793646</v>
      </c>
      <c r="AC18" s="562">
        <f t="shared" si="14"/>
        <v>4</v>
      </c>
      <c r="AD18" s="642"/>
      <c r="AE18" s="537">
        <v>18</v>
      </c>
      <c r="AF18" s="513">
        <v>2190.4761904761926</v>
      </c>
      <c r="AG18" s="513">
        <v>121.69312169312181</v>
      </c>
      <c r="AH18" s="562">
        <f t="shared" si="15"/>
        <v>6</v>
      </c>
      <c r="AI18" s="642"/>
      <c r="AJ18" s="537">
        <v>17</v>
      </c>
      <c r="AK18" s="513">
        <v>2171.020408163266</v>
      </c>
      <c r="AL18" s="513">
        <v>127.7070828331333</v>
      </c>
      <c r="AM18" s="562">
        <f t="shared" si="16"/>
        <v>5</v>
      </c>
      <c r="AN18" s="642"/>
      <c r="AO18" s="537">
        <v>17</v>
      </c>
      <c r="AP18" s="513">
        <v>2197.9591836734703</v>
      </c>
      <c r="AQ18" s="513">
        <v>129.29171668667473</v>
      </c>
      <c r="AR18" s="562">
        <f t="shared" si="17"/>
        <v>5</v>
      </c>
      <c r="AS18" s="642"/>
      <c r="AT18" s="534">
        <v>18</v>
      </c>
      <c r="AU18" s="535">
        <v>2250.61224489796</v>
      </c>
      <c r="AV18" s="535">
        <v>125.03401360544223</v>
      </c>
      <c r="AW18" s="562">
        <f t="shared" si="18"/>
        <v>5</v>
      </c>
      <c r="AX18" s="642"/>
      <c r="AZ18" s="369" t="e">
        <f t="shared" si="10"/>
        <v>#N/A</v>
      </c>
      <c r="BA18" s="698"/>
    </row>
    <row r="19" spans="2:53">
      <c r="B19" s="676"/>
      <c r="C19" s="537">
        <v>13</v>
      </c>
      <c r="D19" s="225"/>
      <c r="E19" s="535"/>
      <c r="F19" s="534"/>
      <c r="G19" s="536"/>
      <c r="H19" s="655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57"/>
      <c r="M19" s="513" t="e">
        <f>RANK(K19, K$7:$K$21)</f>
        <v>#VALUE!</v>
      </c>
      <c r="N19" s="641"/>
      <c r="O19" s="641"/>
      <c r="P19" s="537" t="s">
        <v>585</v>
      </c>
      <c r="Q19" s="513" t="s">
        <v>585</v>
      </c>
      <c r="R19" s="513" t="s">
        <v>585</v>
      </c>
      <c r="S19" s="562" t="e">
        <f t="shared" si="12"/>
        <v>#VALUE!</v>
      </c>
      <c r="T19" s="642"/>
      <c r="U19" s="537" t="s">
        <v>585</v>
      </c>
      <c r="V19" s="513" t="s">
        <v>585</v>
      </c>
      <c r="W19" s="513" t="s">
        <v>585</v>
      </c>
      <c r="X19" s="562" t="e">
        <f t="shared" si="13"/>
        <v>#VALUE!</v>
      </c>
      <c r="Y19" s="642"/>
      <c r="Z19" s="537" t="s">
        <v>585</v>
      </c>
      <c r="AA19" s="513" t="s">
        <v>585</v>
      </c>
      <c r="AB19" s="513" t="s">
        <v>585</v>
      </c>
      <c r="AC19" s="562" t="e">
        <f t="shared" si="14"/>
        <v>#VALUE!</v>
      </c>
      <c r="AD19" s="642"/>
      <c r="AE19" s="537" t="s">
        <v>585</v>
      </c>
      <c r="AF19" s="513" t="s">
        <v>585</v>
      </c>
      <c r="AG19" s="513" t="s">
        <v>585</v>
      </c>
      <c r="AH19" s="562" t="e">
        <f t="shared" si="15"/>
        <v>#VALUE!</v>
      </c>
      <c r="AI19" s="642"/>
      <c r="AJ19" s="537" t="s">
        <v>585</v>
      </c>
      <c r="AK19" s="513" t="s">
        <v>585</v>
      </c>
      <c r="AL19" s="513" t="s">
        <v>585</v>
      </c>
      <c r="AM19" s="562" t="e">
        <f t="shared" si="16"/>
        <v>#VALUE!</v>
      </c>
      <c r="AN19" s="642"/>
      <c r="AO19" s="537" t="s">
        <v>585</v>
      </c>
      <c r="AP19" s="513" t="s">
        <v>585</v>
      </c>
      <c r="AQ19" s="513" t="s">
        <v>585</v>
      </c>
      <c r="AR19" s="562" t="e">
        <f t="shared" si="17"/>
        <v>#VALUE!</v>
      </c>
      <c r="AS19" s="642"/>
      <c r="AT19" s="534" t="s">
        <v>585</v>
      </c>
      <c r="AU19" s="535" t="s">
        <v>585</v>
      </c>
      <c r="AV19" s="535" t="s">
        <v>585</v>
      </c>
      <c r="AW19" s="562" t="e">
        <f t="shared" si="18"/>
        <v>#VALUE!</v>
      </c>
      <c r="AX19" s="642"/>
      <c r="AZ19" s="369" t="e">
        <f t="shared" si="10"/>
        <v>#N/A</v>
      </c>
      <c r="BA19" s="698"/>
    </row>
    <row r="20" spans="2:53">
      <c r="B20" s="676"/>
      <c r="C20" s="537">
        <v>14</v>
      </c>
      <c r="D20" s="225"/>
      <c r="E20" s="535"/>
      <c r="F20" s="534"/>
      <c r="G20" s="536"/>
      <c r="H20" s="655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7"/>
      <c r="M20" s="513" t="e">
        <f>RANK(K20, K$7:$K$21)</f>
        <v>#VALUE!</v>
      </c>
      <c r="N20" s="641"/>
      <c r="O20" s="641"/>
      <c r="P20" s="537" t="s">
        <v>585</v>
      </c>
      <c r="Q20" s="513" t="s">
        <v>585</v>
      </c>
      <c r="R20" s="513" t="s">
        <v>585</v>
      </c>
      <c r="S20" s="562" t="e">
        <f t="shared" si="12"/>
        <v>#VALUE!</v>
      </c>
      <c r="T20" s="642"/>
      <c r="U20" s="537" t="s">
        <v>585</v>
      </c>
      <c r="V20" s="513" t="s">
        <v>585</v>
      </c>
      <c r="W20" s="513" t="s">
        <v>585</v>
      </c>
      <c r="X20" s="562" t="e">
        <f t="shared" si="13"/>
        <v>#VALUE!</v>
      </c>
      <c r="Y20" s="642"/>
      <c r="Z20" s="537" t="s">
        <v>585</v>
      </c>
      <c r="AA20" s="513" t="s">
        <v>585</v>
      </c>
      <c r="AB20" s="513" t="s">
        <v>585</v>
      </c>
      <c r="AC20" s="562" t="e">
        <f t="shared" si="14"/>
        <v>#VALUE!</v>
      </c>
      <c r="AD20" s="642"/>
      <c r="AE20" s="537" t="s">
        <v>585</v>
      </c>
      <c r="AF20" s="513" t="s">
        <v>585</v>
      </c>
      <c r="AG20" s="513" t="s">
        <v>585</v>
      </c>
      <c r="AH20" s="562" t="e">
        <f t="shared" si="15"/>
        <v>#VALUE!</v>
      </c>
      <c r="AI20" s="642"/>
      <c r="AJ20" s="537" t="s">
        <v>585</v>
      </c>
      <c r="AK20" s="513" t="s">
        <v>585</v>
      </c>
      <c r="AL20" s="513" t="s">
        <v>585</v>
      </c>
      <c r="AM20" s="562" t="e">
        <f t="shared" si="16"/>
        <v>#VALUE!</v>
      </c>
      <c r="AN20" s="642"/>
      <c r="AO20" s="537" t="s">
        <v>585</v>
      </c>
      <c r="AP20" s="513" t="s">
        <v>585</v>
      </c>
      <c r="AQ20" s="513" t="s">
        <v>585</v>
      </c>
      <c r="AR20" s="562" t="e">
        <f t="shared" si="17"/>
        <v>#VALUE!</v>
      </c>
      <c r="AS20" s="642"/>
      <c r="AT20" s="534" t="s">
        <v>585</v>
      </c>
      <c r="AU20" s="535" t="s">
        <v>585</v>
      </c>
      <c r="AV20" s="535" t="s">
        <v>585</v>
      </c>
      <c r="AW20" s="562" t="e">
        <f t="shared" si="18"/>
        <v>#VALUE!</v>
      </c>
      <c r="AX20" s="642"/>
      <c r="AZ20" s="369" t="e">
        <f t="shared" si="10"/>
        <v>#N/A</v>
      </c>
      <c r="BA20" s="698"/>
    </row>
    <row r="21" spans="2:53">
      <c r="B21" s="676"/>
      <c r="C21" s="537">
        <v>15</v>
      </c>
      <c r="D21" s="225"/>
      <c r="E21" s="535"/>
      <c r="F21" s="534"/>
      <c r="G21" s="536"/>
      <c r="H21" s="712"/>
      <c r="I21" s="537"/>
      <c r="J21" s="537"/>
      <c r="K21" s="537"/>
      <c r="L21" s="658"/>
      <c r="M21" s="513" t="e">
        <f>RANK(K21, K$7:$K$21)</f>
        <v>#N/A</v>
      </c>
      <c r="N21" s="641"/>
      <c r="O21" s="641"/>
      <c r="P21" s="537" t="s">
        <v>585</v>
      </c>
      <c r="Q21" s="513" t="s">
        <v>585</v>
      </c>
      <c r="R21" s="513" t="s">
        <v>585</v>
      </c>
      <c r="S21" s="562" t="e">
        <f t="shared" si="12"/>
        <v>#VALUE!</v>
      </c>
      <c r="T21" s="642"/>
      <c r="U21" s="537" t="s">
        <v>585</v>
      </c>
      <c r="V21" s="513" t="s">
        <v>585</v>
      </c>
      <c r="W21" s="513" t="s">
        <v>585</v>
      </c>
      <c r="X21" s="562" t="e">
        <f t="shared" si="13"/>
        <v>#VALUE!</v>
      </c>
      <c r="Y21" s="642"/>
      <c r="Z21" s="537" t="s">
        <v>585</v>
      </c>
      <c r="AA21" s="513" t="s">
        <v>585</v>
      </c>
      <c r="AB21" s="513" t="s">
        <v>585</v>
      </c>
      <c r="AC21" s="562" t="e">
        <f t="shared" si="14"/>
        <v>#VALUE!</v>
      </c>
      <c r="AD21" s="642"/>
      <c r="AE21" s="537" t="s">
        <v>585</v>
      </c>
      <c r="AF21" s="513" t="s">
        <v>585</v>
      </c>
      <c r="AG21" s="513" t="s">
        <v>585</v>
      </c>
      <c r="AH21" s="562" t="e">
        <f t="shared" si="15"/>
        <v>#VALUE!</v>
      </c>
      <c r="AI21" s="642"/>
      <c r="AJ21" s="537" t="s">
        <v>585</v>
      </c>
      <c r="AK21" s="513" t="s">
        <v>585</v>
      </c>
      <c r="AL21" s="513" t="s">
        <v>585</v>
      </c>
      <c r="AM21" s="562" t="e">
        <f t="shared" si="16"/>
        <v>#VALUE!</v>
      </c>
      <c r="AN21" s="642"/>
      <c r="AO21" s="537" t="s">
        <v>585</v>
      </c>
      <c r="AP21" s="513" t="s">
        <v>585</v>
      </c>
      <c r="AQ21" s="513" t="s">
        <v>585</v>
      </c>
      <c r="AR21" s="562" t="e">
        <f t="shared" si="17"/>
        <v>#VALUE!</v>
      </c>
      <c r="AS21" s="642"/>
      <c r="AT21" s="534" t="s">
        <v>585</v>
      </c>
      <c r="AU21" s="535" t="s">
        <v>585</v>
      </c>
      <c r="AV21" s="535" t="s">
        <v>585</v>
      </c>
      <c r="AW21" s="562" t="e">
        <f t="shared" si="18"/>
        <v>#VALUE!</v>
      </c>
      <c r="AX21" s="642"/>
      <c r="AZ21" s="369" t="e">
        <f t="shared" si="10"/>
        <v>#N/A</v>
      </c>
      <c r="BA21" s="698"/>
    </row>
    <row r="22" spans="2:53" ht="15.75">
      <c r="B22" s="680" t="s">
        <v>162</v>
      </c>
      <c r="C22" s="681"/>
      <c r="D22" s="681"/>
      <c r="E22" s="681"/>
      <c r="F22" s="681"/>
      <c r="G22" s="681"/>
      <c r="H22" s="681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68">
        <f>P2+7</f>
        <v>46238</v>
      </c>
      <c r="Q22" s="647"/>
      <c r="R22" s="647"/>
      <c r="S22" s="647"/>
      <c r="T22" s="647"/>
      <c r="U22" s="665">
        <f>P22+1</f>
        <v>46239</v>
      </c>
      <c r="V22" s="666"/>
      <c r="W22" s="666"/>
      <c r="X22" s="666"/>
      <c r="Y22" s="667"/>
      <c r="Z22" s="665">
        <f>U22+1</f>
        <v>46240</v>
      </c>
      <c r="AA22" s="666"/>
      <c r="AB22" s="666"/>
      <c r="AC22" s="666"/>
      <c r="AD22" s="667"/>
      <c r="AE22" s="665">
        <f>Z22+1</f>
        <v>46241</v>
      </c>
      <c r="AF22" s="666"/>
      <c r="AG22" s="666"/>
      <c r="AH22" s="666"/>
      <c r="AI22" s="667"/>
      <c r="AJ22" s="665">
        <f>AE22+1</f>
        <v>46242</v>
      </c>
      <c r="AK22" s="666"/>
      <c r="AL22" s="666"/>
      <c r="AM22" s="666"/>
      <c r="AN22" s="667"/>
      <c r="AO22" s="665">
        <f>AJ22+1</f>
        <v>46243</v>
      </c>
      <c r="AP22" s="666"/>
      <c r="AQ22" s="666"/>
      <c r="AR22" s="666"/>
      <c r="AS22" s="667"/>
      <c r="AT22" s="665">
        <f>AO22+1</f>
        <v>46244</v>
      </c>
      <c r="AU22" s="666"/>
      <c r="AV22" s="666"/>
      <c r="AW22" s="666"/>
      <c r="AX22" s="667"/>
    </row>
    <row r="23" spans="2:53" ht="15.75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45"/>
      <c r="O23" s="645"/>
      <c r="P23" s="668" t="s">
        <v>317</v>
      </c>
      <c r="Q23" s="647"/>
      <c r="R23" s="647"/>
      <c r="S23" s="647"/>
      <c r="T23" s="647"/>
      <c r="U23" s="668" t="s">
        <v>318</v>
      </c>
      <c r="V23" s="647"/>
      <c r="W23" s="647"/>
      <c r="X23" s="647"/>
      <c r="Y23" s="647"/>
      <c r="Z23" s="668" t="s">
        <v>319</v>
      </c>
      <c r="AA23" s="647"/>
      <c r="AB23" s="647"/>
      <c r="AC23" s="647"/>
      <c r="AD23" s="647"/>
      <c r="AE23" s="668" t="s">
        <v>320</v>
      </c>
      <c r="AF23" s="647"/>
      <c r="AG23" s="647"/>
      <c r="AH23" s="647"/>
      <c r="AI23" s="647"/>
      <c r="AJ23" s="668" t="s">
        <v>321</v>
      </c>
      <c r="AK23" s="647"/>
      <c r="AL23" s="647"/>
      <c r="AM23" s="647"/>
      <c r="AN23" s="647"/>
      <c r="AO23" s="668" t="s">
        <v>322</v>
      </c>
      <c r="AP23" s="647"/>
      <c r="AQ23" s="647"/>
      <c r="AR23" s="647"/>
      <c r="AS23" s="647"/>
      <c r="AT23" s="668" t="s">
        <v>323</v>
      </c>
      <c r="AU23" s="647"/>
      <c r="AV23" s="647"/>
      <c r="AW23" s="647"/>
      <c r="AX23" s="647"/>
    </row>
    <row r="24" spans="2:53">
      <c r="B24" s="641" t="s">
        <v>154</v>
      </c>
      <c r="C24" s="641" t="s">
        <v>532</v>
      </c>
      <c r="D24" s="641"/>
      <c r="E24" s="641" t="s">
        <v>533</v>
      </c>
      <c r="F24" s="641"/>
      <c r="G24" s="641"/>
      <c r="H24" s="673" t="s">
        <v>534</v>
      </c>
      <c r="I24" s="641" t="s">
        <v>535</v>
      </c>
      <c r="J24" s="641"/>
      <c r="K24" s="641"/>
      <c r="L24" s="673" t="s">
        <v>366</v>
      </c>
      <c r="M24" s="643" t="s">
        <v>536</v>
      </c>
      <c r="N24" s="641"/>
      <c r="O24" s="641" t="s">
        <v>372</v>
      </c>
      <c r="P24" s="659" t="s">
        <v>368</v>
      </c>
      <c r="Q24" s="660"/>
      <c r="R24" s="660"/>
      <c r="S24" s="661"/>
      <c r="T24" s="641" t="s">
        <v>366</v>
      </c>
      <c r="U24" s="659" t="s">
        <v>368</v>
      </c>
      <c r="V24" s="660"/>
      <c r="W24" s="660"/>
      <c r="X24" s="661"/>
      <c r="Y24" s="641" t="s">
        <v>366</v>
      </c>
      <c r="Z24" s="659" t="s">
        <v>368</v>
      </c>
      <c r="AA24" s="660"/>
      <c r="AB24" s="660"/>
      <c r="AC24" s="661"/>
      <c r="AD24" s="641" t="s">
        <v>366</v>
      </c>
      <c r="AE24" s="659" t="s">
        <v>368</v>
      </c>
      <c r="AF24" s="660"/>
      <c r="AG24" s="660"/>
      <c r="AH24" s="661"/>
      <c r="AI24" s="641" t="s">
        <v>366</v>
      </c>
      <c r="AJ24" s="659" t="s">
        <v>368</v>
      </c>
      <c r="AK24" s="660"/>
      <c r="AL24" s="660"/>
      <c r="AM24" s="661"/>
      <c r="AN24" s="641" t="s">
        <v>366</v>
      </c>
      <c r="AO24" s="659" t="s">
        <v>368</v>
      </c>
      <c r="AP24" s="660"/>
      <c r="AQ24" s="660"/>
      <c r="AR24" s="661"/>
      <c r="AS24" s="641" t="s">
        <v>366</v>
      </c>
      <c r="AT24" s="659" t="s">
        <v>368</v>
      </c>
      <c r="AU24" s="660"/>
      <c r="AV24" s="660"/>
      <c r="AW24" s="661"/>
      <c r="AX24" s="641" t="s">
        <v>366</v>
      </c>
      <c r="BA24" s="641" t="s">
        <v>366</v>
      </c>
    </row>
    <row r="25" spans="2:53">
      <c r="B25" s="641"/>
      <c r="C25" s="641"/>
      <c r="D25" s="641"/>
      <c r="E25" s="641" t="s">
        <v>538</v>
      </c>
      <c r="F25" s="641"/>
      <c r="G25" s="641"/>
      <c r="H25" s="674"/>
      <c r="I25" s="641" t="s">
        <v>538</v>
      </c>
      <c r="J25" s="641"/>
      <c r="K25" s="641"/>
      <c r="L25" s="674"/>
      <c r="M25" s="644"/>
      <c r="N25" s="641"/>
      <c r="O25" s="641"/>
      <c r="P25" s="659" t="s">
        <v>374</v>
      </c>
      <c r="Q25" s="660"/>
      <c r="R25" s="660"/>
      <c r="S25" s="661"/>
      <c r="T25" s="641"/>
      <c r="U25" s="659" t="s">
        <v>374</v>
      </c>
      <c r="V25" s="660"/>
      <c r="W25" s="660"/>
      <c r="X25" s="661"/>
      <c r="Y25" s="641"/>
      <c r="Z25" s="659" t="s">
        <v>374</v>
      </c>
      <c r="AA25" s="660"/>
      <c r="AB25" s="660"/>
      <c r="AC25" s="661"/>
      <c r="AD25" s="641"/>
      <c r="AE25" s="659" t="s">
        <v>374</v>
      </c>
      <c r="AF25" s="660"/>
      <c r="AG25" s="660"/>
      <c r="AH25" s="661"/>
      <c r="AI25" s="641"/>
      <c r="AJ25" s="659" t="s">
        <v>374</v>
      </c>
      <c r="AK25" s="660"/>
      <c r="AL25" s="660"/>
      <c r="AM25" s="661"/>
      <c r="AN25" s="641"/>
      <c r="AO25" s="659" t="s">
        <v>374</v>
      </c>
      <c r="AP25" s="660"/>
      <c r="AQ25" s="660"/>
      <c r="AR25" s="661"/>
      <c r="AS25" s="641"/>
      <c r="AT25" s="659" t="s">
        <v>374</v>
      </c>
      <c r="AU25" s="660"/>
      <c r="AV25" s="660"/>
      <c r="AW25" s="661"/>
      <c r="AX25" s="641"/>
      <c r="BA25" s="641"/>
    </row>
    <row r="26" spans="2:53">
      <c r="B26" s="641"/>
      <c r="C26" s="641"/>
      <c r="D26" s="641"/>
      <c r="E26" s="378" t="s">
        <v>539</v>
      </c>
      <c r="F26" s="378" t="s">
        <v>540</v>
      </c>
      <c r="G26" s="378" t="s">
        <v>541</v>
      </c>
      <c r="H26" s="675"/>
      <c r="I26" s="378" t="s">
        <v>539</v>
      </c>
      <c r="J26" s="378" t="s">
        <v>540</v>
      </c>
      <c r="K26" s="378" t="s">
        <v>541</v>
      </c>
      <c r="L26" s="675"/>
      <c r="M26" s="645"/>
      <c r="N26" s="641"/>
      <c r="O26" s="641"/>
      <c r="P26" s="378" t="s">
        <v>375</v>
      </c>
      <c r="Q26" s="378" t="s">
        <v>376</v>
      </c>
      <c r="R26" s="378" t="s">
        <v>377</v>
      </c>
      <c r="S26" s="378" t="s">
        <v>367</v>
      </c>
      <c r="T26" s="641"/>
      <c r="U26" s="378" t="s">
        <v>375</v>
      </c>
      <c r="V26" s="378" t="s">
        <v>376</v>
      </c>
      <c r="W26" s="378" t="s">
        <v>377</v>
      </c>
      <c r="X26" s="378" t="s">
        <v>367</v>
      </c>
      <c r="Y26" s="641"/>
      <c r="Z26" s="378" t="s">
        <v>375</v>
      </c>
      <c r="AA26" s="378" t="s">
        <v>376</v>
      </c>
      <c r="AB26" s="378" t="s">
        <v>377</v>
      </c>
      <c r="AC26" s="378" t="s">
        <v>367</v>
      </c>
      <c r="AD26" s="641"/>
      <c r="AE26" s="378" t="s">
        <v>375</v>
      </c>
      <c r="AF26" s="378" t="s">
        <v>376</v>
      </c>
      <c r="AG26" s="378" t="s">
        <v>377</v>
      </c>
      <c r="AH26" s="378" t="s">
        <v>367</v>
      </c>
      <c r="AI26" s="641"/>
      <c r="AJ26" s="378" t="s">
        <v>375</v>
      </c>
      <c r="AK26" s="378" t="s">
        <v>376</v>
      </c>
      <c r="AL26" s="378" t="s">
        <v>377</v>
      </c>
      <c r="AM26" s="378" t="s">
        <v>367</v>
      </c>
      <c r="AN26" s="641"/>
      <c r="AO26" s="378" t="s">
        <v>375</v>
      </c>
      <c r="AP26" s="378" t="s">
        <v>376</v>
      </c>
      <c r="AQ26" s="378" t="s">
        <v>377</v>
      </c>
      <c r="AR26" s="378" t="s">
        <v>367</v>
      </c>
      <c r="AS26" s="641"/>
      <c r="AT26" s="378" t="s">
        <v>375</v>
      </c>
      <c r="AU26" s="378" t="s">
        <v>376</v>
      </c>
      <c r="AV26" s="378" t="s">
        <v>377</v>
      </c>
      <c r="AW26" s="378" t="s">
        <v>367</v>
      </c>
      <c r="AX26" s="641"/>
      <c r="AZ26" s="367" t="s">
        <v>367</v>
      </c>
      <c r="BA26" s="641"/>
    </row>
    <row r="27" spans="2:53">
      <c r="B27" s="641" t="s">
        <v>440</v>
      </c>
      <c r="C27" s="380">
        <v>1</v>
      </c>
      <c r="D27" s="225" t="s">
        <v>350</v>
      </c>
      <c r="E27" s="535">
        <v>20</v>
      </c>
      <c r="F27" s="534">
        <v>2400</v>
      </c>
      <c r="G27" s="536">
        <v>120</v>
      </c>
      <c r="H27" s="654">
        <f>AVERAGE(G27:G41)</f>
        <v>137.20067140891442</v>
      </c>
      <c r="I27" s="381">
        <f t="shared" ref="I27:I40" si="19">IFERROR(AVERAGE(P27,U27,Z27,AE27,AJ27,AO27,AT27),"-")</f>
        <v>20</v>
      </c>
      <c r="J27" s="381">
        <f t="shared" ref="J27:J40" si="20">IFERROR(AVERAGE(Q27,V27,AA27,AF27,AK27,AP27,AU27),"-")</f>
        <v>2354.773521514162</v>
      </c>
      <c r="K27" s="199">
        <f t="shared" ref="K27:K40" si="21">IFERROR(AVERAGE(R27,W27,AB27,AG27,AL27,AQ27,AV27),"-")</f>
        <v>117.73867607570807</v>
      </c>
      <c r="L27" s="656">
        <f>IFERROR(AVERAGE(K27:K41),"-")</f>
        <v>126.32730361369977</v>
      </c>
      <c r="M27" s="385">
        <f>RANK(K27, K$24:$K$41)</f>
        <v>9</v>
      </c>
      <c r="N27" s="641"/>
      <c r="O27" s="641"/>
      <c r="P27" s="556">
        <v>20</v>
      </c>
      <c r="Q27" s="557">
        <v>2320.0000000000005</v>
      </c>
      <c r="R27" s="557">
        <v>116.00000000000003</v>
      </c>
      <c r="S27" s="556">
        <f t="shared" ref="S27:S41" si="22">RANK(R27, R$27:R$41)</f>
        <v>9</v>
      </c>
      <c r="T27" s="636">
        <f t="shared" ref="T27" si="23">AVERAGE(R27:R41)</f>
        <v>125.13224483270596</v>
      </c>
      <c r="U27" s="556">
        <v>20</v>
      </c>
      <c r="V27" s="557">
        <v>2341.4906832298138</v>
      </c>
      <c r="W27" s="557">
        <v>117.07453416149069</v>
      </c>
      <c r="X27" s="556">
        <f t="shared" ref="X27:X41" si="24">RANK(W27, W$27:W$41)</f>
        <v>10</v>
      </c>
      <c r="Y27" s="636">
        <f t="shared" ref="Y27" si="25">AVERAGE(W27:W41)</f>
        <v>126.15883232979381</v>
      </c>
      <c r="Z27" s="556">
        <v>20</v>
      </c>
      <c r="AA27" s="557">
        <v>2377.2781065088752</v>
      </c>
      <c r="AB27" s="557">
        <v>118.86390532544377</v>
      </c>
      <c r="AC27" s="556">
        <f t="shared" ref="AC27:AC41" si="26">RANK(AB27, AB$27:AB$41)</f>
        <v>9</v>
      </c>
      <c r="AD27" s="636">
        <f t="shared" ref="AD27" si="27">AVERAGE(AB27:AB41)</f>
        <v>130.50296968522233</v>
      </c>
      <c r="AE27" s="556">
        <v>20</v>
      </c>
      <c r="AF27" s="557">
        <v>2387.3291925465837</v>
      </c>
      <c r="AG27" s="557">
        <v>119.36645962732919</v>
      </c>
      <c r="AH27" s="556">
        <f t="shared" ref="AH27:AH41" si="28">RANK(AG27, AG$27:AG$41)</f>
        <v>9</v>
      </c>
      <c r="AI27" s="636">
        <f t="shared" ref="AI27" si="29">AVERAGE(AG27:AG41)</f>
        <v>129.9614479435777</v>
      </c>
      <c r="AJ27" s="556">
        <v>20</v>
      </c>
      <c r="AK27" s="557">
        <v>2360.5813953488368</v>
      </c>
      <c r="AL27" s="557">
        <v>118.02906976744184</v>
      </c>
      <c r="AM27" s="556">
        <f t="shared" ref="AM27:AM41" si="30">RANK(AL27, AL$27:AL$41)</f>
        <v>8</v>
      </c>
      <c r="AN27" s="636">
        <f t="shared" ref="AN27" si="31">AVERAGE(AL27:AL41)</f>
        <v>128.07683738932511</v>
      </c>
      <c r="AO27" s="556">
        <v>20</v>
      </c>
      <c r="AP27" s="557">
        <v>2354.8421052631579</v>
      </c>
      <c r="AQ27" s="557">
        <v>117.7421052631579</v>
      </c>
      <c r="AR27" s="556">
        <f t="shared" ref="AR27:AR41" si="32">RANK(AQ27, AQ$27:AQ$41)</f>
        <v>10</v>
      </c>
      <c r="AS27" s="636">
        <f t="shared" ref="AS27" si="33">AVERAGE(AQ27:AQ41)</f>
        <v>127.47472574537447</v>
      </c>
      <c r="AT27" s="556">
        <v>20</v>
      </c>
      <c r="AU27" s="557">
        <v>2341.8931677018631</v>
      </c>
      <c r="AV27" s="557">
        <v>117.09465838509315</v>
      </c>
      <c r="AW27" s="556">
        <f t="shared" ref="AW27:AW41" si="34">RANK(AV27, AV$27:AV$41)</f>
        <v>8</v>
      </c>
      <c r="AX27" s="636">
        <f t="shared" ref="AX27" si="35">AVERAGE(AV27:AV41)</f>
        <v>127.51587694772761</v>
      </c>
      <c r="AZ27" s="368" t="e">
        <f t="shared" ref="AZ27:AZ41" si="36">RANK(AY27, AY$27:AY$41)</f>
        <v>#N/A</v>
      </c>
      <c r="BA27" s="636" t="e">
        <f t="shared" ref="BA27" si="37">AVERAGE(AY27:AY41)</f>
        <v>#DIV/0!</v>
      </c>
    </row>
    <row r="28" spans="2:53">
      <c r="B28" s="647"/>
      <c r="C28" s="380">
        <v>2</v>
      </c>
      <c r="D28" s="225" t="s">
        <v>351</v>
      </c>
      <c r="E28" s="535">
        <v>18</v>
      </c>
      <c r="F28" s="534">
        <v>2769</v>
      </c>
      <c r="G28" s="536">
        <v>153.83333333333334</v>
      </c>
      <c r="H28" s="655"/>
      <c r="I28" s="381">
        <f t="shared" si="19"/>
        <v>18</v>
      </c>
      <c r="J28" s="381">
        <f t="shared" si="20"/>
        <v>2544.202465586789</v>
      </c>
      <c r="K28" s="199">
        <f t="shared" si="21"/>
        <v>141.3445814214883</v>
      </c>
      <c r="L28" s="657"/>
      <c r="M28" s="388">
        <f>RANK(K28, K$24:$K$41)</f>
        <v>1</v>
      </c>
      <c r="N28" s="641"/>
      <c r="O28" s="641"/>
      <c r="P28" s="556">
        <v>18</v>
      </c>
      <c r="Q28" s="557">
        <v>2497.1428571428596</v>
      </c>
      <c r="R28" s="557">
        <v>138.73015873015888</v>
      </c>
      <c r="S28" s="556">
        <f t="shared" si="22"/>
        <v>2</v>
      </c>
      <c r="T28" s="637"/>
      <c r="U28" s="556">
        <v>18</v>
      </c>
      <c r="V28" s="557">
        <v>2511.0000000000023</v>
      </c>
      <c r="W28" s="557">
        <v>139.50000000000011</v>
      </c>
      <c r="X28" s="556">
        <f t="shared" si="24"/>
        <v>1</v>
      </c>
      <c r="Y28" s="637"/>
      <c r="Z28" s="556">
        <v>18</v>
      </c>
      <c r="AA28" s="557">
        <v>2570.6896551724153</v>
      </c>
      <c r="AB28" s="557">
        <v>142.81609195402308</v>
      </c>
      <c r="AC28" s="556">
        <f t="shared" si="26"/>
        <v>1</v>
      </c>
      <c r="AD28" s="637"/>
      <c r="AE28" s="556">
        <v>18</v>
      </c>
      <c r="AF28" s="557">
        <v>2573.1147540983634</v>
      </c>
      <c r="AG28" s="557">
        <v>142.9508196721313</v>
      </c>
      <c r="AH28" s="556">
        <f t="shared" si="28"/>
        <v>1</v>
      </c>
      <c r="AI28" s="637"/>
      <c r="AJ28" s="556">
        <v>18</v>
      </c>
      <c r="AK28" s="557">
        <v>2538.1818181818207</v>
      </c>
      <c r="AL28" s="557">
        <v>141.01010101010115</v>
      </c>
      <c r="AM28" s="556">
        <f t="shared" si="30"/>
        <v>3</v>
      </c>
      <c r="AN28" s="637"/>
      <c r="AO28" s="556">
        <v>18</v>
      </c>
      <c r="AP28" s="557">
        <v>2553.1343283582123</v>
      </c>
      <c r="AQ28" s="557">
        <v>141.84079601990069</v>
      </c>
      <c r="AR28" s="556">
        <f t="shared" si="32"/>
        <v>1</v>
      </c>
      <c r="AS28" s="637"/>
      <c r="AT28" s="556">
        <v>18</v>
      </c>
      <c r="AU28" s="557">
        <v>2566.1538461538489</v>
      </c>
      <c r="AV28" s="557">
        <v>142.56410256410271</v>
      </c>
      <c r="AW28" s="556">
        <f t="shared" si="34"/>
        <v>1</v>
      </c>
      <c r="AX28" s="637"/>
      <c r="AZ28" s="368" t="e">
        <f t="shared" si="36"/>
        <v>#N/A</v>
      </c>
      <c r="BA28" s="637"/>
    </row>
    <row r="29" spans="2:53">
      <c r="B29" s="647"/>
      <c r="C29" s="380">
        <v>3</v>
      </c>
      <c r="D29" s="225" t="s">
        <v>352</v>
      </c>
      <c r="E29" s="535">
        <v>19</v>
      </c>
      <c r="F29" s="534">
        <v>2769</v>
      </c>
      <c r="G29" s="536">
        <v>145.73684210526315</v>
      </c>
      <c r="H29" s="655"/>
      <c r="I29" s="381">
        <f t="shared" si="19"/>
        <v>18.714285714285715</v>
      </c>
      <c r="J29" s="381">
        <f t="shared" si="20"/>
        <v>2363.8339007282061</v>
      </c>
      <c r="K29" s="199">
        <f t="shared" si="21"/>
        <v>126.37097751916981</v>
      </c>
      <c r="L29" s="657"/>
      <c r="M29" s="388">
        <f>RANK(K29, K$24:$K$41)</f>
        <v>7</v>
      </c>
      <c r="N29" s="641"/>
      <c r="O29" s="641"/>
      <c r="P29" s="556">
        <v>19</v>
      </c>
      <c r="Q29" s="557">
        <v>2377.5824175824177</v>
      </c>
      <c r="R29" s="557">
        <v>125.13591671486409</v>
      </c>
      <c r="S29" s="556">
        <f t="shared" si="22"/>
        <v>7</v>
      </c>
      <c r="T29" s="637"/>
      <c r="U29" s="556">
        <v>19</v>
      </c>
      <c r="V29" s="557">
        <v>2368.2758620689651</v>
      </c>
      <c r="W29" s="557">
        <v>124.64609800362975</v>
      </c>
      <c r="X29" s="556">
        <f t="shared" si="24"/>
        <v>7</v>
      </c>
      <c r="Y29" s="637"/>
      <c r="Z29" s="556">
        <v>18</v>
      </c>
      <c r="AA29" s="557">
        <v>2314.6666666666665</v>
      </c>
      <c r="AB29" s="557">
        <v>128.59259259259258</v>
      </c>
      <c r="AC29" s="556">
        <f t="shared" si="26"/>
        <v>8</v>
      </c>
      <c r="AD29" s="637"/>
      <c r="AE29" s="556">
        <v>18</v>
      </c>
      <c r="AF29" s="557">
        <v>2374.3820224719102</v>
      </c>
      <c r="AG29" s="557">
        <v>131.91011235955057</v>
      </c>
      <c r="AH29" s="556">
        <f t="shared" si="28"/>
        <v>5</v>
      </c>
      <c r="AI29" s="637"/>
      <c r="AJ29" s="556">
        <v>19</v>
      </c>
      <c r="AK29" s="557">
        <v>2392.978723404256</v>
      </c>
      <c r="AL29" s="557">
        <v>125.946248600224</v>
      </c>
      <c r="AM29" s="556">
        <f t="shared" si="30"/>
        <v>7</v>
      </c>
      <c r="AN29" s="637"/>
      <c r="AO29" s="556">
        <v>19</v>
      </c>
      <c r="AP29" s="557">
        <v>2352.5000000000005</v>
      </c>
      <c r="AQ29" s="557">
        <v>123.81578947368423</v>
      </c>
      <c r="AR29" s="556">
        <f t="shared" si="32"/>
        <v>7</v>
      </c>
      <c r="AS29" s="637"/>
      <c r="AT29" s="556">
        <v>19</v>
      </c>
      <c r="AU29" s="557">
        <v>2366.4516129032259</v>
      </c>
      <c r="AV29" s="557">
        <v>124.55008488964347</v>
      </c>
      <c r="AW29" s="556">
        <f t="shared" si="34"/>
        <v>7</v>
      </c>
      <c r="AX29" s="637"/>
      <c r="AZ29" s="368" t="e">
        <f t="shared" si="36"/>
        <v>#N/A</v>
      </c>
      <c r="BA29" s="637"/>
    </row>
    <row r="30" spans="2:53">
      <c r="B30" s="647"/>
      <c r="C30" s="380">
        <v>4</v>
      </c>
      <c r="D30" s="225" t="s">
        <v>353</v>
      </c>
      <c r="E30" s="535">
        <v>20</v>
      </c>
      <c r="F30" s="534">
        <v>2769</v>
      </c>
      <c r="G30" s="536">
        <v>138.44999999999999</v>
      </c>
      <c r="H30" s="655"/>
      <c r="I30" s="381">
        <f t="shared" si="19"/>
        <v>19.285714285714285</v>
      </c>
      <c r="J30" s="381">
        <f t="shared" si="20"/>
        <v>2528.4986006792315</v>
      </c>
      <c r="K30" s="199">
        <f t="shared" si="21"/>
        <v>131.15395026099458</v>
      </c>
      <c r="L30" s="657"/>
      <c r="M30" s="388">
        <f>RANK(K30, K$24:$K$41)</f>
        <v>6</v>
      </c>
      <c r="N30" s="641"/>
      <c r="O30" s="641"/>
      <c r="P30" s="556">
        <v>19</v>
      </c>
      <c r="Q30" s="557">
        <v>2493.9130434782592</v>
      </c>
      <c r="R30" s="557">
        <v>131.25858123569785</v>
      </c>
      <c r="S30" s="556">
        <f t="shared" si="22"/>
        <v>5</v>
      </c>
      <c r="T30" s="637"/>
      <c r="U30" s="556">
        <v>19</v>
      </c>
      <c r="V30" s="557">
        <v>2553.4615384615395</v>
      </c>
      <c r="W30" s="557">
        <v>134.39271255060734</v>
      </c>
      <c r="X30" s="556">
        <f t="shared" si="24"/>
        <v>4</v>
      </c>
      <c r="Y30" s="637"/>
      <c r="Z30" s="556">
        <v>19</v>
      </c>
      <c r="AA30" s="557">
        <v>2553.7105263157873</v>
      </c>
      <c r="AB30" s="557">
        <v>134.40581717451514</v>
      </c>
      <c r="AC30" s="556">
        <f t="shared" si="26"/>
        <v>4</v>
      </c>
      <c r="AD30" s="637"/>
      <c r="AE30" s="556">
        <v>19</v>
      </c>
      <c r="AF30" s="557">
        <v>2486.6086956521831</v>
      </c>
      <c r="AG30" s="557">
        <v>130.87414187643068</v>
      </c>
      <c r="AH30" s="556">
        <f t="shared" si="28"/>
        <v>7</v>
      </c>
      <c r="AI30" s="637"/>
      <c r="AJ30" s="556">
        <v>19</v>
      </c>
      <c r="AK30" s="557">
        <v>2491.4999999999923</v>
      </c>
      <c r="AL30" s="557">
        <v>131.13157894736801</v>
      </c>
      <c r="AM30" s="556">
        <f t="shared" si="30"/>
        <v>6</v>
      </c>
      <c r="AN30" s="637"/>
      <c r="AO30" s="556">
        <v>20</v>
      </c>
      <c r="AP30" s="557">
        <v>2558.4615384615372</v>
      </c>
      <c r="AQ30" s="557">
        <v>127.92307692307686</v>
      </c>
      <c r="AR30" s="556">
        <f t="shared" si="32"/>
        <v>6</v>
      </c>
      <c r="AS30" s="637"/>
      <c r="AT30" s="556">
        <v>20</v>
      </c>
      <c r="AU30" s="557">
        <v>2561.8348623853226</v>
      </c>
      <c r="AV30" s="557">
        <v>128.09174311926614</v>
      </c>
      <c r="AW30" s="556">
        <f t="shared" si="34"/>
        <v>6</v>
      </c>
      <c r="AX30" s="637"/>
      <c r="AZ30" s="368" t="e">
        <f t="shared" si="36"/>
        <v>#N/A</v>
      </c>
      <c r="BA30" s="637"/>
    </row>
    <row r="31" spans="2:53">
      <c r="B31" s="647"/>
      <c r="C31" s="380">
        <v>5</v>
      </c>
      <c r="D31" s="225" t="s">
        <v>511</v>
      </c>
      <c r="E31" s="535">
        <v>18</v>
      </c>
      <c r="F31" s="534">
        <v>2400</v>
      </c>
      <c r="G31" s="536">
        <v>133.33333333333334</v>
      </c>
      <c r="H31" s="655"/>
      <c r="I31" s="381">
        <f t="shared" si="19"/>
        <v>17.571428571428573</v>
      </c>
      <c r="J31" s="381">
        <f t="shared" si="20"/>
        <v>2174.3684156963404</v>
      </c>
      <c r="K31" s="199">
        <f t="shared" si="21"/>
        <v>123.85331186818993</v>
      </c>
      <c r="L31" s="657"/>
      <c r="M31" s="388">
        <f>RANK(K31, K$24:$K$41)</f>
        <v>8</v>
      </c>
      <c r="N31" s="641"/>
      <c r="O31" s="641"/>
      <c r="P31" s="556">
        <v>18</v>
      </c>
      <c r="Q31" s="557">
        <v>2188.4210526315806</v>
      </c>
      <c r="R31" s="557">
        <v>121.57894736842114</v>
      </c>
      <c r="S31" s="556">
        <f t="shared" si="22"/>
        <v>8</v>
      </c>
      <c r="T31" s="637"/>
      <c r="U31" s="556">
        <v>18</v>
      </c>
      <c r="V31" s="557">
        <v>2194.5762711864422</v>
      </c>
      <c r="W31" s="557">
        <v>121.92090395480234</v>
      </c>
      <c r="X31" s="556">
        <f t="shared" si="24"/>
        <v>8</v>
      </c>
      <c r="Y31" s="637"/>
      <c r="Z31" s="556">
        <v>17</v>
      </c>
      <c r="AA31" s="557">
        <v>2243.5714285714303</v>
      </c>
      <c r="AB31" s="557">
        <v>131.97478991596648</v>
      </c>
      <c r="AC31" s="556">
        <f t="shared" si="26"/>
        <v>6</v>
      </c>
      <c r="AD31" s="637"/>
      <c r="AE31" s="556">
        <v>17</v>
      </c>
      <c r="AF31" s="557">
        <v>2078.2758620689669</v>
      </c>
      <c r="AG31" s="557">
        <v>122.25152129817452</v>
      </c>
      <c r="AH31" s="556">
        <f t="shared" si="28"/>
        <v>8</v>
      </c>
      <c r="AI31" s="637"/>
      <c r="AJ31" s="556">
        <v>18</v>
      </c>
      <c r="AK31" s="557">
        <v>2066.1290322580662</v>
      </c>
      <c r="AL31" s="557">
        <v>114.78494623655924</v>
      </c>
      <c r="AM31" s="556">
        <f t="shared" si="30"/>
        <v>10</v>
      </c>
      <c r="AN31" s="637"/>
      <c r="AO31" s="556">
        <v>18</v>
      </c>
      <c r="AP31" s="557">
        <v>2227.5000000000027</v>
      </c>
      <c r="AQ31" s="557">
        <v>123.75000000000016</v>
      </c>
      <c r="AR31" s="556">
        <f t="shared" si="32"/>
        <v>8</v>
      </c>
      <c r="AS31" s="637"/>
      <c r="AT31" s="556">
        <v>17</v>
      </c>
      <c r="AU31" s="557">
        <v>2222.1052631578964</v>
      </c>
      <c r="AV31" s="557">
        <v>130.71207430340567</v>
      </c>
      <c r="AW31" s="556">
        <f t="shared" si="34"/>
        <v>5</v>
      </c>
      <c r="AX31" s="637"/>
      <c r="AZ31" s="368" t="e">
        <f t="shared" si="36"/>
        <v>#N/A</v>
      </c>
      <c r="BA31" s="637"/>
    </row>
    <row r="32" spans="2:53">
      <c r="B32" s="647"/>
      <c r="C32" s="380">
        <v>6</v>
      </c>
      <c r="D32" s="225" t="s">
        <v>593</v>
      </c>
      <c r="E32" s="535">
        <v>17</v>
      </c>
      <c r="F32" s="534">
        <v>2571</v>
      </c>
      <c r="G32" s="536">
        <v>151.23529411764707</v>
      </c>
      <c r="H32" s="655"/>
      <c r="I32" s="381">
        <f t="shared" si="19"/>
        <v>17</v>
      </c>
      <c r="J32" s="381">
        <f t="shared" si="20"/>
        <v>2381.675824175823</v>
      </c>
      <c r="K32" s="199">
        <f t="shared" si="21"/>
        <v>140.09857789269546</v>
      </c>
      <c r="L32" s="657"/>
      <c r="M32" s="388">
        <f>RANK(K32, K$24:$K$41)</f>
        <v>2</v>
      </c>
      <c r="N32" s="641"/>
      <c r="O32" s="641"/>
      <c r="P32" s="556">
        <v>17</v>
      </c>
      <c r="Q32" s="557">
        <v>2349.2307692307677</v>
      </c>
      <c r="R32" s="557">
        <v>138.1900452488687</v>
      </c>
      <c r="S32" s="556">
        <f t="shared" si="22"/>
        <v>3</v>
      </c>
      <c r="T32" s="637"/>
      <c r="U32" s="556">
        <v>17</v>
      </c>
      <c r="V32" s="557">
        <v>2359.4999999999991</v>
      </c>
      <c r="W32" s="557">
        <v>138.79411764705878</v>
      </c>
      <c r="X32" s="556">
        <f t="shared" si="24"/>
        <v>2</v>
      </c>
      <c r="Y32" s="637"/>
      <c r="Z32" s="556">
        <v>17</v>
      </c>
      <c r="AA32" s="557">
        <v>2389.2307692307677</v>
      </c>
      <c r="AB32" s="557">
        <v>140.54298642533928</v>
      </c>
      <c r="AC32" s="556">
        <f t="shared" si="26"/>
        <v>2</v>
      </c>
      <c r="AD32" s="637"/>
      <c r="AE32" s="556">
        <v>17</v>
      </c>
      <c r="AF32" s="557">
        <v>2403.076923076922</v>
      </c>
      <c r="AG32" s="557">
        <v>141.35746606334834</v>
      </c>
      <c r="AH32" s="556">
        <f t="shared" si="28"/>
        <v>3</v>
      </c>
      <c r="AI32" s="637"/>
      <c r="AJ32" s="556">
        <v>17</v>
      </c>
      <c r="AK32" s="557">
        <v>2404.6153846153829</v>
      </c>
      <c r="AL32" s="557">
        <v>141.44796380090489</v>
      </c>
      <c r="AM32" s="556">
        <f t="shared" si="30"/>
        <v>2</v>
      </c>
      <c r="AN32" s="637"/>
      <c r="AO32" s="556">
        <v>17</v>
      </c>
      <c r="AP32" s="557">
        <v>2363.076923076922</v>
      </c>
      <c r="AQ32" s="557">
        <v>139.00452488687776</v>
      </c>
      <c r="AR32" s="556">
        <f t="shared" si="32"/>
        <v>2</v>
      </c>
      <c r="AS32" s="637"/>
      <c r="AT32" s="556">
        <v>17</v>
      </c>
      <c r="AU32" s="557">
        <v>2402.9999999999991</v>
      </c>
      <c r="AV32" s="557">
        <v>141.35294117647052</v>
      </c>
      <c r="AW32" s="556">
        <f t="shared" si="34"/>
        <v>2</v>
      </c>
      <c r="AX32" s="637"/>
      <c r="AZ32" s="368" t="e">
        <f t="shared" si="36"/>
        <v>#N/A</v>
      </c>
      <c r="BA32" s="637"/>
    </row>
    <row r="33" spans="2:53">
      <c r="B33" s="647"/>
      <c r="C33" s="380">
        <v>7</v>
      </c>
      <c r="D33" s="225" t="s">
        <v>609</v>
      </c>
      <c r="E33" s="535">
        <v>19</v>
      </c>
      <c r="F33" s="534">
        <v>2400</v>
      </c>
      <c r="G33" s="536">
        <v>126.31578947368421</v>
      </c>
      <c r="H33" s="655"/>
      <c r="I33" s="381">
        <f t="shared" si="19"/>
        <v>18</v>
      </c>
      <c r="J33" s="381">
        <f t="shared" si="20"/>
        <v>2056.3527605399545</v>
      </c>
      <c r="K33" s="199">
        <f t="shared" si="21"/>
        <v>114.38659839451381</v>
      </c>
      <c r="L33" s="657"/>
      <c r="M33" s="388">
        <f>RANK(K33, K$24:$K$41)</f>
        <v>11</v>
      </c>
      <c r="N33" s="641"/>
      <c r="O33" s="641"/>
      <c r="P33" s="556">
        <v>19</v>
      </c>
      <c r="Q33" s="557">
        <v>2146.3636363636365</v>
      </c>
      <c r="R33" s="557">
        <v>112.96650717703351</v>
      </c>
      <c r="S33" s="556">
        <f t="shared" si="22"/>
        <v>11</v>
      </c>
      <c r="T33" s="637"/>
      <c r="U33" s="556">
        <v>18</v>
      </c>
      <c r="V33" s="557">
        <v>2168.181818181818</v>
      </c>
      <c r="W33" s="557">
        <v>120.45454545454544</v>
      </c>
      <c r="X33" s="556">
        <f t="shared" si="24"/>
        <v>9</v>
      </c>
      <c r="Y33" s="637"/>
      <c r="Z33" s="556">
        <v>17</v>
      </c>
      <c r="AA33" s="557">
        <v>1967.5862068965532</v>
      </c>
      <c r="AB33" s="557">
        <v>115.74036511156196</v>
      </c>
      <c r="AC33" s="556">
        <f t="shared" si="26"/>
        <v>11</v>
      </c>
      <c r="AD33" s="637"/>
      <c r="AE33" s="556">
        <v>17</v>
      </c>
      <c r="AF33" s="557">
        <v>2018.181818181818</v>
      </c>
      <c r="AG33" s="557">
        <v>118.71657754010694</v>
      </c>
      <c r="AH33" s="556">
        <f t="shared" si="28"/>
        <v>10</v>
      </c>
      <c r="AI33" s="637"/>
      <c r="AJ33" s="556">
        <v>17</v>
      </c>
      <c r="AK33" s="557">
        <v>1951.4285714285784</v>
      </c>
      <c r="AL33" s="557">
        <v>114.78991596638696</v>
      </c>
      <c r="AM33" s="556">
        <f t="shared" si="30"/>
        <v>9</v>
      </c>
      <c r="AN33" s="637"/>
      <c r="AO33" s="556">
        <v>19</v>
      </c>
      <c r="AP33" s="557">
        <v>2072.7272727272803</v>
      </c>
      <c r="AQ33" s="557">
        <v>109.09090909090949</v>
      </c>
      <c r="AR33" s="556">
        <f t="shared" si="32"/>
        <v>11</v>
      </c>
      <c r="AS33" s="637"/>
      <c r="AT33" s="556">
        <v>19</v>
      </c>
      <c r="AU33" s="557">
        <v>2069.9999999999959</v>
      </c>
      <c r="AV33" s="557">
        <v>108.94736842105242</v>
      </c>
      <c r="AW33" s="556">
        <f t="shared" si="34"/>
        <v>10</v>
      </c>
      <c r="AX33" s="637"/>
      <c r="AZ33" s="368" t="e">
        <f t="shared" si="36"/>
        <v>#N/A</v>
      </c>
      <c r="BA33" s="637"/>
    </row>
    <row r="34" spans="2:53">
      <c r="B34" s="647"/>
      <c r="C34" s="380">
        <v>8</v>
      </c>
      <c r="D34" s="225" t="s">
        <v>617</v>
      </c>
      <c r="E34" s="535">
        <v>18</v>
      </c>
      <c r="F34" s="534">
        <v>2571</v>
      </c>
      <c r="G34" s="536">
        <v>142.83333333333334</v>
      </c>
      <c r="H34" s="655"/>
      <c r="I34" s="381">
        <f t="shared" si="19"/>
        <v>17.285714285714285</v>
      </c>
      <c r="J34" s="381">
        <f t="shared" si="20"/>
        <v>2387.5633794550386</v>
      </c>
      <c r="K34" s="199">
        <f t="shared" si="21"/>
        <v>138.21373499260062</v>
      </c>
      <c r="L34" s="657"/>
      <c r="M34" s="388">
        <f>RANK(K34, K$24:$K$41)</f>
        <v>3</v>
      </c>
      <c r="N34" s="641"/>
      <c r="O34" s="641"/>
      <c r="P34" s="556">
        <v>17</v>
      </c>
      <c r="Q34" s="557">
        <v>2387.3076923076937</v>
      </c>
      <c r="R34" s="557">
        <v>140.42986425339376</v>
      </c>
      <c r="S34" s="556">
        <f t="shared" si="22"/>
        <v>1</v>
      </c>
      <c r="T34" s="637"/>
      <c r="U34" s="556">
        <v>17</v>
      </c>
      <c r="V34" s="557">
        <v>2358.8235294117653</v>
      </c>
      <c r="W34" s="557">
        <v>138.75432525951561</v>
      </c>
      <c r="X34" s="556">
        <f t="shared" si="24"/>
        <v>3</v>
      </c>
      <c r="Y34" s="637"/>
      <c r="Z34" s="556">
        <v>17</v>
      </c>
      <c r="AA34" s="557">
        <v>2373.6000000000004</v>
      </c>
      <c r="AB34" s="557">
        <v>139.62352941176474</v>
      </c>
      <c r="AC34" s="556">
        <f t="shared" si="26"/>
        <v>3</v>
      </c>
      <c r="AD34" s="637"/>
      <c r="AE34" s="556">
        <v>17</v>
      </c>
      <c r="AF34" s="557">
        <v>2406.1224489795927</v>
      </c>
      <c r="AG34" s="557">
        <v>141.53661464585841</v>
      </c>
      <c r="AH34" s="556">
        <f t="shared" si="28"/>
        <v>2</v>
      </c>
      <c r="AI34" s="637"/>
      <c r="AJ34" s="556">
        <v>17</v>
      </c>
      <c r="AK34" s="557">
        <v>2407.9245283018881</v>
      </c>
      <c r="AL34" s="557">
        <v>141.64261931187576</v>
      </c>
      <c r="AM34" s="556">
        <f t="shared" si="30"/>
        <v>1</v>
      </c>
      <c r="AN34" s="637"/>
      <c r="AO34" s="556">
        <v>18</v>
      </c>
      <c r="AP34" s="557">
        <v>2403.3962264150955</v>
      </c>
      <c r="AQ34" s="557">
        <v>133.52201257861643</v>
      </c>
      <c r="AR34" s="556">
        <f t="shared" si="32"/>
        <v>4</v>
      </c>
      <c r="AS34" s="637"/>
      <c r="AT34" s="556">
        <v>18</v>
      </c>
      <c r="AU34" s="557">
        <v>2375.7692307692323</v>
      </c>
      <c r="AV34" s="557">
        <v>131.98717948717956</v>
      </c>
      <c r="AW34" s="556">
        <f t="shared" si="34"/>
        <v>4</v>
      </c>
      <c r="AX34" s="637"/>
      <c r="AZ34" s="368" t="e">
        <f t="shared" si="36"/>
        <v>#N/A</v>
      </c>
      <c r="BA34" s="637"/>
    </row>
    <row r="35" spans="2:53">
      <c r="B35" s="647"/>
      <c r="C35" s="380">
        <v>9</v>
      </c>
      <c r="D35" s="225" t="s">
        <v>620</v>
      </c>
      <c r="E35" s="535">
        <v>19</v>
      </c>
      <c r="F35" s="534">
        <v>2400</v>
      </c>
      <c r="G35" s="536">
        <v>126.31578947368421</v>
      </c>
      <c r="H35" s="655"/>
      <c r="I35" s="381">
        <f t="shared" si="19"/>
        <v>19</v>
      </c>
      <c r="J35" s="381">
        <f t="shared" si="20"/>
        <v>2201.7878127891845</v>
      </c>
      <c r="K35" s="199">
        <f t="shared" si="21"/>
        <v>115.88356909416758</v>
      </c>
      <c r="L35" s="657"/>
      <c r="M35" s="388">
        <f>RANK(K35, K$24:$K$41)</f>
        <v>10</v>
      </c>
      <c r="N35" s="641"/>
      <c r="O35" s="641"/>
      <c r="P35" s="556">
        <v>19</v>
      </c>
      <c r="Q35" s="557">
        <v>2170.3448275862083</v>
      </c>
      <c r="R35" s="557">
        <v>114.22867513611622</v>
      </c>
      <c r="S35" s="556">
        <f t="shared" si="22"/>
        <v>10</v>
      </c>
      <c r="T35" s="637"/>
      <c r="U35" s="556">
        <v>19</v>
      </c>
      <c r="V35" s="557">
        <v>2164.0000000000018</v>
      </c>
      <c r="W35" s="557">
        <v>113.89473684210536</v>
      </c>
      <c r="X35" s="556">
        <f t="shared" si="24"/>
        <v>11</v>
      </c>
      <c r="Y35" s="637"/>
      <c r="Z35" s="556">
        <v>19</v>
      </c>
      <c r="AA35" s="557">
        <v>2237.4193548387061</v>
      </c>
      <c r="AB35" s="557">
        <v>117.75891341256347</v>
      </c>
      <c r="AC35" s="556">
        <f t="shared" si="26"/>
        <v>10</v>
      </c>
      <c r="AD35" s="637"/>
      <c r="AE35" s="556">
        <v>19</v>
      </c>
      <c r="AF35" s="557">
        <v>2202.8571428571381</v>
      </c>
      <c r="AG35" s="557">
        <v>115.9398496240599</v>
      </c>
      <c r="AH35" s="556">
        <f t="shared" si="28"/>
        <v>11</v>
      </c>
      <c r="AI35" s="637"/>
      <c r="AJ35" s="556">
        <v>19</v>
      </c>
      <c r="AK35" s="557">
        <v>2177.1428571428523</v>
      </c>
      <c r="AL35" s="557">
        <v>114.58646616541328</v>
      </c>
      <c r="AM35" s="556">
        <f t="shared" si="30"/>
        <v>11</v>
      </c>
      <c r="AN35" s="637"/>
      <c r="AO35" s="556">
        <v>19</v>
      </c>
      <c r="AP35" s="557">
        <v>2253.1034482758578</v>
      </c>
      <c r="AQ35" s="557">
        <v>118.58439201451883</v>
      </c>
      <c r="AR35" s="556">
        <f t="shared" si="32"/>
        <v>9</v>
      </c>
      <c r="AS35" s="637"/>
      <c r="AT35" s="556">
        <v>19</v>
      </c>
      <c r="AU35" s="557">
        <v>2207.6470588235265</v>
      </c>
      <c r="AV35" s="557">
        <v>116.19195046439613</v>
      </c>
      <c r="AW35" s="556">
        <f t="shared" si="34"/>
        <v>9</v>
      </c>
      <c r="AX35" s="637"/>
      <c r="AZ35" s="368" t="e">
        <f t="shared" si="36"/>
        <v>#N/A</v>
      </c>
      <c r="BA35" s="637"/>
    </row>
    <row r="36" spans="2:53">
      <c r="B36" s="647"/>
      <c r="C36" s="380">
        <v>10</v>
      </c>
      <c r="D36" s="225" t="s">
        <v>626</v>
      </c>
      <c r="E36" s="535">
        <v>21</v>
      </c>
      <c r="F36" s="534">
        <v>2400</v>
      </c>
      <c r="G36" s="536">
        <v>114.28571428571429</v>
      </c>
      <c r="H36" s="655"/>
      <c r="I36" s="381">
        <f t="shared" si="19"/>
        <v>21</v>
      </c>
      <c r="J36" s="381">
        <f t="shared" si="20"/>
        <v>2155.364341085271</v>
      </c>
      <c r="K36" s="199">
        <f t="shared" si="21"/>
        <v>102.63639719453673</v>
      </c>
      <c r="L36" s="657"/>
      <c r="M36" s="388">
        <f>RANK(K36, K$24:$K$41)</f>
        <v>12</v>
      </c>
      <c r="N36" s="641"/>
      <c r="O36" s="641"/>
      <c r="P36" s="556">
        <v>21</v>
      </c>
      <c r="Q36" s="557">
        <v>2161.395348837209</v>
      </c>
      <c r="R36" s="557">
        <v>102.9235880398671</v>
      </c>
      <c r="S36" s="556">
        <f t="shared" si="22"/>
        <v>12</v>
      </c>
      <c r="T36" s="637"/>
      <c r="U36" s="556">
        <v>21</v>
      </c>
      <c r="V36" s="557">
        <v>2149.3333333333335</v>
      </c>
      <c r="W36" s="557">
        <v>102.34920634920636</v>
      </c>
      <c r="X36" s="556">
        <f t="shared" si="24"/>
        <v>12</v>
      </c>
      <c r="Y36" s="637"/>
      <c r="Z36" s="556" t="s">
        <v>585</v>
      </c>
      <c r="AA36" s="557" t="s">
        <v>585</v>
      </c>
      <c r="AB36" s="557" t="s">
        <v>585</v>
      </c>
      <c r="AC36" s="556" t="e">
        <f t="shared" si="26"/>
        <v>#VALUE!</v>
      </c>
      <c r="AD36" s="637"/>
      <c r="AE36" s="556" t="s">
        <v>585</v>
      </c>
      <c r="AF36" s="557" t="s">
        <v>585</v>
      </c>
      <c r="AG36" s="557" t="s">
        <v>585</v>
      </c>
      <c r="AH36" s="556" t="e">
        <f t="shared" si="28"/>
        <v>#VALUE!</v>
      </c>
      <c r="AI36" s="637"/>
      <c r="AJ36" s="556" t="s">
        <v>585</v>
      </c>
      <c r="AK36" s="557" t="s">
        <v>585</v>
      </c>
      <c r="AL36" s="557" t="s">
        <v>585</v>
      </c>
      <c r="AM36" s="556" t="e">
        <f t="shared" si="30"/>
        <v>#VALUE!</v>
      </c>
      <c r="AN36" s="637"/>
      <c r="AO36" s="556" t="s">
        <v>585</v>
      </c>
      <c r="AP36" s="557" t="s">
        <v>585</v>
      </c>
      <c r="AQ36" s="557" t="s">
        <v>585</v>
      </c>
      <c r="AR36" s="556" t="e">
        <f t="shared" si="32"/>
        <v>#VALUE!</v>
      </c>
      <c r="AS36" s="637"/>
      <c r="AT36" s="556" t="s">
        <v>585</v>
      </c>
      <c r="AU36" s="557" t="s">
        <v>585</v>
      </c>
      <c r="AV36" s="557" t="s">
        <v>585</v>
      </c>
      <c r="AW36" s="556" t="e">
        <f t="shared" si="34"/>
        <v>#VALUE!</v>
      </c>
      <c r="AX36" s="637"/>
      <c r="AZ36" s="368" t="e">
        <f t="shared" si="36"/>
        <v>#N/A</v>
      </c>
      <c r="BA36" s="637"/>
    </row>
    <row r="37" spans="2:53">
      <c r="B37" s="647"/>
      <c r="C37" s="380">
        <v>11</v>
      </c>
      <c r="D37" s="225" t="s">
        <v>720</v>
      </c>
      <c r="E37" s="535">
        <v>17</v>
      </c>
      <c r="F37" s="534">
        <v>2571</v>
      </c>
      <c r="G37" s="536">
        <v>151.23529411764707</v>
      </c>
      <c r="H37" s="655"/>
      <c r="I37" s="381">
        <f t="shared" si="19"/>
        <v>18</v>
      </c>
      <c r="J37" s="381">
        <f t="shared" si="20"/>
        <v>2366.7126075418751</v>
      </c>
      <c r="K37" s="199">
        <f t="shared" si="21"/>
        <v>131.48403375232638</v>
      </c>
      <c r="L37" s="657"/>
      <c r="M37" s="388">
        <f>RANK(K37, K$24:$K$41)</f>
        <v>5</v>
      </c>
      <c r="N37" s="641"/>
      <c r="O37" s="641"/>
      <c r="P37" s="556">
        <v>18</v>
      </c>
      <c r="Q37" s="557">
        <v>2316.0000000000023</v>
      </c>
      <c r="R37" s="557">
        <v>128.6666666666668</v>
      </c>
      <c r="S37" s="556">
        <f t="shared" si="22"/>
        <v>6</v>
      </c>
      <c r="T37" s="637"/>
      <c r="U37" s="556">
        <v>18</v>
      </c>
      <c r="V37" s="557">
        <v>2331.2195121951208</v>
      </c>
      <c r="W37" s="557">
        <v>129.51219512195115</v>
      </c>
      <c r="X37" s="556">
        <f t="shared" si="24"/>
        <v>6</v>
      </c>
      <c r="Y37" s="637"/>
      <c r="Z37" s="556">
        <v>18</v>
      </c>
      <c r="AA37" s="557">
        <v>2373.8461538461524</v>
      </c>
      <c r="AB37" s="557">
        <v>131.8803418803418</v>
      </c>
      <c r="AC37" s="556">
        <f t="shared" si="26"/>
        <v>7</v>
      </c>
      <c r="AD37" s="637"/>
      <c r="AE37" s="556">
        <v>18</v>
      </c>
      <c r="AF37" s="557">
        <v>2370.7692307692296</v>
      </c>
      <c r="AG37" s="557">
        <v>131.70940170940165</v>
      </c>
      <c r="AH37" s="556">
        <f t="shared" si="28"/>
        <v>6</v>
      </c>
      <c r="AI37" s="637"/>
      <c r="AJ37" s="556">
        <v>18</v>
      </c>
      <c r="AK37" s="557">
        <v>2393.8461538461524</v>
      </c>
      <c r="AL37" s="557">
        <v>132.99145299145292</v>
      </c>
      <c r="AM37" s="556">
        <f t="shared" si="30"/>
        <v>4</v>
      </c>
      <c r="AN37" s="637"/>
      <c r="AO37" s="556">
        <v>18</v>
      </c>
      <c r="AP37" s="557">
        <v>2414.5945945945928</v>
      </c>
      <c r="AQ37" s="557">
        <v>134.14414414414404</v>
      </c>
      <c r="AR37" s="556">
        <f t="shared" si="32"/>
        <v>3</v>
      </c>
      <c r="AS37" s="637"/>
      <c r="AT37" s="556" t="s">
        <v>585</v>
      </c>
      <c r="AU37" s="557" t="s">
        <v>585</v>
      </c>
      <c r="AV37" s="557" t="s">
        <v>585</v>
      </c>
      <c r="AW37" s="556" t="e">
        <f t="shared" si="34"/>
        <v>#VALUE!</v>
      </c>
      <c r="AX37" s="637"/>
      <c r="AZ37" s="368" t="e">
        <f t="shared" si="36"/>
        <v>#N/A</v>
      </c>
      <c r="BA37" s="637"/>
    </row>
    <row r="38" spans="2:53">
      <c r="B38" s="647"/>
      <c r="C38" s="380">
        <v>12</v>
      </c>
      <c r="D38" s="225" t="s">
        <v>738</v>
      </c>
      <c r="E38" s="535">
        <v>18</v>
      </c>
      <c r="F38" s="534">
        <v>2571</v>
      </c>
      <c r="G38" s="536">
        <v>142.83333333333334</v>
      </c>
      <c r="H38" s="655"/>
      <c r="I38" s="381">
        <f t="shared" si="19"/>
        <v>18</v>
      </c>
      <c r="J38" s="381">
        <f t="shared" si="20"/>
        <v>2389.7382281641039</v>
      </c>
      <c r="K38" s="199">
        <f t="shared" si="21"/>
        <v>132.76323489800578</v>
      </c>
      <c r="L38" s="657"/>
      <c r="M38" s="388">
        <f>RANK(K38, K$24:$K$41)</f>
        <v>4</v>
      </c>
      <c r="N38" s="641"/>
      <c r="O38" s="641"/>
      <c r="P38" s="556">
        <v>18</v>
      </c>
      <c r="Q38" s="557">
        <v>2366.603773584905</v>
      </c>
      <c r="R38" s="557">
        <v>131.4779874213836</v>
      </c>
      <c r="S38" s="556">
        <f t="shared" si="22"/>
        <v>4</v>
      </c>
      <c r="T38" s="637"/>
      <c r="U38" s="556">
        <v>18</v>
      </c>
      <c r="V38" s="557">
        <v>2387.027027027028</v>
      </c>
      <c r="W38" s="557">
        <v>132.61261261261268</v>
      </c>
      <c r="X38" s="556">
        <f t="shared" si="24"/>
        <v>5</v>
      </c>
      <c r="Y38" s="637"/>
      <c r="Z38" s="556">
        <v>18</v>
      </c>
      <c r="AA38" s="557">
        <v>2400</v>
      </c>
      <c r="AB38" s="557">
        <v>133.33333333333334</v>
      </c>
      <c r="AC38" s="556">
        <f t="shared" si="26"/>
        <v>5</v>
      </c>
      <c r="AD38" s="637"/>
      <c r="AE38" s="556">
        <v>18</v>
      </c>
      <c r="AF38" s="557">
        <v>2393.3333333333344</v>
      </c>
      <c r="AG38" s="557">
        <v>132.96296296296302</v>
      </c>
      <c r="AH38" s="556">
        <f t="shared" si="28"/>
        <v>4</v>
      </c>
      <c r="AI38" s="637"/>
      <c r="AJ38" s="556">
        <v>18</v>
      </c>
      <c r="AK38" s="557">
        <v>2384.7272727272707</v>
      </c>
      <c r="AL38" s="557">
        <v>132.48484848484838</v>
      </c>
      <c r="AM38" s="556">
        <f t="shared" si="30"/>
        <v>5</v>
      </c>
      <c r="AN38" s="637"/>
      <c r="AO38" s="556">
        <v>18</v>
      </c>
      <c r="AP38" s="557">
        <v>2390.4761904761899</v>
      </c>
      <c r="AQ38" s="557">
        <v>132.80423280423278</v>
      </c>
      <c r="AR38" s="556">
        <f t="shared" si="32"/>
        <v>5</v>
      </c>
      <c r="AS38" s="637"/>
      <c r="AT38" s="556">
        <v>18</v>
      </c>
      <c r="AU38" s="557">
        <v>2405.9999999999991</v>
      </c>
      <c r="AV38" s="557">
        <v>133.66666666666663</v>
      </c>
      <c r="AW38" s="556">
        <f t="shared" si="34"/>
        <v>3</v>
      </c>
      <c r="AX38" s="637"/>
      <c r="AZ38" s="368" t="e">
        <f t="shared" si="36"/>
        <v>#N/A</v>
      </c>
      <c r="BA38" s="637"/>
    </row>
    <row r="39" spans="2:53">
      <c r="B39" s="647"/>
      <c r="C39" s="380">
        <v>13</v>
      </c>
      <c r="D39" s="225"/>
      <c r="E39" s="535"/>
      <c r="F39" s="534"/>
      <c r="G39" s="536"/>
      <c r="H39" s="655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57"/>
      <c r="M39" s="388" t="e">
        <f>RANK(K39, K$24:$K$41)</f>
        <v>#VALUE!</v>
      </c>
      <c r="N39" s="641"/>
      <c r="O39" s="641"/>
      <c r="P39" s="556" t="s">
        <v>585</v>
      </c>
      <c r="Q39" s="557" t="s">
        <v>585</v>
      </c>
      <c r="R39" s="557" t="s">
        <v>585</v>
      </c>
      <c r="S39" s="556" t="e">
        <f t="shared" si="22"/>
        <v>#VALUE!</v>
      </c>
      <c r="T39" s="637"/>
      <c r="U39" s="556" t="s">
        <v>585</v>
      </c>
      <c r="V39" s="557" t="s">
        <v>585</v>
      </c>
      <c r="W39" s="557" t="s">
        <v>585</v>
      </c>
      <c r="X39" s="556" t="e">
        <f t="shared" si="24"/>
        <v>#VALUE!</v>
      </c>
      <c r="Y39" s="637"/>
      <c r="Z39" s="556" t="s">
        <v>585</v>
      </c>
      <c r="AA39" s="557" t="s">
        <v>585</v>
      </c>
      <c r="AB39" s="557" t="s">
        <v>585</v>
      </c>
      <c r="AC39" s="556" t="e">
        <f t="shared" si="26"/>
        <v>#VALUE!</v>
      </c>
      <c r="AD39" s="637"/>
      <c r="AE39" s="556" t="s">
        <v>585</v>
      </c>
      <c r="AF39" s="557" t="s">
        <v>585</v>
      </c>
      <c r="AG39" s="557" t="s">
        <v>585</v>
      </c>
      <c r="AH39" s="556" t="e">
        <f t="shared" si="28"/>
        <v>#VALUE!</v>
      </c>
      <c r="AI39" s="637"/>
      <c r="AJ39" s="556" t="s">
        <v>585</v>
      </c>
      <c r="AK39" s="557" t="s">
        <v>585</v>
      </c>
      <c r="AL39" s="557" t="s">
        <v>585</v>
      </c>
      <c r="AM39" s="556" t="e">
        <f t="shared" si="30"/>
        <v>#VALUE!</v>
      </c>
      <c r="AN39" s="637"/>
      <c r="AO39" s="556" t="s">
        <v>585</v>
      </c>
      <c r="AP39" s="557" t="s">
        <v>585</v>
      </c>
      <c r="AQ39" s="557" t="s">
        <v>585</v>
      </c>
      <c r="AR39" s="556" t="e">
        <f t="shared" si="32"/>
        <v>#VALUE!</v>
      </c>
      <c r="AS39" s="637"/>
      <c r="AT39" s="556" t="s">
        <v>585</v>
      </c>
      <c r="AU39" s="557" t="s">
        <v>585</v>
      </c>
      <c r="AV39" s="557" t="s">
        <v>585</v>
      </c>
      <c r="AW39" s="556" t="e">
        <f t="shared" si="34"/>
        <v>#VALUE!</v>
      </c>
      <c r="AX39" s="637"/>
      <c r="AZ39" s="368" t="e">
        <f t="shared" si="36"/>
        <v>#N/A</v>
      </c>
      <c r="BA39" s="637"/>
    </row>
    <row r="40" spans="2:53">
      <c r="B40" s="647"/>
      <c r="C40" s="380">
        <v>14</v>
      </c>
      <c r="D40" s="225"/>
      <c r="E40" s="535"/>
      <c r="F40" s="534"/>
      <c r="G40" s="536"/>
      <c r="H40" s="655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7"/>
      <c r="M40" s="388" t="e">
        <f>RANK(K40, K$24:$K$41)</f>
        <v>#VALUE!</v>
      </c>
      <c r="N40" s="641"/>
      <c r="O40" s="641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7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7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7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7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7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7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7"/>
      <c r="AZ40" s="368" t="e">
        <f t="shared" si="36"/>
        <v>#N/A</v>
      </c>
      <c r="BA40" s="637"/>
    </row>
    <row r="41" spans="2:53">
      <c r="B41" s="647"/>
      <c r="C41" s="380">
        <v>15</v>
      </c>
      <c r="D41" s="225"/>
      <c r="E41" s="535"/>
      <c r="F41" s="534"/>
      <c r="G41" s="536"/>
      <c r="H41" s="712"/>
      <c r="I41" s="380"/>
      <c r="J41" s="380"/>
      <c r="K41" s="380"/>
      <c r="L41" s="658"/>
      <c r="M41" s="388" t="e">
        <f>RANK(K41, K$24:$K$41)</f>
        <v>#N/A</v>
      </c>
      <c r="N41" s="641"/>
      <c r="O41" s="641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8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8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8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8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8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8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8"/>
      <c r="AZ41" s="368" t="e">
        <f t="shared" si="36"/>
        <v>#N/A</v>
      </c>
      <c r="BA41" s="638"/>
    </row>
    <row r="42" spans="2:53" ht="15.75">
      <c r="B42" s="680" t="s">
        <v>162</v>
      </c>
      <c r="C42" s="681"/>
      <c r="D42" s="681"/>
      <c r="E42" s="681"/>
      <c r="F42" s="681"/>
      <c r="G42" s="681"/>
      <c r="H42" s="681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68">
        <f>P22+7</f>
        <v>46245</v>
      </c>
      <c r="Q42" s="647"/>
      <c r="R42" s="647"/>
      <c r="S42" s="647"/>
      <c r="T42" s="647"/>
      <c r="U42" s="665">
        <f>P42+1</f>
        <v>46246</v>
      </c>
      <c r="V42" s="666"/>
      <c r="W42" s="666"/>
      <c r="X42" s="666"/>
      <c r="Y42" s="667"/>
      <c r="Z42" s="665">
        <f>U42+1</f>
        <v>46247</v>
      </c>
      <c r="AA42" s="666"/>
      <c r="AB42" s="666"/>
      <c r="AC42" s="666"/>
      <c r="AD42" s="667"/>
      <c r="AE42" s="665">
        <f>Z42+1</f>
        <v>46248</v>
      </c>
      <c r="AF42" s="666"/>
      <c r="AG42" s="666"/>
      <c r="AH42" s="666"/>
      <c r="AI42" s="667"/>
      <c r="AJ42" s="665">
        <f>AE42+1</f>
        <v>46249</v>
      </c>
      <c r="AK42" s="666"/>
      <c r="AL42" s="666"/>
      <c r="AM42" s="666"/>
      <c r="AN42" s="667"/>
      <c r="AO42" s="665">
        <f>AJ42+1</f>
        <v>46250</v>
      </c>
      <c r="AP42" s="666"/>
      <c r="AQ42" s="666"/>
      <c r="AR42" s="666"/>
      <c r="AS42" s="667"/>
      <c r="AT42" s="665">
        <f>AO42+1</f>
        <v>46251</v>
      </c>
      <c r="AU42" s="666"/>
      <c r="AV42" s="666"/>
      <c r="AW42" s="666"/>
      <c r="AX42" s="667"/>
    </row>
    <row r="43" spans="2:53" ht="15.75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45"/>
      <c r="O43" s="645"/>
      <c r="P43" s="668" t="s">
        <v>317</v>
      </c>
      <c r="Q43" s="647"/>
      <c r="R43" s="647"/>
      <c r="S43" s="647"/>
      <c r="T43" s="647"/>
      <c r="U43" s="668" t="s">
        <v>318</v>
      </c>
      <c r="V43" s="647"/>
      <c r="W43" s="647"/>
      <c r="X43" s="647"/>
      <c r="Y43" s="647"/>
      <c r="Z43" s="668" t="s">
        <v>319</v>
      </c>
      <c r="AA43" s="647"/>
      <c r="AB43" s="647"/>
      <c r="AC43" s="647"/>
      <c r="AD43" s="647"/>
      <c r="AE43" s="668" t="s">
        <v>320</v>
      </c>
      <c r="AF43" s="647"/>
      <c r="AG43" s="647"/>
      <c r="AH43" s="647"/>
      <c r="AI43" s="647"/>
      <c r="AJ43" s="668" t="s">
        <v>321</v>
      </c>
      <c r="AK43" s="647"/>
      <c r="AL43" s="647"/>
      <c r="AM43" s="647"/>
      <c r="AN43" s="647"/>
      <c r="AO43" s="668" t="s">
        <v>322</v>
      </c>
      <c r="AP43" s="647"/>
      <c r="AQ43" s="647"/>
      <c r="AR43" s="647"/>
      <c r="AS43" s="647"/>
      <c r="AT43" s="668" t="s">
        <v>323</v>
      </c>
      <c r="AU43" s="647"/>
      <c r="AV43" s="647"/>
      <c r="AW43" s="647"/>
      <c r="AX43" s="647"/>
    </row>
    <row r="44" spans="2:53">
      <c r="B44" s="641" t="s">
        <v>453</v>
      </c>
      <c r="C44" s="641" t="s">
        <v>532</v>
      </c>
      <c r="D44" s="641"/>
      <c r="E44" s="641" t="s">
        <v>533</v>
      </c>
      <c r="F44" s="641"/>
      <c r="G44" s="641"/>
      <c r="H44" s="673" t="s">
        <v>534</v>
      </c>
      <c r="I44" s="641" t="s">
        <v>535</v>
      </c>
      <c r="J44" s="641"/>
      <c r="K44" s="641"/>
      <c r="L44" s="673" t="s">
        <v>366</v>
      </c>
      <c r="M44" s="643" t="s">
        <v>536</v>
      </c>
      <c r="N44" s="641"/>
      <c r="O44" s="641" t="s">
        <v>372</v>
      </c>
      <c r="P44" s="659" t="s">
        <v>368</v>
      </c>
      <c r="Q44" s="660"/>
      <c r="R44" s="660"/>
      <c r="S44" s="661"/>
      <c r="T44" s="641" t="s">
        <v>366</v>
      </c>
      <c r="U44" s="659" t="s">
        <v>368</v>
      </c>
      <c r="V44" s="660"/>
      <c r="W44" s="660"/>
      <c r="X44" s="661"/>
      <c r="Y44" s="641" t="s">
        <v>366</v>
      </c>
      <c r="Z44" s="659" t="s">
        <v>368</v>
      </c>
      <c r="AA44" s="660"/>
      <c r="AB44" s="660"/>
      <c r="AC44" s="661"/>
      <c r="AD44" s="641" t="s">
        <v>366</v>
      </c>
      <c r="AE44" s="659" t="s">
        <v>368</v>
      </c>
      <c r="AF44" s="660"/>
      <c r="AG44" s="660"/>
      <c r="AH44" s="661"/>
      <c r="AI44" s="641" t="s">
        <v>366</v>
      </c>
      <c r="AJ44" s="659" t="s">
        <v>368</v>
      </c>
      <c r="AK44" s="660"/>
      <c r="AL44" s="660"/>
      <c r="AM44" s="661"/>
      <c r="AN44" s="641" t="s">
        <v>366</v>
      </c>
      <c r="AO44" s="659" t="s">
        <v>368</v>
      </c>
      <c r="AP44" s="660"/>
      <c r="AQ44" s="660"/>
      <c r="AR44" s="661"/>
      <c r="AS44" s="641" t="s">
        <v>366</v>
      </c>
      <c r="AT44" s="659" t="s">
        <v>368</v>
      </c>
      <c r="AU44" s="660"/>
      <c r="AV44" s="660"/>
      <c r="AW44" s="661"/>
      <c r="AX44" s="641" t="s">
        <v>366</v>
      </c>
      <c r="BA44" s="641" t="s">
        <v>366</v>
      </c>
    </row>
    <row r="45" spans="2:53">
      <c r="B45" s="641"/>
      <c r="C45" s="641"/>
      <c r="D45" s="641"/>
      <c r="E45" s="641" t="s">
        <v>538</v>
      </c>
      <c r="F45" s="641"/>
      <c r="G45" s="641"/>
      <c r="H45" s="674"/>
      <c r="I45" s="641" t="s">
        <v>538</v>
      </c>
      <c r="J45" s="641"/>
      <c r="K45" s="641"/>
      <c r="L45" s="674"/>
      <c r="M45" s="644"/>
      <c r="N45" s="641"/>
      <c r="O45" s="641"/>
      <c r="P45" s="659" t="s">
        <v>374</v>
      </c>
      <c r="Q45" s="660"/>
      <c r="R45" s="660"/>
      <c r="S45" s="661"/>
      <c r="T45" s="641"/>
      <c r="U45" s="659" t="s">
        <v>374</v>
      </c>
      <c r="V45" s="660"/>
      <c r="W45" s="660"/>
      <c r="X45" s="661"/>
      <c r="Y45" s="641"/>
      <c r="Z45" s="659" t="s">
        <v>374</v>
      </c>
      <c r="AA45" s="660"/>
      <c r="AB45" s="660"/>
      <c r="AC45" s="661"/>
      <c r="AD45" s="641"/>
      <c r="AE45" s="659" t="s">
        <v>374</v>
      </c>
      <c r="AF45" s="660"/>
      <c r="AG45" s="660"/>
      <c r="AH45" s="661"/>
      <c r="AI45" s="641"/>
      <c r="AJ45" s="659" t="s">
        <v>374</v>
      </c>
      <c r="AK45" s="660"/>
      <c r="AL45" s="660"/>
      <c r="AM45" s="661"/>
      <c r="AN45" s="641"/>
      <c r="AO45" s="659" t="s">
        <v>374</v>
      </c>
      <c r="AP45" s="660"/>
      <c r="AQ45" s="660"/>
      <c r="AR45" s="661"/>
      <c r="AS45" s="641"/>
      <c r="AT45" s="659" t="s">
        <v>374</v>
      </c>
      <c r="AU45" s="660"/>
      <c r="AV45" s="660"/>
      <c r="AW45" s="661"/>
      <c r="AX45" s="641"/>
      <c r="BA45" s="641"/>
    </row>
    <row r="46" spans="2:53">
      <c r="B46" s="641"/>
      <c r="C46" s="641"/>
      <c r="D46" s="641"/>
      <c r="E46" s="378" t="s">
        <v>539</v>
      </c>
      <c r="F46" s="378" t="s">
        <v>540</v>
      </c>
      <c r="G46" s="378" t="s">
        <v>541</v>
      </c>
      <c r="H46" s="675"/>
      <c r="I46" s="378" t="s">
        <v>539</v>
      </c>
      <c r="J46" s="378" t="s">
        <v>540</v>
      </c>
      <c r="K46" s="378" t="s">
        <v>541</v>
      </c>
      <c r="L46" s="675"/>
      <c r="M46" s="645"/>
      <c r="N46" s="641"/>
      <c r="O46" s="641"/>
      <c r="P46" s="378" t="s">
        <v>375</v>
      </c>
      <c r="Q46" s="378" t="s">
        <v>376</v>
      </c>
      <c r="R46" s="378" t="s">
        <v>377</v>
      </c>
      <c r="S46" s="378" t="s">
        <v>367</v>
      </c>
      <c r="T46" s="641"/>
      <c r="U46" s="378" t="s">
        <v>375</v>
      </c>
      <c r="V46" s="378" t="s">
        <v>376</v>
      </c>
      <c r="W46" s="378" t="s">
        <v>377</v>
      </c>
      <c r="X46" s="378" t="s">
        <v>367</v>
      </c>
      <c r="Y46" s="641"/>
      <c r="Z46" s="378" t="s">
        <v>375</v>
      </c>
      <c r="AA46" s="378" t="s">
        <v>376</v>
      </c>
      <c r="AB46" s="378" t="s">
        <v>377</v>
      </c>
      <c r="AC46" s="378" t="s">
        <v>367</v>
      </c>
      <c r="AD46" s="641"/>
      <c r="AE46" s="378" t="s">
        <v>375</v>
      </c>
      <c r="AF46" s="378" t="s">
        <v>376</v>
      </c>
      <c r="AG46" s="378" t="s">
        <v>377</v>
      </c>
      <c r="AH46" s="378" t="s">
        <v>367</v>
      </c>
      <c r="AI46" s="641"/>
      <c r="AJ46" s="378" t="s">
        <v>375</v>
      </c>
      <c r="AK46" s="378" t="s">
        <v>376</v>
      </c>
      <c r="AL46" s="378" t="s">
        <v>377</v>
      </c>
      <c r="AM46" s="378" t="s">
        <v>367</v>
      </c>
      <c r="AN46" s="641"/>
      <c r="AO46" s="378" t="s">
        <v>375</v>
      </c>
      <c r="AP46" s="378" t="s">
        <v>376</v>
      </c>
      <c r="AQ46" s="378" t="s">
        <v>377</v>
      </c>
      <c r="AR46" s="378" t="s">
        <v>367</v>
      </c>
      <c r="AS46" s="641"/>
      <c r="AT46" s="378" t="s">
        <v>375</v>
      </c>
      <c r="AU46" s="378" t="s">
        <v>376</v>
      </c>
      <c r="AV46" s="378" t="s">
        <v>377</v>
      </c>
      <c r="AW46" s="378" t="s">
        <v>367</v>
      </c>
      <c r="AX46" s="641"/>
      <c r="AZ46" s="367" t="s">
        <v>560</v>
      </c>
      <c r="BA46" s="641"/>
    </row>
    <row r="47" spans="2:53">
      <c r="B47" s="641" t="s">
        <v>468</v>
      </c>
      <c r="C47" s="380">
        <v>1</v>
      </c>
      <c r="D47" s="225" t="s">
        <v>350</v>
      </c>
      <c r="E47" s="535">
        <v>20</v>
      </c>
      <c r="F47" s="534">
        <v>2400</v>
      </c>
      <c r="G47" s="536">
        <v>120</v>
      </c>
      <c r="H47" s="654">
        <f>AVERAGE(G47:G61)</f>
        <v>138.08870485036118</v>
      </c>
      <c r="I47" s="381">
        <f t="shared" ref="I47:I60" si="38">IFERROR(AVERAGE(P47,U47,Z47,AE47,AJ47,AO47,AT47),"-")</f>
        <v>20</v>
      </c>
      <c r="J47" s="381">
        <f t="shared" ref="J47:J60" si="39">IFERROR(AVERAGE(Q47,V47,AA47,AF47,AK47,AP47,AU47),"-")</f>
        <v>2370.072877684252</v>
      </c>
      <c r="K47" s="199">
        <f t="shared" ref="K47:K60" si="40">IFERROR(AVERAGE(R47,W47,AB47,AG47,AL47,AQ47,AV47),"-")</f>
        <v>118.50364388421261</v>
      </c>
      <c r="L47" s="656">
        <f>IFERROR(AVERAGE(K47:K61),"-")</f>
        <v>126.55085664206436</v>
      </c>
      <c r="M47" s="385">
        <f>RANK(K47, K$47:$K$61)</f>
        <v>8</v>
      </c>
      <c r="N47" s="641"/>
      <c r="O47" s="641"/>
      <c r="P47" s="562">
        <v>20</v>
      </c>
      <c r="Q47" s="566">
        <v>2376.8167741935486</v>
      </c>
      <c r="R47" s="566">
        <v>118.84083870967743</v>
      </c>
      <c r="S47" s="562">
        <f t="shared" ref="S47:S61" si="41">RANK(R47, R$47:R$61)</f>
        <v>8</v>
      </c>
      <c r="T47" s="636">
        <f t="shared" ref="T47" si="42">AVERAGE(R47:R61)</f>
        <v>126.32270180689883</v>
      </c>
      <c r="U47" s="562">
        <v>20</v>
      </c>
      <c r="V47" s="566">
        <v>2354.9217391304351</v>
      </c>
      <c r="W47" s="566">
        <v>117.74608695652175</v>
      </c>
      <c r="X47" s="562">
        <f t="shared" ref="X47:X61" si="43">RANK(W47, W$47:W$61)</f>
        <v>8</v>
      </c>
      <c r="Y47" s="636">
        <f t="shared" ref="Y47" si="44">AVERAGE(W47:W61)</f>
        <v>125.89955769269054</v>
      </c>
      <c r="Z47" s="562">
        <v>20</v>
      </c>
      <c r="AA47" s="566">
        <v>2386.987951807228</v>
      </c>
      <c r="AB47" s="566">
        <v>119.34939759036141</v>
      </c>
      <c r="AC47" s="562">
        <f t="shared" ref="AC47:AC61" si="45">RANK(AB47, AB$47:AB$61)</f>
        <v>8</v>
      </c>
      <c r="AD47" s="636">
        <f t="shared" ref="AD47" si="46">AVERAGE(AB47:AB61)</f>
        <v>127.24340198452019</v>
      </c>
      <c r="AE47" s="562">
        <v>20</v>
      </c>
      <c r="AF47" s="566">
        <v>2391.4960629921252</v>
      </c>
      <c r="AG47" s="566">
        <v>119.57480314960625</v>
      </c>
      <c r="AH47" s="562">
        <f t="shared" ref="AH47:AH61" si="47">RANK(AG47, AG$47:AG$61)</f>
        <v>8</v>
      </c>
      <c r="AI47" s="636">
        <f t="shared" ref="AI47" si="48">AVERAGE(AG47:AG61)</f>
        <v>125.87432683247857</v>
      </c>
      <c r="AJ47" s="562">
        <v>20</v>
      </c>
      <c r="AK47" s="566">
        <v>2345.4545454545455</v>
      </c>
      <c r="AL47" s="566">
        <v>117.27272727272728</v>
      </c>
      <c r="AM47" s="562">
        <f t="shared" ref="AM47:AM61" si="49">RANK(AL47, AL$47:AL$61)</f>
        <v>8</v>
      </c>
      <c r="AN47" s="636">
        <f t="shared" ref="AN47" si="50">AVERAGE(AL47:AL61)</f>
        <v>125.49156568901813</v>
      </c>
      <c r="AO47" s="562">
        <v>20</v>
      </c>
      <c r="AP47" s="566">
        <v>2350.0137931034492</v>
      </c>
      <c r="AQ47" s="566">
        <v>117.50068965517247</v>
      </c>
      <c r="AR47" s="562">
        <f t="shared" ref="AR47:AR61" si="51">RANK(AQ47, AQ$47:AQ$61)</f>
        <v>8</v>
      </c>
      <c r="AS47" s="636">
        <f t="shared" ref="AS47" si="52">AVERAGE(AQ47:AQ61)</f>
        <v>127.09456831079396</v>
      </c>
      <c r="AT47" s="562">
        <v>20</v>
      </c>
      <c r="AU47" s="566">
        <v>2384.8192771084327</v>
      </c>
      <c r="AV47" s="566">
        <v>119.24096385542164</v>
      </c>
      <c r="AW47" s="562">
        <f t="shared" ref="AW47:AW61" si="53">RANK(AV47, AV$47:AV$61)</f>
        <v>8</v>
      </c>
      <c r="AX47" s="636">
        <f t="shared" ref="AX47" si="54">AVERAGE(AV47:AV61)</f>
        <v>127.92987417805027</v>
      </c>
      <c r="AZ47" s="368" t="e">
        <f t="shared" ref="AZ47:AZ61" si="55">RANK(AY47, AY$47:AY$61)</f>
        <v>#N/A</v>
      </c>
      <c r="BA47" s="636" t="e">
        <f t="shared" ref="BA47" si="56">AVERAGE(AY47:AY61)</f>
        <v>#DIV/0!</v>
      </c>
    </row>
    <row r="48" spans="2:53">
      <c r="B48" s="647"/>
      <c r="C48" s="380">
        <v>2</v>
      </c>
      <c r="D48" s="225" t="s">
        <v>351</v>
      </c>
      <c r="E48" s="535">
        <v>18</v>
      </c>
      <c r="F48" s="534">
        <v>2769</v>
      </c>
      <c r="G48" s="536">
        <v>153.83333333333334</v>
      </c>
      <c r="H48" s="655"/>
      <c r="I48" s="381">
        <f t="shared" si="38"/>
        <v>18.285714285714285</v>
      </c>
      <c r="J48" s="381">
        <f t="shared" si="39"/>
        <v>2473.5501789297136</v>
      </c>
      <c r="K48" s="199">
        <f t="shared" si="40"/>
        <v>135.38760860137086</v>
      </c>
      <c r="L48" s="657"/>
      <c r="M48" s="420">
        <f>RANK(K48, K$47:$K$61)</f>
        <v>2</v>
      </c>
      <c r="N48" s="641"/>
      <c r="O48" s="641"/>
      <c r="P48" s="562">
        <v>18</v>
      </c>
      <c r="Q48" s="566">
        <v>2553.0612244897966</v>
      </c>
      <c r="R48" s="566">
        <v>141.83673469387759</v>
      </c>
      <c r="S48" s="562">
        <f t="shared" si="41"/>
        <v>1</v>
      </c>
      <c r="T48" s="637"/>
      <c r="U48" s="562">
        <v>18</v>
      </c>
      <c r="V48" s="566">
        <v>2582.2641509433975</v>
      </c>
      <c r="W48" s="566">
        <v>143.45911949685541</v>
      </c>
      <c r="X48" s="562">
        <f t="shared" si="43"/>
        <v>1</v>
      </c>
      <c r="Y48" s="637"/>
      <c r="Z48" s="562">
        <v>18</v>
      </c>
      <c r="AA48" s="566">
        <v>2553.1034482758641</v>
      </c>
      <c r="AB48" s="566">
        <v>141.83908045977023</v>
      </c>
      <c r="AC48" s="562">
        <f t="shared" si="45"/>
        <v>1</v>
      </c>
      <c r="AD48" s="637"/>
      <c r="AE48" s="562">
        <v>18</v>
      </c>
      <c r="AF48" s="566">
        <v>2261.5384615384642</v>
      </c>
      <c r="AG48" s="566">
        <v>125.64102564102579</v>
      </c>
      <c r="AH48" s="562">
        <f t="shared" si="47"/>
        <v>6</v>
      </c>
      <c r="AI48" s="637"/>
      <c r="AJ48" s="562">
        <v>19</v>
      </c>
      <c r="AK48" s="566">
        <v>2312.2388059701466</v>
      </c>
      <c r="AL48" s="566">
        <v>121.69677926158666</v>
      </c>
      <c r="AM48" s="562">
        <f t="shared" si="49"/>
        <v>7</v>
      </c>
      <c r="AN48" s="637"/>
      <c r="AO48" s="562">
        <v>18</v>
      </c>
      <c r="AP48" s="566">
        <v>2500.6451612903247</v>
      </c>
      <c r="AQ48" s="566">
        <v>138.92473118279582</v>
      </c>
      <c r="AR48" s="562">
        <f t="shared" si="51"/>
        <v>1</v>
      </c>
      <c r="AS48" s="637"/>
      <c r="AT48" s="562">
        <v>19</v>
      </c>
      <c r="AU48" s="566">
        <v>2552.0000000000023</v>
      </c>
      <c r="AV48" s="566">
        <v>134.31578947368433</v>
      </c>
      <c r="AW48" s="562">
        <f t="shared" si="53"/>
        <v>4</v>
      </c>
      <c r="AX48" s="637"/>
      <c r="AZ48" s="418" t="e">
        <f t="shared" si="55"/>
        <v>#N/A</v>
      </c>
      <c r="BA48" s="637"/>
    </row>
    <row r="49" spans="2:53">
      <c r="B49" s="647"/>
      <c r="C49" s="380">
        <v>3</v>
      </c>
      <c r="D49" s="225" t="s">
        <v>352</v>
      </c>
      <c r="E49" s="535">
        <v>19</v>
      </c>
      <c r="F49" s="534">
        <v>2769</v>
      </c>
      <c r="G49" s="536">
        <v>145.73684210526315</v>
      </c>
      <c r="H49" s="655"/>
      <c r="I49" s="381">
        <f t="shared" si="38"/>
        <v>19</v>
      </c>
      <c r="J49" s="381">
        <f t="shared" si="39"/>
        <v>2519.4174097620057</v>
      </c>
      <c r="K49" s="199">
        <f t="shared" si="40"/>
        <v>132.60091630326346</v>
      </c>
      <c r="L49" s="657"/>
      <c r="M49" s="420">
        <f>RANK(K49, K$47:$K$61)</f>
        <v>4</v>
      </c>
      <c r="N49" s="641"/>
      <c r="O49" s="641"/>
      <c r="P49" s="562">
        <v>19</v>
      </c>
      <c r="Q49" s="566">
        <v>2566.2295081967241</v>
      </c>
      <c r="R49" s="566">
        <v>135.06471095772233</v>
      </c>
      <c r="S49" s="562">
        <f t="shared" si="41"/>
        <v>3</v>
      </c>
      <c r="T49" s="637"/>
      <c r="U49" s="562">
        <v>19</v>
      </c>
      <c r="V49" s="566">
        <v>2538.591549295772</v>
      </c>
      <c r="W49" s="566">
        <v>133.61008154188275</v>
      </c>
      <c r="X49" s="562">
        <f t="shared" si="43"/>
        <v>3</v>
      </c>
      <c r="Y49" s="637"/>
      <c r="Z49" s="562">
        <v>19</v>
      </c>
      <c r="AA49" s="566">
        <v>2428.8607594936693</v>
      </c>
      <c r="AB49" s="566">
        <v>127.83477681545628</v>
      </c>
      <c r="AC49" s="562">
        <f t="shared" si="45"/>
        <v>6</v>
      </c>
      <c r="AD49" s="637"/>
      <c r="AE49" s="562">
        <v>19</v>
      </c>
      <c r="AF49" s="566">
        <v>2534.2105263157878</v>
      </c>
      <c r="AG49" s="566">
        <v>133.37950138504146</v>
      </c>
      <c r="AH49" s="562">
        <f t="shared" si="47"/>
        <v>4</v>
      </c>
      <c r="AI49" s="637"/>
      <c r="AJ49" s="562">
        <v>19</v>
      </c>
      <c r="AK49" s="566">
        <v>2521.4634146341455</v>
      </c>
      <c r="AL49" s="566">
        <v>132.70860077021817</v>
      </c>
      <c r="AM49" s="562">
        <f t="shared" si="49"/>
        <v>3</v>
      </c>
      <c r="AN49" s="637"/>
      <c r="AO49" s="562">
        <v>19</v>
      </c>
      <c r="AP49" s="566">
        <v>2506.8292682926822</v>
      </c>
      <c r="AQ49" s="566">
        <v>131.9383825417201</v>
      </c>
      <c r="AR49" s="562">
        <f t="shared" si="51"/>
        <v>4</v>
      </c>
      <c r="AS49" s="637"/>
      <c r="AT49" s="562">
        <v>19</v>
      </c>
      <c r="AU49" s="566">
        <v>2539.7368421052611</v>
      </c>
      <c r="AV49" s="566">
        <v>133.67036011080322</v>
      </c>
      <c r="AW49" s="562">
        <f t="shared" si="53"/>
        <v>6</v>
      </c>
      <c r="AX49" s="637"/>
      <c r="AZ49" s="418" t="e">
        <f t="shared" si="55"/>
        <v>#N/A</v>
      </c>
      <c r="BA49" s="637"/>
    </row>
    <row r="50" spans="2:53">
      <c r="B50" s="647"/>
      <c r="C50" s="380">
        <v>4</v>
      </c>
      <c r="D50" s="225" t="s">
        <v>353</v>
      </c>
      <c r="E50" s="535">
        <v>20</v>
      </c>
      <c r="F50" s="534">
        <v>2769</v>
      </c>
      <c r="G50" s="536">
        <v>138.44999999999999</v>
      </c>
      <c r="H50" s="655"/>
      <c r="I50" s="381">
        <f t="shared" si="38"/>
        <v>19.857142857142858</v>
      </c>
      <c r="J50" s="381">
        <f t="shared" si="39"/>
        <v>2562.0777318685546</v>
      </c>
      <c r="K50" s="199">
        <f t="shared" si="40"/>
        <v>129.07333148224549</v>
      </c>
      <c r="L50" s="657"/>
      <c r="M50" s="420">
        <f>RANK(K50, K$47:$K$61)</f>
        <v>6</v>
      </c>
      <c r="N50" s="641"/>
      <c r="O50" s="641"/>
      <c r="P50" s="562">
        <v>20</v>
      </c>
      <c r="Q50" s="566">
        <v>2563.1775700934595</v>
      </c>
      <c r="R50" s="566">
        <v>128.15887850467297</v>
      </c>
      <c r="S50" s="562">
        <f t="shared" si="41"/>
        <v>6</v>
      </c>
      <c r="T50" s="637"/>
      <c r="U50" s="562">
        <v>20</v>
      </c>
      <c r="V50" s="566">
        <v>2553.6448598130855</v>
      </c>
      <c r="W50" s="566">
        <v>127.68224299065427</v>
      </c>
      <c r="X50" s="562">
        <f t="shared" si="43"/>
        <v>6</v>
      </c>
      <c r="Y50" s="637"/>
      <c r="Z50" s="562">
        <v>20</v>
      </c>
      <c r="AA50" s="566">
        <v>2572.2222222222235</v>
      </c>
      <c r="AB50" s="566">
        <v>128.61111111111117</v>
      </c>
      <c r="AC50" s="562">
        <f t="shared" si="45"/>
        <v>5</v>
      </c>
      <c r="AD50" s="637"/>
      <c r="AE50" s="562">
        <v>20</v>
      </c>
      <c r="AF50" s="566">
        <v>2518.8990825688088</v>
      </c>
      <c r="AG50" s="566">
        <v>125.94495412844044</v>
      </c>
      <c r="AH50" s="562">
        <f t="shared" si="47"/>
        <v>5</v>
      </c>
      <c r="AI50" s="637"/>
      <c r="AJ50" s="562">
        <v>20</v>
      </c>
      <c r="AK50" s="566">
        <v>2585.555555555557</v>
      </c>
      <c r="AL50" s="566">
        <v>129.27777777777786</v>
      </c>
      <c r="AM50" s="562">
        <f t="shared" si="49"/>
        <v>5</v>
      </c>
      <c r="AN50" s="637"/>
      <c r="AO50" s="562">
        <v>20</v>
      </c>
      <c r="AP50" s="566">
        <v>2562.3214285714266</v>
      </c>
      <c r="AQ50" s="566">
        <v>128.11607142857133</v>
      </c>
      <c r="AR50" s="562">
        <f t="shared" si="51"/>
        <v>6</v>
      </c>
      <c r="AS50" s="637"/>
      <c r="AT50" s="562">
        <v>19</v>
      </c>
      <c r="AU50" s="566">
        <v>2578.7234042553196</v>
      </c>
      <c r="AV50" s="566">
        <v>135.72228443449049</v>
      </c>
      <c r="AW50" s="562">
        <f t="shared" si="53"/>
        <v>3</v>
      </c>
      <c r="AX50" s="637"/>
      <c r="AZ50" s="418" t="e">
        <f t="shared" si="55"/>
        <v>#N/A</v>
      </c>
      <c r="BA50" s="637"/>
    </row>
    <row r="51" spans="2:53">
      <c r="B51" s="647"/>
      <c r="C51" s="380">
        <v>5</v>
      </c>
      <c r="D51" s="225" t="s">
        <v>511</v>
      </c>
      <c r="E51" s="535">
        <v>18</v>
      </c>
      <c r="F51" s="534">
        <v>2400</v>
      </c>
      <c r="G51" s="536">
        <v>133.33333333333334</v>
      </c>
      <c r="H51" s="655"/>
      <c r="I51" s="381">
        <f t="shared" si="38"/>
        <v>18</v>
      </c>
      <c r="J51" s="381">
        <f t="shared" si="39"/>
        <v>2188.0591936194564</v>
      </c>
      <c r="K51" s="199">
        <f t="shared" si="40"/>
        <v>121.55884408996978</v>
      </c>
      <c r="L51" s="657"/>
      <c r="M51" s="420">
        <f>RANK(K51, K$47:$K$61)</f>
        <v>7</v>
      </c>
      <c r="N51" s="641"/>
      <c r="O51" s="641"/>
      <c r="P51" s="562">
        <v>18</v>
      </c>
      <c r="Q51" s="566">
        <v>2155.1020408163272</v>
      </c>
      <c r="R51" s="566">
        <v>119.72789115646262</v>
      </c>
      <c r="S51" s="562">
        <f t="shared" si="41"/>
        <v>7</v>
      </c>
      <c r="T51" s="637"/>
      <c r="U51" s="562">
        <v>18</v>
      </c>
      <c r="V51" s="566">
        <v>2168.8888888888901</v>
      </c>
      <c r="W51" s="566">
        <v>120.49382716049389</v>
      </c>
      <c r="X51" s="562">
        <f t="shared" si="43"/>
        <v>7</v>
      </c>
      <c r="Y51" s="637"/>
      <c r="Z51" s="562">
        <v>18</v>
      </c>
      <c r="AA51" s="566">
        <v>2201.4545454545469</v>
      </c>
      <c r="AB51" s="566">
        <v>122.30303030303038</v>
      </c>
      <c r="AC51" s="562">
        <f t="shared" si="45"/>
        <v>7</v>
      </c>
      <c r="AD51" s="637"/>
      <c r="AE51" s="562">
        <v>18</v>
      </c>
      <c r="AF51" s="566">
        <v>2197.3584905660391</v>
      </c>
      <c r="AG51" s="566">
        <v>122.07547169811329</v>
      </c>
      <c r="AH51" s="562">
        <f t="shared" si="47"/>
        <v>7</v>
      </c>
      <c r="AI51" s="637"/>
      <c r="AJ51" s="562">
        <v>18</v>
      </c>
      <c r="AK51" s="566">
        <v>2222.1818181818167</v>
      </c>
      <c r="AL51" s="566">
        <v>123.45454545454537</v>
      </c>
      <c r="AM51" s="562">
        <f t="shared" si="49"/>
        <v>6</v>
      </c>
      <c r="AN51" s="637"/>
      <c r="AO51" s="562">
        <v>18</v>
      </c>
      <c r="AP51" s="566">
        <v>2218.9285714285729</v>
      </c>
      <c r="AQ51" s="566">
        <v>123.2738095238096</v>
      </c>
      <c r="AR51" s="562">
        <f t="shared" si="51"/>
        <v>7</v>
      </c>
      <c r="AS51" s="637"/>
      <c r="AT51" s="562">
        <v>18</v>
      </c>
      <c r="AU51" s="566">
        <v>2152.5000000000018</v>
      </c>
      <c r="AV51" s="566">
        <v>119.58333333333343</v>
      </c>
      <c r="AW51" s="562">
        <f t="shared" si="53"/>
        <v>7</v>
      </c>
      <c r="AX51" s="637"/>
      <c r="AZ51" s="418" t="e">
        <f t="shared" si="55"/>
        <v>#N/A</v>
      </c>
      <c r="BA51" s="637"/>
    </row>
    <row r="52" spans="2:53">
      <c r="B52" s="647"/>
      <c r="C52" s="380">
        <v>6</v>
      </c>
      <c r="D52" s="225" t="s">
        <v>593</v>
      </c>
      <c r="E52" s="535">
        <v>17</v>
      </c>
      <c r="F52" s="534">
        <v>2571</v>
      </c>
      <c r="G52" s="536">
        <v>151.23529411764707</v>
      </c>
      <c r="H52" s="655"/>
      <c r="I52" s="381">
        <f t="shared" si="38"/>
        <v>17</v>
      </c>
      <c r="J52" s="381">
        <f t="shared" si="39"/>
        <v>2362.4017736649303</v>
      </c>
      <c r="K52" s="199">
        <f t="shared" si="40"/>
        <v>138.96481021558412</v>
      </c>
      <c r="L52" s="657"/>
      <c r="M52" s="420">
        <f>RANK(K52, K$47:$K$61)</f>
        <v>1</v>
      </c>
      <c r="N52" s="641"/>
      <c r="O52" s="641"/>
      <c r="P52" s="562">
        <v>17</v>
      </c>
      <c r="Q52" s="566">
        <v>2371.6666666666647</v>
      </c>
      <c r="R52" s="566">
        <v>139.5098039215685</v>
      </c>
      <c r="S52" s="562">
        <f t="shared" si="41"/>
        <v>2</v>
      </c>
      <c r="T52" s="637"/>
      <c r="U52" s="562">
        <v>17</v>
      </c>
      <c r="V52" s="566">
        <v>2355.789473684209</v>
      </c>
      <c r="W52" s="566">
        <v>138.57585139318877</v>
      </c>
      <c r="X52" s="562">
        <f t="shared" si="43"/>
        <v>2</v>
      </c>
      <c r="Y52" s="637"/>
      <c r="Z52" s="562">
        <v>17</v>
      </c>
      <c r="AA52" s="566">
        <v>2380.4999999999991</v>
      </c>
      <c r="AB52" s="566">
        <v>140.02941176470583</v>
      </c>
      <c r="AC52" s="562">
        <f t="shared" si="45"/>
        <v>2</v>
      </c>
      <c r="AD52" s="637"/>
      <c r="AE52" s="562">
        <v>17</v>
      </c>
      <c r="AF52" s="566">
        <v>2317.8947368421032</v>
      </c>
      <c r="AG52" s="566">
        <v>136.34674922600607</v>
      </c>
      <c r="AH52" s="562">
        <f t="shared" si="47"/>
        <v>1</v>
      </c>
      <c r="AI52" s="637"/>
      <c r="AJ52" s="562">
        <v>17</v>
      </c>
      <c r="AK52" s="566">
        <v>2389.9999999999982</v>
      </c>
      <c r="AL52" s="566">
        <v>140.58823529411754</v>
      </c>
      <c r="AM52" s="562">
        <f t="shared" si="49"/>
        <v>1</v>
      </c>
      <c r="AN52" s="637"/>
      <c r="AO52" s="562">
        <v>17</v>
      </c>
      <c r="AP52" s="566">
        <v>2358.4615384615372</v>
      </c>
      <c r="AQ52" s="566">
        <v>138.73303167420806</v>
      </c>
      <c r="AR52" s="562">
        <f t="shared" si="51"/>
        <v>2</v>
      </c>
      <c r="AS52" s="637"/>
      <c r="AT52" s="562">
        <v>17</v>
      </c>
      <c r="AU52" s="566">
        <v>2362.4999999999991</v>
      </c>
      <c r="AV52" s="566">
        <v>138.97058823529406</v>
      </c>
      <c r="AW52" s="562">
        <f t="shared" si="53"/>
        <v>2</v>
      </c>
      <c r="AX52" s="637"/>
      <c r="AZ52" s="418" t="e">
        <f t="shared" si="55"/>
        <v>#N/A</v>
      </c>
      <c r="BA52" s="637"/>
    </row>
    <row r="53" spans="2:53">
      <c r="B53" s="647"/>
      <c r="C53" s="380">
        <v>7</v>
      </c>
      <c r="D53" s="225" t="s">
        <v>609</v>
      </c>
      <c r="E53" s="535">
        <v>19</v>
      </c>
      <c r="F53" s="534">
        <v>2400</v>
      </c>
      <c r="G53" s="536">
        <v>126.31578947368421</v>
      </c>
      <c r="H53" s="655"/>
      <c r="I53" s="381">
        <f t="shared" si="38"/>
        <v>18.285714285714285</v>
      </c>
      <c r="J53" s="381">
        <f t="shared" si="39"/>
        <v>2084.230802614265</v>
      </c>
      <c r="K53" s="199">
        <f t="shared" si="40"/>
        <v>114.04375467658699</v>
      </c>
      <c r="L53" s="657"/>
      <c r="M53" s="420">
        <f>RANK(K53, K$47:$K$61)</f>
        <v>9</v>
      </c>
      <c r="N53" s="641"/>
      <c r="O53" s="641"/>
      <c r="P53" s="562">
        <v>19</v>
      </c>
      <c r="Q53" s="566">
        <v>2062.8571428571499</v>
      </c>
      <c r="R53" s="566">
        <v>108.57142857142894</v>
      </c>
      <c r="S53" s="562">
        <f t="shared" si="41"/>
        <v>10</v>
      </c>
      <c r="T53" s="637"/>
      <c r="U53" s="562">
        <v>19</v>
      </c>
      <c r="V53" s="566">
        <v>2119.0909090909163</v>
      </c>
      <c r="W53" s="566">
        <v>111.53110047846928</v>
      </c>
      <c r="X53" s="562">
        <f t="shared" si="43"/>
        <v>9</v>
      </c>
      <c r="Y53" s="637"/>
      <c r="Z53" s="562">
        <v>18</v>
      </c>
      <c r="AA53" s="566">
        <v>2123.0769230769179</v>
      </c>
      <c r="AB53" s="566">
        <v>117.94871794871766</v>
      </c>
      <c r="AC53" s="562">
        <f t="shared" si="45"/>
        <v>9</v>
      </c>
      <c r="AD53" s="637"/>
      <c r="AE53" s="562">
        <v>18</v>
      </c>
      <c r="AF53" s="566">
        <v>2036.842105263165</v>
      </c>
      <c r="AG53" s="566">
        <v>113.15789473684249</v>
      </c>
      <c r="AH53" s="562">
        <f t="shared" si="47"/>
        <v>10</v>
      </c>
      <c r="AI53" s="637"/>
      <c r="AJ53" s="562">
        <v>18</v>
      </c>
      <c r="AK53" s="566">
        <v>2090.526315789481</v>
      </c>
      <c r="AL53" s="566">
        <v>116.14035087719338</v>
      </c>
      <c r="AM53" s="562">
        <f t="shared" si="49"/>
        <v>9</v>
      </c>
      <c r="AN53" s="637"/>
      <c r="AO53" s="562">
        <v>18</v>
      </c>
      <c r="AP53" s="566">
        <v>2115.0000000000077</v>
      </c>
      <c r="AQ53" s="566">
        <v>117.50000000000043</v>
      </c>
      <c r="AR53" s="562">
        <f t="shared" si="51"/>
        <v>9</v>
      </c>
      <c r="AS53" s="637"/>
      <c r="AT53" s="562">
        <v>18</v>
      </c>
      <c r="AU53" s="566">
        <v>2042.2222222222176</v>
      </c>
      <c r="AV53" s="566">
        <v>113.45679012345653</v>
      </c>
      <c r="AW53" s="562">
        <f t="shared" si="53"/>
        <v>9</v>
      </c>
      <c r="AX53" s="637"/>
      <c r="AZ53" s="418" t="e">
        <f t="shared" si="55"/>
        <v>#N/A</v>
      </c>
      <c r="BA53" s="637"/>
    </row>
    <row r="54" spans="2:53">
      <c r="B54" s="647"/>
      <c r="C54" s="380">
        <v>8</v>
      </c>
      <c r="D54" s="225" t="s">
        <v>617</v>
      </c>
      <c r="E54" s="535">
        <v>18</v>
      </c>
      <c r="F54" s="534">
        <v>2571</v>
      </c>
      <c r="G54" s="536">
        <v>142.83333333333334</v>
      </c>
      <c r="H54" s="655"/>
      <c r="I54" s="381">
        <f t="shared" si="38"/>
        <v>17.857142857142858</v>
      </c>
      <c r="J54" s="381">
        <f t="shared" si="39"/>
        <v>2382.7797734180717</v>
      </c>
      <c r="K54" s="199">
        <f t="shared" si="40"/>
        <v>133.48076238877243</v>
      </c>
      <c r="L54" s="657"/>
      <c r="M54" s="420">
        <f>RANK(K54, K$47:$K$61)</f>
        <v>3</v>
      </c>
      <c r="N54" s="641"/>
      <c r="O54" s="641"/>
      <c r="P54" s="562">
        <v>18</v>
      </c>
      <c r="Q54" s="566">
        <v>2381.2500000000009</v>
      </c>
      <c r="R54" s="566">
        <v>132.29166666666671</v>
      </c>
      <c r="S54" s="562">
        <f t="shared" si="41"/>
        <v>4</v>
      </c>
      <c r="T54" s="637"/>
      <c r="U54" s="562">
        <v>18</v>
      </c>
      <c r="V54" s="566">
        <v>2348.9361702127662</v>
      </c>
      <c r="W54" s="566">
        <v>130.49645390070924</v>
      </c>
      <c r="X54" s="562">
        <f t="shared" si="43"/>
        <v>5</v>
      </c>
      <c r="Y54" s="637"/>
      <c r="Z54" s="562">
        <v>18</v>
      </c>
      <c r="AA54" s="566">
        <v>2372.5000000000009</v>
      </c>
      <c r="AB54" s="566">
        <v>131.8055555555556</v>
      </c>
      <c r="AC54" s="562">
        <f t="shared" si="45"/>
        <v>4</v>
      </c>
      <c r="AD54" s="637"/>
      <c r="AE54" s="562">
        <v>18</v>
      </c>
      <c r="AF54" s="566">
        <v>2408.181818181818</v>
      </c>
      <c r="AG54" s="566">
        <v>133.78787878787878</v>
      </c>
      <c r="AH54" s="562">
        <f t="shared" si="47"/>
        <v>3</v>
      </c>
      <c r="AI54" s="637"/>
      <c r="AJ54" s="562">
        <v>18</v>
      </c>
      <c r="AK54" s="566">
        <v>2392.3404255319156</v>
      </c>
      <c r="AL54" s="566">
        <v>132.90780141843976</v>
      </c>
      <c r="AM54" s="562">
        <f t="shared" si="49"/>
        <v>2</v>
      </c>
      <c r="AN54" s="637"/>
      <c r="AO54" s="562">
        <v>18</v>
      </c>
      <c r="AP54" s="566">
        <v>2411.2500000000009</v>
      </c>
      <c r="AQ54" s="566">
        <v>133.95833333333337</v>
      </c>
      <c r="AR54" s="562">
        <f t="shared" si="51"/>
        <v>3</v>
      </c>
      <c r="AS54" s="637"/>
      <c r="AT54" s="562">
        <v>17</v>
      </c>
      <c r="AU54" s="566">
        <v>2365.0000000000009</v>
      </c>
      <c r="AV54" s="566">
        <v>139.11764705882359</v>
      </c>
      <c r="AW54" s="562">
        <f t="shared" si="53"/>
        <v>1</v>
      </c>
      <c r="AX54" s="637"/>
      <c r="AZ54" s="418" t="e">
        <f t="shared" si="55"/>
        <v>#N/A</v>
      </c>
      <c r="BA54" s="637"/>
    </row>
    <row r="55" spans="2:53">
      <c r="B55" s="647"/>
      <c r="C55" s="380">
        <v>9</v>
      </c>
      <c r="D55" s="225" t="s">
        <v>620</v>
      </c>
      <c r="E55" s="535">
        <v>19</v>
      </c>
      <c r="F55" s="534">
        <v>2400</v>
      </c>
      <c r="G55" s="536">
        <v>126.31578947368421</v>
      </c>
      <c r="H55" s="655"/>
      <c r="I55" s="381">
        <f t="shared" si="38"/>
        <v>19.142857142857142</v>
      </c>
      <c r="J55" s="381">
        <f t="shared" si="39"/>
        <v>2107.8319507290057</v>
      </c>
      <c r="K55" s="199">
        <f t="shared" si="40"/>
        <v>110.15581695566195</v>
      </c>
      <c r="L55" s="657"/>
      <c r="M55" s="420">
        <f>RANK(K55, K$47:$K$61)</f>
        <v>10</v>
      </c>
      <c r="N55" s="641"/>
      <c r="O55" s="641"/>
      <c r="P55" s="562">
        <v>19</v>
      </c>
      <c r="Q55" s="566">
        <v>2083.4482758620647</v>
      </c>
      <c r="R55" s="566">
        <v>109.65517241379288</v>
      </c>
      <c r="S55" s="562">
        <f t="shared" si="41"/>
        <v>9</v>
      </c>
      <c r="T55" s="637"/>
      <c r="U55" s="562">
        <v>20</v>
      </c>
      <c r="V55" s="566">
        <v>2081.9999999999964</v>
      </c>
      <c r="W55" s="566">
        <v>104.09999999999982</v>
      </c>
      <c r="X55" s="562">
        <f t="shared" si="43"/>
        <v>10</v>
      </c>
      <c r="Y55" s="637"/>
      <c r="Z55" s="562">
        <v>19</v>
      </c>
      <c r="AA55" s="566">
        <v>2092.9411764705856</v>
      </c>
      <c r="AB55" s="566">
        <v>110.15479876160977</v>
      </c>
      <c r="AC55" s="562">
        <f t="shared" si="45"/>
        <v>10</v>
      </c>
      <c r="AD55" s="637"/>
      <c r="AE55" s="562">
        <v>19</v>
      </c>
      <c r="AF55" s="566">
        <v>2153.0769230769179</v>
      </c>
      <c r="AG55" s="566">
        <v>113.31983805667988</v>
      </c>
      <c r="AH55" s="562">
        <f t="shared" si="47"/>
        <v>9</v>
      </c>
      <c r="AI55" s="637"/>
      <c r="AJ55" s="562">
        <v>19</v>
      </c>
      <c r="AK55" s="566">
        <v>2115.5555555555507</v>
      </c>
      <c r="AL55" s="566">
        <v>111.34502923976582</v>
      </c>
      <c r="AM55" s="562">
        <f t="shared" si="49"/>
        <v>10</v>
      </c>
      <c r="AN55" s="637"/>
      <c r="AO55" s="562">
        <v>19</v>
      </c>
      <c r="AP55" s="566">
        <v>2116.5517241379266</v>
      </c>
      <c r="AQ55" s="566">
        <v>111.39745916515403</v>
      </c>
      <c r="AR55" s="562">
        <f t="shared" si="51"/>
        <v>10</v>
      </c>
      <c r="AS55" s="637"/>
      <c r="AT55" s="562">
        <v>19</v>
      </c>
      <c r="AU55" s="566">
        <v>2111.2499999999968</v>
      </c>
      <c r="AV55" s="566">
        <v>111.1184210526314</v>
      </c>
      <c r="AW55" s="562">
        <f t="shared" si="53"/>
        <v>10</v>
      </c>
      <c r="AX55" s="637"/>
      <c r="AZ55" s="418" t="e">
        <f t="shared" si="55"/>
        <v>#N/A</v>
      </c>
      <c r="BA55" s="637"/>
    </row>
    <row r="56" spans="2:53">
      <c r="B56" s="647"/>
      <c r="C56" s="380">
        <v>10</v>
      </c>
      <c r="D56" s="225" t="s">
        <v>738</v>
      </c>
      <c r="E56" s="535">
        <v>18</v>
      </c>
      <c r="F56" s="534">
        <v>2571</v>
      </c>
      <c r="G56" s="536">
        <v>142.83333333333334</v>
      </c>
      <c r="H56" s="655"/>
      <c r="I56" s="381">
        <f t="shared" si="38"/>
        <v>18</v>
      </c>
      <c r="J56" s="381">
        <f t="shared" si="39"/>
        <v>2371.3034008135669</v>
      </c>
      <c r="K56" s="199">
        <f t="shared" si="40"/>
        <v>131.73907782297596</v>
      </c>
      <c r="L56" s="657"/>
      <c r="M56" s="420">
        <f>RANK(K56, K$47:$K$61)</f>
        <v>5</v>
      </c>
      <c r="N56" s="641"/>
      <c r="O56" s="641"/>
      <c r="P56" s="562">
        <v>18</v>
      </c>
      <c r="Q56" s="566">
        <v>2332.2580645161311</v>
      </c>
      <c r="R56" s="566">
        <v>129.56989247311839</v>
      </c>
      <c r="S56" s="562">
        <f t="shared" si="41"/>
        <v>5</v>
      </c>
      <c r="T56" s="637"/>
      <c r="U56" s="562">
        <v>18</v>
      </c>
      <c r="V56" s="566">
        <v>2363.4146341463406</v>
      </c>
      <c r="W56" s="566">
        <v>131.30081300813004</v>
      </c>
      <c r="X56" s="562">
        <f t="shared" si="43"/>
        <v>4</v>
      </c>
      <c r="Y56" s="637"/>
      <c r="Z56" s="562">
        <v>18</v>
      </c>
      <c r="AA56" s="566">
        <v>2386.0465116279065</v>
      </c>
      <c r="AB56" s="566">
        <v>132.55813953488371</v>
      </c>
      <c r="AC56" s="562">
        <f t="shared" si="45"/>
        <v>3</v>
      </c>
      <c r="AD56" s="637"/>
      <c r="AE56" s="562">
        <v>18</v>
      </c>
      <c r="AF56" s="566">
        <v>2439.2727272727252</v>
      </c>
      <c r="AG56" s="566">
        <v>135.51515151515139</v>
      </c>
      <c r="AH56" s="562">
        <f t="shared" si="47"/>
        <v>2</v>
      </c>
      <c r="AI56" s="637"/>
      <c r="AJ56" s="562">
        <v>18</v>
      </c>
      <c r="AK56" s="566">
        <v>2331.4285714285706</v>
      </c>
      <c r="AL56" s="566">
        <v>129.52380952380949</v>
      </c>
      <c r="AM56" s="562">
        <f t="shared" si="49"/>
        <v>4</v>
      </c>
      <c r="AN56" s="637"/>
      <c r="AO56" s="562">
        <v>18</v>
      </c>
      <c r="AP56" s="566">
        <v>2332.8571428571418</v>
      </c>
      <c r="AQ56" s="566">
        <v>129.60317460317455</v>
      </c>
      <c r="AR56" s="562">
        <f t="shared" si="51"/>
        <v>5</v>
      </c>
      <c r="AS56" s="637"/>
      <c r="AT56" s="562">
        <v>18</v>
      </c>
      <c r="AU56" s="566">
        <v>2413.8461538461529</v>
      </c>
      <c r="AV56" s="566">
        <v>134.10256410256406</v>
      </c>
      <c r="AW56" s="562">
        <f t="shared" si="53"/>
        <v>5</v>
      </c>
      <c r="AX56" s="637"/>
      <c r="AZ56" s="418" t="e">
        <f t="shared" si="55"/>
        <v>#N/A</v>
      </c>
      <c r="BA56" s="637"/>
    </row>
    <row r="57" spans="2:53">
      <c r="B57" s="647"/>
      <c r="C57" s="380">
        <v>11</v>
      </c>
      <c r="D57" s="225"/>
      <c r="E57" s="535"/>
      <c r="F57" s="534"/>
      <c r="G57" s="536"/>
      <c r="H57" s="655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7"/>
      <c r="M57" s="420" t="e">
        <f>RANK(K57, K$47:$K$61)</f>
        <v>#VALUE!</v>
      </c>
      <c r="N57" s="641"/>
      <c r="O57" s="641"/>
      <c r="P57" s="562" t="s">
        <v>585</v>
      </c>
      <c r="Q57" s="566" t="s">
        <v>585</v>
      </c>
      <c r="R57" s="566" t="s">
        <v>585</v>
      </c>
      <c r="S57" s="562" t="e">
        <f t="shared" si="41"/>
        <v>#VALUE!</v>
      </c>
      <c r="T57" s="637"/>
      <c r="U57" s="562" t="s">
        <v>585</v>
      </c>
      <c r="V57" s="566" t="s">
        <v>585</v>
      </c>
      <c r="W57" s="566" t="s">
        <v>585</v>
      </c>
      <c r="X57" s="562" t="e">
        <f t="shared" si="43"/>
        <v>#VALUE!</v>
      </c>
      <c r="Y57" s="637"/>
      <c r="Z57" s="562" t="s">
        <v>585</v>
      </c>
      <c r="AA57" s="566" t="s">
        <v>585</v>
      </c>
      <c r="AB57" s="566" t="s">
        <v>585</v>
      </c>
      <c r="AC57" s="562" t="e">
        <f t="shared" si="45"/>
        <v>#VALUE!</v>
      </c>
      <c r="AD57" s="637"/>
      <c r="AE57" s="562" t="s">
        <v>585</v>
      </c>
      <c r="AF57" s="566" t="s">
        <v>585</v>
      </c>
      <c r="AG57" s="566" t="s">
        <v>585</v>
      </c>
      <c r="AH57" s="562" t="e">
        <f t="shared" si="47"/>
        <v>#VALUE!</v>
      </c>
      <c r="AI57" s="637"/>
      <c r="AJ57" s="562" t="s">
        <v>585</v>
      </c>
      <c r="AK57" s="566" t="s">
        <v>585</v>
      </c>
      <c r="AL57" s="566" t="s">
        <v>585</v>
      </c>
      <c r="AM57" s="562" t="e">
        <f t="shared" si="49"/>
        <v>#VALUE!</v>
      </c>
      <c r="AN57" s="637"/>
      <c r="AO57" s="562" t="s">
        <v>585</v>
      </c>
      <c r="AP57" s="566" t="s">
        <v>585</v>
      </c>
      <c r="AQ57" s="566" t="s">
        <v>585</v>
      </c>
      <c r="AR57" s="562" t="e">
        <f t="shared" si="51"/>
        <v>#VALUE!</v>
      </c>
      <c r="AS57" s="637"/>
      <c r="AT57" s="562" t="s">
        <v>585</v>
      </c>
      <c r="AU57" s="566" t="s">
        <v>585</v>
      </c>
      <c r="AV57" s="566" t="s">
        <v>585</v>
      </c>
      <c r="AW57" s="562" t="e">
        <f t="shared" si="53"/>
        <v>#VALUE!</v>
      </c>
      <c r="AX57" s="637"/>
      <c r="AZ57" s="418" t="e">
        <f t="shared" si="55"/>
        <v>#N/A</v>
      </c>
      <c r="BA57" s="637"/>
    </row>
    <row r="58" spans="2:53">
      <c r="B58" s="647"/>
      <c r="C58" s="380">
        <v>12</v>
      </c>
      <c r="D58" s="225"/>
      <c r="E58" s="535"/>
      <c r="F58" s="534"/>
      <c r="G58" s="536"/>
      <c r="H58" s="655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7"/>
      <c r="M58" s="420" t="e">
        <f>RANK(K58, K$47:$K$61)</f>
        <v>#VALUE!</v>
      </c>
      <c r="N58" s="641"/>
      <c r="O58" s="641"/>
      <c r="P58" s="562" t="s">
        <v>585</v>
      </c>
      <c r="Q58" s="566" t="s">
        <v>585</v>
      </c>
      <c r="R58" s="566" t="s">
        <v>585</v>
      </c>
      <c r="S58" s="562" t="e">
        <f t="shared" si="41"/>
        <v>#VALUE!</v>
      </c>
      <c r="T58" s="637"/>
      <c r="U58" s="562" t="s">
        <v>585</v>
      </c>
      <c r="V58" s="566" t="s">
        <v>585</v>
      </c>
      <c r="W58" s="566" t="s">
        <v>585</v>
      </c>
      <c r="X58" s="562" t="e">
        <f t="shared" si="43"/>
        <v>#VALUE!</v>
      </c>
      <c r="Y58" s="637"/>
      <c r="Z58" s="562" t="s">
        <v>585</v>
      </c>
      <c r="AA58" s="566" t="s">
        <v>585</v>
      </c>
      <c r="AB58" s="566" t="s">
        <v>585</v>
      </c>
      <c r="AC58" s="562" t="e">
        <f t="shared" si="45"/>
        <v>#VALUE!</v>
      </c>
      <c r="AD58" s="637"/>
      <c r="AE58" s="562" t="s">
        <v>585</v>
      </c>
      <c r="AF58" s="566" t="s">
        <v>585</v>
      </c>
      <c r="AG58" s="566" t="s">
        <v>585</v>
      </c>
      <c r="AH58" s="562" t="e">
        <f t="shared" si="47"/>
        <v>#VALUE!</v>
      </c>
      <c r="AI58" s="637"/>
      <c r="AJ58" s="562" t="s">
        <v>585</v>
      </c>
      <c r="AK58" s="566" t="s">
        <v>585</v>
      </c>
      <c r="AL58" s="566" t="s">
        <v>585</v>
      </c>
      <c r="AM58" s="562" t="e">
        <f t="shared" si="49"/>
        <v>#VALUE!</v>
      </c>
      <c r="AN58" s="637"/>
      <c r="AO58" s="562" t="s">
        <v>585</v>
      </c>
      <c r="AP58" s="566" t="s">
        <v>585</v>
      </c>
      <c r="AQ58" s="566" t="s">
        <v>585</v>
      </c>
      <c r="AR58" s="562" t="e">
        <f t="shared" si="51"/>
        <v>#VALUE!</v>
      </c>
      <c r="AS58" s="637"/>
      <c r="AT58" s="562" t="s">
        <v>585</v>
      </c>
      <c r="AU58" s="566" t="s">
        <v>585</v>
      </c>
      <c r="AV58" s="566" t="s">
        <v>585</v>
      </c>
      <c r="AW58" s="562" t="e">
        <f t="shared" si="53"/>
        <v>#VALUE!</v>
      </c>
      <c r="AX58" s="637"/>
      <c r="AZ58" s="418" t="e">
        <f t="shared" si="55"/>
        <v>#N/A</v>
      </c>
      <c r="BA58" s="637"/>
    </row>
    <row r="59" spans="2:53">
      <c r="B59" s="647"/>
      <c r="C59" s="380">
        <v>13</v>
      </c>
      <c r="D59" s="225"/>
      <c r="E59" s="535"/>
      <c r="F59" s="534"/>
      <c r="G59" s="536"/>
      <c r="H59" s="655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7"/>
      <c r="M59" s="420" t="e">
        <f>RANK(K59, K$47:$K$61)</f>
        <v>#VALUE!</v>
      </c>
      <c r="N59" s="641"/>
      <c r="O59" s="641"/>
      <c r="P59" s="562" t="s">
        <v>585</v>
      </c>
      <c r="Q59" s="566" t="s">
        <v>585</v>
      </c>
      <c r="R59" s="566" t="s">
        <v>585</v>
      </c>
      <c r="S59" s="562" t="e">
        <f t="shared" si="41"/>
        <v>#VALUE!</v>
      </c>
      <c r="T59" s="637"/>
      <c r="U59" s="562" t="s">
        <v>585</v>
      </c>
      <c r="V59" s="566" t="s">
        <v>585</v>
      </c>
      <c r="W59" s="566" t="s">
        <v>585</v>
      </c>
      <c r="X59" s="562" t="e">
        <f t="shared" si="43"/>
        <v>#VALUE!</v>
      </c>
      <c r="Y59" s="637"/>
      <c r="Z59" s="562" t="s">
        <v>585</v>
      </c>
      <c r="AA59" s="566" t="s">
        <v>585</v>
      </c>
      <c r="AB59" s="566" t="s">
        <v>585</v>
      </c>
      <c r="AC59" s="562" t="e">
        <f t="shared" si="45"/>
        <v>#VALUE!</v>
      </c>
      <c r="AD59" s="637"/>
      <c r="AE59" s="562" t="s">
        <v>585</v>
      </c>
      <c r="AF59" s="566" t="s">
        <v>585</v>
      </c>
      <c r="AG59" s="566" t="s">
        <v>585</v>
      </c>
      <c r="AH59" s="562" t="e">
        <f t="shared" si="47"/>
        <v>#VALUE!</v>
      </c>
      <c r="AI59" s="637"/>
      <c r="AJ59" s="562" t="s">
        <v>585</v>
      </c>
      <c r="AK59" s="566" t="s">
        <v>585</v>
      </c>
      <c r="AL59" s="566" t="s">
        <v>585</v>
      </c>
      <c r="AM59" s="562" t="e">
        <f t="shared" si="49"/>
        <v>#VALUE!</v>
      </c>
      <c r="AN59" s="637"/>
      <c r="AO59" s="562" t="s">
        <v>585</v>
      </c>
      <c r="AP59" s="566" t="s">
        <v>585</v>
      </c>
      <c r="AQ59" s="566" t="s">
        <v>585</v>
      </c>
      <c r="AR59" s="562" t="e">
        <f t="shared" si="51"/>
        <v>#VALUE!</v>
      </c>
      <c r="AS59" s="637"/>
      <c r="AT59" s="562" t="s">
        <v>585</v>
      </c>
      <c r="AU59" s="566" t="s">
        <v>585</v>
      </c>
      <c r="AV59" s="566" t="s">
        <v>585</v>
      </c>
      <c r="AW59" s="562" t="e">
        <f t="shared" si="53"/>
        <v>#VALUE!</v>
      </c>
      <c r="AX59" s="637"/>
      <c r="AZ59" s="418" t="e">
        <f t="shared" si="55"/>
        <v>#N/A</v>
      </c>
      <c r="BA59" s="637"/>
    </row>
    <row r="60" spans="2:53">
      <c r="B60" s="647"/>
      <c r="C60" s="380">
        <v>14</v>
      </c>
      <c r="D60" s="225"/>
      <c r="E60" s="535"/>
      <c r="F60" s="534"/>
      <c r="G60" s="536"/>
      <c r="H60" s="655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7"/>
      <c r="M60" s="420" t="e">
        <f>RANK(K60, K$47:$K$61)</f>
        <v>#VALUE!</v>
      </c>
      <c r="N60" s="641"/>
      <c r="O60" s="641"/>
      <c r="P60" s="562" t="s">
        <v>585</v>
      </c>
      <c r="Q60" s="566" t="s">
        <v>585</v>
      </c>
      <c r="R60" s="566" t="s">
        <v>585</v>
      </c>
      <c r="S60" s="562" t="e">
        <f t="shared" si="41"/>
        <v>#VALUE!</v>
      </c>
      <c r="T60" s="637"/>
      <c r="U60" s="562" t="s">
        <v>585</v>
      </c>
      <c r="V60" s="566" t="s">
        <v>585</v>
      </c>
      <c r="W60" s="566" t="s">
        <v>585</v>
      </c>
      <c r="X60" s="562" t="e">
        <f t="shared" si="43"/>
        <v>#VALUE!</v>
      </c>
      <c r="Y60" s="637"/>
      <c r="Z60" s="562" t="s">
        <v>585</v>
      </c>
      <c r="AA60" s="566" t="s">
        <v>585</v>
      </c>
      <c r="AB60" s="566" t="s">
        <v>585</v>
      </c>
      <c r="AC60" s="562" t="e">
        <f t="shared" si="45"/>
        <v>#VALUE!</v>
      </c>
      <c r="AD60" s="637"/>
      <c r="AE60" s="562" t="s">
        <v>585</v>
      </c>
      <c r="AF60" s="566" t="s">
        <v>585</v>
      </c>
      <c r="AG60" s="566" t="s">
        <v>585</v>
      </c>
      <c r="AH60" s="562" t="e">
        <f t="shared" si="47"/>
        <v>#VALUE!</v>
      </c>
      <c r="AI60" s="637"/>
      <c r="AJ60" s="562" t="s">
        <v>585</v>
      </c>
      <c r="AK60" s="566" t="s">
        <v>585</v>
      </c>
      <c r="AL60" s="566" t="s">
        <v>585</v>
      </c>
      <c r="AM60" s="562" t="e">
        <f t="shared" si="49"/>
        <v>#VALUE!</v>
      </c>
      <c r="AN60" s="637"/>
      <c r="AO60" s="562" t="s">
        <v>585</v>
      </c>
      <c r="AP60" s="566" t="s">
        <v>585</v>
      </c>
      <c r="AQ60" s="566" t="s">
        <v>585</v>
      </c>
      <c r="AR60" s="562" t="e">
        <f t="shared" si="51"/>
        <v>#VALUE!</v>
      </c>
      <c r="AS60" s="637"/>
      <c r="AT60" s="562" t="s">
        <v>585</v>
      </c>
      <c r="AU60" s="566" t="s">
        <v>585</v>
      </c>
      <c r="AV60" s="566" t="s">
        <v>585</v>
      </c>
      <c r="AW60" s="562" t="e">
        <f t="shared" si="53"/>
        <v>#VALUE!</v>
      </c>
      <c r="AX60" s="637"/>
      <c r="AZ60" s="418" t="e">
        <f t="shared" si="55"/>
        <v>#N/A</v>
      </c>
      <c r="BA60" s="637"/>
    </row>
    <row r="61" spans="2:53">
      <c r="B61" s="647"/>
      <c r="C61" s="380">
        <v>15</v>
      </c>
      <c r="D61" s="225"/>
      <c r="E61" s="535"/>
      <c r="F61" s="534"/>
      <c r="G61" s="536"/>
      <c r="H61" s="712"/>
      <c r="I61" s="380"/>
      <c r="J61" s="380"/>
      <c r="K61" s="380"/>
      <c r="L61" s="658"/>
      <c r="M61" s="420" t="e">
        <f>RANK(K61, K$47:$K$61)</f>
        <v>#N/A</v>
      </c>
      <c r="N61" s="641"/>
      <c r="O61" s="641"/>
      <c r="P61" s="562" t="s">
        <v>585</v>
      </c>
      <c r="Q61" s="566" t="s">
        <v>585</v>
      </c>
      <c r="R61" s="566" t="s">
        <v>585</v>
      </c>
      <c r="S61" s="562" t="e">
        <f t="shared" si="41"/>
        <v>#VALUE!</v>
      </c>
      <c r="T61" s="638"/>
      <c r="U61" s="562" t="s">
        <v>585</v>
      </c>
      <c r="V61" s="566" t="s">
        <v>585</v>
      </c>
      <c r="W61" s="566" t="s">
        <v>585</v>
      </c>
      <c r="X61" s="562" t="e">
        <f t="shared" si="43"/>
        <v>#VALUE!</v>
      </c>
      <c r="Y61" s="638"/>
      <c r="Z61" s="562" t="s">
        <v>585</v>
      </c>
      <c r="AA61" s="566" t="s">
        <v>585</v>
      </c>
      <c r="AB61" s="566" t="s">
        <v>585</v>
      </c>
      <c r="AC61" s="562" t="e">
        <f t="shared" si="45"/>
        <v>#VALUE!</v>
      </c>
      <c r="AD61" s="638"/>
      <c r="AE61" s="562" t="s">
        <v>585</v>
      </c>
      <c r="AF61" s="566" t="s">
        <v>585</v>
      </c>
      <c r="AG61" s="566" t="s">
        <v>585</v>
      </c>
      <c r="AH61" s="562" t="e">
        <f t="shared" si="47"/>
        <v>#VALUE!</v>
      </c>
      <c r="AI61" s="638"/>
      <c r="AJ61" s="562" t="s">
        <v>585</v>
      </c>
      <c r="AK61" s="566" t="s">
        <v>585</v>
      </c>
      <c r="AL61" s="566" t="s">
        <v>585</v>
      </c>
      <c r="AM61" s="562" t="e">
        <f t="shared" si="49"/>
        <v>#VALUE!</v>
      </c>
      <c r="AN61" s="638"/>
      <c r="AO61" s="562" t="s">
        <v>585</v>
      </c>
      <c r="AP61" s="566" t="s">
        <v>585</v>
      </c>
      <c r="AQ61" s="566" t="s">
        <v>585</v>
      </c>
      <c r="AR61" s="562" t="e">
        <f t="shared" si="51"/>
        <v>#VALUE!</v>
      </c>
      <c r="AS61" s="638"/>
      <c r="AT61" s="562" t="s">
        <v>585</v>
      </c>
      <c r="AU61" s="566" t="s">
        <v>585</v>
      </c>
      <c r="AV61" s="566" t="s">
        <v>585</v>
      </c>
      <c r="AW61" s="562" t="e">
        <f t="shared" si="53"/>
        <v>#VALUE!</v>
      </c>
      <c r="AX61" s="638"/>
      <c r="AZ61" s="418" t="e">
        <f t="shared" si="55"/>
        <v>#N/A</v>
      </c>
      <c r="BA61" s="638"/>
    </row>
    <row r="62" spans="2:53" ht="15.75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68">
        <f>P42+7</f>
        <v>46252</v>
      </c>
      <c r="Q62" s="647"/>
      <c r="R62" s="647"/>
      <c r="S62" s="647"/>
      <c r="T62" s="647"/>
      <c r="U62" s="665">
        <f>P62+1</f>
        <v>46253</v>
      </c>
      <c r="V62" s="666"/>
      <c r="W62" s="666"/>
      <c r="X62" s="666"/>
      <c r="Y62" s="667"/>
      <c r="Z62" s="665">
        <f>U62+1</f>
        <v>46254</v>
      </c>
      <c r="AA62" s="666"/>
      <c r="AB62" s="666"/>
      <c r="AC62" s="666"/>
      <c r="AD62" s="667"/>
      <c r="AE62" s="665">
        <f>Z62+1</f>
        <v>46255</v>
      </c>
      <c r="AF62" s="666"/>
      <c r="AG62" s="666"/>
      <c r="AH62" s="666"/>
      <c r="AI62" s="667"/>
      <c r="AJ62" s="665">
        <f>AE62+1</f>
        <v>46256</v>
      </c>
      <c r="AK62" s="666"/>
      <c r="AL62" s="666"/>
      <c r="AM62" s="666"/>
      <c r="AN62" s="667"/>
      <c r="AO62" s="665">
        <f>AJ62+1</f>
        <v>46257</v>
      </c>
      <c r="AP62" s="666"/>
      <c r="AQ62" s="666"/>
      <c r="AR62" s="666"/>
      <c r="AS62" s="667"/>
      <c r="AT62" s="665">
        <f>AO62+1</f>
        <v>46258</v>
      </c>
      <c r="AU62" s="666"/>
      <c r="AV62" s="666"/>
      <c r="AW62" s="666"/>
      <c r="AX62" s="667"/>
    </row>
    <row r="63" spans="2:53" ht="15.75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45"/>
      <c r="O63" s="645"/>
      <c r="P63" s="668" t="s">
        <v>317</v>
      </c>
      <c r="Q63" s="647"/>
      <c r="R63" s="647"/>
      <c r="S63" s="647"/>
      <c r="T63" s="647"/>
      <c r="U63" s="668" t="s">
        <v>318</v>
      </c>
      <c r="V63" s="647"/>
      <c r="W63" s="647"/>
      <c r="X63" s="647"/>
      <c r="Y63" s="647"/>
      <c r="Z63" s="668" t="s">
        <v>319</v>
      </c>
      <c r="AA63" s="647"/>
      <c r="AB63" s="647"/>
      <c r="AC63" s="647"/>
      <c r="AD63" s="647"/>
      <c r="AE63" s="668" t="s">
        <v>320</v>
      </c>
      <c r="AF63" s="647"/>
      <c r="AG63" s="647"/>
      <c r="AH63" s="647"/>
      <c r="AI63" s="647"/>
      <c r="AJ63" s="668" t="s">
        <v>321</v>
      </c>
      <c r="AK63" s="647"/>
      <c r="AL63" s="647"/>
      <c r="AM63" s="647"/>
      <c r="AN63" s="647"/>
      <c r="AO63" s="668" t="s">
        <v>322</v>
      </c>
      <c r="AP63" s="647"/>
      <c r="AQ63" s="647"/>
      <c r="AR63" s="647"/>
      <c r="AS63" s="647"/>
      <c r="AT63" s="668" t="s">
        <v>323</v>
      </c>
      <c r="AU63" s="647"/>
      <c r="AV63" s="647"/>
      <c r="AW63" s="647"/>
      <c r="AX63" s="647"/>
    </row>
    <row r="64" spans="2:53">
      <c r="B64" s="641" t="s">
        <v>407</v>
      </c>
      <c r="C64" s="641" t="s">
        <v>532</v>
      </c>
      <c r="D64" s="641"/>
      <c r="E64" s="641" t="s">
        <v>533</v>
      </c>
      <c r="F64" s="641"/>
      <c r="G64" s="641"/>
      <c r="H64" s="673" t="s">
        <v>534</v>
      </c>
      <c r="I64" s="641" t="s">
        <v>535</v>
      </c>
      <c r="J64" s="641"/>
      <c r="K64" s="641"/>
      <c r="L64" s="673" t="s">
        <v>366</v>
      </c>
      <c r="M64" s="643" t="s">
        <v>536</v>
      </c>
      <c r="N64" s="641"/>
      <c r="O64" s="641" t="s">
        <v>372</v>
      </c>
      <c r="P64" s="659" t="s">
        <v>368</v>
      </c>
      <c r="Q64" s="660"/>
      <c r="R64" s="660"/>
      <c r="S64" s="661"/>
      <c r="T64" s="641" t="s">
        <v>366</v>
      </c>
      <c r="U64" s="659" t="s">
        <v>368</v>
      </c>
      <c r="V64" s="660"/>
      <c r="W64" s="660"/>
      <c r="X64" s="661"/>
      <c r="Y64" s="641" t="s">
        <v>366</v>
      </c>
      <c r="Z64" s="659" t="s">
        <v>368</v>
      </c>
      <c r="AA64" s="660"/>
      <c r="AB64" s="660"/>
      <c r="AC64" s="661"/>
      <c r="AD64" s="641" t="s">
        <v>366</v>
      </c>
      <c r="AE64" s="659" t="s">
        <v>368</v>
      </c>
      <c r="AF64" s="660"/>
      <c r="AG64" s="660"/>
      <c r="AH64" s="661"/>
      <c r="AI64" s="641" t="s">
        <v>366</v>
      </c>
      <c r="AJ64" s="659" t="s">
        <v>368</v>
      </c>
      <c r="AK64" s="660"/>
      <c r="AL64" s="660"/>
      <c r="AM64" s="661"/>
      <c r="AN64" s="641" t="s">
        <v>366</v>
      </c>
      <c r="AO64" s="659" t="s">
        <v>368</v>
      </c>
      <c r="AP64" s="660"/>
      <c r="AQ64" s="660"/>
      <c r="AR64" s="661"/>
      <c r="AS64" s="641" t="s">
        <v>366</v>
      </c>
      <c r="AT64" s="659" t="s">
        <v>368</v>
      </c>
      <c r="AU64" s="660"/>
      <c r="AV64" s="660"/>
      <c r="AW64" s="661"/>
      <c r="AX64" s="641" t="s">
        <v>366</v>
      </c>
      <c r="BA64" s="641" t="s">
        <v>366</v>
      </c>
    </row>
    <row r="65" spans="2:53">
      <c r="B65" s="641"/>
      <c r="C65" s="641"/>
      <c r="D65" s="641"/>
      <c r="E65" s="641" t="s">
        <v>538</v>
      </c>
      <c r="F65" s="641"/>
      <c r="G65" s="641"/>
      <c r="H65" s="674"/>
      <c r="I65" s="641" t="s">
        <v>538</v>
      </c>
      <c r="J65" s="641"/>
      <c r="K65" s="641"/>
      <c r="L65" s="674"/>
      <c r="M65" s="644"/>
      <c r="N65" s="641"/>
      <c r="O65" s="641"/>
      <c r="P65" s="659" t="s">
        <v>374</v>
      </c>
      <c r="Q65" s="660"/>
      <c r="R65" s="660"/>
      <c r="S65" s="661"/>
      <c r="T65" s="641"/>
      <c r="U65" s="659" t="s">
        <v>374</v>
      </c>
      <c r="V65" s="660"/>
      <c r="W65" s="660"/>
      <c r="X65" s="661"/>
      <c r="Y65" s="641"/>
      <c r="Z65" s="659" t="s">
        <v>374</v>
      </c>
      <c r="AA65" s="660"/>
      <c r="AB65" s="660"/>
      <c r="AC65" s="661"/>
      <c r="AD65" s="641"/>
      <c r="AE65" s="659" t="s">
        <v>374</v>
      </c>
      <c r="AF65" s="660"/>
      <c r="AG65" s="660"/>
      <c r="AH65" s="661"/>
      <c r="AI65" s="641"/>
      <c r="AJ65" s="659" t="s">
        <v>374</v>
      </c>
      <c r="AK65" s="660"/>
      <c r="AL65" s="660"/>
      <c r="AM65" s="661"/>
      <c r="AN65" s="641"/>
      <c r="AO65" s="659" t="s">
        <v>374</v>
      </c>
      <c r="AP65" s="660"/>
      <c r="AQ65" s="660"/>
      <c r="AR65" s="661"/>
      <c r="AS65" s="641"/>
      <c r="AT65" s="659" t="s">
        <v>374</v>
      </c>
      <c r="AU65" s="660"/>
      <c r="AV65" s="660"/>
      <c r="AW65" s="661"/>
      <c r="AX65" s="641"/>
      <c r="BA65" s="641"/>
    </row>
    <row r="66" spans="2:53">
      <c r="B66" s="641"/>
      <c r="C66" s="641"/>
      <c r="D66" s="641"/>
      <c r="E66" s="378" t="s">
        <v>539</v>
      </c>
      <c r="F66" s="378" t="s">
        <v>540</v>
      </c>
      <c r="G66" s="378" t="s">
        <v>541</v>
      </c>
      <c r="H66" s="675"/>
      <c r="I66" s="378" t="s">
        <v>539</v>
      </c>
      <c r="J66" s="378" t="s">
        <v>540</v>
      </c>
      <c r="K66" s="378" t="s">
        <v>541</v>
      </c>
      <c r="L66" s="675"/>
      <c r="M66" s="645"/>
      <c r="N66" s="641"/>
      <c r="O66" s="641"/>
      <c r="P66" s="378" t="s">
        <v>375</v>
      </c>
      <c r="Q66" s="378" t="s">
        <v>376</v>
      </c>
      <c r="R66" s="378" t="s">
        <v>377</v>
      </c>
      <c r="S66" s="378" t="s">
        <v>367</v>
      </c>
      <c r="T66" s="641"/>
      <c r="U66" s="378" t="s">
        <v>375</v>
      </c>
      <c r="V66" s="378" t="s">
        <v>376</v>
      </c>
      <c r="W66" s="378" t="s">
        <v>377</v>
      </c>
      <c r="X66" s="378" t="s">
        <v>367</v>
      </c>
      <c r="Y66" s="641"/>
      <c r="Z66" s="378" t="s">
        <v>375</v>
      </c>
      <c r="AA66" s="378" t="s">
        <v>376</v>
      </c>
      <c r="AB66" s="378" t="s">
        <v>377</v>
      </c>
      <c r="AC66" s="378" t="s">
        <v>367</v>
      </c>
      <c r="AD66" s="641"/>
      <c r="AE66" s="378" t="s">
        <v>375</v>
      </c>
      <c r="AF66" s="378" t="s">
        <v>376</v>
      </c>
      <c r="AG66" s="378" t="s">
        <v>377</v>
      </c>
      <c r="AH66" s="378" t="s">
        <v>367</v>
      </c>
      <c r="AI66" s="641"/>
      <c r="AJ66" s="378" t="s">
        <v>375</v>
      </c>
      <c r="AK66" s="378" t="s">
        <v>376</v>
      </c>
      <c r="AL66" s="378" t="s">
        <v>377</v>
      </c>
      <c r="AM66" s="378" t="s">
        <v>367</v>
      </c>
      <c r="AN66" s="641"/>
      <c r="AO66" s="378" t="s">
        <v>375</v>
      </c>
      <c r="AP66" s="378" t="s">
        <v>376</v>
      </c>
      <c r="AQ66" s="378" t="s">
        <v>377</v>
      </c>
      <c r="AR66" s="378" t="s">
        <v>367</v>
      </c>
      <c r="AS66" s="641"/>
      <c r="AT66" s="378" t="s">
        <v>375</v>
      </c>
      <c r="AU66" s="378" t="s">
        <v>376</v>
      </c>
      <c r="AV66" s="378" t="s">
        <v>377</v>
      </c>
      <c r="AW66" s="378" t="s">
        <v>367</v>
      </c>
      <c r="AX66" s="641"/>
      <c r="AZ66" s="367" t="s">
        <v>367</v>
      </c>
      <c r="BA66" s="641"/>
    </row>
    <row r="67" spans="2:53">
      <c r="B67" s="641" t="s">
        <v>422</v>
      </c>
      <c r="C67" s="380">
        <v>1</v>
      </c>
      <c r="D67" s="225" t="s">
        <v>350</v>
      </c>
      <c r="E67" s="535">
        <v>20</v>
      </c>
      <c r="F67" s="534">
        <v>2400</v>
      </c>
      <c r="G67" s="536">
        <v>120</v>
      </c>
      <c r="H67" s="654">
        <f>AVERAGE(G67:G81)</f>
        <v>138.08870485036118</v>
      </c>
      <c r="I67" s="381">
        <f t="shared" ref="I67:I80" si="57">IFERROR(AVERAGE(P67,U67,Z67,AE67,AJ67,AO67,AT67),"-")</f>
        <v>20</v>
      </c>
      <c r="J67" s="381">
        <f t="shared" ref="J67:J80" si="58">IFERROR(AVERAGE(Q67,V67,AA67,AF67,AK67,AP67,AU67),"-")</f>
        <v>2258.8460341845757</v>
      </c>
      <c r="K67" s="199">
        <f t="shared" ref="K67:K80" si="59">IFERROR(AVERAGE(R67,W67,AB67,AG67,AL67,AQ67,AV67),"-")</f>
        <v>112.94230170922879</v>
      </c>
      <c r="L67" s="656">
        <f>IFERROR(AVERAGE(K67:K81),"-")</f>
        <v>125.03142903771315</v>
      </c>
      <c r="M67" s="385">
        <f>RANK(K67, K$67:$K$81)</f>
        <v>8</v>
      </c>
      <c r="N67" s="641"/>
      <c r="O67" s="641"/>
      <c r="P67" s="575">
        <v>20</v>
      </c>
      <c r="Q67" s="577">
        <v>2215.227272727273</v>
      </c>
      <c r="R67" s="577">
        <v>110.76136363636365</v>
      </c>
      <c r="S67" s="575">
        <f t="shared" ref="S67:S81" si="60">RANK(R67, R$67:R$81)</f>
        <v>9</v>
      </c>
      <c r="T67" s="636">
        <f t="shared" ref="T67" si="61">AVERAGE(R67:R81)</f>
        <v>126.08148282479715</v>
      </c>
      <c r="U67" s="575">
        <v>20</v>
      </c>
      <c r="V67" s="577">
        <v>2262.8571428571431</v>
      </c>
      <c r="W67" s="577">
        <v>113.14285714285715</v>
      </c>
      <c r="X67" s="575">
        <f t="shared" ref="X67:X81" si="62">RANK(W67, W$67:W$81)</f>
        <v>9</v>
      </c>
      <c r="Y67" s="636">
        <f t="shared" ref="Y67" si="63">AVERAGE(W67:W81)</f>
        <v>126.1735703823642</v>
      </c>
      <c r="Z67" s="575">
        <v>20</v>
      </c>
      <c r="AA67" s="577">
        <v>2232.9341317365265</v>
      </c>
      <c r="AB67" s="577">
        <v>111.64670658682633</v>
      </c>
      <c r="AC67" s="575">
        <f t="shared" ref="AC67:AC81" si="64">RANK(AB67, AB$67:AB$81)</f>
        <v>8</v>
      </c>
      <c r="AD67" s="636">
        <f t="shared" ref="AD67" si="65">AVERAGE(AB67:AB81)</f>
        <v>125.31086282943807</v>
      </c>
      <c r="AE67" s="575">
        <v>20</v>
      </c>
      <c r="AF67" s="577">
        <v>2267.28476821192</v>
      </c>
      <c r="AG67" s="577">
        <v>113.364238410596</v>
      </c>
      <c r="AH67" s="575">
        <f t="shared" ref="AH67:AH81" si="66">RANK(AG67, AG$67:AG$81)</f>
        <v>8</v>
      </c>
      <c r="AI67" s="636">
        <f t="shared" ref="AI67" si="67">AVERAGE(AG67:AG81)</f>
        <v>124.77501080757661</v>
      </c>
      <c r="AJ67" s="575">
        <v>20</v>
      </c>
      <c r="AK67" s="577">
        <v>2255.4878048780492</v>
      </c>
      <c r="AL67" s="577">
        <v>112.77439024390246</v>
      </c>
      <c r="AM67" s="575">
        <f t="shared" ref="AM67:AM81" si="68">RANK(AL67, AL$67:AL$81)</f>
        <v>8</v>
      </c>
      <c r="AN67" s="636">
        <f t="shared" ref="AN67" si="69">AVERAGE(AL67:AL81)</f>
        <v>123.97909062012968</v>
      </c>
      <c r="AO67" s="575">
        <v>20</v>
      </c>
      <c r="AP67" s="577">
        <v>2284.1538461538462</v>
      </c>
      <c r="AQ67" s="577">
        <v>114.20769230769231</v>
      </c>
      <c r="AR67" s="575">
        <f t="shared" ref="AR67:AR81" si="70">RANK(AQ67, AQ$67:AQ$81)</f>
        <v>8</v>
      </c>
      <c r="AS67" s="636">
        <f t="shared" ref="AS67" si="71">AVERAGE(AQ67:AQ81)</f>
        <v>123.8256879465188</v>
      </c>
      <c r="AT67" s="575">
        <v>20</v>
      </c>
      <c r="AU67" s="577">
        <v>2293.977272727273</v>
      </c>
      <c r="AV67" s="577">
        <v>114.69886363636365</v>
      </c>
      <c r="AW67" s="575">
        <f t="shared" ref="AW67:AW81" si="72">RANK(AV67, AV$67:AV$81)</f>
        <v>8</v>
      </c>
      <c r="AX67" s="636">
        <f t="shared" ref="AX67" si="73">AVERAGE(AV67:AV81)</f>
        <v>129.72521216228614</v>
      </c>
      <c r="AZ67" s="368" t="e">
        <f t="shared" ref="AZ67:AZ81" si="74">RANK(AY67, AY$67:AY$81)</f>
        <v>#N/A</v>
      </c>
      <c r="BA67" s="636" t="e">
        <f t="shared" ref="BA67" si="75">AVERAGE(AY67:AY81)</f>
        <v>#DIV/0!</v>
      </c>
    </row>
    <row r="68" spans="2:53">
      <c r="B68" s="647"/>
      <c r="C68" s="380">
        <v>2</v>
      </c>
      <c r="D68" s="225" t="s">
        <v>351</v>
      </c>
      <c r="E68" s="535">
        <v>18</v>
      </c>
      <c r="F68" s="534">
        <v>2769</v>
      </c>
      <c r="G68" s="536">
        <v>153.83333333333334</v>
      </c>
      <c r="H68" s="655"/>
      <c r="I68" s="381">
        <f t="shared" si="57"/>
        <v>18.285714285714285</v>
      </c>
      <c r="J68" s="381">
        <f t="shared" si="58"/>
        <v>2517.2615740240221</v>
      </c>
      <c r="K68" s="199">
        <f t="shared" si="59"/>
        <v>137.75754031659895</v>
      </c>
      <c r="L68" s="657"/>
      <c r="M68" s="385">
        <f>RANK(K68, K$67:$K$81)</f>
        <v>1</v>
      </c>
      <c r="N68" s="641"/>
      <c r="O68" s="641"/>
      <c r="P68" s="575">
        <v>19</v>
      </c>
      <c r="Q68" s="577">
        <v>2523.5820895522356</v>
      </c>
      <c r="R68" s="577">
        <v>132.82010997643346</v>
      </c>
      <c r="S68" s="575">
        <f t="shared" si="60"/>
        <v>4</v>
      </c>
      <c r="T68" s="637"/>
      <c r="U68" s="575">
        <v>19</v>
      </c>
      <c r="V68" s="577">
        <v>2480.6557377049203</v>
      </c>
      <c r="W68" s="577">
        <v>130.56082830025898</v>
      </c>
      <c r="X68" s="575">
        <f t="shared" si="62"/>
        <v>6</v>
      </c>
      <c r="Y68" s="637"/>
      <c r="Z68" s="575">
        <v>18</v>
      </c>
      <c r="AA68" s="577">
        <v>2514.0000000000023</v>
      </c>
      <c r="AB68" s="577">
        <v>139.6666666666668</v>
      </c>
      <c r="AC68" s="575">
        <f t="shared" si="64"/>
        <v>1</v>
      </c>
      <c r="AD68" s="637"/>
      <c r="AE68" s="575">
        <v>18</v>
      </c>
      <c r="AF68" s="577">
        <v>2548.9285714285697</v>
      </c>
      <c r="AG68" s="577">
        <v>141.60714285714278</v>
      </c>
      <c r="AH68" s="575">
        <f t="shared" si="66"/>
        <v>1</v>
      </c>
      <c r="AI68" s="637"/>
      <c r="AJ68" s="575">
        <v>18</v>
      </c>
      <c r="AK68" s="577">
        <v>2477.2881355932223</v>
      </c>
      <c r="AL68" s="577">
        <v>137.62711864406791</v>
      </c>
      <c r="AM68" s="575">
        <f t="shared" si="68"/>
        <v>3</v>
      </c>
      <c r="AN68" s="637"/>
      <c r="AO68" s="575">
        <v>18</v>
      </c>
      <c r="AP68" s="577">
        <v>2536.7213114754122</v>
      </c>
      <c r="AQ68" s="577">
        <v>140.92896174863401</v>
      </c>
      <c r="AR68" s="575">
        <f t="shared" si="70"/>
        <v>1</v>
      </c>
      <c r="AS68" s="637"/>
      <c r="AT68" s="575">
        <v>18</v>
      </c>
      <c r="AU68" s="577">
        <v>2539.6551724137948</v>
      </c>
      <c r="AV68" s="577">
        <v>141.0919540229886</v>
      </c>
      <c r="AW68" s="575">
        <f t="shared" si="72"/>
        <v>1</v>
      </c>
      <c r="AX68" s="637"/>
      <c r="AZ68" s="368" t="e">
        <f t="shared" si="74"/>
        <v>#N/A</v>
      </c>
      <c r="BA68" s="637"/>
    </row>
    <row r="69" spans="2:53">
      <c r="B69" s="647"/>
      <c r="C69" s="380">
        <v>3</v>
      </c>
      <c r="D69" s="225" t="s">
        <v>352</v>
      </c>
      <c r="E69" s="535">
        <v>19</v>
      </c>
      <c r="F69" s="534">
        <v>2769</v>
      </c>
      <c r="G69" s="536">
        <v>145.73684210526315</v>
      </c>
      <c r="H69" s="655"/>
      <c r="I69" s="381">
        <f t="shared" si="57"/>
        <v>18.714285714285715</v>
      </c>
      <c r="J69" s="381">
        <f t="shared" si="58"/>
        <v>2526.8256317126211</v>
      </c>
      <c r="K69" s="199">
        <f t="shared" si="59"/>
        <v>135.11813511218719</v>
      </c>
      <c r="L69" s="657"/>
      <c r="M69" s="385">
        <f>RANK(K69, K$67:$K$81)</f>
        <v>3</v>
      </c>
      <c r="N69" s="641"/>
      <c r="O69" s="641"/>
      <c r="P69" s="575">
        <v>19</v>
      </c>
      <c r="Q69" s="577">
        <v>2501.1627906976742</v>
      </c>
      <c r="R69" s="577">
        <v>131.64014687882496</v>
      </c>
      <c r="S69" s="575">
        <f t="shared" si="60"/>
        <v>5</v>
      </c>
      <c r="T69" s="637"/>
      <c r="U69" s="575">
        <v>19</v>
      </c>
      <c r="V69" s="577">
        <v>2491.8518518518508</v>
      </c>
      <c r="W69" s="577">
        <v>131.15009746588689</v>
      </c>
      <c r="X69" s="575">
        <f t="shared" si="62"/>
        <v>5</v>
      </c>
      <c r="Y69" s="637"/>
      <c r="Z69" s="575">
        <v>19</v>
      </c>
      <c r="AA69" s="577">
        <v>2554.9367088607582</v>
      </c>
      <c r="AB69" s="577">
        <v>134.47035309793463</v>
      </c>
      <c r="AC69" s="575">
        <f t="shared" si="64"/>
        <v>3</v>
      </c>
      <c r="AD69" s="637"/>
      <c r="AE69" s="575">
        <v>18</v>
      </c>
      <c r="AF69" s="577">
        <v>2544.3243243243223</v>
      </c>
      <c r="AG69" s="577">
        <v>141.35135135135124</v>
      </c>
      <c r="AH69" s="575">
        <f t="shared" si="66"/>
        <v>2</v>
      </c>
      <c r="AI69" s="637"/>
      <c r="AJ69" s="575">
        <v>18</v>
      </c>
      <c r="AK69" s="577">
        <v>2548.4615384615372</v>
      </c>
      <c r="AL69" s="577">
        <v>141.58119658119651</v>
      </c>
      <c r="AM69" s="575">
        <f t="shared" si="68"/>
        <v>1</v>
      </c>
      <c r="AN69" s="637"/>
      <c r="AO69" s="575">
        <v>19</v>
      </c>
      <c r="AP69" s="577">
        <v>2519.2499999999991</v>
      </c>
      <c r="AQ69" s="577">
        <v>132.59210526315783</v>
      </c>
      <c r="AR69" s="575">
        <f t="shared" si="70"/>
        <v>3</v>
      </c>
      <c r="AS69" s="637"/>
      <c r="AT69" s="575">
        <v>19</v>
      </c>
      <c r="AU69" s="577">
        <v>2527.7922077922062</v>
      </c>
      <c r="AV69" s="577">
        <v>133.04169514695823</v>
      </c>
      <c r="AW69" s="575">
        <f t="shared" si="72"/>
        <v>4</v>
      </c>
      <c r="AX69" s="637"/>
      <c r="AZ69" s="368" t="e">
        <f t="shared" si="74"/>
        <v>#N/A</v>
      </c>
      <c r="BA69" s="637"/>
    </row>
    <row r="70" spans="2:53">
      <c r="B70" s="647"/>
      <c r="C70" s="380">
        <v>4</v>
      </c>
      <c r="D70" s="225" t="s">
        <v>353</v>
      </c>
      <c r="E70" s="535">
        <v>20</v>
      </c>
      <c r="F70" s="534">
        <v>2769</v>
      </c>
      <c r="G70" s="536">
        <v>138.44999999999999</v>
      </c>
      <c r="H70" s="655"/>
      <c r="I70" s="381">
        <f t="shared" si="57"/>
        <v>19.714285714285715</v>
      </c>
      <c r="J70" s="381">
        <f t="shared" si="58"/>
        <v>2527.9560790588448</v>
      </c>
      <c r="K70" s="199">
        <f t="shared" si="59"/>
        <v>128.31099975059058</v>
      </c>
      <c r="L70" s="657"/>
      <c r="M70" s="385">
        <f>RANK(K70, K$67:$K$81)</f>
        <v>6</v>
      </c>
      <c r="N70" s="641"/>
      <c r="O70" s="641"/>
      <c r="P70" s="575">
        <v>19</v>
      </c>
      <c r="Q70" s="577">
        <v>2540.7079646017678</v>
      </c>
      <c r="R70" s="577">
        <v>133.72147182114568</v>
      </c>
      <c r="S70" s="575">
        <f t="shared" si="60"/>
        <v>3</v>
      </c>
      <c r="T70" s="637"/>
      <c r="U70" s="575">
        <v>19</v>
      </c>
      <c r="V70" s="577">
        <v>2548.3928571428592</v>
      </c>
      <c r="W70" s="577">
        <v>134.12593984962416</v>
      </c>
      <c r="X70" s="575">
        <f t="shared" si="62"/>
        <v>3</v>
      </c>
      <c r="Y70" s="637"/>
      <c r="Z70" s="575">
        <v>20</v>
      </c>
      <c r="AA70" s="577">
        <v>2518.8990825688088</v>
      </c>
      <c r="AB70" s="577">
        <v>125.94495412844044</v>
      </c>
      <c r="AC70" s="575">
        <f t="shared" si="64"/>
        <v>6</v>
      </c>
      <c r="AD70" s="637"/>
      <c r="AE70" s="575">
        <v>20</v>
      </c>
      <c r="AF70" s="577">
        <v>2497.864077669904</v>
      </c>
      <c r="AG70" s="577">
        <v>124.8932038834952</v>
      </c>
      <c r="AH70" s="575">
        <f t="shared" si="66"/>
        <v>6</v>
      </c>
      <c r="AI70" s="637"/>
      <c r="AJ70" s="575">
        <v>20</v>
      </c>
      <c r="AK70" s="577">
        <v>2525.4000000000005</v>
      </c>
      <c r="AL70" s="577">
        <v>126.27000000000002</v>
      </c>
      <c r="AM70" s="575">
        <f t="shared" si="68"/>
        <v>6</v>
      </c>
      <c r="AN70" s="637"/>
      <c r="AO70" s="575">
        <v>20</v>
      </c>
      <c r="AP70" s="577">
        <v>2523.4285714285725</v>
      </c>
      <c r="AQ70" s="577">
        <v>126.17142857142862</v>
      </c>
      <c r="AR70" s="575">
        <f t="shared" si="70"/>
        <v>6</v>
      </c>
      <c r="AS70" s="637"/>
      <c r="AT70" s="575">
        <v>20</v>
      </c>
      <c r="AU70" s="577">
        <v>2541.0000000000005</v>
      </c>
      <c r="AV70" s="577">
        <v>127.05000000000003</v>
      </c>
      <c r="AW70" s="575">
        <f t="shared" si="72"/>
        <v>6</v>
      </c>
      <c r="AX70" s="637"/>
      <c r="AZ70" s="368" t="e">
        <f t="shared" si="74"/>
        <v>#N/A</v>
      </c>
      <c r="BA70" s="637"/>
    </row>
    <row r="71" spans="2:53">
      <c r="B71" s="647"/>
      <c r="C71" s="380">
        <v>5</v>
      </c>
      <c r="D71" s="225" t="s">
        <v>511</v>
      </c>
      <c r="E71" s="535">
        <v>18</v>
      </c>
      <c r="F71" s="534">
        <v>2400</v>
      </c>
      <c r="G71" s="536">
        <v>133.33333333333334</v>
      </c>
      <c r="H71" s="655"/>
      <c r="I71" s="381">
        <f t="shared" si="57"/>
        <v>18</v>
      </c>
      <c r="J71" s="381">
        <f t="shared" si="58"/>
        <v>2164.9138369531943</v>
      </c>
      <c r="K71" s="199">
        <f t="shared" si="59"/>
        <v>120.2729909418441</v>
      </c>
      <c r="L71" s="657"/>
      <c r="M71" s="385">
        <f>RANK(K71, K$67:$K$81)</f>
        <v>7</v>
      </c>
      <c r="N71" s="641"/>
      <c r="O71" s="641"/>
      <c r="P71" s="575">
        <v>18</v>
      </c>
      <c r="Q71" s="577">
        <v>2161.0000000000023</v>
      </c>
      <c r="R71" s="577">
        <v>120.05555555555569</v>
      </c>
      <c r="S71" s="575">
        <f t="shared" si="60"/>
        <v>7</v>
      </c>
      <c r="T71" s="637"/>
      <c r="U71" s="575">
        <v>18</v>
      </c>
      <c r="V71" s="577">
        <v>2139.3103448275879</v>
      </c>
      <c r="W71" s="577">
        <v>118.85057471264378</v>
      </c>
      <c r="X71" s="575">
        <f t="shared" si="62"/>
        <v>7</v>
      </c>
      <c r="Y71" s="637"/>
      <c r="Z71" s="575">
        <v>18</v>
      </c>
      <c r="AA71" s="577">
        <v>2172.2033898305103</v>
      </c>
      <c r="AB71" s="577">
        <v>120.67796610169502</v>
      </c>
      <c r="AC71" s="575">
        <f t="shared" si="64"/>
        <v>7</v>
      </c>
      <c r="AD71" s="637"/>
      <c r="AE71" s="575">
        <v>18</v>
      </c>
      <c r="AF71" s="577">
        <v>2161.1764705882365</v>
      </c>
      <c r="AG71" s="577">
        <v>120.06535947712425</v>
      </c>
      <c r="AH71" s="575">
        <f t="shared" si="66"/>
        <v>7</v>
      </c>
      <c r="AI71" s="637"/>
      <c r="AJ71" s="575">
        <v>18</v>
      </c>
      <c r="AK71" s="577">
        <v>2127.1698113207558</v>
      </c>
      <c r="AL71" s="577">
        <v>118.17610062893088</v>
      </c>
      <c r="AM71" s="575">
        <f t="shared" si="68"/>
        <v>7</v>
      </c>
      <c r="AN71" s="637"/>
      <c r="AO71" s="575">
        <v>18</v>
      </c>
      <c r="AP71" s="577">
        <v>2174.7368421052647</v>
      </c>
      <c r="AQ71" s="577">
        <v>120.81871345029248</v>
      </c>
      <c r="AR71" s="575">
        <f t="shared" si="70"/>
        <v>7</v>
      </c>
      <c r="AS71" s="637"/>
      <c r="AT71" s="575">
        <v>18</v>
      </c>
      <c r="AU71" s="577">
        <v>2218.8000000000006</v>
      </c>
      <c r="AV71" s="577">
        <v>123.26666666666671</v>
      </c>
      <c r="AW71" s="575">
        <f t="shared" si="72"/>
        <v>7</v>
      </c>
      <c r="AX71" s="637"/>
      <c r="AZ71" s="368" t="e">
        <f t="shared" si="74"/>
        <v>#N/A</v>
      </c>
      <c r="BA71" s="637"/>
    </row>
    <row r="72" spans="2:53">
      <c r="B72" s="647"/>
      <c r="C72" s="380">
        <v>6</v>
      </c>
      <c r="D72" s="225" t="s">
        <v>593</v>
      </c>
      <c r="E72" s="535">
        <v>17</v>
      </c>
      <c r="F72" s="534">
        <v>2571</v>
      </c>
      <c r="G72" s="536">
        <v>151.23529411764707</v>
      </c>
      <c r="H72" s="655"/>
      <c r="I72" s="381">
        <f t="shared" si="57"/>
        <v>17</v>
      </c>
      <c r="J72" s="381">
        <f t="shared" si="58"/>
        <v>2340.8375333386944</v>
      </c>
      <c r="K72" s="199">
        <f t="shared" si="59"/>
        <v>137.69632549051144</v>
      </c>
      <c r="L72" s="657"/>
      <c r="M72" s="385">
        <f>RANK(K72, K$67:$K$81)</f>
        <v>2</v>
      </c>
      <c r="N72" s="641"/>
      <c r="O72" s="641"/>
      <c r="P72" s="575">
        <v>17</v>
      </c>
      <c r="Q72" s="577">
        <v>2344.9999999999982</v>
      </c>
      <c r="R72" s="577">
        <v>137.94117647058812</v>
      </c>
      <c r="S72" s="575">
        <f t="shared" si="60"/>
        <v>2</v>
      </c>
      <c r="T72" s="637"/>
      <c r="U72" s="575">
        <v>17</v>
      </c>
      <c r="V72" s="577">
        <v>2338.4999999999991</v>
      </c>
      <c r="W72" s="577">
        <v>137.55882352941171</v>
      </c>
      <c r="X72" s="575">
        <f t="shared" si="62"/>
        <v>2</v>
      </c>
      <c r="Y72" s="637"/>
      <c r="Z72" s="575">
        <v>17</v>
      </c>
      <c r="AA72" s="577">
        <v>2344.7368421052615</v>
      </c>
      <c r="AB72" s="577">
        <v>137.92569659442714</v>
      </c>
      <c r="AC72" s="575">
        <f t="shared" si="64"/>
        <v>2</v>
      </c>
      <c r="AD72" s="637"/>
      <c r="AE72" s="575">
        <v>17</v>
      </c>
      <c r="AF72" s="577">
        <v>2356.3636363636388</v>
      </c>
      <c r="AG72" s="577">
        <v>138.60962566844933</v>
      </c>
      <c r="AH72" s="575">
        <f t="shared" si="66"/>
        <v>3</v>
      </c>
      <c r="AI72" s="637"/>
      <c r="AJ72" s="575">
        <v>17</v>
      </c>
      <c r="AK72" s="577">
        <v>2368.1250000000027</v>
      </c>
      <c r="AL72" s="577">
        <v>139.30147058823545</v>
      </c>
      <c r="AM72" s="575">
        <f t="shared" si="68"/>
        <v>2</v>
      </c>
      <c r="AN72" s="637"/>
      <c r="AO72" s="575">
        <v>17</v>
      </c>
      <c r="AP72" s="577">
        <v>2306.4705882352969</v>
      </c>
      <c r="AQ72" s="577">
        <v>135.67474048442924</v>
      </c>
      <c r="AR72" s="575">
        <f t="shared" si="70"/>
        <v>2</v>
      </c>
      <c r="AS72" s="637"/>
      <c r="AT72" s="575">
        <v>17</v>
      </c>
      <c r="AU72" s="577">
        <v>2326.6666666666652</v>
      </c>
      <c r="AV72" s="577">
        <v>136.86274509803911</v>
      </c>
      <c r="AW72" s="575">
        <f t="shared" si="72"/>
        <v>2</v>
      </c>
      <c r="AX72" s="637"/>
      <c r="AZ72" s="368" t="e">
        <f t="shared" si="74"/>
        <v>#N/A</v>
      </c>
      <c r="BA72" s="637"/>
    </row>
    <row r="73" spans="2:53">
      <c r="B73" s="647"/>
      <c r="C73" s="380">
        <v>7</v>
      </c>
      <c r="D73" s="225" t="s">
        <v>609</v>
      </c>
      <c r="E73" s="535">
        <v>19</v>
      </c>
      <c r="F73" s="534">
        <v>2400</v>
      </c>
      <c r="G73" s="536">
        <v>126.31578947368421</v>
      </c>
      <c r="H73" s="655"/>
      <c r="I73" s="381">
        <f t="shared" si="57"/>
        <v>18.666666666666668</v>
      </c>
      <c r="J73" s="381">
        <f t="shared" si="58"/>
        <v>1918.5555555555627</v>
      </c>
      <c r="K73" s="199">
        <f t="shared" si="59"/>
        <v>102.9702286018079</v>
      </c>
      <c r="L73" s="657"/>
      <c r="M73" s="385">
        <f>RANK(K73, K$67:$K$81)</f>
        <v>10</v>
      </c>
      <c r="N73" s="641"/>
      <c r="O73" s="641"/>
      <c r="P73" s="575">
        <v>18</v>
      </c>
      <c r="Q73" s="577">
        <v>2031.8181818181888</v>
      </c>
      <c r="R73" s="577">
        <v>112.87878787878827</v>
      </c>
      <c r="S73" s="575">
        <f t="shared" si="60"/>
        <v>8</v>
      </c>
      <c r="T73" s="637"/>
      <c r="U73" s="575">
        <v>18</v>
      </c>
      <c r="V73" s="577">
        <v>2059.0909090909163</v>
      </c>
      <c r="W73" s="577">
        <v>114.39393939393979</v>
      </c>
      <c r="X73" s="575">
        <f t="shared" si="62"/>
        <v>8</v>
      </c>
      <c r="Y73" s="637"/>
      <c r="Z73" s="575">
        <v>19</v>
      </c>
      <c r="AA73" s="577">
        <v>2059.0909090909163</v>
      </c>
      <c r="AB73" s="577">
        <v>108.37320574162717</v>
      </c>
      <c r="AC73" s="575">
        <f t="shared" si="64"/>
        <v>10</v>
      </c>
      <c r="AD73" s="637"/>
      <c r="AE73" s="575">
        <v>19</v>
      </c>
      <c r="AF73" s="577">
        <v>1758.0000000000061</v>
      </c>
      <c r="AG73" s="577">
        <v>92.526315789474012</v>
      </c>
      <c r="AH73" s="575">
        <f t="shared" si="66"/>
        <v>10</v>
      </c>
      <c r="AI73" s="637"/>
      <c r="AJ73" s="575">
        <v>19</v>
      </c>
      <c r="AK73" s="577">
        <v>1773.3333333333396</v>
      </c>
      <c r="AL73" s="577">
        <v>93.33333333333367</v>
      </c>
      <c r="AM73" s="575">
        <f t="shared" si="68"/>
        <v>10</v>
      </c>
      <c r="AN73" s="637"/>
      <c r="AO73" s="575">
        <v>19</v>
      </c>
      <c r="AP73" s="577">
        <v>1830.0000000000064</v>
      </c>
      <c r="AQ73" s="577">
        <v>96.315789473684546</v>
      </c>
      <c r="AR73" s="575">
        <f t="shared" si="70"/>
        <v>10</v>
      </c>
      <c r="AS73" s="637"/>
      <c r="AT73" s="575" t="s">
        <v>585</v>
      </c>
      <c r="AU73" s="577" t="s">
        <v>585</v>
      </c>
      <c r="AV73" s="577" t="s">
        <v>585</v>
      </c>
      <c r="AW73" s="575" t="e">
        <f t="shared" si="72"/>
        <v>#VALUE!</v>
      </c>
      <c r="AX73" s="637"/>
      <c r="AZ73" s="368" t="e">
        <f t="shared" si="74"/>
        <v>#N/A</v>
      </c>
      <c r="BA73" s="637"/>
    </row>
    <row r="74" spans="2:53">
      <c r="B74" s="647"/>
      <c r="C74" s="380">
        <v>8</v>
      </c>
      <c r="D74" s="225" t="s">
        <v>617</v>
      </c>
      <c r="E74" s="535">
        <v>18</v>
      </c>
      <c r="F74" s="534">
        <v>2571</v>
      </c>
      <c r="G74" s="536">
        <v>142.83333333333334</v>
      </c>
      <c r="H74" s="655"/>
      <c r="I74" s="381">
        <f t="shared" si="57"/>
        <v>17.714285714285715</v>
      </c>
      <c r="J74" s="381">
        <f t="shared" si="58"/>
        <v>2369.9661497922361</v>
      </c>
      <c r="K74" s="199">
        <f t="shared" si="59"/>
        <v>133.87376051058914</v>
      </c>
      <c r="L74" s="657"/>
      <c r="M74" s="385">
        <f>RANK(K74, K$67:$K$81)</f>
        <v>4</v>
      </c>
      <c r="N74" s="641"/>
      <c r="O74" s="641"/>
      <c r="P74" s="575">
        <v>17</v>
      </c>
      <c r="Q74" s="577">
        <v>2374.6666666666665</v>
      </c>
      <c r="R74" s="577">
        <v>139.68627450980392</v>
      </c>
      <c r="S74" s="575">
        <f t="shared" si="60"/>
        <v>1</v>
      </c>
      <c r="T74" s="637"/>
      <c r="U74" s="575">
        <v>17</v>
      </c>
      <c r="V74" s="577">
        <v>2356.9565217391305</v>
      </c>
      <c r="W74" s="577">
        <v>138.6445012787724</v>
      </c>
      <c r="X74" s="575">
        <f t="shared" si="62"/>
        <v>1</v>
      </c>
      <c r="Y74" s="637"/>
      <c r="Z74" s="575">
        <v>18</v>
      </c>
      <c r="AA74" s="577">
        <v>2346.818181818182</v>
      </c>
      <c r="AB74" s="577">
        <v>130.37878787878788</v>
      </c>
      <c r="AC74" s="575">
        <f t="shared" si="64"/>
        <v>5</v>
      </c>
      <c r="AD74" s="637"/>
      <c r="AE74" s="575">
        <v>18</v>
      </c>
      <c r="AF74" s="577">
        <v>2409.2307692307677</v>
      </c>
      <c r="AG74" s="577">
        <v>133.84615384615375</v>
      </c>
      <c r="AH74" s="575">
        <f t="shared" si="66"/>
        <v>4</v>
      </c>
      <c r="AI74" s="637"/>
      <c r="AJ74" s="575">
        <v>18</v>
      </c>
      <c r="AK74" s="577">
        <v>2404.4999999999991</v>
      </c>
      <c r="AL74" s="577">
        <v>133.58333333333329</v>
      </c>
      <c r="AM74" s="575">
        <f t="shared" si="68"/>
        <v>4</v>
      </c>
      <c r="AN74" s="637"/>
      <c r="AO74" s="575">
        <v>18</v>
      </c>
      <c r="AP74" s="577">
        <v>2383.4999999999991</v>
      </c>
      <c r="AQ74" s="577">
        <v>132.41666666666663</v>
      </c>
      <c r="AR74" s="575">
        <f t="shared" si="70"/>
        <v>4</v>
      </c>
      <c r="AS74" s="637"/>
      <c r="AT74" s="575">
        <v>18</v>
      </c>
      <c r="AU74" s="577">
        <v>2314.090909090909</v>
      </c>
      <c r="AV74" s="577">
        <v>128.56060606060606</v>
      </c>
      <c r="AW74" s="575">
        <f t="shared" si="72"/>
        <v>5</v>
      </c>
      <c r="AX74" s="637"/>
      <c r="AZ74" s="368" t="e">
        <f t="shared" si="74"/>
        <v>#N/A</v>
      </c>
      <c r="BA74" s="637"/>
    </row>
    <row r="75" spans="2:53">
      <c r="B75" s="647"/>
      <c r="C75" s="380">
        <v>9</v>
      </c>
      <c r="D75" s="225" t="s">
        <v>620</v>
      </c>
      <c r="E75" s="535">
        <v>19</v>
      </c>
      <c r="F75" s="534">
        <v>2400</v>
      </c>
      <c r="G75" s="536">
        <v>126.31578947368421</v>
      </c>
      <c r="H75" s="655"/>
      <c r="I75" s="381">
        <f t="shared" si="57"/>
        <v>19</v>
      </c>
      <c r="J75" s="381">
        <f t="shared" si="58"/>
        <v>2089.4499999999948</v>
      </c>
      <c r="K75" s="199">
        <f t="shared" si="59"/>
        <v>109.97105263157867</v>
      </c>
      <c r="L75" s="657"/>
      <c r="M75" s="385">
        <f>RANK(K75, K$67:$K$81)</f>
        <v>9</v>
      </c>
      <c r="N75" s="641"/>
      <c r="O75" s="641"/>
      <c r="P75" s="575">
        <v>19</v>
      </c>
      <c r="Q75" s="577">
        <v>2097.9999999999964</v>
      </c>
      <c r="R75" s="577">
        <v>110.42105263157876</v>
      </c>
      <c r="S75" s="575">
        <f t="shared" si="60"/>
        <v>10</v>
      </c>
      <c r="T75" s="637"/>
      <c r="U75" s="575">
        <v>19</v>
      </c>
      <c r="V75" s="577">
        <v>2121.9999999999964</v>
      </c>
      <c r="W75" s="577">
        <v>111.6842105263156</v>
      </c>
      <c r="X75" s="575">
        <f t="shared" si="62"/>
        <v>10</v>
      </c>
      <c r="Y75" s="637"/>
      <c r="Z75" s="575">
        <v>19</v>
      </c>
      <c r="AA75" s="577">
        <v>2107.9999999999964</v>
      </c>
      <c r="AB75" s="577">
        <v>110.94736842105245</v>
      </c>
      <c r="AC75" s="575">
        <f t="shared" si="64"/>
        <v>9</v>
      </c>
      <c r="AD75" s="637"/>
      <c r="AE75" s="575">
        <v>19</v>
      </c>
      <c r="AF75" s="577">
        <v>2071.1999999999944</v>
      </c>
      <c r="AG75" s="577">
        <v>109.01052631578918</v>
      </c>
      <c r="AH75" s="575">
        <f t="shared" si="66"/>
        <v>9</v>
      </c>
      <c r="AI75" s="637"/>
      <c r="AJ75" s="575">
        <v>19</v>
      </c>
      <c r="AK75" s="577">
        <v>2052.4999999999936</v>
      </c>
      <c r="AL75" s="577">
        <v>108.02631578947334</v>
      </c>
      <c r="AM75" s="575">
        <f t="shared" si="68"/>
        <v>9</v>
      </c>
      <c r="AN75" s="637"/>
      <c r="AO75" s="575">
        <v>19</v>
      </c>
      <c r="AP75" s="577">
        <v>2084.9999999999936</v>
      </c>
      <c r="AQ75" s="577">
        <v>109.73684210526282</v>
      </c>
      <c r="AR75" s="575">
        <f t="shared" si="70"/>
        <v>9</v>
      </c>
      <c r="AS75" s="637"/>
      <c r="AT75" s="575" t="s">
        <v>585</v>
      </c>
      <c r="AU75" s="577" t="s">
        <v>585</v>
      </c>
      <c r="AV75" s="577" t="s">
        <v>585</v>
      </c>
      <c r="AW75" s="575" t="e">
        <f t="shared" si="72"/>
        <v>#VALUE!</v>
      </c>
      <c r="AX75" s="637"/>
      <c r="AZ75" s="368" t="e">
        <f t="shared" si="74"/>
        <v>#N/A</v>
      </c>
      <c r="BA75" s="637"/>
    </row>
    <row r="76" spans="2:53">
      <c r="B76" s="647"/>
      <c r="C76" s="380">
        <v>10</v>
      </c>
      <c r="D76" s="225" t="s">
        <v>738</v>
      </c>
      <c r="E76" s="535">
        <v>18</v>
      </c>
      <c r="F76" s="534">
        <v>2571</v>
      </c>
      <c r="G76" s="536">
        <v>142.83333333333334</v>
      </c>
      <c r="H76" s="655"/>
      <c r="I76" s="381">
        <f t="shared" si="57"/>
        <v>18</v>
      </c>
      <c r="J76" s="381">
        <f t="shared" si="58"/>
        <v>2365.2171956195066</v>
      </c>
      <c r="K76" s="199">
        <f t="shared" si="59"/>
        <v>131.40095531219478</v>
      </c>
      <c r="L76" s="657"/>
      <c r="M76" s="385">
        <f>RANK(K76, K$67:$K$81)</f>
        <v>5</v>
      </c>
      <c r="N76" s="641"/>
      <c r="O76" s="641"/>
      <c r="P76" s="575">
        <v>18</v>
      </c>
      <c r="Q76" s="577">
        <v>2356.0000000000023</v>
      </c>
      <c r="R76" s="577">
        <v>130.88888888888903</v>
      </c>
      <c r="S76" s="575">
        <f t="shared" si="60"/>
        <v>6</v>
      </c>
      <c r="T76" s="637"/>
      <c r="U76" s="575">
        <v>18</v>
      </c>
      <c r="V76" s="577">
        <v>2369.2307692307681</v>
      </c>
      <c r="W76" s="577">
        <v>131.62393162393155</v>
      </c>
      <c r="X76" s="575">
        <f t="shared" si="62"/>
        <v>4</v>
      </c>
      <c r="Y76" s="637"/>
      <c r="Z76" s="575">
        <v>18</v>
      </c>
      <c r="AA76" s="577">
        <v>2395.3846153846139</v>
      </c>
      <c r="AB76" s="577">
        <v>133.07692307692298</v>
      </c>
      <c r="AC76" s="575">
        <f t="shared" si="64"/>
        <v>4</v>
      </c>
      <c r="AD76" s="637"/>
      <c r="AE76" s="575">
        <v>18</v>
      </c>
      <c r="AF76" s="577">
        <v>2384.5714285714262</v>
      </c>
      <c r="AG76" s="577">
        <v>132.47619047619034</v>
      </c>
      <c r="AH76" s="575">
        <f t="shared" si="66"/>
        <v>5</v>
      </c>
      <c r="AI76" s="637"/>
      <c r="AJ76" s="575">
        <v>18</v>
      </c>
      <c r="AK76" s="577">
        <v>2324.1176470588207</v>
      </c>
      <c r="AL76" s="577">
        <v>129.11764705882337</v>
      </c>
      <c r="AM76" s="575">
        <f t="shared" si="68"/>
        <v>5</v>
      </c>
      <c r="AN76" s="637"/>
      <c r="AO76" s="575">
        <v>18</v>
      </c>
      <c r="AP76" s="577">
        <v>2329.0909090909117</v>
      </c>
      <c r="AQ76" s="577">
        <v>129.39393939393955</v>
      </c>
      <c r="AR76" s="575">
        <f t="shared" si="70"/>
        <v>5</v>
      </c>
      <c r="AS76" s="637"/>
      <c r="AT76" s="575">
        <v>18</v>
      </c>
      <c r="AU76" s="577">
        <v>2398.1250000000027</v>
      </c>
      <c r="AV76" s="577">
        <v>133.22916666666683</v>
      </c>
      <c r="AW76" s="575">
        <f t="shared" si="72"/>
        <v>3</v>
      </c>
      <c r="AX76" s="637"/>
      <c r="AZ76" s="368" t="e">
        <f t="shared" si="74"/>
        <v>#N/A</v>
      </c>
      <c r="BA76" s="637"/>
    </row>
    <row r="77" spans="2:53">
      <c r="B77" s="647"/>
      <c r="C77" s="380">
        <v>11</v>
      </c>
      <c r="D77" s="225"/>
      <c r="E77" s="535"/>
      <c r="F77" s="534"/>
      <c r="G77" s="536"/>
      <c r="H77" s="655"/>
      <c r="I77" s="381" t="str">
        <f t="shared" si="57"/>
        <v>-</v>
      </c>
      <c r="J77" s="381" t="str">
        <f t="shared" si="58"/>
        <v>-</v>
      </c>
      <c r="K77" s="199" t="str">
        <f t="shared" si="59"/>
        <v>-</v>
      </c>
      <c r="L77" s="657"/>
      <c r="M77" s="385" t="e">
        <f>RANK(K77, K$67:$K$81)</f>
        <v>#VALUE!</v>
      </c>
      <c r="N77" s="641"/>
      <c r="O77" s="641"/>
      <c r="P77" s="575" t="s">
        <v>585</v>
      </c>
      <c r="Q77" s="577" t="s">
        <v>585</v>
      </c>
      <c r="R77" s="577" t="s">
        <v>585</v>
      </c>
      <c r="S77" s="575" t="e">
        <f t="shared" si="60"/>
        <v>#VALUE!</v>
      </c>
      <c r="T77" s="637"/>
      <c r="U77" s="575" t="s">
        <v>585</v>
      </c>
      <c r="V77" s="577" t="s">
        <v>585</v>
      </c>
      <c r="W77" s="577" t="s">
        <v>585</v>
      </c>
      <c r="X77" s="575" t="e">
        <f t="shared" si="62"/>
        <v>#VALUE!</v>
      </c>
      <c r="Y77" s="637"/>
      <c r="Z77" s="575" t="s">
        <v>585</v>
      </c>
      <c r="AA77" s="577" t="s">
        <v>585</v>
      </c>
      <c r="AB77" s="577" t="s">
        <v>585</v>
      </c>
      <c r="AC77" s="575" t="e">
        <f t="shared" si="64"/>
        <v>#VALUE!</v>
      </c>
      <c r="AD77" s="637"/>
      <c r="AE77" s="575" t="s">
        <v>585</v>
      </c>
      <c r="AF77" s="577" t="s">
        <v>585</v>
      </c>
      <c r="AG77" s="577" t="s">
        <v>585</v>
      </c>
      <c r="AH77" s="575" t="e">
        <f t="shared" si="66"/>
        <v>#VALUE!</v>
      </c>
      <c r="AI77" s="637"/>
      <c r="AJ77" s="575" t="s">
        <v>585</v>
      </c>
      <c r="AK77" s="577" t="s">
        <v>585</v>
      </c>
      <c r="AL77" s="577" t="s">
        <v>585</v>
      </c>
      <c r="AM77" s="575" t="e">
        <f t="shared" si="68"/>
        <v>#VALUE!</v>
      </c>
      <c r="AN77" s="637"/>
      <c r="AO77" s="575" t="s">
        <v>585</v>
      </c>
      <c r="AP77" s="577" t="s">
        <v>585</v>
      </c>
      <c r="AQ77" s="577" t="s">
        <v>585</v>
      </c>
      <c r="AR77" s="575" t="e">
        <f t="shared" si="70"/>
        <v>#VALUE!</v>
      </c>
      <c r="AS77" s="637"/>
      <c r="AT77" s="575" t="s">
        <v>585</v>
      </c>
      <c r="AU77" s="577" t="s">
        <v>585</v>
      </c>
      <c r="AV77" s="577" t="s">
        <v>585</v>
      </c>
      <c r="AW77" s="575" t="e">
        <f t="shared" si="72"/>
        <v>#VALUE!</v>
      </c>
      <c r="AX77" s="637"/>
      <c r="AZ77" s="368" t="e">
        <f t="shared" si="74"/>
        <v>#N/A</v>
      </c>
      <c r="BA77" s="637"/>
    </row>
    <row r="78" spans="2:53">
      <c r="B78" s="647"/>
      <c r="C78" s="380">
        <v>12</v>
      </c>
      <c r="D78" s="225"/>
      <c r="E78" s="535"/>
      <c r="F78" s="534"/>
      <c r="G78" s="536"/>
      <c r="H78" s="655"/>
      <c r="I78" s="381" t="str">
        <f t="shared" si="57"/>
        <v>-</v>
      </c>
      <c r="J78" s="381" t="str">
        <f t="shared" si="58"/>
        <v>-</v>
      </c>
      <c r="K78" s="199" t="str">
        <f t="shared" si="59"/>
        <v>-</v>
      </c>
      <c r="L78" s="657"/>
      <c r="M78" s="385" t="e">
        <f>RANK(K78, K$67:$K$81)</f>
        <v>#VALUE!</v>
      </c>
      <c r="N78" s="641"/>
      <c r="O78" s="641"/>
      <c r="P78" s="575" t="s">
        <v>585</v>
      </c>
      <c r="Q78" s="577" t="s">
        <v>585</v>
      </c>
      <c r="R78" s="577" t="s">
        <v>585</v>
      </c>
      <c r="S78" s="575" t="e">
        <f t="shared" si="60"/>
        <v>#VALUE!</v>
      </c>
      <c r="T78" s="637"/>
      <c r="U78" s="575" t="s">
        <v>585</v>
      </c>
      <c r="V78" s="577" t="s">
        <v>585</v>
      </c>
      <c r="W78" s="577" t="s">
        <v>585</v>
      </c>
      <c r="X78" s="575" t="e">
        <f t="shared" si="62"/>
        <v>#VALUE!</v>
      </c>
      <c r="Y78" s="637"/>
      <c r="Z78" s="575" t="s">
        <v>585</v>
      </c>
      <c r="AA78" s="577" t="s">
        <v>585</v>
      </c>
      <c r="AB78" s="577" t="s">
        <v>585</v>
      </c>
      <c r="AC78" s="575" t="e">
        <f t="shared" si="64"/>
        <v>#VALUE!</v>
      </c>
      <c r="AD78" s="637"/>
      <c r="AE78" s="575" t="s">
        <v>585</v>
      </c>
      <c r="AF78" s="577" t="s">
        <v>585</v>
      </c>
      <c r="AG78" s="577" t="s">
        <v>585</v>
      </c>
      <c r="AH78" s="575" t="e">
        <f t="shared" si="66"/>
        <v>#VALUE!</v>
      </c>
      <c r="AI78" s="637"/>
      <c r="AJ78" s="575" t="s">
        <v>585</v>
      </c>
      <c r="AK78" s="577" t="s">
        <v>585</v>
      </c>
      <c r="AL78" s="577" t="s">
        <v>585</v>
      </c>
      <c r="AM78" s="575" t="e">
        <f t="shared" si="68"/>
        <v>#VALUE!</v>
      </c>
      <c r="AN78" s="637"/>
      <c r="AO78" s="575" t="s">
        <v>585</v>
      </c>
      <c r="AP78" s="577" t="s">
        <v>585</v>
      </c>
      <c r="AQ78" s="577" t="s">
        <v>585</v>
      </c>
      <c r="AR78" s="575" t="e">
        <f t="shared" si="70"/>
        <v>#VALUE!</v>
      </c>
      <c r="AS78" s="637"/>
      <c r="AT78" s="575" t="s">
        <v>585</v>
      </c>
      <c r="AU78" s="577" t="s">
        <v>585</v>
      </c>
      <c r="AV78" s="577" t="s">
        <v>585</v>
      </c>
      <c r="AW78" s="575" t="e">
        <f t="shared" si="72"/>
        <v>#VALUE!</v>
      </c>
      <c r="AX78" s="637"/>
      <c r="AZ78" s="368" t="e">
        <f t="shared" si="74"/>
        <v>#N/A</v>
      </c>
      <c r="BA78" s="637"/>
    </row>
    <row r="79" spans="2:53">
      <c r="B79" s="647"/>
      <c r="C79" s="380">
        <v>13</v>
      </c>
      <c r="D79" s="225"/>
      <c r="E79" s="535"/>
      <c r="F79" s="534"/>
      <c r="G79" s="536"/>
      <c r="H79" s="655"/>
      <c r="I79" s="381" t="str">
        <f t="shared" si="57"/>
        <v>-</v>
      </c>
      <c r="J79" s="381" t="str">
        <f t="shared" si="58"/>
        <v>-</v>
      </c>
      <c r="K79" s="199" t="str">
        <f t="shared" si="59"/>
        <v>-</v>
      </c>
      <c r="L79" s="657"/>
      <c r="M79" s="385" t="e">
        <f>RANK(K79, K$67:$K$81)</f>
        <v>#VALUE!</v>
      </c>
      <c r="N79" s="641"/>
      <c r="O79" s="641"/>
      <c r="P79" s="575" t="s">
        <v>585</v>
      </c>
      <c r="Q79" s="577" t="s">
        <v>585</v>
      </c>
      <c r="R79" s="577" t="s">
        <v>585</v>
      </c>
      <c r="S79" s="575" t="e">
        <f t="shared" si="60"/>
        <v>#VALUE!</v>
      </c>
      <c r="T79" s="637"/>
      <c r="U79" s="575" t="s">
        <v>585</v>
      </c>
      <c r="V79" s="577" t="s">
        <v>585</v>
      </c>
      <c r="W79" s="577" t="s">
        <v>585</v>
      </c>
      <c r="X79" s="575" t="e">
        <f t="shared" si="62"/>
        <v>#VALUE!</v>
      </c>
      <c r="Y79" s="637"/>
      <c r="Z79" s="575" t="s">
        <v>585</v>
      </c>
      <c r="AA79" s="577" t="s">
        <v>585</v>
      </c>
      <c r="AB79" s="577" t="s">
        <v>585</v>
      </c>
      <c r="AC79" s="575" t="e">
        <f t="shared" si="64"/>
        <v>#VALUE!</v>
      </c>
      <c r="AD79" s="637"/>
      <c r="AE79" s="575" t="s">
        <v>585</v>
      </c>
      <c r="AF79" s="577" t="s">
        <v>585</v>
      </c>
      <c r="AG79" s="577" t="s">
        <v>585</v>
      </c>
      <c r="AH79" s="575" t="e">
        <f t="shared" si="66"/>
        <v>#VALUE!</v>
      </c>
      <c r="AI79" s="637"/>
      <c r="AJ79" s="575" t="s">
        <v>585</v>
      </c>
      <c r="AK79" s="577" t="s">
        <v>585</v>
      </c>
      <c r="AL79" s="577" t="s">
        <v>585</v>
      </c>
      <c r="AM79" s="575" t="e">
        <f t="shared" si="68"/>
        <v>#VALUE!</v>
      </c>
      <c r="AN79" s="637"/>
      <c r="AO79" s="575" t="s">
        <v>585</v>
      </c>
      <c r="AP79" s="577" t="s">
        <v>585</v>
      </c>
      <c r="AQ79" s="577" t="s">
        <v>585</v>
      </c>
      <c r="AR79" s="575" t="e">
        <f t="shared" si="70"/>
        <v>#VALUE!</v>
      </c>
      <c r="AS79" s="637"/>
      <c r="AT79" s="575" t="s">
        <v>585</v>
      </c>
      <c r="AU79" s="577" t="s">
        <v>585</v>
      </c>
      <c r="AV79" s="577" t="s">
        <v>585</v>
      </c>
      <c r="AW79" s="575" t="e">
        <f t="shared" si="72"/>
        <v>#VALUE!</v>
      </c>
      <c r="AX79" s="637"/>
      <c r="AZ79" s="368" t="e">
        <f t="shared" si="74"/>
        <v>#N/A</v>
      </c>
      <c r="BA79" s="637"/>
    </row>
    <row r="80" spans="2:53">
      <c r="B80" s="647"/>
      <c r="C80" s="380">
        <v>14</v>
      </c>
      <c r="D80" s="225"/>
      <c r="E80" s="535"/>
      <c r="F80" s="534"/>
      <c r="G80" s="536"/>
      <c r="H80" s="655"/>
      <c r="I80" s="381" t="str">
        <f t="shared" si="57"/>
        <v>-</v>
      </c>
      <c r="J80" s="381" t="str">
        <f t="shared" si="58"/>
        <v>-</v>
      </c>
      <c r="K80" s="199" t="str">
        <f t="shared" si="59"/>
        <v>-</v>
      </c>
      <c r="L80" s="657"/>
      <c r="M80" s="385" t="e">
        <f>RANK(K80, K$67:$K$81)</f>
        <v>#VALUE!</v>
      </c>
      <c r="N80" s="641"/>
      <c r="O80" s="641"/>
      <c r="P80" s="575" t="s">
        <v>585</v>
      </c>
      <c r="Q80" s="577" t="s">
        <v>585</v>
      </c>
      <c r="R80" s="577" t="s">
        <v>585</v>
      </c>
      <c r="S80" s="575" t="e">
        <f t="shared" si="60"/>
        <v>#VALUE!</v>
      </c>
      <c r="T80" s="637"/>
      <c r="U80" s="575" t="s">
        <v>585</v>
      </c>
      <c r="V80" s="577" t="s">
        <v>585</v>
      </c>
      <c r="W80" s="577" t="s">
        <v>585</v>
      </c>
      <c r="X80" s="575" t="e">
        <f t="shared" si="62"/>
        <v>#VALUE!</v>
      </c>
      <c r="Y80" s="637"/>
      <c r="Z80" s="575" t="s">
        <v>585</v>
      </c>
      <c r="AA80" s="577" t="s">
        <v>585</v>
      </c>
      <c r="AB80" s="577" t="s">
        <v>585</v>
      </c>
      <c r="AC80" s="575" t="e">
        <f t="shared" si="64"/>
        <v>#VALUE!</v>
      </c>
      <c r="AD80" s="637"/>
      <c r="AE80" s="575" t="s">
        <v>585</v>
      </c>
      <c r="AF80" s="577" t="s">
        <v>585</v>
      </c>
      <c r="AG80" s="577" t="s">
        <v>585</v>
      </c>
      <c r="AH80" s="575" t="e">
        <f t="shared" si="66"/>
        <v>#VALUE!</v>
      </c>
      <c r="AI80" s="637"/>
      <c r="AJ80" s="575" t="s">
        <v>585</v>
      </c>
      <c r="AK80" s="577" t="s">
        <v>585</v>
      </c>
      <c r="AL80" s="577" t="s">
        <v>585</v>
      </c>
      <c r="AM80" s="575" t="e">
        <f t="shared" si="68"/>
        <v>#VALUE!</v>
      </c>
      <c r="AN80" s="637"/>
      <c r="AO80" s="575" t="s">
        <v>585</v>
      </c>
      <c r="AP80" s="577" t="s">
        <v>585</v>
      </c>
      <c r="AQ80" s="577" t="s">
        <v>585</v>
      </c>
      <c r="AR80" s="575" t="e">
        <f t="shared" si="70"/>
        <v>#VALUE!</v>
      </c>
      <c r="AS80" s="637"/>
      <c r="AT80" s="575" t="s">
        <v>585</v>
      </c>
      <c r="AU80" s="577" t="s">
        <v>585</v>
      </c>
      <c r="AV80" s="577" t="s">
        <v>585</v>
      </c>
      <c r="AW80" s="575" t="e">
        <f t="shared" si="72"/>
        <v>#VALUE!</v>
      </c>
      <c r="AX80" s="637"/>
      <c r="AZ80" s="368" t="e">
        <f t="shared" si="74"/>
        <v>#N/A</v>
      </c>
      <c r="BA80" s="637"/>
    </row>
    <row r="81" spans="2:53">
      <c r="B81" s="647"/>
      <c r="C81" s="380">
        <v>15</v>
      </c>
      <c r="D81" s="225"/>
      <c r="E81" s="535"/>
      <c r="F81" s="534"/>
      <c r="G81" s="536"/>
      <c r="H81" s="712"/>
      <c r="I81" s="421" t="str">
        <f t="shared" ref="I81" si="76">IFERROR(AVERAGE(P81,U81,Z81,AE81,AJ81,AO81,AT81),"-")</f>
        <v>-</v>
      </c>
      <c r="J81" s="421" t="str">
        <f t="shared" ref="J81" si="77">IFERROR(AVERAGE(Q81,V81,AA81,AF81,AK81,AP81,AU81),"-")</f>
        <v>-</v>
      </c>
      <c r="K81" s="199" t="str">
        <f t="shared" ref="K81" si="78">IFERROR(AVERAGE(R81,W81,AB81,AG81,AL81,AQ81,AV81),"-")</f>
        <v>-</v>
      </c>
      <c r="L81" s="658"/>
      <c r="M81" s="385" t="e">
        <f>RANK(K81, K$47:$K$61)</f>
        <v>#VALUE!</v>
      </c>
      <c r="N81" s="641"/>
      <c r="O81" s="641"/>
      <c r="P81" s="575" t="s">
        <v>585</v>
      </c>
      <c r="Q81" s="577" t="s">
        <v>585</v>
      </c>
      <c r="R81" s="577" t="s">
        <v>585</v>
      </c>
      <c r="S81" s="575" t="e">
        <f t="shared" si="60"/>
        <v>#VALUE!</v>
      </c>
      <c r="T81" s="638"/>
      <c r="U81" s="575" t="s">
        <v>585</v>
      </c>
      <c r="V81" s="577" t="s">
        <v>585</v>
      </c>
      <c r="W81" s="577" t="s">
        <v>585</v>
      </c>
      <c r="X81" s="575" t="e">
        <f t="shared" si="62"/>
        <v>#VALUE!</v>
      </c>
      <c r="Y81" s="638"/>
      <c r="Z81" s="575" t="s">
        <v>585</v>
      </c>
      <c r="AA81" s="577" t="s">
        <v>585</v>
      </c>
      <c r="AB81" s="577" t="s">
        <v>585</v>
      </c>
      <c r="AC81" s="575" t="e">
        <f t="shared" si="64"/>
        <v>#VALUE!</v>
      </c>
      <c r="AD81" s="638"/>
      <c r="AE81" s="575" t="s">
        <v>585</v>
      </c>
      <c r="AF81" s="577" t="s">
        <v>585</v>
      </c>
      <c r="AG81" s="577" t="s">
        <v>585</v>
      </c>
      <c r="AH81" s="575" t="e">
        <f t="shared" si="66"/>
        <v>#VALUE!</v>
      </c>
      <c r="AI81" s="638"/>
      <c r="AJ81" s="575" t="s">
        <v>585</v>
      </c>
      <c r="AK81" s="577" t="s">
        <v>585</v>
      </c>
      <c r="AL81" s="577" t="s">
        <v>585</v>
      </c>
      <c r="AM81" s="575" t="e">
        <f t="shared" si="68"/>
        <v>#VALUE!</v>
      </c>
      <c r="AN81" s="638"/>
      <c r="AO81" s="575" t="s">
        <v>585</v>
      </c>
      <c r="AP81" s="577" t="s">
        <v>585</v>
      </c>
      <c r="AQ81" s="577" t="s">
        <v>585</v>
      </c>
      <c r="AR81" s="575" t="e">
        <f t="shared" si="70"/>
        <v>#VALUE!</v>
      </c>
      <c r="AS81" s="638"/>
      <c r="AT81" s="575" t="s">
        <v>585</v>
      </c>
      <c r="AU81" s="577" t="s">
        <v>585</v>
      </c>
      <c r="AV81" s="577" t="s">
        <v>585</v>
      </c>
      <c r="AW81" s="575" t="e">
        <f t="shared" si="72"/>
        <v>#VALUE!</v>
      </c>
      <c r="AX81" s="638"/>
      <c r="AZ81" s="368" t="e">
        <f t="shared" si="74"/>
        <v>#N/A</v>
      </c>
      <c r="BA81" s="638"/>
    </row>
    <row r="82" spans="2:53" ht="15.75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68">
        <f>P62+7</f>
        <v>46259</v>
      </c>
      <c r="Q82" s="647"/>
      <c r="R82" s="647"/>
      <c r="S82" s="647"/>
      <c r="T82" s="647"/>
      <c r="U82" s="665">
        <f>P82+1</f>
        <v>46260</v>
      </c>
      <c r="V82" s="666"/>
      <c r="W82" s="666"/>
      <c r="X82" s="666"/>
      <c r="Y82" s="667"/>
      <c r="Z82" s="665">
        <f>U82+1</f>
        <v>46261</v>
      </c>
      <c r="AA82" s="666"/>
      <c r="AB82" s="666"/>
      <c r="AC82" s="666"/>
      <c r="AD82" s="667"/>
      <c r="AE82" s="665">
        <f>Z82+1</f>
        <v>46262</v>
      </c>
      <c r="AF82" s="666"/>
      <c r="AG82" s="666"/>
      <c r="AH82" s="666"/>
      <c r="AI82" s="667"/>
      <c r="AJ82" s="665">
        <f>AE82+1</f>
        <v>46263</v>
      </c>
      <c r="AK82" s="666"/>
      <c r="AL82" s="666"/>
      <c r="AM82" s="666"/>
      <c r="AN82" s="667"/>
      <c r="AO82" s="665">
        <f>AJ82+1</f>
        <v>46264</v>
      </c>
      <c r="AP82" s="666"/>
      <c r="AQ82" s="666"/>
      <c r="AR82" s="666"/>
      <c r="AS82" s="667"/>
      <c r="AT82" s="665">
        <f>AO82+1</f>
        <v>46265</v>
      </c>
      <c r="AU82" s="666"/>
      <c r="AV82" s="666"/>
      <c r="AW82" s="666"/>
      <c r="AX82" s="667"/>
    </row>
    <row r="83" spans="2:53" ht="15.75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45"/>
      <c r="O83" s="645"/>
      <c r="P83" s="668" t="s">
        <v>317</v>
      </c>
      <c r="Q83" s="647"/>
      <c r="R83" s="647"/>
      <c r="S83" s="647"/>
      <c r="T83" s="647"/>
      <c r="U83" s="668" t="s">
        <v>318</v>
      </c>
      <c r="V83" s="647"/>
      <c r="W83" s="647"/>
      <c r="X83" s="647"/>
      <c r="Y83" s="647"/>
      <c r="Z83" s="668" t="s">
        <v>319</v>
      </c>
      <c r="AA83" s="647"/>
      <c r="AB83" s="647"/>
      <c r="AC83" s="647"/>
      <c r="AD83" s="647"/>
      <c r="AE83" s="668" t="s">
        <v>320</v>
      </c>
      <c r="AF83" s="647"/>
      <c r="AG83" s="647"/>
      <c r="AH83" s="647"/>
      <c r="AI83" s="647"/>
      <c r="AJ83" s="668" t="s">
        <v>321</v>
      </c>
      <c r="AK83" s="647"/>
      <c r="AL83" s="647"/>
      <c r="AM83" s="647"/>
      <c r="AN83" s="647"/>
      <c r="AO83" s="668" t="s">
        <v>322</v>
      </c>
      <c r="AP83" s="647"/>
      <c r="AQ83" s="647"/>
      <c r="AR83" s="647"/>
      <c r="AS83" s="647"/>
      <c r="AT83" s="668" t="s">
        <v>323</v>
      </c>
      <c r="AU83" s="647"/>
      <c r="AV83" s="647"/>
      <c r="AW83" s="647"/>
      <c r="AX83" s="647"/>
    </row>
    <row r="84" spans="2:53">
      <c r="B84" s="641" t="s">
        <v>407</v>
      </c>
      <c r="C84" s="641" t="s">
        <v>532</v>
      </c>
      <c r="D84" s="641"/>
      <c r="E84" s="641" t="s">
        <v>533</v>
      </c>
      <c r="F84" s="641"/>
      <c r="G84" s="641"/>
      <c r="H84" s="673" t="s">
        <v>534</v>
      </c>
      <c r="I84" s="641" t="s">
        <v>535</v>
      </c>
      <c r="J84" s="641"/>
      <c r="K84" s="641"/>
      <c r="L84" s="673" t="s">
        <v>366</v>
      </c>
      <c r="M84" s="643" t="s">
        <v>536</v>
      </c>
      <c r="N84" s="641"/>
      <c r="O84" s="641" t="s">
        <v>372</v>
      </c>
      <c r="P84" s="659" t="s">
        <v>368</v>
      </c>
      <c r="Q84" s="660"/>
      <c r="R84" s="660"/>
      <c r="S84" s="661"/>
      <c r="T84" s="641" t="s">
        <v>366</v>
      </c>
      <c r="U84" s="659" t="s">
        <v>368</v>
      </c>
      <c r="V84" s="660"/>
      <c r="W84" s="660"/>
      <c r="X84" s="661"/>
      <c r="Y84" s="641" t="s">
        <v>366</v>
      </c>
      <c r="Z84" s="659" t="s">
        <v>368</v>
      </c>
      <c r="AA84" s="660"/>
      <c r="AB84" s="660"/>
      <c r="AC84" s="661"/>
      <c r="AD84" s="641" t="s">
        <v>366</v>
      </c>
      <c r="AE84" s="659" t="s">
        <v>368</v>
      </c>
      <c r="AF84" s="660"/>
      <c r="AG84" s="660"/>
      <c r="AH84" s="661"/>
      <c r="AI84" s="641" t="s">
        <v>366</v>
      </c>
      <c r="AJ84" s="659" t="s">
        <v>368</v>
      </c>
      <c r="AK84" s="660"/>
      <c r="AL84" s="660"/>
      <c r="AM84" s="661"/>
      <c r="AN84" s="641" t="s">
        <v>366</v>
      </c>
      <c r="AO84" s="659" t="s">
        <v>368</v>
      </c>
      <c r="AP84" s="660"/>
      <c r="AQ84" s="660"/>
      <c r="AR84" s="661"/>
      <c r="AS84" s="641" t="s">
        <v>366</v>
      </c>
      <c r="AT84" s="659" t="s">
        <v>368</v>
      </c>
      <c r="AU84" s="660"/>
      <c r="AV84" s="660"/>
      <c r="AW84" s="661"/>
      <c r="AX84" s="641" t="s">
        <v>366</v>
      </c>
      <c r="BA84" s="641" t="s">
        <v>366</v>
      </c>
    </row>
    <row r="85" spans="2:53">
      <c r="B85" s="641"/>
      <c r="C85" s="641"/>
      <c r="D85" s="641"/>
      <c r="E85" s="641" t="s">
        <v>538</v>
      </c>
      <c r="F85" s="641"/>
      <c r="G85" s="641"/>
      <c r="H85" s="674"/>
      <c r="I85" s="641" t="s">
        <v>538</v>
      </c>
      <c r="J85" s="641"/>
      <c r="K85" s="641"/>
      <c r="L85" s="674"/>
      <c r="M85" s="644"/>
      <c r="N85" s="641"/>
      <c r="O85" s="641"/>
      <c r="P85" s="659" t="s">
        <v>374</v>
      </c>
      <c r="Q85" s="660"/>
      <c r="R85" s="660"/>
      <c r="S85" s="661"/>
      <c r="T85" s="641"/>
      <c r="U85" s="659" t="s">
        <v>374</v>
      </c>
      <c r="V85" s="660"/>
      <c r="W85" s="660"/>
      <c r="X85" s="661"/>
      <c r="Y85" s="641"/>
      <c r="Z85" s="659" t="s">
        <v>374</v>
      </c>
      <c r="AA85" s="660"/>
      <c r="AB85" s="660"/>
      <c r="AC85" s="661"/>
      <c r="AD85" s="641"/>
      <c r="AE85" s="659" t="s">
        <v>374</v>
      </c>
      <c r="AF85" s="660"/>
      <c r="AG85" s="660"/>
      <c r="AH85" s="661"/>
      <c r="AI85" s="641"/>
      <c r="AJ85" s="659" t="s">
        <v>374</v>
      </c>
      <c r="AK85" s="660"/>
      <c r="AL85" s="660"/>
      <c r="AM85" s="661"/>
      <c r="AN85" s="641"/>
      <c r="AO85" s="659" t="s">
        <v>374</v>
      </c>
      <c r="AP85" s="660"/>
      <c r="AQ85" s="660"/>
      <c r="AR85" s="661"/>
      <c r="AS85" s="641"/>
      <c r="AT85" s="659" t="s">
        <v>374</v>
      </c>
      <c r="AU85" s="660"/>
      <c r="AV85" s="660"/>
      <c r="AW85" s="661"/>
      <c r="AX85" s="641"/>
      <c r="BA85" s="641"/>
    </row>
    <row r="86" spans="2:53">
      <c r="B86" s="641"/>
      <c r="C86" s="641"/>
      <c r="D86" s="641"/>
      <c r="E86" s="378" t="s">
        <v>539</v>
      </c>
      <c r="F86" s="378" t="s">
        <v>540</v>
      </c>
      <c r="G86" s="378" t="s">
        <v>541</v>
      </c>
      <c r="H86" s="675"/>
      <c r="I86" s="378" t="s">
        <v>539</v>
      </c>
      <c r="J86" s="378" t="s">
        <v>540</v>
      </c>
      <c r="K86" s="378" t="s">
        <v>541</v>
      </c>
      <c r="L86" s="675"/>
      <c r="M86" s="645"/>
      <c r="N86" s="641"/>
      <c r="O86" s="641"/>
      <c r="P86" s="378" t="s">
        <v>375</v>
      </c>
      <c r="Q86" s="378" t="s">
        <v>376</v>
      </c>
      <c r="R86" s="378" t="s">
        <v>377</v>
      </c>
      <c r="S86" s="378" t="s">
        <v>367</v>
      </c>
      <c r="T86" s="641"/>
      <c r="U86" s="378" t="s">
        <v>375</v>
      </c>
      <c r="V86" s="378" t="s">
        <v>376</v>
      </c>
      <c r="W86" s="378" t="s">
        <v>377</v>
      </c>
      <c r="X86" s="378" t="s">
        <v>367</v>
      </c>
      <c r="Y86" s="641"/>
      <c r="Z86" s="378" t="s">
        <v>375</v>
      </c>
      <c r="AA86" s="378" t="s">
        <v>376</v>
      </c>
      <c r="AB86" s="378" t="s">
        <v>377</v>
      </c>
      <c r="AC86" s="378" t="s">
        <v>367</v>
      </c>
      <c r="AD86" s="641"/>
      <c r="AE86" s="378" t="s">
        <v>375</v>
      </c>
      <c r="AF86" s="378" t="s">
        <v>376</v>
      </c>
      <c r="AG86" s="378" t="s">
        <v>377</v>
      </c>
      <c r="AH86" s="378" t="s">
        <v>367</v>
      </c>
      <c r="AI86" s="641"/>
      <c r="AJ86" s="378" t="s">
        <v>375</v>
      </c>
      <c r="AK86" s="378" t="s">
        <v>376</v>
      </c>
      <c r="AL86" s="378" t="s">
        <v>377</v>
      </c>
      <c r="AM86" s="378" t="s">
        <v>367</v>
      </c>
      <c r="AN86" s="641"/>
      <c r="AO86" s="378" t="s">
        <v>375</v>
      </c>
      <c r="AP86" s="378" t="s">
        <v>376</v>
      </c>
      <c r="AQ86" s="378" t="s">
        <v>377</v>
      </c>
      <c r="AR86" s="378" t="s">
        <v>367</v>
      </c>
      <c r="AS86" s="641"/>
      <c r="AT86" s="378" t="s">
        <v>375</v>
      </c>
      <c r="AU86" s="378" t="s">
        <v>376</v>
      </c>
      <c r="AV86" s="378" t="s">
        <v>377</v>
      </c>
      <c r="AW86" s="378" t="s">
        <v>367</v>
      </c>
      <c r="AX86" s="641"/>
      <c r="AZ86" s="367" t="s">
        <v>367</v>
      </c>
      <c r="BA86" s="641"/>
    </row>
    <row r="87" spans="2:53">
      <c r="B87" s="641" t="s">
        <v>422</v>
      </c>
      <c r="C87" s="380">
        <v>1</v>
      </c>
      <c r="D87" s="225"/>
      <c r="E87" s="519"/>
      <c r="F87" s="516"/>
      <c r="G87" s="515"/>
      <c r="H87" s="654" t="e">
        <f>AVERAGE(G87:G101)</f>
        <v>#DIV/0!</v>
      </c>
      <c r="I87" s="381" t="str">
        <f t="shared" ref="I87:I100" si="79">IFERROR(AVERAGE(P87,U87,Z87,AE87,AJ87,AO87,AT87),"-")</f>
        <v>-</v>
      </c>
      <c r="J87" s="381" t="str">
        <f t="shared" ref="J87:J100" si="80">IFERROR(AVERAGE(Q87,V87,AA87,AF87,AK87,AP87,AU87),"-")</f>
        <v>-</v>
      </c>
      <c r="K87" s="199" t="str">
        <f t="shared" ref="K87:K100" si="81">IFERROR(AVERAGE(R87,W87,AB87,AG87,AL87,AQ87,AV87),"-")</f>
        <v>-</v>
      </c>
      <c r="L87" s="656" t="str">
        <f>IFERROR(AVERAGE(K87:K101),"-")</f>
        <v>-</v>
      </c>
      <c r="M87" s="385" t="e">
        <f>RANK(K87, K$87:$K$101)</f>
        <v>#VALUE!</v>
      </c>
      <c r="N87" s="641"/>
      <c r="O87" s="641"/>
      <c r="P87" s="531"/>
      <c r="Q87" s="513"/>
      <c r="R87" s="513"/>
      <c r="S87" s="529"/>
      <c r="T87" s="642"/>
      <c r="U87" s="531"/>
      <c r="V87" s="513"/>
      <c r="W87" s="513"/>
      <c r="X87" s="529"/>
      <c r="Y87" s="642"/>
      <c r="Z87" s="531"/>
      <c r="AA87" s="513"/>
      <c r="AB87" s="513"/>
      <c r="AC87" s="529"/>
      <c r="AD87" s="642"/>
      <c r="AE87" s="531"/>
      <c r="AF87" s="513"/>
      <c r="AG87" s="513"/>
      <c r="AH87" s="529"/>
      <c r="AI87" s="642"/>
      <c r="AJ87" s="531"/>
      <c r="AK87" s="513"/>
      <c r="AL87" s="513"/>
      <c r="AM87" s="529"/>
      <c r="AN87" s="642"/>
      <c r="AO87" s="531"/>
      <c r="AP87" s="513"/>
      <c r="AQ87" s="513"/>
      <c r="AR87" s="529"/>
      <c r="AS87" s="642"/>
      <c r="AT87" s="529"/>
      <c r="AU87" s="530"/>
      <c r="AV87" s="530"/>
      <c r="AW87" s="529"/>
      <c r="AX87" s="642"/>
      <c r="AZ87" s="368" t="e">
        <f t="shared" ref="AZ87:AZ101" si="82">RANK(AY87, AY$87:AY$101)</f>
        <v>#N/A</v>
      </c>
      <c r="BA87" s="642" t="e">
        <f t="shared" ref="BA87" si="83">AVERAGE(AY87:AY101)</f>
        <v>#DIV/0!</v>
      </c>
    </row>
    <row r="88" spans="2:53">
      <c r="B88" s="647"/>
      <c r="C88" s="380">
        <v>2</v>
      </c>
      <c r="D88" s="225"/>
      <c r="E88" s="519"/>
      <c r="F88" s="516"/>
      <c r="G88" s="515"/>
      <c r="H88" s="655"/>
      <c r="I88" s="381" t="str">
        <f t="shared" si="79"/>
        <v>-</v>
      </c>
      <c r="J88" s="381" t="str">
        <f t="shared" si="80"/>
        <v>-</v>
      </c>
      <c r="K88" s="199" t="str">
        <f t="shared" si="81"/>
        <v>-</v>
      </c>
      <c r="L88" s="657"/>
      <c r="M88" s="425" t="e">
        <f>RANK(K88, K$87:$K$101)</f>
        <v>#VALUE!</v>
      </c>
      <c r="N88" s="641"/>
      <c r="O88" s="641"/>
      <c r="P88" s="531"/>
      <c r="Q88" s="513"/>
      <c r="R88" s="513"/>
      <c r="S88" s="529"/>
      <c r="T88" s="642"/>
      <c r="U88" s="531"/>
      <c r="V88" s="513"/>
      <c r="W88" s="513"/>
      <c r="X88" s="529"/>
      <c r="Y88" s="642"/>
      <c r="Z88" s="531"/>
      <c r="AA88" s="513"/>
      <c r="AB88" s="513"/>
      <c r="AC88" s="529"/>
      <c r="AD88" s="642"/>
      <c r="AE88" s="531"/>
      <c r="AF88" s="513"/>
      <c r="AG88" s="513"/>
      <c r="AH88" s="529"/>
      <c r="AI88" s="642"/>
      <c r="AJ88" s="531"/>
      <c r="AK88" s="513"/>
      <c r="AL88" s="513"/>
      <c r="AM88" s="529"/>
      <c r="AN88" s="642"/>
      <c r="AO88" s="531"/>
      <c r="AP88" s="513"/>
      <c r="AQ88" s="513"/>
      <c r="AR88" s="529"/>
      <c r="AS88" s="642"/>
      <c r="AT88" s="529"/>
      <c r="AU88" s="530"/>
      <c r="AV88" s="530"/>
      <c r="AW88" s="529"/>
      <c r="AX88" s="642"/>
      <c r="AZ88" s="368" t="e">
        <f t="shared" si="82"/>
        <v>#N/A</v>
      </c>
      <c r="BA88" s="642"/>
    </row>
    <row r="89" spans="2:53">
      <c r="B89" s="647"/>
      <c r="C89" s="380">
        <v>3</v>
      </c>
      <c r="D89" s="225"/>
      <c r="E89" s="519"/>
      <c r="F89" s="516"/>
      <c r="G89" s="515"/>
      <c r="H89" s="655"/>
      <c r="I89" s="381" t="str">
        <f t="shared" si="79"/>
        <v>-</v>
      </c>
      <c r="J89" s="381" t="str">
        <f t="shared" si="80"/>
        <v>-</v>
      </c>
      <c r="K89" s="199" t="str">
        <f t="shared" si="81"/>
        <v>-</v>
      </c>
      <c r="L89" s="657"/>
      <c r="M89" s="425" t="e">
        <f>RANK(K89, K$87:$K$101)</f>
        <v>#VALUE!</v>
      </c>
      <c r="N89" s="641"/>
      <c r="O89" s="641"/>
      <c r="P89" s="531"/>
      <c r="Q89" s="513"/>
      <c r="R89" s="513"/>
      <c r="S89" s="529"/>
      <c r="T89" s="642"/>
      <c r="U89" s="531"/>
      <c r="V89" s="513"/>
      <c r="W89" s="513"/>
      <c r="X89" s="529"/>
      <c r="Y89" s="642"/>
      <c r="Z89" s="531"/>
      <c r="AA89" s="513"/>
      <c r="AB89" s="513"/>
      <c r="AC89" s="529"/>
      <c r="AD89" s="642"/>
      <c r="AE89" s="531"/>
      <c r="AF89" s="513"/>
      <c r="AG89" s="513"/>
      <c r="AH89" s="529"/>
      <c r="AI89" s="642"/>
      <c r="AJ89" s="531"/>
      <c r="AK89" s="513"/>
      <c r="AL89" s="513"/>
      <c r="AM89" s="529"/>
      <c r="AN89" s="642"/>
      <c r="AO89" s="531"/>
      <c r="AP89" s="513"/>
      <c r="AQ89" s="513"/>
      <c r="AR89" s="529"/>
      <c r="AS89" s="642"/>
      <c r="AT89" s="529"/>
      <c r="AU89" s="530"/>
      <c r="AV89" s="530"/>
      <c r="AW89" s="529"/>
      <c r="AX89" s="642"/>
      <c r="AZ89" s="368" t="e">
        <f t="shared" si="82"/>
        <v>#N/A</v>
      </c>
      <c r="BA89" s="642"/>
    </row>
    <row r="90" spans="2:53">
      <c r="B90" s="647"/>
      <c r="C90" s="380">
        <v>4</v>
      </c>
      <c r="D90" s="225"/>
      <c r="E90" s="519"/>
      <c r="F90" s="516"/>
      <c r="G90" s="515"/>
      <c r="H90" s="655"/>
      <c r="I90" s="381" t="str">
        <f t="shared" si="79"/>
        <v>-</v>
      </c>
      <c r="J90" s="381" t="str">
        <f t="shared" si="80"/>
        <v>-</v>
      </c>
      <c r="K90" s="199" t="str">
        <f t="shared" si="81"/>
        <v>-</v>
      </c>
      <c r="L90" s="657"/>
      <c r="M90" s="425" t="e">
        <f>RANK(K90, K$87:$K$101)</f>
        <v>#VALUE!</v>
      </c>
      <c r="N90" s="641"/>
      <c r="O90" s="641"/>
      <c r="P90" s="531"/>
      <c r="Q90" s="513"/>
      <c r="R90" s="513"/>
      <c r="S90" s="529"/>
      <c r="T90" s="642"/>
      <c r="U90" s="531"/>
      <c r="V90" s="513"/>
      <c r="W90" s="513"/>
      <c r="X90" s="529"/>
      <c r="Y90" s="642"/>
      <c r="Z90" s="531"/>
      <c r="AA90" s="513"/>
      <c r="AB90" s="513"/>
      <c r="AC90" s="529"/>
      <c r="AD90" s="642"/>
      <c r="AE90" s="531"/>
      <c r="AF90" s="513"/>
      <c r="AG90" s="513"/>
      <c r="AH90" s="529"/>
      <c r="AI90" s="642"/>
      <c r="AJ90" s="531"/>
      <c r="AK90" s="513"/>
      <c r="AL90" s="513"/>
      <c r="AM90" s="529"/>
      <c r="AN90" s="642"/>
      <c r="AO90" s="531"/>
      <c r="AP90" s="513"/>
      <c r="AQ90" s="513"/>
      <c r="AR90" s="529"/>
      <c r="AS90" s="642"/>
      <c r="AT90" s="529"/>
      <c r="AU90" s="530"/>
      <c r="AV90" s="530"/>
      <c r="AW90" s="529"/>
      <c r="AX90" s="642"/>
      <c r="AZ90" s="368" t="e">
        <f t="shared" si="82"/>
        <v>#N/A</v>
      </c>
      <c r="BA90" s="642"/>
    </row>
    <row r="91" spans="2:53">
      <c r="B91" s="647"/>
      <c r="C91" s="380">
        <v>5</v>
      </c>
      <c r="D91" s="225"/>
      <c r="E91" s="519"/>
      <c r="F91" s="516"/>
      <c r="G91" s="515"/>
      <c r="H91" s="655"/>
      <c r="I91" s="381" t="str">
        <f t="shared" si="79"/>
        <v>-</v>
      </c>
      <c r="J91" s="381" t="str">
        <f t="shared" si="80"/>
        <v>-</v>
      </c>
      <c r="K91" s="199" t="str">
        <f t="shared" si="81"/>
        <v>-</v>
      </c>
      <c r="L91" s="657"/>
      <c r="M91" s="425" t="e">
        <f>RANK(K91, K$87:$K$101)</f>
        <v>#VALUE!</v>
      </c>
      <c r="N91" s="641"/>
      <c r="O91" s="641"/>
      <c r="P91" s="531"/>
      <c r="Q91" s="513"/>
      <c r="R91" s="513"/>
      <c r="S91" s="529"/>
      <c r="T91" s="642"/>
      <c r="U91" s="531"/>
      <c r="V91" s="513"/>
      <c r="W91" s="513"/>
      <c r="X91" s="529"/>
      <c r="Y91" s="642"/>
      <c r="Z91" s="531"/>
      <c r="AA91" s="513"/>
      <c r="AB91" s="513"/>
      <c r="AC91" s="529"/>
      <c r="AD91" s="642"/>
      <c r="AE91" s="531"/>
      <c r="AF91" s="513"/>
      <c r="AG91" s="513"/>
      <c r="AH91" s="529"/>
      <c r="AI91" s="642"/>
      <c r="AJ91" s="531"/>
      <c r="AK91" s="513"/>
      <c r="AL91" s="513"/>
      <c r="AM91" s="529"/>
      <c r="AN91" s="642"/>
      <c r="AO91" s="531"/>
      <c r="AP91" s="513"/>
      <c r="AQ91" s="513"/>
      <c r="AR91" s="529"/>
      <c r="AS91" s="642"/>
      <c r="AT91" s="529"/>
      <c r="AU91" s="530"/>
      <c r="AV91" s="530"/>
      <c r="AW91" s="529"/>
      <c r="AX91" s="642"/>
      <c r="AZ91" s="368" t="e">
        <f t="shared" si="82"/>
        <v>#N/A</v>
      </c>
      <c r="BA91" s="642"/>
    </row>
    <row r="92" spans="2:53">
      <c r="B92" s="647"/>
      <c r="C92" s="380">
        <v>6</v>
      </c>
      <c r="D92" s="225"/>
      <c r="E92" s="519"/>
      <c r="F92" s="516"/>
      <c r="G92" s="515"/>
      <c r="H92" s="655"/>
      <c r="I92" s="381" t="str">
        <f t="shared" si="79"/>
        <v>-</v>
      </c>
      <c r="J92" s="381" t="str">
        <f t="shared" si="80"/>
        <v>-</v>
      </c>
      <c r="K92" s="199" t="str">
        <f t="shared" si="81"/>
        <v>-</v>
      </c>
      <c r="L92" s="657"/>
      <c r="M92" s="425" t="e">
        <f>RANK(K92, K$87:$K$101)</f>
        <v>#VALUE!</v>
      </c>
      <c r="N92" s="641"/>
      <c r="O92" s="641"/>
      <c r="P92" s="531"/>
      <c r="Q92" s="513"/>
      <c r="R92" s="513"/>
      <c r="S92" s="529"/>
      <c r="T92" s="642"/>
      <c r="U92" s="531"/>
      <c r="V92" s="513"/>
      <c r="W92" s="513"/>
      <c r="X92" s="529"/>
      <c r="Y92" s="642"/>
      <c r="Z92" s="531"/>
      <c r="AA92" s="513"/>
      <c r="AB92" s="513"/>
      <c r="AC92" s="529"/>
      <c r="AD92" s="642"/>
      <c r="AE92" s="531"/>
      <c r="AF92" s="513"/>
      <c r="AG92" s="513"/>
      <c r="AH92" s="529"/>
      <c r="AI92" s="642"/>
      <c r="AJ92" s="531"/>
      <c r="AK92" s="513"/>
      <c r="AL92" s="513"/>
      <c r="AM92" s="529"/>
      <c r="AN92" s="642"/>
      <c r="AO92" s="531"/>
      <c r="AP92" s="513"/>
      <c r="AQ92" s="513"/>
      <c r="AR92" s="529"/>
      <c r="AS92" s="642"/>
      <c r="AT92" s="529"/>
      <c r="AU92" s="530"/>
      <c r="AV92" s="530"/>
      <c r="AW92" s="529"/>
      <c r="AX92" s="642"/>
      <c r="AZ92" s="368" t="e">
        <f t="shared" si="82"/>
        <v>#N/A</v>
      </c>
      <c r="BA92" s="642"/>
    </row>
    <row r="93" spans="2:53">
      <c r="B93" s="647"/>
      <c r="C93" s="380">
        <v>7</v>
      </c>
      <c r="D93" s="225"/>
      <c r="E93" s="519"/>
      <c r="F93" s="516"/>
      <c r="G93" s="515"/>
      <c r="H93" s="655"/>
      <c r="I93" s="381" t="str">
        <f t="shared" si="79"/>
        <v>-</v>
      </c>
      <c r="J93" s="381" t="str">
        <f t="shared" si="80"/>
        <v>-</v>
      </c>
      <c r="K93" s="199" t="str">
        <f t="shared" si="81"/>
        <v>-</v>
      </c>
      <c r="L93" s="657"/>
      <c r="M93" s="425" t="e">
        <f>RANK(K93, K$87:$K$101)</f>
        <v>#VALUE!</v>
      </c>
      <c r="N93" s="641"/>
      <c r="O93" s="641"/>
      <c r="P93" s="531"/>
      <c r="Q93" s="513"/>
      <c r="R93" s="513"/>
      <c r="S93" s="529"/>
      <c r="T93" s="642"/>
      <c r="U93" s="531"/>
      <c r="V93" s="513"/>
      <c r="W93" s="513"/>
      <c r="X93" s="529"/>
      <c r="Y93" s="642"/>
      <c r="Z93" s="531"/>
      <c r="AA93" s="513"/>
      <c r="AB93" s="513"/>
      <c r="AC93" s="529"/>
      <c r="AD93" s="642"/>
      <c r="AE93" s="531"/>
      <c r="AF93" s="513"/>
      <c r="AG93" s="513"/>
      <c r="AH93" s="529"/>
      <c r="AI93" s="642"/>
      <c r="AJ93" s="531"/>
      <c r="AK93" s="513"/>
      <c r="AL93" s="513"/>
      <c r="AM93" s="529"/>
      <c r="AN93" s="642"/>
      <c r="AO93" s="531"/>
      <c r="AP93" s="513"/>
      <c r="AQ93" s="513"/>
      <c r="AR93" s="529"/>
      <c r="AS93" s="642"/>
      <c r="AT93" s="529"/>
      <c r="AU93" s="530"/>
      <c r="AV93" s="530"/>
      <c r="AW93" s="529"/>
      <c r="AX93" s="642"/>
      <c r="AZ93" s="368" t="e">
        <f t="shared" si="82"/>
        <v>#N/A</v>
      </c>
      <c r="BA93" s="642"/>
    </row>
    <row r="94" spans="2:53">
      <c r="B94" s="647"/>
      <c r="C94" s="380">
        <v>8</v>
      </c>
      <c r="D94" s="225"/>
      <c r="E94" s="519"/>
      <c r="F94" s="516"/>
      <c r="G94" s="515"/>
      <c r="H94" s="655"/>
      <c r="I94" s="381" t="str">
        <f t="shared" si="79"/>
        <v>-</v>
      </c>
      <c r="J94" s="381" t="str">
        <f t="shared" si="80"/>
        <v>-</v>
      </c>
      <c r="K94" s="199" t="str">
        <f t="shared" si="81"/>
        <v>-</v>
      </c>
      <c r="L94" s="657"/>
      <c r="M94" s="425" t="e">
        <f>RANK(K94, K$87:$K$101)</f>
        <v>#VALUE!</v>
      </c>
      <c r="N94" s="641"/>
      <c r="O94" s="641"/>
      <c r="P94" s="531"/>
      <c r="Q94" s="513"/>
      <c r="R94" s="513"/>
      <c r="S94" s="529"/>
      <c r="T94" s="642"/>
      <c r="U94" s="531"/>
      <c r="V94" s="513"/>
      <c r="W94" s="513"/>
      <c r="X94" s="529"/>
      <c r="Y94" s="642"/>
      <c r="Z94" s="531"/>
      <c r="AA94" s="513"/>
      <c r="AB94" s="513"/>
      <c r="AC94" s="529"/>
      <c r="AD94" s="642"/>
      <c r="AE94" s="531"/>
      <c r="AF94" s="513"/>
      <c r="AG94" s="513"/>
      <c r="AH94" s="529"/>
      <c r="AI94" s="642"/>
      <c r="AJ94" s="531"/>
      <c r="AK94" s="513"/>
      <c r="AL94" s="513"/>
      <c r="AM94" s="529"/>
      <c r="AN94" s="642"/>
      <c r="AO94" s="531"/>
      <c r="AP94" s="513"/>
      <c r="AQ94" s="513"/>
      <c r="AR94" s="529"/>
      <c r="AS94" s="642"/>
      <c r="AT94" s="529"/>
      <c r="AU94" s="530"/>
      <c r="AV94" s="530"/>
      <c r="AW94" s="529"/>
      <c r="AX94" s="642"/>
      <c r="AZ94" s="368" t="e">
        <f t="shared" si="82"/>
        <v>#N/A</v>
      </c>
      <c r="BA94" s="642"/>
    </row>
    <row r="95" spans="2:53">
      <c r="B95" s="647"/>
      <c r="C95" s="380">
        <v>9</v>
      </c>
      <c r="D95" s="225"/>
      <c r="E95" s="519"/>
      <c r="F95" s="516"/>
      <c r="G95" s="515"/>
      <c r="H95" s="655"/>
      <c r="I95" s="381" t="str">
        <f t="shared" si="79"/>
        <v>-</v>
      </c>
      <c r="J95" s="381" t="str">
        <f t="shared" si="80"/>
        <v>-</v>
      </c>
      <c r="K95" s="199" t="str">
        <f t="shared" si="81"/>
        <v>-</v>
      </c>
      <c r="L95" s="657"/>
      <c r="M95" s="425" t="e">
        <f>RANK(K95, K$87:$K$101)</f>
        <v>#VALUE!</v>
      </c>
      <c r="N95" s="641"/>
      <c r="O95" s="641"/>
      <c r="P95" s="531"/>
      <c r="Q95" s="513"/>
      <c r="R95" s="513"/>
      <c r="S95" s="529"/>
      <c r="T95" s="642"/>
      <c r="U95" s="531"/>
      <c r="V95" s="513"/>
      <c r="W95" s="513"/>
      <c r="X95" s="529"/>
      <c r="Y95" s="642"/>
      <c r="Z95" s="531"/>
      <c r="AA95" s="513"/>
      <c r="AB95" s="513"/>
      <c r="AC95" s="529"/>
      <c r="AD95" s="642"/>
      <c r="AE95" s="531"/>
      <c r="AF95" s="513"/>
      <c r="AG95" s="513"/>
      <c r="AH95" s="529"/>
      <c r="AI95" s="642"/>
      <c r="AJ95" s="531"/>
      <c r="AK95" s="513"/>
      <c r="AL95" s="513"/>
      <c r="AM95" s="529"/>
      <c r="AN95" s="642"/>
      <c r="AO95" s="531"/>
      <c r="AP95" s="513"/>
      <c r="AQ95" s="513"/>
      <c r="AR95" s="529"/>
      <c r="AS95" s="642"/>
      <c r="AT95" s="529"/>
      <c r="AU95" s="530"/>
      <c r="AV95" s="530"/>
      <c r="AW95" s="529"/>
      <c r="AX95" s="642"/>
      <c r="AZ95" s="368" t="e">
        <f t="shared" si="82"/>
        <v>#N/A</v>
      </c>
      <c r="BA95" s="642"/>
    </row>
    <row r="96" spans="2:53">
      <c r="B96" s="647"/>
      <c r="C96" s="380">
        <v>10</v>
      </c>
      <c r="D96" s="225"/>
      <c r="E96" s="519"/>
      <c r="F96" s="516"/>
      <c r="G96" s="515"/>
      <c r="H96" s="655"/>
      <c r="I96" s="381" t="str">
        <f t="shared" si="79"/>
        <v>-</v>
      </c>
      <c r="J96" s="381" t="str">
        <f t="shared" si="80"/>
        <v>-</v>
      </c>
      <c r="K96" s="199" t="str">
        <f t="shared" si="81"/>
        <v>-</v>
      </c>
      <c r="L96" s="657"/>
      <c r="M96" s="425" t="e">
        <f>RANK(K96, K$87:$K$101)</f>
        <v>#VALUE!</v>
      </c>
      <c r="N96" s="641"/>
      <c r="O96" s="641"/>
      <c r="P96" s="531"/>
      <c r="Q96" s="513"/>
      <c r="R96" s="513"/>
      <c r="S96" s="529"/>
      <c r="T96" s="642"/>
      <c r="U96" s="531"/>
      <c r="V96" s="513"/>
      <c r="W96" s="513"/>
      <c r="X96" s="529"/>
      <c r="Y96" s="642"/>
      <c r="Z96" s="531"/>
      <c r="AA96" s="513"/>
      <c r="AB96" s="513"/>
      <c r="AC96" s="529"/>
      <c r="AD96" s="642"/>
      <c r="AE96" s="531"/>
      <c r="AF96" s="513"/>
      <c r="AG96" s="513"/>
      <c r="AH96" s="529"/>
      <c r="AI96" s="642"/>
      <c r="AJ96" s="531"/>
      <c r="AK96" s="513"/>
      <c r="AL96" s="513"/>
      <c r="AM96" s="529"/>
      <c r="AN96" s="642"/>
      <c r="AO96" s="531"/>
      <c r="AP96" s="513"/>
      <c r="AQ96" s="513"/>
      <c r="AR96" s="529"/>
      <c r="AS96" s="642"/>
      <c r="AT96" s="529"/>
      <c r="AU96" s="530"/>
      <c r="AV96" s="530"/>
      <c r="AW96" s="529"/>
      <c r="AX96" s="642"/>
      <c r="AZ96" s="368" t="e">
        <f t="shared" si="82"/>
        <v>#N/A</v>
      </c>
      <c r="BA96" s="642"/>
    </row>
    <row r="97" spans="2:53">
      <c r="B97" s="647"/>
      <c r="C97" s="380">
        <v>11</v>
      </c>
      <c r="D97" s="225"/>
      <c r="E97" s="519"/>
      <c r="F97" s="516"/>
      <c r="G97" s="515"/>
      <c r="H97" s="655"/>
      <c r="I97" s="381" t="str">
        <f t="shared" si="79"/>
        <v>-</v>
      </c>
      <c r="J97" s="381" t="str">
        <f t="shared" si="80"/>
        <v>-</v>
      </c>
      <c r="K97" s="199" t="str">
        <f t="shared" si="81"/>
        <v>-</v>
      </c>
      <c r="L97" s="657"/>
      <c r="M97" s="425" t="e">
        <f>RANK(K97, K$87:$K$101)</f>
        <v>#VALUE!</v>
      </c>
      <c r="N97" s="641"/>
      <c r="O97" s="641"/>
      <c r="P97" s="531"/>
      <c r="Q97" s="513"/>
      <c r="R97" s="513"/>
      <c r="S97" s="529"/>
      <c r="T97" s="642"/>
      <c r="U97" s="531"/>
      <c r="V97" s="513"/>
      <c r="W97" s="513"/>
      <c r="X97" s="529"/>
      <c r="Y97" s="642"/>
      <c r="Z97" s="531"/>
      <c r="AA97" s="513"/>
      <c r="AB97" s="513"/>
      <c r="AC97" s="529"/>
      <c r="AD97" s="642"/>
      <c r="AE97" s="531"/>
      <c r="AF97" s="513"/>
      <c r="AG97" s="513"/>
      <c r="AH97" s="529"/>
      <c r="AI97" s="642"/>
      <c r="AJ97" s="531"/>
      <c r="AK97" s="513"/>
      <c r="AL97" s="513"/>
      <c r="AM97" s="529"/>
      <c r="AN97" s="642"/>
      <c r="AO97" s="531"/>
      <c r="AP97" s="513"/>
      <c r="AQ97" s="513"/>
      <c r="AR97" s="529"/>
      <c r="AS97" s="642"/>
      <c r="AT97" s="529"/>
      <c r="AU97" s="530"/>
      <c r="AV97" s="530"/>
      <c r="AW97" s="529"/>
      <c r="AX97" s="642"/>
      <c r="AZ97" s="368" t="e">
        <f t="shared" si="82"/>
        <v>#N/A</v>
      </c>
      <c r="BA97" s="642"/>
    </row>
    <row r="98" spans="2:53">
      <c r="B98" s="647"/>
      <c r="C98" s="380">
        <v>12</v>
      </c>
      <c r="D98" s="225"/>
      <c r="E98" s="519"/>
      <c r="F98" s="516"/>
      <c r="G98" s="515"/>
      <c r="H98" s="655"/>
      <c r="I98" s="381" t="str">
        <f t="shared" si="79"/>
        <v>-</v>
      </c>
      <c r="J98" s="381" t="str">
        <f t="shared" si="80"/>
        <v>-</v>
      </c>
      <c r="K98" s="199" t="str">
        <f t="shared" si="81"/>
        <v>-</v>
      </c>
      <c r="L98" s="657"/>
      <c r="M98" s="425" t="e">
        <f>RANK(K98, K$87:$K$101)</f>
        <v>#VALUE!</v>
      </c>
      <c r="N98" s="641"/>
      <c r="O98" s="641"/>
      <c r="P98" s="531"/>
      <c r="Q98" s="513"/>
      <c r="R98" s="513"/>
      <c r="S98" s="529"/>
      <c r="T98" s="642"/>
      <c r="U98" s="531"/>
      <c r="V98" s="513"/>
      <c r="W98" s="513"/>
      <c r="X98" s="529"/>
      <c r="Y98" s="642"/>
      <c r="Z98" s="531"/>
      <c r="AA98" s="513"/>
      <c r="AB98" s="513"/>
      <c r="AC98" s="529"/>
      <c r="AD98" s="642"/>
      <c r="AE98" s="531"/>
      <c r="AF98" s="513"/>
      <c r="AG98" s="513"/>
      <c r="AH98" s="529"/>
      <c r="AI98" s="642"/>
      <c r="AJ98" s="531"/>
      <c r="AK98" s="513"/>
      <c r="AL98" s="513"/>
      <c r="AM98" s="529"/>
      <c r="AN98" s="642"/>
      <c r="AO98" s="531"/>
      <c r="AP98" s="513"/>
      <c r="AQ98" s="513"/>
      <c r="AR98" s="529"/>
      <c r="AS98" s="642"/>
      <c r="AT98" s="529"/>
      <c r="AU98" s="530"/>
      <c r="AV98" s="530"/>
      <c r="AW98" s="529"/>
      <c r="AX98" s="642"/>
      <c r="AZ98" s="368" t="e">
        <f t="shared" si="82"/>
        <v>#N/A</v>
      </c>
      <c r="BA98" s="642"/>
    </row>
    <row r="99" spans="2:53">
      <c r="B99" s="647"/>
      <c r="C99" s="380">
        <v>13</v>
      </c>
      <c r="D99" s="225"/>
      <c r="E99" s="519"/>
      <c r="F99" s="516"/>
      <c r="G99" s="515"/>
      <c r="H99" s="655"/>
      <c r="I99" s="381" t="str">
        <f t="shared" si="79"/>
        <v>-</v>
      </c>
      <c r="J99" s="381" t="str">
        <f t="shared" si="80"/>
        <v>-</v>
      </c>
      <c r="K99" s="199" t="str">
        <f t="shared" si="81"/>
        <v>-</v>
      </c>
      <c r="L99" s="657"/>
      <c r="M99" s="425" t="e">
        <f>RANK(K99, K$87:$K$101)</f>
        <v>#VALUE!</v>
      </c>
      <c r="N99" s="641"/>
      <c r="O99" s="641"/>
      <c r="P99" s="531"/>
      <c r="Q99" s="513"/>
      <c r="R99" s="513"/>
      <c r="S99" s="529"/>
      <c r="T99" s="642"/>
      <c r="U99" s="531"/>
      <c r="V99" s="513"/>
      <c r="W99" s="513"/>
      <c r="X99" s="529"/>
      <c r="Y99" s="642"/>
      <c r="Z99" s="531"/>
      <c r="AA99" s="513"/>
      <c r="AB99" s="513"/>
      <c r="AC99" s="529"/>
      <c r="AD99" s="642"/>
      <c r="AE99" s="531"/>
      <c r="AF99" s="513"/>
      <c r="AG99" s="513"/>
      <c r="AH99" s="529"/>
      <c r="AI99" s="642"/>
      <c r="AJ99" s="531"/>
      <c r="AK99" s="513"/>
      <c r="AL99" s="513"/>
      <c r="AM99" s="529"/>
      <c r="AN99" s="642"/>
      <c r="AO99" s="531"/>
      <c r="AP99" s="513"/>
      <c r="AQ99" s="513"/>
      <c r="AR99" s="529"/>
      <c r="AS99" s="642"/>
      <c r="AT99" s="529"/>
      <c r="AU99" s="530"/>
      <c r="AV99" s="530"/>
      <c r="AW99" s="529"/>
      <c r="AX99" s="642"/>
      <c r="AZ99" s="368" t="e">
        <f t="shared" si="82"/>
        <v>#N/A</v>
      </c>
      <c r="BA99" s="642"/>
    </row>
    <row r="100" spans="2:53">
      <c r="B100" s="647"/>
      <c r="C100" s="380">
        <v>14</v>
      </c>
      <c r="D100" s="225"/>
      <c r="E100" s="519"/>
      <c r="F100" s="516"/>
      <c r="G100" s="515"/>
      <c r="H100" s="655"/>
      <c r="I100" s="381" t="str">
        <f t="shared" si="79"/>
        <v>-</v>
      </c>
      <c r="J100" s="381" t="str">
        <f t="shared" si="80"/>
        <v>-</v>
      </c>
      <c r="K100" s="199" t="str">
        <f t="shared" si="81"/>
        <v>-</v>
      </c>
      <c r="L100" s="657"/>
      <c r="M100" s="425" t="e">
        <f>RANK(K100, K$87:$K$101)</f>
        <v>#VALUE!</v>
      </c>
      <c r="N100" s="641"/>
      <c r="O100" s="641"/>
      <c r="P100" s="531"/>
      <c r="Q100" s="513"/>
      <c r="R100" s="513"/>
      <c r="S100" s="529"/>
      <c r="T100" s="642"/>
      <c r="U100" s="531"/>
      <c r="V100" s="513"/>
      <c r="W100" s="513"/>
      <c r="X100" s="529"/>
      <c r="Y100" s="642"/>
      <c r="Z100" s="531"/>
      <c r="AA100" s="513"/>
      <c r="AB100" s="513"/>
      <c r="AC100" s="529"/>
      <c r="AD100" s="642"/>
      <c r="AE100" s="531"/>
      <c r="AF100" s="513"/>
      <c r="AG100" s="513"/>
      <c r="AH100" s="529"/>
      <c r="AI100" s="642"/>
      <c r="AJ100" s="531"/>
      <c r="AK100" s="513"/>
      <c r="AL100" s="513"/>
      <c r="AM100" s="529"/>
      <c r="AN100" s="642"/>
      <c r="AO100" s="531"/>
      <c r="AP100" s="513"/>
      <c r="AQ100" s="513"/>
      <c r="AR100" s="529"/>
      <c r="AS100" s="642"/>
      <c r="AT100" s="529"/>
      <c r="AU100" s="530"/>
      <c r="AV100" s="530"/>
      <c r="AW100" s="529"/>
      <c r="AX100" s="642"/>
      <c r="AZ100" s="368" t="e">
        <f t="shared" si="82"/>
        <v>#N/A</v>
      </c>
      <c r="BA100" s="642"/>
    </row>
    <row r="101" spans="2:53">
      <c r="B101" s="647"/>
      <c r="C101" s="380">
        <v>15</v>
      </c>
      <c r="D101" s="225"/>
      <c r="E101" s="519"/>
      <c r="F101" s="516"/>
      <c r="G101" s="515"/>
      <c r="H101" s="712"/>
      <c r="I101" s="380"/>
      <c r="J101" s="380"/>
      <c r="K101" s="380"/>
      <c r="L101" s="658"/>
      <c r="M101" s="425" t="e">
        <f>RANK(K101, K$87:$K$101)</f>
        <v>#N/A</v>
      </c>
      <c r="N101" s="641"/>
      <c r="O101" s="641"/>
      <c r="P101" s="531"/>
      <c r="Q101" s="513"/>
      <c r="R101" s="513"/>
      <c r="S101" s="529"/>
      <c r="T101" s="642"/>
      <c r="U101" s="531"/>
      <c r="V101" s="513"/>
      <c r="W101" s="513"/>
      <c r="X101" s="529"/>
      <c r="Y101" s="642"/>
      <c r="Z101" s="531"/>
      <c r="AA101" s="513"/>
      <c r="AB101" s="513"/>
      <c r="AC101" s="529"/>
      <c r="AD101" s="642"/>
      <c r="AE101" s="531"/>
      <c r="AF101" s="513"/>
      <c r="AG101" s="513"/>
      <c r="AH101" s="529"/>
      <c r="AI101" s="642"/>
      <c r="AJ101" s="531"/>
      <c r="AK101" s="513"/>
      <c r="AL101" s="513"/>
      <c r="AM101" s="529"/>
      <c r="AN101" s="642"/>
      <c r="AO101" s="531"/>
      <c r="AP101" s="513"/>
      <c r="AQ101" s="513"/>
      <c r="AR101" s="529"/>
      <c r="AS101" s="642"/>
      <c r="AT101" s="529"/>
      <c r="AU101" s="530"/>
      <c r="AV101" s="530"/>
      <c r="AW101" s="529"/>
      <c r="AX101" s="642"/>
      <c r="AZ101" s="368" t="e">
        <f t="shared" si="82"/>
        <v>#N/A</v>
      </c>
      <c r="BA101" s="642"/>
    </row>
    <row r="102" spans="2:53" ht="15.75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68">
        <f>P82+7</f>
        <v>46266</v>
      </c>
      <c r="Q102" s="647"/>
      <c r="R102" s="647"/>
      <c r="S102" s="647"/>
      <c r="T102" s="647"/>
      <c r="U102" s="665">
        <f>P102+1</f>
        <v>46267</v>
      </c>
      <c r="V102" s="666"/>
      <c r="W102" s="666"/>
      <c r="X102" s="666"/>
      <c r="Y102" s="667"/>
      <c r="Z102" s="665">
        <f>U102+1</f>
        <v>46268</v>
      </c>
      <c r="AA102" s="666"/>
      <c r="AB102" s="666"/>
      <c r="AC102" s="666"/>
      <c r="AD102" s="667"/>
      <c r="AE102" s="665">
        <f>Z102+1</f>
        <v>46269</v>
      </c>
      <c r="AF102" s="666"/>
      <c r="AG102" s="666"/>
      <c r="AH102" s="666"/>
      <c r="AI102" s="667"/>
      <c r="AJ102" s="665">
        <f>AE102+1</f>
        <v>46270</v>
      </c>
      <c r="AK102" s="666"/>
      <c r="AL102" s="666"/>
      <c r="AM102" s="666"/>
      <c r="AN102" s="667"/>
      <c r="AO102" s="665">
        <f>AJ102+1</f>
        <v>46271</v>
      </c>
      <c r="AP102" s="666"/>
      <c r="AQ102" s="666"/>
      <c r="AR102" s="666"/>
      <c r="AS102" s="667"/>
      <c r="AT102" s="665">
        <f>AO102+1</f>
        <v>46272</v>
      </c>
      <c r="AU102" s="666"/>
      <c r="AV102" s="666"/>
      <c r="AW102" s="666"/>
      <c r="AX102" s="667"/>
    </row>
    <row r="103" spans="2:53" ht="15.75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45"/>
      <c r="O103" s="645"/>
      <c r="P103" s="668" t="s">
        <v>158</v>
      </c>
      <c r="Q103" s="647"/>
      <c r="R103" s="647"/>
      <c r="S103" s="647"/>
      <c r="T103" s="647"/>
      <c r="U103" s="668" t="s">
        <v>114</v>
      </c>
      <c r="V103" s="647"/>
      <c r="W103" s="647"/>
      <c r="X103" s="647"/>
      <c r="Y103" s="647"/>
      <c r="Z103" s="668" t="s">
        <v>159</v>
      </c>
      <c r="AA103" s="647"/>
      <c r="AB103" s="647"/>
      <c r="AC103" s="647"/>
      <c r="AD103" s="647"/>
      <c r="AE103" s="668" t="s">
        <v>157</v>
      </c>
      <c r="AF103" s="647"/>
      <c r="AG103" s="647"/>
      <c r="AH103" s="647"/>
      <c r="AI103" s="647"/>
      <c r="AJ103" s="668" t="s">
        <v>160</v>
      </c>
      <c r="AK103" s="647"/>
      <c r="AL103" s="647"/>
      <c r="AM103" s="647"/>
      <c r="AN103" s="647"/>
      <c r="AO103" s="668" t="s">
        <v>115</v>
      </c>
      <c r="AP103" s="647"/>
      <c r="AQ103" s="647"/>
      <c r="AR103" s="647"/>
      <c r="AS103" s="647"/>
      <c r="AT103" s="668" t="s">
        <v>161</v>
      </c>
      <c r="AU103" s="647"/>
      <c r="AV103" s="647"/>
      <c r="AW103" s="647"/>
      <c r="AX103" s="647"/>
    </row>
    <row r="104" spans="2:53">
      <c r="B104" s="641" t="s">
        <v>531</v>
      </c>
      <c r="C104" s="641" t="s">
        <v>532</v>
      </c>
      <c r="D104" s="641"/>
      <c r="E104" s="641" t="s">
        <v>533</v>
      </c>
      <c r="F104" s="641"/>
      <c r="G104" s="641"/>
      <c r="H104" s="673" t="s">
        <v>534</v>
      </c>
      <c r="I104" s="641" t="s">
        <v>535</v>
      </c>
      <c r="J104" s="641"/>
      <c r="K104" s="641"/>
      <c r="L104" s="673" t="s">
        <v>366</v>
      </c>
      <c r="M104" s="643" t="s">
        <v>536</v>
      </c>
      <c r="N104" s="641"/>
      <c r="O104" s="641" t="s">
        <v>522</v>
      </c>
      <c r="P104" s="659" t="s">
        <v>523</v>
      </c>
      <c r="Q104" s="660"/>
      <c r="R104" s="660"/>
      <c r="S104" s="661"/>
      <c r="T104" s="641" t="s">
        <v>519</v>
      </c>
      <c r="U104" s="659" t="s">
        <v>523</v>
      </c>
      <c r="V104" s="660"/>
      <c r="W104" s="660"/>
      <c r="X104" s="661"/>
      <c r="Y104" s="641" t="s">
        <v>519</v>
      </c>
      <c r="Z104" s="659" t="s">
        <v>523</v>
      </c>
      <c r="AA104" s="660"/>
      <c r="AB104" s="660"/>
      <c r="AC104" s="661"/>
      <c r="AD104" s="641" t="s">
        <v>519</v>
      </c>
      <c r="AE104" s="659" t="s">
        <v>523</v>
      </c>
      <c r="AF104" s="660"/>
      <c r="AG104" s="660"/>
      <c r="AH104" s="661"/>
      <c r="AI104" s="641" t="s">
        <v>519</v>
      </c>
      <c r="AJ104" s="659" t="s">
        <v>523</v>
      </c>
      <c r="AK104" s="660"/>
      <c r="AL104" s="660"/>
      <c r="AM104" s="661"/>
      <c r="AN104" s="641" t="s">
        <v>519</v>
      </c>
      <c r="AO104" s="659" t="s">
        <v>523</v>
      </c>
      <c r="AP104" s="660"/>
      <c r="AQ104" s="660"/>
      <c r="AR104" s="661"/>
      <c r="AS104" s="641" t="s">
        <v>519</v>
      </c>
      <c r="AT104" s="659" t="s">
        <v>523</v>
      </c>
      <c r="AU104" s="660"/>
      <c r="AV104" s="660"/>
      <c r="AW104" s="661"/>
      <c r="AX104" s="641" t="s">
        <v>519</v>
      </c>
      <c r="BA104" s="641" t="s">
        <v>366</v>
      </c>
    </row>
    <row r="105" spans="2:53">
      <c r="B105" s="641"/>
      <c r="C105" s="641"/>
      <c r="D105" s="641"/>
      <c r="E105" s="641" t="s">
        <v>538</v>
      </c>
      <c r="F105" s="641"/>
      <c r="G105" s="641"/>
      <c r="H105" s="674"/>
      <c r="I105" s="641" t="s">
        <v>538</v>
      </c>
      <c r="J105" s="641"/>
      <c r="K105" s="641"/>
      <c r="L105" s="674"/>
      <c r="M105" s="644"/>
      <c r="N105" s="641"/>
      <c r="O105" s="641"/>
      <c r="P105" s="659" t="s">
        <v>525</v>
      </c>
      <c r="Q105" s="660"/>
      <c r="R105" s="660"/>
      <c r="S105" s="661"/>
      <c r="T105" s="641"/>
      <c r="U105" s="659" t="s">
        <v>525</v>
      </c>
      <c r="V105" s="660"/>
      <c r="W105" s="660"/>
      <c r="X105" s="661"/>
      <c r="Y105" s="641"/>
      <c r="Z105" s="659" t="s">
        <v>525</v>
      </c>
      <c r="AA105" s="660"/>
      <c r="AB105" s="660"/>
      <c r="AC105" s="661"/>
      <c r="AD105" s="641"/>
      <c r="AE105" s="659" t="s">
        <v>525</v>
      </c>
      <c r="AF105" s="660"/>
      <c r="AG105" s="660"/>
      <c r="AH105" s="661"/>
      <c r="AI105" s="641"/>
      <c r="AJ105" s="659" t="s">
        <v>525</v>
      </c>
      <c r="AK105" s="660"/>
      <c r="AL105" s="660"/>
      <c r="AM105" s="661"/>
      <c r="AN105" s="641"/>
      <c r="AO105" s="659" t="s">
        <v>525</v>
      </c>
      <c r="AP105" s="660"/>
      <c r="AQ105" s="660"/>
      <c r="AR105" s="661"/>
      <c r="AS105" s="641"/>
      <c r="AT105" s="659" t="s">
        <v>525</v>
      </c>
      <c r="AU105" s="660"/>
      <c r="AV105" s="660"/>
      <c r="AW105" s="661"/>
      <c r="AX105" s="641"/>
      <c r="BA105" s="641"/>
    </row>
    <row r="106" spans="2:53">
      <c r="B106" s="641"/>
      <c r="C106" s="641"/>
      <c r="D106" s="641"/>
      <c r="E106" s="345" t="s">
        <v>539</v>
      </c>
      <c r="F106" s="345" t="s">
        <v>540</v>
      </c>
      <c r="G106" s="345" t="s">
        <v>541</v>
      </c>
      <c r="H106" s="675"/>
      <c r="I106" s="345" t="s">
        <v>539</v>
      </c>
      <c r="J106" s="345" t="s">
        <v>540</v>
      </c>
      <c r="K106" s="345" t="s">
        <v>541</v>
      </c>
      <c r="L106" s="675"/>
      <c r="M106" s="645"/>
      <c r="N106" s="641"/>
      <c r="O106" s="641"/>
      <c r="P106" s="345" t="s">
        <v>526</v>
      </c>
      <c r="Q106" s="345" t="s">
        <v>527</v>
      </c>
      <c r="R106" s="345" t="s">
        <v>528</v>
      </c>
      <c r="S106" s="345" t="s">
        <v>521</v>
      </c>
      <c r="T106" s="641"/>
      <c r="U106" s="345" t="s">
        <v>526</v>
      </c>
      <c r="V106" s="345" t="s">
        <v>527</v>
      </c>
      <c r="W106" s="345" t="s">
        <v>528</v>
      </c>
      <c r="X106" s="345" t="s">
        <v>521</v>
      </c>
      <c r="Y106" s="641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41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41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41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41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41"/>
      <c r="AZ106" s="367" t="s">
        <v>521</v>
      </c>
      <c r="BA106" s="641"/>
    </row>
    <row r="107" spans="2:53">
      <c r="B107" s="641" t="s">
        <v>136</v>
      </c>
      <c r="C107" s="348">
        <v>1</v>
      </c>
      <c r="D107" s="225"/>
      <c r="E107" s="181"/>
      <c r="F107" s="353"/>
      <c r="G107" s="354"/>
      <c r="H107" s="654" t="e">
        <f>AVERAGE(G107:G121)</f>
        <v>#DIV/0!</v>
      </c>
      <c r="I107" s="363" t="str">
        <f t="shared" ref="I107:I120" si="84">IFERROR(AVERAGE(P107,U107,Z107,AE107,AJ107,AO107,AT107),"-")</f>
        <v>-</v>
      </c>
      <c r="J107" s="363" t="str">
        <f t="shared" ref="J107:J120" si="85">IFERROR(AVERAGE(Q107,V107,AA107,AF107,AK107,AP107,AU107),"-")</f>
        <v>-</v>
      </c>
      <c r="K107" s="199" t="str">
        <f t="shared" ref="K107:K120" si="86">IFERROR(AVERAGE(R107,W107,AB107,AG107,AL107,AQ107,AV107),"-")</f>
        <v>-</v>
      </c>
      <c r="L107" s="656" t="str">
        <f>IFERROR(AVERAGE(K107:K121),"-")</f>
        <v>-</v>
      </c>
      <c r="M107" s="349" t="e">
        <f>RANK(K107, K$67:$K$81)</f>
        <v>#VALUE!</v>
      </c>
      <c r="N107" s="641"/>
      <c r="O107" s="641"/>
      <c r="P107" s="510"/>
      <c r="Q107" s="512"/>
      <c r="R107" s="512"/>
      <c r="S107" s="510"/>
      <c r="T107" s="642"/>
      <c r="U107" s="510"/>
      <c r="V107" s="512"/>
      <c r="W107" s="512"/>
      <c r="X107" s="510"/>
      <c r="Y107" s="642"/>
      <c r="Z107" s="510"/>
      <c r="AA107" s="512"/>
      <c r="AB107" s="512"/>
      <c r="AC107" s="510"/>
      <c r="AD107" s="642"/>
      <c r="AE107" s="510"/>
      <c r="AF107" s="512"/>
      <c r="AG107" s="512"/>
      <c r="AH107" s="510"/>
      <c r="AI107" s="642"/>
      <c r="AJ107" s="510"/>
      <c r="AK107" s="512"/>
      <c r="AL107" s="512"/>
      <c r="AM107" s="510"/>
      <c r="AN107" s="642"/>
      <c r="AO107" s="510"/>
      <c r="AP107" s="512"/>
      <c r="AQ107" s="512"/>
      <c r="AR107" s="510"/>
      <c r="AS107" s="642"/>
      <c r="AT107" s="510"/>
      <c r="AU107" s="512"/>
      <c r="AV107" s="512"/>
      <c r="AW107" s="510"/>
      <c r="AX107" s="642"/>
      <c r="AZ107" s="369" t="e">
        <f>RANK(AY107, AY$67:AY$81)</f>
        <v>#N/A</v>
      </c>
      <c r="BA107" s="698" t="e">
        <f>AVERAGE(AY107:AY121)</f>
        <v>#DIV/0!</v>
      </c>
    </row>
    <row r="108" spans="2:53">
      <c r="B108" s="676"/>
      <c r="C108" s="348">
        <v>2</v>
      </c>
      <c r="D108" s="225"/>
      <c r="E108" s="181"/>
      <c r="F108" s="353"/>
      <c r="G108" s="354"/>
      <c r="H108" s="655"/>
      <c r="I108" s="363" t="str">
        <f t="shared" si="84"/>
        <v>-</v>
      </c>
      <c r="J108" s="363" t="str">
        <f t="shared" si="85"/>
        <v>-</v>
      </c>
      <c r="K108" s="199" t="str">
        <f t="shared" si="86"/>
        <v>-</v>
      </c>
      <c r="L108" s="657"/>
      <c r="M108" s="349" t="e">
        <f>RANK(K108, K$67:$K$81)</f>
        <v>#VALUE!</v>
      </c>
      <c r="N108" s="641"/>
      <c r="O108" s="641"/>
      <c r="P108" s="510"/>
      <c r="Q108" s="512"/>
      <c r="R108" s="512"/>
      <c r="S108" s="510"/>
      <c r="T108" s="642"/>
      <c r="U108" s="510"/>
      <c r="V108" s="512"/>
      <c r="W108" s="512"/>
      <c r="X108" s="510"/>
      <c r="Y108" s="642"/>
      <c r="Z108" s="510"/>
      <c r="AA108" s="512"/>
      <c r="AB108" s="512"/>
      <c r="AC108" s="510"/>
      <c r="AD108" s="642"/>
      <c r="AE108" s="510"/>
      <c r="AF108" s="512"/>
      <c r="AG108" s="512"/>
      <c r="AH108" s="510"/>
      <c r="AI108" s="642"/>
      <c r="AJ108" s="510"/>
      <c r="AK108" s="512"/>
      <c r="AL108" s="512"/>
      <c r="AM108" s="510"/>
      <c r="AN108" s="642"/>
      <c r="AO108" s="510"/>
      <c r="AP108" s="512"/>
      <c r="AQ108" s="512"/>
      <c r="AR108" s="510"/>
      <c r="AS108" s="642"/>
      <c r="AT108" s="510"/>
      <c r="AU108" s="512"/>
      <c r="AV108" s="512"/>
      <c r="AW108" s="510"/>
      <c r="AX108" s="642"/>
      <c r="AZ108" s="369" t="e">
        <f t="shared" ref="AZ108:AZ121" si="87">RANK(AY108, AY$67:AY$81)</f>
        <v>#N/A</v>
      </c>
      <c r="BA108" s="698"/>
    </row>
    <row r="109" spans="2:53">
      <c r="B109" s="676"/>
      <c r="C109" s="348">
        <v>3</v>
      </c>
      <c r="D109" s="225"/>
      <c r="E109" s="181"/>
      <c r="F109" s="353"/>
      <c r="G109" s="354"/>
      <c r="H109" s="655"/>
      <c r="I109" s="363" t="str">
        <f t="shared" si="84"/>
        <v>-</v>
      </c>
      <c r="J109" s="363" t="str">
        <f t="shared" si="85"/>
        <v>-</v>
      </c>
      <c r="K109" s="199" t="str">
        <f t="shared" si="86"/>
        <v>-</v>
      </c>
      <c r="L109" s="657"/>
      <c r="M109" s="349" t="e">
        <f>RANK(K109, K$67:$K$81)</f>
        <v>#VALUE!</v>
      </c>
      <c r="N109" s="641"/>
      <c r="O109" s="641"/>
      <c r="P109" s="510"/>
      <c r="Q109" s="512"/>
      <c r="R109" s="512"/>
      <c r="S109" s="510"/>
      <c r="T109" s="642"/>
      <c r="U109" s="510"/>
      <c r="V109" s="512"/>
      <c r="W109" s="512"/>
      <c r="X109" s="510"/>
      <c r="Y109" s="642"/>
      <c r="Z109" s="510"/>
      <c r="AA109" s="512"/>
      <c r="AB109" s="512"/>
      <c r="AC109" s="510"/>
      <c r="AD109" s="642"/>
      <c r="AE109" s="510"/>
      <c r="AF109" s="512"/>
      <c r="AG109" s="512"/>
      <c r="AH109" s="510"/>
      <c r="AI109" s="642"/>
      <c r="AJ109" s="510"/>
      <c r="AK109" s="512"/>
      <c r="AL109" s="512"/>
      <c r="AM109" s="510"/>
      <c r="AN109" s="642"/>
      <c r="AO109" s="510"/>
      <c r="AP109" s="512"/>
      <c r="AQ109" s="512"/>
      <c r="AR109" s="510"/>
      <c r="AS109" s="642"/>
      <c r="AT109" s="510"/>
      <c r="AU109" s="512"/>
      <c r="AV109" s="512"/>
      <c r="AW109" s="510"/>
      <c r="AX109" s="642"/>
      <c r="AZ109" s="369" t="e">
        <f t="shared" si="87"/>
        <v>#N/A</v>
      </c>
      <c r="BA109" s="698"/>
    </row>
    <row r="110" spans="2:53">
      <c r="B110" s="676"/>
      <c r="C110" s="348">
        <v>4</v>
      </c>
      <c r="D110" s="225"/>
      <c r="E110" s="181"/>
      <c r="F110" s="353"/>
      <c r="G110" s="354"/>
      <c r="H110" s="655"/>
      <c r="I110" s="363" t="str">
        <f t="shared" si="84"/>
        <v>-</v>
      </c>
      <c r="J110" s="363" t="str">
        <f t="shared" si="85"/>
        <v>-</v>
      </c>
      <c r="K110" s="199" t="str">
        <f t="shared" si="86"/>
        <v>-</v>
      </c>
      <c r="L110" s="657"/>
      <c r="M110" s="349" t="e">
        <f>RANK(K110, K$67:$K$81)</f>
        <v>#VALUE!</v>
      </c>
      <c r="N110" s="641"/>
      <c r="O110" s="641"/>
      <c r="P110" s="510"/>
      <c r="Q110" s="512"/>
      <c r="R110" s="512"/>
      <c r="S110" s="510"/>
      <c r="T110" s="642"/>
      <c r="U110" s="510"/>
      <c r="V110" s="512"/>
      <c r="W110" s="512"/>
      <c r="X110" s="510"/>
      <c r="Y110" s="642"/>
      <c r="Z110" s="510"/>
      <c r="AA110" s="512"/>
      <c r="AB110" s="512"/>
      <c r="AC110" s="510"/>
      <c r="AD110" s="642"/>
      <c r="AE110" s="510"/>
      <c r="AF110" s="512"/>
      <c r="AG110" s="512"/>
      <c r="AH110" s="510"/>
      <c r="AI110" s="642"/>
      <c r="AJ110" s="510"/>
      <c r="AK110" s="512"/>
      <c r="AL110" s="512"/>
      <c r="AM110" s="510"/>
      <c r="AN110" s="642"/>
      <c r="AO110" s="510"/>
      <c r="AP110" s="512"/>
      <c r="AQ110" s="512"/>
      <c r="AR110" s="510"/>
      <c r="AS110" s="642"/>
      <c r="AT110" s="510"/>
      <c r="AU110" s="512"/>
      <c r="AV110" s="512"/>
      <c r="AW110" s="510"/>
      <c r="AX110" s="642"/>
      <c r="AZ110" s="369" t="e">
        <f t="shared" si="87"/>
        <v>#N/A</v>
      </c>
      <c r="BA110" s="698"/>
    </row>
    <row r="111" spans="2:53">
      <c r="B111" s="676"/>
      <c r="C111" s="348">
        <v>5</v>
      </c>
      <c r="D111" s="225"/>
      <c r="E111" s="181"/>
      <c r="F111" s="353"/>
      <c r="G111" s="354"/>
      <c r="H111" s="655"/>
      <c r="I111" s="363" t="str">
        <f t="shared" si="84"/>
        <v>-</v>
      </c>
      <c r="J111" s="363" t="str">
        <f t="shared" si="85"/>
        <v>-</v>
      </c>
      <c r="K111" s="199" t="str">
        <f t="shared" si="86"/>
        <v>-</v>
      </c>
      <c r="L111" s="657"/>
      <c r="M111" s="349" t="e">
        <f>RANK(K111, K$67:$K$81)</f>
        <v>#VALUE!</v>
      </c>
      <c r="N111" s="641"/>
      <c r="O111" s="641"/>
      <c r="P111" s="510"/>
      <c r="Q111" s="512"/>
      <c r="R111" s="512"/>
      <c r="S111" s="510"/>
      <c r="T111" s="642"/>
      <c r="U111" s="510"/>
      <c r="V111" s="512"/>
      <c r="W111" s="512"/>
      <c r="X111" s="510"/>
      <c r="Y111" s="642"/>
      <c r="Z111" s="510"/>
      <c r="AA111" s="512"/>
      <c r="AB111" s="512"/>
      <c r="AC111" s="510"/>
      <c r="AD111" s="642"/>
      <c r="AE111" s="510"/>
      <c r="AF111" s="512"/>
      <c r="AG111" s="512"/>
      <c r="AH111" s="510"/>
      <c r="AI111" s="642"/>
      <c r="AJ111" s="510"/>
      <c r="AK111" s="512"/>
      <c r="AL111" s="512"/>
      <c r="AM111" s="510"/>
      <c r="AN111" s="642"/>
      <c r="AO111" s="510"/>
      <c r="AP111" s="512"/>
      <c r="AQ111" s="512"/>
      <c r="AR111" s="510"/>
      <c r="AS111" s="642"/>
      <c r="AT111" s="510"/>
      <c r="AU111" s="512"/>
      <c r="AV111" s="512"/>
      <c r="AW111" s="510"/>
      <c r="AX111" s="642"/>
      <c r="AZ111" s="369" t="e">
        <f t="shared" si="87"/>
        <v>#N/A</v>
      </c>
      <c r="BA111" s="698"/>
    </row>
    <row r="112" spans="2:53">
      <c r="B112" s="676"/>
      <c r="C112" s="348">
        <v>6</v>
      </c>
      <c r="D112" s="225"/>
      <c r="E112" s="181"/>
      <c r="F112" s="353"/>
      <c r="G112" s="354"/>
      <c r="H112" s="655"/>
      <c r="I112" s="363" t="str">
        <f t="shared" si="84"/>
        <v>-</v>
      </c>
      <c r="J112" s="363" t="str">
        <f t="shared" si="85"/>
        <v>-</v>
      </c>
      <c r="K112" s="199" t="str">
        <f t="shared" si="86"/>
        <v>-</v>
      </c>
      <c r="L112" s="657"/>
      <c r="M112" s="349" t="e">
        <f>RANK(K112, K$67:$K$81)</f>
        <v>#VALUE!</v>
      </c>
      <c r="N112" s="641"/>
      <c r="O112" s="641"/>
      <c r="P112" s="510"/>
      <c r="Q112" s="512"/>
      <c r="R112" s="512"/>
      <c r="S112" s="510"/>
      <c r="T112" s="642"/>
      <c r="U112" s="510"/>
      <c r="V112" s="512"/>
      <c r="W112" s="512"/>
      <c r="X112" s="510"/>
      <c r="Y112" s="642"/>
      <c r="Z112" s="510"/>
      <c r="AA112" s="512"/>
      <c r="AB112" s="512"/>
      <c r="AC112" s="510"/>
      <c r="AD112" s="642"/>
      <c r="AE112" s="510"/>
      <c r="AF112" s="512"/>
      <c r="AG112" s="512"/>
      <c r="AH112" s="510"/>
      <c r="AI112" s="642"/>
      <c r="AJ112" s="510"/>
      <c r="AK112" s="512"/>
      <c r="AL112" s="512"/>
      <c r="AM112" s="510"/>
      <c r="AN112" s="642"/>
      <c r="AO112" s="510"/>
      <c r="AP112" s="512"/>
      <c r="AQ112" s="512"/>
      <c r="AR112" s="510"/>
      <c r="AS112" s="642"/>
      <c r="AT112" s="510"/>
      <c r="AU112" s="512"/>
      <c r="AV112" s="512"/>
      <c r="AW112" s="510"/>
      <c r="AX112" s="642"/>
      <c r="AZ112" s="369" t="e">
        <f t="shared" si="87"/>
        <v>#N/A</v>
      </c>
      <c r="BA112" s="698"/>
    </row>
    <row r="113" spans="2:53">
      <c r="B113" s="676"/>
      <c r="C113" s="348">
        <v>7</v>
      </c>
      <c r="D113" s="225"/>
      <c r="E113" s="181"/>
      <c r="F113" s="353"/>
      <c r="G113" s="354"/>
      <c r="H113" s="655"/>
      <c r="I113" s="363" t="str">
        <f t="shared" si="84"/>
        <v>-</v>
      </c>
      <c r="J113" s="363" t="str">
        <f t="shared" si="85"/>
        <v>-</v>
      </c>
      <c r="K113" s="199" t="str">
        <f t="shared" si="86"/>
        <v>-</v>
      </c>
      <c r="L113" s="657"/>
      <c r="M113" s="349" t="e">
        <f>RANK(K113, K$67:$K$81)</f>
        <v>#VALUE!</v>
      </c>
      <c r="N113" s="641"/>
      <c r="O113" s="641"/>
      <c r="P113" s="510"/>
      <c r="Q113" s="512"/>
      <c r="R113" s="512"/>
      <c r="S113" s="510"/>
      <c r="T113" s="642"/>
      <c r="U113" s="510"/>
      <c r="V113" s="512"/>
      <c r="W113" s="512"/>
      <c r="X113" s="510"/>
      <c r="Y113" s="642"/>
      <c r="Z113" s="510"/>
      <c r="AA113" s="512"/>
      <c r="AB113" s="512"/>
      <c r="AC113" s="510"/>
      <c r="AD113" s="642"/>
      <c r="AE113" s="510"/>
      <c r="AF113" s="512"/>
      <c r="AG113" s="512"/>
      <c r="AH113" s="510"/>
      <c r="AI113" s="642"/>
      <c r="AJ113" s="510"/>
      <c r="AK113" s="512"/>
      <c r="AL113" s="512"/>
      <c r="AM113" s="510"/>
      <c r="AN113" s="642"/>
      <c r="AO113" s="510"/>
      <c r="AP113" s="512"/>
      <c r="AQ113" s="512"/>
      <c r="AR113" s="510"/>
      <c r="AS113" s="642"/>
      <c r="AT113" s="510"/>
      <c r="AU113" s="512"/>
      <c r="AV113" s="512"/>
      <c r="AW113" s="510"/>
      <c r="AX113" s="642"/>
      <c r="AZ113" s="369" t="e">
        <f t="shared" si="87"/>
        <v>#N/A</v>
      </c>
      <c r="BA113" s="698"/>
    </row>
    <row r="114" spans="2:53">
      <c r="B114" s="676"/>
      <c r="C114" s="348">
        <v>8</v>
      </c>
      <c r="D114" s="225"/>
      <c r="E114" s="181"/>
      <c r="F114" s="353"/>
      <c r="G114" s="354"/>
      <c r="H114" s="655"/>
      <c r="I114" s="363" t="str">
        <f t="shared" si="84"/>
        <v>-</v>
      </c>
      <c r="J114" s="363" t="str">
        <f t="shared" si="85"/>
        <v>-</v>
      </c>
      <c r="K114" s="199" t="str">
        <f t="shared" si="86"/>
        <v>-</v>
      </c>
      <c r="L114" s="657"/>
      <c r="M114" s="349" t="e">
        <f>RANK(K114, K$67:$K$81)</f>
        <v>#VALUE!</v>
      </c>
      <c r="N114" s="641"/>
      <c r="O114" s="641"/>
      <c r="P114" s="510"/>
      <c r="Q114" s="512"/>
      <c r="R114" s="512"/>
      <c r="S114" s="510"/>
      <c r="T114" s="642"/>
      <c r="U114" s="510"/>
      <c r="V114" s="512"/>
      <c r="W114" s="512"/>
      <c r="X114" s="510"/>
      <c r="Y114" s="642"/>
      <c r="Z114" s="510"/>
      <c r="AA114" s="512"/>
      <c r="AB114" s="512"/>
      <c r="AC114" s="510"/>
      <c r="AD114" s="642"/>
      <c r="AE114" s="510"/>
      <c r="AF114" s="512"/>
      <c r="AG114" s="512"/>
      <c r="AH114" s="510"/>
      <c r="AI114" s="642"/>
      <c r="AJ114" s="510"/>
      <c r="AK114" s="512"/>
      <c r="AL114" s="512"/>
      <c r="AM114" s="510"/>
      <c r="AN114" s="642"/>
      <c r="AO114" s="510"/>
      <c r="AP114" s="512"/>
      <c r="AQ114" s="512"/>
      <c r="AR114" s="510"/>
      <c r="AS114" s="642"/>
      <c r="AT114" s="510"/>
      <c r="AU114" s="512"/>
      <c r="AV114" s="512"/>
      <c r="AW114" s="510"/>
      <c r="AX114" s="642"/>
      <c r="AZ114" s="369" t="e">
        <f t="shared" si="87"/>
        <v>#N/A</v>
      </c>
      <c r="BA114" s="698"/>
    </row>
    <row r="115" spans="2:53">
      <c r="B115" s="676"/>
      <c r="C115" s="348">
        <v>9</v>
      </c>
      <c r="D115" s="225"/>
      <c r="E115" s="181"/>
      <c r="F115" s="353"/>
      <c r="G115" s="354"/>
      <c r="H115" s="655"/>
      <c r="I115" s="363" t="str">
        <f t="shared" si="84"/>
        <v>-</v>
      </c>
      <c r="J115" s="363" t="str">
        <f t="shared" si="85"/>
        <v>-</v>
      </c>
      <c r="K115" s="199" t="str">
        <f t="shared" si="86"/>
        <v>-</v>
      </c>
      <c r="L115" s="657"/>
      <c r="M115" s="349" t="e">
        <f>RANK(K115, K$67:$K$81)</f>
        <v>#VALUE!</v>
      </c>
      <c r="N115" s="641"/>
      <c r="O115" s="641"/>
      <c r="P115" s="510"/>
      <c r="Q115" s="512"/>
      <c r="R115" s="512"/>
      <c r="S115" s="510"/>
      <c r="T115" s="642"/>
      <c r="U115" s="510"/>
      <c r="V115" s="512"/>
      <c r="W115" s="512"/>
      <c r="X115" s="510"/>
      <c r="Y115" s="642"/>
      <c r="Z115" s="510"/>
      <c r="AA115" s="512"/>
      <c r="AB115" s="512"/>
      <c r="AC115" s="510"/>
      <c r="AD115" s="642"/>
      <c r="AE115" s="510"/>
      <c r="AF115" s="512"/>
      <c r="AG115" s="512"/>
      <c r="AH115" s="510"/>
      <c r="AI115" s="642"/>
      <c r="AJ115" s="510"/>
      <c r="AK115" s="512"/>
      <c r="AL115" s="512"/>
      <c r="AM115" s="510"/>
      <c r="AN115" s="642"/>
      <c r="AO115" s="510"/>
      <c r="AP115" s="512"/>
      <c r="AQ115" s="512"/>
      <c r="AR115" s="510"/>
      <c r="AS115" s="642"/>
      <c r="AT115" s="510"/>
      <c r="AU115" s="512"/>
      <c r="AV115" s="512"/>
      <c r="AW115" s="510"/>
      <c r="AX115" s="642"/>
      <c r="AZ115" s="369" t="e">
        <f t="shared" si="87"/>
        <v>#N/A</v>
      </c>
      <c r="BA115" s="698"/>
    </row>
    <row r="116" spans="2:53">
      <c r="B116" s="676"/>
      <c r="C116" s="348">
        <v>10</v>
      </c>
      <c r="D116" s="225"/>
      <c r="E116" s="181"/>
      <c r="F116" s="353"/>
      <c r="G116" s="354"/>
      <c r="H116" s="655"/>
      <c r="I116" s="363" t="str">
        <f t="shared" si="84"/>
        <v>-</v>
      </c>
      <c r="J116" s="363" t="str">
        <f t="shared" si="85"/>
        <v>-</v>
      </c>
      <c r="K116" s="199" t="str">
        <f t="shared" si="86"/>
        <v>-</v>
      </c>
      <c r="L116" s="657"/>
      <c r="M116" s="349" t="e">
        <f>RANK(K116, K$67:$K$81)</f>
        <v>#VALUE!</v>
      </c>
      <c r="N116" s="641"/>
      <c r="O116" s="641"/>
      <c r="P116" s="510"/>
      <c r="Q116" s="512"/>
      <c r="R116" s="512"/>
      <c r="S116" s="510"/>
      <c r="T116" s="642"/>
      <c r="U116" s="510"/>
      <c r="V116" s="512"/>
      <c r="W116" s="512"/>
      <c r="X116" s="510"/>
      <c r="Y116" s="642"/>
      <c r="Z116" s="510"/>
      <c r="AA116" s="512"/>
      <c r="AB116" s="512"/>
      <c r="AC116" s="510"/>
      <c r="AD116" s="642"/>
      <c r="AE116" s="510"/>
      <c r="AF116" s="512"/>
      <c r="AG116" s="512"/>
      <c r="AH116" s="510"/>
      <c r="AI116" s="642"/>
      <c r="AJ116" s="510"/>
      <c r="AK116" s="512"/>
      <c r="AL116" s="512"/>
      <c r="AM116" s="510"/>
      <c r="AN116" s="642"/>
      <c r="AO116" s="510"/>
      <c r="AP116" s="512"/>
      <c r="AQ116" s="512"/>
      <c r="AR116" s="510"/>
      <c r="AS116" s="642"/>
      <c r="AT116" s="510"/>
      <c r="AU116" s="512"/>
      <c r="AV116" s="512"/>
      <c r="AW116" s="510"/>
      <c r="AX116" s="642"/>
      <c r="AZ116" s="369" t="e">
        <f t="shared" si="87"/>
        <v>#N/A</v>
      </c>
      <c r="BA116" s="698"/>
    </row>
    <row r="117" spans="2:53">
      <c r="B117" s="676"/>
      <c r="C117" s="348">
        <v>11</v>
      </c>
      <c r="D117" s="225"/>
      <c r="E117" s="181"/>
      <c r="F117" s="353"/>
      <c r="G117" s="354"/>
      <c r="H117" s="655"/>
      <c r="I117" s="363" t="str">
        <f t="shared" si="84"/>
        <v>-</v>
      </c>
      <c r="J117" s="363" t="str">
        <f t="shared" si="85"/>
        <v>-</v>
      </c>
      <c r="K117" s="199" t="str">
        <f t="shared" si="86"/>
        <v>-</v>
      </c>
      <c r="L117" s="657"/>
      <c r="M117" s="349" t="e">
        <f>RANK(K117, K$67:$K$81)</f>
        <v>#VALUE!</v>
      </c>
      <c r="N117" s="641"/>
      <c r="O117" s="641"/>
      <c r="P117" s="510"/>
      <c r="Q117" s="512"/>
      <c r="R117" s="512"/>
      <c r="S117" s="510"/>
      <c r="T117" s="642"/>
      <c r="U117" s="510"/>
      <c r="V117" s="512"/>
      <c r="W117" s="512"/>
      <c r="X117" s="510"/>
      <c r="Y117" s="642"/>
      <c r="Z117" s="510"/>
      <c r="AA117" s="512"/>
      <c r="AB117" s="512"/>
      <c r="AC117" s="510"/>
      <c r="AD117" s="642"/>
      <c r="AE117" s="510"/>
      <c r="AF117" s="512"/>
      <c r="AG117" s="512"/>
      <c r="AH117" s="510"/>
      <c r="AI117" s="642"/>
      <c r="AJ117" s="510"/>
      <c r="AK117" s="512"/>
      <c r="AL117" s="512"/>
      <c r="AM117" s="510"/>
      <c r="AN117" s="642"/>
      <c r="AO117" s="510"/>
      <c r="AP117" s="512"/>
      <c r="AQ117" s="512"/>
      <c r="AR117" s="510"/>
      <c r="AS117" s="642"/>
      <c r="AT117" s="510"/>
      <c r="AU117" s="512"/>
      <c r="AV117" s="512"/>
      <c r="AW117" s="510"/>
      <c r="AX117" s="642"/>
      <c r="AZ117" s="369" t="e">
        <f t="shared" si="87"/>
        <v>#N/A</v>
      </c>
      <c r="BA117" s="698"/>
    </row>
    <row r="118" spans="2:53">
      <c r="B118" s="676"/>
      <c r="C118" s="348">
        <v>12</v>
      </c>
      <c r="D118" s="225"/>
      <c r="E118" s="181"/>
      <c r="F118" s="353"/>
      <c r="G118" s="354"/>
      <c r="H118" s="655"/>
      <c r="I118" s="363" t="str">
        <f t="shared" si="84"/>
        <v>-</v>
      </c>
      <c r="J118" s="363" t="str">
        <f t="shared" si="85"/>
        <v>-</v>
      </c>
      <c r="K118" s="199" t="str">
        <f t="shared" si="86"/>
        <v>-</v>
      </c>
      <c r="L118" s="657"/>
      <c r="M118" s="349" t="e">
        <f>RANK(K118, K$67:$K$81)</f>
        <v>#VALUE!</v>
      </c>
      <c r="N118" s="641"/>
      <c r="O118" s="641"/>
      <c r="P118" s="510"/>
      <c r="Q118" s="512"/>
      <c r="R118" s="512"/>
      <c r="S118" s="510"/>
      <c r="T118" s="642"/>
      <c r="U118" s="510"/>
      <c r="V118" s="512"/>
      <c r="W118" s="512"/>
      <c r="X118" s="510"/>
      <c r="Y118" s="642"/>
      <c r="Z118" s="510"/>
      <c r="AA118" s="512"/>
      <c r="AB118" s="512"/>
      <c r="AC118" s="510"/>
      <c r="AD118" s="642"/>
      <c r="AE118" s="510"/>
      <c r="AF118" s="512"/>
      <c r="AG118" s="512"/>
      <c r="AH118" s="510"/>
      <c r="AI118" s="642"/>
      <c r="AJ118" s="510"/>
      <c r="AK118" s="512"/>
      <c r="AL118" s="512"/>
      <c r="AM118" s="510"/>
      <c r="AN118" s="642"/>
      <c r="AO118" s="510"/>
      <c r="AP118" s="512"/>
      <c r="AQ118" s="512"/>
      <c r="AR118" s="510"/>
      <c r="AS118" s="642"/>
      <c r="AT118" s="510"/>
      <c r="AU118" s="512"/>
      <c r="AV118" s="512"/>
      <c r="AW118" s="510"/>
      <c r="AX118" s="642"/>
      <c r="AZ118" s="369" t="e">
        <f t="shared" si="87"/>
        <v>#N/A</v>
      </c>
      <c r="BA118" s="698"/>
    </row>
    <row r="119" spans="2:53">
      <c r="B119" s="676"/>
      <c r="C119" s="348">
        <v>13</v>
      </c>
      <c r="D119" s="225"/>
      <c r="E119" s="181"/>
      <c r="F119" s="353"/>
      <c r="G119" s="354"/>
      <c r="H119" s="655"/>
      <c r="I119" s="363" t="str">
        <f t="shared" si="84"/>
        <v>-</v>
      </c>
      <c r="J119" s="363" t="str">
        <f t="shared" si="85"/>
        <v>-</v>
      </c>
      <c r="K119" s="199" t="str">
        <f t="shared" si="86"/>
        <v>-</v>
      </c>
      <c r="L119" s="657"/>
      <c r="M119" s="349" t="e">
        <f>RANK(K119, K$67:$K$81)</f>
        <v>#VALUE!</v>
      </c>
      <c r="N119" s="641"/>
      <c r="O119" s="641"/>
      <c r="P119" s="510"/>
      <c r="Q119" s="512"/>
      <c r="R119" s="512"/>
      <c r="S119" s="510"/>
      <c r="T119" s="642"/>
      <c r="U119" s="510"/>
      <c r="V119" s="512"/>
      <c r="W119" s="512"/>
      <c r="X119" s="510"/>
      <c r="Y119" s="642"/>
      <c r="Z119" s="510"/>
      <c r="AA119" s="512"/>
      <c r="AB119" s="512"/>
      <c r="AC119" s="510"/>
      <c r="AD119" s="642"/>
      <c r="AE119" s="510"/>
      <c r="AF119" s="512"/>
      <c r="AG119" s="512"/>
      <c r="AH119" s="510"/>
      <c r="AI119" s="642"/>
      <c r="AJ119" s="510"/>
      <c r="AK119" s="512"/>
      <c r="AL119" s="512"/>
      <c r="AM119" s="510"/>
      <c r="AN119" s="642"/>
      <c r="AO119" s="510"/>
      <c r="AP119" s="512"/>
      <c r="AQ119" s="512"/>
      <c r="AR119" s="510"/>
      <c r="AS119" s="642"/>
      <c r="AT119" s="510"/>
      <c r="AU119" s="512"/>
      <c r="AV119" s="512"/>
      <c r="AW119" s="510"/>
      <c r="AX119" s="642"/>
      <c r="AZ119" s="369" t="e">
        <f t="shared" si="87"/>
        <v>#N/A</v>
      </c>
      <c r="BA119" s="698"/>
    </row>
    <row r="120" spans="2:53">
      <c r="B120" s="676"/>
      <c r="C120" s="348">
        <v>14</v>
      </c>
      <c r="D120" s="225"/>
      <c r="E120" s="181"/>
      <c r="F120" s="353"/>
      <c r="G120" s="354"/>
      <c r="H120" s="655"/>
      <c r="I120" s="363" t="str">
        <f t="shared" si="84"/>
        <v>-</v>
      </c>
      <c r="J120" s="363" t="str">
        <f t="shared" si="85"/>
        <v>-</v>
      </c>
      <c r="K120" s="199" t="str">
        <f t="shared" si="86"/>
        <v>-</v>
      </c>
      <c r="L120" s="657"/>
      <c r="M120" s="349" t="e">
        <f>RANK(K120, K$67:$K$81)</f>
        <v>#VALUE!</v>
      </c>
      <c r="N120" s="641"/>
      <c r="O120" s="641"/>
      <c r="P120" s="510"/>
      <c r="Q120" s="512"/>
      <c r="R120" s="512"/>
      <c r="S120" s="510"/>
      <c r="T120" s="642"/>
      <c r="U120" s="510"/>
      <c r="V120" s="512"/>
      <c r="W120" s="512"/>
      <c r="X120" s="510"/>
      <c r="Y120" s="642"/>
      <c r="Z120" s="510"/>
      <c r="AA120" s="512"/>
      <c r="AB120" s="512"/>
      <c r="AC120" s="510"/>
      <c r="AD120" s="642"/>
      <c r="AE120" s="510"/>
      <c r="AF120" s="512"/>
      <c r="AG120" s="512"/>
      <c r="AH120" s="510"/>
      <c r="AI120" s="642"/>
      <c r="AJ120" s="510"/>
      <c r="AK120" s="512"/>
      <c r="AL120" s="512"/>
      <c r="AM120" s="510"/>
      <c r="AN120" s="642"/>
      <c r="AO120" s="510"/>
      <c r="AP120" s="512"/>
      <c r="AQ120" s="512"/>
      <c r="AR120" s="510"/>
      <c r="AS120" s="642"/>
      <c r="AT120" s="510"/>
      <c r="AU120" s="512"/>
      <c r="AV120" s="512"/>
      <c r="AW120" s="510"/>
      <c r="AX120" s="642"/>
      <c r="AZ120" s="369" t="e">
        <f t="shared" si="87"/>
        <v>#N/A</v>
      </c>
      <c r="BA120" s="698"/>
    </row>
    <row r="121" spans="2:53">
      <c r="B121" s="676"/>
      <c r="C121" s="348">
        <v>15</v>
      </c>
      <c r="D121" s="225"/>
      <c r="E121" s="181"/>
      <c r="F121" s="353"/>
      <c r="G121" s="354"/>
      <c r="H121" s="712"/>
      <c r="I121" s="365"/>
      <c r="J121" s="365"/>
      <c r="K121" s="365"/>
      <c r="L121" s="658"/>
      <c r="M121" s="349" t="e">
        <f>RANK(K121, K$47:$K$61)</f>
        <v>#N/A</v>
      </c>
      <c r="N121" s="641"/>
      <c r="O121" s="641"/>
      <c r="P121" s="510"/>
      <c r="Q121" s="512"/>
      <c r="R121" s="512"/>
      <c r="S121" s="510"/>
      <c r="T121" s="642"/>
      <c r="U121" s="510"/>
      <c r="V121" s="512"/>
      <c r="W121" s="512"/>
      <c r="X121" s="510"/>
      <c r="Y121" s="642"/>
      <c r="Z121" s="510"/>
      <c r="AA121" s="512"/>
      <c r="AB121" s="512"/>
      <c r="AC121" s="510"/>
      <c r="AD121" s="642"/>
      <c r="AE121" s="510"/>
      <c r="AF121" s="512"/>
      <c r="AG121" s="512"/>
      <c r="AH121" s="510"/>
      <c r="AI121" s="642"/>
      <c r="AJ121" s="510"/>
      <c r="AK121" s="512"/>
      <c r="AL121" s="512"/>
      <c r="AM121" s="510"/>
      <c r="AN121" s="642"/>
      <c r="AO121" s="510"/>
      <c r="AP121" s="512"/>
      <c r="AQ121" s="512"/>
      <c r="AR121" s="510"/>
      <c r="AS121" s="642"/>
      <c r="AT121" s="510"/>
      <c r="AU121" s="512"/>
      <c r="AV121" s="512"/>
      <c r="AW121" s="510"/>
      <c r="AX121" s="642"/>
      <c r="AZ121" s="369" t="e">
        <f t="shared" si="87"/>
        <v>#N/A</v>
      </c>
      <c r="BA121" s="698"/>
    </row>
    <row r="123" spans="2:53" ht="15.75">
      <c r="B123" s="649" t="s">
        <v>472</v>
      </c>
      <c r="C123" s="650"/>
      <c r="D123" s="650"/>
      <c r="E123" s="650"/>
      <c r="F123" s="650"/>
      <c r="G123" s="650"/>
      <c r="H123" s="651"/>
      <c r="I123" s="307"/>
      <c r="J123" s="307"/>
      <c r="K123" s="307"/>
      <c r="L123" s="307"/>
      <c r="M123" s="308"/>
    </row>
    <row r="124" spans="2:53" ht="15.75">
      <c r="B124" s="652"/>
      <c r="C124" s="652"/>
      <c r="D124" s="652"/>
      <c r="E124" s="652"/>
      <c r="F124" s="652"/>
      <c r="G124" s="652"/>
      <c r="H124" s="652"/>
      <c r="I124" s="309"/>
      <c r="J124" s="309"/>
      <c r="K124" s="309"/>
      <c r="L124" s="309"/>
      <c r="M124" s="310"/>
    </row>
    <row r="125" spans="2:53">
      <c r="B125" s="641" t="s">
        <v>473</v>
      </c>
      <c r="C125" s="641" t="s">
        <v>474</v>
      </c>
      <c r="D125" s="641"/>
      <c r="E125" s="641" t="s">
        <v>475</v>
      </c>
      <c r="F125" s="641"/>
      <c r="G125" s="641"/>
      <c r="H125" s="673" t="s">
        <v>476</v>
      </c>
      <c r="I125" s="653" t="s">
        <v>477</v>
      </c>
      <c r="J125" s="653"/>
      <c r="K125" s="653"/>
      <c r="L125" s="706" t="s">
        <v>476</v>
      </c>
      <c r="M125" s="709" t="s">
        <v>478</v>
      </c>
    </row>
    <row r="126" spans="2:53">
      <c r="B126" s="641"/>
      <c r="C126" s="641"/>
      <c r="D126" s="641"/>
      <c r="E126" s="641" t="s">
        <v>479</v>
      </c>
      <c r="F126" s="641"/>
      <c r="G126" s="641"/>
      <c r="H126" s="674"/>
      <c r="I126" s="653" t="s">
        <v>479</v>
      </c>
      <c r="J126" s="653"/>
      <c r="K126" s="653"/>
      <c r="L126" s="707"/>
      <c r="M126" s="710"/>
    </row>
    <row r="127" spans="2:53">
      <c r="B127" s="641"/>
      <c r="C127" s="641"/>
      <c r="D127" s="641"/>
      <c r="E127" s="304" t="s">
        <v>480</v>
      </c>
      <c r="F127" s="304" t="s">
        <v>481</v>
      </c>
      <c r="G127" s="304" t="s">
        <v>482</v>
      </c>
      <c r="H127" s="675"/>
      <c r="I127" s="311" t="s">
        <v>480</v>
      </c>
      <c r="J127" s="311" t="s">
        <v>481</v>
      </c>
      <c r="K127" s="311" t="s">
        <v>482</v>
      </c>
      <c r="L127" s="708"/>
      <c r="M127" s="711"/>
    </row>
    <row r="128" spans="2:53">
      <c r="B128" s="641" t="s">
        <v>489</v>
      </c>
      <c r="C128" s="303">
        <v>1</v>
      </c>
      <c r="D128" s="225"/>
      <c r="E128" s="181"/>
      <c r="F128" s="303"/>
      <c r="G128" s="306"/>
      <c r="H128" s="700" t="e">
        <f>AVERAGE(G128:G142)</f>
        <v>#DIV/0!</v>
      </c>
      <c r="I128" s="198" t="e">
        <f t="shared" ref="I128:J132" si="88">AVERAGEIF($D$7:$D$121,$D128,I$7:I$121)</f>
        <v>#DIV/0!</v>
      </c>
      <c r="J128" s="198" t="e">
        <f t="shared" si="88"/>
        <v>#DIV/0!</v>
      </c>
      <c r="K128" s="198" t="e">
        <f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39">
      <c r="B129" s="647"/>
      <c r="C129" s="303">
        <v>2</v>
      </c>
      <c r="D129" s="225"/>
      <c r="E129" s="181"/>
      <c r="F129" s="303"/>
      <c r="G129" s="306"/>
      <c r="H129" s="701"/>
      <c r="I129" s="198" t="e">
        <f t="shared" si="88"/>
        <v>#DIV/0!</v>
      </c>
      <c r="J129" s="198" t="e">
        <f t="shared" si="88"/>
        <v>#DIV/0!</v>
      </c>
      <c r="K129" s="198" t="e">
        <f>AVERAGEIF($D$7:$D$121,$D129,K$7:K$121)</f>
        <v>#DIV/0!</v>
      </c>
      <c r="L129" s="704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7"/>
      <c r="C130" s="303">
        <v>3</v>
      </c>
      <c r="D130" s="225"/>
      <c r="E130" s="181"/>
      <c r="F130" s="303"/>
      <c r="G130" s="306"/>
      <c r="H130" s="701"/>
      <c r="I130" s="198" t="e">
        <f t="shared" si="88"/>
        <v>#DIV/0!</v>
      </c>
      <c r="J130" s="198" t="e">
        <f t="shared" si="88"/>
        <v>#DIV/0!</v>
      </c>
      <c r="K130" s="198" t="e">
        <f>AVERAGEIF($D$7:$D$121,$D130,K$7:K$121)</f>
        <v>#DIV/0!</v>
      </c>
      <c r="L130" s="704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7"/>
      <c r="C131" s="303">
        <v>4</v>
      </c>
      <c r="D131" s="225"/>
      <c r="E131" s="181"/>
      <c r="F131" s="303"/>
      <c r="G131" s="306"/>
      <c r="H131" s="701"/>
      <c r="I131" s="198" t="e">
        <f t="shared" si="88"/>
        <v>#DIV/0!</v>
      </c>
      <c r="J131" s="198" t="e">
        <f t="shared" si="88"/>
        <v>#DIV/0!</v>
      </c>
      <c r="K131" s="198" t="e">
        <f>AVERAGEIF($D$7:$D$121,$D131,K$7:K$121)</f>
        <v>#DIV/0!</v>
      </c>
      <c r="L131" s="704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7"/>
      <c r="C132" s="303">
        <v>5</v>
      </c>
      <c r="D132" s="225"/>
      <c r="E132" s="181"/>
      <c r="F132" s="303"/>
      <c r="G132" s="306"/>
      <c r="H132" s="701"/>
      <c r="I132" s="198" t="e">
        <f t="shared" si="88"/>
        <v>#DIV/0!</v>
      </c>
      <c r="J132" s="198" t="e">
        <f t="shared" si="88"/>
        <v>#DIV/0!</v>
      </c>
      <c r="K132" s="198" t="e">
        <f>AVERAGEIF($D$7:$D$121,$D132,K$7:K$121)</f>
        <v>#DIV/0!</v>
      </c>
      <c r="L132" s="704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7"/>
      <c r="C133" s="303">
        <v>6</v>
      </c>
      <c r="D133" s="312"/>
      <c r="E133" s="181"/>
      <c r="F133" s="303"/>
      <c r="G133" s="306"/>
      <c r="H133" s="701"/>
      <c r="I133" s="198"/>
      <c r="J133" s="198"/>
      <c r="K133" s="198"/>
      <c r="L133" s="704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7"/>
      <c r="C134" s="303">
        <v>7</v>
      </c>
      <c r="D134" s="225"/>
      <c r="E134" s="181"/>
      <c r="F134" s="303"/>
      <c r="G134" s="306"/>
      <c r="H134" s="701"/>
      <c r="I134" s="198"/>
      <c r="J134" s="198"/>
      <c r="K134" s="198"/>
      <c r="L134" s="704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7"/>
      <c r="C135" s="303">
        <v>8</v>
      </c>
      <c r="D135" s="225"/>
      <c r="E135" s="181"/>
      <c r="F135" s="303"/>
      <c r="G135" s="306"/>
      <c r="H135" s="701"/>
      <c r="I135" s="198"/>
      <c r="J135" s="198"/>
      <c r="K135" s="198"/>
      <c r="L135" s="704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7"/>
      <c r="C136" s="303">
        <v>9</v>
      </c>
      <c r="D136" s="225"/>
      <c r="E136" s="303"/>
      <c r="F136" s="303"/>
      <c r="G136" s="303"/>
      <c r="H136" s="701"/>
      <c r="I136" s="198"/>
      <c r="J136" s="198"/>
      <c r="K136" s="198"/>
      <c r="L136" s="704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7"/>
      <c r="C137" s="303">
        <v>10</v>
      </c>
      <c r="D137" s="225"/>
      <c r="E137" s="303"/>
      <c r="F137" s="303"/>
      <c r="G137" s="303"/>
      <c r="H137" s="701"/>
      <c r="I137" s="198"/>
      <c r="J137" s="198"/>
      <c r="K137" s="198"/>
      <c r="L137" s="704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7"/>
      <c r="C138" s="303">
        <v>11</v>
      </c>
      <c r="D138" s="225"/>
      <c r="E138" s="303"/>
      <c r="F138" s="303"/>
      <c r="G138" s="303"/>
      <c r="H138" s="701"/>
      <c r="I138" s="198"/>
      <c r="J138" s="198"/>
      <c r="K138" s="198"/>
      <c r="L138" s="704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7"/>
      <c r="C139" s="303">
        <v>12</v>
      </c>
      <c r="D139" s="225"/>
      <c r="E139" s="303"/>
      <c r="F139" s="303"/>
      <c r="G139" s="303"/>
      <c r="H139" s="701"/>
      <c r="I139" s="198"/>
      <c r="J139" s="198"/>
      <c r="K139" s="198"/>
      <c r="L139" s="704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7"/>
      <c r="C140" s="303">
        <v>13</v>
      </c>
      <c r="D140" s="225"/>
      <c r="E140" s="303"/>
      <c r="F140" s="303"/>
      <c r="G140" s="303"/>
      <c r="H140" s="701"/>
      <c r="I140" s="198"/>
      <c r="J140" s="198"/>
      <c r="K140" s="198"/>
      <c r="L140" s="704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7"/>
      <c r="C141" s="303">
        <v>14</v>
      </c>
      <c r="D141" s="225"/>
      <c r="E141" s="303"/>
      <c r="F141" s="303"/>
      <c r="G141" s="303"/>
      <c r="H141" s="701"/>
      <c r="I141" s="198"/>
      <c r="J141" s="198"/>
      <c r="K141" s="198"/>
      <c r="L141" s="704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7"/>
      <c r="C142" s="303">
        <v>15</v>
      </c>
      <c r="D142" s="225"/>
      <c r="E142" s="303"/>
      <c r="F142" s="303"/>
      <c r="G142" s="303"/>
      <c r="H142" s="702"/>
      <c r="I142" s="198"/>
      <c r="J142" s="198"/>
      <c r="K142" s="198"/>
      <c r="L142" s="705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5" zoomScale="40" zoomScaleNormal="40" workbookViewId="0">
      <pane xSplit="15" topLeftCell="P1" activePane="topRight" state="frozen"/>
      <selection activeCell="A8" sqref="A8:L28"/>
      <selection pane="topRight" activeCell="T67" activeCellId="6" sqref="AW67:AX81 AR67:AS81 AM67:AN81 AH67:AI81 AC67:AD81 X67:Y81 S67:T8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159.65105865772426</v>
      </c>
    </row>
    <row r="2" spans="1:53" ht="15.75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43" t="s">
        <v>156</v>
      </c>
      <c r="O2" s="643" t="s">
        <v>155</v>
      </c>
      <c r="P2" s="668">
        <v>46231</v>
      </c>
      <c r="Q2" s="647"/>
      <c r="R2" s="647"/>
      <c r="S2" s="647"/>
      <c r="T2" s="647"/>
      <c r="U2" s="665">
        <f>P2+1</f>
        <v>46232</v>
      </c>
      <c r="V2" s="666"/>
      <c r="W2" s="666"/>
      <c r="X2" s="666"/>
      <c r="Y2" s="667"/>
      <c r="Z2" s="665">
        <f>U2+1</f>
        <v>46233</v>
      </c>
      <c r="AA2" s="666"/>
      <c r="AB2" s="666"/>
      <c r="AC2" s="666"/>
      <c r="AD2" s="667"/>
      <c r="AE2" s="665">
        <f>Z2+1</f>
        <v>46234</v>
      </c>
      <c r="AF2" s="666"/>
      <c r="AG2" s="666"/>
      <c r="AH2" s="666"/>
      <c r="AI2" s="667"/>
      <c r="AJ2" s="665">
        <f>AE2+1</f>
        <v>46235</v>
      </c>
      <c r="AK2" s="666"/>
      <c r="AL2" s="666"/>
      <c r="AM2" s="666"/>
      <c r="AN2" s="667"/>
      <c r="AO2" s="665">
        <f>AJ2+1</f>
        <v>46236</v>
      </c>
      <c r="AP2" s="666"/>
      <c r="AQ2" s="666"/>
      <c r="AR2" s="666"/>
      <c r="AS2" s="667"/>
      <c r="AT2" s="665">
        <f>AO2+1</f>
        <v>46237</v>
      </c>
      <c r="AU2" s="666"/>
      <c r="AV2" s="666"/>
      <c r="AW2" s="666"/>
      <c r="AX2" s="667"/>
    </row>
    <row r="3" spans="1:53" ht="15.75">
      <c r="A3" s="81"/>
      <c r="B3" s="713"/>
      <c r="C3" s="713"/>
      <c r="D3" s="713"/>
      <c r="E3" s="713"/>
      <c r="F3" s="713"/>
      <c r="G3" s="713"/>
      <c r="H3" s="713"/>
      <c r="I3" s="285"/>
      <c r="J3" s="285"/>
      <c r="K3" s="285"/>
      <c r="L3" s="285"/>
      <c r="M3" s="197"/>
      <c r="N3" s="645"/>
      <c r="O3" s="645"/>
      <c r="P3" s="668" t="s">
        <v>158</v>
      </c>
      <c r="Q3" s="647"/>
      <c r="R3" s="647"/>
      <c r="S3" s="647"/>
      <c r="T3" s="647"/>
      <c r="U3" s="668" t="s">
        <v>114</v>
      </c>
      <c r="V3" s="647"/>
      <c r="W3" s="647"/>
      <c r="X3" s="647"/>
      <c r="Y3" s="647"/>
      <c r="Z3" s="668" t="s">
        <v>159</v>
      </c>
      <c r="AA3" s="647"/>
      <c r="AB3" s="647"/>
      <c r="AC3" s="647"/>
      <c r="AD3" s="647"/>
      <c r="AE3" s="668" t="s">
        <v>157</v>
      </c>
      <c r="AF3" s="647"/>
      <c r="AG3" s="647"/>
      <c r="AH3" s="647"/>
      <c r="AI3" s="647"/>
      <c r="AJ3" s="668" t="s">
        <v>160</v>
      </c>
      <c r="AK3" s="647"/>
      <c r="AL3" s="647"/>
      <c r="AM3" s="647"/>
      <c r="AN3" s="647"/>
      <c r="AO3" s="668" t="s">
        <v>115</v>
      </c>
      <c r="AP3" s="647"/>
      <c r="AQ3" s="647"/>
      <c r="AR3" s="647"/>
      <c r="AS3" s="647"/>
      <c r="AT3" s="668" t="s">
        <v>161</v>
      </c>
      <c r="AU3" s="647"/>
      <c r="AV3" s="647"/>
      <c r="AW3" s="647"/>
      <c r="AX3" s="647"/>
    </row>
    <row r="4" spans="1:53" ht="14.25">
      <c r="A4" s="81"/>
      <c r="B4" s="641" t="s">
        <v>531</v>
      </c>
      <c r="C4" s="641" t="s">
        <v>532</v>
      </c>
      <c r="D4" s="641"/>
      <c r="E4" s="641" t="s">
        <v>533</v>
      </c>
      <c r="F4" s="641"/>
      <c r="G4" s="641"/>
      <c r="H4" s="673" t="s">
        <v>534</v>
      </c>
      <c r="I4" s="641" t="s">
        <v>535</v>
      </c>
      <c r="J4" s="641"/>
      <c r="K4" s="641"/>
      <c r="L4" s="673" t="s">
        <v>366</v>
      </c>
      <c r="M4" s="643" t="s">
        <v>536</v>
      </c>
      <c r="N4" s="641"/>
      <c r="O4" s="641" t="s">
        <v>372</v>
      </c>
      <c r="P4" s="659" t="s">
        <v>368</v>
      </c>
      <c r="Q4" s="660"/>
      <c r="R4" s="660"/>
      <c r="S4" s="661"/>
      <c r="T4" s="641" t="s">
        <v>366</v>
      </c>
      <c r="U4" s="659" t="s">
        <v>368</v>
      </c>
      <c r="V4" s="660"/>
      <c r="W4" s="660"/>
      <c r="X4" s="661"/>
      <c r="Y4" s="641" t="s">
        <v>366</v>
      </c>
      <c r="Z4" s="659" t="s">
        <v>368</v>
      </c>
      <c r="AA4" s="660"/>
      <c r="AB4" s="660"/>
      <c r="AC4" s="661"/>
      <c r="AD4" s="641" t="s">
        <v>366</v>
      </c>
      <c r="AE4" s="659" t="s">
        <v>368</v>
      </c>
      <c r="AF4" s="660"/>
      <c r="AG4" s="660"/>
      <c r="AH4" s="661"/>
      <c r="AI4" s="641" t="s">
        <v>366</v>
      </c>
      <c r="AJ4" s="659" t="s">
        <v>368</v>
      </c>
      <c r="AK4" s="660"/>
      <c r="AL4" s="660"/>
      <c r="AM4" s="661"/>
      <c r="AN4" s="641" t="s">
        <v>366</v>
      </c>
      <c r="AO4" s="659" t="s">
        <v>368</v>
      </c>
      <c r="AP4" s="660"/>
      <c r="AQ4" s="660"/>
      <c r="AR4" s="661"/>
      <c r="AS4" s="641" t="s">
        <v>366</v>
      </c>
      <c r="AT4" s="659" t="s">
        <v>368</v>
      </c>
      <c r="AU4" s="660"/>
      <c r="AV4" s="660"/>
      <c r="AW4" s="661"/>
      <c r="AX4" s="641" t="s">
        <v>366</v>
      </c>
      <c r="BA4" s="641" t="s">
        <v>366</v>
      </c>
    </row>
    <row r="5" spans="1:53" ht="14.25">
      <c r="A5" s="81"/>
      <c r="B5" s="641"/>
      <c r="C5" s="641"/>
      <c r="D5" s="641"/>
      <c r="E5" s="641" t="s">
        <v>538</v>
      </c>
      <c r="F5" s="641"/>
      <c r="G5" s="641"/>
      <c r="H5" s="674"/>
      <c r="I5" s="641" t="s">
        <v>538</v>
      </c>
      <c r="J5" s="641"/>
      <c r="K5" s="641"/>
      <c r="L5" s="674"/>
      <c r="M5" s="644"/>
      <c r="N5" s="641"/>
      <c r="O5" s="641"/>
      <c r="P5" s="659" t="s">
        <v>374</v>
      </c>
      <c r="Q5" s="660"/>
      <c r="R5" s="660"/>
      <c r="S5" s="661"/>
      <c r="T5" s="641"/>
      <c r="U5" s="659" t="s">
        <v>374</v>
      </c>
      <c r="V5" s="660"/>
      <c r="W5" s="660"/>
      <c r="X5" s="661"/>
      <c r="Y5" s="641"/>
      <c r="Z5" s="659" t="s">
        <v>374</v>
      </c>
      <c r="AA5" s="660"/>
      <c r="AB5" s="660"/>
      <c r="AC5" s="661"/>
      <c r="AD5" s="641"/>
      <c r="AE5" s="659" t="s">
        <v>374</v>
      </c>
      <c r="AF5" s="660"/>
      <c r="AG5" s="660"/>
      <c r="AH5" s="661"/>
      <c r="AI5" s="641"/>
      <c r="AJ5" s="659" t="s">
        <v>374</v>
      </c>
      <c r="AK5" s="660"/>
      <c r="AL5" s="660"/>
      <c r="AM5" s="661"/>
      <c r="AN5" s="641"/>
      <c r="AO5" s="659" t="s">
        <v>374</v>
      </c>
      <c r="AP5" s="660"/>
      <c r="AQ5" s="660"/>
      <c r="AR5" s="661"/>
      <c r="AS5" s="641"/>
      <c r="AT5" s="659" t="s">
        <v>374</v>
      </c>
      <c r="AU5" s="660"/>
      <c r="AV5" s="660"/>
      <c r="AW5" s="661"/>
      <c r="AX5" s="641"/>
      <c r="BA5" s="641"/>
    </row>
    <row r="6" spans="1:53" ht="14.25">
      <c r="A6" s="79"/>
      <c r="B6" s="641"/>
      <c r="C6" s="641"/>
      <c r="D6" s="641"/>
      <c r="E6" s="533" t="s">
        <v>539</v>
      </c>
      <c r="F6" s="533" t="s">
        <v>540</v>
      </c>
      <c r="G6" s="533" t="s">
        <v>541</v>
      </c>
      <c r="H6" s="675"/>
      <c r="I6" s="533" t="s">
        <v>539</v>
      </c>
      <c r="J6" s="533" t="s">
        <v>540</v>
      </c>
      <c r="K6" s="533" t="s">
        <v>541</v>
      </c>
      <c r="L6" s="675"/>
      <c r="M6" s="645"/>
      <c r="N6" s="641"/>
      <c r="O6" s="641"/>
      <c r="P6" s="533" t="s">
        <v>375</v>
      </c>
      <c r="Q6" s="533" t="s">
        <v>376</v>
      </c>
      <c r="R6" s="533" t="s">
        <v>377</v>
      </c>
      <c r="S6" s="533" t="s">
        <v>367</v>
      </c>
      <c r="T6" s="641"/>
      <c r="U6" s="533" t="s">
        <v>375</v>
      </c>
      <c r="V6" s="533" t="s">
        <v>376</v>
      </c>
      <c r="W6" s="533" t="s">
        <v>377</v>
      </c>
      <c r="X6" s="533" t="s">
        <v>367</v>
      </c>
      <c r="Y6" s="641"/>
      <c r="Z6" s="533" t="s">
        <v>375</v>
      </c>
      <c r="AA6" s="533" t="s">
        <v>376</v>
      </c>
      <c r="AB6" s="533" t="s">
        <v>377</v>
      </c>
      <c r="AC6" s="533" t="s">
        <v>367</v>
      </c>
      <c r="AD6" s="641"/>
      <c r="AE6" s="533" t="s">
        <v>375</v>
      </c>
      <c r="AF6" s="533" t="s">
        <v>376</v>
      </c>
      <c r="AG6" s="533" t="s">
        <v>377</v>
      </c>
      <c r="AH6" s="533" t="s">
        <v>367</v>
      </c>
      <c r="AI6" s="641"/>
      <c r="AJ6" s="533" t="s">
        <v>375</v>
      </c>
      <c r="AK6" s="533" t="s">
        <v>376</v>
      </c>
      <c r="AL6" s="533" t="s">
        <v>377</v>
      </c>
      <c r="AM6" s="533" t="s">
        <v>367</v>
      </c>
      <c r="AN6" s="641"/>
      <c r="AO6" s="533" t="s">
        <v>375</v>
      </c>
      <c r="AP6" s="533" t="s">
        <v>376</v>
      </c>
      <c r="AQ6" s="533" t="s">
        <v>377</v>
      </c>
      <c r="AR6" s="533" t="s">
        <v>367</v>
      </c>
      <c r="AS6" s="641"/>
      <c r="AT6" s="533" t="s">
        <v>375</v>
      </c>
      <c r="AU6" s="533" t="s">
        <v>376</v>
      </c>
      <c r="AV6" s="533" t="s">
        <v>377</v>
      </c>
      <c r="AW6" s="533" t="s">
        <v>367</v>
      </c>
      <c r="AX6" s="641"/>
      <c r="AZ6" s="367" t="s">
        <v>367</v>
      </c>
      <c r="BA6" s="641"/>
    </row>
    <row r="7" spans="1:53" ht="14.25">
      <c r="A7" s="81"/>
      <c r="B7" s="641" t="s">
        <v>136</v>
      </c>
      <c r="C7" s="537">
        <v>1</v>
      </c>
      <c r="D7" s="225" t="s">
        <v>354</v>
      </c>
      <c r="E7" s="535">
        <v>7</v>
      </c>
      <c r="F7" s="534">
        <v>1500</v>
      </c>
      <c r="G7" s="536">
        <v>214.28571428571428</v>
      </c>
      <c r="H7" s="654">
        <f>AVERAGE(G7:G21)</f>
        <v>174.62263655462186</v>
      </c>
      <c r="I7" s="538">
        <f t="shared" ref="I7:I20" si="0">IFERROR(AVERAGE(P7,U7,Z7,AE7,AJ7,AO7,AT7),"-")</f>
        <v>7</v>
      </c>
      <c r="J7" s="538">
        <f t="shared" ref="J7:J20" si="1">IFERROR(AVERAGE(Q7,V7,AA7,AF7,AK7,AP7,AU7),"-")</f>
        <v>1430.6098480472731</v>
      </c>
      <c r="K7" s="199">
        <f t="shared" ref="K7:K20" si="2">IFERROR(AVERAGE(R7,W7,AB7,AG7,AL7,AQ7,AV7),"-")</f>
        <v>204.3728354353247</v>
      </c>
      <c r="L7" s="656">
        <f>IFERROR(AVERAGE(K7:K21),"-")</f>
        <v>154.54910911110284</v>
      </c>
      <c r="M7" s="513">
        <f>RANK(K7, K$7:$K$21)</f>
        <v>3</v>
      </c>
      <c r="N7" s="641"/>
      <c r="O7" s="641"/>
      <c r="P7" s="537">
        <v>7</v>
      </c>
      <c r="Q7" s="513">
        <v>1432.2222222222219</v>
      </c>
      <c r="R7" s="513">
        <v>204.60317460317455</v>
      </c>
      <c r="S7" s="534">
        <f>RANK(R7, R$7:R$21)</f>
        <v>3</v>
      </c>
      <c r="T7" s="642">
        <f t="shared" ref="T7" si="3">AVERAGE(R7:R21)</f>
        <v>153.79224815283277</v>
      </c>
      <c r="U7" s="537">
        <v>7</v>
      </c>
      <c r="V7" s="513">
        <v>1415.7692307692314</v>
      </c>
      <c r="W7" s="513">
        <v>202.25274725274735</v>
      </c>
      <c r="X7" s="562">
        <f>RANK(W7, W$7:W$21)</f>
        <v>3</v>
      </c>
      <c r="Y7" s="642">
        <f t="shared" ref="Y7" si="4">AVERAGE(W7:W21)</f>
        <v>155.32024403950359</v>
      </c>
      <c r="Z7" s="537">
        <v>7</v>
      </c>
      <c r="AA7" s="513">
        <v>1425.8823529411773</v>
      </c>
      <c r="AB7" s="513">
        <v>203.69747899159674</v>
      </c>
      <c r="AC7" s="562">
        <f>RANK(AB7, AB$7:AB$21)</f>
        <v>3</v>
      </c>
      <c r="AD7" s="642">
        <f t="shared" ref="AD7" si="5">AVERAGE(AB7:AB21)</f>
        <v>156.16032647674703</v>
      </c>
      <c r="AE7" s="537">
        <v>7</v>
      </c>
      <c r="AF7" s="513">
        <v>1439.9999999999991</v>
      </c>
      <c r="AG7" s="513">
        <v>205.71428571428558</v>
      </c>
      <c r="AH7" s="562">
        <f>RANK(AG7, AG$7:AG$21)</f>
        <v>3</v>
      </c>
      <c r="AI7" s="642">
        <f t="shared" ref="AI7" si="6">AVERAGE(AG7:AG21)</f>
        <v>153.81588567680041</v>
      </c>
      <c r="AJ7" s="537">
        <v>7</v>
      </c>
      <c r="AK7" s="513">
        <v>1438.4210526315796</v>
      </c>
      <c r="AL7" s="513">
        <v>205.48872180451139</v>
      </c>
      <c r="AM7" s="562">
        <f>RANK(AL7, AL$7:AL$21)</f>
        <v>2</v>
      </c>
      <c r="AN7" s="642">
        <f t="shared" ref="AN7" si="7">AVERAGE(AL7:AL21)</f>
        <v>153.36948686684622</v>
      </c>
      <c r="AO7" s="537">
        <v>7</v>
      </c>
      <c r="AP7" s="513">
        <v>1427.0588235294124</v>
      </c>
      <c r="AQ7" s="513">
        <v>203.86554621848748</v>
      </c>
      <c r="AR7" s="562">
        <f>RANK(AQ7, AQ$7:AQ$21)</f>
        <v>3</v>
      </c>
      <c r="AS7" s="642">
        <f t="shared" ref="AS7" si="8">AVERAGE(AQ7:AQ21)</f>
        <v>153.34732885322475</v>
      </c>
      <c r="AT7" s="534">
        <v>7</v>
      </c>
      <c r="AU7" s="535">
        <v>1434.9152542372883</v>
      </c>
      <c r="AV7" s="535">
        <v>204.98789346246977</v>
      </c>
      <c r="AW7" s="562">
        <f>RANK(AV7, AV$7:AV$21)</f>
        <v>4</v>
      </c>
      <c r="AX7" s="642">
        <f t="shared" ref="AX7" si="9">AVERAGE(AV7:AV21)</f>
        <v>156.03824371176495</v>
      </c>
      <c r="AZ7" s="369" t="e">
        <f t="shared" ref="AZ7:AZ21" si="10">RANK(AY7, AY$7:AY$21)</f>
        <v>#N/A</v>
      </c>
      <c r="BA7" s="698" t="e">
        <f t="shared" ref="BA7" si="11">AVERAGE(AY7:AY21)</f>
        <v>#DIV/0!</v>
      </c>
    </row>
    <row r="8" spans="1:53" ht="15" customHeight="1">
      <c r="A8" s="81"/>
      <c r="B8" s="676"/>
      <c r="C8" s="537">
        <v>2</v>
      </c>
      <c r="D8" s="225" t="s">
        <v>355</v>
      </c>
      <c r="E8" s="535">
        <v>7</v>
      </c>
      <c r="F8" s="534">
        <v>1500</v>
      </c>
      <c r="G8" s="536">
        <v>214.28571428571428</v>
      </c>
      <c r="H8" s="655"/>
      <c r="I8" s="538">
        <f t="shared" si="0"/>
        <v>7</v>
      </c>
      <c r="J8" s="538">
        <f t="shared" si="1"/>
        <v>1453.0236480120423</v>
      </c>
      <c r="K8" s="199">
        <f t="shared" si="2"/>
        <v>207.57480685886321</v>
      </c>
      <c r="L8" s="657"/>
      <c r="M8" s="513">
        <f>RANK(K8, K$7:$K$21)</f>
        <v>1</v>
      </c>
      <c r="N8" s="641"/>
      <c r="O8" s="641"/>
      <c r="P8" s="537">
        <v>7</v>
      </c>
      <c r="Q8" s="513">
        <v>1457.0833333333337</v>
      </c>
      <c r="R8" s="513">
        <v>208.15476190476195</v>
      </c>
      <c r="S8" s="562">
        <f t="shared" ref="S8:S21" si="12">RANK(R8, R$7:R$21)</f>
        <v>1</v>
      </c>
      <c r="T8" s="642"/>
      <c r="U8" s="537">
        <v>7</v>
      </c>
      <c r="V8" s="513">
        <v>1438.7323943661975</v>
      </c>
      <c r="W8" s="513">
        <v>205.53319919517108</v>
      </c>
      <c r="X8" s="562">
        <f t="shared" ref="X8:X21" si="13">RANK(W8, W$7:W$21)</f>
        <v>2</v>
      </c>
      <c r="Y8" s="642"/>
      <c r="Z8" s="537">
        <v>7</v>
      </c>
      <c r="AA8" s="513">
        <v>1458.695652173913</v>
      </c>
      <c r="AB8" s="513">
        <v>208.38509316770185</v>
      </c>
      <c r="AC8" s="562">
        <f t="shared" ref="AC8:AC21" si="14">RANK(AB8, AB$7:AB$21)</f>
        <v>2</v>
      </c>
      <c r="AD8" s="642"/>
      <c r="AE8" s="537">
        <v>7</v>
      </c>
      <c r="AF8" s="513">
        <v>1456.4102564102566</v>
      </c>
      <c r="AG8" s="513">
        <v>208.05860805860809</v>
      </c>
      <c r="AH8" s="562">
        <f t="shared" ref="AH8:AH21" si="15">RANK(AG8, AG$7:AG$21)</f>
        <v>1</v>
      </c>
      <c r="AI8" s="642"/>
      <c r="AJ8" s="537">
        <v>7</v>
      </c>
      <c r="AK8" s="513">
        <v>1429.6551724137933</v>
      </c>
      <c r="AL8" s="513">
        <v>204.23645320197048</v>
      </c>
      <c r="AM8" s="562">
        <f t="shared" ref="AM8:AM21" si="16">RANK(AL8, AL$7:AL$21)</f>
        <v>3</v>
      </c>
      <c r="AN8" s="642"/>
      <c r="AO8" s="537">
        <v>7</v>
      </c>
      <c r="AP8" s="513">
        <v>1468.3969465648854</v>
      </c>
      <c r="AQ8" s="513">
        <v>209.7709923664122</v>
      </c>
      <c r="AR8" s="562">
        <f t="shared" ref="AR8:AR21" si="17">RANK(AQ8, AQ$7:AQ$21)</f>
        <v>1</v>
      </c>
      <c r="AS8" s="642"/>
      <c r="AT8" s="534">
        <v>7</v>
      </c>
      <c r="AU8" s="535">
        <v>1462.1917808219175</v>
      </c>
      <c r="AV8" s="535">
        <v>208.88454011741678</v>
      </c>
      <c r="AW8" s="562">
        <f t="shared" ref="AW8:AW21" si="18">RANK(AV8, AV$7:AV$21)</f>
        <v>1</v>
      </c>
      <c r="AX8" s="642"/>
      <c r="AZ8" s="369" t="e">
        <f t="shared" si="10"/>
        <v>#N/A</v>
      </c>
      <c r="BA8" s="698"/>
    </row>
    <row r="9" spans="1:53" ht="14.25">
      <c r="A9" s="81"/>
      <c r="B9" s="676"/>
      <c r="C9" s="537">
        <v>3</v>
      </c>
      <c r="D9" s="225" t="s">
        <v>356</v>
      </c>
      <c r="E9" s="535">
        <v>17</v>
      </c>
      <c r="F9" s="534">
        <v>1500</v>
      </c>
      <c r="G9" s="536">
        <v>88.235294117647058</v>
      </c>
      <c r="H9" s="655"/>
      <c r="I9" s="538">
        <f t="shared" si="0"/>
        <v>17</v>
      </c>
      <c r="J9" s="538">
        <f t="shared" si="1"/>
        <v>1393.2632663044953</v>
      </c>
      <c r="K9" s="199">
        <f t="shared" si="2"/>
        <v>81.956662723793855</v>
      </c>
      <c r="L9" s="657"/>
      <c r="M9" s="513">
        <f>RANK(K9, K$7:$K$21)</f>
        <v>9</v>
      </c>
      <c r="N9" s="641"/>
      <c r="O9" s="641"/>
      <c r="P9" s="537">
        <v>17</v>
      </c>
      <c r="Q9" s="513">
        <v>1406.3414634146336</v>
      </c>
      <c r="R9" s="513">
        <v>82.725968436154915</v>
      </c>
      <c r="S9" s="562">
        <f t="shared" si="12"/>
        <v>9</v>
      </c>
      <c r="T9" s="642"/>
      <c r="U9" s="537">
        <v>17</v>
      </c>
      <c r="V9" s="513">
        <v>1390.6849315068496</v>
      </c>
      <c r="W9" s="513">
        <v>81.804995970991158</v>
      </c>
      <c r="X9" s="562">
        <f t="shared" si="13"/>
        <v>9</v>
      </c>
      <c r="Y9" s="642"/>
      <c r="Z9" s="537">
        <v>17</v>
      </c>
      <c r="AA9" s="513">
        <v>1419.166666666667</v>
      </c>
      <c r="AB9" s="513">
        <v>83.480392156862763</v>
      </c>
      <c r="AC9" s="562">
        <f t="shared" si="14"/>
        <v>9</v>
      </c>
      <c r="AD9" s="642"/>
      <c r="AE9" s="537">
        <v>17</v>
      </c>
      <c r="AF9" s="513">
        <v>1366.6666666666663</v>
      </c>
      <c r="AG9" s="513">
        <v>80.392156862745082</v>
      </c>
      <c r="AH9" s="562">
        <f t="shared" si="15"/>
        <v>9</v>
      </c>
      <c r="AI9" s="642"/>
      <c r="AJ9" s="537">
        <v>17</v>
      </c>
      <c r="AK9" s="513">
        <v>1383.8644067796613</v>
      </c>
      <c r="AL9" s="513">
        <v>81.403788634097722</v>
      </c>
      <c r="AM9" s="562">
        <f t="shared" si="16"/>
        <v>9</v>
      </c>
      <c r="AN9" s="642"/>
      <c r="AO9" s="537">
        <v>17</v>
      </c>
      <c r="AP9" s="513">
        <v>1376.695652173913</v>
      </c>
      <c r="AQ9" s="513">
        <v>80.98209718670077</v>
      </c>
      <c r="AR9" s="562">
        <f t="shared" si="17"/>
        <v>9</v>
      </c>
      <c r="AS9" s="642"/>
      <c r="AT9" s="534">
        <v>17</v>
      </c>
      <c r="AU9" s="535">
        <v>1409.4230769230771</v>
      </c>
      <c r="AV9" s="535">
        <v>82.907239819004531</v>
      </c>
      <c r="AW9" s="562">
        <f t="shared" si="18"/>
        <v>9</v>
      </c>
      <c r="AX9" s="642"/>
      <c r="AZ9" s="369" t="e">
        <f t="shared" si="10"/>
        <v>#N/A</v>
      </c>
      <c r="BA9" s="698"/>
    </row>
    <row r="10" spans="1:53" ht="14.25">
      <c r="A10" s="81"/>
      <c r="B10" s="676"/>
      <c r="C10" s="537">
        <v>4</v>
      </c>
      <c r="D10" s="225" t="s">
        <v>388</v>
      </c>
      <c r="E10" s="535">
        <v>7</v>
      </c>
      <c r="F10" s="534">
        <v>1500</v>
      </c>
      <c r="G10" s="536">
        <v>214.28571428571428</v>
      </c>
      <c r="H10" s="655"/>
      <c r="I10" s="538">
        <f t="shared" si="0"/>
        <v>7</v>
      </c>
      <c r="J10" s="538">
        <f t="shared" si="1"/>
        <v>1450.1498926030977</v>
      </c>
      <c r="K10" s="199">
        <f t="shared" si="2"/>
        <v>207.16427037187108</v>
      </c>
      <c r="L10" s="657"/>
      <c r="M10" s="513">
        <f>RANK(K10, K$7:$K$21)</f>
        <v>2</v>
      </c>
      <c r="N10" s="641"/>
      <c r="O10" s="641"/>
      <c r="P10" s="537">
        <v>7</v>
      </c>
      <c r="Q10" s="513">
        <v>1441.0843373493976</v>
      </c>
      <c r="R10" s="513">
        <v>205.86919104991395</v>
      </c>
      <c r="S10" s="562">
        <f t="shared" si="12"/>
        <v>2</v>
      </c>
      <c r="T10" s="642"/>
      <c r="U10" s="537">
        <v>7</v>
      </c>
      <c r="V10" s="513">
        <v>1454.9019607843134</v>
      </c>
      <c r="W10" s="513">
        <v>207.8431372549019</v>
      </c>
      <c r="X10" s="562">
        <f t="shared" si="13"/>
        <v>1</v>
      </c>
      <c r="Y10" s="642"/>
      <c r="Z10" s="537">
        <v>7</v>
      </c>
      <c r="AA10" s="513">
        <v>1466.8531468531473</v>
      </c>
      <c r="AB10" s="513">
        <v>209.55044955044963</v>
      </c>
      <c r="AC10" s="562">
        <f t="shared" si="14"/>
        <v>1</v>
      </c>
      <c r="AD10" s="642"/>
      <c r="AE10" s="537">
        <v>7</v>
      </c>
      <c r="AF10" s="513">
        <v>1451.5966386554626</v>
      </c>
      <c r="AG10" s="513">
        <v>207.3709483793518</v>
      </c>
      <c r="AH10" s="562">
        <f t="shared" si="15"/>
        <v>2</v>
      </c>
      <c r="AI10" s="642"/>
      <c r="AJ10" s="537">
        <v>7</v>
      </c>
      <c r="AK10" s="513">
        <v>1445.3658536585367</v>
      </c>
      <c r="AL10" s="513">
        <v>206.48083623693381</v>
      </c>
      <c r="AM10" s="562">
        <f t="shared" si="16"/>
        <v>1</v>
      </c>
      <c r="AN10" s="642"/>
      <c r="AO10" s="537">
        <v>7</v>
      </c>
      <c r="AP10" s="513">
        <v>1454.3046357615892</v>
      </c>
      <c r="AQ10" s="513">
        <v>207.75780510879846</v>
      </c>
      <c r="AR10" s="562">
        <f t="shared" si="17"/>
        <v>2</v>
      </c>
      <c r="AS10" s="642"/>
      <c r="AT10" s="534">
        <v>7</v>
      </c>
      <c r="AU10" s="535">
        <v>1436.9426751592359</v>
      </c>
      <c r="AV10" s="535">
        <v>205.27752502274799</v>
      </c>
      <c r="AW10" s="562">
        <f t="shared" si="18"/>
        <v>2</v>
      </c>
      <c r="AX10" s="642"/>
      <c r="AZ10" s="369" t="e">
        <f t="shared" si="10"/>
        <v>#N/A</v>
      </c>
      <c r="BA10" s="698"/>
    </row>
    <row r="11" spans="1:53" ht="14.25">
      <c r="A11" s="81"/>
      <c r="B11" s="676"/>
      <c r="C11" s="537">
        <v>5</v>
      </c>
      <c r="D11" s="225" t="s">
        <v>577</v>
      </c>
      <c r="E11" s="535">
        <v>12</v>
      </c>
      <c r="F11" s="534">
        <v>2000</v>
      </c>
      <c r="G11" s="536">
        <v>166.66666666666666</v>
      </c>
      <c r="H11" s="655"/>
      <c r="I11" s="538">
        <f t="shared" si="0"/>
        <v>12</v>
      </c>
      <c r="J11" s="538">
        <f t="shared" si="1"/>
        <v>1551.4005873460899</v>
      </c>
      <c r="K11" s="199">
        <f t="shared" si="2"/>
        <v>129.2833822788408</v>
      </c>
      <c r="L11" s="657"/>
      <c r="M11" s="513">
        <f>RANK(K11, K$7:$K$21)</f>
        <v>6</v>
      </c>
      <c r="N11" s="641"/>
      <c r="O11" s="641"/>
      <c r="P11" s="537">
        <v>12</v>
      </c>
      <c r="Q11" s="513">
        <v>1564.4628099173558</v>
      </c>
      <c r="R11" s="513">
        <v>130.37190082644631</v>
      </c>
      <c r="S11" s="562">
        <f t="shared" si="12"/>
        <v>6</v>
      </c>
      <c r="T11" s="642"/>
      <c r="U11" s="537">
        <v>12</v>
      </c>
      <c r="V11" s="513">
        <v>1552.5619834710747</v>
      </c>
      <c r="W11" s="513">
        <v>129.38016528925621</v>
      </c>
      <c r="X11" s="562">
        <f t="shared" si="13"/>
        <v>7</v>
      </c>
      <c r="Y11" s="642"/>
      <c r="Z11" s="537">
        <v>12</v>
      </c>
      <c r="AA11" s="513">
        <v>1541.9469026548672</v>
      </c>
      <c r="AB11" s="513">
        <v>128.49557522123894</v>
      </c>
      <c r="AC11" s="562">
        <f t="shared" si="14"/>
        <v>6</v>
      </c>
      <c r="AD11" s="642"/>
      <c r="AE11" s="537">
        <v>12</v>
      </c>
      <c r="AF11" s="513">
        <v>1541.3793103448288</v>
      </c>
      <c r="AG11" s="513">
        <v>128.44827586206907</v>
      </c>
      <c r="AH11" s="562">
        <f t="shared" si="15"/>
        <v>6</v>
      </c>
      <c r="AI11" s="642"/>
      <c r="AJ11" s="537">
        <v>12</v>
      </c>
      <c r="AK11" s="513">
        <v>1546.0465116279083</v>
      </c>
      <c r="AL11" s="513">
        <v>128.8372093023257</v>
      </c>
      <c r="AM11" s="562">
        <f t="shared" si="16"/>
        <v>6</v>
      </c>
      <c r="AN11" s="642"/>
      <c r="AO11" s="537">
        <v>12</v>
      </c>
      <c r="AP11" s="513">
        <v>1545.7142857142853</v>
      </c>
      <c r="AQ11" s="513">
        <v>128.80952380952377</v>
      </c>
      <c r="AR11" s="562">
        <f t="shared" si="17"/>
        <v>6</v>
      </c>
      <c r="AS11" s="642"/>
      <c r="AT11" s="534">
        <v>12</v>
      </c>
      <c r="AU11" s="535">
        <v>1567.6923076923078</v>
      </c>
      <c r="AV11" s="535">
        <v>130.64102564102566</v>
      </c>
      <c r="AW11" s="562">
        <f t="shared" si="18"/>
        <v>6</v>
      </c>
      <c r="AX11" s="642"/>
      <c r="AZ11" s="369" t="e">
        <f t="shared" si="10"/>
        <v>#N/A</v>
      </c>
      <c r="BA11" s="698"/>
    </row>
    <row r="12" spans="1:53" ht="14.25">
      <c r="A12" s="81"/>
      <c r="B12" s="676"/>
      <c r="C12" s="537">
        <v>6</v>
      </c>
      <c r="D12" s="225" t="s">
        <v>562</v>
      </c>
      <c r="E12" s="535">
        <v>7</v>
      </c>
      <c r="F12" s="534">
        <v>1500</v>
      </c>
      <c r="G12" s="536">
        <v>214.28571428571428</v>
      </c>
      <c r="H12" s="655"/>
      <c r="I12" s="538">
        <f t="shared" si="0"/>
        <v>7</v>
      </c>
      <c r="J12" s="538">
        <f t="shared" si="1"/>
        <v>1423.9784606386088</v>
      </c>
      <c r="K12" s="199">
        <f t="shared" si="2"/>
        <v>203.42549437694407</v>
      </c>
      <c r="L12" s="657"/>
      <c r="M12" s="513">
        <f>RANK(K12, K$7:$K$21)</f>
        <v>4</v>
      </c>
      <c r="N12" s="641"/>
      <c r="O12" s="641"/>
      <c r="P12" s="537">
        <v>7</v>
      </c>
      <c r="Q12" s="513">
        <v>1421.8421052631584</v>
      </c>
      <c r="R12" s="513">
        <v>203.12030075187977</v>
      </c>
      <c r="S12" s="562">
        <f t="shared" si="12"/>
        <v>4</v>
      </c>
      <c r="T12" s="642"/>
      <c r="U12" s="537">
        <v>7</v>
      </c>
      <c r="V12" s="513">
        <v>1407.0731707317068</v>
      </c>
      <c r="W12" s="513">
        <v>201.0104529616724</v>
      </c>
      <c r="X12" s="562">
        <f t="shared" si="13"/>
        <v>5</v>
      </c>
      <c r="Y12" s="642"/>
      <c r="Z12" s="537">
        <v>7</v>
      </c>
      <c r="AA12" s="513">
        <v>1414.814814814815</v>
      </c>
      <c r="AB12" s="513">
        <v>202.11640211640216</v>
      </c>
      <c r="AC12" s="562">
        <f t="shared" si="14"/>
        <v>5</v>
      </c>
      <c r="AD12" s="642"/>
      <c r="AE12" s="537">
        <v>7</v>
      </c>
      <c r="AF12" s="513">
        <v>1437.0967741935478</v>
      </c>
      <c r="AG12" s="513">
        <v>205.29953917050685</v>
      </c>
      <c r="AH12" s="562">
        <f t="shared" si="15"/>
        <v>4</v>
      </c>
      <c r="AI12" s="642"/>
      <c r="AJ12" s="537">
        <v>7</v>
      </c>
      <c r="AK12" s="513">
        <v>1427.5862068965507</v>
      </c>
      <c r="AL12" s="513">
        <v>203.94088669950725</v>
      </c>
      <c r="AM12" s="562">
        <f t="shared" si="16"/>
        <v>4</v>
      </c>
      <c r="AN12" s="642"/>
      <c r="AO12" s="537">
        <v>7</v>
      </c>
      <c r="AP12" s="513">
        <v>1423.8805970149253</v>
      </c>
      <c r="AQ12" s="513">
        <v>203.41151385927506</v>
      </c>
      <c r="AR12" s="562">
        <f t="shared" si="17"/>
        <v>4</v>
      </c>
      <c r="AS12" s="642"/>
      <c r="AT12" s="534">
        <v>7</v>
      </c>
      <c r="AU12" s="535">
        <v>1435.5555555555559</v>
      </c>
      <c r="AV12" s="535">
        <v>205.07936507936512</v>
      </c>
      <c r="AW12" s="562">
        <f t="shared" si="18"/>
        <v>3</v>
      </c>
      <c r="AX12" s="642"/>
      <c r="AZ12" s="369" t="e">
        <f t="shared" si="10"/>
        <v>#N/A</v>
      </c>
      <c r="BA12" s="698"/>
    </row>
    <row r="13" spans="1:53" ht="14.25">
      <c r="A13" s="81"/>
      <c r="B13" s="676"/>
      <c r="C13" s="537">
        <v>7</v>
      </c>
      <c r="D13" s="225" t="s">
        <v>605</v>
      </c>
      <c r="E13" s="535">
        <v>12</v>
      </c>
      <c r="F13" s="534">
        <v>2000</v>
      </c>
      <c r="G13" s="536">
        <v>166.66666666666666</v>
      </c>
      <c r="H13" s="655"/>
      <c r="I13" s="538">
        <f t="shared" si="0"/>
        <v>12</v>
      </c>
      <c r="J13" s="538">
        <f t="shared" si="1"/>
        <v>1482.9601053027764</v>
      </c>
      <c r="K13" s="199">
        <f t="shared" si="2"/>
        <v>123.58000877523138</v>
      </c>
      <c r="L13" s="657"/>
      <c r="M13" s="513">
        <f>RANK(K13, K$7:$K$21)</f>
        <v>7</v>
      </c>
      <c r="N13" s="641"/>
      <c r="O13" s="641"/>
      <c r="P13" s="537">
        <v>12</v>
      </c>
      <c r="Q13" s="513">
        <v>1475.5970149253731</v>
      </c>
      <c r="R13" s="513">
        <v>122.96641791044776</v>
      </c>
      <c r="S13" s="562">
        <f t="shared" si="12"/>
        <v>7</v>
      </c>
      <c r="T13" s="642"/>
      <c r="U13" s="537">
        <v>12</v>
      </c>
      <c r="V13" s="513">
        <v>1478.3999999999999</v>
      </c>
      <c r="W13" s="513">
        <v>123.19999999999999</v>
      </c>
      <c r="X13" s="562">
        <f t="shared" si="13"/>
        <v>8</v>
      </c>
      <c r="Y13" s="642"/>
      <c r="Z13" s="537">
        <v>12</v>
      </c>
      <c r="AA13" s="513">
        <v>1506.1428571428569</v>
      </c>
      <c r="AB13" s="513">
        <v>125.51190476190474</v>
      </c>
      <c r="AC13" s="562">
        <f t="shared" si="14"/>
        <v>8</v>
      </c>
      <c r="AD13" s="642"/>
      <c r="AE13" s="537">
        <v>12</v>
      </c>
      <c r="AF13" s="513">
        <v>1487.5324675324675</v>
      </c>
      <c r="AG13" s="513">
        <v>123.96103896103897</v>
      </c>
      <c r="AH13" s="562">
        <f t="shared" si="15"/>
        <v>7</v>
      </c>
      <c r="AI13" s="642"/>
      <c r="AJ13" s="537">
        <v>12</v>
      </c>
      <c r="AK13" s="513">
        <v>1478.25</v>
      </c>
      <c r="AL13" s="513">
        <v>123.1875</v>
      </c>
      <c r="AM13" s="562">
        <f t="shared" si="16"/>
        <v>7</v>
      </c>
      <c r="AN13" s="642"/>
      <c r="AO13" s="537">
        <v>12</v>
      </c>
      <c r="AP13" s="513">
        <v>1472.2641509433959</v>
      </c>
      <c r="AQ13" s="513">
        <v>122.68867924528298</v>
      </c>
      <c r="AR13" s="562">
        <f t="shared" si="17"/>
        <v>7</v>
      </c>
      <c r="AS13" s="642"/>
      <c r="AT13" s="534">
        <v>12</v>
      </c>
      <c r="AU13" s="535">
        <v>1482.5342465753426</v>
      </c>
      <c r="AV13" s="535">
        <v>123.54452054794523</v>
      </c>
      <c r="AW13" s="562">
        <f t="shared" si="18"/>
        <v>8</v>
      </c>
      <c r="AX13" s="642"/>
      <c r="AZ13" s="369" t="e">
        <f t="shared" si="10"/>
        <v>#N/A</v>
      </c>
      <c r="BA13" s="698"/>
    </row>
    <row r="14" spans="1:53" ht="14.25">
      <c r="A14" s="81"/>
      <c r="B14" s="676"/>
      <c r="C14" s="537">
        <v>8</v>
      </c>
      <c r="D14" s="225" t="s">
        <v>606</v>
      </c>
      <c r="E14" s="535">
        <v>12</v>
      </c>
      <c r="F14" s="534">
        <v>2000</v>
      </c>
      <c r="G14" s="536">
        <v>166.66666666666666</v>
      </c>
      <c r="H14" s="655"/>
      <c r="I14" s="538">
        <f t="shared" si="0"/>
        <v>12</v>
      </c>
      <c r="J14" s="538">
        <f t="shared" si="1"/>
        <v>1410.9659319105219</v>
      </c>
      <c r="K14" s="199">
        <f t="shared" si="2"/>
        <v>117.58049432587681</v>
      </c>
      <c r="L14" s="657"/>
      <c r="M14" s="513">
        <f>RANK(K14, K$7:$K$21)</f>
        <v>8</v>
      </c>
      <c r="N14" s="641"/>
      <c r="O14" s="641"/>
      <c r="P14" s="537">
        <v>12</v>
      </c>
      <c r="Q14" s="513">
        <v>1290.0000000000007</v>
      </c>
      <c r="R14" s="513">
        <v>107.50000000000006</v>
      </c>
      <c r="S14" s="562">
        <f t="shared" si="12"/>
        <v>8</v>
      </c>
      <c r="T14" s="642"/>
      <c r="U14" s="537">
        <v>12</v>
      </c>
      <c r="V14" s="513">
        <v>1567.5000000000005</v>
      </c>
      <c r="W14" s="513">
        <v>130.62500000000003</v>
      </c>
      <c r="X14" s="562">
        <f t="shared" si="13"/>
        <v>6</v>
      </c>
      <c r="Y14" s="642"/>
      <c r="Z14" s="537">
        <v>12</v>
      </c>
      <c r="AA14" s="513">
        <v>1540.0000000000005</v>
      </c>
      <c r="AB14" s="513">
        <v>128.33333333333337</v>
      </c>
      <c r="AC14" s="562">
        <f t="shared" si="14"/>
        <v>7</v>
      </c>
      <c r="AD14" s="642"/>
      <c r="AE14" s="537">
        <v>12</v>
      </c>
      <c r="AF14" s="513">
        <v>1335.7894736842095</v>
      </c>
      <c r="AG14" s="513">
        <v>111.31578947368412</v>
      </c>
      <c r="AH14" s="562">
        <f t="shared" si="15"/>
        <v>8</v>
      </c>
      <c r="AI14" s="642"/>
      <c r="AJ14" s="537">
        <v>12</v>
      </c>
      <c r="AK14" s="513">
        <v>1304.0000000000014</v>
      </c>
      <c r="AL14" s="513">
        <v>108.66666666666679</v>
      </c>
      <c r="AM14" s="562">
        <f t="shared" si="16"/>
        <v>8</v>
      </c>
      <c r="AN14" s="642"/>
      <c r="AO14" s="537">
        <v>12</v>
      </c>
      <c r="AP14" s="513">
        <v>1333.0434782608695</v>
      </c>
      <c r="AQ14" s="513">
        <v>111.08695652173913</v>
      </c>
      <c r="AR14" s="562">
        <f t="shared" si="17"/>
        <v>8</v>
      </c>
      <c r="AS14" s="642"/>
      <c r="AT14" s="534">
        <v>12</v>
      </c>
      <c r="AU14" s="535">
        <v>1506.4285714285702</v>
      </c>
      <c r="AV14" s="535">
        <v>125.53571428571418</v>
      </c>
      <c r="AW14" s="562">
        <f t="shared" si="18"/>
        <v>7</v>
      </c>
      <c r="AX14" s="642"/>
      <c r="AZ14" s="369" t="e">
        <f t="shared" si="10"/>
        <v>#N/A</v>
      </c>
      <c r="BA14" s="698"/>
    </row>
    <row r="15" spans="1:53" ht="14.25">
      <c r="A15" s="81"/>
      <c r="B15" s="676"/>
      <c r="C15" s="537">
        <v>9</v>
      </c>
      <c r="D15" s="225" t="s">
        <v>618</v>
      </c>
      <c r="E15" s="535">
        <v>16</v>
      </c>
      <c r="F15" s="534">
        <v>1385</v>
      </c>
      <c r="G15" s="536">
        <v>86.5625</v>
      </c>
      <c r="H15" s="655"/>
      <c r="I15" s="538">
        <f t="shared" si="0"/>
        <v>16</v>
      </c>
      <c r="J15" s="538">
        <f t="shared" si="1"/>
        <v>1106.824377512831</v>
      </c>
      <c r="K15" s="199">
        <f t="shared" si="2"/>
        <v>69.176523594551938</v>
      </c>
      <c r="L15" s="657"/>
      <c r="M15" s="513">
        <f>RANK(K15, K$7:$K$21)</f>
        <v>10</v>
      </c>
      <c r="N15" s="641"/>
      <c r="O15" s="641"/>
      <c r="P15" s="537">
        <v>16</v>
      </c>
      <c r="Q15" s="513">
        <v>1132.9523809523807</v>
      </c>
      <c r="R15" s="513">
        <v>70.809523809523796</v>
      </c>
      <c r="S15" s="562">
        <f t="shared" si="12"/>
        <v>10</v>
      </c>
      <c r="T15" s="642"/>
      <c r="U15" s="537">
        <v>16</v>
      </c>
      <c r="V15" s="513">
        <v>1126.3636363636365</v>
      </c>
      <c r="W15" s="513">
        <v>70.39772727272728</v>
      </c>
      <c r="X15" s="562">
        <f t="shared" si="13"/>
        <v>10</v>
      </c>
      <c r="Y15" s="642"/>
      <c r="Z15" s="537">
        <v>16</v>
      </c>
      <c r="AA15" s="513">
        <v>1115.379310344827</v>
      </c>
      <c r="AB15" s="513">
        <v>69.711206896551687</v>
      </c>
      <c r="AC15" s="562">
        <f t="shared" si="14"/>
        <v>10</v>
      </c>
      <c r="AD15" s="642"/>
      <c r="AE15" s="537">
        <v>16</v>
      </c>
      <c r="AF15" s="513">
        <v>1092.9999999999995</v>
      </c>
      <c r="AG15" s="513">
        <v>68.312499999999972</v>
      </c>
      <c r="AH15" s="562">
        <f t="shared" si="15"/>
        <v>10</v>
      </c>
      <c r="AI15" s="642"/>
      <c r="AJ15" s="537">
        <v>16</v>
      </c>
      <c r="AK15" s="513">
        <v>1090.9999999999995</v>
      </c>
      <c r="AL15" s="513">
        <v>68.187499999999972</v>
      </c>
      <c r="AM15" s="562">
        <f t="shared" si="16"/>
        <v>10</v>
      </c>
      <c r="AN15" s="642"/>
      <c r="AO15" s="537">
        <v>16</v>
      </c>
      <c r="AP15" s="513">
        <v>1087.3170731707312</v>
      </c>
      <c r="AQ15" s="513">
        <v>67.957317073170699</v>
      </c>
      <c r="AR15" s="562">
        <f t="shared" si="17"/>
        <v>10</v>
      </c>
      <c r="AS15" s="642"/>
      <c r="AT15" s="534">
        <v>16</v>
      </c>
      <c r="AU15" s="535">
        <v>1101.7582417582416</v>
      </c>
      <c r="AV15" s="535">
        <v>68.859890109890102</v>
      </c>
      <c r="AW15" s="562">
        <f t="shared" si="18"/>
        <v>10</v>
      </c>
      <c r="AX15" s="642"/>
      <c r="AZ15" s="369" t="e">
        <f t="shared" si="10"/>
        <v>#N/A</v>
      </c>
      <c r="BA15" s="698"/>
    </row>
    <row r="16" spans="1:53" ht="14.25">
      <c r="A16" s="81"/>
      <c r="B16" s="676"/>
      <c r="C16" s="537">
        <v>10</v>
      </c>
      <c r="D16" s="225" t="s">
        <v>622</v>
      </c>
      <c r="E16" s="535">
        <v>7</v>
      </c>
      <c r="F16" s="534">
        <v>1500</v>
      </c>
      <c r="G16" s="536">
        <v>214.28571428571428</v>
      </c>
      <c r="H16" s="655"/>
      <c r="I16" s="538">
        <f t="shared" si="0"/>
        <v>7</v>
      </c>
      <c r="J16" s="538">
        <f t="shared" si="1"/>
        <v>1409.6362865881126</v>
      </c>
      <c r="K16" s="199">
        <f t="shared" si="2"/>
        <v>201.37661236973034</v>
      </c>
      <c r="L16" s="657"/>
      <c r="M16" s="513">
        <f>RANK(K16, K$7:$K$21)</f>
        <v>5</v>
      </c>
      <c r="N16" s="641"/>
      <c r="O16" s="641"/>
      <c r="P16" s="537">
        <v>7</v>
      </c>
      <c r="Q16" s="513">
        <v>1412.608695652174</v>
      </c>
      <c r="R16" s="513">
        <v>201.80124223602485</v>
      </c>
      <c r="S16" s="562">
        <f t="shared" si="12"/>
        <v>5</v>
      </c>
      <c r="T16" s="642"/>
      <c r="U16" s="537">
        <v>7</v>
      </c>
      <c r="V16" s="513">
        <v>1408.0851063829789</v>
      </c>
      <c r="W16" s="513">
        <v>201.15501519756842</v>
      </c>
      <c r="X16" s="562">
        <f t="shared" si="13"/>
        <v>4</v>
      </c>
      <c r="Y16" s="642"/>
      <c r="Z16" s="537">
        <v>7</v>
      </c>
      <c r="AA16" s="513">
        <v>1416.2500000000005</v>
      </c>
      <c r="AB16" s="513">
        <v>202.32142857142864</v>
      </c>
      <c r="AC16" s="562">
        <f t="shared" si="14"/>
        <v>4</v>
      </c>
      <c r="AD16" s="642"/>
      <c r="AE16" s="537">
        <v>7</v>
      </c>
      <c r="AF16" s="513">
        <v>1395.0000000000016</v>
      </c>
      <c r="AG16" s="513">
        <v>199.2857142857145</v>
      </c>
      <c r="AH16" s="562">
        <f t="shared" si="15"/>
        <v>5</v>
      </c>
      <c r="AI16" s="642"/>
      <c r="AJ16" s="537">
        <v>7</v>
      </c>
      <c r="AK16" s="513">
        <v>1422.857142857144</v>
      </c>
      <c r="AL16" s="513">
        <v>203.26530612244915</v>
      </c>
      <c r="AM16" s="562">
        <f t="shared" si="16"/>
        <v>5</v>
      </c>
      <c r="AN16" s="642"/>
      <c r="AO16" s="537">
        <v>7</v>
      </c>
      <c r="AP16" s="513">
        <v>1379.9999999999989</v>
      </c>
      <c r="AQ16" s="513">
        <v>197.14285714285697</v>
      </c>
      <c r="AR16" s="562">
        <f t="shared" si="17"/>
        <v>5</v>
      </c>
      <c r="AS16" s="642"/>
      <c r="AT16" s="534">
        <v>7</v>
      </c>
      <c r="AU16" s="535">
        <v>1432.6530612244901</v>
      </c>
      <c r="AV16" s="535">
        <v>204.66472303207001</v>
      </c>
      <c r="AW16" s="562">
        <f t="shared" si="18"/>
        <v>5</v>
      </c>
      <c r="AX16" s="642"/>
      <c r="AZ16" s="369" t="e">
        <f t="shared" si="10"/>
        <v>#N/A</v>
      </c>
      <c r="BA16" s="698"/>
    </row>
    <row r="17" spans="2:53">
      <c r="B17" s="676"/>
      <c r="C17" s="537">
        <v>11</v>
      </c>
      <c r="D17" s="225"/>
      <c r="E17" s="535"/>
      <c r="F17" s="534"/>
      <c r="G17" s="536"/>
      <c r="H17" s="655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57"/>
      <c r="M17" s="513" t="e">
        <f>RANK(K17, K$7:$K$21)</f>
        <v>#VALUE!</v>
      </c>
      <c r="N17" s="641"/>
      <c r="O17" s="641"/>
      <c r="P17" s="537" t="s">
        <v>585</v>
      </c>
      <c r="Q17" s="513" t="s">
        <v>585</v>
      </c>
      <c r="R17" s="513" t="s">
        <v>585</v>
      </c>
      <c r="S17" s="562" t="e">
        <f t="shared" si="12"/>
        <v>#VALUE!</v>
      </c>
      <c r="T17" s="642"/>
      <c r="U17" s="537" t="s">
        <v>585</v>
      </c>
      <c r="V17" s="513" t="s">
        <v>585</v>
      </c>
      <c r="W17" s="513" t="s">
        <v>585</v>
      </c>
      <c r="X17" s="562" t="e">
        <f t="shared" si="13"/>
        <v>#VALUE!</v>
      </c>
      <c r="Y17" s="642"/>
      <c r="Z17" s="537" t="s">
        <v>585</v>
      </c>
      <c r="AA17" s="513" t="s">
        <v>585</v>
      </c>
      <c r="AB17" s="513" t="s">
        <v>585</v>
      </c>
      <c r="AC17" s="562" t="e">
        <f t="shared" si="14"/>
        <v>#VALUE!</v>
      </c>
      <c r="AD17" s="642"/>
      <c r="AE17" s="537" t="s">
        <v>585</v>
      </c>
      <c r="AF17" s="513" t="s">
        <v>585</v>
      </c>
      <c r="AG17" s="513" t="s">
        <v>585</v>
      </c>
      <c r="AH17" s="562" t="e">
        <f t="shared" si="15"/>
        <v>#VALUE!</v>
      </c>
      <c r="AI17" s="642"/>
      <c r="AJ17" s="537" t="s">
        <v>585</v>
      </c>
      <c r="AK17" s="513" t="s">
        <v>585</v>
      </c>
      <c r="AL17" s="513" t="s">
        <v>585</v>
      </c>
      <c r="AM17" s="562" t="e">
        <f t="shared" si="16"/>
        <v>#VALUE!</v>
      </c>
      <c r="AN17" s="642"/>
      <c r="AO17" s="537" t="s">
        <v>585</v>
      </c>
      <c r="AP17" s="513" t="s">
        <v>585</v>
      </c>
      <c r="AQ17" s="513" t="s">
        <v>585</v>
      </c>
      <c r="AR17" s="562" t="e">
        <f t="shared" si="17"/>
        <v>#VALUE!</v>
      </c>
      <c r="AS17" s="642"/>
      <c r="AT17" s="534" t="s">
        <v>585</v>
      </c>
      <c r="AU17" s="535" t="s">
        <v>585</v>
      </c>
      <c r="AV17" s="535" t="s">
        <v>585</v>
      </c>
      <c r="AW17" s="562" t="e">
        <f t="shared" si="18"/>
        <v>#VALUE!</v>
      </c>
      <c r="AX17" s="642"/>
      <c r="AZ17" s="369" t="e">
        <f t="shared" si="10"/>
        <v>#N/A</v>
      </c>
      <c r="BA17" s="698"/>
    </row>
    <row r="18" spans="2:53">
      <c r="B18" s="676"/>
      <c r="C18" s="537">
        <v>12</v>
      </c>
      <c r="D18" s="225"/>
      <c r="E18" s="535"/>
      <c r="F18" s="534"/>
      <c r="G18" s="536"/>
      <c r="H18" s="655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57"/>
      <c r="M18" s="513" t="e">
        <f>RANK(K18, K$7:$K$21)</f>
        <v>#VALUE!</v>
      </c>
      <c r="N18" s="641"/>
      <c r="O18" s="641"/>
      <c r="P18" s="537" t="s">
        <v>585</v>
      </c>
      <c r="Q18" s="513" t="s">
        <v>585</v>
      </c>
      <c r="R18" s="513" t="s">
        <v>585</v>
      </c>
      <c r="S18" s="562" t="e">
        <f t="shared" si="12"/>
        <v>#VALUE!</v>
      </c>
      <c r="T18" s="642"/>
      <c r="U18" s="537" t="s">
        <v>585</v>
      </c>
      <c r="V18" s="513" t="s">
        <v>585</v>
      </c>
      <c r="W18" s="513" t="s">
        <v>585</v>
      </c>
      <c r="X18" s="562" t="e">
        <f t="shared" si="13"/>
        <v>#VALUE!</v>
      </c>
      <c r="Y18" s="642"/>
      <c r="Z18" s="537" t="s">
        <v>585</v>
      </c>
      <c r="AA18" s="513" t="s">
        <v>585</v>
      </c>
      <c r="AB18" s="513" t="s">
        <v>585</v>
      </c>
      <c r="AC18" s="562" t="e">
        <f t="shared" si="14"/>
        <v>#VALUE!</v>
      </c>
      <c r="AD18" s="642"/>
      <c r="AE18" s="537" t="s">
        <v>585</v>
      </c>
      <c r="AF18" s="513" t="s">
        <v>585</v>
      </c>
      <c r="AG18" s="513" t="s">
        <v>585</v>
      </c>
      <c r="AH18" s="562" t="e">
        <f t="shared" si="15"/>
        <v>#VALUE!</v>
      </c>
      <c r="AI18" s="642"/>
      <c r="AJ18" s="537" t="s">
        <v>585</v>
      </c>
      <c r="AK18" s="513" t="s">
        <v>585</v>
      </c>
      <c r="AL18" s="513" t="s">
        <v>585</v>
      </c>
      <c r="AM18" s="562" t="e">
        <f t="shared" si="16"/>
        <v>#VALUE!</v>
      </c>
      <c r="AN18" s="642"/>
      <c r="AO18" s="537" t="s">
        <v>585</v>
      </c>
      <c r="AP18" s="513" t="s">
        <v>585</v>
      </c>
      <c r="AQ18" s="513" t="s">
        <v>585</v>
      </c>
      <c r="AR18" s="562" t="e">
        <f t="shared" si="17"/>
        <v>#VALUE!</v>
      </c>
      <c r="AS18" s="642"/>
      <c r="AT18" s="534" t="s">
        <v>585</v>
      </c>
      <c r="AU18" s="535" t="s">
        <v>585</v>
      </c>
      <c r="AV18" s="535" t="s">
        <v>585</v>
      </c>
      <c r="AW18" s="562" t="e">
        <f t="shared" si="18"/>
        <v>#VALUE!</v>
      </c>
      <c r="AX18" s="642"/>
      <c r="AZ18" s="369" t="e">
        <f t="shared" si="10"/>
        <v>#N/A</v>
      </c>
      <c r="BA18" s="698"/>
    </row>
    <row r="19" spans="2:53">
      <c r="B19" s="676"/>
      <c r="C19" s="537">
        <v>13</v>
      </c>
      <c r="D19" s="225"/>
      <c r="E19" s="535"/>
      <c r="F19" s="534"/>
      <c r="G19" s="536"/>
      <c r="H19" s="655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57"/>
      <c r="M19" s="513" t="e">
        <f>RANK(K19, K$7:$K$21)</f>
        <v>#VALUE!</v>
      </c>
      <c r="N19" s="641"/>
      <c r="O19" s="641"/>
      <c r="P19" s="537" t="s">
        <v>585</v>
      </c>
      <c r="Q19" s="513" t="s">
        <v>585</v>
      </c>
      <c r="R19" s="513" t="s">
        <v>585</v>
      </c>
      <c r="S19" s="562" t="e">
        <f t="shared" si="12"/>
        <v>#VALUE!</v>
      </c>
      <c r="T19" s="642"/>
      <c r="U19" s="537" t="s">
        <v>585</v>
      </c>
      <c r="V19" s="513" t="s">
        <v>585</v>
      </c>
      <c r="W19" s="513" t="s">
        <v>585</v>
      </c>
      <c r="X19" s="562" t="e">
        <f t="shared" si="13"/>
        <v>#VALUE!</v>
      </c>
      <c r="Y19" s="642"/>
      <c r="Z19" s="537" t="s">
        <v>585</v>
      </c>
      <c r="AA19" s="513" t="s">
        <v>585</v>
      </c>
      <c r="AB19" s="513" t="s">
        <v>585</v>
      </c>
      <c r="AC19" s="562" t="e">
        <f t="shared" si="14"/>
        <v>#VALUE!</v>
      </c>
      <c r="AD19" s="642"/>
      <c r="AE19" s="537" t="s">
        <v>585</v>
      </c>
      <c r="AF19" s="513" t="s">
        <v>585</v>
      </c>
      <c r="AG19" s="513" t="s">
        <v>585</v>
      </c>
      <c r="AH19" s="562" t="e">
        <f t="shared" si="15"/>
        <v>#VALUE!</v>
      </c>
      <c r="AI19" s="642"/>
      <c r="AJ19" s="537" t="s">
        <v>585</v>
      </c>
      <c r="AK19" s="513" t="s">
        <v>585</v>
      </c>
      <c r="AL19" s="513" t="s">
        <v>585</v>
      </c>
      <c r="AM19" s="562" t="e">
        <f t="shared" si="16"/>
        <v>#VALUE!</v>
      </c>
      <c r="AN19" s="642"/>
      <c r="AO19" s="537" t="s">
        <v>585</v>
      </c>
      <c r="AP19" s="513" t="s">
        <v>585</v>
      </c>
      <c r="AQ19" s="513" t="s">
        <v>585</v>
      </c>
      <c r="AR19" s="562" t="e">
        <f t="shared" si="17"/>
        <v>#VALUE!</v>
      </c>
      <c r="AS19" s="642"/>
      <c r="AT19" s="534" t="s">
        <v>585</v>
      </c>
      <c r="AU19" s="535" t="s">
        <v>585</v>
      </c>
      <c r="AV19" s="535" t="s">
        <v>585</v>
      </c>
      <c r="AW19" s="562" t="e">
        <f t="shared" si="18"/>
        <v>#VALUE!</v>
      </c>
      <c r="AX19" s="642"/>
      <c r="AZ19" s="369" t="e">
        <f t="shared" si="10"/>
        <v>#N/A</v>
      </c>
      <c r="BA19" s="698"/>
    </row>
    <row r="20" spans="2:53">
      <c r="B20" s="676"/>
      <c r="C20" s="537">
        <v>14</v>
      </c>
      <c r="D20" s="225"/>
      <c r="E20" s="535"/>
      <c r="F20" s="534"/>
      <c r="G20" s="536"/>
      <c r="H20" s="655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7"/>
      <c r="M20" s="513" t="e">
        <f>RANK(K20, K$7:$K$21)</f>
        <v>#VALUE!</v>
      </c>
      <c r="N20" s="641"/>
      <c r="O20" s="641"/>
      <c r="P20" s="537" t="s">
        <v>585</v>
      </c>
      <c r="Q20" s="513" t="s">
        <v>585</v>
      </c>
      <c r="R20" s="513" t="s">
        <v>585</v>
      </c>
      <c r="S20" s="562" t="e">
        <f t="shared" si="12"/>
        <v>#VALUE!</v>
      </c>
      <c r="T20" s="642"/>
      <c r="U20" s="537" t="s">
        <v>585</v>
      </c>
      <c r="V20" s="513" t="s">
        <v>585</v>
      </c>
      <c r="W20" s="513" t="s">
        <v>585</v>
      </c>
      <c r="X20" s="562" t="e">
        <f t="shared" si="13"/>
        <v>#VALUE!</v>
      </c>
      <c r="Y20" s="642"/>
      <c r="Z20" s="537" t="s">
        <v>585</v>
      </c>
      <c r="AA20" s="513" t="s">
        <v>585</v>
      </c>
      <c r="AB20" s="513" t="s">
        <v>585</v>
      </c>
      <c r="AC20" s="562" t="e">
        <f t="shared" si="14"/>
        <v>#VALUE!</v>
      </c>
      <c r="AD20" s="642"/>
      <c r="AE20" s="537" t="s">
        <v>585</v>
      </c>
      <c r="AF20" s="513" t="s">
        <v>585</v>
      </c>
      <c r="AG20" s="513" t="s">
        <v>585</v>
      </c>
      <c r="AH20" s="562" t="e">
        <f t="shared" si="15"/>
        <v>#VALUE!</v>
      </c>
      <c r="AI20" s="642"/>
      <c r="AJ20" s="537" t="s">
        <v>585</v>
      </c>
      <c r="AK20" s="513" t="s">
        <v>585</v>
      </c>
      <c r="AL20" s="513" t="s">
        <v>585</v>
      </c>
      <c r="AM20" s="562" t="e">
        <f t="shared" si="16"/>
        <v>#VALUE!</v>
      </c>
      <c r="AN20" s="642"/>
      <c r="AO20" s="537" t="s">
        <v>585</v>
      </c>
      <c r="AP20" s="513" t="s">
        <v>585</v>
      </c>
      <c r="AQ20" s="513" t="s">
        <v>585</v>
      </c>
      <c r="AR20" s="562" t="e">
        <f t="shared" si="17"/>
        <v>#VALUE!</v>
      </c>
      <c r="AS20" s="642"/>
      <c r="AT20" s="534" t="s">
        <v>585</v>
      </c>
      <c r="AU20" s="535" t="s">
        <v>585</v>
      </c>
      <c r="AV20" s="535" t="s">
        <v>585</v>
      </c>
      <c r="AW20" s="562" t="e">
        <f t="shared" si="18"/>
        <v>#VALUE!</v>
      </c>
      <c r="AX20" s="642"/>
      <c r="AZ20" s="369" t="e">
        <f t="shared" si="10"/>
        <v>#N/A</v>
      </c>
      <c r="BA20" s="698"/>
    </row>
    <row r="21" spans="2:53">
      <c r="B21" s="676"/>
      <c r="C21" s="537">
        <v>15</v>
      </c>
      <c r="D21" s="225"/>
      <c r="E21" s="535"/>
      <c r="F21" s="534"/>
      <c r="G21" s="536"/>
      <c r="H21" s="712"/>
      <c r="I21" s="537"/>
      <c r="J21" s="537"/>
      <c r="K21" s="537"/>
      <c r="L21" s="658"/>
      <c r="M21" s="513" t="e">
        <f>RANK(K21, K$7:$K$21)</f>
        <v>#N/A</v>
      </c>
      <c r="N21" s="641"/>
      <c r="O21" s="641"/>
      <c r="P21" s="537" t="s">
        <v>585</v>
      </c>
      <c r="Q21" s="513" t="s">
        <v>585</v>
      </c>
      <c r="R21" s="513" t="s">
        <v>585</v>
      </c>
      <c r="S21" s="562" t="e">
        <f t="shared" si="12"/>
        <v>#VALUE!</v>
      </c>
      <c r="T21" s="642"/>
      <c r="U21" s="537" t="s">
        <v>585</v>
      </c>
      <c r="V21" s="513" t="s">
        <v>585</v>
      </c>
      <c r="W21" s="513" t="s">
        <v>585</v>
      </c>
      <c r="X21" s="562" t="e">
        <f t="shared" si="13"/>
        <v>#VALUE!</v>
      </c>
      <c r="Y21" s="642"/>
      <c r="Z21" s="537" t="s">
        <v>585</v>
      </c>
      <c r="AA21" s="513" t="s">
        <v>585</v>
      </c>
      <c r="AB21" s="513" t="s">
        <v>585</v>
      </c>
      <c r="AC21" s="562" t="e">
        <f t="shared" si="14"/>
        <v>#VALUE!</v>
      </c>
      <c r="AD21" s="642"/>
      <c r="AE21" s="537" t="s">
        <v>585</v>
      </c>
      <c r="AF21" s="513" t="s">
        <v>585</v>
      </c>
      <c r="AG21" s="513" t="s">
        <v>585</v>
      </c>
      <c r="AH21" s="562" t="e">
        <f t="shared" si="15"/>
        <v>#VALUE!</v>
      </c>
      <c r="AI21" s="642"/>
      <c r="AJ21" s="537" t="s">
        <v>585</v>
      </c>
      <c r="AK21" s="513" t="s">
        <v>585</v>
      </c>
      <c r="AL21" s="513" t="s">
        <v>585</v>
      </c>
      <c r="AM21" s="562" t="e">
        <f t="shared" si="16"/>
        <v>#VALUE!</v>
      </c>
      <c r="AN21" s="642"/>
      <c r="AO21" s="537" t="s">
        <v>585</v>
      </c>
      <c r="AP21" s="513" t="s">
        <v>585</v>
      </c>
      <c r="AQ21" s="513" t="s">
        <v>585</v>
      </c>
      <c r="AR21" s="562" t="e">
        <f t="shared" si="17"/>
        <v>#VALUE!</v>
      </c>
      <c r="AS21" s="642"/>
      <c r="AT21" s="534" t="s">
        <v>585</v>
      </c>
      <c r="AU21" s="535" t="s">
        <v>585</v>
      </c>
      <c r="AV21" s="535" t="s">
        <v>585</v>
      </c>
      <c r="AW21" s="562" t="e">
        <f t="shared" si="18"/>
        <v>#VALUE!</v>
      </c>
      <c r="AX21" s="642"/>
      <c r="AZ21" s="369" t="e">
        <f t="shared" si="10"/>
        <v>#N/A</v>
      </c>
      <c r="BA21" s="698"/>
    </row>
    <row r="22" spans="2:53" ht="15.75">
      <c r="B22" s="680" t="s">
        <v>162</v>
      </c>
      <c r="C22" s="681"/>
      <c r="D22" s="681"/>
      <c r="E22" s="681"/>
      <c r="F22" s="681"/>
      <c r="G22" s="681"/>
      <c r="H22" s="681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68">
        <f>P2+7</f>
        <v>46238</v>
      </c>
      <c r="Q22" s="647"/>
      <c r="R22" s="647"/>
      <c r="S22" s="647"/>
      <c r="T22" s="647"/>
      <c r="U22" s="665">
        <f>P22+1</f>
        <v>46239</v>
      </c>
      <c r="V22" s="666"/>
      <c r="W22" s="666"/>
      <c r="X22" s="666"/>
      <c r="Y22" s="667"/>
      <c r="Z22" s="665">
        <f>U22+1</f>
        <v>46240</v>
      </c>
      <c r="AA22" s="666"/>
      <c r="AB22" s="666"/>
      <c r="AC22" s="666"/>
      <c r="AD22" s="667"/>
      <c r="AE22" s="665">
        <f>Z22+1</f>
        <v>46241</v>
      </c>
      <c r="AF22" s="666"/>
      <c r="AG22" s="666"/>
      <c r="AH22" s="666"/>
      <c r="AI22" s="667"/>
      <c r="AJ22" s="665">
        <f>AE22+1</f>
        <v>46242</v>
      </c>
      <c r="AK22" s="666"/>
      <c r="AL22" s="666"/>
      <c r="AM22" s="666"/>
      <c r="AN22" s="667"/>
      <c r="AO22" s="665">
        <f>AJ22+1</f>
        <v>46243</v>
      </c>
      <c r="AP22" s="666"/>
      <c r="AQ22" s="666"/>
      <c r="AR22" s="666"/>
      <c r="AS22" s="667"/>
      <c r="AT22" s="665">
        <f>AO22+1</f>
        <v>46244</v>
      </c>
      <c r="AU22" s="666"/>
      <c r="AV22" s="666"/>
      <c r="AW22" s="666"/>
      <c r="AX22" s="667"/>
    </row>
    <row r="23" spans="2:53" ht="15.75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45"/>
      <c r="O23" s="645"/>
      <c r="P23" s="668" t="s">
        <v>317</v>
      </c>
      <c r="Q23" s="647"/>
      <c r="R23" s="647"/>
      <c r="S23" s="647"/>
      <c r="T23" s="647"/>
      <c r="U23" s="668" t="s">
        <v>318</v>
      </c>
      <c r="V23" s="647"/>
      <c r="W23" s="647"/>
      <c r="X23" s="647"/>
      <c r="Y23" s="647"/>
      <c r="Z23" s="668" t="s">
        <v>319</v>
      </c>
      <c r="AA23" s="647"/>
      <c r="AB23" s="647"/>
      <c r="AC23" s="647"/>
      <c r="AD23" s="647"/>
      <c r="AE23" s="668" t="s">
        <v>320</v>
      </c>
      <c r="AF23" s="647"/>
      <c r="AG23" s="647"/>
      <c r="AH23" s="647"/>
      <c r="AI23" s="647"/>
      <c r="AJ23" s="668" t="s">
        <v>321</v>
      </c>
      <c r="AK23" s="647"/>
      <c r="AL23" s="647"/>
      <c r="AM23" s="647"/>
      <c r="AN23" s="647"/>
      <c r="AO23" s="668" t="s">
        <v>322</v>
      </c>
      <c r="AP23" s="647"/>
      <c r="AQ23" s="647"/>
      <c r="AR23" s="647"/>
      <c r="AS23" s="647"/>
      <c r="AT23" s="668" t="s">
        <v>323</v>
      </c>
      <c r="AU23" s="647"/>
      <c r="AV23" s="647"/>
      <c r="AW23" s="647"/>
      <c r="AX23" s="647"/>
    </row>
    <row r="24" spans="2:53">
      <c r="B24" s="641" t="s">
        <v>441</v>
      </c>
      <c r="C24" s="641" t="s">
        <v>532</v>
      </c>
      <c r="D24" s="641"/>
      <c r="E24" s="641" t="s">
        <v>533</v>
      </c>
      <c r="F24" s="641"/>
      <c r="G24" s="641"/>
      <c r="H24" s="673" t="s">
        <v>534</v>
      </c>
      <c r="I24" s="641" t="s">
        <v>535</v>
      </c>
      <c r="J24" s="641"/>
      <c r="K24" s="641"/>
      <c r="L24" s="673" t="s">
        <v>366</v>
      </c>
      <c r="M24" s="643" t="s">
        <v>536</v>
      </c>
      <c r="N24" s="641"/>
      <c r="O24" s="641" t="s">
        <v>372</v>
      </c>
      <c r="P24" s="659" t="s">
        <v>368</v>
      </c>
      <c r="Q24" s="660"/>
      <c r="R24" s="660"/>
      <c r="S24" s="661"/>
      <c r="T24" s="641" t="s">
        <v>366</v>
      </c>
      <c r="U24" s="659" t="s">
        <v>368</v>
      </c>
      <c r="V24" s="660"/>
      <c r="W24" s="660"/>
      <c r="X24" s="661"/>
      <c r="Y24" s="641" t="s">
        <v>366</v>
      </c>
      <c r="Z24" s="659" t="s">
        <v>368</v>
      </c>
      <c r="AA24" s="660"/>
      <c r="AB24" s="660"/>
      <c r="AC24" s="661"/>
      <c r="AD24" s="641" t="s">
        <v>366</v>
      </c>
      <c r="AE24" s="659" t="s">
        <v>368</v>
      </c>
      <c r="AF24" s="660"/>
      <c r="AG24" s="660"/>
      <c r="AH24" s="661"/>
      <c r="AI24" s="641" t="s">
        <v>366</v>
      </c>
      <c r="AJ24" s="659" t="s">
        <v>368</v>
      </c>
      <c r="AK24" s="660"/>
      <c r="AL24" s="660"/>
      <c r="AM24" s="661"/>
      <c r="AN24" s="641" t="s">
        <v>366</v>
      </c>
      <c r="AO24" s="659" t="s">
        <v>368</v>
      </c>
      <c r="AP24" s="660"/>
      <c r="AQ24" s="660"/>
      <c r="AR24" s="661"/>
      <c r="AS24" s="641" t="s">
        <v>366</v>
      </c>
      <c r="AT24" s="659" t="s">
        <v>368</v>
      </c>
      <c r="AU24" s="660"/>
      <c r="AV24" s="660"/>
      <c r="AW24" s="661"/>
      <c r="AX24" s="641" t="s">
        <v>366</v>
      </c>
      <c r="BA24" s="641" t="s">
        <v>366</v>
      </c>
    </row>
    <row r="25" spans="2:53">
      <c r="B25" s="641"/>
      <c r="C25" s="641"/>
      <c r="D25" s="641"/>
      <c r="E25" s="641" t="s">
        <v>538</v>
      </c>
      <c r="F25" s="641"/>
      <c r="G25" s="641"/>
      <c r="H25" s="674"/>
      <c r="I25" s="641" t="s">
        <v>538</v>
      </c>
      <c r="J25" s="641"/>
      <c r="K25" s="641"/>
      <c r="L25" s="674"/>
      <c r="M25" s="644"/>
      <c r="N25" s="641"/>
      <c r="O25" s="641"/>
      <c r="P25" s="659" t="s">
        <v>374</v>
      </c>
      <c r="Q25" s="660"/>
      <c r="R25" s="660"/>
      <c r="S25" s="661"/>
      <c r="T25" s="641"/>
      <c r="U25" s="659" t="s">
        <v>374</v>
      </c>
      <c r="V25" s="660"/>
      <c r="W25" s="660"/>
      <c r="X25" s="661"/>
      <c r="Y25" s="641"/>
      <c r="Z25" s="659" t="s">
        <v>374</v>
      </c>
      <c r="AA25" s="660"/>
      <c r="AB25" s="660"/>
      <c r="AC25" s="661"/>
      <c r="AD25" s="641"/>
      <c r="AE25" s="659" t="s">
        <v>374</v>
      </c>
      <c r="AF25" s="660"/>
      <c r="AG25" s="660"/>
      <c r="AH25" s="661"/>
      <c r="AI25" s="641"/>
      <c r="AJ25" s="659" t="s">
        <v>374</v>
      </c>
      <c r="AK25" s="660"/>
      <c r="AL25" s="660"/>
      <c r="AM25" s="661"/>
      <c r="AN25" s="641"/>
      <c r="AO25" s="659" t="s">
        <v>374</v>
      </c>
      <c r="AP25" s="660"/>
      <c r="AQ25" s="660"/>
      <c r="AR25" s="661"/>
      <c r="AS25" s="641"/>
      <c r="AT25" s="659" t="s">
        <v>374</v>
      </c>
      <c r="AU25" s="660"/>
      <c r="AV25" s="660"/>
      <c r="AW25" s="661"/>
      <c r="AX25" s="641"/>
      <c r="BA25" s="641"/>
    </row>
    <row r="26" spans="2:53">
      <c r="B26" s="641"/>
      <c r="C26" s="641"/>
      <c r="D26" s="641"/>
      <c r="E26" s="378" t="s">
        <v>539</v>
      </c>
      <c r="F26" s="378" t="s">
        <v>540</v>
      </c>
      <c r="G26" s="378" t="s">
        <v>541</v>
      </c>
      <c r="H26" s="675"/>
      <c r="I26" s="378" t="s">
        <v>539</v>
      </c>
      <c r="J26" s="378" t="s">
        <v>540</v>
      </c>
      <c r="K26" s="378" t="s">
        <v>541</v>
      </c>
      <c r="L26" s="675"/>
      <c r="M26" s="645"/>
      <c r="N26" s="641"/>
      <c r="O26" s="641"/>
      <c r="P26" s="378" t="s">
        <v>375</v>
      </c>
      <c r="Q26" s="378" t="s">
        <v>376</v>
      </c>
      <c r="R26" s="378" t="s">
        <v>377</v>
      </c>
      <c r="S26" s="378" t="s">
        <v>367</v>
      </c>
      <c r="T26" s="641"/>
      <c r="U26" s="378" t="s">
        <v>375</v>
      </c>
      <c r="V26" s="378" t="s">
        <v>376</v>
      </c>
      <c r="W26" s="378" t="s">
        <v>377</v>
      </c>
      <c r="X26" s="378" t="s">
        <v>367</v>
      </c>
      <c r="Y26" s="641"/>
      <c r="Z26" s="378" t="s">
        <v>375</v>
      </c>
      <c r="AA26" s="378" t="s">
        <v>376</v>
      </c>
      <c r="AB26" s="378" t="s">
        <v>377</v>
      </c>
      <c r="AC26" s="378" t="s">
        <v>367</v>
      </c>
      <c r="AD26" s="641"/>
      <c r="AE26" s="378" t="s">
        <v>375</v>
      </c>
      <c r="AF26" s="378" t="s">
        <v>376</v>
      </c>
      <c r="AG26" s="378" t="s">
        <v>377</v>
      </c>
      <c r="AH26" s="378" t="s">
        <v>367</v>
      </c>
      <c r="AI26" s="641"/>
      <c r="AJ26" s="378" t="s">
        <v>375</v>
      </c>
      <c r="AK26" s="378" t="s">
        <v>376</v>
      </c>
      <c r="AL26" s="378" t="s">
        <v>377</v>
      </c>
      <c r="AM26" s="378" t="s">
        <v>367</v>
      </c>
      <c r="AN26" s="641"/>
      <c r="AO26" s="378" t="s">
        <v>375</v>
      </c>
      <c r="AP26" s="378" t="s">
        <v>376</v>
      </c>
      <c r="AQ26" s="378" t="s">
        <v>377</v>
      </c>
      <c r="AR26" s="378" t="s">
        <v>367</v>
      </c>
      <c r="AS26" s="641"/>
      <c r="AT26" s="378" t="s">
        <v>375</v>
      </c>
      <c r="AU26" s="378" t="s">
        <v>376</v>
      </c>
      <c r="AV26" s="378" t="s">
        <v>377</v>
      </c>
      <c r="AW26" s="378" t="s">
        <v>367</v>
      </c>
      <c r="AX26" s="641"/>
      <c r="AZ26" s="367" t="s">
        <v>367</v>
      </c>
      <c r="BA26" s="641"/>
    </row>
    <row r="27" spans="2:53">
      <c r="B27" s="641" t="s">
        <v>442</v>
      </c>
      <c r="C27" s="380">
        <v>1</v>
      </c>
      <c r="D27" s="225" t="s">
        <v>354</v>
      </c>
      <c r="E27" s="535">
        <v>7</v>
      </c>
      <c r="F27" s="534">
        <v>1500</v>
      </c>
      <c r="G27" s="536">
        <v>214.28571428571428</v>
      </c>
      <c r="H27" s="654">
        <f>AVERAGE(G27:G41)</f>
        <v>174.62263655462186</v>
      </c>
      <c r="I27" s="381">
        <f t="shared" ref="I27:I40" si="19">IFERROR(AVERAGE(P27,U27,Z27,AE27,AJ27,AO27,AT27),"-")</f>
        <v>7</v>
      </c>
      <c r="J27" s="381">
        <f t="shared" ref="J27:J40" si="20">IFERROR(AVERAGE(Q27,V27,AA27,AF27,AK27,AP27,AU27),"-")</f>
        <v>1471.839523588842</v>
      </c>
      <c r="K27" s="199">
        <f t="shared" ref="K27:K40" si="21">IFERROR(AVERAGE(R27,W27,AB27,AG27,AL27,AQ27,AV27),"-")</f>
        <v>210.26278908412027</v>
      </c>
      <c r="L27" s="656">
        <f>IFERROR(AVERAGE(K27:K41),"-")</f>
        <v>158.45633222043563</v>
      </c>
      <c r="M27" s="385">
        <f>RANK(K27, K$24:$K$41)</f>
        <v>4</v>
      </c>
      <c r="N27" s="641"/>
      <c r="O27" s="641"/>
      <c r="P27" s="556">
        <v>7</v>
      </c>
      <c r="Q27" s="557">
        <v>1443.7500000000005</v>
      </c>
      <c r="R27" s="557">
        <v>206.25000000000006</v>
      </c>
      <c r="S27" s="556">
        <f t="shared" ref="S27:S41" si="22">RANK(R27, R$27:R$41)</f>
        <v>4</v>
      </c>
      <c r="T27" s="636">
        <f t="shared" ref="T27" si="23">AVERAGE(R27:R41)</f>
        <v>154.72379979839644</v>
      </c>
      <c r="U27" s="556">
        <v>7</v>
      </c>
      <c r="V27" s="557">
        <v>1485.9574468085109</v>
      </c>
      <c r="W27" s="557">
        <v>212.2796352583587</v>
      </c>
      <c r="X27" s="556">
        <f t="shared" ref="X27:X41" si="24">RANK(W27, W$27:W$41)</f>
        <v>2</v>
      </c>
      <c r="Y27" s="636">
        <f t="shared" ref="Y27" si="25">AVERAGE(W27:W41)</f>
        <v>156.11533246805911</v>
      </c>
      <c r="Z27" s="556">
        <v>7</v>
      </c>
      <c r="AA27" s="557">
        <v>1473.9130434782608</v>
      </c>
      <c r="AB27" s="557">
        <v>210.5590062111801</v>
      </c>
      <c r="AC27" s="556">
        <f t="shared" ref="AC27:AC41" si="26">RANK(AB27, AB$27:AB$41)</f>
        <v>5</v>
      </c>
      <c r="AD27" s="636">
        <f t="shared" ref="AD27" si="27">AVERAGE(AB27:AB41)</f>
        <v>160.28194985065147</v>
      </c>
      <c r="AE27" s="556">
        <v>7</v>
      </c>
      <c r="AF27" s="557">
        <v>1473.1578947368425</v>
      </c>
      <c r="AG27" s="557">
        <v>210.45112781954893</v>
      </c>
      <c r="AH27" s="556">
        <f t="shared" ref="AH27:AH41" si="28">RANK(AG27, AG$27:AG$41)</f>
        <v>4</v>
      </c>
      <c r="AI27" s="636">
        <f t="shared" ref="AI27" si="29">AVERAGE(AG27:AG41)</f>
        <v>159.3355923972924</v>
      </c>
      <c r="AJ27" s="556">
        <v>7</v>
      </c>
      <c r="AK27" s="557">
        <v>1469.1891891891896</v>
      </c>
      <c r="AL27" s="557">
        <v>209.88416988416995</v>
      </c>
      <c r="AM27" s="556">
        <f t="shared" ref="AM27:AM41" si="30">RANK(AL27, AL$27:AL$41)</f>
        <v>5</v>
      </c>
      <c r="AN27" s="636">
        <f t="shared" ref="AN27" si="31">AVERAGE(AL27:AL41)</f>
        <v>159.52632688715988</v>
      </c>
      <c r="AO27" s="556">
        <v>7</v>
      </c>
      <c r="AP27" s="557">
        <v>1470.0000000000005</v>
      </c>
      <c r="AQ27" s="557">
        <v>210.00000000000006</v>
      </c>
      <c r="AR27" s="556">
        <f t="shared" ref="AR27:AR41" si="32">RANK(AQ27, AQ$27:AQ$41)</f>
        <v>5</v>
      </c>
      <c r="AS27" s="636">
        <f t="shared" ref="AS27" si="33">AVERAGE(AQ27:AQ41)</f>
        <v>158.93976559029608</v>
      </c>
      <c r="AT27" s="556">
        <v>7</v>
      </c>
      <c r="AU27" s="557">
        <v>1486.9090909090908</v>
      </c>
      <c r="AV27" s="557">
        <v>212.41558441558439</v>
      </c>
      <c r="AW27" s="556">
        <f t="shared" ref="AW27:AW41" si="34">RANK(AV27, AV$27:AV$41)</f>
        <v>5</v>
      </c>
      <c r="AX27" s="636">
        <f t="shared" ref="AX27" si="35">AVERAGE(AV27:AV41)</f>
        <v>160.2715585511942</v>
      </c>
      <c r="AZ27" s="368" t="e">
        <f t="shared" ref="AZ27:AZ41" si="36">RANK(AY27, AY$27:AY$41)</f>
        <v>#N/A</v>
      </c>
      <c r="BA27" s="636" t="e">
        <f t="shared" ref="BA27" si="37">AVERAGE(AY27:AY41)</f>
        <v>#DIV/0!</v>
      </c>
    </row>
    <row r="28" spans="2:53">
      <c r="B28" s="647"/>
      <c r="C28" s="380">
        <v>2</v>
      </c>
      <c r="D28" s="225" t="s">
        <v>355</v>
      </c>
      <c r="E28" s="535">
        <v>7</v>
      </c>
      <c r="F28" s="534">
        <v>1500</v>
      </c>
      <c r="G28" s="536">
        <v>214.28571428571428</v>
      </c>
      <c r="H28" s="655"/>
      <c r="I28" s="381">
        <f t="shared" si="19"/>
        <v>7</v>
      </c>
      <c r="J28" s="381">
        <f t="shared" si="20"/>
        <v>1490.671168225861</v>
      </c>
      <c r="K28" s="199">
        <f t="shared" si="21"/>
        <v>212.95302403226586</v>
      </c>
      <c r="L28" s="657"/>
      <c r="M28" s="388">
        <f>RANK(K28, K$24:$K$41)</f>
        <v>1</v>
      </c>
      <c r="N28" s="641"/>
      <c r="O28" s="641"/>
      <c r="P28" s="556">
        <v>7</v>
      </c>
      <c r="Q28" s="557">
        <v>1473.0882352941176</v>
      </c>
      <c r="R28" s="557">
        <v>210.44117647058823</v>
      </c>
      <c r="S28" s="556">
        <f t="shared" si="22"/>
        <v>1</v>
      </c>
      <c r="T28" s="637"/>
      <c r="U28" s="556">
        <v>7</v>
      </c>
      <c r="V28" s="557">
        <v>1485</v>
      </c>
      <c r="W28" s="557">
        <v>212.14285714285714</v>
      </c>
      <c r="X28" s="556">
        <f t="shared" si="24"/>
        <v>3</v>
      </c>
      <c r="Y28" s="637"/>
      <c r="Z28" s="556">
        <v>7</v>
      </c>
      <c r="AA28" s="557">
        <v>1499.5238095238092</v>
      </c>
      <c r="AB28" s="557">
        <v>214.21768707482988</v>
      </c>
      <c r="AC28" s="556">
        <f t="shared" si="26"/>
        <v>1</v>
      </c>
      <c r="AD28" s="637"/>
      <c r="AE28" s="556">
        <v>7</v>
      </c>
      <c r="AF28" s="557">
        <v>1499.4495412844035</v>
      </c>
      <c r="AG28" s="557">
        <v>214.20707732634335</v>
      </c>
      <c r="AH28" s="556">
        <f t="shared" si="28"/>
        <v>1</v>
      </c>
      <c r="AI28" s="637"/>
      <c r="AJ28" s="556">
        <v>7</v>
      </c>
      <c r="AK28" s="557">
        <v>1491.6666666666665</v>
      </c>
      <c r="AL28" s="557">
        <v>213.09523809523807</v>
      </c>
      <c r="AM28" s="556">
        <f t="shared" si="30"/>
        <v>2</v>
      </c>
      <c r="AN28" s="637"/>
      <c r="AO28" s="556">
        <v>7</v>
      </c>
      <c r="AP28" s="557">
        <v>1493.6842105263158</v>
      </c>
      <c r="AQ28" s="557">
        <v>213.38345864661656</v>
      </c>
      <c r="AR28" s="556">
        <f t="shared" si="32"/>
        <v>1</v>
      </c>
      <c r="AS28" s="637"/>
      <c r="AT28" s="556">
        <v>7</v>
      </c>
      <c r="AU28" s="557">
        <v>1492.2857142857147</v>
      </c>
      <c r="AV28" s="557">
        <v>213.1836734693878</v>
      </c>
      <c r="AW28" s="556">
        <f t="shared" si="34"/>
        <v>4</v>
      </c>
      <c r="AX28" s="637"/>
      <c r="AZ28" s="368" t="e">
        <f t="shared" si="36"/>
        <v>#N/A</v>
      </c>
      <c r="BA28" s="637"/>
    </row>
    <row r="29" spans="2:53">
      <c r="B29" s="647"/>
      <c r="C29" s="380">
        <v>3</v>
      </c>
      <c r="D29" s="225" t="s">
        <v>356</v>
      </c>
      <c r="E29" s="535">
        <v>17</v>
      </c>
      <c r="F29" s="534">
        <v>1500</v>
      </c>
      <c r="G29" s="536">
        <v>88.235294117647058</v>
      </c>
      <c r="H29" s="655"/>
      <c r="I29" s="381">
        <f t="shared" si="19"/>
        <v>16.285714285714285</v>
      </c>
      <c r="J29" s="381">
        <f t="shared" si="20"/>
        <v>1303.5538209953243</v>
      </c>
      <c r="K29" s="199">
        <f t="shared" si="21"/>
        <v>80.089705022900191</v>
      </c>
      <c r="L29" s="657"/>
      <c r="M29" s="388">
        <f>RANK(K29, K$24:$K$41)</f>
        <v>9</v>
      </c>
      <c r="N29" s="641"/>
      <c r="O29" s="641"/>
      <c r="P29" s="556">
        <v>16</v>
      </c>
      <c r="Q29" s="557">
        <v>1312.0879120879122</v>
      </c>
      <c r="R29" s="557">
        <v>82.005494505494511</v>
      </c>
      <c r="S29" s="556">
        <f t="shared" si="22"/>
        <v>9</v>
      </c>
      <c r="T29" s="637"/>
      <c r="U29" s="556">
        <v>16</v>
      </c>
      <c r="V29" s="557">
        <v>1321.5000000000007</v>
      </c>
      <c r="W29" s="557">
        <v>82.593750000000043</v>
      </c>
      <c r="X29" s="556">
        <f t="shared" si="24"/>
        <v>9</v>
      </c>
      <c r="Y29" s="637"/>
      <c r="Z29" s="556">
        <v>16</v>
      </c>
      <c r="AA29" s="557">
        <v>1291.395348837209</v>
      </c>
      <c r="AB29" s="557">
        <v>80.712209302325562</v>
      </c>
      <c r="AC29" s="556">
        <f t="shared" si="26"/>
        <v>9</v>
      </c>
      <c r="AD29" s="637"/>
      <c r="AE29" s="556">
        <v>16</v>
      </c>
      <c r="AF29" s="557">
        <v>1288.6567164179105</v>
      </c>
      <c r="AG29" s="557">
        <v>80.541044776119406</v>
      </c>
      <c r="AH29" s="556">
        <f t="shared" si="28"/>
        <v>9</v>
      </c>
      <c r="AI29" s="637"/>
      <c r="AJ29" s="556">
        <v>16</v>
      </c>
      <c r="AK29" s="557">
        <v>1279.1304347826087</v>
      </c>
      <c r="AL29" s="557">
        <v>79.945652173913047</v>
      </c>
      <c r="AM29" s="556">
        <f t="shared" si="30"/>
        <v>9</v>
      </c>
      <c r="AN29" s="637"/>
      <c r="AO29" s="556">
        <v>17</v>
      </c>
      <c r="AP29" s="557">
        <v>1311.5294117647056</v>
      </c>
      <c r="AQ29" s="557">
        <v>77.14878892733563</v>
      </c>
      <c r="AR29" s="556">
        <f t="shared" si="32"/>
        <v>9</v>
      </c>
      <c r="AS29" s="637"/>
      <c r="AT29" s="556">
        <v>17</v>
      </c>
      <c r="AU29" s="557">
        <v>1320.5769230769229</v>
      </c>
      <c r="AV29" s="557">
        <v>77.680995475113107</v>
      </c>
      <c r="AW29" s="556">
        <f t="shared" si="34"/>
        <v>9</v>
      </c>
      <c r="AX29" s="637"/>
      <c r="AZ29" s="368" t="e">
        <f t="shared" si="36"/>
        <v>#N/A</v>
      </c>
      <c r="BA29" s="637"/>
    </row>
    <row r="30" spans="2:53">
      <c r="B30" s="647"/>
      <c r="C30" s="380">
        <v>4</v>
      </c>
      <c r="D30" s="225" t="s">
        <v>388</v>
      </c>
      <c r="E30" s="535">
        <v>7</v>
      </c>
      <c r="F30" s="534">
        <v>1500</v>
      </c>
      <c r="G30" s="536">
        <v>214.28571428571428</v>
      </c>
      <c r="H30" s="655"/>
      <c r="I30" s="381">
        <f t="shared" si="19"/>
        <v>7</v>
      </c>
      <c r="J30" s="381">
        <f t="shared" si="20"/>
        <v>1490.2828655389628</v>
      </c>
      <c r="K30" s="199">
        <f t="shared" si="21"/>
        <v>212.89755221985183</v>
      </c>
      <c r="L30" s="657"/>
      <c r="M30" s="388">
        <f>RANK(K30, K$24:$K$41)</f>
        <v>2</v>
      </c>
      <c r="N30" s="641"/>
      <c r="O30" s="641"/>
      <c r="P30" s="556">
        <v>7</v>
      </c>
      <c r="Q30" s="557">
        <v>1460.9790209790212</v>
      </c>
      <c r="R30" s="557">
        <v>208.71128871128874</v>
      </c>
      <c r="S30" s="556">
        <f t="shared" si="22"/>
        <v>2</v>
      </c>
      <c r="T30" s="637"/>
      <c r="U30" s="556">
        <v>7</v>
      </c>
      <c r="V30" s="557">
        <v>1498.6764705882351</v>
      </c>
      <c r="W30" s="557">
        <v>214.09663865546216</v>
      </c>
      <c r="X30" s="556">
        <f t="shared" si="24"/>
        <v>1</v>
      </c>
      <c r="Y30" s="637"/>
      <c r="Z30" s="556">
        <v>7</v>
      </c>
      <c r="AA30" s="557">
        <v>1494.0458015267175</v>
      </c>
      <c r="AB30" s="557">
        <v>213.43511450381678</v>
      </c>
      <c r="AC30" s="556">
        <f t="shared" si="26"/>
        <v>3</v>
      </c>
      <c r="AD30" s="637"/>
      <c r="AE30" s="556">
        <v>7</v>
      </c>
      <c r="AF30" s="557">
        <v>1497.2222222222226</v>
      </c>
      <c r="AG30" s="557">
        <v>213.88888888888894</v>
      </c>
      <c r="AH30" s="556">
        <f t="shared" si="28"/>
        <v>2</v>
      </c>
      <c r="AI30" s="637"/>
      <c r="AJ30" s="556">
        <v>7</v>
      </c>
      <c r="AK30" s="557">
        <v>1491.4285714285716</v>
      </c>
      <c r="AL30" s="557">
        <v>213.06122448979593</v>
      </c>
      <c r="AM30" s="556">
        <f t="shared" si="30"/>
        <v>3</v>
      </c>
      <c r="AN30" s="637"/>
      <c r="AO30" s="556">
        <v>7</v>
      </c>
      <c r="AP30" s="557">
        <v>1492.0279720279725</v>
      </c>
      <c r="AQ30" s="557">
        <v>213.1468531468532</v>
      </c>
      <c r="AR30" s="556">
        <f t="shared" si="32"/>
        <v>2</v>
      </c>
      <c r="AS30" s="637"/>
      <c r="AT30" s="556">
        <v>7</v>
      </c>
      <c r="AU30" s="557">
        <v>1497.6000000000001</v>
      </c>
      <c r="AV30" s="557">
        <v>213.94285714285715</v>
      </c>
      <c r="AW30" s="556">
        <f t="shared" si="34"/>
        <v>2</v>
      </c>
      <c r="AX30" s="637"/>
      <c r="AZ30" s="368" t="e">
        <f t="shared" si="36"/>
        <v>#N/A</v>
      </c>
      <c r="BA30" s="637"/>
    </row>
    <row r="31" spans="2:53">
      <c r="B31" s="647"/>
      <c r="C31" s="380">
        <v>5</v>
      </c>
      <c r="D31" s="225" t="s">
        <v>577</v>
      </c>
      <c r="E31" s="535">
        <v>12</v>
      </c>
      <c r="F31" s="534">
        <v>2000</v>
      </c>
      <c r="G31" s="536">
        <v>166.66666666666666</v>
      </c>
      <c r="H31" s="655"/>
      <c r="I31" s="381">
        <f t="shared" si="19"/>
        <v>12</v>
      </c>
      <c r="J31" s="381">
        <f t="shared" si="20"/>
        <v>1501.8657639798319</v>
      </c>
      <c r="K31" s="199">
        <f t="shared" si="21"/>
        <v>125.15548033165267</v>
      </c>
      <c r="L31" s="657"/>
      <c r="M31" s="388">
        <f>RANK(K31, K$24:$K$41)</f>
        <v>7</v>
      </c>
      <c r="N31" s="641"/>
      <c r="O31" s="641"/>
      <c r="P31" s="556">
        <v>12</v>
      </c>
      <c r="Q31" s="557">
        <v>1545.2727272727279</v>
      </c>
      <c r="R31" s="557">
        <v>128.77272727272734</v>
      </c>
      <c r="S31" s="556">
        <f t="shared" si="22"/>
        <v>6</v>
      </c>
      <c r="T31" s="637"/>
      <c r="U31" s="556">
        <v>12</v>
      </c>
      <c r="V31" s="557">
        <v>1524.8048780487816</v>
      </c>
      <c r="W31" s="557">
        <v>127.0670731707318</v>
      </c>
      <c r="X31" s="556">
        <f t="shared" si="24"/>
        <v>6</v>
      </c>
      <c r="Y31" s="637"/>
      <c r="Z31" s="556">
        <v>12</v>
      </c>
      <c r="AA31" s="557">
        <v>1519.0000000000007</v>
      </c>
      <c r="AB31" s="557">
        <v>126.58333333333339</v>
      </c>
      <c r="AC31" s="556">
        <f t="shared" si="26"/>
        <v>8</v>
      </c>
      <c r="AD31" s="637"/>
      <c r="AE31" s="556">
        <v>12</v>
      </c>
      <c r="AF31" s="557">
        <v>1473.2812499999995</v>
      </c>
      <c r="AG31" s="557">
        <v>122.77343749999996</v>
      </c>
      <c r="AH31" s="556">
        <f t="shared" si="28"/>
        <v>8</v>
      </c>
      <c r="AI31" s="637"/>
      <c r="AJ31" s="556">
        <v>12</v>
      </c>
      <c r="AK31" s="557">
        <v>1486.9253731343283</v>
      </c>
      <c r="AL31" s="557">
        <v>123.91044776119402</v>
      </c>
      <c r="AM31" s="556">
        <f t="shared" si="30"/>
        <v>8</v>
      </c>
      <c r="AN31" s="637"/>
      <c r="AO31" s="556">
        <v>12</v>
      </c>
      <c r="AP31" s="557">
        <v>1479.0000000000009</v>
      </c>
      <c r="AQ31" s="557">
        <v>123.25000000000007</v>
      </c>
      <c r="AR31" s="556">
        <f t="shared" si="32"/>
        <v>8</v>
      </c>
      <c r="AS31" s="637"/>
      <c r="AT31" s="556">
        <v>12</v>
      </c>
      <c r="AU31" s="557">
        <v>1484.7761194029842</v>
      </c>
      <c r="AV31" s="557">
        <v>123.73134328358202</v>
      </c>
      <c r="AW31" s="556">
        <f t="shared" si="34"/>
        <v>8</v>
      </c>
      <c r="AX31" s="637"/>
      <c r="AZ31" s="368" t="e">
        <f t="shared" si="36"/>
        <v>#N/A</v>
      </c>
      <c r="BA31" s="637"/>
    </row>
    <row r="32" spans="2:53">
      <c r="B32" s="647"/>
      <c r="C32" s="380">
        <v>6</v>
      </c>
      <c r="D32" s="225" t="s">
        <v>562</v>
      </c>
      <c r="E32" s="535">
        <v>7</v>
      </c>
      <c r="F32" s="534">
        <v>1500</v>
      </c>
      <c r="G32" s="536">
        <v>214.28571428571428</v>
      </c>
      <c r="H32" s="655"/>
      <c r="I32" s="381">
        <f t="shared" si="19"/>
        <v>7</v>
      </c>
      <c r="J32" s="381">
        <f t="shared" si="20"/>
        <v>1478.6253360313735</v>
      </c>
      <c r="K32" s="199">
        <f t="shared" si="21"/>
        <v>211.23219086162482</v>
      </c>
      <c r="L32" s="657"/>
      <c r="M32" s="388">
        <f>RANK(K32, K$24:$K$41)</f>
        <v>3</v>
      </c>
      <c r="N32" s="641"/>
      <c r="O32" s="641"/>
      <c r="P32" s="556">
        <v>7</v>
      </c>
      <c r="Q32" s="557">
        <v>1448.4507042253515</v>
      </c>
      <c r="R32" s="557">
        <v>206.92152917505021</v>
      </c>
      <c r="S32" s="556">
        <f t="shared" si="22"/>
        <v>3</v>
      </c>
      <c r="T32" s="637"/>
      <c r="U32" s="556">
        <v>7</v>
      </c>
      <c r="V32" s="557">
        <v>1470.4109589041093</v>
      </c>
      <c r="W32" s="557">
        <v>210.05870841487277</v>
      </c>
      <c r="X32" s="556">
        <f t="shared" si="24"/>
        <v>4</v>
      </c>
      <c r="Y32" s="637"/>
      <c r="Z32" s="556">
        <v>7</v>
      </c>
      <c r="AA32" s="557">
        <v>1495.1351351351359</v>
      </c>
      <c r="AB32" s="557">
        <v>213.59073359073369</v>
      </c>
      <c r="AC32" s="556">
        <f t="shared" si="26"/>
        <v>2</v>
      </c>
      <c r="AD32" s="637"/>
      <c r="AE32" s="556">
        <v>7</v>
      </c>
      <c r="AF32" s="557">
        <v>1480.6779661016951</v>
      </c>
      <c r="AG32" s="557">
        <v>211.52542372881359</v>
      </c>
      <c r="AH32" s="556">
        <f t="shared" si="28"/>
        <v>3</v>
      </c>
      <c r="AI32" s="637"/>
      <c r="AJ32" s="556">
        <v>7</v>
      </c>
      <c r="AK32" s="557">
        <v>1478.8235294117653</v>
      </c>
      <c r="AL32" s="557">
        <v>211.26050420168076</v>
      </c>
      <c r="AM32" s="556">
        <f t="shared" si="30"/>
        <v>4</v>
      </c>
      <c r="AN32" s="637"/>
      <c r="AO32" s="556">
        <v>7</v>
      </c>
      <c r="AP32" s="557">
        <v>1478.4374999999995</v>
      </c>
      <c r="AQ32" s="557">
        <v>211.20535714285708</v>
      </c>
      <c r="AR32" s="556">
        <f t="shared" si="32"/>
        <v>4</v>
      </c>
      <c r="AS32" s="637"/>
      <c r="AT32" s="556">
        <v>7</v>
      </c>
      <c r="AU32" s="557">
        <v>1498.441558441559</v>
      </c>
      <c r="AV32" s="557">
        <v>214.06307977736557</v>
      </c>
      <c r="AW32" s="556">
        <f t="shared" si="34"/>
        <v>1</v>
      </c>
      <c r="AX32" s="637"/>
      <c r="AZ32" s="368" t="e">
        <f t="shared" si="36"/>
        <v>#N/A</v>
      </c>
      <c r="BA32" s="637"/>
    </row>
    <row r="33" spans="2:53">
      <c r="B33" s="647"/>
      <c r="C33" s="380">
        <v>7</v>
      </c>
      <c r="D33" s="225" t="s">
        <v>605</v>
      </c>
      <c r="E33" s="535">
        <v>12</v>
      </c>
      <c r="F33" s="534">
        <v>2000</v>
      </c>
      <c r="G33" s="536">
        <v>166.66666666666666</v>
      </c>
      <c r="H33" s="655"/>
      <c r="I33" s="381">
        <f t="shared" si="19"/>
        <v>12</v>
      </c>
      <c r="J33" s="381">
        <f t="shared" si="20"/>
        <v>1549.9038645313765</v>
      </c>
      <c r="K33" s="199">
        <f t="shared" si="21"/>
        <v>129.15865537761471</v>
      </c>
      <c r="L33" s="657"/>
      <c r="M33" s="388">
        <f>RANK(K33, K$24:$K$41)</f>
        <v>6</v>
      </c>
      <c r="N33" s="641"/>
      <c r="O33" s="641"/>
      <c r="P33" s="556">
        <v>12</v>
      </c>
      <c r="Q33" s="557">
        <v>1456.3880597014925</v>
      </c>
      <c r="R33" s="557">
        <v>121.36567164179104</v>
      </c>
      <c r="S33" s="556">
        <f t="shared" si="22"/>
        <v>7</v>
      </c>
      <c r="T33" s="637"/>
      <c r="U33" s="556">
        <v>12</v>
      </c>
      <c r="V33" s="557">
        <v>1447.0147058823529</v>
      </c>
      <c r="W33" s="557">
        <v>120.58455882352941</v>
      </c>
      <c r="X33" s="556">
        <f t="shared" si="24"/>
        <v>7</v>
      </c>
      <c r="Y33" s="637"/>
      <c r="Z33" s="556">
        <v>12</v>
      </c>
      <c r="AA33" s="557">
        <v>1598.3389830508477</v>
      </c>
      <c r="AB33" s="557">
        <v>133.19491525423732</v>
      </c>
      <c r="AC33" s="556">
        <f t="shared" si="26"/>
        <v>6</v>
      </c>
      <c r="AD33" s="637"/>
      <c r="AE33" s="556">
        <v>12</v>
      </c>
      <c r="AF33" s="557">
        <v>1583.0454545454547</v>
      </c>
      <c r="AG33" s="557">
        <v>131.92045454545456</v>
      </c>
      <c r="AH33" s="556">
        <f t="shared" si="28"/>
        <v>6</v>
      </c>
      <c r="AI33" s="637"/>
      <c r="AJ33" s="556">
        <v>12</v>
      </c>
      <c r="AK33" s="557">
        <v>1582.4042553191491</v>
      </c>
      <c r="AL33" s="557">
        <v>131.86702127659575</v>
      </c>
      <c r="AM33" s="556">
        <f t="shared" si="30"/>
        <v>6</v>
      </c>
      <c r="AN33" s="637"/>
      <c r="AO33" s="556">
        <v>12</v>
      </c>
      <c r="AP33" s="557">
        <v>1583.1355932203392</v>
      </c>
      <c r="AQ33" s="557">
        <v>131.92796610169492</v>
      </c>
      <c r="AR33" s="556">
        <f t="shared" si="32"/>
        <v>6</v>
      </c>
      <c r="AS33" s="637"/>
      <c r="AT33" s="556">
        <v>12</v>
      </c>
      <c r="AU33" s="557">
        <v>1598.9999999999995</v>
      </c>
      <c r="AV33" s="557">
        <v>133.24999999999997</v>
      </c>
      <c r="AW33" s="556">
        <f t="shared" si="34"/>
        <v>6</v>
      </c>
      <c r="AX33" s="637"/>
      <c r="AZ33" s="368" t="e">
        <f t="shared" si="36"/>
        <v>#N/A</v>
      </c>
      <c r="BA33" s="637"/>
    </row>
    <row r="34" spans="2:53">
      <c r="B34" s="647"/>
      <c r="C34" s="380">
        <v>8</v>
      </c>
      <c r="D34" s="225" t="s">
        <v>606</v>
      </c>
      <c r="E34" s="535">
        <v>12</v>
      </c>
      <c r="F34" s="534">
        <v>2000</v>
      </c>
      <c r="G34" s="536">
        <v>166.66666666666666</v>
      </c>
      <c r="H34" s="655"/>
      <c r="I34" s="381">
        <f t="shared" si="19"/>
        <v>12</v>
      </c>
      <c r="J34" s="381">
        <f t="shared" si="20"/>
        <v>1481.5514770943348</v>
      </c>
      <c r="K34" s="199">
        <f t="shared" si="21"/>
        <v>123.46262309119456</v>
      </c>
      <c r="L34" s="657"/>
      <c r="M34" s="388">
        <f>RANK(K34, K$24:$K$41)</f>
        <v>8</v>
      </c>
      <c r="N34" s="641"/>
      <c r="O34" s="641"/>
      <c r="P34" s="556">
        <v>12</v>
      </c>
      <c r="Q34" s="557">
        <v>1319.9999999999995</v>
      </c>
      <c r="R34" s="557">
        <v>109.99999999999996</v>
      </c>
      <c r="S34" s="556">
        <f t="shared" si="22"/>
        <v>8</v>
      </c>
      <c r="T34" s="637"/>
      <c r="U34" s="556">
        <v>12</v>
      </c>
      <c r="V34" s="557">
        <v>1291.2000000000005</v>
      </c>
      <c r="W34" s="557">
        <v>107.60000000000004</v>
      </c>
      <c r="X34" s="556">
        <f t="shared" si="24"/>
        <v>8</v>
      </c>
      <c r="Y34" s="637"/>
      <c r="Z34" s="556">
        <v>12</v>
      </c>
      <c r="AA34" s="557">
        <v>1535.4545454545455</v>
      </c>
      <c r="AB34" s="557">
        <v>127.95454545454545</v>
      </c>
      <c r="AC34" s="556">
        <f t="shared" si="26"/>
        <v>7</v>
      </c>
      <c r="AD34" s="637"/>
      <c r="AE34" s="556">
        <v>12</v>
      </c>
      <c r="AF34" s="557">
        <v>1577.1428571428582</v>
      </c>
      <c r="AG34" s="557">
        <v>131.42857142857153</v>
      </c>
      <c r="AH34" s="556">
        <f t="shared" si="28"/>
        <v>7</v>
      </c>
      <c r="AI34" s="637"/>
      <c r="AJ34" s="556">
        <v>12</v>
      </c>
      <c r="AK34" s="557">
        <v>1546.1538461538471</v>
      </c>
      <c r="AL34" s="557">
        <v>128.84615384615392</v>
      </c>
      <c r="AM34" s="556">
        <f t="shared" si="30"/>
        <v>7</v>
      </c>
      <c r="AN34" s="637"/>
      <c r="AO34" s="556">
        <v>12</v>
      </c>
      <c r="AP34" s="557">
        <v>1530.0000000000018</v>
      </c>
      <c r="AQ34" s="557">
        <v>127.50000000000016</v>
      </c>
      <c r="AR34" s="556">
        <f t="shared" si="32"/>
        <v>7</v>
      </c>
      <c r="AS34" s="637"/>
      <c r="AT34" s="556">
        <v>12</v>
      </c>
      <c r="AU34" s="557">
        <v>1570.909090909091</v>
      </c>
      <c r="AV34" s="557">
        <v>130.90909090909091</v>
      </c>
      <c r="AW34" s="556">
        <f t="shared" si="34"/>
        <v>7</v>
      </c>
      <c r="AX34" s="637"/>
      <c r="AZ34" s="368" t="e">
        <f t="shared" si="36"/>
        <v>#N/A</v>
      </c>
      <c r="BA34" s="637"/>
    </row>
    <row r="35" spans="2:53">
      <c r="B35" s="647"/>
      <c r="C35" s="380">
        <v>9</v>
      </c>
      <c r="D35" s="225" t="s">
        <v>618</v>
      </c>
      <c r="E35" s="535">
        <v>16</v>
      </c>
      <c r="F35" s="534">
        <v>1385</v>
      </c>
      <c r="G35" s="536">
        <v>86.5625</v>
      </c>
      <c r="H35" s="655"/>
      <c r="I35" s="381">
        <f t="shared" si="19"/>
        <v>16</v>
      </c>
      <c r="J35" s="381">
        <f t="shared" si="20"/>
        <v>1121.1571160694828</v>
      </c>
      <c r="K35" s="199">
        <f t="shared" si="21"/>
        <v>70.072319754342672</v>
      </c>
      <c r="L35" s="657"/>
      <c r="M35" s="388">
        <f>RANK(K35, K$24:$K$41)</f>
        <v>10</v>
      </c>
      <c r="N35" s="641"/>
      <c r="O35" s="641"/>
      <c r="P35" s="556">
        <v>16</v>
      </c>
      <c r="Q35" s="557">
        <v>1134.2465753424658</v>
      </c>
      <c r="R35" s="557">
        <v>70.890410958904113</v>
      </c>
      <c r="S35" s="556">
        <f t="shared" si="22"/>
        <v>10</v>
      </c>
      <c r="T35" s="637"/>
      <c r="U35" s="556">
        <v>16</v>
      </c>
      <c r="V35" s="557">
        <v>1144.3924528301893</v>
      </c>
      <c r="W35" s="557">
        <v>71.524528301886832</v>
      </c>
      <c r="X35" s="556">
        <f t="shared" si="24"/>
        <v>10</v>
      </c>
      <c r="Y35" s="637"/>
      <c r="Z35" s="556">
        <v>16</v>
      </c>
      <c r="AA35" s="557">
        <v>1130.294117647059</v>
      </c>
      <c r="AB35" s="557">
        <v>70.643382352941188</v>
      </c>
      <c r="AC35" s="556">
        <f t="shared" si="26"/>
        <v>10</v>
      </c>
      <c r="AD35" s="637"/>
      <c r="AE35" s="556">
        <v>16</v>
      </c>
      <c r="AF35" s="557">
        <v>1109.9999999999991</v>
      </c>
      <c r="AG35" s="557">
        <v>69.374999999999943</v>
      </c>
      <c r="AH35" s="556">
        <f t="shared" si="28"/>
        <v>10</v>
      </c>
      <c r="AI35" s="637"/>
      <c r="AJ35" s="556">
        <v>16</v>
      </c>
      <c r="AK35" s="557">
        <v>1105.7142857142849</v>
      </c>
      <c r="AL35" s="557">
        <v>69.107142857142804</v>
      </c>
      <c r="AM35" s="556">
        <f t="shared" si="30"/>
        <v>10</v>
      </c>
      <c r="AN35" s="637"/>
      <c r="AO35" s="556">
        <v>16</v>
      </c>
      <c r="AP35" s="557">
        <v>1109.166666666667</v>
      </c>
      <c r="AQ35" s="557">
        <v>69.322916666666686</v>
      </c>
      <c r="AR35" s="556">
        <f t="shared" si="32"/>
        <v>10</v>
      </c>
      <c r="AS35" s="637"/>
      <c r="AT35" s="556">
        <v>16</v>
      </c>
      <c r="AU35" s="557">
        <v>1114.285714285714</v>
      </c>
      <c r="AV35" s="557">
        <v>69.642857142857125</v>
      </c>
      <c r="AW35" s="556">
        <f t="shared" si="34"/>
        <v>10</v>
      </c>
      <c r="AX35" s="637"/>
      <c r="AZ35" s="368" t="e">
        <f t="shared" si="36"/>
        <v>#N/A</v>
      </c>
      <c r="BA35" s="637"/>
    </row>
    <row r="36" spans="2:53">
      <c r="B36" s="647"/>
      <c r="C36" s="380">
        <v>10</v>
      </c>
      <c r="D36" s="225" t="s">
        <v>622</v>
      </c>
      <c r="E36" s="535">
        <v>7</v>
      </c>
      <c r="F36" s="534">
        <v>1500</v>
      </c>
      <c r="G36" s="536">
        <v>214.28571428571428</v>
      </c>
      <c r="H36" s="655"/>
      <c r="I36" s="381">
        <f t="shared" si="19"/>
        <v>7</v>
      </c>
      <c r="J36" s="381">
        <f t="shared" si="20"/>
        <v>1464.9528770015218</v>
      </c>
      <c r="K36" s="199">
        <f t="shared" si="21"/>
        <v>209.27898242878879</v>
      </c>
      <c r="L36" s="657"/>
      <c r="M36" s="388">
        <f>RANK(K36, K$24:$K$41)</f>
        <v>5</v>
      </c>
      <c r="N36" s="641"/>
      <c r="O36" s="641"/>
      <c r="P36" s="556">
        <v>7</v>
      </c>
      <c r="Q36" s="557">
        <v>1413.1578947368412</v>
      </c>
      <c r="R36" s="557">
        <v>201.87969924812018</v>
      </c>
      <c r="S36" s="556">
        <f t="shared" si="22"/>
        <v>5</v>
      </c>
      <c r="T36" s="637"/>
      <c r="U36" s="556">
        <v>7</v>
      </c>
      <c r="V36" s="557">
        <v>1422.4390243902435</v>
      </c>
      <c r="W36" s="557">
        <v>203.20557491289193</v>
      </c>
      <c r="X36" s="556">
        <f t="shared" si="24"/>
        <v>5</v>
      </c>
      <c r="Y36" s="637"/>
      <c r="Z36" s="556">
        <v>7</v>
      </c>
      <c r="AA36" s="557">
        <v>1483.4999999999995</v>
      </c>
      <c r="AB36" s="557">
        <v>211.92857142857136</v>
      </c>
      <c r="AC36" s="556">
        <f t="shared" si="26"/>
        <v>4</v>
      </c>
      <c r="AD36" s="637"/>
      <c r="AE36" s="556">
        <v>7</v>
      </c>
      <c r="AF36" s="557">
        <v>1450.7142857142869</v>
      </c>
      <c r="AG36" s="557">
        <v>207.24489795918385</v>
      </c>
      <c r="AH36" s="556">
        <f t="shared" si="28"/>
        <v>5</v>
      </c>
      <c r="AI36" s="637"/>
      <c r="AJ36" s="556">
        <v>7</v>
      </c>
      <c r="AK36" s="557">
        <v>1500.0000000000005</v>
      </c>
      <c r="AL36" s="557">
        <v>214.28571428571436</v>
      </c>
      <c r="AM36" s="556">
        <f t="shared" si="30"/>
        <v>1</v>
      </c>
      <c r="AN36" s="637"/>
      <c r="AO36" s="556">
        <v>7</v>
      </c>
      <c r="AP36" s="557">
        <v>1487.5862068965528</v>
      </c>
      <c r="AQ36" s="557">
        <v>212.51231527093611</v>
      </c>
      <c r="AR36" s="556">
        <f t="shared" si="32"/>
        <v>3</v>
      </c>
      <c r="AS36" s="637"/>
      <c r="AT36" s="556">
        <v>7</v>
      </c>
      <c r="AU36" s="557">
        <v>1497.2727272727273</v>
      </c>
      <c r="AV36" s="557">
        <v>213.89610389610388</v>
      </c>
      <c r="AW36" s="556">
        <f t="shared" si="34"/>
        <v>3</v>
      </c>
      <c r="AX36" s="637"/>
      <c r="AZ36" s="368" t="e">
        <f t="shared" si="36"/>
        <v>#N/A</v>
      </c>
      <c r="BA36" s="637"/>
    </row>
    <row r="37" spans="2:53">
      <c r="B37" s="647"/>
      <c r="C37" s="380">
        <v>11</v>
      </c>
      <c r="D37" s="225"/>
      <c r="E37" s="535"/>
      <c r="F37" s="534"/>
      <c r="G37" s="536"/>
      <c r="H37" s="655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57"/>
      <c r="M37" s="388" t="e">
        <f>RANK(K37, K$24:$K$41)</f>
        <v>#VALUE!</v>
      </c>
      <c r="N37" s="641"/>
      <c r="O37" s="641"/>
      <c r="P37" s="556" t="s">
        <v>585</v>
      </c>
      <c r="Q37" s="557" t="s">
        <v>585</v>
      </c>
      <c r="R37" s="557" t="s">
        <v>585</v>
      </c>
      <c r="S37" s="556" t="e">
        <f t="shared" si="22"/>
        <v>#VALUE!</v>
      </c>
      <c r="T37" s="637"/>
      <c r="U37" s="556" t="s">
        <v>585</v>
      </c>
      <c r="V37" s="557" t="s">
        <v>585</v>
      </c>
      <c r="W37" s="557" t="s">
        <v>585</v>
      </c>
      <c r="X37" s="556" t="e">
        <f t="shared" si="24"/>
        <v>#VALUE!</v>
      </c>
      <c r="Y37" s="637"/>
      <c r="Z37" s="556" t="s">
        <v>585</v>
      </c>
      <c r="AA37" s="557" t="s">
        <v>585</v>
      </c>
      <c r="AB37" s="557" t="s">
        <v>585</v>
      </c>
      <c r="AC37" s="556" t="e">
        <f t="shared" si="26"/>
        <v>#VALUE!</v>
      </c>
      <c r="AD37" s="637"/>
      <c r="AE37" s="556" t="s">
        <v>585</v>
      </c>
      <c r="AF37" s="557" t="s">
        <v>585</v>
      </c>
      <c r="AG37" s="557" t="s">
        <v>585</v>
      </c>
      <c r="AH37" s="556" t="e">
        <f t="shared" si="28"/>
        <v>#VALUE!</v>
      </c>
      <c r="AI37" s="637"/>
      <c r="AJ37" s="556" t="s">
        <v>585</v>
      </c>
      <c r="AK37" s="557" t="s">
        <v>585</v>
      </c>
      <c r="AL37" s="557" t="s">
        <v>585</v>
      </c>
      <c r="AM37" s="556" t="e">
        <f t="shared" si="30"/>
        <v>#VALUE!</v>
      </c>
      <c r="AN37" s="637"/>
      <c r="AO37" s="556" t="s">
        <v>585</v>
      </c>
      <c r="AP37" s="557" t="s">
        <v>585</v>
      </c>
      <c r="AQ37" s="557" t="s">
        <v>585</v>
      </c>
      <c r="AR37" s="556" t="e">
        <f t="shared" si="32"/>
        <v>#VALUE!</v>
      </c>
      <c r="AS37" s="637"/>
      <c r="AT37" s="556" t="s">
        <v>585</v>
      </c>
      <c r="AU37" s="557" t="s">
        <v>585</v>
      </c>
      <c r="AV37" s="557" t="s">
        <v>585</v>
      </c>
      <c r="AW37" s="556" t="e">
        <f t="shared" si="34"/>
        <v>#VALUE!</v>
      </c>
      <c r="AX37" s="637"/>
      <c r="AZ37" s="368" t="e">
        <f t="shared" si="36"/>
        <v>#N/A</v>
      </c>
      <c r="BA37" s="637"/>
    </row>
    <row r="38" spans="2:53">
      <c r="B38" s="647"/>
      <c r="C38" s="380">
        <v>12</v>
      </c>
      <c r="D38" s="225"/>
      <c r="E38" s="535"/>
      <c r="F38" s="534"/>
      <c r="G38" s="536"/>
      <c r="H38" s="655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57"/>
      <c r="M38" s="388" t="e">
        <f>RANK(K38, K$24:$K$41)</f>
        <v>#VALUE!</v>
      </c>
      <c r="N38" s="641"/>
      <c r="O38" s="641"/>
      <c r="P38" s="556" t="s">
        <v>585</v>
      </c>
      <c r="Q38" s="557" t="s">
        <v>585</v>
      </c>
      <c r="R38" s="557" t="s">
        <v>585</v>
      </c>
      <c r="S38" s="556" t="e">
        <f t="shared" si="22"/>
        <v>#VALUE!</v>
      </c>
      <c r="T38" s="637"/>
      <c r="U38" s="556" t="s">
        <v>585</v>
      </c>
      <c r="V38" s="557" t="s">
        <v>585</v>
      </c>
      <c r="W38" s="557" t="s">
        <v>585</v>
      </c>
      <c r="X38" s="556" t="e">
        <f t="shared" si="24"/>
        <v>#VALUE!</v>
      </c>
      <c r="Y38" s="637"/>
      <c r="Z38" s="556" t="s">
        <v>585</v>
      </c>
      <c r="AA38" s="557" t="s">
        <v>585</v>
      </c>
      <c r="AB38" s="557" t="s">
        <v>585</v>
      </c>
      <c r="AC38" s="556" t="e">
        <f t="shared" si="26"/>
        <v>#VALUE!</v>
      </c>
      <c r="AD38" s="637"/>
      <c r="AE38" s="556" t="s">
        <v>585</v>
      </c>
      <c r="AF38" s="557" t="s">
        <v>585</v>
      </c>
      <c r="AG38" s="557" t="s">
        <v>585</v>
      </c>
      <c r="AH38" s="556" t="e">
        <f t="shared" si="28"/>
        <v>#VALUE!</v>
      </c>
      <c r="AI38" s="637"/>
      <c r="AJ38" s="556" t="s">
        <v>585</v>
      </c>
      <c r="AK38" s="557" t="s">
        <v>585</v>
      </c>
      <c r="AL38" s="557" t="s">
        <v>585</v>
      </c>
      <c r="AM38" s="556" t="e">
        <f t="shared" si="30"/>
        <v>#VALUE!</v>
      </c>
      <c r="AN38" s="637"/>
      <c r="AO38" s="556" t="s">
        <v>585</v>
      </c>
      <c r="AP38" s="557" t="s">
        <v>585</v>
      </c>
      <c r="AQ38" s="557" t="s">
        <v>585</v>
      </c>
      <c r="AR38" s="556" t="e">
        <f t="shared" si="32"/>
        <v>#VALUE!</v>
      </c>
      <c r="AS38" s="637"/>
      <c r="AT38" s="556" t="s">
        <v>585</v>
      </c>
      <c r="AU38" s="557" t="s">
        <v>585</v>
      </c>
      <c r="AV38" s="557" t="s">
        <v>585</v>
      </c>
      <c r="AW38" s="556" t="e">
        <f t="shared" si="34"/>
        <v>#VALUE!</v>
      </c>
      <c r="AX38" s="637"/>
      <c r="AZ38" s="368" t="e">
        <f t="shared" si="36"/>
        <v>#N/A</v>
      </c>
      <c r="BA38" s="637"/>
    </row>
    <row r="39" spans="2:53">
      <c r="B39" s="647"/>
      <c r="C39" s="380">
        <v>13</v>
      </c>
      <c r="D39" s="225"/>
      <c r="E39" s="535"/>
      <c r="F39" s="534"/>
      <c r="G39" s="536"/>
      <c r="H39" s="655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57"/>
      <c r="M39" s="388" t="e">
        <f>RANK(K39, K$24:$K$41)</f>
        <v>#VALUE!</v>
      </c>
      <c r="N39" s="641"/>
      <c r="O39" s="641"/>
      <c r="P39" s="556" t="s">
        <v>585</v>
      </c>
      <c r="Q39" s="557" t="s">
        <v>585</v>
      </c>
      <c r="R39" s="557" t="s">
        <v>585</v>
      </c>
      <c r="S39" s="556" t="e">
        <f t="shared" si="22"/>
        <v>#VALUE!</v>
      </c>
      <c r="T39" s="637"/>
      <c r="U39" s="556" t="s">
        <v>585</v>
      </c>
      <c r="V39" s="557" t="s">
        <v>585</v>
      </c>
      <c r="W39" s="557" t="s">
        <v>585</v>
      </c>
      <c r="X39" s="556" t="e">
        <f t="shared" si="24"/>
        <v>#VALUE!</v>
      </c>
      <c r="Y39" s="637"/>
      <c r="Z39" s="556" t="s">
        <v>585</v>
      </c>
      <c r="AA39" s="557" t="s">
        <v>585</v>
      </c>
      <c r="AB39" s="557" t="s">
        <v>585</v>
      </c>
      <c r="AC39" s="556" t="e">
        <f t="shared" si="26"/>
        <v>#VALUE!</v>
      </c>
      <c r="AD39" s="637"/>
      <c r="AE39" s="556" t="s">
        <v>585</v>
      </c>
      <c r="AF39" s="557" t="s">
        <v>585</v>
      </c>
      <c r="AG39" s="557" t="s">
        <v>585</v>
      </c>
      <c r="AH39" s="556" t="e">
        <f t="shared" si="28"/>
        <v>#VALUE!</v>
      </c>
      <c r="AI39" s="637"/>
      <c r="AJ39" s="556" t="s">
        <v>585</v>
      </c>
      <c r="AK39" s="557" t="s">
        <v>585</v>
      </c>
      <c r="AL39" s="557" t="s">
        <v>585</v>
      </c>
      <c r="AM39" s="556" t="e">
        <f t="shared" si="30"/>
        <v>#VALUE!</v>
      </c>
      <c r="AN39" s="637"/>
      <c r="AO39" s="556" t="s">
        <v>585</v>
      </c>
      <c r="AP39" s="557" t="s">
        <v>585</v>
      </c>
      <c r="AQ39" s="557" t="s">
        <v>585</v>
      </c>
      <c r="AR39" s="556" t="e">
        <f t="shared" si="32"/>
        <v>#VALUE!</v>
      </c>
      <c r="AS39" s="637"/>
      <c r="AT39" s="556" t="s">
        <v>585</v>
      </c>
      <c r="AU39" s="557" t="s">
        <v>585</v>
      </c>
      <c r="AV39" s="557" t="s">
        <v>585</v>
      </c>
      <c r="AW39" s="556" t="e">
        <f t="shared" si="34"/>
        <v>#VALUE!</v>
      </c>
      <c r="AX39" s="637"/>
      <c r="AZ39" s="368" t="e">
        <f t="shared" si="36"/>
        <v>#N/A</v>
      </c>
      <c r="BA39" s="637"/>
    </row>
    <row r="40" spans="2:53">
      <c r="B40" s="647"/>
      <c r="C40" s="380">
        <v>14</v>
      </c>
      <c r="D40" s="225"/>
      <c r="E40" s="535"/>
      <c r="F40" s="534"/>
      <c r="G40" s="536"/>
      <c r="H40" s="655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7"/>
      <c r="M40" s="388" t="e">
        <f>RANK(K40, K$24:$K$41)</f>
        <v>#VALUE!</v>
      </c>
      <c r="N40" s="641"/>
      <c r="O40" s="641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7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7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7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7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7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7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7"/>
      <c r="AZ40" s="368" t="e">
        <f t="shared" si="36"/>
        <v>#N/A</v>
      </c>
      <c r="BA40" s="637"/>
    </row>
    <row r="41" spans="2:53">
      <c r="B41" s="647"/>
      <c r="C41" s="380">
        <v>15</v>
      </c>
      <c r="D41" s="225"/>
      <c r="E41" s="535"/>
      <c r="F41" s="534"/>
      <c r="G41" s="536"/>
      <c r="H41" s="712"/>
      <c r="I41" s="380"/>
      <c r="J41" s="380"/>
      <c r="K41" s="380"/>
      <c r="L41" s="658"/>
      <c r="M41" s="388" t="e">
        <f>RANK(K41, K$24:$K$41)</f>
        <v>#N/A</v>
      </c>
      <c r="N41" s="641"/>
      <c r="O41" s="641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8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8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8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8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8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8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8"/>
      <c r="AZ41" s="368" t="e">
        <f t="shared" si="36"/>
        <v>#N/A</v>
      </c>
      <c r="BA41" s="638"/>
    </row>
    <row r="42" spans="2:53" ht="15.75">
      <c r="B42" s="680" t="s">
        <v>162</v>
      </c>
      <c r="C42" s="681"/>
      <c r="D42" s="681"/>
      <c r="E42" s="681"/>
      <c r="F42" s="681"/>
      <c r="G42" s="681"/>
      <c r="H42" s="681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68">
        <f>P22+7</f>
        <v>46245</v>
      </c>
      <c r="Q42" s="647"/>
      <c r="R42" s="647"/>
      <c r="S42" s="647"/>
      <c r="T42" s="647"/>
      <c r="U42" s="665">
        <f>P42+1</f>
        <v>46246</v>
      </c>
      <c r="V42" s="666"/>
      <c r="W42" s="666"/>
      <c r="X42" s="666"/>
      <c r="Y42" s="667"/>
      <c r="Z42" s="665">
        <f>U42+1</f>
        <v>46247</v>
      </c>
      <c r="AA42" s="666"/>
      <c r="AB42" s="666"/>
      <c r="AC42" s="666"/>
      <c r="AD42" s="667"/>
      <c r="AE42" s="665">
        <f>Z42+1</f>
        <v>46248</v>
      </c>
      <c r="AF42" s="666"/>
      <c r="AG42" s="666"/>
      <c r="AH42" s="666"/>
      <c r="AI42" s="667"/>
      <c r="AJ42" s="665">
        <f>AE42+1</f>
        <v>46249</v>
      </c>
      <c r="AK42" s="666"/>
      <c r="AL42" s="666"/>
      <c r="AM42" s="666"/>
      <c r="AN42" s="667"/>
      <c r="AO42" s="665">
        <f>AJ42+1</f>
        <v>46250</v>
      </c>
      <c r="AP42" s="666"/>
      <c r="AQ42" s="666"/>
      <c r="AR42" s="666"/>
      <c r="AS42" s="667"/>
      <c r="AT42" s="665">
        <f>AO42+1</f>
        <v>46251</v>
      </c>
      <c r="AU42" s="666"/>
      <c r="AV42" s="666"/>
      <c r="AW42" s="666"/>
      <c r="AX42" s="667"/>
    </row>
    <row r="43" spans="2:53" ht="15.75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45"/>
      <c r="O43" s="645"/>
      <c r="P43" s="668" t="s">
        <v>317</v>
      </c>
      <c r="Q43" s="647"/>
      <c r="R43" s="647"/>
      <c r="S43" s="647"/>
      <c r="T43" s="647"/>
      <c r="U43" s="668" t="s">
        <v>318</v>
      </c>
      <c r="V43" s="647"/>
      <c r="W43" s="647"/>
      <c r="X43" s="647"/>
      <c r="Y43" s="647"/>
      <c r="Z43" s="668" t="s">
        <v>319</v>
      </c>
      <c r="AA43" s="647"/>
      <c r="AB43" s="647"/>
      <c r="AC43" s="647"/>
      <c r="AD43" s="647"/>
      <c r="AE43" s="668" t="s">
        <v>320</v>
      </c>
      <c r="AF43" s="647"/>
      <c r="AG43" s="647"/>
      <c r="AH43" s="647"/>
      <c r="AI43" s="647"/>
      <c r="AJ43" s="668" t="s">
        <v>321</v>
      </c>
      <c r="AK43" s="647"/>
      <c r="AL43" s="647"/>
      <c r="AM43" s="647"/>
      <c r="AN43" s="647"/>
      <c r="AO43" s="668" t="s">
        <v>322</v>
      </c>
      <c r="AP43" s="647"/>
      <c r="AQ43" s="647"/>
      <c r="AR43" s="647"/>
      <c r="AS43" s="647"/>
      <c r="AT43" s="668" t="s">
        <v>323</v>
      </c>
      <c r="AU43" s="647"/>
      <c r="AV43" s="647"/>
      <c r="AW43" s="647"/>
      <c r="AX43" s="647"/>
    </row>
    <row r="44" spans="2:53">
      <c r="B44" s="641" t="s">
        <v>453</v>
      </c>
      <c r="C44" s="641" t="s">
        <v>532</v>
      </c>
      <c r="D44" s="641"/>
      <c r="E44" s="641" t="s">
        <v>533</v>
      </c>
      <c r="F44" s="641"/>
      <c r="G44" s="641"/>
      <c r="H44" s="673" t="s">
        <v>534</v>
      </c>
      <c r="I44" s="641" t="s">
        <v>535</v>
      </c>
      <c r="J44" s="641"/>
      <c r="K44" s="641"/>
      <c r="L44" s="673" t="s">
        <v>366</v>
      </c>
      <c r="M44" s="643" t="s">
        <v>536</v>
      </c>
      <c r="N44" s="641"/>
      <c r="O44" s="641" t="s">
        <v>372</v>
      </c>
      <c r="P44" s="659" t="s">
        <v>368</v>
      </c>
      <c r="Q44" s="660"/>
      <c r="R44" s="660"/>
      <c r="S44" s="661"/>
      <c r="T44" s="641" t="s">
        <v>366</v>
      </c>
      <c r="U44" s="659" t="s">
        <v>368</v>
      </c>
      <c r="V44" s="660"/>
      <c r="W44" s="660"/>
      <c r="X44" s="661"/>
      <c r="Y44" s="641" t="s">
        <v>366</v>
      </c>
      <c r="Z44" s="659" t="s">
        <v>368</v>
      </c>
      <c r="AA44" s="660"/>
      <c r="AB44" s="660"/>
      <c r="AC44" s="661"/>
      <c r="AD44" s="641" t="s">
        <v>366</v>
      </c>
      <c r="AE44" s="659" t="s">
        <v>368</v>
      </c>
      <c r="AF44" s="660"/>
      <c r="AG44" s="660"/>
      <c r="AH44" s="661"/>
      <c r="AI44" s="641" t="s">
        <v>366</v>
      </c>
      <c r="AJ44" s="659" t="s">
        <v>368</v>
      </c>
      <c r="AK44" s="660"/>
      <c r="AL44" s="660"/>
      <c r="AM44" s="661"/>
      <c r="AN44" s="641" t="s">
        <v>366</v>
      </c>
      <c r="AO44" s="659" t="s">
        <v>368</v>
      </c>
      <c r="AP44" s="660"/>
      <c r="AQ44" s="660"/>
      <c r="AR44" s="661"/>
      <c r="AS44" s="641" t="s">
        <v>366</v>
      </c>
      <c r="AT44" s="659" t="s">
        <v>368</v>
      </c>
      <c r="AU44" s="660"/>
      <c r="AV44" s="660"/>
      <c r="AW44" s="661"/>
      <c r="AX44" s="641" t="s">
        <v>366</v>
      </c>
      <c r="BA44" s="641" t="s">
        <v>366</v>
      </c>
    </row>
    <row r="45" spans="2:53">
      <c r="B45" s="641"/>
      <c r="C45" s="641"/>
      <c r="D45" s="641"/>
      <c r="E45" s="641" t="s">
        <v>538</v>
      </c>
      <c r="F45" s="641"/>
      <c r="G45" s="641"/>
      <c r="H45" s="674"/>
      <c r="I45" s="641" t="s">
        <v>538</v>
      </c>
      <c r="J45" s="641"/>
      <c r="K45" s="641"/>
      <c r="L45" s="674"/>
      <c r="M45" s="644"/>
      <c r="N45" s="641"/>
      <c r="O45" s="641"/>
      <c r="P45" s="659" t="s">
        <v>374</v>
      </c>
      <c r="Q45" s="660"/>
      <c r="R45" s="660"/>
      <c r="S45" s="661"/>
      <c r="T45" s="641"/>
      <c r="U45" s="659" t="s">
        <v>374</v>
      </c>
      <c r="V45" s="660"/>
      <c r="W45" s="660"/>
      <c r="X45" s="661"/>
      <c r="Y45" s="641"/>
      <c r="Z45" s="659" t="s">
        <v>374</v>
      </c>
      <c r="AA45" s="660"/>
      <c r="AB45" s="660"/>
      <c r="AC45" s="661"/>
      <c r="AD45" s="641"/>
      <c r="AE45" s="659" t="s">
        <v>374</v>
      </c>
      <c r="AF45" s="660"/>
      <c r="AG45" s="660"/>
      <c r="AH45" s="661"/>
      <c r="AI45" s="641"/>
      <c r="AJ45" s="659" t="s">
        <v>374</v>
      </c>
      <c r="AK45" s="660"/>
      <c r="AL45" s="660"/>
      <c r="AM45" s="661"/>
      <c r="AN45" s="641"/>
      <c r="AO45" s="659" t="s">
        <v>374</v>
      </c>
      <c r="AP45" s="660"/>
      <c r="AQ45" s="660"/>
      <c r="AR45" s="661"/>
      <c r="AS45" s="641"/>
      <c r="AT45" s="659" t="s">
        <v>374</v>
      </c>
      <c r="AU45" s="660"/>
      <c r="AV45" s="660"/>
      <c r="AW45" s="661"/>
      <c r="AX45" s="641"/>
      <c r="BA45" s="641"/>
    </row>
    <row r="46" spans="2:53">
      <c r="B46" s="641"/>
      <c r="C46" s="641"/>
      <c r="D46" s="641"/>
      <c r="E46" s="378" t="s">
        <v>539</v>
      </c>
      <c r="F46" s="378" t="s">
        <v>540</v>
      </c>
      <c r="G46" s="378" t="s">
        <v>541</v>
      </c>
      <c r="H46" s="675"/>
      <c r="I46" s="378" t="s">
        <v>539</v>
      </c>
      <c r="J46" s="378" t="s">
        <v>540</v>
      </c>
      <c r="K46" s="378" t="s">
        <v>541</v>
      </c>
      <c r="L46" s="675"/>
      <c r="M46" s="645"/>
      <c r="N46" s="641"/>
      <c r="O46" s="641"/>
      <c r="P46" s="378" t="s">
        <v>375</v>
      </c>
      <c r="Q46" s="378" t="s">
        <v>376</v>
      </c>
      <c r="R46" s="378" t="s">
        <v>377</v>
      </c>
      <c r="S46" s="378" t="s">
        <v>367</v>
      </c>
      <c r="T46" s="641"/>
      <c r="U46" s="378" t="s">
        <v>375</v>
      </c>
      <c r="V46" s="378" t="s">
        <v>376</v>
      </c>
      <c r="W46" s="378" t="s">
        <v>377</v>
      </c>
      <c r="X46" s="378" t="s">
        <v>367</v>
      </c>
      <c r="Y46" s="641"/>
      <c r="Z46" s="378" t="s">
        <v>375</v>
      </c>
      <c r="AA46" s="378" t="s">
        <v>376</v>
      </c>
      <c r="AB46" s="378" t="s">
        <v>377</v>
      </c>
      <c r="AC46" s="378" t="s">
        <v>367</v>
      </c>
      <c r="AD46" s="641"/>
      <c r="AE46" s="378" t="s">
        <v>375</v>
      </c>
      <c r="AF46" s="378" t="s">
        <v>376</v>
      </c>
      <c r="AG46" s="378" t="s">
        <v>377</v>
      </c>
      <c r="AH46" s="378" t="s">
        <v>367</v>
      </c>
      <c r="AI46" s="641"/>
      <c r="AJ46" s="378" t="s">
        <v>375</v>
      </c>
      <c r="AK46" s="378" t="s">
        <v>376</v>
      </c>
      <c r="AL46" s="378" t="s">
        <v>377</v>
      </c>
      <c r="AM46" s="378" t="s">
        <v>367</v>
      </c>
      <c r="AN46" s="641"/>
      <c r="AO46" s="378" t="s">
        <v>375</v>
      </c>
      <c r="AP46" s="378" t="s">
        <v>376</v>
      </c>
      <c r="AQ46" s="378" t="s">
        <v>377</v>
      </c>
      <c r="AR46" s="378" t="s">
        <v>367</v>
      </c>
      <c r="AS46" s="641"/>
      <c r="AT46" s="378" t="s">
        <v>375</v>
      </c>
      <c r="AU46" s="378" t="s">
        <v>376</v>
      </c>
      <c r="AV46" s="378" t="s">
        <v>377</v>
      </c>
      <c r="AW46" s="378" t="s">
        <v>367</v>
      </c>
      <c r="AX46" s="641"/>
      <c r="AZ46" s="367" t="s">
        <v>560</v>
      </c>
      <c r="BA46" s="641"/>
    </row>
    <row r="47" spans="2:53">
      <c r="B47" s="641" t="s">
        <v>469</v>
      </c>
      <c r="C47" s="380">
        <v>1</v>
      </c>
      <c r="D47" s="225" t="s">
        <v>354</v>
      </c>
      <c r="E47" s="535">
        <v>7</v>
      </c>
      <c r="F47" s="534">
        <v>1500</v>
      </c>
      <c r="G47" s="536">
        <v>214.28571428571428</v>
      </c>
      <c r="H47" s="654">
        <f>AVERAGE(G47:G61)</f>
        <v>184.40709617180207</v>
      </c>
      <c r="I47" s="381">
        <f t="shared" ref="I47:I60" si="38">IFERROR(AVERAGE(P47,U47,Z47,AE47,AJ47,AO47,AT47),"-")</f>
        <v>7</v>
      </c>
      <c r="J47" s="381">
        <f t="shared" ref="J47:J60" si="39">IFERROR(AVERAGE(Q47,V47,AA47,AF47,AK47,AP47,AU47),"-")</f>
        <v>1422.4280539768156</v>
      </c>
      <c r="K47" s="199">
        <f t="shared" ref="K47:K60" si="40">IFERROR(AVERAGE(R47,W47,AB47,AG47,AL47,AQ47,AV47),"-")</f>
        <v>203.20400771097368</v>
      </c>
      <c r="L47" s="656">
        <f>IFERROR(AVERAGE(K47:K61),"-")</f>
        <v>162.34446135718014</v>
      </c>
      <c r="M47" s="385">
        <f>RANK(K47, K$47:$K$61)</f>
        <v>4</v>
      </c>
      <c r="N47" s="641"/>
      <c r="O47" s="641"/>
      <c r="P47" s="562">
        <v>7</v>
      </c>
      <c r="Q47" s="566">
        <v>1414.6153846153854</v>
      </c>
      <c r="R47" s="566">
        <v>202.0879120879122</v>
      </c>
      <c r="S47" s="562">
        <f t="shared" ref="S47:S61" si="41">RANK(R47, R$47:R$61)</f>
        <v>5</v>
      </c>
      <c r="T47" s="636">
        <f t="shared" ref="T47" si="42">AVERAGE(R47:R61)</f>
        <v>163.07067583288912</v>
      </c>
      <c r="U47" s="562">
        <v>7</v>
      </c>
      <c r="V47" s="566">
        <v>1438.7500000000005</v>
      </c>
      <c r="W47" s="566">
        <v>205.53571428571436</v>
      </c>
      <c r="X47" s="562">
        <f t="shared" ref="X47:X61" si="43">RANK(W47, W$47:W$61)</f>
        <v>2</v>
      </c>
      <c r="Y47" s="636">
        <f t="shared" ref="Y47" si="44">AVERAGE(W47:W61)</f>
        <v>163.2330982975933</v>
      </c>
      <c r="Z47" s="562">
        <v>7</v>
      </c>
      <c r="AA47" s="566">
        <v>1390.5882352941182</v>
      </c>
      <c r="AB47" s="566">
        <v>198.65546218487404</v>
      </c>
      <c r="AC47" s="562">
        <f t="shared" ref="AC47:AC61" si="45">RANK(AB47, AB$47:AB$61)</f>
        <v>5</v>
      </c>
      <c r="AD47" s="636">
        <f t="shared" ref="AD47" si="46">AVERAGE(AB47:AB61)</f>
        <v>162.25234062464085</v>
      </c>
      <c r="AE47" s="562">
        <v>7</v>
      </c>
      <c r="AF47" s="566">
        <v>1433.9999999999995</v>
      </c>
      <c r="AG47" s="566">
        <v>204.8571428571428</v>
      </c>
      <c r="AH47" s="562">
        <f t="shared" ref="AH47:AH61" si="47">RANK(AG47, AG$47:AG$61)</f>
        <v>2</v>
      </c>
      <c r="AI47" s="636">
        <f t="shared" ref="AI47" si="48">AVERAGE(AG47:AG61)</f>
        <v>163.17903236481655</v>
      </c>
      <c r="AJ47" s="562">
        <v>7</v>
      </c>
      <c r="AK47" s="566">
        <v>1418.9189189189194</v>
      </c>
      <c r="AL47" s="566">
        <v>202.70270270270277</v>
      </c>
      <c r="AM47" s="562">
        <f t="shared" ref="AM47:AM61" si="49">RANK(AL47, AL$47:AL$61)</f>
        <v>3</v>
      </c>
      <c r="AN47" s="636">
        <f t="shared" ref="AN47" si="50">AVERAGE(AL47:AL61)</f>
        <v>159.05014046425921</v>
      </c>
      <c r="AO47" s="562">
        <v>7</v>
      </c>
      <c r="AP47" s="566">
        <v>1421.1764705882358</v>
      </c>
      <c r="AQ47" s="566">
        <v>203.02521008403369</v>
      </c>
      <c r="AR47" s="562">
        <f t="shared" ref="AR47:AR61" si="51">RANK(AQ47, AQ$47:AQ$61)</f>
        <v>4</v>
      </c>
      <c r="AS47" s="636">
        <f t="shared" ref="AS47" si="52">AVERAGE(AQ47:AQ61)</f>
        <v>162.48547088745127</v>
      </c>
      <c r="AT47" s="562">
        <v>7</v>
      </c>
      <c r="AU47" s="566">
        <v>1438.9473684210525</v>
      </c>
      <c r="AV47" s="566">
        <v>205.56390977443607</v>
      </c>
      <c r="AW47" s="562">
        <f t="shared" ref="AW47:AW61" si="53">RANK(AV47, AV$47:AV$61)</f>
        <v>2</v>
      </c>
      <c r="AX47" s="636">
        <f t="shared" ref="AX47" si="54">AVERAGE(AV47:AV61)</f>
        <v>163.1404710286107</v>
      </c>
      <c r="AZ47" s="368" t="e">
        <f t="shared" ref="AZ47:AZ61" si="55">RANK(AY47, AY$47:AY$61)</f>
        <v>#N/A</v>
      </c>
      <c r="BA47" s="636" t="e">
        <f t="shared" ref="BA47" si="56">AVERAGE(AY47:AY61)</f>
        <v>#DIV/0!</v>
      </c>
    </row>
    <row r="48" spans="2:53">
      <c r="B48" s="647"/>
      <c r="C48" s="380">
        <v>2</v>
      </c>
      <c r="D48" s="225" t="s">
        <v>355</v>
      </c>
      <c r="E48" s="535">
        <v>7</v>
      </c>
      <c r="F48" s="534">
        <v>1500</v>
      </c>
      <c r="G48" s="536">
        <v>214.28571428571428</v>
      </c>
      <c r="H48" s="655"/>
      <c r="I48" s="381">
        <f t="shared" si="38"/>
        <v>7</v>
      </c>
      <c r="J48" s="381">
        <f t="shared" si="39"/>
        <v>1445.0270829697929</v>
      </c>
      <c r="K48" s="199">
        <f t="shared" si="40"/>
        <v>206.43244042425613</v>
      </c>
      <c r="L48" s="657"/>
      <c r="M48" s="420">
        <f>RANK(K48, K$47:$K$61)</f>
        <v>1</v>
      </c>
      <c r="N48" s="641"/>
      <c r="O48" s="641"/>
      <c r="P48" s="562">
        <v>7</v>
      </c>
      <c r="Q48" s="566">
        <v>1458.7234042553196</v>
      </c>
      <c r="R48" s="566">
        <v>208.38905775075995</v>
      </c>
      <c r="S48" s="562">
        <f t="shared" si="41"/>
        <v>1</v>
      </c>
      <c r="T48" s="637"/>
      <c r="U48" s="562">
        <v>7</v>
      </c>
      <c r="V48" s="566">
        <v>1440.4285714285718</v>
      </c>
      <c r="W48" s="566">
        <v>205.77551020408168</v>
      </c>
      <c r="X48" s="562">
        <f t="shared" si="43"/>
        <v>1</v>
      </c>
      <c r="Y48" s="637"/>
      <c r="Z48" s="562">
        <v>7</v>
      </c>
      <c r="AA48" s="566">
        <v>1433.4306569343066</v>
      </c>
      <c r="AB48" s="566">
        <v>204.77580813347237</v>
      </c>
      <c r="AC48" s="562">
        <f t="shared" si="45"/>
        <v>2</v>
      </c>
      <c r="AD48" s="637"/>
      <c r="AE48" s="562">
        <v>7</v>
      </c>
      <c r="AF48" s="566">
        <v>1457.3684210526312</v>
      </c>
      <c r="AG48" s="566">
        <v>208.19548872180445</v>
      </c>
      <c r="AH48" s="562">
        <f t="shared" si="47"/>
        <v>1</v>
      </c>
      <c r="AI48" s="637"/>
      <c r="AJ48" s="562">
        <v>7</v>
      </c>
      <c r="AK48" s="566">
        <v>1460.54054054054</v>
      </c>
      <c r="AL48" s="566">
        <v>208.64864864864856</v>
      </c>
      <c r="AM48" s="562">
        <f t="shared" si="49"/>
        <v>1</v>
      </c>
      <c r="AN48" s="637"/>
      <c r="AO48" s="562">
        <v>7</v>
      </c>
      <c r="AP48" s="566">
        <v>1440</v>
      </c>
      <c r="AQ48" s="566">
        <v>205.71428571428572</v>
      </c>
      <c r="AR48" s="562">
        <f t="shared" si="51"/>
        <v>2</v>
      </c>
      <c r="AS48" s="637"/>
      <c r="AT48" s="562">
        <v>7</v>
      </c>
      <c r="AU48" s="566">
        <v>1424.6979865771809</v>
      </c>
      <c r="AV48" s="566">
        <v>203.52828379674014</v>
      </c>
      <c r="AW48" s="562">
        <f t="shared" si="53"/>
        <v>3</v>
      </c>
      <c r="AX48" s="637"/>
      <c r="AZ48" s="368" t="e">
        <f t="shared" si="55"/>
        <v>#N/A</v>
      </c>
      <c r="BA48" s="637"/>
    </row>
    <row r="49" spans="2:53">
      <c r="B49" s="647"/>
      <c r="C49" s="380">
        <v>3</v>
      </c>
      <c r="D49" s="225" t="s">
        <v>356</v>
      </c>
      <c r="E49" s="535">
        <v>17</v>
      </c>
      <c r="F49" s="534">
        <v>1500</v>
      </c>
      <c r="G49" s="536">
        <v>88.235294117647058</v>
      </c>
      <c r="H49" s="655"/>
      <c r="I49" s="381">
        <f t="shared" si="38"/>
        <v>16.857142857142858</v>
      </c>
      <c r="J49" s="381">
        <f t="shared" si="39"/>
        <v>1352.6758400508697</v>
      </c>
      <c r="K49" s="199">
        <f t="shared" si="40"/>
        <v>80.280141669050067</v>
      </c>
      <c r="L49" s="657"/>
      <c r="M49" s="420">
        <f>RANK(K49, K$47:$K$61)</f>
        <v>9</v>
      </c>
      <c r="N49" s="641"/>
      <c r="O49" s="641"/>
      <c r="P49" s="562">
        <v>17</v>
      </c>
      <c r="Q49" s="566">
        <v>1347.6473684210532</v>
      </c>
      <c r="R49" s="566">
        <v>79.273374613003128</v>
      </c>
      <c r="S49" s="562">
        <f t="shared" si="41"/>
        <v>9</v>
      </c>
      <c r="T49" s="637"/>
      <c r="U49" s="562">
        <v>17</v>
      </c>
      <c r="V49" s="566">
        <v>1365.2865671641789</v>
      </c>
      <c r="W49" s="566">
        <v>80.310974539069349</v>
      </c>
      <c r="X49" s="562">
        <f t="shared" si="43"/>
        <v>9</v>
      </c>
      <c r="Y49" s="637"/>
      <c r="Z49" s="562">
        <v>17</v>
      </c>
      <c r="AA49" s="566">
        <v>1324.9391304347826</v>
      </c>
      <c r="AB49" s="566">
        <v>77.937595907928383</v>
      </c>
      <c r="AC49" s="562">
        <f t="shared" si="45"/>
        <v>9</v>
      </c>
      <c r="AD49" s="637"/>
      <c r="AE49" s="562">
        <v>17</v>
      </c>
      <c r="AF49" s="566">
        <v>1339.7678571428562</v>
      </c>
      <c r="AG49" s="566">
        <v>78.809873949579782</v>
      </c>
      <c r="AH49" s="562">
        <f t="shared" si="47"/>
        <v>9</v>
      </c>
      <c r="AI49" s="637"/>
      <c r="AJ49" s="562">
        <v>17</v>
      </c>
      <c r="AK49" s="566">
        <v>1356.932142857142</v>
      </c>
      <c r="AL49" s="566">
        <v>79.819537815125997</v>
      </c>
      <c r="AM49" s="562">
        <f t="shared" si="49"/>
        <v>9</v>
      </c>
      <c r="AN49" s="637"/>
      <c r="AO49" s="562">
        <v>17</v>
      </c>
      <c r="AP49" s="566">
        <v>1380.4621621621627</v>
      </c>
      <c r="AQ49" s="566">
        <v>81.203656597774284</v>
      </c>
      <c r="AR49" s="562">
        <f t="shared" si="51"/>
        <v>9</v>
      </c>
      <c r="AS49" s="637"/>
      <c r="AT49" s="562">
        <v>16</v>
      </c>
      <c r="AU49" s="566">
        <v>1353.695652173913</v>
      </c>
      <c r="AV49" s="566">
        <v>84.605978260869563</v>
      </c>
      <c r="AW49" s="562">
        <f t="shared" si="53"/>
        <v>9</v>
      </c>
      <c r="AX49" s="637"/>
      <c r="AZ49" s="368" t="e">
        <f t="shared" si="55"/>
        <v>#N/A</v>
      </c>
      <c r="BA49" s="637"/>
    </row>
    <row r="50" spans="2:53">
      <c r="B50" s="647"/>
      <c r="C50" s="380">
        <v>4</v>
      </c>
      <c r="D50" s="225" t="s">
        <v>388</v>
      </c>
      <c r="E50" s="535">
        <v>7</v>
      </c>
      <c r="F50" s="534">
        <v>1500</v>
      </c>
      <c r="G50" s="536">
        <v>214.28571428571428</v>
      </c>
      <c r="H50" s="655"/>
      <c r="I50" s="381">
        <f t="shared" si="38"/>
        <v>7</v>
      </c>
      <c r="J50" s="381">
        <f t="shared" si="39"/>
        <v>1426.415600316675</v>
      </c>
      <c r="K50" s="199">
        <f t="shared" si="40"/>
        <v>203.77365718809642</v>
      </c>
      <c r="L50" s="657"/>
      <c r="M50" s="420">
        <f>RANK(K50, K$47:$K$61)</f>
        <v>3</v>
      </c>
      <c r="N50" s="641"/>
      <c r="O50" s="641"/>
      <c r="P50" s="562">
        <v>7</v>
      </c>
      <c r="Q50" s="566">
        <v>1437.4999999999998</v>
      </c>
      <c r="R50" s="566">
        <v>205.35714285714283</v>
      </c>
      <c r="S50" s="562">
        <f t="shared" si="41"/>
        <v>2</v>
      </c>
      <c r="T50" s="637"/>
      <c r="U50" s="562">
        <v>7</v>
      </c>
      <c r="V50" s="566">
        <v>1419.1489361702124</v>
      </c>
      <c r="W50" s="566">
        <v>202.73556231003036</v>
      </c>
      <c r="X50" s="562">
        <f t="shared" si="43"/>
        <v>4</v>
      </c>
      <c r="Y50" s="637"/>
      <c r="Z50" s="562">
        <v>7</v>
      </c>
      <c r="AA50" s="566">
        <v>1413.6170212765956</v>
      </c>
      <c r="AB50" s="566">
        <v>201.94528875379936</v>
      </c>
      <c r="AC50" s="562">
        <f t="shared" si="45"/>
        <v>3</v>
      </c>
      <c r="AD50" s="637"/>
      <c r="AE50" s="562">
        <v>7</v>
      </c>
      <c r="AF50" s="566">
        <v>1432.8205128205125</v>
      </c>
      <c r="AG50" s="566">
        <v>204.68864468864464</v>
      </c>
      <c r="AH50" s="562">
        <f t="shared" si="47"/>
        <v>3</v>
      </c>
      <c r="AI50" s="637"/>
      <c r="AJ50" s="562">
        <v>7</v>
      </c>
      <c r="AK50" s="566">
        <v>1414.6341463414637</v>
      </c>
      <c r="AL50" s="566">
        <v>202.09059233449483</v>
      </c>
      <c r="AM50" s="562">
        <f t="shared" si="49"/>
        <v>4</v>
      </c>
      <c r="AN50" s="637"/>
      <c r="AO50" s="562">
        <v>7</v>
      </c>
      <c r="AP50" s="566">
        <v>1421.4193548387095</v>
      </c>
      <c r="AQ50" s="566">
        <v>203.05990783410135</v>
      </c>
      <c r="AR50" s="562">
        <f t="shared" si="51"/>
        <v>3</v>
      </c>
      <c r="AS50" s="637"/>
      <c r="AT50" s="562">
        <v>7</v>
      </c>
      <c r="AU50" s="566">
        <v>1445.7692307692309</v>
      </c>
      <c r="AV50" s="566">
        <v>206.53846153846158</v>
      </c>
      <c r="AW50" s="562">
        <f t="shared" si="53"/>
        <v>1</v>
      </c>
      <c r="AX50" s="637"/>
      <c r="AZ50" s="368" t="e">
        <f t="shared" si="55"/>
        <v>#N/A</v>
      </c>
      <c r="BA50" s="637"/>
    </row>
    <row r="51" spans="2:53">
      <c r="B51" s="647"/>
      <c r="C51" s="380">
        <v>5</v>
      </c>
      <c r="D51" s="225" t="s">
        <v>577</v>
      </c>
      <c r="E51" s="535">
        <v>12</v>
      </c>
      <c r="F51" s="534">
        <v>2000</v>
      </c>
      <c r="G51" s="536">
        <v>166.66666666666666</v>
      </c>
      <c r="H51" s="655"/>
      <c r="I51" s="381">
        <f t="shared" si="38"/>
        <v>12</v>
      </c>
      <c r="J51" s="381">
        <f t="shared" si="39"/>
        <v>1547.8798527561762</v>
      </c>
      <c r="K51" s="199">
        <f t="shared" si="40"/>
        <v>128.98998772968136</v>
      </c>
      <c r="L51" s="657"/>
      <c r="M51" s="420">
        <f>RANK(K51, K$47:$K$61)</f>
        <v>6</v>
      </c>
      <c r="N51" s="641"/>
      <c r="O51" s="641"/>
      <c r="P51" s="562">
        <v>12</v>
      </c>
      <c r="Q51" s="566">
        <v>1544.3478260869567</v>
      </c>
      <c r="R51" s="566">
        <v>128.69565217391306</v>
      </c>
      <c r="S51" s="562">
        <f t="shared" si="41"/>
        <v>6</v>
      </c>
      <c r="T51" s="637"/>
      <c r="U51" s="562">
        <v>12</v>
      </c>
      <c r="V51" s="566">
        <v>1529.7297297297298</v>
      </c>
      <c r="W51" s="566">
        <v>127.47747747747748</v>
      </c>
      <c r="X51" s="562">
        <f t="shared" si="43"/>
        <v>7</v>
      </c>
      <c r="Y51" s="637"/>
      <c r="Z51" s="562">
        <v>12</v>
      </c>
      <c r="AA51" s="566">
        <v>1574.181818181818</v>
      </c>
      <c r="AB51" s="566">
        <v>131.18181818181816</v>
      </c>
      <c r="AC51" s="562">
        <f t="shared" si="45"/>
        <v>6</v>
      </c>
      <c r="AD51" s="637"/>
      <c r="AE51" s="562">
        <v>12</v>
      </c>
      <c r="AF51" s="566">
        <v>1539.5604395604396</v>
      </c>
      <c r="AG51" s="566">
        <v>128.2967032967033</v>
      </c>
      <c r="AH51" s="562">
        <f t="shared" si="47"/>
        <v>6</v>
      </c>
      <c r="AI51" s="637"/>
      <c r="AJ51" s="562">
        <v>12</v>
      </c>
      <c r="AK51" s="566">
        <v>1533.9130434782608</v>
      </c>
      <c r="AL51" s="566">
        <v>127.82608695652173</v>
      </c>
      <c r="AM51" s="562">
        <f t="shared" si="49"/>
        <v>6</v>
      </c>
      <c r="AN51" s="637"/>
      <c r="AO51" s="562">
        <v>12</v>
      </c>
      <c r="AP51" s="566">
        <v>1553.0973451327434</v>
      </c>
      <c r="AQ51" s="566">
        <v>129.42477876106196</v>
      </c>
      <c r="AR51" s="562">
        <f t="shared" si="51"/>
        <v>6</v>
      </c>
      <c r="AS51" s="637"/>
      <c r="AT51" s="562">
        <v>12</v>
      </c>
      <c r="AU51" s="566">
        <v>1560.3287671232872</v>
      </c>
      <c r="AV51" s="566">
        <v>130.02739726027394</v>
      </c>
      <c r="AW51" s="562">
        <f t="shared" si="53"/>
        <v>6</v>
      </c>
      <c r="AX51" s="637"/>
      <c r="AZ51" s="368" t="e">
        <f t="shared" si="55"/>
        <v>#N/A</v>
      </c>
      <c r="BA51" s="637"/>
    </row>
    <row r="52" spans="2:53">
      <c r="B52" s="647"/>
      <c r="C52" s="380">
        <v>6</v>
      </c>
      <c r="D52" s="225" t="s">
        <v>562</v>
      </c>
      <c r="E52" s="535">
        <v>7</v>
      </c>
      <c r="F52" s="534">
        <v>1500</v>
      </c>
      <c r="G52" s="536">
        <v>214.28571428571428</v>
      </c>
      <c r="H52" s="655"/>
      <c r="I52" s="381">
        <f t="shared" si="38"/>
        <v>7</v>
      </c>
      <c r="J52" s="381">
        <f t="shared" si="39"/>
        <v>1432.3625994144786</v>
      </c>
      <c r="K52" s="199">
        <f t="shared" si="40"/>
        <v>204.62322848778268</v>
      </c>
      <c r="L52" s="657"/>
      <c r="M52" s="420">
        <f>RANK(K52, K$47:$K$61)</f>
        <v>2</v>
      </c>
      <c r="N52" s="641"/>
      <c r="O52" s="641"/>
      <c r="P52" s="562">
        <v>7</v>
      </c>
      <c r="Q52" s="566">
        <v>1417.4999999999993</v>
      </c>
      <c r="R52" s="566">
        <v>202.49999999999991</v>
      </c>
      <c r="S52" s="562">
        <f t="shared" si="41"/>
        <v>4</v>
      </c>
      <c r="T52" s="637"/>
      <c r="U52" s="562">
        <v>7</v>
      </c>
      <c r="V52" s="566">
        <v>1435.5555555555559</v>
      </c>
      <c r="W52" s="566">
        <v>205.07936507936512</v>
      </c>
      <c r="X52" s="562">
        <f t="shared" si="43"/>
        <v>3</v>
      </c>
      <c r="Y52" s="637"/>
      <c r="Z52" s="562">
        <v>7</v>
      </c>
      <c r="AA52" s="566">
        <v>1452.5925925925928</v>
      </c>
      <c r="AB52" s="566">
        <v>207.51322751322755</v>
      </c>
      <c r="AC52" s="562">
        <f t="shared" si="45"/>
        <v>1</v>
      </c>
      <c r="AD52" s="637"/>
      <c r="AE52" s="562">
        <v>7</v>
      </c>
      <c r="AF52" s="566">
        <v>1424.0000000000002</v>
      </c>
      <c r="AG52" s="566">
        <v>203.42857142857147</v>
      </c>
      <c r="AH52" s="562">
        <f t="shared" si="47"/>
        <v>4</v>
      </c>
      <c r="AI52" s="637"/>
      <c r="AJ52" s="562">
        <v>7</v>
      </c>
      <c r="AK52" s="566">
        <v>1434.4444444444443</v>
      </c>
      <c r="AL52" s="566">
        <v>204.92063492063491</v>
      </c>
      <c r="AM52" s="562">
        <f t="shared" si="49"/>
        <v>2</v>
      </c>
      <c r="AN52" s="637"/>
      <c r="AO52" s="562">
        <v>7</v>
      </c>
      <c r="AP52" s="566">
        <v>1442.6865671641799</v>
      </c>
      <c r="AQ52" s="566">
        <v>206.09808102345428</v>
      </c>
      <c r="AR52" s="562">
        <f t="shared" si="51"/>
        <v>1</v>
      </c>
      <c r="AS52" s="637"/>
      <c r="AT52" s="562">
        <v>7</v>
      </c>
      <c r="AU52" s="566">
        <v>1419.7590361445784</v>
      </c>
      <c r="AV52" s="566">
        <v>202.8227194492255</v>
      </c>
      <c r="AW52" s="562">
        <f t="shared" si="53"/>
        <v>4</v>
      </c>
      <c r="AX52" s="637"/>
      <c r="AZ52" s="368" t="e">
        <f t="shared" si="55"/>
        <v>#N/A</v>
      </c>
      <c r="BA52" s="637"/>
    </row>
    <row r="53" spans="2:53">
      <c r="B53" s="647"/>
      <c r="C53" s="380">
        <v>7</v>
      </c>
      <c r="D53" s="225" t="s">
        <v>605</v>
      </c>
      <c r="E53" s="535">
        <v>12</v>
      </c>
      <c r="F53" s="534">
        <v>2000</v>
      </c>
      <c r="G53" s="536">
        <v>166.66666666666666</v>
      </c>
      <c r="H53" s="655"/>
      <c r="I53" s="381">
        <f t="shared" si="38"/>
        <v>12</v>
      </c>
      <c r="J53" s="381">
        <f t="shared" si="39"/>
        <v>1509.1777543097264</v>
      </c>
      <c r="K53" s="199">
        <f t="shared" si="40"/>
        <v>125.76481285914386</v>
      </c>
      <c r="L53" s="657"/>
      <c r="M53" s="420">
        <f>RANK(K53, K$47:$K$61)</f>
        <v>7</v>
      </c>
      <c r="N53" s="641"/>
      <c r="O53" s="641"/>
      <c r="P53" s="562">
        <v>12</v>
      </c>
      <c r="Q53" s="566">
        <v>1508.8524590163929</v>
      </c>
      <c r="R53" s="566">
        <v>125.73770491803275</v>
      </c>
      <c r="S53" s="562">
        <f t="shared" si="41"/>
        <v>7</v>
      </c>
      <c r="T53" s="637"/>
      <c r="U53" s="562">
        <v>12</v>
      </c>
      <c r="V53" s="566">
        <v>1571.6129032258041</v>
      </c>
      <c r="W53" s="566">
        <v>130.96774193548367</v>
      </c>
      <c r="X53" s="562">
        <f t="shared" si="43"/>
        <v>6</v>
      </c>
      <c r="Y53" s="637"/>
      <c r="Z53" s="562">
        <v>12</v>
      </c>
      <c r="AA53" s="566">
        <v>1498.0434782608695</v>
      </c>
      <c r="AB53" s="566">
        <v>124.83695652173913</v>
      </c>
      <c r="AC53" s="562">
        <f t="shared" si="45"/>
        <v>7</v>
      </c>
      <c r="AD53" s="637"/>
      <c r="AE53" s="562">
        <v>12</v>
      </c>
      <c r="AF53" s="566">
        <v>1510.1408450704228</v>
      </c>
      <c r="AG53" s="566">
        <v>125.84507042253523</v>
      </c>
      <c r="AH53" s="562">
        <f t="shared" si="47"/>
        <v>7</v>
      </c>
      <c r="AI53" s="637"/>
      <c r="AJ53" s="562">
        <v>12</v>
      </c>
      <c r="AK53" s="566">
        <v>1484.5945945945953</v>
      </c>
      <c r="AL53" s="566">
        <v>123.71621621621627</v>
      </c>
      <c r="AM53" s="562">
        <f t="shared" si="49"/>
        <v>7</v>
      </c>
      <c r="AN53" s="637"/>
      <c r="AO53" s="562">
        <v>12</v>
      </c>
      <c r="AP53" s="566">
        <v>1479.0000000000005</v>
      </c>
      <c r="AQ53" s="566">
        <v>123.25000000000004</v>
      </c>
      <c r="AR53" s="562">
        <f t="shared" si="51"/>
        <v>7</v>
      </c>
      <c r="AS53" s="637"/>
      <c r="AT53" s="562">
        <v>12</v>
      </c>
      <c r="AU53" s="566">
        <v>1511.9999999999995</v>
      </c>
      <c r="AV53" s="566">
        <v>125.99999999999996</v>
      </c>
      <c r="AW53" s="562">
        <f t="shared" si="53"/>
        <v>7</v>
      </c>
      <c r="AX53" s="637"/>
      <c r="AZ53" s="368" t="e">
        <f t="shared" si="55"/>
        <v>#N/A</v>
      </c>
      <c r="BA53" s="637"/>
    </row>
    <row r="54" spans="2:53">
      <c r="B54" s="647"/>
      <c r="C54" s="380">
        <v>8</v>
      </c>
      <c r="D54" s="225" t="s">
        <v>606</v>
      </c>
      <c r="E54" s="535">
        <v>12</v>
      </c>
      <c r="F54" s="534">
        <v>2000</v>
      </c>
      <c r="G54" s="536">
        <v>166.66666666666666</v>
      </c>
      <c r="H54" s="655"/>
      <c r="I54" s="381">
        <f t="shared" si="38"/>
        <v>12</v>
      </c>
      <c r="J54" s="381">
        <f t="shared" si="39"/>
        <v>1323.5871271585559</v>
      </c>
      <c r="K54" s="199">
        <f t="shared" si="40"/>
        <v>110.29892726321297</v>
      </c>
      <c r="L54" s="657"/>
      <c r="M54" s="420">
        <f>RANK(K54, K$47:$K$61)</f>
        <v>8</v>
      </c>
      <c r="N54" s="641"/>
      <c r="O54" s="641"/>
      <c r="P54" s="562">
        <v>12</v>
      </c>
      <c r="Q54" s="566">
        <v>1349.9999999999989</v>
      </c>
      <c r="R54" s="566">
        <v>112.4999999999999</v>
      </c>
      <c r="S54" s="562">
        <f t="shared" si="41"/>
        <v>8</v>
      </c>
      <c r="T54" s="637"/>
      <c r="U54" s="562">
        <v>12</v>
      </c>
      <c r="V54" s="566">
        <v>1322.8571428571424</v>
      </c>
      <c r="W54" s="566">
        <v>110.2380952380952</v>
      </c>
      <c r="X54" s="562">
        <f t="shared" si="43"/>
        <v>8</v>
      </c>
      <c r="Y54" s="637"/>
      <c r="Z54" s="562">
        <v>12</v>
      </c>
      <c r="AA54" s="566">
        <v>1339.9999999999995</v>
      </c>
      <c r="AB54" s="566">
        <v>111.66666666666663</v>
      </c>
      <c r="AC54" s="562">
        <f t="shared" si="45"/>
        <v>8</v>
      </c>
      <c r="AD54" s="637"/>
      <c r="AE54" s="562">
        <v>12</v>
      </c>
      <c r="AF54" s="566">
        <v>1345.7142857142867</v>
      </c>
      <c r="AG54" s="566">
        <v>112.14285714285722</v>
      </c>
      <c r="AH54" s="562">
        <f t="shared" si="47"/>
        <v>8</v>
      </c>
      <c r="AI54" s="637"/>
      <c r="AJ54" s="562">
        <v>12</v>
      </c>
      <c r="AK54" s="566">
        <v>1301.5384615384623</v>
      </c>
      <c r="AL54" s="566">
        <v>108.46153846153852</v>
      </c>
      <c r="AM54" s="562">
        <f t="shared" si="49"/>
        <v>8</v>
      </c>
      <c r="AN54" s="637"/>
      <c r="AO54" s="562">
        <v>12</v>
      </c>
      <c r="AP54" s="566">
        <v>1304.9999999999995</v>
      </c>
      <c r="AQ54" s="566">
        <v>108.74999999999996</v>
      </c>
      <c r="AR54" s="562">
        <f t="shared" si="51"/>
        <v>8</v>
      </c>
      <c r="AS54" s="637"/>
      <c r="AT54" s="562">
        <v>12</v>
      </c>
      <c r="AU54" s="566">
        <v>1300.0000000000007</v>
      </c>
      <c r="AV54" s="566">
        <v>108.33333333333339</v>
      </c>
      <c r="AW54" s="562">
        <f t="shared" si="53"/>
        <v>8</v>
      </c>
      <c r="AX54" s="637"/>
      <c r="AZ54" s="368" t="e">
        <f t="shared" si="55"/>
        <v>#N/A</v>
      </c>
      <c r="BA54" s="637"/>
    </row>
    <row r="55" spans="2:53">
      <c r="B55" s="647"/>
      <c r="C55" s="380">
        <v>9</v>
      </c>
      <c r="D55" s="225" t="s">
        <v>622</v>
      </c>
      <c r="E55" s="535">
        <v>7</v>
      </c>
      <c r="F55" s="534">
        <v>1500</v>
      </c>
      <c r="G55" s="536">
        <v>214.28571428571428</v>
      </c>
      <c r="H55" s="655"/>
      <c r="I55" s="381">
        <f t="shared" si="38"/>
        <v>7</v>
      </c>
      <c r="J55" s="381">
        <f t="shared" si="39"/>
        <v>1384.130642176968</v>
      </c>
      <c r="K55" s="199">
        <f t="shared" si="40"/>
        <v>197.73294888242398</v>
      </c>
      <c r="L55" s="657"/>
      <c r="M55" s="420">
        <f>RANK(K55, K$47:$K$61)</f>
        <v>5</v>
      </c>
      <c r="N55" s="641"/>
      <c r="O55" s="641"/>
      <c r="P55" s="562">
        <v>7</v>
      </c>
      <c r="Q55" s="566">
        <v>1421.666666666667</v>
      </c>
      <c r="R55" s="566">
        <v>203.09523809523813</v>
      </c>
      <c r="S55" s="562">
        <f t="shared" si="41"/>
        <v>3</v>
      </c>
      <c r="T55" s="637"/>
      <c r="U55" s="562">
        <v>7</v>
      </c>
      <c r="V55" s="566">
        <v>1406.8421052631584</v>
      </c>
      <c r="W55" s="566">
        <v>200.97744360902263</v>
      </c>
      <c r="X55" s="562">
        <f t="shared" si="43"/>
        <v>5</v>
      </c>
      <c r="Y55" s="637"/>
      <c r="Z55" s="562">
        <v>7</v>
      </c>
      <c r="AA55" s="566">
        <v>1412.3076923076931</v>
      </c>
      <c r="AB55" s="566">
        <v>201.75824175824187</v>
      </c>
      <c r="AC55" s="562">
        <f t="shared" si="45"/>
        <v>4</v>
      </c>
      <c r="AD55" s="637"/>
      <c r="AE55" s="562">
        <v>7</v>
      </c>
      <c r="AF55" s="566">
        <v>1416.4285714285704</v>
      </c>
      <c r="AG55" s="566">
        <v>202.34693877551007</v>
      </c>
      <c r="AH55" s="562">
        <f t="shared" si="47"/>
        <v>5</v>
      </c>
      <c r="AI55" s="637"/>
      <c r="AJ55" s="562">
        <v>7</v>
      </c>
      <c r="AK55" s="566">
        <v>1212.8571428571438</v>
      </c>
      <c r="AL55" s="566">
        <v>173.26530612244912</v>
      </c>
      <c r="AM55" s="562">
        <f t="shared" si="49"/>
        <v>5</v>
      </c>
      <c r="AN55" s="637"/>
      <c r="AO55" s="562">
        <v>7</v>
      </c>
      <c r="AP55" s="566">
        <v>1412.903225806451</v>
      </c>
      <c r="AQ55" s="566">
        <v>201.84331797235015</v>
      </c>
      <c r="AR55" s="562">
        <f t="shared" si="51"/>
        <v>5</v>
      </c>
      <c r="AS55" s="637"/>
      <c r="AT55" s="562">
        <v>7</v>
      </c>
      <c r="AU55" s="566">
        <v>1405.909090909091</v>
      </c>
      <c r="AV55" s="566">
        <v>200.84415584415586</v>
      </c>
      <c r="AW55" s="562">
        <f t="shared" si="53"/>
        <v>5</v>
      </c>
      <c r="AX55" s="637"/>
      <c r="AZ55" s="418" t="e">
        <f t="shared" si="55"/>
        <v>#N/A</v>
      </c>
      <c r="BA55" s="637"/>
    </row>
    <row r="56" spans="2:53">
      <c r="B56" s="647"/>
      <c r="C56" s="380">
        <v>10</v>
      </c>
      <c r="D56" s="225"/>
      <c r="E56" s="535"/>
      <c r="F56" s="534"/>
      <c r="G56" s="536"/>
      <c r="H56" s="655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57"/>
      <c r="M56" s="420" t="e">
        <f>RANK(K56, K$47:$K$61)</f>
        <v>#VALUE!</v>
      </c>
      <c r="N56" s="641"/>
      <c r="O56" s="641"/>
      <c r="P56" s="562" t="s">
        <v>585</v>
      </c>
      <c r="Q56" s="566" t="s">
        <v>585</v>
      </c>
      <c r="R56" s="566" t="s">
        <v>585</v>
      </c>
      <c r="S56" s="562" t="e">
        <f t="shared" si="41"/>
        <v>#VALUE!</v>
      </c>
      <c r="T56" s="637"/>
      <c r="U56" s="562" t="s">
        <v>585</v>
      </c>
      <c r="V56" s="566" t="s">
        <v>585</v>
      </c>
      <c r="W56" s="566" t="s">
        <v>585</v>
      </c>
      <c r="X56" s="562" t="e">
        <f t="shared" si="43"/>
        <v>#VALUE!</v>
      </c>
      <c r="Y56" s="637"/>
      <c r="Z56" s="562" t="s">
        <v>585</v>
      </c>
      <c r="AA56" s="566" t="s">
        <v>585</v>
      </c>
      <c r="AB56" s="566" t="s">
        <v>585</v>
      </c>
      <c r="AC56" s="562" t="e">
        <f t="shared" si="45"/>
        <v>#VALUE!</v>
      </c>
      <c r="AD56" s="637"/>
      <c r="AE56" s="562" t="s">
        <v>585</v>
      </c>
      <c r="AF56" s="566" t="s">
        <v>585</v>
      </c>
      <c r="AG56" s="566" t="s">
        <v>585</v>
      </c>
      <c r="AH56" s="562" t="e">
        <f t="shared" si="47"/>
        <v>#VALUE!</v>
      </c>
      <c r="AI56" s="637"/>
      <c r="AJ56" s="562" t="s">
        <v>585</v>
      </c>
      <c r="AK56" s="566" t="s">
        <v>585</v>
      </c>
      <c r="AL56" s="566" t="s">
        <v>585</v>
      </c>
      <c r="AM56" s="562" t="e">
        <f t="shared" si="49"/>
        <v>#VALUE!</v>
      </c>
      <c r="AN56" s="637"/>
      <c r="AO56" s="562" t="s">
        <v>585</v>
      </c>
      <c r="AP56" s="566" t="s">
        <v>585</v>
      </c>
      <c r="AQ56" s="566" t="s">
        <v>585</v>
      </c>
      <c r="AR56" s="562" t="e">
        <f t="shared" si="51"/>
        <v>#VALUE!</v>
      </c>
      <c r="AS56" s="637"/>
      <c r="AT56" s="562" t="s">
        <v>585</v>
      </c>
      <c r="AU56" s="566" t="s">
        <v>585</v>
      </c>
      <c r="AV56" s="566" t="s">
        <v>585</v>
      </c>
      <c r="AW56" s="562" t="e">
        <f t="shared" si="53"/>
        <v>#VALUE!</v>
      </c>
      <c r="AX56" s="637"/>
      <c r="AZ56" s="418" t="e">
        <f t="shared" si="55"/>
        <v>#N/A</v>
      </c>
      <c r="BA56" s="637"/>
    </row>
    <row r="57" spans="2:53">
      <c r="B57" s="647"/>
      <c r="C57" s="380">
        <v>11</v>
      </c>
      <c r="D57" s="225"/>
      <c r="E57" s="535"/>
      <c r="F57" s="534"/>
      <c r="G57" s="536"/>
      <c r="H57" s="655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7"/>
      <c r="M57" s="420" t="e">
        <f>RANK(K57, K$47:$K$61)</f>
        <v>#VALUE!</v>
      </c>
      <c r="N57" s="641"/>
      <c r="O57" s="641"/>
      <c r="P57" s="562" t="s">
        <v>585</v>
      </c>
      <c r="Q57" s="566" t="s">
        <v>585</v>
      </c>
      <c r="R57" s="566" t="s">
        <v>585</v>
      </c>
      <c r="S57" s="562" t="e">
        <f t="shared" si="41"/>
        <v>#VALUE!</v>
      </c>
      <c r="T57" s="637"/>
      <c r="U57" s="562" t="s">
        <v>585</v>
      </c>
      <c r="V57" s="566" t="s">
        <v>585</v>
      </c>
      <c r="W57" s="566" t="s">
        <v>585</v>
      </c>
      <c r="X57" s="562" t="e">
        <f t="shared" si="43"/>
        <v>#VALUE!</v>
      </c>
      <c r="Y57" s="637"/>
      <c r="Z57" s="562" t="s">
        <v>585</v>
      </c>
      <c r="AA57" s="566" t="s">
        <v>585</v>
      </c>
      <c r="AB57" s="566" t="s">
        <v>585</v>
      </c>
      <c r="AC57" s="562" t="e">
        <f t="shared" si="45"/>
        <v>#VALUE!</v>
      </c>
      <c r="AD57" s="637"/>
      <c r="AE57" s="562" t="s">
        <v>585</v>
      </c>
      <c r="AF57" s="566" t="s">
        <v>585</v>
      </c>
      <c r="AG57" s="566" t="s">
        <v>585</v>
      </c>
      <c r="AH57" s="562" t="e">
        <f t="shared" si="47"/>
        <v>#VALUE!</v>
      </c>
      <c r="AI57" s="637"/>
      <c r="AJ57" s="562" t="s">
        <v>585</v>
      </c>
      <c r="AK57" s="566" t="s">
        <v>585</v>
      </c>
      <c r="AL57" s="566" t="s">
        <v>585</v>
      </c>
      <c r="AM57" s="562" t="e">
        <f t="shared" si="49"/>
        <v>#VALUE!</v>
      </c>
      <c r="AN57" s="637"/>
      <c r="AO57" s="562" t="s">
        <v>585</v>
      </c>
      <c r="AP57" s="566" t="s">
        <v>585</v>
      </c>
      <c r="AQ57" s="566" t="s">
        <v>585</v>
      </c>
      <c r="AR57" s="562" t="e">
        <f t="shared" si="51"/>
        <v>#VALUE!</v>
      </c>
      <c r="AS57" s="637"/>
      <c r="AT57" s="562" t="s">
        <v>585</v>
      </c>
      <c r="AU57" s="566" t="s">
        <v>585</v>
      </c>
      <c r="AV57" s="566" t="s">
        <v>585</v>
      </c>
      <c r="AW57" s="562" t="e">
        <f t="shared" si="53"/>
        <v>#VALUE!</v>
      </c>
      <c r="AX57" s="637"/>
      <c r="AZ57" s="418" t="e">
        <f t="shared" si="55"/>
        <v>#N/A</v>
      </c>
      <c r="BA57" s="637"/>
    </row>
    <row r="58" spans="2:53">
      <c r="B58" s="647"/>
      <c r="C58" s="380">
        <v>12</v>
      </c>
      <c r="D58" s="225"/>
      <c r="E58" s="535"/>
      <c r="F58" s="534"/>
      <c r="G58" s="536"/>
      <c r="H58" s="655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7"/>
      <c r="M58" s="420" t="e">
        <f>RANK(K58, K$47:$K$61)</f>
        <v>#VALUE!</v>
      </c>
      <c r="N58" s="641"/>
      <c r="O58" s="641"/>
      <c r="P58" s="562" t="s">
        <v>585</v>
      </c>
      <c r="Q58" s="566" t="s">
        <v>585</v>
      </c>
      <c r="R58" s="566" t="s">
        <v>585</v>
      </c>
      <c r="S58" s="562" t="e">
        <f t="shared" si="41"/>
        <v>#VALUE!</v>
      </c>
      <c r="T58" s="637"/>
      <c r="U58" s="562" t="s">
        <v>585</v>
      </c>
      <c r="V58" s="566" t="s">
        <v>585</v>
      </c>
      <c r="W58" s="566" t="s">
        <v>585</v>
      </c>
      <c r="X58" s="562" t="e">
        <f t="shared" si="43"/>
        <v>#VALUE!</v>
      </c>
      <c r="Y58" s="637"/>
      <c r="Z58" s="562" t="s">
        <v>585</v>
      </c>
      <c r="AA58" s="566" t="s">
        <v>585</v>
      </c>
      <c r="AB58" s="566" t="s">
        <v>585</v>
      </c>
      <c r="AC58" s="562" t="e">
        <f t="shared" si="45"/>
        <v>#VALUE!</v>
      </c>
      <c r="AD58" s="637"/>
      <c r="AE58" s="562" t="s">
        <v>585</v>
      </c>
      <c r="AF58" s="566" t="s">
        <v>585</v>
      </c>
      <c r="AG58" s="566" t="s">
        <v>585</v>
      </c>
      <c r="AH58" s="562" t="e">
        <f t="shared" si="47"/>
        <v>#VALUE!</v>
      </c>
      <c r="AI58" s="637"/>
      <c r="AJ58" s="562" t="s">
        <v>585</v>
      </c>
      <c r="AK58" s="566" t="s">
        <v>585</v>
      </c>
      <c r="AL58" s="566" t="s">
        <v>585</v>
      </c>
      <c r="AM58" s="562" t="e">
        <f t="shared" si="49"/>
        <v>#VALUE!</v>
      </c>
      <c r="AN58" s="637"/>
      <c r="AO58" s="562" t="s">
        <v>585</v>
      </c>
      <c r="AP58" s="566" t="s">
        <v>585</v>
      </c>
      <c r="AQ58" s="566" t="s">
        <v>585</v>
      </c>
      <c r="AR58" s="562" t="e">
        <f t="shared" si="51"/>
        <v>#VALUE!</v>
      </c>
      <c r="AS58" s="637"/>
      <c r="AT58" s="562" t="s">
        <v>585</v>
      </c>
      <c r="AU58" s="566" t="s">
        <v>585</v>
      </c>
      <c r="AV58" s="566" t="s">
        <v>585</v>
      </c>
      <c r="AW58" s="562" t="e">
        <f t="shared" si="53"/>
        <v>#VALUE!</v>
      </c>
      <c r="AX58" s="637"/>
      <c r="AZ58" s="418" t="e">
        <f t="shared" si="55"/>
        <v>#N/A</v>
      </c>
      <c r="BA58" s="637"/>
    </row>
    <row r="59" spans="2:53">
      <c r="B59" s="647"/>
      <c r="C59" s="380">
        <v>13</v>
      </c>
      <c r="D59" s="225"/>
      <c r="E59" s="535"/>
      <c r="F59" s="534"/>
      <c r="G59" s="536"/>
      <c r="H59" s="655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7"/>
      <c r="M59" s="420" t="e">
        <f>RANK(K59, K$47:$K$61)</f>
        <v>#VALUE!</v>
      </c>
      <c r="N59" s="641"/>
      <c r="O59" s="641"/>
      <c r="P59" s="562" t="s">
        <v>585</v>
      </c>
      <c r="Q59" s="566" t="s">
        <v>585</v>
      </c>
      <c r="R59" s="566" t="s">
        <v>585</v>
      </c>
      <c r="S59" s="562" t="e">
        <f t="shared" si="41"/>
        <v>#VALUE!</v>
      </c>
      <c r="T59" s="637"/>
      <c r="U59" s="562" t="s">
        <v>585</v>
      </c>
      <c r="V59" s="566" t="s">
        <v>585</v>
      </c>
      <c r="W59" s="566" t="s">
        <v>585</v>
      </c>
      <c r="X59" s="562" t="e">
        <f t="shared" si="43"/>
        <v>#VALUE!</v>
      </c>
      <c r="Y59" s="637"/>
      <c r="Z59" s="562" t="s">
        <v>585</v>
      </c>
      <c r="AA59" s="566" t="s">
        <v>585</v>
      </c>
      <c r="AB59" s="566" t="s">
        <v>585</v>
      </c>
      <c r="AC59" s="562" t="e">
        <f t="shared" si="45"/>
        <v>#VALUE!</v>
      </c>
      <c r="AD59" s="637"/>
      <c r="AE59" s="562" t="s">
        <v>585</v>
      </c>
      <c r="AF59" s="566" t="s">
        <v>585</v>
      </c>
      <c r="AG59" s="566" t="s">
        <v>585</v>
      </c>
      <c r="AH59" s="562" t="e">
        <f t="shared" si="47"/>
        <v>#VALUE!</v>
      </c>
      <c r="AI59" s="637"/>
      <c r="AJ59" s="562" t="s">
        <v>585</v>
      </c>
      <c r="AK59" s="566" t="s">
        <v>585</v>
      </c>
      <c r="AL59" s="566" t="s">
        <v>585</v>
      </c>
      <c r="AM59" s="562" t="e">
        <f t="shared" si="49"/>
        <v>#VALUE!</v>
      </c>
      <c r="AN59" s="637"/>
      <c r="AO59" s="562" t="s">
        <v>585</v>
      </c>
      <c r="AP59" s="566" t="s">
        <v>585</v>
      </c>
      <c r="AQ59" s="566" t="s">
        <v>585</v>
      </c>
      <c r="AR59" s="562" t="e">
        <f t="shared" si="51"/>
        <v>#VALUE!</v>
      </c>
      <c r="AS59" s="637"/>
      <c r="AT59" s="562" t="s">
        <v>585</v>
      </c>
      <c r="AU59" s="566" t="s">
        <v>585</v>
      </c>
      <c r="AV59" s="566" t="s">
        <v>585</v>
      </c>
      <c r="AW59" s="562" t="e">
        <f t="shared" si="53"/>
        <v>#VALUE!</v>
      </c>
      <c r="AX59" s="637"/>
      <c r="AZ59" s="418" t="e">
        <f t="shared" si="55"/>
        <v>#N/A</v>
      </c>
      <c r="BA59" s="637"/>
    </row>
    <row r="60" spans="2:53">
      <c r="B60" s="647"/>
      <c r="C60" s="380">
        <v>14</v>
      </c>
      <c r="D60" s="225"/>
      <c r="E60" s="535"/>
      <c r="F60" s="534"/>
      <c r="G60" s="536"/>
      <c r="H60" s="655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7"/>
      <c r="M60" s="420" t="e">
        <f>RANK(K60, K$47:$K$61)</f>
        <v>#VALUE!</v>
      </c>
      <c r="N60" s="641"/>
      <c r="O60" s="641"/>
      <c r="P60" s="562" t="s">
        <v>585</v>
      </c>
      <c r="Q60" s="566" t="s">
        <v>585</v>
      </c>
      <c r="R60" s="566" t="s">
        <v>585</v>
      </c>
      <c r="S60" s="562" t="e">
        <f t="shared" si="41"/>
        <v>#VALUE!</v>
      </c>
      <c r="T60" s="637"/>
      <c r="U60" s="562" t="s">
        <v>585</v>
      </c>
      <c r="V60" s="566" t="s">
        <v>585</v>
      </c>
      <c r="W60" s="566" t="s">
        <v>585</v>
      </c>
      <c r="X60" s="562" t="e">
        <f t="shared" si="43"/>
        <v>#VALUE!</v>
      </c>
      <c r="Y60" s="637"/>
      <c r="Z60" s="562" t="s">
        <v>585</v>
      </c>
      <c r="AA60" s="566" t="s">
        <v>585</v>
      </c>
      <c r="AB60" s="566" t="s">
        <v>585</v>
      </c>
      <c r="AC60" s="562" t="e">
        <f t="shared" si="45"/>
        <v>#VALUE!</v>
      </c>
      <c r="AD60" s="637"/>
      <c r="AE60" s="562" t="s">
        <v>585</v>
      </c>
      <c r="AF60" s="566" t="s">
        <v>585</v>
      </c>
      <c r="AG60" s="566" t="s">
        <v>585</v>
      </c>
      <c r="AH60" s="562" t="e">
        <f t="shared" si="47"/>
        <v>#VALUE!</v>
      </c>
      <c r="AI60" s="637"/>
      <c r="AJ60" s="562" t="s">
        <v>585</v>
      </c>
      <c r="AK60" s="566" t="s">
        <v>585</v>
      </c>
      <c r="AL60" s="566" t="s">
        <v>585</v>
      </c>
      <c r="AM60" s="562" t="e">
        <f t="shared" si="49"/>
        <v>#VALUE!</v>
      </c>
      <c r="AN60" s="637"/>
      <c r="AO60" s="562" t="s">
        <v>585</v>
      </c>
      <c r="AP60" s="566" t="s">
        <v>585</v>
      </c>
      <c r="AQ60" s="566" t="s">
        <v>585</v>
      </c>
      <c r="AR60" s="562" t="e">
        <f t="shared" si="51"/>
        <v>#VALUE!</v>
      </c>
      <c r="AS60" s="637"/>
      <c r="AT60" s="562" t="s">
        <v>585</v>
      </c>
      <c r="AU60" s="566" t="s">
        <v>585</v>
      </c>
      <c r="AV60" s="566" t="s">
        <v>585</v>
      </c>
      <c r="AW60" s="562" t="e">
        <f t="shared" si="53"/>
        <v>#VALUE!</v>
      </c>
      <c r="AX60" s="637"/>
      <c r="AZ60" s="418" t="e">
        <f t="shared" si="55"/>
        <v>#N/A</v>
      </c>
      <c r="BA60" s="637"/>
    </row>
    <row r="61" spans="2:53">
      <c r="B61" s="647"/>
      <c r="C61" s="380">
        <v>15</v>
      </c>
      <c r="D61" s="225"/>
      <c r="E61" s="535"/>
      <c r="F61" s="534"/>
      <c r="G61" s="536"/>
      <c r="H61" s="712"/>
      <c r="I61" s="380"/>
      <c r="J61" s="380"/>
      <c r="K61" s="380"/>
      <c r="L61" s="658"/>
      <c r="M61" s="420" t="e">
        <f>RANK(K61, K$47:$K$61)</f>
        <v>#N/A</v>
      </c>
      <c r="N61" s="641"/>
      <c r="O61" s="641"/>
      <c r="P61" s="562" t="s">
        <v>585</v>
      </c>
      <c r="Q61" s="566" t="s">
        <v>585</v>
      </c>
      <c r="R61" s="566" t="s">
        <v>585</v>
      </c>
      <c r="S61" s="562" t="e">
        <f t="shared" si="41"/>
        <v>#VALUE!</v>
      </c>
      <c r="T61" s="638"/>
      <c r="U61" s="562" t="s">
        <v>585</v>
      </c>
      <c r="V61" s="566" t="s">
        <v>585</v>
      </c>
      <c r="W61" s="566" t="s">
        <v>585</v>
      </c>
      <c r="X61" s="562" t="e">
        <f t="shared" si="43"/>
        <v>#VALUE!</v>
      </c>
      <c r="Y61" s="638"/>
      <c r="Z61" s="562" t="s">
        <v>585</v>
      </c>
      <c r="AA61" s="566" t="s">
        <v>585</v>
      </c>
      <c r="AB61" s="566" t="s">
        <v>585</v>
      </c>
      <c r="AC61" s="562" t="e">
        <f t="shared" si="45"/>
        <v>#VALUE!</v>
      </c>
      <c r="AD61" s="638"/>
      <c r="AE61" s="562" t="s">
        <v>585</v>
      </c>
      <c r="AF61" s="566" t="s">
        <v>585</v>
      </c>
      <c r="AG61" s="566" t="s">
        <v>585</v>
      </c>
      <c r="AH61" s="562" t="e">
        <f t="shared" si="47"/>
        <v>#VALUE!</v>
      </c>
      <c r="AI61" s="638"/>
      <c r="AJ61" s="562" t="s">
        <v>585</v>
      </c>
      <c r="AK61" s="566" t="s">
        <v>585</v>
      </c>
      <c r="AL61" s="566" t="s">
        <v>585</v>
      </c>
      <c r="AM61" s="562" t="e">
        <f t="shared" si="49"/>
        <v>#VALUE!</v>
      </c>
      <c r="AN61" s="638"/>
      <c r="AO61" s="562" t="s">
        <v>585</v>
      </c>
      <c r="AP61" s="566" t="s">
        <v>585</v>
      </c>
      <c r="AQ61" s="566" t="s">
        <v>585</v>
      </c>
      <c r="AR61" s="562" t="e">
        <f t="shared" si="51"/>
        <v>#VALUE!</v>
      </c>
      <c r="AS61" s="638"/>
      <c r="AT61" s="562" t="s">
        <v>585</v>
      </c>
      <c r="AU61" s="566" t="s">
        <v>585</v>
      </c>
      <c r="AV61" s="566" t="s">
        <v>585</v>
      </c>
      <c r="AW61" s="562" t="e">
        <f t="shared" si="53"/>
        <v>#VALUE!</v>
      </c>
      <c r="AX61" s="638"/>
      <c r="AZ61" s="418" t="e">
        <f t="shared" si="55"/>
        <v>#N/A</v>
      </c>
      <c r="BA61" s="638"/>
    </row>
    <row r="62" spans="2:53" ht="15.75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68">
        <f>P42+7</f>
        <v>46252</v>
      </c>
      <c r="Q62" s="647"/>
      <c r="R62" s="647"/>
      <c r="S62" s="647"/>
      <c r="T62" s="647"/>
      <c r="U62" s="665">
        <f>P62+1</f>
        <v>46253</v>
      </c>
      <c r="V62" s="666"/>
      <c r="W62" s="666"/>
      <c r="X62" s="666"/>
      <c r="Y62" s="667"/>
      <c r="Z62" s="665">
        <f>U62+1</f>
        <v>46254</v>
      </c>
      <c r="AA62" s="666"/>
      <c r="AB62" s="666"/>
      <c r="AC62" s="666"/>
      <c r="AD62" s="667"/>
      <c r="AE62" s="665">
        <f>Z62+1</f>
        <v>46255</v>
      </c>
      <c r="AF62" s="666"/>
      <c r="AG62" s="666"/>
      <c r="AH62" s="666"/>
      <c r="AI62" s="667"/>
      <c r="AJ62" s="665">
        <f>AE62+1</f>
        <v>46256</v>
      </c>
      <c r="AK62" s="666"/>
      <c r="AL62" s="666"/>
      <c r="AM62" s="666"/>
      <c r="AN62" s="667"/>
      <c r="AO62" s="665">
        <f>AJ62+1</f>
        <v>46257</v>
      </c>
      <c r="AP62" s="666"/>
      <c r="AQ62" s="666"/>
      <c r="AR62" s="666"/>
      <c r="AS62" s="667"/>
      <c r="AT62" s="665">
        <f>AO62+1</f>
        <v>46258</v>
      </c>
      <c r="AU62" s="666"/>
      <c r="AV62" s="666"/>
      <c r="AW62" s="666"/>
      <c r="AX62" s="667"/>
    </row>
    <row r="63" spans="2:53" ht="15.75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45"/>
      <c r="O63" s="645"/>
      <c r="P63" s="668" t="s">
        <v>317</v>
      </c>
      <c r="Q63" s="647"/>
      <c r="R63" s="647"/>
      <c r="S63" s="647"/>
      <c r="T63" s="647"/>
      <c r="U63" s="668" t="s">
        <v>318</v>
      </c>
      <c r="V63" s="647"/>
      <c r="W63" s="647"/>
      <c r="X63" s="647"/>
      <c r="Y63" s="647"/>
      <c r="Z63" s="668" t="s">
        <v>319</v>
      </c>
      <c r="AA63" s="647"/>
      <c r="AB63" s="647"/>
      <c r="AC63" s="647"/>
      <c r="AD63" s="647"/>
      <c r="AE63" s="668" t="s">
        <v>320</v>
      </c>
      <c r="AF63" s="647"/>
      <c r="AG63" s="647"/>
      <c r="AH63" s="647"/>
      <c r="AI63" s="647"/>
      <c r="AJ63" s="668" t="s">
        <v>321</v>
      </c>
      <c r="AK63" s="647"/>
      <c r="AL63" s="647"/>
      <c r="AM63" s="647"/>
      <c r="AN63" s="647"/>
      <c r="AO63" s="668" t="s">
        <v>322</v>
      </c>
      <c r="AP63" s="647"/>
      <c r="AQ63" s="647"/>
      <c r="AR63" s="647"/>
      <c r="AS63" s="647"/>
      <c r="AT63" s="668" t="s">
        <v>323</v>
      </c>
      <c r="AU63" s="647"/>
      <c r="AV63" s="647"/>
      <c r="AW63" s="647"/>
      <c r="AX63" s="647"/>
    </row>
    <row r="64" spans="2:53">
      <c r="B64" s="641" t="s">
        <v>407</v>
      </c>
      <c r="C64" s="641" t="s">
        <v>532</v>
      </c>
      <c r="D64" s="641"/>
      <c r="E64" s="641" t="s">
        <v>533</v>
      </c>
      <c r="F64" s="641"/>
      <c r="G64" s="641"/>
      <c r="H64" s="673" t="s">
        <v>534</v>
      </c>
      <c r="I64" s="641" t="s">
        <v>535</v>
      </c>
      <c r="J64" s="641"/>
      <c r="K64" s="641"/>
      <c r="L64" s="673" t="s">
        <v>366</v>
      </c>
      <c r="M64" s="643" t="s">
        <v>536</v>
      </c>
      <c r="N64" s="641"/>
      <c r="O64" s="641" t="s">
        <v>372</v>
      </c>
      <c r="P64" s="659" t="s">
        <v>368</v>
      </c>
      <c r="Q64" s="660"/>
      <c r="R64" s="660"/>
      <c r="S64" s="661"/>
      <c r="T64" s="641" t="s">
        <v>366</v>
      </c>
      <c r="U64" s="659" t="s">
        <v>368</v>
      </c>
      <c r="V64" s="660"/>
      <c r="W64" s="660"/>
      <c r="X64" s="661"/>
      <c r="Y64" s="641" t="s">
        <v>366</v>
      </c>
      <c r="Z64" s="659" t="s">
        <v>368</v>
      </c>
      <c r="AA64" s="660"/>
      <c r="AB64" s="660"/>
      <c r="AC64" s="661"/>
      <c r="AD64" s="641" t="s">
        <v>366</v>
      </c>
      <c r="AE64" s="659" t="s">
        <v>368</v>
      </c>
      <c r="AF64" s="660"/>
      <c r="AG64" s="660"/>
      <c r="AH64" s="661"/>
      <c r="AI64" s="641" t="s">
        <v>366</v>
      </c>
      <c r="AJ64" s="659" t="s">
        <v>368</v>
      </c>
      <c r="AK64" s="660"/>
      <c r="AL64" s="660"/>
      <c r="AM64" s="661"/>
      <c r="AN64" s="641" t="s">
        <v>366</v>
      </c>
      <c r="AO64" s="659" t="s">
        <v>368</v>
      </c>
      <c r="AP64" s="660"/>
      <c r="AQ64" s="660"/>
      <c r="AR64" s="661"/>
      <c r="AS64" s="641" t="s">
        <v>366</v>
      </c>
      <c r="AT64" s="659" t="s">
        <v>368</v>
      </c>
      <c r="AU64" s="660"/>
      <c r="AV64" s="660"/>
      <c r="AW64" s="661"/>
      <c r="AX64" s="641" t="s">
        <v>366</v>
      </c>
      <c r="BA64" s="641" t="s">
        <v>366</v>
      </c>
    </row>
    <row r="65" spans="2:53">
      <c r="B65" s="641"/>
      <c r="C65" s="641"/>
      <c r="D65" s="641"/>
      <c r="E65" s="641" t="s">
        <v>538</v>
      </c>
      <c r="F65" s="641"/>
      <c r="G65" s="641"/>
      <c r="H65" s="674"/>
      <c r="I65" s="641" t="s">
        <v>538</v>
      </c>
      <c r="J65" s="641"/>
      <c r="K65" s="641"/>
      <c r="L65" s="674"/>
      <c r="M65" s="644"/>
      <c r="N65" s="641"/>
      <c r="O65" s="641"/>
      <c r="P65" s="659" t="s">
        <v>374</v>
      </c>
      <c r="Q65" s="660"/>
      <c r="R65" s="660"/>
      <c r="S65" s="661"/>
      <c r="T65" s="641"/>
      <c r="U65" s="659" t="s">
        <v>374</v>
      </c>
      <c r="V65" s="660"/>
      <c r="W65" s="660"/>
      <c r="X65" s="661"/>
      <c r="Y65" s="641"/>
      <c r="Z65" s="659" t="s">
        <v>374</v>
      </c>
      <c r="AA65" s="660"/>
      <c r="AB65" s="660"/>
      <c r="AC65" s="661"/>
      <c r="AD65" s="641"/>
      <c r="AE65" s="659" t="s">
        <v>374</v>
      </c>
      <c r="AF65" s="660"/>
      <c r="AG65" s="660"/>
      <c r="AH65" s="661"/>
      <c r="AI65" s="641"/>
      <c r="AJ65" s="659" t="s">
        <v>374</v>
      </c>
      <c r="AK65" s="660"/>
      <c r="AL65" s="660"/>
      <c r="AM65" s="661"/>
      <c r="AN65" s="641"/>
      <c r="AO65" s="659" t="s">
        <v>374</v>
      </c>
      <c r="AP65" s="660"/>
      <c r="AQ65" s="660"/>
      <c r="AR65" s="661"/>
      <c r="AS65" s="641"/>
      <c r="AT65" s="659" t="s">
        <v>374</v>
      </c>
      <c r="AU65" s="660"/>
      <c r="AV65" s="660"/>
      <c r="AW65" s="661"/>
      <c r="AX65" s="641"/>
      <c r="BA65" s="641"/>
    </row>
    <row r="66" spans="2:53">
      <c r="B66" s="641"/>
      <c r="C66" s="641"/>
      <c r="D66" s="641"/>
      <c r="E66" s="378" t="s">
        <v>539</v>
      </c>
      <c r="F66" s="378" t="s">
        <v>540</v>
      </c>
      <c r="G66" s="378" t="s">
        <v>541</v>
      </c>
      <c r="H66" s="675"/>
      <c r="I66" s="378" t="s">
        <v>539</v>
      </c>
      <c r="J66" s="378" t="s">
        <v>540</v>
      </c>
      <c r="K66" s="378" t="s">
        <v>541</v>
      </c>
      <c r="L66" s="675"/>
      <c r="M66" s="645"/>
      <c r="N66" s="641"/>
      <c r="O66" s="641"/>
      <c r="P66" s="378" t="s">
        <v>375</v>
      </c>
      <c r="Q66" s="378" t="s">
        <v>376</v>
      </c>
      <c r="R66" s="378" t="s">
        <v>377</v>
      </c>
      <c r="S66" s="378" t="s">
        <v>367</v>
      </c>
      <c r="T66" s="641"/>
      <c r="U66" s="378" t="s">
        <v>375</v>
      </c>
      <c r="V66" s="378" t="s">
        <v>376</v>
      </c>
      <c r="W66" s="378" t="s">
        <v>377</v>
      </c>
      <c r="X66" s="378" t="s">
        <v>367</v>
      </c>
      <c r="Y66" s="641"/>
      <c r="Z66" s="378" t="s">
        <v>375</v>
      </c>
      <c r="AA66" s="378" t="s">
        <v>376</v>
      </c>
      <c r="AB66" s="378" t="s">
        <v>377</v>
      </c>
      <c r="AC66" s="378" t="s">
        <v>367</v>
      </c>
      <c r="AD66" s="641"/>
      <c r="AE66" s="378" t="s">
        <v>375</v>
      </c>
      <c r="AF66" s="378" t="s">
        <v>376</v>
      </c>
      <c r="AG66" s="378" t="s">
        <v>377</v>
      </c>
      <c r="AH66" s="378" t="s">
        <v>367</v>
      </c>
      <c r="AI66" s="641"/>
      <c r="AJ66" s="378" t="s">
        <v>375</v>
      </c>
      <c r="AK66" s="378" t="s">
        <v>376</v>
      </c>
      <c r="AL66" s="378" t="s">
        <v>377</v>
      </c>
      <c r="AM66" s="378" t="s">
        <v>367</v>
      </c>
      <c r="AN66" s="641"/>
      <c r="AO66" s="378" t="s">
        <v>375</v>
      </c>
      <c r="AP66" s="378" t="s">
        <v>376</v>
      </c>
      <c r="AQ66" s="378" t="s">
        <v>377</v>
      </c>
      <c r="AR66" s="378" t="s">
        <v>367</v>
      </c>
      <c r="AS66" s="641"/>
      <c r="AT66" s="378" t="s">
        <v>375</v>
      </c>
      <c r="AU66" s="378" t="s">
        <v>376</v>
      </c>
      <c r="AV66" s="378" t="s">
        <v>377</v>
      </c>
      <c r="AW66" s="378" t="s">
        <v>367</v>
      </c>
      <c r="AX66" s="641"/>
      <c r="AZ66" s="367" t="s">
        <v>367</v>
      </c>
      <c r="BA66" s="641"/>
    </row>
    <row r="67" spans="2:53">
      <c r="B67" s="641" t="s">
        <v>421</v>
      </c>
      <c r="C67" s="380">
        <v>1</v>
      </c>
      <c r="D67" s="225" t="s">
        <v>354</v>
      </c>
      <c r="E67" s="535">
        <v>7</v>
      </c>
      <c r="F67" s="534">
        <v>1500</v>
      </c>
      <c r="G67" s="536">
        <v>214.28571428571428</v>
      </c>
      <c r="H67" s="654">
        <f>AVERAGE(G67:G81)</f>
        <v>184.40709617180207</v>
      </c>
      <c r="I67" s="381">
        <f t="shared" ref="I67:I80" si="57">IFERROR(AVERAGE(P67,U67,Z67,AE67,AJ67,AO67,AT67),"-")</f>
        <v>7</v>
      </c>
      <c r="J67" s="381">
        <f t="shared" ref="J67:J80" si="58">IFERROR(AVERAGE(Q67,V67,AA67,AF67,AK67,AP67,AU67),"-")</f>
        <v>1450.9042443512403</v>
      </c>
      <c r="K67" s="199">
        <f t="shared" ref="K67:K80" si="59">IFERROR(AVERAGE(R67,W67,AB67,AG67,AL67,AQ67,AV67),"-")</f>
        <v>207.27203490732003</v>
      </c>
      <c r="L67" s="656">
        <f>IFERROR(AVERAGE(K67:K81),"-")</f>
        <v>163.25433194217842</v>
      </c>
      <c r="M67" s="385">
        <f>RANK(K67, K$67:$K$81)</f>
        <v>4</v>
      </c>
      <c r="N67" s="641"/>
      <c r="O67" s="641"/>
      <c r="P67" s="575">
        <v>7</v>
      </c>
      <c r="Q67" s="577">
        <v>1431.6000000000004</v>
      </c>
      <c r="R67" s="577">
        <v>204.51428571428576</v>
      </c>
      <c r="S67" s="575">
        <f t="shared" ref="S67:S81" si="60">RANK(R67, R$67:R$81)</f>
        <v>5</v>
      </c>
      <c r="T67" s="636">
        <f t="shared" ref="T67" si="61">AVERAGE(R67:R81)</f>
        <v>164.74489896644843</v>
      </c>
      <c r="U67" s="575">
        <v>7</v>
      </c>
      <c r="V67" s="577">
        <v>1453.2000000000003</v>
      </c>
      <c r="W67" s="577">
        <v>207.60000000000005</v>
      </c>
      <c r="X67" s="575">
        <f t="shared" ref="X67:X81" si="62">RANK(W67, W$67:W$81)</f>
        <v>5</v>
      </c>
      <c r="Y67" s="636">
        <f t="shared" ref="Y67" si="63">AVERAGE(W67:W81)</f>
        <v>165.75418331238527</v>
      </c>
      <c r="Z67" s="575">
        <v>7</v>
      </c>
      <c r="AA67" s="577">
        <v>1452.7659574468087</v>
      </c>
      <c r="AB67" s="577">
        <v>207.53799392097267</v>
      </c>
      <c r="AC67" s="575">
        <f t="shared" ref="AC67:AC81" si="64">RANK(AB67, AB$67:AB$81)</f>
        <v>2</v>
      </c>
      <c r="AD67" s="636">
        <f t="shared" ref="AD67" si="65">AVERAGE(AB67:AB81)</f>
        <v>163.88888369229255</v>
      </c>
      <c r="AE67" s="575">
        <v>7</v>
      </c>
      <c r="AF67" s="577">
        <v>1454.2105263157885</v>
      </c>
      <c r="AG67" s="577">
        <v>207.74436090225549</v>
      </c>
      <c r="AH67" s="575">
        <f t="shared" ref="AH67:AH81" si="66">RANK(AG67, AG$67:AG$81)</f>
        <v>4</v>
      </c>
      <c r="AI67" s="636">
        <f t="shared" ref="AI67" si="67">AVERAGE(AG67:AG81)</f>
        <v>161.30342007506673</v>
      </c>
      <c r="AJ67" s="575">
        <v>7</v>
      </c>
      <c r="AK67" s="577">
        <v>1475.6756756756745</v>
      </c>
      <c r="AL67" s="577">
        <v>210.81081081081064</v>
      </c>
      <c r="AM67" s="575">
        <f t="shared" ref="AM67:AM81" si="68">RANK(AL67, AL$67:AL$81)</f>
        <v>2</v>
      </c>
      <c r="AN67" s="636">
        <f t="shared" ref="AN67" si="69">AVERAGE(AL67:AL81)</f>
        <v>161.40445200923182</v>
      </c>
      <c r="AO67" s="575">
        <v>7</v>
      </c>
      <c r="AP67" s="577">
        <v>1442.4489795918373</v>
      </c>
      <c r="AQ67" s="577">
        <v>206.06413994169105</v>
      </c>
      <c r="AR67" s="575">
        <f t="shared" ref="AR67:AR81" si="70">RANK(AQ67, AQ$67:AQ$81)</f>
        <v>4</v>
      </c>
      <c r="AS67" s="636">
        <f t="shared" ref="AS67" si="71">AVERAGE(AQ67:AQ81)</f>
        <v>161.34853522615319</v>
      </c>
      <c r="AT67" s="575">
        <v>7</v>
      </c>
      <c r="AU67" s="577">
        <v>1446.4285714285725</v>
      </c>
      <c r="AV67" s="577">
        <v>206.63265306122463</v>
      </c>
      <c r="AW67" s="575">
        <f t="shared" ref="AW67:AW81" si="72">RANK(AV67, AV$67:AV$81)</f>
        <v>3</v>
      </c>
      <c r="AX67" s="636">
        <f t="shared" ref="AX67" si="73">AVERAGE(AV67:AV81)</f>
        <v>164.33595031367105</v>
      </c>
      <c r="AZ67" s="368" t="e">
        <f t="shared" ref="AZ67:AZ81" si="74">RANK(AY67, AY$67:AY$81)</f>
        <v>#N/A</v>
      </c>
      <c r="BA67" s="636" t="e">
        <f t="shared" ref="BA67" si="75">AVERAGE(AY67:AY81)</f>
        <v>#DIV/0!</v>
      </c>
    </row>
    <row r="68" spans="2:53">
      <c r="B68" s="647"/>
      <c r="C68" s="380">
        <v>2</v>
      </c>
      <c r="D68" s="225" t="s">
        <v>355</v>
      </c>
      <c r="E68" s="535">
        <v>7</v>
      </c>
      <c r="F68" s="534">
        <v>1500</v>
      </c>
      <c r="G68" s="536">
        <v>214.28571428571428</v>
      </c>
      <c r="H68" s="655"/>
      <c r="I68" s="381">
        <f t="shared" si="57"/>
        <v>7</v>
      </c>
      <c r="J68" s="381">
        <f t="shared" si="58"/>
        <v>1479.6045136068747</v>
      </c>
      <c r="K68" s="199">
        <f t="shared" si="59"/>
        <v>211.37207337241065</v>
      </c>
      <c r="L68" s="657"/>
      <c r="M68" s="385">
        <f>RANK(K68, K$67:$K$81)</f>
        <v>1</v>
      </c>
      <c r="N68" s="641"/>
      <c r="O68" s="641"/>
      <c r="P68" s="575">
        <v>7</v>
      </c>
      <c r="Q68" s="577">
        <v>1474.7368421052631</v>
      </c>
      <c r="R68" s="577">
        <v>210.6766917293233</v>
      </c>
      <c r="S68" s="575">
        <f t="shared" si="60"/>
        <v>2</v>
      </c>
      <c r="T68" s="637"/>
      <c r="U68" s="575">
        <v>7</v>
      </c>
      <c r="V68" s="577">
        <v>1483.9655172413795</v>
      </c>
      <c r="W68" s="577">
        <v>211.99507389162565</v>
      </c>
      <c r="X68" s="575">
        <f t="shared" si="62"/>
        <v>1</v>
      </c>
      <c r="Y68" s="637"/>
      <c r="Z68" s="575">
        <v>7</v>
      </c>
      <c r="AA68" s="577">
        <v>1479.8319327731094</v>
      </c>
      <c r="AB68" s="577">
        <v>211.40456182472991</v>
      </c>
      <c r="AC68" s="575">
        <f t="shared" si="64"/>
        <v>1</v>
      </c>
      <c r="AD68" s="637"/>
      <c r="AE68" s="575">
        <v>7</v>
      </c>
      <c r="AF68" s="577">
        <v>1481.9417475728155</v>
      </c>
      <c r="AG68" s="577">
        <v>211.70596393897364</v>
      </c>
      <c r="AH68" s="575">
        <f t="shared" si="66"/>
        <v>1</v>
      </c>
      <c r="AI68" s="637"/>
      <c r="AJ68" s="575">
        <v>7</v>
      </c>
      <c r="AK68" s="577">
        <v>1477.7777777777776</v>
      </c>
      <c r="AL68" s="577">
        <v>211.11111111111109</v>
      </c>
      <c r="AM68" s="575">
        <f t="shared" si="68"/>
        <v>1</v>
      </c>
      <c r="AN68" s="637"/>
      <c r="AO68" s="575">
        <v>7</v>
      </c>
      <c r="AP68" s="577">
        <v>1481.7777777777778</v>
      </c>
      <c r="AQ68" s="577">
        <v>211.6825396825397</v>
      </c>
      <c r="AR68" s="575">
        <f t="shared" si="70"/>
        <v>1</v>
      </c>
      <c r="AS68" s="637"/>
      <c r="AT68" s="575">
        <v>7</v>
      </c>
      <c r="AU68" s="577">
        <v>1477.1999999999996</v>
      </c>
      <c r="AV68" s="577">
        <v>211.02857142857138</v>
      </c>
      <c r="AW68" s="575">
        <f t="shared" si="72"/>
        <v>1</v>
      </c>
      <c r="AX68" s="637"/>
      <c r="AZ68" s="368" t="e">
        <f t="shared" si="74"/>
        <v>#N/A</v>
      </c>
      <c r="BA68" s="637"/>
    </row>
    <row r="69" spans="2:53">
      <c r="B69" s="647"/>
      <c r="C69" s="380">
        <v>3</v>
      </c>
      <c r="D69" s="225" t="s">
        <v>356</v>
      </c>
      <c r="E69" s="535">
        <v>17</v>
      </c>
      <c r="F69" s="534">
        <v>1500</v>
      </c>
      <c r="G69" s="536">
        <v>88.235294117647058</v>
      </c>
      <c r="H69" s="655"/>
      <c r="I69" s="381">
        <f t="shared" si="57"/>
        <v>16.428571428571427</v>
      </c>
      <c r="J69" s="381">
        <f t="shared" si="58"/>
        <v>1368.7761862103634</v>
      </c>
      <c r="K69" s="199">
        <f t="shared" si="59"/>
        <v>83.391299705202556</v>
      </c>
      <c r="L69" s="657"/>
      <c r="M69" s="385">
        <f>RANK(K69, K$67:$K$81)</f>
        <v>9</v>
      </c>
      <c r="N69" s="641"/>
      <c r="O69" s="641"/>
      <c r="P69" s="575">
        <v>16</v>
      </c>
      <c r="Q69" s="577">
        <v>1356.4285714285711</v>
      </c>
      <c r="R69" s="577">
        <v>84.776785714285694</v>
      </c>
      <c r="S69" s="575">
        <f t="shared" si="60"/>
        <v>9</v>
      </c>
      <c r="T69" s="637"/>
      <c r="U69" s="575">
        <v>16</v>
      </c>
      <c r="V69" s="577">
        <v>1361.4084507042257</v>
      </c>
      <c r="W69" s="577">
        <v>85.088028169014109</v>
      </c>
      <c r="X69" s="575">
        <f t="shared" si="62"/>
        <v>9</v>
      </c>
      <c r="Y69" s="637"/>
      <c r="Z69" s="575">
        <v>17</v>
      </c>
      <c r="AA69" s="577">
        <v>1368.6486486486492</v>
      </c>
      <c r="AB69" s="577">
        <v>80.508744038155839</v>
      </c>
      <c r="AC69" s="575">
        <f t="shared" si="64"/>
        <v>9</v>
      </c>
      <c r="AD69" s="637"/>
      <c r="AE69" s="575">
        <v>17</v>
      </c>
      <c r="AF69" s="577">
        <v>1366.55172413793</v>
      </c>
      <c r="AG69" s="577">
        <v>80.385395537525298</v>
      </c>
      <c r="AH69" s="575">
        <f t="shared" si="66"/>
        <v>9</v>
      </c>
      <c r="AI69" s="637"/>
      <c r="AJ69" s="575">
        <v>17</v>
      </c>
      <c r="AK69" s="577">
        <v>1372.131147540983</v>
      </c>
      <c r="AL69" s="577">
        <v>80.713596914175469</v>
      </c>
      <c r="AM69" s="575">
        <f t="shared" si="68"/>
        <v>9</v>
      </c>
      <c r="AN69" s="637"/>
      <c r="AO69" s="575">
        <v>16</v>
      </c>
      <c r="AP69" s="577">
        <v>1368.409090909091</v>
      </c>
      <c r="AQ69" s="577">
        <v>85.525568181818187</v>
      </c>
      <c r="AR69" s="575">
        <f t="shared" si="70"/>
        <v>9</v>
      </c>
      <c r="AS69" s="637"/>
      <c r="AT69" s="575">
        <v>16</v>
      </c>
      <c r="AU69" s="577">
        <v>1387.8556701030932</v>
      </c>
      <c r="AV69" s="577">
        <v>86.740979381443324</v>
      </c>
      <c r="AW69" s="575">
        <f t="shared" si="72"/>
        <v>9</v>
      </c>
      <c r="AX69" s="637"/>
      <c r="AZ69" s="368" t="e">
        <f t="shared" si="74"/>
        <v>#N/A</v>
      </c>
      <c r="BA69" s="637"/>
    </row>
    <row r="70" spans="2:53">
      <c r="B70" s="647"/>
      <c r="C70" s="380">
        <v>4</v>
      </c>
      <c r="D70" s="225" t="s">
        <v>388</v>
      </c>
      <c r="E70" s="535">
        <v>7</v>
      </c>
      <c r="F70" s="534">
        <v>1500</v>
      </c>
      <c r="G70" s="536">
        <v>214.28571428571428</v>
      </c>
      <c r="H70" s="655"/>
      <c r="I70" s="381">
        <f t="shared" si="57"/>
        <v>7</v>
      </c>
      <c r="J70" s="381">
        <f t="shared" si="58"/>
        <v>1460.4263273609408</v>
      </c>
      <c r="K70" s="199">
        <f t="shared" si="59"/>
        <v>208.63233248013441</v>
      </c>
      <c r="L70" s="657"/>
      <c r="M70" s="385">
        <f>RANK(K70, K$67:$K$81)</f>
        <v>2</v>
      </c>
      <c r="N70" s="641"/>
      <c r="O70" s="641"/>
      <c r="P70" s="575">
        <v>7</v>
      </c>
      <c r="Q70" s="577">
        <v>1476.8275862068961</v>
      </c>
      <c r="R70" s="577">
        <v>210.975369458128</v>
      </c>
      <c r="S70" s="575">
        <f t="shared" si="60"/>
        <v>1</v>
      </c>
      <c r="T70" s="637"/>
      <c r="U70" s="575">
        <v>7</v>
      </c>
      <c r="V70" s="577">
        <v>1475.4744525547444</v>
      </c>
      <c r="W70" s="577">
        <v>210.78206465067777</v>
      </c>
      <c r="X70" s="575">
        <f t="shared" si="62"/>
        <v>2</v>
      </c>
      <c r="Y70" s="637"/>
      <c r="Z70" s="575">
        <v>7</v>
      </c>
      <c r="AA70" s="577">
        <v>1432.608695652174</v>
      </c>
      <c r="AB70" s="577">
        <v>204.65838509316771</v>
      </c>
      <c r="AC70" s="575">
        <f t="shared" si="64"/>
        <v>5</v>
      </c>
      <c r="AD70" s="637"/>
      <c r="AE70" s="575">
        <v>7</v>
      </c>
      <c r="AF70" s="577">
        <v>1458.5454545454543</v>
      </c>
      <c r="AG70" s="577">
        <v>208.36363636363632</v>
      </c>
      <c r="AH70" s="575">
        <f t="shared" si="66"/>
        <v>3</v>
      </c>
      <c r="AI70" s="637"/>
      <c r="AJ70" s="575">
        <v>7</v>
      </c>
      <c r="AK70" s="577">
        <v>1470.7826086956522</v>
      </c>
      <c r="AL70" s="577">
        <v>210.11180124223603</v>
      </c>
      <c r="AM70" s="575">
        <f t="shared" si="68"/>
        <v>3</v>
      </c>
      <c r="AN70" s="637"/>
      <c r="AO70" s="575">
        <v>7</v>
      </c>
      <c r="AP70" s="577">
        <v>1448.219178082192</v>
      </c>
      <c r="AQ70" s="577">
        <v>206.88845401174171</v>
      </c>
      <c r="AR70" s="575">
        <f t="shared" si="70"/>
        <v>2</v>
      </c>
      <c r="AS70" s="637"/>
      <c r="AT70" s="575">
        <v>7</v>
      </c>
      <c r="AU70" s="577">
        <v>1460.5263157894733</v>
      </c>
      <c r="AV70" s="577">
        <v>208.64661654135332</v>
      </c>
      <c r="AW70" s="575">
        <f t="shared" si="72"/>
        <v>2</v>
      </c>
      <c r="AX70" s="637"/>
      <c r="AZ70" s="368" t="e">
        <f t="shared" si="74"/>
        <v>#N/A</v>
      </c>
      <c r="BA70" s="637"/>
    </row>
    <row r="71" spans="2:53">
      <c r="B71" s="647"/>
      <c r="C71" s="380">
        <v>5</v>
      </c>
      <c r="D71" s="225" t="s">
        <v>577</v>
      </c>
      <c r="E71" s="535">
        <v>12</v>
      </c>
      <c r="F71" s="534">
        <v>2000</v>
      </c>
      <c r="G71" s="536">
        <v>166.66666666666666</v>
      </c>
      <c r="H71" s="655"/>
      <c r="I71" s="381">
        <f t="shared" si="57"/>
        <v>12</v>
      </c>
      <c r="J71" s="381">
        <f t="shared" si="58"/>
        <v>1494.5246056371386</v>
      </c>
      <c r="K71" s="199">
        <f t="shared" si="59"/>
        <v>124.54371713642821</v>
      </c>
      <c r="L71" s="657"/>
      <c r="M71" s="385">
        <f>RANK(K71, K$67:$K$81)</f>
        <v>7</v>
      </c>
      <c r="N71" s="641"/>
      <c r="O71" s="641"/>
      <c r="P71" s="575">
        <v>12</v>
      </c>
      <c r="Q71" s="577">
        <v>1512.5060240963865</v>
      </c>
      <c r="R71" s="577">
        <v>126.04216867469887</v>
      </c>
      <c r="S71" s="575">
        <f t="shared" si="60"/>
        <v>7</v>
      </c>
      <c r="T71" s="637"/>
      <c r="U71" s="575">
        <v>12</v>
      </c>
      <c r="V71" s="577">
        <v>1516.8461538461545</v>
      </c>
      <c r="W71" s="577">
        <v>126.4038461538462</v>
      </c>
      <c r="X71" s="575">
        <f t="shared" si="62"/>
        <v>6</v>
      </c>
      <c r="Y71" s="637"/>
      <c r="Z71" s="575">
        <v>12</v>
      </c>
      <c r="AA71" s="577">
        <v>1509.8181818181815</v>
      </c>
      <c r="AB71" s="577">
        <v>125.8181818181818</v>
      </c>
      <c r="AC71" s="575">
        <f t="shared" si="64"/>
        <v>6</v>
      </c>
      <c r="AD71" s="637"/>
      <c r="AE71" s="575">
        <v>12</v>
      </c>
      <c r="AF71" s="577">
        <v>1485</v>
      </c>
      <c r="AG71" s="577">
        <v>123.75</v>
      </c>
      <c r="AH71" s="575">
        <f t="shared" si="66"/>
        <v>7</v>
      </c>
      <c r="AI71" s="637"/>
      <c r="AJ71" s="575">
        <v>12</v>
      </c>
      <c r="AK71" s="577">
        <v>1488.0000000000002</v>
      </c>
      <c r="AL71" s="577">
        <v>124.00000000000001</v>
      </c>
      <c r="AM71" s="575">
        <f t="shared" si="68"/>
        <v>7</v>
      </c>
      <c r="AN71" s="637"/>
      <c r="AO71" s="575">
        <v>12</v>
      </c>
      <c r="AP71" s="577">
        <v>1487.6447368421052</v>
      </c>
      <c r="AQ71" s="577">
        <v>123.9703947368421</v>
      </c>
      <c r="AR71" s="575">
        <f t="shared" si="70"/>
        <v>7</v>
      </c>
      <c r="AS71" s="637"/>
      <c r="AT71" s="575">
        <v>12</v>
      </c>
      <c r="AU71" s="577">
        <v>1461.8571428571422</v>
      </c>
      <c r="AV71" s="577">
        <v>121.82142857142851</v>
      </c>
      <c r="AW71" s="575">
        <f t="shared" si="72"/>
        <v>7</v>
      </c>
      <c r="AX71" s="637"/>
      <c r="AZ71" s="368" t="e">
        <f t="shared" si="74"/>
        <v>#N/A</v>
      </c>
      <c r="BA71" s="637"/>
    </row>
    <row r="72" spans="2:53">
      <c r="B72" s="647"/>
      <c r="C72" s="380">
        <v>6</v>
      </c>
      <c r="D72" s="225" t="s">
        <v>562</v>
      </c>
      <c r="E72" s="535">
        <v>7</v>
      </c>
      <c r="F72" s="534">
        <v>1500</v>
      </c>
      <c r="G72" s="536">
        <v>214.28571428571428</v>
      </c>
      <c r="H72" s="655"/>
      <c r="I72" s="381">
        <f t="shared" si="57"/>
        <v>7</v>
      </c>
      <c r="J72" s="381">
        <f t="shared" si="58"/>
        <v>1451.6333878107057</v>
      </c>
      <c r="K72" s="199">
        <f t="shared" si="59"/>
        <v>207.37619825867225</v>
      </c>
      <c r="L72" s="657"/>
      <c r="M72" s="385">
        <f>RANK(K72, K$67:$K$81)</f>
        <v>3</v>
      </c>
      <c r="N72" s="641"/>
      <c r="O72" s="641"/>
      <c r="P72" s="575">
        <v>7</v>
      </c>
      <c r="Q72" s="577">
        <v>1442.7692307692314</v>
      </c>
      <c r="R72" s="577">
        <v>206.10989010989019</v>
      </c>
      <c r="S72" s="575">
        <f t="shared" si="60"/>
        <v>4</v>
      </c>
      <c r="T72" s="637"/>
      <c r="U72" s="575">
        <v>7</v>
      </c>
      <c r="V72" s="577">
        <v>1460.294117647059</v>
      </c>
      <c r="W72" s="577">
        <v>208.61344537815128</v>
      </c>
      <c r="X72" s="575">
        <f t="shared" si="62"/>
        <v>3</v>
      </c>
      <c r="Y72" s="637"/>
      <c r="Z72" s="575">
        <v>7</v>
      </c>
      <c r="AA72" s="577">
        <v>1444.3478260869565</v>
      </c>
      <c r="AB72" s="577">
        <v>206.33540372670808</v>
      </c>
      <c r="AC72" s="575">
        <f t="shared" si="64"/>
        <v>4</v>
      </c>
      <c r="AD72" s="637"/>
      <c r="AE72" s="575">
        <v>7</v>
      </c>
      <c r="AF72" s="577">
        <v>1480.0000000000005</v>
      </c>
      <c r="AG72" s="577">
        <v>211.4285714285715</v>
      </c>
      <c r="AH72" s="575">
        <f t="shared" si="66"/>
        <v>2</v>
      </c>
      <c r="AI72" s="637"/>
      <c r="AJ72" s="575">
        <v>7</v>
      </c>
      <c r="AK72" s="577">
        <v>1450.7999999999993</v>
      </c>
      <c r="AL72" s="577">
        <v>207.25714285714275</v>
      </c>
      <c r="AM72" s="575">
        <f t="shared" si="68"/>
        <v>4</v>
      </c>
      <c r="AN72" s="637"/>
      <c r="AO72" s="575">
        <v>7</v>
      </c>
      <c r="AP72" s="577">
        <v>1447.1186440677968</v>
      </c>
      <c r="AQ72" s="577">
        <v>206.73123486682812</v>
      </c>
      <c r="AR72" s="575">
        <f t="shared" si="70"/>
        <v>3</v>
      </c>
      <c r="AS72" s="637"/>
      <c r="AT72" s="575">
        <v>7</v>
      </c>
      <c r="AU72" s="577">
        <v>1436.1038961038962</v>
      </c>
      <c r="AV72" s="577">
        <v>205.15769944341375</v>
      </c>
      <c r="AW72" s="575">
        <f t="shared" si="72"/>
        <v>4</v>
      </c>
      <c r="AX72" s="637"/>
      <c r="AZ72" s="368" t="e">
        <f t="shared" si="74"/>
        <v>#N/A</v>
      </c>
      <c r="BA72" s="637"/>
    </row>
    <row r="73" spans="2:53">
      <c r="B73" s="647"/>
      <c r="C73" s="380">
        <v>7</v>
      </c>
      <c r="D73" s="225" t="s">
        <v>605</v>
      </c>
      <c r="E73" s="535">
        <v>12</v>
      </c>
      <c r="F73" s="534">
        <v>2000</v>
      </c>
      <c r="G73" s="536">
        <v>166.66666666666666</v>
      </c>
      <c r="H73" s="655"/>
      <c r="I73" s="381">
        <f t="shared" si="57"/>
        <v>12</v>
      </c>
      <c r="J73" s="381">
        <f t="shared" si="58"/>
        <v>1504.432905580856</v>
      </c>
      <c r="K73" s="199">
        <f t="shared" si="59"/>
        <v>125.36940879840465</v>
      </c>
      <c r="L73" s="657"/>
      <c r="M73" s="385">
        <f>RANK(K73, K$67:$K$81)</f>
        <v>6</v>
      </c>
      <c r="N73" s="641"/>
      <c r="O73" s="641"/>
      <c r="P73" s="575">
        <v>12</v>
      </c>
      <c r="Q73" s="577">
        <v>1517.1639344262289</v>
      </c>
      <c r="R73" s="577">
        <v>126.43032786885242</v>
      </c>
      <c r="S73" s="575">
        <f t="shared" si="60"/>
        <v>6</v>
      </c>
      <c r="T73" s="637"/>
      <c r="U73" s="575">
        <v>12</v>
      </c>
      <c r="V73" s="577">
        <v>1503.8135593220341</v>
      </c>
      <c r="W73" s="577">
        <v>125.31779661016951</v>
      </c>
      <c r="X73" s="575">
        <f t="shared" si="62"/>
        <v>7</v>
      </c>
      <c r="Y73" s="637"/>
      <c r="Z73" s="575">
        <v>12</v>
      </c>
      <c r="AA73" s="577">
        <v>1483.9830508474579</v>
      </c>
      <c r="AB73" s="577">
        <v>123.66525423728815</v>
      </c>
      <c r="AC73" s="575">
        <f t="shared" si="64"/>
        <v>7</v>
      </c>
      <c r="AD73" s="637"/>
      <c r="AE73" s="575">
        <v>12</v>
      </c>
      <c r="AF73" s="577">
        <v>1518.7499999999995</v>
      </c>
      <c r="AG73" s="577">
        <v>126.56249999999996</v>
      </c>
      <c r="AH73" s="575">
        <f t="shared" si="66"/>
        <v>6</v>
      </c>
      <c r="AI73" s="637"/>
      <c r="AJ73" s="575">
        <v>12</v>
      </c>
      <c r="AK73" s="577">
        <v>1503.5820895522388</v>
      </c>
      <c r="AL73" s="577">
        <v>125.29850746268657</v>
      </c>
      <c r="AM73" s="575">
        <f t="shared" si="68"/>
        <v>6</v>
      </c>
      <c r="AN73" s="637"/>
      <c r="AO73" s="575">
        <v>12</v>
      </c>
      <c r="AP73" s="577">
        <v>1503.7377049180323</v>
      </c>
      <c r="AQ73" s="577">
        <v>125.31147540983602</v>
      </c>
      <c r="AR73" s="575">
        <f t="shared" si="70"/>
        <v>6</v>
      </c>
      <c r="AS73" s="637"/>
      <c r="AT73" s="575">
        <v>12</v>
      </c>
      <c r="AU73" s="577">
        <v>1499.9999999999995</v>
      </c>
      <c r="AV73" s="577">
        <v>124.99999999999996</v>
      </c>
      <c r="AW73" s="575">
        <f t="shared" si="72"/>
        <v>6</v>
      </c>
      <c r="AX73" s="637"/>
      <c r="AZ73" s="368" t="e">
        <f t="shared" si="74"/>
        <v>#N/A</v>
      </c>
      <c r="BA73" s="637"/>
    </row>
    <row r="74" spans="2:53">
      <c r="B74" s="647"/>
      <c r="C74" s="380">
        <v>8</v>
      </c>
      <c r="D74" s="225" t="s">
        <v>606</v>
      </c>
      <c r="E74" s="535">
        <v>12</v>
      </c>
      <c r="F74" s="534">
        <v>2000</v>
      </c>
      <c r="G74" s="536">
        <v>166.66666666666666</v>
      </c>
      <c r="H74" s="655"/>
      <c r="I74" s="381">
        <f t="shared" si="57"/>
        <v>12</v>
      </c>
      <c r="J74" s="381">
        <f t="shared" si="58"/>
        <v>1284.0253246753248</v>
      </c>
      <c r="K74" s="199">
        <f t="shared" si="59"/>
        <v>107.00211038961039</v>
      </c>
      <c r="L74" s="657"/>
      <c r="M74" s="385">
        <f>RANK(K74, K$67:$K$81)</f>
        <v>8</v>
      </c>
      <c r="N74" s="641"/>
      <c r="O74" s="641"/>
      <c r="P74" s="575">
        <v>12</v>
      </c>
      <c r="Q74" s="577">
        <v>1250.9999999999995</v>
      </c>
      <c r="R74" s="577">
        <v>104.24999999999996</v>
      </c>
      <c r="S74" s="575">
        <f t="shared" si="60"/>
        <v>8</v>
      </c>
      <c r="T74" s="637"/>
      <c r="U74" s="575">
        <v>12</v>
      </c>
      <c r="V74" s="577">
        <v>1289.9999999999995</v>
      </c>
      <c r="W74" s="577">
        <v>107.49999999999996</v>
      </c>
      <c r="X74" s="575">
        <f t="shared" si="62"/>
        <v>8</v>
      </c>
      <c r="Y74" s="637"/>
      <c r="Z74" s="575">
        <v>12</v>
      </c>
      <c r="AA74" s="577">
        <v>1292.9999999999995</v>
      </c>
      <c r="AB74" s="577">
        <v>107.74999999999996</v>
      </c>
      <c r="AC74" s="575">
        <f t="shared" si="64"/>
        <v>8</v>
      </c>
      <c r="AD74" s="637"/>
      <c r="AE74" s="575">
        <v>12</v>
      </c>
      <c r="AF74" s="577">
        <v>1254.5454545454545</v>
      </c>
      <c r="AG74" s="577">
        <v>104.54545454545455</v>
      </c>
      <c r="AH74" s="575">
        <f t="shared" si="66"/>
        <v>8</v>
      </c>
      <c r="AI74" s="637"/>
      <c r="AJ74" s="575">
        <v>12</v>
      </c>
      <c r="AK74" s="577">
        <v>1298.1818181818182</v>
      </c>
      <c r="AL74" s="577">
        <v>108.18181818181819</v>
      </c>
      <c r="AM74" s="575">
        <f t="shared" si="68"/>
        <v>8</v>
      </c>
      <c r="AN74" s="637"/>
      <c r="AO74" s="575">
        <v>12</v>
      </c>
      <c r="AP74" s="577">
        <v>1286.2500000000016</v>
      </c>
      <c r="AQ74" s="577">
        <v>107.18750000000013</v>
      </c>
      <c r="AR74" s="575">
        <f t="shared" si="70"/>
        <v>8</v>
      </c>
      <c r="AS74" s="637"/>
      <c r="AT74" s="575">
        <v>12</v>
      </c>
      <c r="AU74" s="577">
        <v>1315.2000000000003</v>
      </c>
      <c r="AV74" s="577">
        <v>109.60000000000002</v>
      </c>
      <c r="AW74" s="575">
        <f t="shared" si="72"/>
        <v>8</v>
      </c>
      <c r="AX74" s="637"/>
      <c r="AZ74" s="368" t="e">
        <f t="shared" si="74"/>
        <v>#N/A</v>
      </c>
      <c r="BA74" s="637"/>
    </row>
    <row r="75" spans="2:53">
      <c r="B75" s="647"/>
      <c r="C75" s="380">
        <v>9</v>
      </c>
      <c r="D75" s="225" t="s">
        <v>622</v>
      </c>
      <c r="E75" s="535">
        <v>7</v>
      </c>
      <c r="F75" s="534">
        <v>1500</v>
      </c>
      <c r="G75" s="536">
        <v>214.28571428571428</v>
      </c>
      <c r="H75" s="655"/>
      <c r="I75" s="381">
        <f t="shared" si="57"/>
        <v>7</v>
      </c>
      <c r="J75" s="381">
        <f t="shared" si="58"/>
        <v>1360.3086870199586</v>
      </c>
      <c r="K75" s="199">
        <f t="shared" si="59"/>
        <v>194.32981243142268</v>
      </c>
      <c r="L75" s="657"/>
      <c r="M75" s="385">
        <f>RANK(K75, K$67:$K$81)</f>
        <v>5</v>
      </c>
      <c r="N75" s="641"/>
      <c r="O75" s="641"/>
      <c r="P75" s="575">
        <v>7</v>
      </c>
      <c r="Q75" s="577">
        <v>1462.5000000000018</v>
      </c>
      <c r="R75" s="577">
        <v>208.9285714285717</v>
      </c>
      <c r="S75" s="575">
        <f t="shared" si="60"/>
        <v>3</v>
      </c>
      <c r="T75" s="637"/>
      <c r="U75" s="575">
        <v>7</v>
      </c>
      <c r="V75" s="577">
        <v>1459.4117647058804</v>
      </c>
      <c r="W75" s="577">
        <v>208.4873949579829</v>
      </c>
      <c r="X75" s="575">
        <f t="shared" si="62"/>
        <v>4</v>
      </c>
      <c r="Y75" s="637"/>
      <c r="Z75" s="575">
        <v>7</v>
      </c>
      <c r="AA75" s="577">
        <v>1451.2500000000018</v>
      </c>
      <c r="AB75" s="577">
        <v>207.32142857142884</v>
      </c>
      <c r="AC75" s="575">
        <f t="shared" si="64"/>
        <v>3</v>
      </c>
      <c r="AD75" s="637"/>
      <c r="AE75" s="575">
        <v>7</v>
      </c>
      <c r="AF75" s="577">
        <v>1240.7142857142849</v>
      </c>
      <c r="AG75" s="577">
        <v>177.24489795918356</v>
      </c>
      <c r="AH75" s="575">
        <f t="shared" si="66"/>
        <v>5</v>
      </c>
      <c r="AI75" s="637"/>
      <c r="AJ75" s="575">
        <v>7</v>
      </c>
      <c r="AK75" s="577">
        <v>1226.0869565217392</v>
      </c>
      <c r="AL75" s="577">
        <v>175.15527950310562</v>
      </c>
      <c r="AM75" s="575">
        <f t="shared" si="68"/>
        <v>5</v>
      </c>
      <c r="AN75" s="637"/>
      <c r="AO75" s="575">
        <v>7</v>
      </c>
      <c r="AP75" s="577">
        <v>1251.4285714285722</v>
      </c>
      <c r="AQ75" s="577">
        <v>178.77551020408174</v>
      </c>
      <c r="AR75" s="575">
        <f t="shared" si="70"/>
        <v>5</v>
      </c>
      <c r="AS75" s="637"/>
      <c r="AT75" s="575">
        <v>7</v>
      </c>
      <c r="AU75" s="577">
        <v>1430.76923076923</v>
      </c>
      <c r="AV75" s="577">
        <v>204.39560439560429</v>
      </c>
      <c r="AW75" s="575">
        <f t="shared" si="72"/>
        <v>5</v>
      </c>
      <c r="AX75" s="637"/>
      <c r="AZ75" s="368" t="e">
        <f t="shared" si="74"/>
        <v>#N/A</v>
      </c>
      <c r="BA75" s="637"/>
    </row>
    <row r="76" spans="2:53">
      <c r="B76" s="647"/>
      <c r="C76" s="380">
        <v>10</v>
      </c>
      <c r="D76" s="225"/>
      <c r="E76" s="535"/>
      <c r="F76" s="534"/>
      <c r="G76" s="536"/>
      <c r="H76" s="655"/>
      <c r="I76" s="381" t="str">
        <f t="shared" si="57"/>
        <v>-</v>
      </c>
      <c r="J76" s="381" t="str">
        <f t="shared" si="58"/>
        <v>-</v>
      </c>
      <c r="K76" s="199" t="str">
        <f t="shared" si="59"/>
        <v>-</v>
      </c>
      <c r="L76" s="657"/>
      <c r="M76" s="385" t="e">
        <f>RANK(K76, K$67:$K$81)</f>
        <v>#VALUE!</v>
      </c>
      <c r="N76" s="641"/>
      <c r="O76" s="641"/>
      <c r="P76" s="575" t="s">
        <v>585</v>
      </c>
      <c r="Q76" s="577" t="s">
        <v>585</v>
      </c>
      <c r="R76" s="577" t="s">
        <v>585</v>
      </c>
      <c r="S76" s="575" t="e">
        <f t="shared" si="60"/>
        <v>#VALUE!</v>
      </c>
      <c r="T76" s="637"/>
      <c r="U76" s="575" t="s">
        <v>585</v>
      </c>
      <c r="V76" s="577" t="s">
        <v>585</v>
      </c>
      <c r="W76" s="577" t="s">
        <v>585</v>
      </c>
      <c r="X76" s="575" t="e">
        <f t="shared" si="62"/>
        <v>#VALUE!</v>
      </c>
      <c r="Y76" s="637"/>
      <c r="Z76" s="575" t="s">
        <v>585</v>
      </c>
      <c r="AA76" s="577" t="s">
        <v>585</v>
      </c>
      <c r="AB76" s="577" t="s">
        <v>585</v>
      </c>
      <c r="AC76" s="575" t="e">
        <f t="shared" si="64"/>
        <v>#VALUE!</v>
      </c>
      <c r="AD76" s="637"/>
      <c r="AE76" s="575" t="s">
        <v>585</v>
      </c>
      <c r="AF76" s="577" t="s">
        <v>585</v>
      </c>
      <c r="AG76" s="577" t="s">
        <v>585</v>
      </c>
      <c r="AH76" s="575" t="e">
        <f t="shared" si="66"/>
        <v>#VALUE!</v>
      </c>
      <c r="AI76" s="637"/>
      <c r="AJ76" s="575" t="s">
        <v>585</v>
      </c>
      <c r="AK76" s="577" t="s">
        <v>585</v>
      </c>
      <c r="AL76" s="577" t="s">
        <v>585</v>
      </c>
      <c r="AM76" s="575" t="e">
        <f t="shared" si="68"/>
        <v>#VALUE!</v>
      </c>
      <c r="AN76" s="637"/>
      <c r="AO76" s="575" t="s">
        <v>585</v>
      </c>
      <c r="AP76" s="577" t="s">
        <v>585</v>
      </c>
      <c r="AQ76" s="577" t="s">
        <v>585</v>
      </c>
      <c r="AR76" s="575" t="e">
        <f t="shared" si="70"/>
        <v>#VALUE!</v>
      </c>
      <c r="AS76" s="637"/>
      <c r="AT76" s="575" t="s">
        <v>585</v>
      </c>
      <c r="AU76" s="577" t="s">
        <v>585</v>
      </c>
      <c r="AV76" s="577" t="s">
        <v>585</v>
      </c>
      <c r="AW76" s="575" t="e">
        <f t="shared" si="72"/>
        <v>#VALUE!</v>
      </c>
      <c r="AX76" s="637"/>
      <c r="AZ76" s="368" t="e">
        <f t="shared" si="74"/>
        <v>#N/A</v>
      </c>
      <c r="BA76" s="637"/>
    </row>
    <row r="77" spans="2:53">
      <c r="B77" s="647"/>
      <c r="C77" s="380">
        <v>11</v>
      </c>
      <c r="D77" s="225"/>
      <c r="E77" s="535"/>
      <c r="F77" s="534"/>
      <c r="G77" s="536"/>
      <c r="H77" s="655"/>
      <c r="I77" s="381" t="str">
        <f t="shared" si="57"/>
        <v>-</v>
      </c>
      <c r="J77" s="381" t="str">
        <f t="shared" si="58"/>
        <v>-</v>
      </c>
      <c r="K77" s="199" t="str">
        <f t="shared" si="59"/>
        <v>-</v>
      </c>
      <c r="L77" s="657"/>
      <c r="M77" s="385" t="e">
        <f>RANK(K77, K$67:$K$81)</f>
        <v>#VALUE!</v>
      </c>
      <c r="N77" s="641"/>
      <c r="O77" s="641"/>
      <c r="P77" s="575" t="s">
        <v>585</v>
      </c>
      <c r="Q77" s="577" t="s">
        <v>585</v>
      </c>
      <c r="R77" s="577" t="s">
        <v>585</v>
      </c>
      <c r="S77" s="575" t="e">
        <f t="shared" si="60"/>
        <v>#VALUE!</v>
      </c>
      <c r="T77" s="637"/>
      <c r="U77" s="575" t="s">
        <v>585</v>
      </c>
      <c r="V77" s="577" t="s">
        <v>585</v>
      </c>
      <c r="W77" s="577" t="s">
        <v>585</v>
      </c>
      <c r="X77" s="575" t="e">
        <f t="shared" si="62"/>
        <v>#VALUE!</v>
      </c>
      <c r="Y77" s="637"/>
      <c r="Z77" s="575" t="s">
        <v>585</v>
      </c>
      <c r="AA77" s="577" t="s">
        <v>585</v>
      </c>
      <c r="AB77" s="577" t="s">
        <v>585</v>
      </c>
      <c r="AC77" s="575" t="e">
        <f t="shared" si="64"/>
        <v>#VALUE!</v>
      </c>
      <c r="AD77" s="637"/>
      <c r="AE77" s="575" t="s">
        <v>585</v>
      </c>
      <c r="AF77" s="577" t="s">
        <v>585</v>
      </c>
      <c r="AG77" s="577" t="s">
        <v>585</v>
      </c>
      <c r="AH77" s="575" t="e">
        <f t="shared" si="66"/>
        <v>#VALUE!</v>
      </c>
      <c r="AI77" s="637"/>
      <c r="AJ77" s="575" t="s">
        <v>585</v>
      </c>
      <c r="AK77" s="577" t="s">
        <v>585</v>
      </c>
      <c r="AL77" s="577" t="s">
        <v>585</v>
      </c>
      <c r="AM77" s="575" t="e">
        <f t="shared" si="68"/>
        <v>#VALUE!</v>
      </c>
      <c r="AN77" s="637"/>
      <c r="AO77" s="575" t="s">
        <v>585</v>
      </c>
      <c r="AP77" s="577" t="s">
        <v>585</v>
      </c>
      <c r="AQ77" s="577" t="s">
        <v>585</v>
      </c>
      <c r="AR77" s="575" t="e">
        <f t="shared" si="70"/>
        <v>#VALUE!</v>
      </c>
      <c r="AS77" s="637"/>
      <c r="AT77" s="575" t="s">
        <v>585</v>
      </c>
      <c r="AU77" s="577" t="s">
        <v>585</v>
      </c>
      <c r="AV77" s="577" t="s">
        <v>585</v>
      </c>
      <c r="AW77" s="575" t="e">
        <f t="shared" si="72"/>
        <v>#VALUE!</v>
      </c>
      <c r="AX77" s="637"/>
      <c r="AZ77" s="368" t="e">
        <f t="shared" si="74"/>
        <v>#N/A</v>
      </c>
      <c r="BA77" s="637"/>
    </row>
    <row r="78" spans="2:53">
      <c r="B78" s="647"/>
      <c r="C78" s="380">
        <v>12</v>
      </c>
      <c r="D78" s="225"/>
      <c r="E78" s="535"/>
      <c r="F78" s="534"/>
      <c r="G78" s="536"/>
      <c r="H78" s="655"/>
      <c r="I78" s="381" t="str">
        <f t="shared" si="57"/>
        <v>-</v>
      </c>
      <c r="J78" s="381" t="str">
        <f t="shared" si="58"/>
        <v>-</v>
      </c>
      <c r="K78" s="199" t="str">
        <f t="shared" si="59"/>
        <v>-</v>
      </c>
      <c r="L78" s="657"/>
      <c r="M78" s="385" t="e">
        <f>RANK(K78, K$67:$K$81)</f>
        <v>#VALUE!</v>
      </c>
      <c r="N78" s="641"/>
      <c r="O78" s="641"/>
      <c r="P78" s="575" t="s">
        <v>585</v>
      </c>
      <c r="Q78" s="577" t="s">
        <v>585</v>
      </c>
      <c r="R78" s="577" t="s">
        <v>585</v>
      </c>
      <c r="S78" s="575" t="e">
        <f t="shared" si="60"/>
        <v>#VALUE!</v>
      </c>
      <c r="T78" s="637"/>
      <c r="U78" s="575" t="s">
        <v>585</v>
      </c>
      <c r="V78" s="577" t="s">
        <v>585</v>
      </c>
      <c r="W78" s="577" t="s">
        <v>585</v>
      </c>
      <c r="X78" s="575" t="e">
        <f t="shared" si="62"/>
        <v>#VALUE!</v>
      </c>
      <c r="Y78" s="637"/>
      <c r="Z78" s="575" t="s">
        <v>585</v>
      </c>
      <c r="AA78" s="577" t="s">
        <v>585</v>
      </c>
      <c r="AB78" s="577" t="s">
        <v>585</v>
      </c>
      <c r="AC78" s="575" t="e">
        <f t="shared" si="64"/>
        <v>#VALUE!</v>
      </c>
      <c r="AD78" s="637"/>
      <c r="AE78" s="575" t="s">
        <v>585</v>
      </c>
      <c r="AF78" s="577" t="s">
        <v>585</v>
      </c>
      <c r="AG78" s="577" t="s">
        <v>585</v>
      </c>
      <c r="AH78" s="575" t="e">
        <f t="shared" si="66"/>
        <v>#VALUE!</v>
      </c>
      <c r="AI78" s="637"/>
      <c r="AJ78" s="575" t="s">
        <v>585</v>
      </c>
      <c r="AK78" s="577" t="s">
        <v>585</v>
      </c>
      <c r="AL78" s="577" t="s">
        <v>585</v>
      </c>
      <c r="AM78" s="575" t="e">
        <f t="shared" si="68"/>
        <v>#VALUE!</v>
      </c>
      <c r="AN78" s="637"/>
      <c r="AO78" s="575" t="s">
        <v>585</v>
      </c>
      <c r="AP78" s="577" t="s">
        <v>585</v>
      </c>
      <c r="AQ78" s="577" t="s">
        <v>585</v>
      </c>
      <c r="AR78" s="575" t="e">
        <f t="shared" si="70"/>
        <v>#VALUE!</v>
      </c>
      <c r="AS78" s="637"/>
      <c r="AT78" s="575" t="s">
        <v>585</v>
      </c>
      <c r="AU78" s="577" t="s">
        <v>585</v>
      </c>
      <c r="AV78" s="577" t="s">
        <v>585</v>
      </c>
      <c r="AW78" s="575" t="e">
        <f t="shared" si="72"/>
        <v>#VALUE!</v>
      </c>
      <c r="AX78" s="637"/>
      <c r="AZ78" s="368" t="e">
        <f t="shared" si="74"/>
        <v>#N/A</v>
      </c>
      <c r="BA78" s="637"/>
    </row>
    <row r="79" spans="2:53">
      <c r="B79" s="647"/>
      <c r="C79" s="380">
        <v>13</v>
      </c>
      <c r="D79" s="225"/>
      <c r="E79" s="535"/>
      <c r="F79" s="534"/>
      <c r="G79" s="536"/>
      <c r="H79" s="655"/>
      <c r="I79" s="381" t="str">
        <f t="shared" si="57"/>
        <v>-</v>
      </c>
      <c r="J79" s="381" t="str">
        <f t="shared" si="58"/>
        <v>-</v>
      </c>
      <c r="K79" s="199" t="str">
        <f t="shared" si="59"/>
        <v>-</v>
      </c>
      <c r="L79" s="657"/>
      <c r="M79" s="385" t="e">
        <f>RANK(K79, K$67:$K$81)</f>
        <v>#VALUE!</v>
      </c>
      <c r="N79" s="641"/>
      <c r="O79" s="641"/>
      <c r="P79" s="575" t="s">
        <v>585</v>
      </c>
      <c r="Q79" s="577" t="s">
        <v>585</v>
      </c>
      <c r="R79" s="577" t="s">
        <v>585</v>
      </c>
      <c r="S79" s="575" t="e">
        <f t="shared" si="60"/>
        <v>#VALUE!</v>
      </c>
      <c r="T79" s="637"/>
      <c r="U79" s="575" t="s">
        <v>585</v>
      </c>
      <c r="V79" s="577" t="s">
        <v>585</v>
      </c>
      <c r="W79" s="577" t="s">
        <v>585</v>
      </c>
      <c r="X79" s="575" t="e">
        <f t="shared" si="62"/>
        <v>#VALUE!</v>
      </c>
      <c r="Y79" s="637"/>
      <c r="Z79" s="575" t="s">
        <v>585</v>
      </c>
      <c r="AA79" s="577" t="s">
        <v>585</v>
      </c>
      <c r="AB79" s="577" t="s">
        <v>585</v>
      </c>
      <c r="AC79" s="575" t="e">
        <f t="shared" si="64"/>
        <v>#VALUE!</v>
      </c>
      <c r="AD79" s="637"/>
      <c r="AE79" s="575" t="s">
        <v>585</v>
      </c>
      <c r="AF79" s="577" t="s">
        <v>585</v>
      </c>
      <c r="AG79" s="577" t="s">
        <v>585</v>
      </c>
      <c r="AH79" s="575" t="e">
        <f t="shared" si="66"/>
        <v>#VALUE!</v>
      </c>
      <c r="AI79" s="637"/>
      <c r="AJ79" s="575" t="s">
        <v>585</v>
      </c>
      <c r="AK79" s="577" t="s">
        <v>585</v>
      </c>
      <c r="AL79" s="577" t="s">
        <v>585</v>
      </c>
      <c r="AM79" s="575" t="e">
        <f t="shared" si="68"/>
        <v>#VALUE!</v>
      </c>
      <c r="AN79" s="637"/>
      <c r="AO79" s="575" t="s">
        <v>585</v>
      </c>
      <c r="AP79" s="577" t="s">
        <v>585</v>
      </c>
      <c r="AQ79" s="577" t="s">
        <v>585</v>
      </c>
      <c r="AR79" s="575" t="e">
        <f t="shared" si="70"/>
        <v>#VALUE!</v>
      </c>
      <c r="AS79" s="637"/>
      <c r="AT79" s="575" t="s">
        <v>585</v>
      </c>
      <c r="AU79" s="577" t="s">
        <v>585</v>
      </c>
      <c r="AV79" s="577" t="s">
        <v>585</v>
      </c>
      <c r="AW79" s="575" t="e">
        <f t="shared" si="72"/>
        <v>#VALUE!</v>
      </c>
      <c r="AX79" s="637"/>
      <c r="AZ79" s="368" t="e">
        <f t="shared" si="74"/>
        <v>#N/A</v>
      </c>
      <c r="BA79" s="637"/>
    </row>
    <row r="80" spans="2:53">
      <c r="B80" s="647"/>
      <c r="C80" s="380">
        <v>14</v>
      </c>
      <c r="D80" s="225"/>
      <c r="E80" s="535"/>
      <c r="F80" s="534"/>
      <c r="G80" s="536"/>
      <c r="H80" s="655"/>
      <c r="I80" s="381" t="str">
        <f t="shared" si="57"/>
        <v>-</v>
      </c>
      <c r="J80" s="381" t="str">
        <f t="shared" si="58"/>
        <v>-</v>
      </c>
      <c r="K80" s="199" t="str">
        <f t="shared" si="59"/>
        <v>-</v>
      </c>
      <c r="L80" s="657"/>
      <c r="M80" s="385" t="e">
        <f>RANK(K80, K$67:$K$81)</f>
        <v>#VALUE!</v>
      </c>
      <c r="N80" s="641"/>
      <c r="O80" s="641"/>
      <c r="P80" s="575" t="s">
        <v>585</v>
      </c>
      <c r="Q80" s="577" t="s">
        <v>585</v>
      </c>
      <c r="R80" s="577" t="s">
        <v>585</v>
      </c>
      <c r="S80" s="575" t="e">
        <f t="shared" si="60"/>
        <v>#VALUE!</v>
      </c>
      <c r="T80" s="637"/>
      <c r="U80" s="575" t="s">
        <v>585</v>
      </c>
      <c r="V80" s="577" t="s">
        <v>585</v>
      </c>
      <c r="W80" s="577" t="s">
        <v>585</v>
      </c>
      <c r="X80" s="575" t="e">
        <f t="shared" si="62"/>
        <v>#VALUE!</v>
      </c>
      <c r="Y80" s="637"/>
      <c r="Z80" s="575" t="s">
        <v>585</v>
      </c>
      <c r="AA80" s="577" t="s">
        <v>585</v>
      </c>
      <c r="AB80" s="577" t="s">
        <v>585</v>
      </c>
      <c r="AC80" s="575" t="e">
        <f t="shared" si="64"/>
        <v>#VALUE!</v>
      </c>
      <c r="AD80" s="637"/>
      <c r="AE80" s="575" t="s">
        <v>585</v>
      </c>
      <c r="AF80" s="577" t="s">
        <v>585</v>
      </c>
      <c r="AG80" s="577" t="s">
        <v>585</v>
      </c>
      <c r="AH80" s="575" t="e">
        <f t="shared" si="66"/>
        <v>#VALUE!</v>
      </c>
      <c r="AI80" s="637"/>
      <c r="AJ80" s="575" t="s">
        <v>585</v>
      </c>
      <c r="AK80" s="577" t="s">
        <v>585</v>
      </c>
      <c r="AL80" s="577" t="s">
        <v>585</v>
      </c>
      <c r="AM80" s="575" t="e">
        <f t="shared" si="68"/>
        <v>#VALUE!</v>
      </c>
      <c r="AN80" s="637"/>
      <c r="AO80" s="575" t="s">
        <v>585</v>
      </c>
      <c r="AP80" s="577" t="s">
        <v>585</v>
      </c>
      <c r="AQ80" s="577" t="s">
        <v>585</v>
      </c>
      <c r="AR80" s="575" t="e">
        <f t="shared" si="70"/>
        <v>#VALUE!</v>
      </c>
      <c r="AS80" s="637"/>
      <c r="AT80" s="575" t="s">
        <v>585</v>
      </c>
      <c r="AU80" s="577" t="s">
        <v>585</v>
      </c>
      <c r="AV80" s="577" t="s">
        <v>585</v>
      </c>
      <c r="AW80" s="575" t="e">
        <f t="shared" si="72"/>
        <v>#VALUE!</v>
      </c>
      <c r="AX80" s="637"/>
      <c r="AZ80" s="368" t="e">
        <f t="shared" si="74"/>
        <v>#N/A</v>
      </c>
      <c r="BA80" s="637"/>
    </row>
    <row r="81" spans="2:53">
      <c r="B81" s="647"/>
      <c r="C81" s="380">
        <v>15</v>
      </c>
      <c r="D81" s="225"/>
      <c r="E81" s="535"/>
      <c r="F81" s="534"/>
      <c r="G81" s="536"/>
      <c r="H81" s="712"/>
      <c r="I81" s="380"/>
      <c r="J81" s="380"/>
      <c r="K81" s="380"/>
      <c r="L81" s="658"/>
      <c r="M81" s="385" t="e">
        <f>RANK(K81, K$47:$K$61)</f>
        <v>#N/A</v>
      </c>
      <c r="N81" s="641"/>
      <c r="O81" s="641"/>
      <c r="P81" s="575" t="s">
        <v>585</v>
      </c>
      <c r="Q81" s="577" t="s">
        <v>585</v>
      </c>
      <c r="R81" s="577" t="s">
        <v>585</v>
      </c>
      <c r="S81" s="575" t="e">
        <f t="shared" si="60"/>
        <v>#VALUE!</v>
      </c>
      <c r="T81" s="638"/>
      <c r="U81" s="575" t="s">
        <v>585</v>
      </c>
      <c r="V81" s="577" t="s">
        <v>585</v>
      </c>
      <c r="W81" s="577" t="s">
        <v>585</v>
      </c>
      <c r="X81" s="575" t="e">
        <f t="shared" si="62"/>
        <v>#VALUE!</v>
      </c>
      <c r="Y81" s="638"/>
      <c r="Z81" s="575" t="s">
        <v>585</v>
      </c>
      <c r="AA81" s="577" t="s">
        <v>585</v>
      </c>
      <c r="AB81" s="577" t="s">
        <v>585</v>
      </c>
      <c r="AC81" s="575" t="e">
        <f t="shared" si="64"/>
        <v>#VALUE!</v>
      </c>
      <c r="AD81" s="638"/>
      <c r="AE81" s="575" t="s">
        <v>585</v>
      </c>
      <c r="AF81" s="577" t="s">
        <v>585</v>
      </c>
      <c r="AG81" s="577" t="s">
        <v>585</v>
      </c>
      <c r="AH81" s="575" t="e">
        <f t="shared" si="66"/>
        <v>#VALUE!</v>
      </c>
      <c r="AI81" s="638"/>
      <c r="AJ81" s="575" t="s">
        <v>585</v>
      </c>
      <c r="AK81" s="577" t="s">
        <v>585</v>
      </c>
      <c r="AL81" s="577" t="s">
        <v>585</v>
      </c>
      <c r="AM81" s="575" t="e">
        <f t="shared" si="68"/>
        <v>#VALUE!</v>
      </c>
      <c r="AN81" s="638"/>
      <c r="AO81" s="575" t="s">
        <v>585</v>
      </c>
      <c r="AP81" s="577" t="s">
        <v>585</v>
      </c>
      <c r="AQ81" s="577" t="s">
        <v>585</v>
      </c>
      <c r="AR81" s="575" t="e">
        <f t="shared" si="70"/>
        <v>#VALUE!</v>
      </c>
      <c r="AS81" s="638"/>
      <c r="AT81" s="575" t="s">
        <v>585</v>
      </c>
      <c r="AU81" s="577" t="s">
        <v>585</v>
      </c>
      <c r="AV81" s="577" t="s">
        <v>585</v>
      </c>
      <c r="AW81" s="575" t="e">
        <f t="shared" si="72"/>
        <v>#VALUE!</v>
      </c>
      <c r="AX81" s="638"/>
      <c r="AZ81" s="368" t="e">
        <f t="shared" si="74"/>
        <v>#N/A</v>
      </c>
      <c r="BA81" s="638"/>
    </row>
    <row r="82" spans="2:53" ht="15.75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68">
        <f>P62+7</f>
        <v>46259</v>
      </c>
      <c r="Q82" s="647"/>
      <c r="R82" s="647"/>
      <c r="S82" s="647"/>
      <c r="T82" s="647"/>
      <c r="U82" s="665">
        <f>P82+1</f>
        <v>46260</v>
      </c>
      <c r="V82" s="666"/>
      <c r="W82" s="666"/>
      <c r="X82" s="666"/>
      <c r="Y82" s="667"/>
      <c r="Z82" s="665">
        <f>U82+1</f>
        <v>46261</v>
      </c>
      <c r="AA82" s="666"/>
      <c r="AB82" s="666"/>
      <c r="AC82" s="666"/>
      <c r="AD82" s="667"/>
      <c r="AE82" s="665">
        <f>Z82+1</f>
        <v>46262</v>
      </c>
      <c r="AF82" s="666"/>
      <c r="AG82" s="666"/>
      <c r="AH82" s="666"/>
      <c r="AI82" s="667"/>
      <c r="AJ82" s="665">
        <f>AE82+1</f>
        <v>46263</v>
      </c>
      <c r="AK82" s="666"/>
      <c r="AL82" s="666"/>
      <c r="AM82" s="666"/>
      <c r="AN82" s="667"/>
      <c r="AO82" s="665">
        <f>AJ82+1</f>
        <v>46264</v>
      </c>
      <c r="AP82" s="666"/>
      <c r="AQ82" s="666"/>
      <c r="AR82" s="666"/>
      <c r="AS82" s="667"/>
      <c r="AT82" s="665">
        <f>AO82+1</f>
        <v>46265</v>
      </c>
      <c r="AU82" s="666"/>
      <c r="AV82" s="666"/>
      <c r="AW82" s="666"/>
      <c r="AX82" s="667"/>
    </row>
    <row r="83" spans="2:53" ht="15.75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45"/>
      <c r="O83" s="645"/>
      <c r="P83" s="668" t="s">
        <v>317</v>
      </c>
      <c r="Q83" s="647"/>
      <c r="R83" s="647"/>
      <c r="S83" s="647"/>
      <c r="T83" s="647"/>
      <c r="U83" s="668" t="s">
        <v>318</v>
      </c>
      <c r="V83" s="647"/>
      <c r="W83" s="647"/>
      <c r="X83" s="647"/>
      <c r="Y83" s="647"/>
      <c r="Z83" s="668" t="s">
        <v>319</v>
      </c>
      <c r="AA83" s="647"/>
      <c r="AB83" s="647"/>
      <c r="AC83" s="647"/>
      <c r="AD83" s="647"/>
      <c r="AE83" s="668" t="s">
        <v>320</v>
      </c>
      <c r="AF83" s="647"/>
      <c r="AG83" s="647"/>
      <c r="AH83" s="647"/>
      <c r="AI83" s="647"/>
      <c r="AJ83" s="668" t="s">
        <v>321</v>
      </c>
      <c r="AK83" s="647"/>
      <c r="AL83" s="647"/>
      <c r="AM83" s="647"/>
      <c r="AN83" s="647"/>
      <c r="AO83" s="668" t="s">
        <v>322</v>
      </c>
      <c r="AP83" s="647"/>
      <c r="AQ83" s="647"/>
      <c r="AR83" s="647"/>
      <c r="AS83" s="647"/>
      <c r="AT83" s="668" t="s">
        <v>323</v>
      </c>
      <c r="AU83" s="647"/>
      <c r="AV83" s="647"/>
      <c r="AW83" s="647"/>
      <c r="AX83" s="647"/>
    </row>
    <row r="84" spans="2:53">
      <c r="B84" s="641" t="s">
        <v>407</v>
      </c>
      <c r="C84" s="641" t="s">
        <v>532</v>
      </c>
      <c r="D84" s="641"/>
      <c r="E84" s="641" t="s">
        <v>533</v>
      </c>
      <c r="F84" s="641"/>
      <c r="G84" s="641"/>
      <c r="H84" s="673" t="s">
        <v>534</v>
      </c>
      <c r="I84" s="641" t="s">
        <v>535</v>
      </c>
      <c r="J84" s="641"/>
      <c r="K84" s="641"/>
      <c r="L84" s="673" t="s">
        <v>366</v>
      </c>
      <c r="M84" s="643" t="s">
        <v>536</v>
      </c>
      <c r="N84" s="641"/>
      <c r="O84" s="641" t="s">
        <v>372</v>
      </c>
      <c r="P84" s="659" t="s">
        <v>368</v>
      </c>
      <c r="Q84" s="660"/>
      <c r="R84" s="660"/>
      <c r="S84" s="661"/>
      <c r="T84" s="641" t="s">
        <v>366</v>
      </c>
      <c r="U84" s="659" t="s">
        <v>368</v>
      </c>
      <c r="V84" s="660"/>
      <c r="W84" s="660"/>
      <c r="X84" s="661"/>
      <c r="Y84" s="641" t="s">
        <v>366</v>
      </c>
      <c r="Z84" s="659" t="s">
        <v>368</v>
      </c>
      <c r="AA84" s="660"/>
      <c r="AB84" s="660"/>
      <c r="AC84" s="661"/>
      <c r="AD84" s="641" t="s">
        <v>366</v>
      </c>
      <c r="AE84" s="659" t="s">
        <v>368</v>
      </c>
      <c r="AF84" s="660"/>
      <c r="AG84" s="660"/>
      <c r="AH84" s="661"/>
      <c r="AI84" s="641" t="s">
        <v>366</v>
      </c>
      <c r="AJ84" s="659" t="s">
        <v>368</v>
      </c>
      <c r="AK84" s="660"/>
      <c r="AL84" s="660"/>
      <c r="AM84" s="661"/>
      <c r="AN84" s="641" t="s">
        <v>366</v>
      </c>
      <c r="AO84" s="659" t="s">
        <v>368</v>
      </c>
      <c r="AP84" s="660"/>
      <c r="AQ84" s="660"/>
      <c r="AR84" s="661"/>
      <c r="AS84" s="641" t="s">
        <v>366</v>
      </c>
      <c r="AT84" s="659" t="s">
        <v>368</v>
      </c>
      <c r="AU84" s="660"/>
      <c r="AV84" s="660"/>
      <c r="AW84" s="661"/>
      <c r="AX84" s="641" t="s">
        <v>366</v>
      </c>
      <c r="BA84" s="641" t="s">
        <v>366</v>
      </c>
    </row>
    <row r="85" spans="2:53">
      <c r="B85" s="641"/>
      <c r="C85" s="641"/>
      <c r="D85" s="641"/>
      <c r="E85" s="641" t="s">
        <v>538</v>
      </c>
      <c r="F85" s="641"/>
      <c r="G85" s="641"/>
      <c r="H85" s="674"/>
      <c r="I85" s="641" t="s">
        <v>538</v>
      </c>
      <c r="J85" s="641"/>
      <c r="K85" s="641"/>
      <c r="L85" s="674"/>
      <c r="M85" s="644"/>
      <c r="N85" s="641"/>
      <c r="O85" s="641"/>
      <c r="P85" s="659" t="s">
        <v>374</v>
      </c>
      <c r="Q85" s="660"/>
      <c r="R85" s="660"/>
      <c r="S85" s="661"/>
      <c r="T85" s="641"/>
      <c r="U85" s="659" t="s">
        <v>374</v>
      </c>
      <c r="V85" s="660"/>
      <c r="W85" s="660"/>
      <c r="X85" s="661"/>
      <c r="Y85" s="641"/>
      <c r="Z85" s="659" t="s">
        <v>374</v>
      </c>
      <c r="AA85" s="660"/>
      <c r="AB85" s="660"/>
      <c r="AC85" s="661"/>
      <c r="AD85" s="641"/>
      <c r="AE85" s="659" t="s">
        <v>374</v>
      </c>
      <c r="AF85" s="660"/>
      <c r="AG85" s="660"/>
      <c r="AH85" s="661"/>
      <c r="AI85" s="641"/>
      <c r="AJ85" s="659" t="s">
        <v>374</v>
      </c>
      <c r="AK85" s="660"/>
      <c r="AL85" s="660"/>
      <c r="AM85" s="661"/>
      <c r="AN85" s="641"/>
      <c r="AO85" s="659" t="s">
        <v>374</v>
      </c>
      <c r="AP85" s="660"/>
      <c r="AQ85" s="660"/>
      <c r="AR85" s="661"/>
      <c r="AS85" s="641"/>
      <c r="AT85" s="659" t="s">
        <v>374</v>
      </c>
      <c r="AU85" s="660"/>
      <c r="AV85" s="660"/>
      <c r="AW85" s="661"/>
      <c r="AX85" s="641"/>
      <c r="BA85" s="641"/>
    </row>
    <row r="86" spans="2:53">
      <c r="B86" s="641"/>
      <c r="C86" s="641"/>
      <c r="D86" s="641"/>
      <c r="E86" s="378" t="s">
        <v>539</v>
      </c>
      <c r="F86" s="378" t="s">
        <v>540</v>
      </c>
      <c r="G86" s="378" t="s">
        <v>541</v>
      </c>
      <c r="H86" s="675"/>
      <c r="I86" s="378" t="s">
        <v>539</v>
      </c>
      <c r="J86" s="378" t="s">
        <v>540</v>
      </c>
      <c r="K86" s="378" t="s">
        <v>541</v>
      </c>
      <c r="L86" s="675"/>
      <c r="M86" s="645"/>
      <c r="N86" s="641"/>
      <c r="O86" s="641"/>
      <c r="P86" s="378" t="s">
        <v>375</v>
      </c>
      <c r="Q86" s="378" t="s">
        <v>376</v>
      </c>
      <c r="R86" s="378" t="s">
        <v>377</v>
      </c>
      <c r="S86" s="378" t="s">
        <v>367</v>
      </c>
      <c r="T86" s="641"/>
      <c r="U86" s="378" t="s">
        <v>375</v>
      </c>
      <c r="V86" s="378" t="s">
        <v>376</v>
      </c>
      <c r="W86" s="378" t="s">
        <v>377</v>
      </c>
      <c r="X86" s="378" t="s">
        <v>367</v>
      </c>
      <c r="Y86" s="641"/>
      <c r="Z86" s="378" t="s">
        <v>375</v>
      </c>
      <c r="AA86" s="378" t="s">
        <v>376</v>
      </c>
      <c r="AB86" s="378" t="s">
        <v>377</v>
      </c>
      <c r="AC86" s="378" t="s">
        <v>367</v>
      </c>
      <c r="AD86" s="641"/>
      <c r="AE86" s="378" t="s">
        <v>375</v>
      </c>
      <c r="AF86" s="378" t="s">
        <v>376</v>
      </c>
      <c r="AG86" s="378" t="s">
        <v>377</v>
      </c>
      <c r="AH86" s="378" t="s">
        <v>367</v>
      </c>
      <c r="AI86" s="641"/>
      <c r="AJ86" s="378" t="s">
        <v>375</v>
      </c>
      <c r="AK86" s="378" t="s">
        <v>376</v>
      </c>
      <c r="AL86" s="378" t="s">
        <v>377</v>
      </c>
      <c r="AM86" s="378" t="s">
        <v>367</v>
      </c>
      <c r="AN86" s="641"/>
      <c r="AO86" s="378" t="s">
        <v>375</v>
      </c>
      <c r="AP86" s="378" t="s">
        <v>376</v>
      </c>
      <c r="AQ86" s="378" t="s">
        <v>377</v>
      </c>
      <c r="AR86" s="378" t="s">
        <v>367</v>
      </c>
      <c r="AS86" s="641"/>
      <c r="AT86" s="378" t="s">
        <v>375</v>
      </c>
      <c r="AU86" s="378" t="s">
        <v>376</v>
      </c>
      <c r="AV86" s="378" t="s">
        <v>377</v>
      </c>
      <c r="AW86" s="378" t="s">
        <v>367</v>
      </c>
      <c r="AX86" s="641"/>
      <c r="AZ86" s="367" t="s">
        <v>367</v>
      </c>
      <c r="BA86" s="641"/>
    </row>
    <row r="87" spans="2:53">
      <c r="B87" s="641" t="s">
        <v>421</v>
      </c>
      <c r="C87" s="380">
        <v>1</v>
      </c>
      <c r="D87" s="225"/>
      <c r="E87" s="519"/>
      <c r="F87" s="516"/>
      <c r="G87" s="515"/>
      <c r="H87" s="654" t="e">
        <f>AVERAGE(G87:G101)</f>
        <v>#DIV/0!</v>
      </c>
      <c r="I87" s="381" t="str">
        <f t="shared" ref="I87:I100" si="76">IFERROR(AVERAGE(P87,U87,Z87,AE87,AJ87,AO87,AT87),"-")</f>
        <v>-</v>
      </c>
      <c r="J87" s="381" t="str">
        <f t="shared" ref="J87:J100" si="77">IFERROR(AVERAGE(Q87,V87,AA87,AF87,AK87,AP87,AU87),"-")</f>
        <v>-</v>
      </c>
      <c r="K87" s="199" t="str">
        <f t="shared" ref="K87:K100" si="78">IFERROR(AVERAGE(R87,W87,AB87,AG87,AL87,AQ87,AV87),"-")</f>
        <v>-</v>
      </c>
      <c r="L87" s="656" t="str">
        <f>IFERROR(AVERAGE(K87:K101),"-")</f>
        <v>-</v>
      </c>
      <c r="M87" s="385" t="e">
        <f>RANK(K87, K$87:$K$101)</f>
        <v>#VALUE!</v>
      </c>
      <c r="N87" s="641"/>
      <c r="O87" s="641"/>
      <c r="P87" s="531"/>
      <c r="Q87" s="513"/>
      <c r="R87" s="513"/>
      <c r="S87" s="529"/>
      <c r="T87" s="642"/>
      <c r="U87" s="531"/>
      <c r="V87" s="513"/>
      <c r="W87" s="513"/>
      <c r="X87" s="529"/>
      <c r="Y87" s="642"/>
      <c r="Z87" s="531"/>
      <c r="AA87" s="513"/>
      <c r="AB87" s="513"/>
      <c r="AC87" s="529"/>
      <c r="AD87" s="642"/>
      <c r="AE87" s="531"/>
      <c r="AF87" s="513"/>
      <c r="AG87" s="513"/>
      <c r="AH87" s="529"/>
      <c r="AI87" s="642"/>
      <c r="AJ87" s="531"/>
      <c r="AK87" s="513"/>
      <c r="AL87" s="513"/>
      <c r="AM87" s="529"/>
      <c r="AN87" s="642"/>
      <c r="AO87" s="531"/>
      <c r="AP87" s="513"/>
      <c r="AQ87" s="513"/>
      <c r="AR87" s="529"/>
      <c r="AS87" s="642"/>
      <c r="AT87" s="529"/>
      <c r="AU87" s="530"/>
      <c r="AV87" s="530"/>
      <c r="AW87" s="529"/>
      <c r="AX87" s="642"/>
      <c r="AZ87" s="368" t="e">
        <f t="shared" ref="AZ87:AZ101" si="79">RANK(AY87, AY$87:AY$101)</f>
        <v>#N/A</v>
      </c>
      <c r="BA87" s="642" t="e">
        <f t="shared" ref="BA87" si="80">AVERAGE(AY87:AY101)</f>
        <v>#DIV/0!</v>
      </c>
    </row>
    <row r="88" spans="2:53">
      <c r="B88" s="647"/>
      <c r="C88" s="380">
        <v>2</v>
      </c>
      <c r="D88" s="225"/>
      <c r="E88" s="519"/>
      <c r="F88" s="516"/>
      <c r="G88" s="515"/>
      <c r="H88" s="655"/>
      <c r="I88" s="381" t="str">
        <f t="shared" si="76"/>
        <v>-</v>
      </c>
      <c r="J88" s="381" t="str">
        <f t="shared" si="77"/>
        <v>-</v>
      </c>
      <c r="K88" s="199" t="str">
        <f t="shared" si="78"/>
        <v>-</v>
      </c>
      <c r="L88" s="657"/>
      <c r="M88" s="470" t="e">
        <f>RANK(K88, K$87:$K$101)</f>
        <v>#VALUE!</v>
      </c>
      <c r="N88" s="641"/>
      <c r="O88" s="641"/>
      <c r="P88" s="531"/>
      <c r="Q88" s="513"/>
      <c r="R88" s="513"/>
      <c r="S88" s="529"/>
      <c r="T88" s="642"/>
      <c r="U88" s="531"/>
      <c r="V88" s="513"/>
      <c r="W88" s="513"/>
      <c r="X88" s="529"/>
      <c r="Y88" s="642"/>
      <c r="Z88" s="531"/>
      <c r="AA88" s="513"/>
      <c r="AB88" s="513"/>
      <c r="AC88" s="529"/>
      <c r="AD88" s="642"/>
      <c r="AE88" s="531"/>
      <c r="AF88" s="513"/>
      <c r="AG88" s="513"/>
      <c r="AH88" s="529"/>
      <c r="AI88" s="642"/>
      <c r="AJ88" s="531"/>
      <c r="AK88" s="513"/>
      <c r="AL88" s="513"/>
      <c r="AM88" s="529"/>
      <c r="AN88" s="642"/>
      <c r="AO88" s="531"/>
      <c r="AP88" s="513"/>
      <c r="AQ88" s="513"/>
      <c r="AR88" s="529"/>
      <c r="AS88" s="642"/>
      <c r="AT88" s="529"/>
      <c r="AU88" s="530"/>
      <c r="AV88" s="530"/>
      <c r="AW88" s="529"/>
      <c r="AX88" s="642"/>
      <c r="AZ88" s="368" t="e">
        <f t="shared" si="79"/>
        <v>#N/A</v>
      </c>
      <c r="BA88" s="642"/>
    </row>
    <row r="89" spans="2:53">
      <c r="B89" s="647"/>
      <c r="C89" s="380">
        <v>3</v>
      </c>
      <c r="D89" s="225"/>
      <c r="E89" s="519"/>
      <c r="F89" s="516"/>
      <c r="G89" s="515"/>
      <c r="H89" s="655"/>
      <c r="I89" s="381" t="str">
        <f t="shared" si="76"/>
        <v>-</v>
      </c>
      <c r="J89" s="381" t="str">
        <f t="shared" si="77"/>
        <v>-</v>
      </c>
      <c r="K89" s="199" t="str">
        <f t="shared" si="78"/>
        <v>-</v>
      </c>
      <c r="L89" s="657"/>
      <c r="M89" s="470" t="e">
        <f>RANK(K89, K$87:$K$101)</f>
        <v>#VALUE!</v>
      </c>
      <c r="N89" s="641"/>
      <c r="O89" s="641"/>
      <c r="P89" s="531"/>
      <c r="Q89" s="513"/>
      <c r="R89" s="513"/>
      <c r="S89" s="529"/>
      <c r="T89" s="642"/>
      <c r="U89" s="531"/>
      <c r="V89" s="513"/>
      <c r="W89" s="513"/>
      <c r="X89" s="529"/>
      <c r="Y89" s="642"/>
      <c r="Z89" s="531"/>
      <c r="AA89" s="513"/>
      <c r="AB89" s="513"/>
      <c r="AC89" s="529"/>
      <c r="AD89" s="642"/>
      <c r="AE89" s="531"/>
      <c r="AF89" s="513"/>
      <c r="AG89" s="513"/>
      <c r="AH89" s="529"/>
      <c r="AI89" s="642"/>
      <c r="AJ89" s="531"/>
      <c r="AK89" s="513"/>
      <c r="AL89" s="513"/>
      <c r="AM89" s="529"/>
      <c r="AN89" s="642"/>
      <c r="AO89" s="531"/>
      <c r="AP89" s="513"/>
      <c r="AQ89" s="513"/>
      <c r="AR89" s="529"/>
      <c r="AS89" s="642"/>
      <c r="AT89" s="529"/>
      <c r="AU89" s="530"/>
      <c r="AV89" s="530"/>
      <c r="AW89" s="529"/>
      <c r="AX89" s="642"/>
      <c r="AZ89" s="368" t="e">
        <f t="shared" si="79"/>
        <v>#N/A</v>
      </c>
      <c r="BA89" s="642"/>
    </row>
    <row r="90" spans="2:53">
      <c r="B90" s="647"/>
      <c r="C90" s="380">
        <v>4</v>
      </c>
      <c r="D90" s="225"/>
      <c r="E90" s="519"/>
      <c r="F90" s="516"/>
      <c r="G90" s="515"/>
      <c r="H90" s="655"/>
      <c r="I90" s="381" t="str">
        <f t="shared" si="76"/>
        <v>-</v>
      </c>
      <c r="J90" s="381" t="str">
        <f t="shared" si="77"/>
        <v>-</v>
      </c>
      <c r="K90" s="199" t="str">
        <f t="shared" si="78"/>
        <v>-</v>
      </c>
      <c r="L90" s="657"/>
      <c r="M90" s="470" t="e">
        <f>RANK(K90, K$87:$K$101)</f>
        <v>#VALUE!</v>
      </c>
      <c r="N90" s="641"/>
      <c r="O90" s="641"/>
      <c r="P90" s="531"/>
      <c r="Q90" s="513"/>
      <c r="R90" s="513"/>
      <c r="S90" s="529"/>
      <c r="T90" s="642"/>
      <c r="U90" s="531"/>
      <c r="V90" s="513"/>
      <c r="W90" s="513"/>
      <c r="X90" s="529"/>
      <c r="Y90" s="642"/>
      <c r="Z90" s="531"/>
      <c r="AA90" s="513"/>
      <c r="AB90" s="513"/>
      <c r="AC90" s="529"/>
      <c r="AD90" s="642"/>
      <c r="AE90" s="531"/>
      <c r="AF90" s="513"/>
      <c r="AG90" s="513"/>
      <c r="AH90" s="529"/>
      <c r="AI90" s="642"/>
      <c r="AJ90" s="531"/>
      <c r="AK90" s="513"/>
      <c r="AL90" s="513"/>
      <c r="AM90" s="529"/>
      <c r="AN90" s="642"/>
      <c r="AO90" s="531"/>
      <c r="AP90" s="513"/>
      <c r="AQ90" s="513"/>
      <c r="AR90" s="529"/>
      <c r="AS90" s="642"/>
      <c r="AT90" s="529"/>
      <c r="AU90" s="530"/>
      <c r="AV90" s="530"/>
      <c r="AW90" s="529"/>
      <c r="AX90" s="642"/>
      <c r="AZ90" s="368" t="e">
        <f t="shared" si="79"/>
        <v>#N/A</v>
      </c>
      <c r="BA90" s="642"/>
    </row>
    <row r="91" spans="2:53">
      <c r="B91" s="647"/>
      <c r="C91" s="380">
        <v>5</v>
      </c>
      <c r="D91" s="225"/>
      <c r="E91" s="519"/>
      <c r="F91" s="516"/>
      <c r="G91" s="515"/>
      <c r="H91" s="655"/>
      <c r="I91" s="381" t="str">
        <f t="shared" si="76"/>
        <v>-</v>
      </c>
      <c r="J91" s="381" t="str">
        <f t="shared" si="77"/>
        <v>-</v>
      </c>
      <c r="K91" s="199" t="str">
        <f t="shared" si="78"/>
        <v>-</v>
      </c>
      <c r="L91" s="657"/>
      <c r="M91" s="470" t="e">
        <f>RANK(K91, K$87:$K$101)</f>
        <v>#VALUE!</v>
      </c>
      <c r="N91" s="641"/>
      <c r="O91" s="641"/>
      <c r="P91" s="531"/>
      <c r="Q91" s="513"/>
      <c r="R91" s="513"/>
      <c r="S91" s="529"/>
      <c r="T91" s="642"/>
      <c r="U91" s="531"/>
      <c r="V91" s="513"/>
      <c r="W91" s="513"/>
      <c r="X91" s="529"/>
      <c r="Y91" s="642"/>
      <c r="Z91" s="531"/>
      <c r="AA91" s="513"/>
      <c r="AB91" s="513"/>
      <c r="AC91" s="529"/>
      <c r="AD91" s="642"/>
      <c r="AE91" s="531"/>
      <c r="AF91" s="513"/>
      <c r="AG91" s="513"/>
      <c r="AH91" s="529"/>
      <c r="AI91" s="642"/>
      <c r="AJ91" s="531"/>
      <c r="AK91" s="513"/>
      <c r="AL91" s="513"/>
      <c r="AM91" s="529"/>
      <c r="AN91" s="642"/>
      <c r="AO91" s="531"/>
      <c r="AP91" s="513"/>
      <c r="AQ91" s="513"/>
      <c r="AR91" s="529"/>
      <c r="AS91" s="642"/>
      <c r="AT91" s="529"/>
      <c r="AU91" s="530"/>
      <c r="AV91" s="530"/>
      <c r="AW91" s="529"/>
      <c r="AX91" s="642"/>
      <c r="AZ91" s="368" t="e">
        <f t="shared" si="79"/>
        <v>#N/A</v>
      </c>
      <c r="BA91" s="642"/>
    </row>
    <row r="92" spans="2:53">
      <c r="B92" s="647"/>
      <c r="C92" s="380">
        <v>6</v>
      </c>
      <c r="D92" s="225"/>
      <c r="E92" s="519"/>
      <c r="F92" s="516"/>
      <c r="G92" s="515"/>
      <c r="H92" s="655"/>
      <c r="I92" s="381" t="str">
        <f t="shared" si="76"/>
        <v>-</v>
      </c>
      <c r="J92" s="381" t="str">
        <f t="shared" si="77"/>
        <v>-</v>
      </c>
      <c r="K92" s="199" t="str">
        <f t="shared" si="78"/>
        <v>-</v>
      </c>
      <c r="L92" s="657"/>
      <c r="M92" s="470" t="e">
        <f>RANK(K92, K$87:$K$101)</f>
        <v>#VALUE!</v>
      </c>
      <c r="N92" s="641"/>
      <c r="O92" s="641"/>
      <c r="P92" s="531"/>
      <c r="Q92" s="513"/>
      <c r="R92" s="513"/>
      <c r="S92" s="529"/>
      <c r="T92" s="642"/>
      <c r="U92" s="531"/>
      <c r="V92" s="513"/>
      <c r="W92" s="513"/>
      <c r="X92" s="529"/>
      <c r="Y92" s="642"/>
      <c r="Z92" s="531"/>
      <c r="AA92" s="513"/>
      <c r="AB92" s="513"/>
      <c r="AC92" s="529"/>
      <c r="AD92" s="642"/>
      <c r="AE92" s="531"/>
      <c r="AF92" s="513"/>
      <c r="AG92" s="513"/>
      <c r="AH92" s="529"/>
      <c r="AI92" s="642"/>
      <c r="AJ92" s="531"/>
      <c r="AK92" s="513"/>
      <c r="AL92" s="513"/>
      <c r="AM92" s="529"/>
      <c r="AN92" s="642"/>
      <c r="AO92" s="531"/>
      <c r="AP92" s="513"/>
      <c r="AQ92" s="513"/>
      <c r="AR92" s="529"/>
      <c r="AS92" s="642"/>
      <c r="AT92" s="529"/>
      <c r="AU92" s="530"/>
      <c r="AV92" s="530"/>
      <c r="AW92" s="529"/>
      <c r="AX92" s="642"/>
      <c r="AZ92" s="368" t="e">
        <f t="shared" si="79"/>
        <v>#N/A</v>
      </c>
      <c r="BA92" s="642"/>
    </row>
    <row r="93" spans="2:53">
      <c r="B93" s="647"/>
      <c r="C93" s="380">
        <v>7</v>
      </c>
      <c r="D93" s="225"/>
      <c r="E93" s="519"/>
      <c r="F93" s="516"/>
      <c r="G93" s="515"/>
      <c r="H93" s="655"/>
      <c r="I93" s="381" t="str">
        <f t="shared" si="76"/>
        <v>-</v>
      </c>
      <c r="J93" s="381" t="str">
        <f t="shared" si="77"/>
        <v>-</v>
      </c>
      <c r="K93" s="199" t="str">
        <f t="shared" si="78"/>
        <v>-</v>
      </c>
      <c r="L93" s="657"/>
      <c r="M93" s="470" t="e">
        <f>RANK(K93, K$87:$K$101)</f>
        <v>#VALUE!</v>
      </c>
      <c r="N93" s="641"/>
      <c r="O93" s="641"/>
      <c r="P93" s="531"/>
      <c r="Q93" s="513"/>
      <c r="R93" s="513"/>
      <c r="S93" s="529"/>
      <c r="T93" s="642"/>
      <c r="U93" s="531"/>
      <c r="V93" s="513"/>
      <c r="W93" s="513"/>
      <c r="X93" s="529"/>
      <c r="Y93" s="642"/>
      <c r="Z93" s="531"/>
      <c r="AA93" s="513"/>
      <c r="AB93" s="513"/>
      <c r="AC93" s="529"/>
      <c r="AD93" s="642"/>
      <c r="AE93" s="531"/>
      <c r="AF93" s="513"/>
      <c r="AG93" s="513"/>
      <c r="AH93" s="529"/>
      <c r="AI93" s="642"/>
      <c r="AJ93" s="531"/>
      <c r="AK93" s="513"/>
      <c r="AL93" s="513"/>
      <c r="AM93" s="529"/>
      <c r="AN93" s="642"/>
      <c r="AO93" s="531"/>
      <c r="AP93" s="513"/>
      <c r="AQ93" s="513"/>
      <c r="AR93" s="529"/>
      <c r="AS93" s="642"/>
      <c r="AT93" s="529"/>
      <c r="AU93" s="530"/>
      <c r="AV93" s="530"/>
      <c r="AW93" s="529"/>
      <c r="AX93" s="642"/>
      <c r="AZ93" s="368" t="e">
        <f t="shared" si="79"/>
        <v>#N/A</v>
      </c>
      <c r="BA93" s="642"/>
    </row>
    <row r="94" spans="2:53">
      <c r="B94" s="647"/>
      <c r="C94" s="380">
        <v>8</v>
      </c>
      <c r="D94" s="225"/>
      <c r="E94" s="519"/>
      <c r="F94" s="516"/>
      <c r="G94" s="515"/>
      <c r="H94" s="655"/>
      <c r="I94" s="381" t="str">
        <f t="shared" si="76"/>
        <v>-</v>
      </c>
      <c r="J94" s="381" t="str">
        <f t="shared" si="77"/>
        <v>-</v>
      </c>
      <c r="K94" s="199" t="str">
        <f t="shared" si="78"/>
        <v>-</v>
      </c>
      <c r="L94" s="657"/>
      <c r="M94" s="470" t="e">
        <f>RANK(K94, K$87:$K$101)</f>
        <v>#VALUE!</v>
      </c>
      <c r="N94" s="641"/>
      <c r="O94" s="641"/>
      <c r="P94" s="531"/>
      <c r="Q94" s="513"/>
      <c r="R94" s="513"/>
      <c r="S94" s="529"/>
      <c r="T94" s="642"/>
      <c r="U94" s="531"/>
      <c r="V94" s="513"/>
      <c r="W94" s="513"/>
      <c r="X94" s="529"/>
      <c r="Y94" s="642"/>
      <c r="Z94" s="531"/>
      <c r="AA94" s="513"/>
      <c r="AB94" s="513"/>
      <c r="AC94" s="529"/>
      <c r="AD94" s="642"/>
      <c r="AE94" s="531"/>
      <c r="AF94" s="513"/>
      <c r="AG94" s="513"/>
      <c r="AH94" s="529"/>
      <c r="AI94" s="642"/>
      <c r="AJ94" s="531"/>
      <c r="AK94" s="513"/>
      <c r="AL94" s="513"/>
      <c r="AM94" s="529"/>
      <c r="AN94" s="642"/>
      <c r="AO94" s="531"/>
      <c r="AP94" s="513"/>
      <c r="AQ94" s="513"/>
      <c r="AR94" s="529"/>
      <c r="AS94" s="642"/>
      <c r="AT94" s="529"/>
      <c r="AU94" s="530"/>
      <c r="AV94" s="530"/>
      <c r="AW94" s="529"/>
      <c r="AX94" s="642"/>
      <c r="AZ94" s="368" t="e">
        <f t="shared" si="79"/>
        <v>#N/A</v>
      </c>
      <c r="BA94" s="642"/>
    </row>
    <row r="95" spans="2:53">
      <c r="B95" s="647"/>
      <c r="C95" s="380">
        <v>9</v>
      </c>
      <c r="D95" s="225"/>
      <c r="E95" s="519"/>
      <c r="F95" s="516"/>
      <c r="G95" s="515"/>
      <c r="H95" s="655"/>
      <c r="I95" s="381" t="str">
        <f t="shared" si="76"/>
        <v>-</v>
      </c>
      <c r="J95" s="381" t="str">
        <f t="shared" si="77"/>
        <v>-</v>
      </c>
      <c r="K95" s="199" t="str">
        <f t="shared" si="78"/>
        <v>-</v>
      </c>
      <c r="L95" s="657"/>
      <c r="M95" s="470" t="e">
        <f>RANK(K95, K$87:$K$101)</f>
        <v>#VALUE!</v>
      </c>
      <c r="N95" s="641"/>
      <c r="O95" s="641"/>
      <c r="P95" s="531"/>
      <c r="Q95" s="513"/>
      <c r="R95" s="513"/>
      <c r="S95" s="529"/>
      <c r="T95" s="642"/>
      <c r="U95" s="531"/>
      <c r="V95" s="513"/>
      <c r="W95" s="513"/>
      <c r="X95" s="529"/>
      <c r="Y95" s="642"/>
      <c r="Z95" s="531"/>
      <c r="AA95" s="513"/>
      <c r="AB95" s="513"/>
      <c r="AC95" s="529"/>
      <c r="AD95" s="642"/>
      <c r="AE95" s="531"/>
      <c r="AF95" s="513"/>
      <c r="AG95" s="513"/>
      <c r="AH95" s="529"/>
      <c r="AI95" s="642"/>
      <c r="AJ95" s="531"/>
      <c r="AK95" s="513"/>
      <c r="AL95" s="513"/>
      <c r="AM95" s="529"/>
      <c r="AN95" s="642"/>
      <c r="AO95" s="531"/>
      <c r="AP95" s="513"/>
      <c r="AQ95" s="513"/>
      <c r="AR95" s="529"/>
      <c r="AS95" s="642"/>
      <c r="AT95" s="529"/>
      <c r="AU95" s="530"/>
      <c r="AV95" s="530"/>
      <c r="AW95" s="529"/>
      <c r="AX95" s="642"/>
      <c r="AZ95" s="368" t="e">
        <f t="shared" si="79"/>
        <v>#N/A</v>
      </c>
      <c r="BA95" s="642"/>
    </row>
    <row r="96" spans="2:53">
      <c r="B96" s="647"/>
      <c r="C96" s="380">
        <v>10</v>
      </c>
      <c r="D96" s="225"/>
      <c r="E96" s="519"/>
      <c r="F96" s="516"/>
      <c r="G96" s="515"/>
      <c r="H96" s="655"/>
      <c r="I96" s="381" t="str">
        <f t="shared" si="76"/>
        <v>-</v>
      </c>
      <c r="J96" s="381" t="str">
        <f t="shared" si="77"/>
        <v>-</v>
      </c>
      <c r="K96" s="199" t="str">
        <f t="shared" si="78"/>
        <v>-</v>
      </c>
      <c r="L96" s="657"/>
      <c r="M96" s="470" t="e">
        <f>RANK(K96, K$87:$K$101)</f>
        <v>#VALUE!</v>
      </c>
      <c r="N96" s="641"/>
      <c r="O96" s="641"/>
      <c r="P96" s="531"/>
      <c r="Q96" s="513"/>
      <c r="R96" s="513"/>
      <c r="S96" s="529"/>
      <c r="T96" s="642"/>
      <c r="U96" s="531"/>
      <c r="V96" s="513"/>
      <c r="W96" s="513"/>
      <c r="X96" s="529"/>
      <c r="Y96" s="642"/>
      <c r="Z96" s="531"/>
      <c r="AA96" s="513"/>
      <c r="AB96" s="513"/>
      <c r="AC96" s="529"/>
      <c r="AD96" s="642"/>
      <c r="AE96" s="531"/>
      <c r="AF96" s="513"/>
      <c r="AG96" s="513"/>
      <c r="AH96" s="529"/>
      <c r="AI96" s="642"/>
      <c r="AJ96" s="531"/>
      <c r="AK96" s="513"/>
      <c r="AL96" s="513"/>
      <c r="AM96" s="529"/>
      <c r="AN96" s="642"/>
      <c r="AO96" s="531"/>
      <c r="AP96" s="513"/>
      <c r="AQ96" s="513"/>
      <c r="AR96" s="529"/>
      <c r="AS96" s="642"/>
      <c r="AT96" s="529"/>
      <c r="AU96" s="530"/>
      <c r="AV96" s="530"/>
      <c r="AW96" s="529"/>
      <c r="AX96" s="642"/>
      <c r="AZ96" s="368" t="e">
        <f t="shared" si="79"/>
        <v>#N/A</v>
      </c>
      <c r="BA96" s="642"/>
    </row>
    <row r="97" spans="2:53">
      <c r="B97" s="647"/>
      <c r="C97" s="380">
        <v>11</v>
      </c>
      <c r="D97" s="225"/>
      <c r="E97" s="519"/>
      <c r="F97" s="516"/>
      <c r="G97" s="515"/>
      <c r="H97" s="655"/>
      <c r="I97" s="381" t="str">
        <f t="shared" si="76"/>
        <v>-</v>
      </c>
      <c r="J97" s="381" t="str">
        <f t="shared" si="77"/>
        <v>-</v>
      </c>
      <c r="K97" s="199" t="str">
        <f t="shared" si="78"/>
        <v>-</v>
      </c>
      <c r="L97" s="657"/>
      <c r="M97" s="470" t="e">
        <f>RANK(K97, K$87:$K$101)</f>
        <v>#VALUE!</v>
      </c>
      <c r="N97" s="641"/>
      <c r="O97" s="641"/>
      <c r="P97" s="531"/>
      <c r="Q97" s="513"/>
      <c r="R97" s="513"/>
      <c r="S97" s="529"/>
      <c r="T97" s="642"/>
      <c r="U97" s="531"/>
      <c r="V97" s="513"/>
      <c r="W97" s="513"/>
      <c r="X97" s="529"/>
      <c r="Y97" s="642"/>
      <c r="Z97" s="531"/>
      <c r="AA97" s="513"/>
      <c r="AB97" s="513"/>
      <c r="AC97" s="529"/>
      <c r="AD97" s="642"/>
      <c r="AE97" s="531"/>
      <c r="AF97" s="513"/>
      <c r="AG97" s="513"/>
      <c r="AH97" s="529"/>
      <c r="AI97" s="642"/>
      <c r="AJ97" s="531"/>
      <c r="AK97" s="513"/>
      <c r="AL97" s="513"/>
      <c r="AM97" s="529"/>
      <c r="AN97" s="642"/>
      <c r="AO97" s="531"/>
      <c r="AP97" s="513"/>
      <c r="AQ97" s="513"/>
      <c r="AR97" s="529"/>
      <c r="AS97" s="642"/>
      <c r="AT97" s="529"/>
      <c r="AU97" s="530"/>
      <c r="AV97" s="530"/>
      <c r="AW97" s="529"/>
      <c r="AX97" s="642"/>
      <c r="AZ97" s="368" t="e">
        <f t="shared" si="79"/>
        <v>#N/A</v>
      </c>
      <c r="BA97" s="642"/>
    </row>
    <row r="98" spans="2:53">
      <c r="B98" s="647"/>
      <c r="C98" s="380">
        <v>12</v>
      </c>
      <c r="D98" s="225"/>
      <c r="E98" s="519"/>
      <c r="F98" s="516"/>
      <c r="G98" s="515"/>
      <c r="H98" s="655"/>
      <c r="I98" s="381" t="str">
        <f t="shared" si="76"/>
        <v>-</v>
      </c>
      <c r="J98" s="381" t="str">
        <f t="shared" si="77"/>
        <v>-</v>
      </c>
      <c r="K98" s="199" t="str">
        <f t="shared" si="78"/>
        <v>-</v>
      </c>
      <c r="L98" s="657"/>
      <c r="M98" s="470" t="e">
        <f>RANK(K98, K$87:$K$101)</f>
        <v>#VALUE!</v>
      </c>
      <c r="N98" s="641"/>
      <c r="O98" s="641"/>
      <c r="P98" s="531"/>
      <c r="Q98" s="513"/>
      <c r="R98" s="513"/>
      <c r="S98" s="529"/>
      <c r="T98" s="642"/>
      <c r="U98" s="531"/>
      <c r="V98" s="513"/>
      <c r="W98" s="513"/>
      <c r="X98" s="529"/>
      <c r="Y98" s="642"/>
      <c r="Z98" s="531"/>
      <c r="AA98" s="513"/>
      <c r="AB98" s="513"/>
      <c r="AC98" s="529"/>
      <c r="AD98" s="642"/>
      <c r="AE98" s="531"/>
      <c r="AF98" s="513"/>
      <c r="AG98" s="513"/>
      <c r="AH98" s="529"/>
      <c r="AI98" s="642"/>
      <c r="AJ98" s="531"/>
      <c r="AK98" s="513"/>
      <c r="AL98" s="513"/>
      <c r="AM98" s="529"/>
      <c r="AN98" s="642"/>
      <c r="AO98" s="531"/>
      <c r="AP98" s="513"/>
      <c r="AQ98" s="513"/>
      <c r="AR98" s="529"/>
      <c r="AS98" s="642"/>
      <c r="AT98" s="529"/>
      <c r="AU98" s="530"/>
      <c r="AV98" s="530"/>
      <c r="AW98" s="529"/>
      <c r="AX98" s="642"/>
      <c r="AZ98" s="368" t="e">
        <f t="shared" si="79"/>
        <v>#N/A</v>
      </c>
      <c r="BA98" s="642"/>
    </row>
    <row r="99" spans="2:53">
      <c r="B99" s="647"/>
      <c r="C99" s="380">
        <v>13</v>
      </c>
      <c r="D99" s="225"/>
      <c r="E99" s="519"/>
      <c r="F99" s="516"/>
      <c r="G99" s="515"/>
      <c r="H99" s="655"/>
      <c r="I99" s="381" t="str">
        <f t="shared" si="76"/>
        <v>-</v>
      </c>
      <c r="J99" s="381" t="str">
        <f t="shared" si="77"/>
        <v>-</v>
      </c>
      <c r="K99" s="199" t="str">
        <f t="shared" si="78"/>
        <v>-</v>
      </c>
      <c r="L99" s="657"/>
      <c r="M99" s="470" t="e">
        <f>RANK(K99, K$87:$K$101)</f>
        <v>#VALUE!</v>
      </c>
      <c r="N99" s="641"/>
      <c r="O99" s="641"/>
      <c r="P99" s="531"/>
      <c r="Q99" s="513"/>
      <c r="R99" s="513"/>
      <c r="S99" s="529"/>
      <c r="T99" s="642"/>
      <c r="U99" s="531"/>
      <c r="V99" s="513"/>
      <c r="W99" s="513"/>
      <c r="X99" s="529"/>
      <c r="Y99" s="642"/>
      <c r="Z99" s="531"/>
      <c r="AA99" s="513"/>
      <c r="AB99" s="513"/>
      <c r="AC99" s="529"/>
      <c r="AD99" s="642"/>
      <c r="AE99" s="531"/>
      <c r="AF99" s="513"/>
      <c r="AG99" s="513"/>
      <c r="AH99" s="529"/>
      <c r="AI99" s="642"/>
      <c r="AJ99" s="531"/>
      <c r="AK99" s="513"/>
      <c r="AL99" s="513"/>
      <c r="AM99" s="529"/>
      <c r="AN99" s="642"/>
      <c r="AO99" s="531"/>
      <c r="AP99" s="513"/>
      <c r="AQ99" s="513"/>
      <c r="AR99" s="529"/>
      <c r="AS99" s="642"/>
      <c r="AT99" s="529"/>
      <c r="AU99" s="530"/>
      <c r="AV99" s="530"/>
      <c r="AW99" s="529"/>
      <c r="AX99" s="642"/>
      <c r="AZ99" s="368" t="e">
        <f t="shared" si="79"/>
        <v>#N/A</v>
      </c>
      <c r="BA99" s="642"/>
    </row>
    <row r="100" spans="2:53">
      <c r="B100" s="647"/>
      <c r="C100" s="380">
        <v>14</v>
      </c>
      <c r="D100" s="225"/>
      <c r="E100" s="519"/>
      <c r="F100" s="516"/>
      <c r="G100" s="515"/>
      <c r="H100" s="655"/>
      <c r="I100" s="381" t="str">
        <f t="shared" si="76"/>
        <v>-</v>
      </c>
      <c r="J100" s="381" t="str">
        <f t="shared" si="77"/>
        <v>-</v>
      </c>
      <c r="K100" s="199" t="str">
        <f t="shared" si="78"/>
        <v>-</v>
      </c>
      <c r="L100" s="657"/>
      <c r="M100" s="470" t="e">
        <f>RANK(K100, K$87:$K$101)</f>
        <v>#VALUE!</v>
      </c>
      <c r="N100" s="641"/>
      <c r="O100" s="641"/>
      <c r="P100" s="531"/>
      <c r="Q100" s="513"/>
      <c r="R100" s="513"/>
      <c r="S100" s="529"/>
      <c r="T100" s="642"/>
      <c r="U100" s="531"/>
      <c r="V100" s="513"/>
      <c r="W100" s="513"/>
      <c r="X100" s="529"/>
      <c r="Y100" s="642"/>
      <c r="Z100" s="531"/>
      <c r="AA100" s="513"/>
      <c r="AB100" s="513"/>
      <c r="AC100" s="529"/>
      <c r="AD100" s="642"/>
      <c r="AE100" s="531"/>
      <c r="AF100" s="513"/>
      <c r="AG100" s="513"/>
      <c r="AH100" s="529"/>
      <c r="AI100" s="642"/>
      <c r="AJ100" s="531"/>
      <c r="AK100" s="513"/>
      <c r="AL100" s="513"/>
      <c r="AM100" s="529"/>
      <c r="AN100" s="642"/>
      <c r="AO100" s="531"/>
      <c r="AP100" s="513"/>
      <c r="AQ100" s="513"/>
      <c r="AR100" s="529"/>
      <c r="AS100" s="642"/>
      <c r="AT100" s="529"/>
      <c r="AU100" s="530"/>
      <c r="AV100" s="530"/>
      <c r="AW100" s="529"/>
      <c r="AX100" s="642"/>
      <c r="AZ100" s="368" t="e">
        <f t="shared" si="79"/>
        <v>#N/A</v>
      </c>
      <c r="BA100" s="642"/>
    </row>
    <row r="101" spans="2:53">
      <c r="B101" s="647"/>
      <c r="C101" s="380">
        <v>15</v>
      </c>
      <c r="D101" s="225"/>
      <c r="E101" s="519"/>
      <c r="F101" s="516"/>
      <c r="G101" s="515"/>
      <c r="H101" s="712"/>
      <c r="I101" s="380"/>
      <c r="J101" s="380"/>
      <c r="K101" s="380"/>
      <c r="L101" s="658"/>
      <c r="M101" s="470" t="e">
        <f>RANK(K101, K$87:$K$101)</f>
        <v>#N/A</v>
      </c>
      <c r="N101" s="641"/>
      <c r="O101" s="641"/>
      <c r="P101" s="531"/>
      <c r="Q101" s="513"/>
      <c r="R101" s="513"/>
      <c r="S101" s="529"/>
      <c r="T101" s="642"/>
      <c r="U101" s="531"/>
      <c r="V101" s="513"/>
      <c r="W101" s="513"/>
      <c r="X101" s="529"/>
      <c r="Y101" s="642"/>
      <c r="Z101" s="531"/>
      <c r="AA101" s="513"/>
      <c r="AB101" s="513"/>
      <c r="AC101" s="529"/>
      <c r="AD101" s="642"/>
      <c r="AE101" s="531"/>
      <c r="AF101" s="513"/>
      <c r="AG101" s="513"/>
      <c r="AH101" s="529"/>
      <c r="AI101" s="642"/>
      <c r="AJ101" s="531"/>
      <c r="AK101" s="513"/>
      <c r="AL101" s="513"/>
      <c r="AM101" s="529"/>
      <c r="AN101" s="642"/>
      <c r="AO101" s="531"/>
      <c r="AP101" s="513"/>
      <c r="AQ101" s="513"/>
      <c r="AR101" s="529"/>
      <c r="AS101" s="642"/>
      <c r="AT101" s="529"/>
      <c r="AU101" s="530"/>
      <c r="AV101" s="530"/>
      <c r="AW101" s="529"/>
      <c r="AX101" s="642"/>
      <c r="AZ101" s="368" t="e">
        <f t="shared" si="79"/>
        <v>#N/A</v>
      </c>
      <c r="BA101" s="642"/>
    </row>
    <row r="102" spans="2:53" ht="15.75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68">
        <f>P82+7</f>
        <v>46266</v>
      </c>
      <c r="Q102" s="647"/>
      <c r="R102" s="647"/>
      <c r="S102" s="647"/>
      <c r="T102" s="647"/>
      <c r="U102" s="665">
        <f>P102+1</f>
        <v>46267</v>
      </c>
      <c r="V102" s="666"/>
      <c r="W102" s="666"/>
      <c r="X102" s="666"/>
      <c r="Y102" s="667"/>
      <c r="Z102" s="665">
        <f>U102+1</f>
        <v>46268</v>
      </c>
      <c r="AA102" s="666"/>
      <c r="AB102" s="666"/>
      <c r="AC102" s="666"/>
      <c r="AD102" s="667"/>
      <c r="AE102" s="665">
        <f>Z102+1</f>
        <v>46269</v>
      </c>
      <c r="AF102" s="666"/>
      <c r="AG102" s="666"/>
      <c r="AH102" s="666"/>
      <c r="AI102" s="667"/>
      <c r="AJ102" s="665">
        <f>AE102+1</f>
        <v>46270</v>
      </c>
      <c r="AK102" s="666"/>
      <c r="AL102" s="666"/>
      <c r="AM102" s="666"/>
      <c r="AN102" s="667"/>
      <c r="AO102" s="665">
        <f>AJ102+1</f>
        <v>46271</v>
      </c>
      <c r="AP102" s="666"/>
      <c r="AQ102" s="666"/>
      <c r="AR102" s="666"/>
      <c r="AS102" s="667"/>
      <c r="AT102" s="665">
        <f>AO102+1</f>
        <v>46272</v>
      </c>
      <c r="AU102" s="666"/>
      <c r="AV102" s="666"/>
      <c r="AW102" s="666"/>
      <c r="AX102" s="667"/>
    </row>
    <row r="103" spans="2:53" ht="15.75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45"/>
      <c r="O103" s="645"/>
      <c r="P103" s="668" t="s">
        <v>158</v>
      </c>
      <c r="Q103" s="647"/>
      <c r="R103" s="647"/>
      <c r="S103" s="647"/>
      <c r="T103" s="647"/>
      <c r="U103" s="668" t="s">
        <v>114</v>
      </c>
      <c r="V103" s="647"/>
      <c r="W103" s="647"/>
      <c r="X103" s="647"/>
      <c r="Y103" s="647"/>
      <c r="Z103" s="668" t="s">
        <v>159</v>
      </c>
      <c r="AA103" s="647"/>
      <c r="AB103" s="647"/>
      <c r="AC103" s="647"/>
      <c r="AD103" s="647"/>
      <c r="AE103" s="668" t="s">
        <v>157</v>
      </c>
      <c r="AF103" s="647"/>
      <c r="AG103" s="647"/>
      <c r="AH103" s="647"/>
      <c r="AI103" s="647"/>
      <c r="AJ103" s="668" t="s">
        <v>160</v>
      </c>
      <c r="AK103" s="647"/>
      <c r="AL103" s="647"/>
      <c r="AM103" s="647"/>
      <c r="AN103" s="647"/>
      <c r="AO103" s="668" t="s">
        <v>115</v>
      </c>
      <c r="AP103" s="647"/>
      <c r="AQ103" s="647"/>
      <c r="AR103" s="647"/>
      <c r="AS103" s="647"/>
      <c r="AT103" s="668" t="s">
        <v>161</v>
      </c>
      <c r="AU103" s="647"/>
      <c r="AV103" s="647"/>
      <c r="AW103" s="647"/>
      <c r="AX103" s="647"/>
    </row>
    <row r="104" spans="2:53">
      <c r="B104" s="641" t="s">
        <v>531</v>
      </c>
      <c r="C104" s="641" t="s">
        <v>532</v>
      </c>
      <c r="D104" s="641"/>
      <c r="E104" s="641" t="s">
        <v>533</v>
      </c>
      <c r="F104" s="641"/>
      <c r="G104" s="641"/>
      <c r="H104" s="673" t="s">
        <v>534</v>
      </c>
      <c r="I104" s="641" t="s">
        <v>535</v>
      </c>
      <c r="J104" s="641"/>
      <c r="K104" s="641"/>
      <c r="L104" s="673" t="s">
        <v>366</v>
      </c>
      <c r="M104" s="643" t="s">
        <v>536</v>
      </c>
      <c r="N104" s="641"/>
      <c r="O104" s="641" t="s">
        <v>522</v>
      </c>
      <c r="P104" s="659" t="s">
        <v>523</v>
      </c>
      <c r="Q104" s="660"/>
      <c r="R104" s="660"/>
      <c r="S104" s="661"/>
      <c r="T104" s="641" t="s">
        <v>519</v>
      </c>
      <c r="U104" s="659" t="s">
        <v>523</v>
      </c>
      <c r="V104" s="660"/>
      <c r="W104" s="660"/>
      <c r="X104" s="661"/>
      <c r="Y104" s="641" t="s">
        <v>519</v>
      </c>
      <c r="Z104" s="659" t="s">
        <v>523</v>
      </c>
      <c r="AA104" s="660"/>
      <c r="AB104" s="660"/>
      <c r="AC104" s="661"/>
      <c r="AD104" s="641" t="s">
        <v>519</v>
      </c>
      <c r="AE104" s="659" t="s">
        <v>523</v>
      </c>
      <c r="AF104" s="660"/>
      <c r="AG104" s="660"/>
      <c r="AH104" s="661"/>
      <c r="AI104" s="641" t="s">
        <v>519</v>
      </c>
      <c r="AJ104" s="659" t="s">
        <v>523</v>
      </c>
      <c r="AK104" s="660"/>
      <c r="AL104" s="660"/>
      <c r="AM104" s="661"/>
      <c r="AN104" s="641" t="s">
        <v>519</v>
      </c>
      <c r="AO104" s="659" t="s">
        <v>523</v>
      </c>
      <c r="AP104" s="660"/>
      <c r="AQ104" s="660"/>
      <c r="AR104" s="661"/>
      <c r="AS104" s="641" t="s">
        <v>519</v>
      </c>
      <c r="AT104" s="659" t="s">
        <v>523</v>
      </c>
      <c r="AU104" s="660"/>
      <c r="AV104" s="660"/>
      <c r="AW104" s="661"/>
      <c r="AX104" s="641" t="s">
        <v>519</v>
      </c>
      <c r="BA104" s="641" t="s">
        <v>366</v>
      </c>
    </row>
    <row r="105" spans="2:53">
      <c r="B105" s="641"/>
      <c r="C105" s="641"/>
      <c r="D105" s="641"/>
      <c r="E105" s="641" t="s">
        <v>538</v>
      </c>
      <c r="F105" s="641"/>
      <c r="G105" s="641"/>
      <c r="H105" s="674"/>
      <c r="I105" s="641" t="s">
        <v>538</v>
      </c>
      <c r="J105" s="641"/>
      <c r="K105" s="641"/>
      <c r="L105" s="674"/>
      <c r="M105" s="644"/>
      <c r="N105" s="641"/>
      <c r="O105" s="641"/>
      <c r="P105" s="659" t="s">
        <v>525</v>
      </c>
      <c r="Q105" s="660"/>
      <c r="R105" s="660"/>
      <c r="S105" s="661"/>
      <c r="T105" s="641"/>
      <c r="U105" s="659" t="s">
        <v>525</v>
      </c>
      <c r="V105" s="660"/>
      <c r="W105" s="660"/>
      <c r="X105" s="661"/>
      <c r="Y105" s="641"/>
      <c r="Z105" s="659" t="s">
        <v>525</v>
      </c>
      <c r="AA105" s="660"/>
      <c r="AB105" s="660"/>
      <c r="AC105" s="661"/>
      <c r="AD105" s="641"/>
      <c r="AE105" s="659" t="s">
        <v>525</v>
      </c>
      <c r="AF105" s="660"/>
      <c r="AG105" s="660"/>
      <c r="AH105" s="661"/>
      <c r="AI105" s="641"/>
      <c r="AJ105" s="659" t="s">
        <v>525</v>
      </c>
      <c r="AK105" s="660"/>
      <c r="AL105" s="660"/>
      <c r="AM105" s="661"/>
      <c r="AN105" s="641"/>
      <c r="AO105" s="659" t="s">
        <v>525</v>
      </c>
      <c r="AP105" s="660"/>
      <c r="AQ105" s="660"/>
      <c r="AR105" s="661"/>
      <c r="AS105" s="641"/>
      <c r="AT105" s="659" t="s">
        <v>525</v>
      </c>
      <c r="AU105" s="660"/>
      <c r="AV105" s="660"/>
      <c r="AW105" s="661"/>
      <c r="AX105" s="641"/>
      <c r="BA105" s="641"/>
    </row>
    <row r="106" spans="2:53">
      <c r="B106" s="641"/>
      <c r="C106" s="641"/>
      <c r="D106" s="641"/>
      <c r="E106" s="345" t="s">
        <v>539</v>
      </c>
      <c r="F106" s="345" t="s">
        <v>540</v>
      </c>
      <c r="G106" s="345" t="s">
        <v>541</v>
      </c>
      <c r="H106" s="675"/>
      <c r="I106" s="345" t="s">
        <v>539</v>
      </c>
      <c r="J106" s="345" t="s">
        <v>540</v>
      </c>
      <c r="K106" s="345" t="s">
        <v>541</v>
      </c>
      <c r="L106" s="675"/>
      <c r="M106" s="645"/>
      <c r="N106" s="641"/>
      <c r="O106" s="641"/>
      <c r="P106" s="345" t="s">
        <v>526</v>
      </c>
      <c r="Q106" s="345" t="s">
        <v>527</v>
      </c>
      <c r="R106" s="345" t="s">
        <v>528</v>
      </c>
      <c r="S106" s="345" t="s">
        <v>521</v>
      </c>
      <c r="T106" s="641"/>
      <c r="U106" s="345" t="s">
        <v>526</v>
      </c>
      <c r="V106" s="345" t="s">
        <v>527</v>
      </c>
      <c r="W106" s="345" t="s">
        <v>528</v>
      </c>
      <c r="X106" s="345" t="s">
        <v>521</v>
      </c>
      <c r="Y106" s="641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41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41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41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41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41"/>
      <c r="AZ106" s="367" t="s">
        <v>521</v>
      </c>
      <c r="BA106" s="641"/>
    </row>
    <row r="107" spans="2:53">
      <c r="B107" s="641" t="s">
        <v>136</v>
      </c>
      <c r="C107" s="348">
        <v>1</v>
      </c>
      <c r="D107" s="225"/>
      <c r="E107" s="181"/>
      <c r="F107" s="353"/>
      <c r="G107" s="354"/>
      <c r="H107" s="654" t="e">
        <f>AVERAGE(G107:G121)</f>
        <v>#DIV/0!</v>
      </c>
      <c r="I107" s="363" t="str">
        <f t="shared" ref="I107:I120" si="81">IFERROR(AVERAGE(P107,U107,Z107,AE107,AJ107,AO107,AT107),"-")</f>
        <v>-</v>
      </c>
      <c r="J107" s="363" t="str">
        <f t="shared" ref="J107:J120" si="82">IFERROR(AVERAGE(Q107,V107,AA107,AF107,AK107,AP107,AU107),"-")</f>
        <v>-</v>
      </c>
      <c r="K107" s="199" t="str">
        <f t="shared" ref="K107:K120" si="83">IFERROR(AVERAGE(R107,W107,AB107,AG107,AL107,AQ107,AV107),"-")</f>
        <v>-</v>
      </c>
      <c r="L107" s="656" t="str">
        <f>IFERROR(AVERAGE(K107:K121),"-")</f>
        <v>-</v>
      </c>
      <c r="M107" s="349" t="e">
        <f>RANK(K107, K$67:$K$81)</f>
        <v>#VALUE!</v>
      </c>
      <c r="N107" s="641"/>
      <c r="O107" s="641"/>
      <c r="P107" s="510"/>
      <c r="Q107" s="512"/>
      <c r="R107" s="512"/>
      <c r="S107" s="510"/>
      <c r="T107" s="642"/>
      <c r="U107" s="510"/>
      <c r="V107" s="512"/>
      <c r="W107" s="512"/>
      <c r="X107" s="510"/>
      <c r="Y107" s="642"/>
      <c r="Z107" s="510"/>
      <c r="AA107" s="512"/>
      <c r="AB107" s="512"/>
      <c r="AC107" s="510"/>
      <c r="AD107" s="642"/>
      <c r="AE107" s="510"/>
      <c r="AF107" s="512"/>
      <c r="AG107" s="512"/>
      <c r="AH107" s="510"/>
      <c r="AI107" s="642"/>
      <c r="AJ107" s="510"/>
      <c r="AK107" s="512"/>
      <c r="AL107" s="512"/>
      <c r="AM107" s="510"/>
      <c r="AN107" s="642"/>
      <c r="AO107" s="510"/>
      <c r="AP107" s="512"/>
      <c r="AQ107" s="512"/>
      <c r="AR107" s="510"/>
      <c r="AS107" s="642"/>
      <c r="AT107" s="510"/>
      <c r="AU107" s="512"/>
      <c r="AV107" s="512"/>
      <c r="AW107" s="510"/>
      <c r="AX107" s="642"/>
      <c r="AZ107" s="369" t="e">
        <f>RANK(AY107, AY$67:AY$81)</f>
        <v>#N/A</v>
      </c>
      <c r="BA107" s="698" t="e">
        <f>AVERAGE(AY107:AY121)</f>
        <v>#DIV/0!</v>
      </c>
    </row>
    <row r="108" spans="2:53">
      <c r="B108" s="676"/>
      <c r="C108" s="348">
        <v>2</v>
      </c>
      <c r="D108" s="225"/>
      <c r="E108" s="181"/>
      <c r="F108" s="353"/>
      <c r="G108" s="354"/>
      <c r="H108" s="655"/>
      <c r="I108" s="363" t="str">
        <f t="shared" si="81"/>
        <v>-</v>
      </c>
      <c r="J108" s="363" t="str">
        <f t="shared" si="82"/>
        <v>-</v>
      </c>
      <c r="K108" s="199" t="str">
        <f t="shared" si="83"/>
        <v>-</v>
      </c>
      <c r="L108" s="657"/>
      <c r="M108" s="349" t="e">
        <f>RANK(K108, K$67:$K$81)</f>
        <v>#VALUE!</v>
      </c>
      <c r="N108" s="641"/>
      <c r="O108" s="641"/>
      <c r="P108" s="510"/>
      <c r="Q108" s="512"/>
      <c r="R108" s="512"/>
      <c r="S108" s="510"/>
      <c r="T108" s="642"/>
      <c r="U108" s="510"/>
      <c r="V108" s="512"/>
      <c r="W108" s="512"/>
      <c r="X108" s="510"/>
      <c r="Y108" s="642"/>
      <c r="Z108" s="510"/>
      <c r="AA108" s="512"/>
      <c r="AB108" s="512"/>
      <c r="AC108" s="510"/>
      <c r="AD108" s="642"/>
      <c r="AE108" s="510"/>
      <c r="AF108" s="512"/>
      <c r="AG108" s="512"/>
      <c r="AH108" s="510"/>
      <c r="AI108" s="642"/>
      <c r="AJ108" s="510"/>
      <c r="AK108" s="512"/>
      <c r="AL108" s="512"/>
      <c r="AM108" s="510"/>
      <c r="AN108" s="642"/>
      <c r="AO108" s="510"/>
      <c r="AP108" s="512"/>
      <c r="AQ108" s="512"/>
      <c r="AR108" s="510"/>
      <c r="AS108" s="642"/>
      <c r="AT108" s="510"/>
      <c r="AU108" s="512"/>
      <c r="AV108" s="512"/>
      <c r="AW108" s="510"/>
      <c r="AX108" s="642"/>
      <c r="AZ108" s="369" t="e">
        <f t="shared" ref="AZ108:AZ121" si="84">RANK(AY108, AY$67:AY$81)</f>
        <v>#N/A</v>
      </c>
      <c r="BA108" s="698"/>
    </row>
    <row r="109" spans="2:53">
      <c r="B109" s="676"/>
      <c r="C109" s="348">
        <v>3</v>
      </c>
      <c r="D109" s="225"/>
      <c r="E109" s="181"/>
      <c r="F109" s="353"/>
      <c r="G109" s="354"/>
      <c r="H109" s="655"/>
      <c r="I109" s="363" t="str">
        <f t="shared" si="81"/>
        <v>-</v>
      </c>
      <c r="J109" s="363" t="str">
        <f t="shared" si="82"/>
        <v>-</v>
      </c>
      <c r="K109" s="199" t="str">
        <f t="shared" si="83"/>
        <v>-</v>
      </c>
      <c r="L109" s="657"/>
      <c r="M109" s="349" t="e">
        <f>RANK(K109, K$67:$K$81)</f>
        <v>#VALUE!</v>
      </c>
      <c r="N109" s="641"/>
      <c r="O109" s="641"/>
      <c r="P109" s="510"/>
      <c r="Q109" s="512"/>
      <c r="R109" s="512"/>
      <c r="S109" s="510"/>
      <c r="T109" s="642"/>
      <c r="U109" s="510"/>
      <c r="V109" s="512"/>
      <c r="W109" s="512"/>
      <c r="X109" s="510"/>
      <c r="Y109" s="642"/>
      <c r="Z109" s="510"/>
      <c r="AA109" s="512"/>
      <c r="AB109" s="512"/>
      <c r="AC109" s="510"/>
      <c r="AD109" s="642"/>
      <c r="AE109" s="510"/>
      <c r="AF109" s="512"/>
      <c r="AG109" s="512"/>
      <c r="AH109" s="510"/>
      <c r="AI109" s="642"/>
      <c r="AJ109" s="510"/>
      <c r="AK109" s="512"/>
      <c r="AL109" s="512"/>
      <c r="AM109" s="510"/>
      <c r="AN109" s="642"/>
      <c r="AO109" s="510"/>
      <c r="AP109" s="512"/>
      <c r="AQ109" s="512"/>
      <c r="AR109" s="510"/>
      <c r="AS109" s="642"/>
      <c r="AT109" s="510"/>
      <c r="AU109" s="512"/>
      <c r="AV109" s="512"/>
      <c r="AW109" s="510"/>
      <c r="AX109" s="642"/>
      <c r="AZ109" s="369" t="e">
        <f t="shared" si="84"/>
        <v>#N/A</v>
      </c>
      <c r="BA109" s="698"/>
    </row>
    <row r="110" spans="2:53">
      <c r="B110" s="676"/>
      <c r="C110" s="348">
        <v>4</v>
      </c>
      <c r="D110" s="225"/>
      <c r="E110" s="181"/>
      <c r="F110" s="353"/>
      <c r="G110" s="354"/>
      <c r="H110" s="655"/>
      <c r="I110" s="363" t="str">
        <f t="shared" si="81"/>
        <v>-</v>
      </c>
      <c r="J110" s="363" t="str">
        <f t="shared" si="82"/>
        <v>-</v>
      </c>
      <c r="K110" s="199" t="str">
        <f t="shared" si="83"/>
        <v>-</v>
      </c>
      <c r="L110" s="657"/>
      <c r="M110" s="349" t="e">
        <f>RANK(K110, K$67:$K$81)</f>
        <v>#VALUE!</v>
      </c>
      <c r="N110" s="641"/>
      <c r="O110" s="641"/>
      <c r="P110" s="510"/>
      <c r="Q110" s="512"/>
      <c r="R110" s="512"/>
      <c r="S110" s="510"/>
      <c r="T110" s="642"/>
      <c r="U110" s="510"/>
      <c r="V110" s="512"/>
      <c r="W110" s="512"/>
      <c r="X110" s="510"/>
      <c r="Y110" s="642"/>
      <c r="Z110" s="510"/>
      <c r="AA110" s="512"/>
      <c r="AB110" s="512"/>
      <c r="AC110" s="510"/>
      <c r="AD110" s="642"/>
      <c r="AE110" s="510"/>
      <c r="AF110" s="512"/>
      <c r="AG110" s="512"/>
      <c r="AH110" s="510"/>
      <c r="AI110" s="642"/>
      <c r="AJ110" s="510"/>
      <c r="AK110" s="512"/>
      <c r="AL110" s="512"/>
      <c r="AM110" s="510"/>
      <c r="AN110" s="642"/>
      <c r="AO110" s="510"/>
      <c r="AP110" s="512"/>
      <c r="AQ110" s="512"/>
      <c r="AR110" s="510"/>
      <c r="AS110" s="642"/>
      <c r="AT110" s="510"/>
      <c r="AU110" s="512"/>
      <c r="AV110" s="512"/>
      <c r="AW110" s="510"/>
      <c r="AX110" s="642"/>
      <c r="AZ110" s="369" t="e">
        <f t="shared" si="84"/>
        <v>#N/A</v>
      </c>
      <c r="BA110" s="698"/>
    </row>
    <row r="111" spans="2:53">
      <c r="B111" s="676"/>
      <c r="C111" s="348">
        <v>5</v>
      </c>
      <c r="D111" s="225"/>
      <c r="E111" s="181"/>
      <c r="F111" s="353"/>
      <c r="G111" s="354"/>
      <c r="H111" s="655"/>
      <c r="I111" s="363" t="str">
        <f t="shared" si="81"/>
        <v>-</v>
      </c>
      <c r="J111" s="363" t="str">
        <f t="shared" si="82"/>
        <v>-</v>
      </c>
      <c r="K111" s="199" t="str">
        <f t="shared" si="83"/>
        <v>-</v>
      </c>
      <c r="L111" s="657"/>
      <c r="M111" s="349" t="e">
        <f>RANK(K111, K$67:$K$81)</f>
        <v>#VALUE!</v>
      </c>
      <c r="N111" s="641"/>
      <c r="O111" s="641"/>
      <c r="P111" s="510"/>
      <c r="Q111" s="512"/>
      <c r="R111" s="512"/>
      <c r="S111" s="510"/>
      <c r="T111" s="642"/>
      <c r="U111" s="510"/>
      <c r="V111" s="512"/>
      <c r="W111" s="512"/>
      <c r="X111" s="510"/>
      <c r="Y111" s="642"/>
      <c r="Z111" s="510"/>
      <c r="AA111" s="512"/>
      <c r="AB111" s="512"/>
      <c r="AC111" s="510"/>
      <c r="AD111" s="642"/>
      <c r="AE111" s="510"/>
      <c r="AF111" s="512"/>
      <c r="AG111" s="512"/>
      <c r="AH111" s="510"/>
      <c r="AI111" s="642"/>
      <c r="AJ111" s="510"/>
      <c r="AK111" s="512"/>
      <c r="AL111" s="512"/>
      <c r="AM111" s="510"/>
      <c r="AN111" s="642"/>
      <c r="AO111" s="510"/>
      <c r="AP111" s="512"/>
      <c r="AQ111" s="512"/>
      <c r="AR111" s="510"/>
      <c r="AS111" s="642"/>
      <c r="AT111" s="510"/>
      <c r="AU111" s="512"/>
      <c r="AV111" s="512"/>
      <c r="AW111" s="510"/>
      <c r="AX111" s="642"/>
      <c r="AZ111" s="369" t="e">
        <f t="shared" si="84"/>
        <v>#N/A</v>
      </c>
      <c r="BA111" s="698"/>
    </row>
    <row r="112" spans="2:53">
      <c r="B112" s="676"/>
      <c r="C112" s="348">
        <v>6</v>
      </c>
      <c r="D112" s="225"/>
      <c r="E112" s="181"/>
      <c r="F112" s="353"/>
      <c r="G112" s="354"/>
      <c r="H112" s="655"/>
      <c r="I112" s="363" t="str">
        <f t="shared" si="81"/>
        <v>-</v>
      </c>
      <c r="J112" s="363" t="str">
        <f t="shared" si="82"/>
        <v>-</v>
      </c>
      <c r="K112" s="199" t="str">
        <f t="shared" si="83"/>
        <v>-</v>
      </c>
      <c r="L112" s="657"/>
      <c r="M112" s="349" t="e">
        <f>RANK(K112, K$67:$K$81)</f>
        <v>#VALUE!</v>
      </c>
      <c r="N112" s="641"/>
      <c r="O112" s="641"/>
      <c r="P112" s="510"/>
      <c r="Q112" s="512"/>
      <c r="R112" s="512"/>
      <c r="S112" s="510"/>
      <c r="T112" s="642"/>
      <c r="U112" s="510"/>
      <c r="V112" s="512"/>
      <c r="W112" s="512"/>
      <c r="X112" s="510"/>
      <c r="Y112" s="642"/>
      <c r="Z112" s="510"/>
      <c r="AA112" s="512"/>
      <c r="AB112" s="512"/>
      <c r="AC112" s="510"/>
      <c r="AD112" s="642"/>
      <c r="AE112" s="510"/>
      <c r="AF112" s="512"/>
      <c r="AG112" s="512"/>
      <c r="AH112" s="510"/>
      <c r="AI112" s="642"/>
      <c r="AJ112" s="510"/>
      <c r="AK112" s="512"/>
      <c r="AL112" s="512"/>
      <c r="AM112" s="510"/>
      <c r="AN112" s="642"/>
      <c r="AO112" s="510"/>
      <c r="AP112" s="512"/>
      <c r="AQ112" s="512"/>
      <c r="AR112" s="510"/>
      <c r="AS112" s="642"/>
      <c r="AT112" s="510"/>
      <c r="AU112" s="512"/>
      <c r="AV112" s="512"/>
      <c r="AW112" s="510"/>
      <c r="AX112" s="642"/>
      <c r="AZ112" s="369" t="e">
        <f t="shared" si="84"/>
        <v>#N/A</v>
      </c>
      <c r="BA112" s="698"/>
    </row>
    <row r="113" spans="2:53">
      <c r="B113" s="676"/>
      <c r="C113" s="348">
        <v>7</v>
      </c>
      <c r="D113" s="225"/>
      <c r="E113" s="181"/>
      <c r="F113" s="353"/>
      <c r="G113" s="354"/>
      <c r="H113" s="655"/>
      <c r="I113" s="363" t="str">
        <f t="shared" si="81"/>
        <v>-</v>
      </c>
      <c r="J113" s="363" t="str">
        <f t="shared" si="82"/>
        <v>-</v>
      </c>
      <c r="K113" s="199" t="str">
        <f t="shared" si="83"/>
        <v>-</v>
      </c>
      <c r="L113" s="657"/>
      <c r="M113" s="349" t="e">
        <f>RANK(K113, K$67:$K$81)</f>
        <v>#VALUE!</v>
      </c>
      <c r="N113" s="641"/>
      <c r="O113" s="641"/>
      <c r="P113" s="510"/>
      <c r="Q113" s="512"/>
      <c r="R113" s="512"/>
      <c r="S113" s="510"/>
      <c r="T113" s="642"/>
      <c r="U113" s="510"/>
      <c r="V113" s="512"/>
      <c r="W113" s="512"/>
      <c r="X113" s="510"/>
      <c r="Y113" s="642"/>
      <c r="Z113" s="510"/>
      <c r="AA113" s="512"/>
      <c r="AB113" s="512"/>
      <c r="AC113" s="510"/>
      <c r="AD113" s="642"/>
      <c r="AE113" s="510"/>
      <c r="AF113" s="512"/>
      <c r="AG113" s="512"/>
      <c r="AH113" s="510"/>
      <c r="AI113" s="642"/>
      <c r="AJ113" s="510"/>
      <c r="AK113" s="512"/>
      <c r="AL113" s="512"/>
      <c r="AM113" s="510"/>
      <c r="AN113" s="642"/>
      <c r="AO113" s="510"/>
      <c r="AP113" s="512"/>
      <c r="AQ113" s="512"/>
      <c r="AR113" s="510"/>
      <c r="AS113" s="642"/>
      <c r="AT113" s="510"/>
      <c r="AU113" s="512"/>
      <c r="AV113" s="512"/>
      <c r="AW113" s="510"/>
      <c r="AX113" s="642"/>
      <c r="AZ113" s="369" t="e">
        <f t="shared" si="84"/>
        <v>#N/A</v>
      </c>
      <c r="BA113" s="698"/>
    </row>
    <row r="114" spans="2:53">
      <c r="B114" s="676"/>
      <c r="C114" s="348">
        <v>8</v>
      </c>
      <c r="D114" s="225"/>
      <c r="E114" s="181"/>
      <c r="F114" s="353"/>
      <c r="G114" s="354"/>
      <c r="H114" s="655"/>
      <c r="I114" s="363" t="str">
        <f t="shared" si="81"/>
        <v>-</v>
      </c>
      <c r="J114" s="363" t="str">
        <f t="shared" si="82"/>
        <v>-</v>
      </c>
      <c r="K114" s="199" t="str">
        <f t="shared" si="83"/>
        <v>-</v>
      </c>
      <c r="L114" s="657"/>
      <c r="M114" s="349" t="e">
        <f>RANK(K114, K$67:$K$81)</f>
        <v>#VALUE!</v>
      </c>
      <c r="N114" s="641"/>
      <c r="O114" s="641"/>
      <c r="P114" s="510"/>
      <c r="Q114" s="512"/>
      <c r="R114" s="512"/>
      <c r="S114" s="510"/>
      <c r="T114" s="642"/>
      <c r="U114" s="510"/>
      <c r="V114" s="512"/>
      <c r="W114" s="512"/>
      <c r="X114" s="510"/>
      <c r="Y114" s="642"/>
      <c r="Z114" s="510"/>
      <c r="AA114" s="512"/>
      <c r="AB114" s="512"/>
      <c r="AC114" s="510"/>
      <c r="AD114" s="642"/>
      <c r="AE114" s="510"/>
      <c r="AF114" s="512"/>
      <c r="AG114" s="512"/>
      <c r="AH114" s="510"/>
      <c r="AI114" s="642"/>
      <c r="AJ114" s="510"/>
      <c r="AK114" s="512"/>
      <c r="AL114" s="512"/>
      <c r="AM114" s="510"/>
      <c r="AN114" s="642"/>
      <c r="AO114" s="510"/>
      <c r="AP114" s="512"/>
      <c r="AQ114" s="512"/>
      <c r="AR114" s="510"/>
      <c r="AS114" s="642"/>
      <c r="AT114" s="510"/>
      <c r="AU114" s="512"/>
      <c r="AV114" s="512"/>
      <c r="AW114" s="510"/>
      <c r="AX114" s="642"/>
      <c r="AZ114" s="369" t="e">
        <f t="shared" si="84"/>
        <v>#N/A</v>
      </c>
      <c r="BA114" s="698"/>
    </row>
    <row r="115" spans="2:53">
      <c r="B115" s="676"/>
      <c r="C115" s="348">
        <v>9</v>
      </c>
      <c r="D115" s="225"/>
      <c r="E115" s="181"/>
      <c r="F115" s="353"/>
      <c r="G115" s="354"/>
      <c r="H115" s="655"/>
      <c r="I115" s="363" t="str">
        <f t="shared" si="81"/>
        <v>-</v>
      </c>
      <c r="J115" s="363" t="str">
        <f t="shared" si="82"/>
        <v>-</v>
      </c>
      <c r="K115" s="199" t="str">
        <f t="shared" si="83"/>
        <v>-</v>
      </c>
      <c r="L115" s="657"/>
      <c r="M115" s="349" t="e">
        <f>RANK(K115, K$67:$K$81)</f>
        <v>#VALUE!</v>
      </c>
      <c r="N115" s="641"/>
      <c r="O115" s="641"/>
      <c r="P115" s="510"/>
      <c r="Q115" s="512"/>
      <c r="R115" s="512"/>
      <c r="S115" s="510"/>
      <c r="T115" s="642"/>
      <c r="U115" s="510"/>
      <c r="V115" s="512"/>
      <c r="W115" s="512"/>
      <c r="X115" s="510"/>
      <c r="Y115" s="642"/>
      <c r="Z115" s="510"/>
      <c r="AA115" s="512"/>
      <c r="AB115" s="512"/>
      <c r="AC115" s="510"/>
      <c r="AD115" s="642"/>
      <c r="AE115" s="510"/>
      <c r="AF115" s="512"/>
      <c r="AG115" s="512"/>
      <c r="AH115" s="510"/>
      <c r="AI115" s="642"/>
      <c r="AJ115" s="510"/>
      <c r="AK115" s="512"/>
      <c r="AL115" s="512"/>
      <c r="AM115" s="510"/>
      <c r="AN115" s="642"/>
      <c r="AO115" s="510"/>
      <c r="AP115" s="512"/>
      <c r="AQ115" s="512"/>
      <c r="AR115" s="510"/>
      <c r="AS115" s="642"/>
      <c r="AT115" s="510"/>
      <c r="AU115" s="512"/>
      <c r="AV115" s="512"/>
      <c r="AW115" s="510"/>
      <c r="AX115" s="642"/>
      <c r="AZ115" s="369" t="e">
        <f t="shared" si="84"/>
        <v>#N/A</v>
      </c>
      <c r="BA115" s="698"/>
    </row>
    <row r="116" spans="2:53">
      <c r="B116" s="676"/>
      <c r="C116" s="348">
        <v>10</v>
      </c>
      <c r="D116" s="225"/>
      <c r="E116" s="181"/>
      <c r="F116" s="353"/>
      <c r="G116" s="354"/>
      <c r="H116" s="655"/>
      <c r="I116" s="363" t="str">
        <f t="shared" si="81"/>
        <v>-</v>
      </c>
      <c r="J116" s="363" t="str">
        <f t="shared" si="82"/>
        <v>-</v>
      </c>
      <c r="K116" s="199" t="str">
        <f t="shared" si="83"/>
        <v>-</v>
      </c>
      <c r="L116" s="657"/>
      <c r="M116" s="349" t="e">
        <f>RANK(K116, K$67:$K$81)</f>
        <v>#VALUE!</v>
      </c>
      <c r="N116" s="641"/>
      <c r="O116" s="641"/>
      <c r="P116" s="510"/>
      <c r="Q116" s="512"/>
      <c r="R116" s="512"/>
      <c r="S116" s="510"/>
      <c r="T116" s="642"/>
      <c r="U116" s="510"/>
      <c r="V116" s="512"/>
      <c r="W116" s="512"/>
      <c r="X116" s="510"/>
      <c r="Y116" s="642"/>
      <c r="Z116" s="510"/>
      <c r="AA116" s="512"/>
      <c r="AB116" s="512"/>
      <c r="AC116" s="510"/>
      <c r="AD116" s="642"/>
      <c r="AE116" s="510"/>
      <c r="AF116" s="512"/>
      <c r="AG116" s="512"/>
      <c r="AH116" s="510"/>
      <c r="AI116" s="642"/>
      <c r="AJ116" s="510"/>
      <c r="AK116" s="512"/>
      <c r="AL116" s="512"/>
      <c r="AM116" s="510"/>
      <c r="AN116" s="642"/>
      <c r="AO116" s="510"/>
      <c r="AP116" s="512"/>
      <c r="AQ116" s="512"/>
      <c r="AR116" s="510"/>
      <c r="AS116" s="642"/>
      <c r="AT116" s="510"/>
      <c r="AU116" s="512"/>
      <c r="AV116" s="512"/>
      <c r="AW116" s="510"/>
      <c r="AX116" s="642"/>
      <c r="AZ116" s="369" t="e">
        <f t="shared" si="84"/>
        <v>#N/A</v>
      </c>
      <c r="BA116" s="698"/>
    </row>
    <row r="117" spans="2:53">
      <c r="B117" s="676"/>
      <c r="C117" s="348">
        <v>11</v>
      </c>
      <c r="D117" s="225"/>
      <c r="E117" s="181"/>
      <c r="F117" s="353"/>
      <c r="G117" s="354"/>
      <c r="H117" s="655"/>
      <c r="I117" s="363" t="str">
        <f t="shared" si="81"/>
        <v>-</v>
      </c>
      <c r="J117" s="363" t="str">
        <f t="shared" si="82"/>
        <v>-</v>
      </c>
      <c r="K117" s="199" t="str">
        <f t="shared" si="83"/>
        <v>-</v>
      </c>
      <c r="L117" s="657"/>
      <c r="M117" s="349" t="e">
        <f>RANK(K117, K$67:$K$81)</f>
        <v>#VALUE!</v>
      </c>
      <c r="N117" s="641"/>
      <c r="O117" s="641"/>
      <c r="P117" s="510"/>
      <c r="Q117" s="512"/>
      <c r="R117" s="512"/>
      <c r="S117" s="510"/>
      <c r="T117" s="642"/>
      <c r="U117" s="510"/>
      <c r="V117" s="512"/>
      <c r="W117" s="512"/>
      <c r="X117" s="510"/>
      <c r="Y117" s="642"/>
      <c r="Z117" s="510"/>
      <c r="AA117" s="512"/>
      <c r="AB117" s="512"/>
      <c r="AC117" s="510"/>
      <c r="AD117" s="642"/>
      <c r="AE117" s="510"/>
      <c r="AF117" s="512"/>
      <c r="AG117" s="512"/>
      <c r="AH117" s="510"/>
      <c r="AI117" s="642"/>
      <c r="AJ117" s="510"/>
      <c r="AK117" s="512"/>
      <c r="AL117" s="512"/>
      <c r="AM117" s="510"/>
      <c r="AN117" s="642"/>
      <c r="AO117" s="510"/>
      <c r="AP117" s="512"/>
      <c r="AQ117" s="512"/>
      <c r="AR117" s="510"/>
      <c r="AS117" s="642"/>
      <c r="AT117" s="510"/>
      <c r="AU117" s="512"/>
      <c r="AV117" s="512"/>
      <c r="AW117" s="510"/>
      <c r="AX117" s="642"/>
      <c r="AZ117" s="369" t="e">
        <f t="shared" si="84"/>
        <v>#N/A</v>
      </c>
      <c r="BA117" s="698"/>
    </row>
    <row r="118" spans="2:53">
      <c r="B118" s="676"/>
      <c r="C118" s="348">
        <v>12</v>
      </c>
      <c r="D118" s="225"/>
      <c r="E118" s="181"/>
      <c r="F118" s="353"/>
      <c r="G118" s="354"/>
      <c r="H118" s="655"/>
      <c r="I118" s="363" t="str">
        <f t="shared" si="81"/>
        <v>-</v>
      </c>
      <c r="J118" s="363" t="str">
        <f t="shared" si="82"/>
        <v>-</v>
      </c>
      <c r="K118" s="199" t="str">
        <f t="shared" si="83"/>
        <v>-</v>
      </c>
      <c r="L118" s="657"/>
      <c r="M118" s="349" t="e">
        <f>RANK(K118, K$67:$K$81)</f>
        <v>#VALUE!</v>
      </c>
      <c r="N118" s="641"/>
      <c r="O118" s="641"/>
      <c r="P118" s="510"/>
      <c r="Q118" s="512"/>
      <c r="R118" s="512"/>
      <c r="S118" s="510"/>
      <c r="T118" s="642"/>
      <c r="U118" s="510"/>
      <c r="V118" s="512"/>
      <c r="W118" s="512"/>
      <c r="X118" s="510"/>
      <c r="Y118" s="642"/>
      <c r="Z118" s="510"/>
      <c r="AA118" s="512"/>
      <c r="AB118" s="512"/>
      <c r="AC118" s="510"/>
      <c r="AD118" s="642"/>
      <c r="AE118" s="510"/>
      <c r="AF118" s="512"/>
      <c r="AG118" s="512"/>
      <c r="AH118" s="510"/>
      <c r="AI118" s="642"/>
      <c r="AJ118" s="510"/>
      <c r="AK118" s="512"/>
      <c r="AL118" s="512"/>
      <c r="AM118" s="510"/>
      <c r="AN118" s="642"/>
      <c r="AO118" s="510"/>
      <c r="AP118" s="512"/>
      <c r="AQ118" s="512"/>
      <c r="AR118" s="510"/>
      <c r="AS118" s="642"/>
      <c r="AT118" s="510"/>
      <c r="AU118" s="512"/>
      <c r="AV118" s="512"/>
      <c r="AW118" s="510"/>
      <c r="AX118" s="642"/>
      <c r="AZ118" s="369" t="e">
        <f t="shared" si="84"/>
        <v>#N/A</v>
      </c>
      <c r="BA118" s="698"/>
    </row>
    <row r="119" spans="2:53">
      <c r="B119" s="676"/>
      <c r="C119" s="348">
        <v>13</v>
      </c>
      <c r="D119" s="225"/>
      <c r="E119" s="181"/>
      <c r="F119" s="353"/>
      <c r="G119" s="354"/>
      <c r="H119" s="655"/>
      <c r="I119" s="363" t="str">
        <f t="shared" si="81"/>
        <v>-</v>
      </c>
      <c r="J119" s="363" t="str">
        <f t="shared" si="82"/>
        <v>-</v>
      </c>
      <c r="K119" s="199" t="str">
        <f t="shared" si="83"/>
        <v>-</v>
      </c>
      <c r="L119" s="657"/>
      <c r="M119" s="349" t="e">
        <f>RANK(K119, K$67:$K$81)</f>
        <v>#VALUE!</v>
      </c>
      <c r="N119" s="641"/>
      <c r="O119" s="641"/>
      <c r="P119" s="510"/>
      <c r="Q119" s="512"/>
      <c r="R119" s="512"/>
      <c r="S119" s="510"/>
      <c r="T119" s="642"/>
      <c r="U119" s="510"/>
      <c r="V119" s="512"/>
      <c r="W119" s="512"/>
      <c r="X119" s="510"/>
      <c r="Y119" s="642"/>
      <c r="Z119" s="510"/>
      <c r="AA119" s="512"/>
      <c r="AB119" s="512"/>
      <c r="AC119" s="510"/>
      <c r="AD119" s="642"/>
      <c r="AE119" s="510"/>
      <c r="AF119" s="512"/>
      <c r="AG119" s="512"/>
      <c r="AH119" s="510"/>
      <c r="AI119" s="642"/>
      <c r="AJ119" s="510"/>
      <c r="AK119" s="512"/>
      <c r="AL119" s="512"/>
      <c r="AM119" s="510"/>
      <c r="AN119" s="642"/>
      <c r="AO119" s="510"/>
      <c r="AP119" s="512"/>
      <c r="AQ119" s="512"/>
      <c r="AR119" s="510"/>
      <c r="AS119" s="642"/>
      <c r="AT119" s="510"/>
      <c r="AU119" s="512"/>
      <c r="AV119" s="512"/>
      <c r="AW119" s="510"/>
      <c r="AX119" s="642"/>
      <c r="AZ119" s="369" t="e">
        <f t="shared" si="84"/>
        <v>#N/A</v>
      </c>
      <c r="BA119" s="698"/>
    </row>
    <row r="120" spans="2:53">
      <c r="B120" s="676"/>
      <c r="C120" s="348">
        <v>14</v>
      </c>
      <c r="D120" s="225"/>
      <c r="E120" s="181"/>
      <c r="F120" s="353"/>
      <c r="G120" s="354"/>
      <c r="H120" s="655"/>
      <c r="I120" s="363" t="str">
        <f t="shared" si="81"/>
        <v>-</v>
      </c>
      <c r="J120" s="363" t="str">
        <f t="shared" si="82"/>
        <v>-</v>
      </c>
      <c r="K120" s="199" t="str">
        <f t="shared" si="83"/>
        <v>-</v>
      </c>
      <c r="L120" s="657"/>
      <c r="M120" s="349" t="e">
        <f>RANK(K120, K$67:$K$81)</f>
        <v>#VALUE!</v>
      </c>
      <c r="N120" s="641"/>
      <c r="O120" s="641"/>
      <c r="P120" s="510"/>
      <c r="Q120" s="512"/>
      <c r="R120" s="512"/>
      <c r="S120" s="510"/>
      <c r="T120" s="642"/>
      <c r="U120" s="510"/>
      <c r="V120" s="512"/>
      <c r="W120" s="512"/>
      <c r="X120" s="510"/>
      <c r="Y120" s="642"/>
      <c r="Z120" s="510"/>
      <c r="AA120" s="512"/>
      <c r="AB120" s="512"/>
      <c r="AC120" s="510"/>
      <c r="AD120" s="642"/>
      <c r="AE120" s="510"/>
      <c r="AF120" s="512"/>
      <c r="AG120" s="512"/>
      <c r="AH120" s="510"/>
      <c r="AI120" s="642"/>
      <c r="AJ120" s="510"/>
      <c r="AK120" s="512"/>
      <c r="AL120" s="512"/>
      <c r="AM120" s="510"/>
      <c r="AN120" s="642"/>
      <c r="AO120" s="510"/>
      <c r="AP120" s="512"/>
      <c r="AQ120" s="512"/>
      <c r="AR120" s="510"/>
      <c r="AS120" s="642"/>
      <c r="AT120" s="510"/>
      <c r="AU120" s="512"/>
      <c r="AV120" s="512"/>
      <c r="AW120" s="510"/>
      <c r="AX120" s="642"/>
      <c r="AZ120" s="369" t="e">
        <f t="shared" si="84"/>
        <v>#N/A</v>
      </c>
      <c r="BA120" s="698"/>
    </row>
    <row r="121" spans="2:53">
      <c r="B121" s="676"/>
      <c r="C121" s="348">
        <v>15</v>
      </c>
      <c r="D121" s="225"/>
      <c r="E121" s="181"/>
      <c r="F121" s="353"/>
      <c r="G121" s="354"/>
      <c r="H121" s="712"/>
      <c r="I121" s="365"/>
      <c r="J121" s="365"/>
      <c r="K121" s="365"/>
      <c r="L121" s="658"/>
      <c r="M121" s="349" t="e">
        <f>RANK(K121, K$47:$K$61)</f>
        <v>#N/A</v>
      </c>
      <c r="N121" s="641"/>
      <c r="O121" s="641"/>
      <c r="P121" s="510"/>
      <c r="Q121" s="512"/>
      <c r="R121" s="512"/>
      <c r="S121" s="510"/>
      <c r="T121" s="642"/>
      <c r="U121" s="510"/>
      <c r="V121" s="512"/>
      <c r="W121" s="512"/>
      <c r="X121" s="510"/>
      <c r="Y121" s="642"/>
      <c r="Z121" s="510"/>
      <c r="AA121" s="512"/>
      <c r="AB121" s="512"/>
      <c r="AC121" s="510"/>
      <c r="AD121" s="642"/>
      <c r="AE121" s="510"/>
      <c r="AF121" s="512"/>
      <c r="AG121" s="512"/>
      <c r="AH121" s="510"/>
      <c r="AI121" s="642"/>
      <c r="AJ121" s="510"/>
      <c r="AK121" s="512"/>
      <c r="AL121" s="512"/>
      <c r="AM121" s="510"/>
      <c r="AN121" s="642"/>
      <c r="AO121" s="510"/>
      <c r="AP121" s="512"/>
      <c r="AQ121" s="512"/>
      <c r="AR121" s="510"/>
      <c r="AS121" s="642"/>
      <c r="AT121" s="510"/>
      <c r="AU121" s="512"/>
      <c r="AV121" s="512"/>
      <c r="AW121" s="510"/>
      <c r="AX121" s="642"/>
      <c r="AZ121" s="369" t="e">
        <f t="shared" si="84"/>
        <v>#N/A</v>
      </c>
      <c r="BA121" s="698"/>
    </row>
    <row r="123" spans="2:53" ht="15.75">
      <c r="B123" s="649" t="s">
        <v>472</v>
      </c>
      <c r="C123" s="650"/>
      <c r="D123" s="650"/>
      <c r="E123" s="650"/>
      <c r="F123" s="650"/>
      <c r="G123" s="650"/>
      <c r="H123" s="651"/>
      <c r="I123" s="307"/>
      <c r="J123" s="307"/>
      <c r="K123" s="307"/>
      <c r="L123" s="307"/>
      <c r="M123" s="308"/>
    </row>
    <row r="124" spans="2:53" ht="15.75">
      <c r="B124" s="652"/>
      <c r="C124" s="652"/>
      <c r="D124" s="652"/>
      <c r="E124" s="652"/>
      <c r="F124" s="652"/>
      <c r="G124" s="652"/>
      <c r="H124" s="652"/>
      <c r="I124" s="309"/>
      <c r="J124" s="309"/>
      <c r="K124" s="309"/>
      <c r="L124" s="309"/>
      <c r="M124" s="310"/>
    </row>
    <row r="125" spans="2:53">
      <c r="B125" s="641" t="s">
        <v>473</v>
      </c>
      <c r="C125" s="641" t="s">
        <v>474</v>
      </c>
      <c r="D125" s="641"/>
      <c r="E125" s="641" t="s">
        <v>475</v>
      </c>
      <c r="F125" s="641"/>
      <c r="G125" s="641"/>
      <c r="H125" s="673" t="s">
        <v>476</v>
      </c>
      <c r="I125" s="653" t="s">
        <v>477</v>
      </c>
      <c r="J125" s="653"/>
      <c r="K125" s="653"/>
      <c r="L125" s="706" t="s">
        <v>476</v>
      </c>
      <c r="M125" s="709" t="s">
        <v>478</v>
      </c>
    </row>
    <row r="126" spans="2:53">
      <c r="B126" s="641"/>
      <c r="C126" s="641"/>
      <c r="D126" s="641"/>
      <c r="E126" s="641" t="s">
        <v>479</v>
      </c>
      <c r="F126" s="641"/>
      <c r="G126" s="641"/>
      <c r="H126" s="674"/>
      <c r="I126" s="653" t="s">
        <v>479</v>
      </c>
      <c r="J126" s="653"/>
      <c r="K126" s="653"/>
      <c r="L126" s="707"/>
      <c r="M126" s="710"/>
    </row>
    <row r="127" spans="2:53">
      <c r="B127" s="641"/>
      <c r="C127" s="641"/>
      <c r="D127" s="641"/>
      <c r="E127" s="304" t="s">
        <v>480</v>
      </c>
      <c r="F127" s="304" t="s">
        <v>481</v>
      </c>
      <c r="G127" s="304" t="s">
        <v>482</v>
      </c>
      <c r="H127" s="675"/>
      <c r="I127" s="311" t="s">
        <v>480</v>
      </c>
      <c r="J127" s="311" t="s">
        <v>481</v>
      </c>
      <c r="K127" s="311" t="s">
        <v>482</v>
      </c>
      <c r="L127" s="708"/>
      <c r="M127" s="711"/>
    </row>
    <row r="128" spans="2:53">
      <c r="B128" s="641" t="s">
        <v>490</v>
      </c>
      <c r="C128" s="303">
        <v>1</v>
      </c>
      <c r="D128" s="225"/>
      <c r="E128" s="181"/>
      <c r="F128" s="303"/>
      <c r="G128" s="306"/>
      <c r="H128" s="700" t="e">
        <f>AVERAGE(G128:G142)</f>
        <v>#DIV/0!</v>
      </c>
      <c r="I128" s="198" t="e">
        <f t="shared" ref="I128:J133" si="85">AVERAGEIF($D$7:$D$121,$D128,I$7:I$121)</f>
        <v>#DIV/0!</v>
      </c>
      <c r="J128" s="198" t="e">
        <f t="shared" si="85"/>
        <v>#DIV/0!</v>
      </c>
      <c r="K128" s="198" t="e">
        <f t="shared" ref="K128:K133" si="86"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13">
      <c r="B129" s="647"/>
      <c r="C129" s="303">
        <v>2</v>
      </c>
      <c r="D129" s="225"/>
      <c r="E129" s="181"/>
      <c r="F129" s="303"/>
      <c r="G129" s="306"/>
      <c r="H129" s="701"/>
      <c r="I129" s="198" t="e">
        <f t="shared" si="85"/>
        <v>#DIV/0!</v>
      </c>
      <c r="J129" s="198" t="e">
        <f t="shared" si="85"/>
        <v>#DIV/0!</v>
      </c>
      <c r="K129" s="198" t="e">
        <f t="shared" si="86"/>
        <v>#DIV/0!</v>
      </c>
      <c r="L129" s="704"/>
      <c r="M129" s="198" t="e">
        <f>RANK(K129, K$128:$K$142)</f>
        <v>#DIV/0!</v>
      </c>
    </row>
    <row r="130" spans="2:13">
      <c r="B130" s="647"/>
      <c r="C130" s="303">
        <v>3</v>
      </c>
      <c r="D130" s="225"/>
      <c r="E130" s="181"/>
      <c r="F130" s="303"/>
      <c r="G130" s="306"/>
      <c r="H130" s="701"/>
      <c r="I130" s="198" t="e">
        <f t="shared" si="85"/>
        <v>#DIV/0!</v>
      </c>
      <c r="J130" s="198" t="e">
        <f t="shared" si="85"/>
        <v>#DIV/0!</v>
      </c>
      <c r="K130" s="198" t="e">
        <f t="shared" si="86"/>
        <v>#DIV/0!</v>
      </c>
      <c r="L130" s="704"/>
      <c r="M130" s="198" t="e">
        <f>RANK(K130, K$128:$K$142)</f>
        <v>#DIV/0!</v>
      </c>
    </row>
    <row r="131" spans="2:13">
      <c r="B131" s="647"/>
      <c r="C131" s="303">
        <v>4</v>
      </c>
      <c r="D131" s="225"/>
      <c r="E131" s="181"/>
      <c r="F131" s="303"/>
      <c r="G131" s="306"/>
      <c r="H131" s="701"/>
      <c r="I131" s="198" t="e">
        <f t="shared" si="85"/>
        <v>#DIV/0!</v>
      </c>
      <c r="J131" s="198" t="e">
        <f t="shared" si="85"/>
        <v>#DIV/0!</v>
      </c>
      <c r="K131" s="198" t="e">
        <f t="shared" si="86"/>
        <v>#DIV/0!</v>
      </c>
      <c r="L131" s="704"/>
      <c r="M131" s="198" t="e">
        <f>RANK(K131, K$128:$K$142)</f>
        <v>#DIV/0!</v>
      </c>
    </row>
    <row r="132" spans="2:13">
      <c r="B132" s="647"/>
      <c r="C132" s="303">
        <v>5</v>
      </c>
      <c r="D132" s="225"/>
      <c r="E132" s="181"/>
      <c r="F132" s="303"/>
      <c r="G132" s="306"/>
      <c r="H132" s="701"/>
      <c r="I132" s="198" t="e">
        <f t="shared" si="85"/>
        <v>#DIV/0!</v>
      </c>
      <c r="J132" s="198" t="e">
        <f t="shared" si="85"/>
        <v>#DIV/0!</v>
      </c>
      <c r="K132" s="198" t="e">
        <f t="shared" si="86"/>
        <v>#DIV/0!</v>
      </c>
      <c r="L132" s="704"/>
      <c r="M132" s="198" t="e">
        <f>RANK(K132, K$128:$K$142)</f>
        <v>#DIV/0!</v>
      </c>
    </row>
    <row r="133" spans="2:13">
      <c r="B133" s="647"/>
      <c r="C133" s="303">
        <v>6</v>
      </c>
      <c r="D133" s="312"/>
      <c r="E133" s="181"/>
      <c r="F133" s="303"/>
      <c r="G133" s="306"/>
      <c r="H133" s="701"/>
      <c r="I133" s="198" t="e">
        <f t="shared" si="85"/>
        <v>#DIV/0!</v>
      </c>
      <c r="J133" s="198" t="e">
        <f t="shared" si="85"/>
        <v>#DIV/0!</v>
      </c>
      <c r="K133" s="198" t="e">
        <f t="shared" si="86"/>
        <v>#DIV/0!</v>
      </c>
      <c r="L133" s="704"/>
      <c r="M133" s="198" t="e">
        <f>RANK(K133, K$128:$K$142)</f>
        <v>#DIV/0!</v>
      </c>
    </row>
    <row r="134" spans="2:13">
      <c r="B134" s="647"/>
      <c r="C134" s="303">
        <v>7</v>
      </c>
      <c r="D134" s="225"/>
      <c r="E134" s="181"/>
      <c r="F134" s="303"/>
      <c r="G134" s="306"/>
      <c r="H134" s="701"/>
      <c r="I134" s="198"/>
      <c r="J134" s="198"/>
      <c r="K134" s="198"/>
      <c r="L134" s="704"/>
      <c r="M134" s="198" t="e">
        <f>RANK(K134, K$128:$K$142)</f>
        <v>#DIV/0!</v>
      </c>
    </row>
    <row r="135" spans="2:13">
      <c r="B135" s="647"/>
      <c r="C135" s="303">
        <v>8</v>
      </c>
      <c r="D135" s="225"/>
      <c r="E135" s="181"/>
      <c r="F135" s="303"/>
      <c r="G135" s="306"/>
      <c r="H135" s="701"/>
      <c r="I135" s="198"/>
      <c r="J135" s="198"/>
      <c r="K135" s="198"/>
      <c r="L135" s="704"/>
      <c r="M135" s="198" t="e">
        <f>RANK(K135, K$128:$K$142)</f>
        <v>#DIV/0!</v>
      </c>
    </row>
    <row r="136" spans="2:13">
      <c r="B136" s="647"/>
      <c r="C136" s="303">
        <v>9</v>
      </c>
      <c r="D136" s="225"/>
      <c r="E136" s="303"/>
      <c r="F136" s="303"/>
      <c r="G136" s="303"/>
      <c r="H136" s="701"/>
      <c r="I136" s="198"/>
      <c r="J136" s="198"/>
      <c r="K136" s="198"/>
      <c r="L136" s="704"/>
      <c r="M136" s="198" t="e">
        <f>RANK(K136, K$128:$K$142)</f>
        <v>#DIV/0!</v>
      </c>
    </row>
    <row r="137" spans="2:13">
      <c r="B137" s="647"/>
      <c r="C137" s="303">
        <v>10</v>
      </c>
      <c r="D137" s="225"/>
      <c r="E137" s="303"/>
      <c r="F137" s="303"/>
      <c r="G137" s="303"/>
      <c r="H137" s="701"/>
      <c r="I137" s="198"/>
      <c r="J137" s="198"/>
      <c r="K137" s="198"/>
      <c r="L137" s="704"/>
      <c r="M137" s="198" t="e">
        <f>RANK(K137, K$128:$K$142)</f>
        <v>#DIV/0!</v>
      </c>
    </row>
    <row r="138" spans="2:13">
      <c r="B138" s="647"/>
      <c r="C138" s="303">
        <v>11</v>
      </c>
      <c r="D138" s="225"/>
      <c r="E138" s="303"/>
      <c r="F138" s="303"/>
      <c r="G138" s="303"/>
      <c r="H138" s="701"/>
      <c r="I138" s="198"/>
      <c r="J138" s="198"/>
      <c r="K138" s="198"/>
      <c r="L138" s="704"/>
      <c r="M138" s="198" t="e">
        <f>RANK(K138, K$128:$K$142)</f>
        <v>#DIV/0!</v>
      </c>
    </row>
    <row r="139" spans="2:13">
      <c r="B139" s="647"/>
      <c r="C139" s="303">
        <v>12</v>
      </c>
      <c r="D139" s="225"/>
      <c r="E139" s="303"/>
      <c r="F139" s="303"/>
      <c r="G139" s="303"/>
      <c r="H139" s="701"/>
      <c r="I139" s="198"/>
      <c r="J139" s="198"/>
      <c r="K139" s="198"/>
      <c r="L139" s="704"/>
      <c r="M139" s="198" t="e">
        <f>RANK(K139, K$128:$K$142)</f>
        <v>#DIV/0!</v>
      </c>
    </row>
    <row r="140" spans="2:13">
      <c r="B140" s="647"/>
      <c r="C140" s="303">
        <v>13</v>
      </c>
      <c r="D140" s="225"/>
      <c r="E140" s="303"/>
      <c r="F140" s="303"/>
      <c r="G140" s="303"/>
      <c r="H140" s="701"/>
      <c r="I140" s="198"/>
      <c r="J140" s="198"/>
      <c r="K140" s="198"/>
      <c r="L140" s="704"/>
      <c r="M140" s="198" t="e">
        <f>RANK(K140, K$128:$K$142)</f>
        <v>#DIV/0!</v>
      </c>
    </row>
    <row r="141" spans="2:13">
      <c r="B141" s="647"/>
      <c r="C141" s="303">
        <v>14</v>
      </c>
      <c r="D141" s="225"/>
      <c r="E141" s="303"/>
      <c r="F141" s="303"/>
      <c r="G141" s="303"/>
      <c r="H141" s="701"/>
      <c r="I141" s="198"/>
      <c r="J141" s="198"/>
      <c r="K141" s="198"/>
      <c r="L141" s="704"/>
      <c r="M141" s="198" t="e">
        <f>RANK(K141, K$128:$K$142)</f>
        <v>#DIV/0!</v>
      </c>
    </row>
    <row r="142" spans="2:13">
      <c r="B142" s="647"/>
      <c r="C142" s="303">
        <v>15</v>
      </c>
      <c r="D142" s="225"/>
      <c r="E142" s="303"/>
      <c r="F142" s="303"/>
      <c r="G142" s="303"/>
      <c r="H142" s="702"/>
      <c r="I142" s="198"/>
      <c r="J142" s="198"/>
      <c r="K142" s="198"/>
      <c r="L142" s="705"/>
      <c r="M142" s="198" t="e">
        <f>RANK(K142, K$128:$K$142)</f>
        <v>#DIV/0!</v>
      </c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608" t="s">
        <v>185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119"/>
    </row>
    <row r="2" spans="1:13" s="120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</row>
    <row r="3" spans="1:13" ht="15.75" customHeight="1">
      <c r="A3" s="724" t="s">
        <v>186</v>
      </c>
      <c r="B3" s="725"/>
      <c r="C3" s="725"/>
      <c r="D3" s="725"/>
      <c r="E3" s="725"/>
      <c r="F3" s="725"/>
      <c r="G3" s="725"/>
      <c r="H3" s="725"/>
      <c r="I3" s="725"/>
      <c r="J3" s="725"/>
      <c r="K3" s="725"/>
      <c r="L3" s="725"/>
      <c r="M3" s="151"/>
    </row>
    <row r="4" spans="1:13" s="120" customFormat="1" ht="15.75" customHeight="1">
      <c r="A4" s="725"/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130"/>
    </row>
    <row r="5" spans="1:13" s="153" customFormat="1" ht="16.350000000000001" customHeight="1">
      <c r="A5" s="721" t="s">
        <v>154</v>
      </c>
      <c r="B5" s="165">
        <v>1</v>
      </c>
      <c r="C5" s="16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21"/>
      <c r="B6" s="166" t="s">
        <v>187</v>
      </c>
      <c r="C6" s="16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22" t="s">
        <v>168</v>
      </c>
      <c r="B7" s="722"/>
      <c r="C7" s="346" t="s">
        <v>385</v>
      </c>
      <c r="D7" s="722" t="s">
        <v>12</v>
      </c>
      <c r="E7" s="723"/>
      <c r="F7" s="723"/>
      <c r="G7" s="346" t="s">
        <v>46</v>
      </c>
      <c r="H7" s="346" t="s">
        <v>507</v>
      </c>
      <c r="I7" s="346" t="s">
        <v>382</v>
      </c>
      <c r="J7" s="221" t="s">
        <v>383</v>
      </c>
      <c r="K7" s="722" t="s">
        <v>384</v>
      </c>
      <c r="L7" s="723"/>
      <c r="M7" s="152"/>
    </row>
    <row r="8" spans="1:13" ht="15.75" customHeight="1">
      <c r="A8" s="721">
        <v>1</v>
      </c>
      <c r="B8" s="722" t="s">
        <v>150</v>
      </c>
      <c r="C8" s="578">
        <v>1</v>
      </c>
      <c r="D8" s="362" t="s">
        <v>602</v>
      </c>
      <c r="E8" s="343"/>
      <c r="F8" s="344"/>
      <c r="G8" s="357">
        <v>3</v>
      </c>
      <c r="H8" s="357">
        <v>3239.5904761904744</v>
      </c>
      <c r="I8" s="357">
        <v>1079.8634920634913</v>
      </c>
      <c r="J8" s="240" t="s">
        <v>727</v>
      </c>
      <c r="K8" s="728" t="s">
        <v>751</v>
      </c>
      <c r="L8" s="729"/>
      <c r="M8" s="130"/>
    </row>
    <row r="9" spans="1:13" ht="15.75" customHeight="1">
      <c r="A9" s="721"/>
      <c r="B9" s="722"/>
      <c r="C9" s="578">
        <v>2</v>
      </c>
      <c r="D9" s="356" t="s">
        <v>339</v>
      </c>
      <c r="E9" s="343"/>
      <c r="F9" s="344"/>
      <c r="G9" s="357">
        <v>3</v>
      </c>
      <c r="H9" s="357">
        <v>3234.8571428571408</v>
      </c>
      <c r="I9" s="357">
        <v>1078.2857142857135</v>
      </c>
      <c r="J9" s="240" t="s">
        <v>727</v>
      </c>
      <c r="K9" s="730"/>
      <c r="L9" s="731"/>
      <c r="M9" s="130"/>
    </row>
    <row r="10" spans="1:13" ht="15.75" customHeight="1">
      <c r="A10" s="721"/>
      <c r="B10" s="722"/>
      <c r="C10" s="578">
        <v>3</v>
      </c>
      <c r="D10" s="362" t="s">
        <v>337</v>
      </c>
      <c r="E10" s="343"/>
      <c r="F10" s="344"/>
      <c r="G10" s="357">
        <v>3</v>
      </c>
      <c r="H10" s="357">
        <v>3219.2481203007483</v>
      </c>
      <c r="I10" s="357">
        <v>1073.0827067669161</v>
      </c>
      <c r="J10" s="240" t="s">
        <v>727</v>
      </c>
      <c r="K10" s="730"/>
      <c r="L10" s="731"/>
      <c r="M10" s="130"/>
    </row>
    <row r="11" spans="1:13" ht="15.75" customHeight="1">
      <c r="A11" s="721"/>
      <c r="B11" s="722"/>
      <c r="C11" s="578">
        <v>4</v>
      </c>
      <c r="D11" s="468" t="s">
        <v>336</v>
      </c>
      <c r="E11" s="343"/>
      <c r="F11" s="344"/>
      <c r="G11" s="357">
        <v>3</v>
      </c>
      <c r="H11" s="357">
        <v>3216.4040213754483</v>
      </c>
      <c r="I11" s="357">
        <v>1072.1346737918161</v>
      </c>
      <c r="J11" s="241" t="s">
        <v>728</v>
      </c>
      <c r="K11" s="730"/>
      <c r="L11" s="731"/>
      <c r="M11" s="130"/>
    </row>
    <row r="12" spans="1:13" ht="15.75" customHeight="1">
      <c r="A12" s="721"/>
      <c r="B12" s="722"/>
      <c r="C12" s="578">
        <v>5</v>
      </c>
      <c r="D12" s="362" t="s">
        <v>335</v>
      </c>
      <c r="E12" s="343"/>
      <c r="F12" s="344"/>
      <c r="G12" s="357">
        <v>3</v>
      </c>
      <c r="H12" s="357">
        <v>3212.9472395018606</v>
      </c>
      <c r="I12" s="357">
        <v>1070.9824131672869</v>
      </c>
      <c r="J12" s="240" t="s">
        <v>727</v>
      </c>
      <c r="K12" s="732"/>
      <c r="L12" s="733"/>
      <c r="M12" s="130"/>
    </row>
    <row r="13" spans="1:13" ht="15.75" customHeight="1">
      <c r="A13" s="721"/>
      <c r="B13" s="722"/>
      <c r="C13" s="164" t="s">
        <v>721</v>
      </c>
      <c r="D13" s="356" t="s">
        <v>594</v>
      </c>
      <c r="E13" s="343"/>
      <c r="F13" s="344"/>
      <c r="G13" s="357">
        <v>10.857142857142858</v>
      </c>
      <c r="H13" s="357">
        <v>1433.5342229735229</v>
      </c>
      <c r="I13" s="357">
        <v>136.74275712419305</v>
      </c>
      <c r="J13" s="376" t="s">
        <v>726</v>
      </c>
      <c r="K13" s="726"/>
      <c r="L13" s="723"/>
      <c r="M13" s="130"/>
    </row>
    <row r="14" spans="1:13" ht="15.75" customHeight="1">
      <c r="A14" s="721"/>
      <c r="B14" s="722"/>
      <c r="C14" s="164" t="s">
        <v>722</v>
      </c>
      <c r="D14" s="356" t="s">
        <v>635</v>
      </c>
      <c r="E14" s="343"/>
      <c r="F14" s="344"/>
      <c r="G14" s="357">
        <v>5</v>
      </c>
      <c r="H14" s="357">
        <v>1748.775510204086</v>
      </c>
      <c r="I14" s="357">
        <v>349.75510204081723</v>
      </c>
      <c r="J14" s="239" t="s">
        <v>726</v>
      </c>
      <c r="K14" s="727"/>
      <c r="L14" s="727"/>
      <c r="M14" s="130"/>
    </row>
    <row r="15" spans="1:13" ht="15.75" customHeight="1">
      <c r="A15" s="721"/>
      <c r="B15" s="722"/>
      <c r="C15" s="164" t="s">
        <v>723</v>
      </c>
      <c r="D15" s="466" t="s">
        <v>634</v>
      </c>
      <c r="E15" s="343"/>
      <c r="F15" s="344"/>
      <c r="G15" s="357">
        <v>5</v>
      </c>
      <c r="H15" s="357">
        <v>1771.4502164502226</v>
      </c>
      <c r="I15" s="357">
        <v>354.29004329004454</v>
      </c>
      <c r="J15" s="239" t="s">
        <v>726</v>
      </c>
      <c r="K15" s="727"/>
      <c r="L15" s="727"/>
      <c r="M15" s="130"/>
    </row>
    <row r="16" spans="1:13" ht="15.75" customHeight="1">
      <c r="A16" s="721"/>
      <c r="B16" s="722"/>
      <c r="C16" s="164" t="s">
        <v>724</v>
      </c>
      <c r="D16" s="356" t="s">
        <v>631</v>
      </c>
      <c r="E16" s="343"/>
      <c r="F16" s="344"/>
      <c r="G16" s="357">
        <v>4</v>
      </c>
      <c r="H16" s="357">
        <v>2255.4095238095215</v>
      </c>
      <c r="I16" s="357">
        <v>563.85238095238037</v>
      </c>
      <c r="J16" s="239" t="s">
        <v>726</v>
      </c>
      <c r="K16" s="727"/>
      <c r="L16" s="727"/>
      <c r="M16" s="151"/>
    </row>
    <row r="17" spans="1:13" ht="15.75" customHeight="1">
      <c r="A17" s="721"/>
      <c r="B17" s="722"/>
      <c r="C17" s="164" t="s">
        <v>725</v>
      </c>
      <c r="D17" s="468" t="s">
        <v>742</v>
      </c>
      <c r="E17" s="343"/>
      <c r="F17" s="344"/>
      <c r="G17" s="357">
        <v>4</v>
      </c>
      <c r="H17" s="357">
        <v>2799.7957247721229</v>
      </c>
      <c r="I17" s="357">
        <v>699.94893119303072</v>
      </c>
      <c r="J17" s="241" t="s">
        <v>728</v>
      </c>
      <c r="K17" s="726" t="s">
        <v>730</v>
      </c>
      <c r="L17" s="723"/>
      <c r="M17" s="151"/>
    </row>
    <row r="18" spans="1:13" s="161" customFormat="1" ht="15.75" customHeight="1">
      <c r="A18" s="736" t="s">
        <v>167</v>
      </c>
      <c r="B18" s="736"/>
      <c r="C18" s="579" t="s">
        <v>47</v>
      </c>
      <c r="D18" s="736" t="s">
        <v>12</v>
      </c>
      <c r="E18" s="737"/>
      <c r="F18" s="737"/>
      <c r="G18" s="579" t="s">
        <v>46</v>
      </c>
      <c r="H18" s="579" t="s">
        <v>507</v>
      </c>
      <c r="I18" s="579" t="s">
        <v>382</v>
      </c>
      <c r="J18" s="221" t="s">
        <v>383</v>
      </c>
      <c r="K18" s="736" t="s">
        <v>51</v>
      </c>
      <c r="L18" s="737"/>
      <c r="M18" s="154"/>
    </row>
    <row r="19" spans="1:13" ht="15.75" customHeight="1">
      <c r="A19" s="721">
        <v>2</v>
      </c>
      <c r="B19" s="722" t="s">
        <v>151</v>
      </c>
      <c r="C19" s="578">
        <v>1</v>
      </c>
      <c r="D19" s="342" t="s">
        <v>591</v>
      </c>
      <c r="E19" s="343"/>
      <c r="F19" s="344"/>
      <c r="G19" s="357">
        <v>13</v>
      </c>
      <c r="H19" s="357">
        <v>1799.7038961038957</v>
      </c>
      <c r="I19" s="357">
        <v>138.4387612387612</v>
      </c>
      <c r="J19" s="240" t="s">
        <v>727</v>
      </c>
      <c r="K19" s="728" t="s">
        <v>787</v>
      </c>
      <c r="L19" s="729"/>
      <c r="M19" s="151"/>
    </row>
    <row r="20" spans="1:13" ht="15.75" customHeight="1">
      <c r="A20" s="721"/>
      <c r="B20" s="722"/>
      <c r="C20" s="578">
        <v>2</v>
      </c>
      <c r="D20" s="342" t="s">
        <v>571</v>
      </c>
      <c r="E20" s="343"/>
      <c r="F20" s="344"/>
      <c r="G20" s="357">
        <v>10</v>
      </c>
      <c r="H20" s="357">
        <v>1381.3142857142848</v>
      </c>
      <c r="I20" s="357">
        <v>138.13142857142847</v>
      </c>
      <c r="J20" s="241" t="s">
        <v>728</v>
      </c>
      <c r="K20" s="730"/>
      <c r="L20" s="731"/>
      <c r="M20" s="151"/>
    </row>
    <row r="21" spans="1:13" ht="15.75" customHeight="1">
      <c r="A21" s="721"/>
      <c r="B21" s="722"/>
      <c r="C21" s="578">
        <v>3</v>
      </c>
      <c r="D21" s="358" t="s">
        <v>592</v>
      </c>
      <c r="E21" s="343"/>
      <c r="F21" s="344"/>
      <c r="G21" s="357">
        <v>13</v>
      </c>
      <c r="H21" s="357">
        <v>1780.7964035964044</v>
      </c>
      <c r="I21" s="357">
        <v>136.98433873818493</v>
      </c>
      <c r="J21" s="239" t="s">
        <v>726</v>
      </c>
      <c r="K21" s="732"/>
      <c r="L21" s="733"/>
      <c r="M21" s="151"/>
    </row>
    <row r="22" spans="1:13" ht="15.75" customHeight="1">
      <c r="A22" s="721"/>
      <c r="B22" s="722"/>
      <c r="C22" s="578">
        <v>4</v>
      </c>
      <c r="D22" s="358" t="s">
        <v>718</v>
      </c>
      <c r="E22" s="343"/>
      <c r="F22" s="344"/>
      <c r="G22" s="357">
        <v>13</v>
      </c>
      <c r="H22" s="357">
        <v>1640.0841479194576</v>
      </c>
      <c r="I22" s="357">
        <v>126.16031907072751</v>
      </c>
      <c r="J22" s="239" t="s">
        <v>726</v>
      </c>
      <c r="K22" s="734"/>
      <c r="L22" s="735"/>
      <c r="M22" s="151"/>
    </row>
    <row r="23" spans="1:13" ht="15.75" customHeight="1">
      <c r="A23" s="721"/>
      <c r="B23" s="722"/>
      <c r="C23" s="578">
        <v>5</v>
      </c>
      <c r="D23" s="358"/>
      <c r="E23" s="343"/>
      <c r="F23" s="344"/>
      <c r="G23" s="357"/>
      <c r="H23" s="357"/>
      <c r="I23" s="357"/>
      <c r="J23" s="239"/>
      <c r="K23" s="734"/>
      <c r="L23" s="735"/>
      <c r="M23" s="151"/>
    </row>
    <row r="24" spans="1:13" ht="15.75" customHeight="1">
      <c r="A24" s="721"/>
      <c r="B24" s="722"/>
      <c r="C24" s="164" t="s">
        <v>721</v>
      </c>
      <c r="D24" s="342"/>
      <c r="E24" s="343"/>
      <c r="F24" s="344"/>
      <c r="G24" s="357"/>
      <c r="H24" s="357"/>
      <c r="I24" s="357"/>
      <c r="J24" s="239"/>
      <c r="K24" s="738"/>
      <c r="L24" s="735"/>
      <c r="M24" s="151"/>
    </row>
    <row r="25" spans="1:13" ht="15.75" customHeight="1">
      <c r="A25" s="721"/>
      <c r="B25" s="722"/>
      <c r="C25" s="164" t="s">
        <v>722</v>
      </c>
      <c r="D25" s="342"/>
      <c r="E25" s="343"/>
      <c r="F25" s="344"/>
      <c r="G25" s="357"/>
      <c r="H25" s="357"/>
      <c r="I25" s="357"/>
      <c r="J25" s="239"/>
      <c r="K25" s="734"/>
      <c r="L25" s="735"/>
      <c r="M25" s="151"/>
    </row>
    <row r="26" spans="1:13" ht="15.75" customHeight="1">
      <c r="A26" s="721"/>
      <c r="B26" s="722"/>
      <c r="C26" s="164" t="s">
        <v>723</v>
      </c>
      <c r="E26" s="343"/>
      <c r="F26" s="344"/>
      <c r="G26" s="357"/>
      <c r="H26" s="357"/>
      <c r="I26" s="357"/>
      <c r="J26" s="580"/>
      <c r="K26" s="734"/>
      <c r="L26" s="735"/>
      <c r="M26" s="151"/>
    </row>
    <row r="27" spans="1:13" ht="15.75" customHeight="1">
      <c r="A27" s="721"/>
      <c r="B27" s="722"/>
      <c r="C27" s="164" t="s">
        <v>724</v>
      </c>
      <c r="D27" s="342"/>
      <c r="E27" s="343"/>
      <c r="F27" s="344"/>
      <c r="G27" s="357"/>
      <c r="H27" s="357"/>
      <c r="I27" s="357"/>
      <c r="J27" s="580"/>
      <c r="K27" s="734"/>
      <c r="L27" s="735"/>
      <c r="M27" s="151"/>
    </row>
    <row r="28" spans="1:13" ht="15.75" customHeight="1">
      <c r="A28" s="721"/>
      <c r="B28" s="722"/>
      <c r="C28" s="164" t="s">
        <v>725</v>
      </c>
      <c r="D28" s="342"/>
      <c r="E28" s="343"/>
      <c r="F28" s="344"/>
      <c r="G28" s="580"/>
      <c r="H28" s="580"/>
      <c r="I28" s="580"/>
      <c r="J28" s="580"/>
      <c r="K28" s="734"/>
      <c r="L28" s="735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7"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21"/>
    <mergeCell ref="K13:L13"/>
    <mergeCell ref="A8:A17"/>
    <mergeCell ref="B8:B17"/>
    <mergeCell ref="K14:L14"/>
    <mergeCell ref="K17:L17"/>
    <mergeCell ref="K8:L12"/>
    <mergeCell ref="K15:L15"/>
    <mergeCell ref="K16:L16"/>
    <mergeCell ref="A1:L2"/>
    <mergeCell ref="A5:A6"/>
    <mergeCell ref="A7:B7"/>
    <mergeCell ref="D7:F7"/>
    <mergeCell ref="K7:L7"/>
    <mergeCell ref="A3:L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K20" sqref="K20:L20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608" t="s">
        <v>185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119"/>
    </row>
    <row r="2" spans="1:13" s="120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</row>
    <row r="3" spans="1:13" ht="15.75" customHeight="1">
      <c r="A3" s="724" t="s">
        <v>186</v>
      </c>
      <c r="B3" s="725"/>
      <c r="C3" s="725"/>
      <c r="D3" s="725"/>
      <c r="E3" s="725"/>
      <c r="F3" s="725"/>
      <c r="G3" s="725"/>
      <c r="H3" s="725"/>
      <c r="I3" s="725"/>
      <c r="J3" s="725"/>
      <c r="K3" s="725"/>
      <c r="L3" s="725"/>
      <c r="M3" s="151"/>
    </row>
    <row r="4" spans="1:13" s="120" customFormat="1" ht="15.75" customHeight="1">
      <c r="A4" s="725"/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130"/>
    </row>
    <row r="5" spans="1:13" s="153" customFormat="1" ht="16.350000000000001" customHeight="1">
      <c r="A5" s="721" t="s">
        <v>154</v>
      </c>
      <c r="B5" s="155">
        <v>1</v>
      </c>
      <c r="C5" s="155">
        <v>2</v>
      </c>
      <c r="D5" s="165">
        <v>3</v>
      </c>
      <c r="E5" s="16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21"/>
      <c r="B6" s="156" t="s">
        <v>187</v>
      </c>
      <c r="C6" s="156" t="s">
        <v>151</v>
      </c>
      <c r="D6" s="166" t="s">
        <v>188</v>
      </c>
      <c r="E6" s="16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22" t="s">
        <v>168</v>
      </c>
      <c r="B7" s="722"/>
      <c r="C7" s="346" t="s">
        <v>385</v>
      </c>
      <c r="D7" s="722" t="s">
        <v>12</v>
      </c>
      <c r="E7" s="723"/>
      <c r="F7" s="723"/>
      <c r="G7" s="361" t="s">
        <v>552</v>
      </c>
      <c r="H7" s="361" t="s">
        <v>553</v>
      </c>
      <c r="I7" s="361" t="s">
        <v>554</v>
      </c>
      <c r="J7" s="221" t="s">
        <v>555</v>
      </c>
      <c r="K7" s="722" t="s">
        <v>556</v>
      </c>
      <c r="L7" s="723"/>
      <c r="M7" s="152"/>
    </row>
    <row r="8" spans="1:13" ht="15.75" customHeight="1">
      <c r="A8" s="721">
        <v>3</v>
      </c>
      <c r="B8" s="722" t="s">
        <v>152</v>
      </c>
      <c r="C8" s="578">
        <v>1</v>
      </c>
      <c r="D8" s="342" t="s">
        <v>358</v>
      </c>
      <c r="E8" s="343"/>
      <c r="F8" s="344"/>
      <c r="G8" s="357">
        <v>5</v>
      </c>
      <c r="H8" s="357">
        <v>2079.5349737274469</v>
      </c>
      <c r="I8" s="357">
        <v>415.90699474548944</v>
      </c>
      <c r="J8" s="239" t="s">
        <v>726</v>
      </c>
      <c r="K8" s="742"/>
      <c r="L8" s="743"/>
      <c r="M8" s="130"/>
    </row>
    <row r="9" spans="1:13" ht="15.75" customHeight="1">
      <c r="A9" s="721"/>
      <c r="B9" s="722"/>
      <c r="C9" s="578">
        <v>2</v>
      </c>
      <c r="D9" s="342" t="s">
        <v>428</v>
      </c>
      <c r="E9" s="343"/>
      <c r="F9" s="344"/>
      <c r="G9" s="357">
        <v>5</v>
      </c>
      <c r="H9" s="357">
        <v>2068.6540405836076</v>
      </c>
      <c r="I9" s="357">
        <v>413.73080811672156</v>
      </c>
      <c r="J9" s="239" t="s">
        <v>726</v>
      </c>
      <c r="K9" s="742"/>
      <c r="L9" s="743"/>
      <c r="M9" s="130"/>
    </row>
    <row r="10" spans="1:13" ht="15.75" customHeight="1">
      <c r="A10" s="721"/>
      <c r="B10" s="722"/>
      <c r="C10" s="578">
        <v>3</v>
      </c>
      <c r="D10" s="342" t="s">
        <v>361</v>
      </c>
      <c r="E10" s="343"/>
      <c r="F10" s="344"/>
      <c r="G10" s="357">
        <v>10</v>
      </c>
      <c r="H10" s="357">
        <v>2531.6666807384058</v>
      </c>
      <c r="I10" s="357">
        <v>253.16666807384058</v>
      </c>
      <c r="J10" s="240" t="s">
        <v>727</v>
      </c>
      <c r="K10" s="739" t="s">
        <v>788</v>
      </c>
      <c r="L10" s="740"/>
      <c r="M10" s="130"/>
    </row>
    <row r="11" spans="1:13" ht="15.75" customHeight="1">
      <c r="A11" s="721"/>
      <c r="B11" s="722"/>
      <c r="C11" s="578">
        <v>4</v>
      </c>
      <c r="D11" s="342" t="s">
        <v>707</v>
      </c>
      <c r="E11" s="343"/>
      <c r="F11" s="344"/>
      <c r="G11" s="357">
        <v>7</v>
      </c>
      <c r="H11" s="357">
        <v>1694.1700680272122</v>
      </c>
      <c r="I11" s="357">
        <v>242.02429543245884</v>
      </c>
      <c r="J11" s="241" t="s">
        <v>728</v>
      </c>
      <c r="K11" s="747" t="s">
        <v>730</v>
      </c>
      <c r="L11" s="737"/>
      <c r="M11" s="130"/>
    </row>
    <row r="12" spans="1:13" ht="15.75" customHeight="1">
      <c r="A12" s="721"/>
      <c r="B12" s="722"/>
      <c r="C12" s="578">
        <v>5</v>
      </c>
      <c r="D12" s="342" t="s">
        <v>785</v>
      </c>
      <c r="E12" s="343"/>
      <c r="F12" s="344"/>
      <c r="G12" s="357">
        <v>11</v>
      </c>
      <c r="H12" s="357">
        <v>2122.3854656380272</v>
      </c>
      <c r="I12" s="357">
        <v>192.9441332398207</v>
      </c>
      <c r="J12" s="239" t="s">
        <v>726</v>
      </c>
      <c r="K12" s="748" t="s">
        <v>789</v>
      </c>
      <c r="L12" s="749"/>
      <c r="M12" s="130"/>
    </row>
    <row r="13" spans="1:13" ht="15.75" customHeight="1">
      <c r="A13" s="721"/>
      <c r="B13" s="722"/>
      <c r="C13" s="164" t="s">
        <v>721</v>
      </c>
      <c r="D13" s="342" t="s">
        <v>357</v>
      </c>
      <c r="E13" s="343"/>
      <c r="F13" s="344"/>
      <c r="G13" s="357">
        <v>18</v>
      </c>
      <c r="H13" s="357">
        <v>1113.9767758718074</v>
      </c>
      <c r="I13" s="357">
        <v>61.88759865954485</v>
      </c>
      <c r="J13" s="239" t="s">
        <v>726</v>
      </c>
      <c r="K13" s="741"/>
      <c r="L13" s="737"/>
      <c r="M13" s="130"/>
    </row>
    <row r="14" spans="1:13" ht="15.75" customHeight="1">
      <c r="A14" s="721"/>
      <c r="B14" s="722"/>
      <c r="C14" s="164" t="s">
        <v>722</v>
      </c>
      <c r="D14" s="342" t="s">
        <v>360</v>
      </c>
      <c r="E14" s="343"/>
      <c r="F14" s="344"/>
      <c r="G14" s="357">
        <v>13</v>
      </c>
      <c r="H14" s="357">
        <v>2114.0104472082139</v>
      </c>
      <c r="I14" s="357">
        <v>162.6161882467857</v>
      </c>
      <c r="J14" s="239" t="s">
        <v>726</v>
      </c>
      <c r="K14" s="741"/>
      <c r="L14" s="737"/>
      <c r="M14" s="130"/>
    </row>
    <row r="15" spans="1:13" ht="15.75" customHeight="1">
      <c r="A15" s="721"/>
      <c r="B15" s="722"/>
      <c r="C15" s="164" t="s">
        <v>723</v>
      </c>
      <c r="D15" s="342" t="s">
        <v>572</v>
      </c>
      <c r="E15" s="343"/>
      <c r="F15" s="344"/>
      <c r="G15" s="357">
        <v>13</v>
      </c>
      <c r="H15" s="357">
        <v>2114.1061558618562</v>
      </c>
      <c r="I15" s="357">
        <v>162.62355045091201</v>
      </c>
      <c r="J15" s="239" t="s">
        <v>726</v>
      </c>
      <c r="K15" s="741"/>
      <c r="L15" s="737"/>
      <c r="M15" s="130"/>
    </row>
    <row r="16" spans="1:13" ht="15.75" customHeight="1">
      <c r="A16" s="721"/>
      <c r="B16" s="722"/>
      <c r="C16" s="164" t="s">
        <v>724</v>
      </c>
      <c r="D16" s="342" t="s">
        <v>693</v>
      </c>
      <c r="E16" s="343"/>
      <c r="F16" s="344"/>
      <c r="G16" s="357">
        <v>11</v>
      </c>
      <c r="H16" s="357">
        <v>2068.7030834879752</v>
      </c>
      <c r="I16" s="357">
        <v>188.06391668072501</v>
      </c>
      <c r="J16" s="239" t="s">
        <v>726</v>
      </c>
      <c r="K16" s="741"/>
      <c r="L16" s="737"/>
      <c r="M16" s="151"/>
    </row>
    <row r="17" spans="1:13" ht="15.75" customHeight="1">
      <c r="A17" s="721"/>
      <c r="B17" s="722"/>
      <c r="C17" s="164" t="s">
        <v>725</v>
      </c>
      <c r="D17" s="342"/>
      <c r="E17" s="343"/>
      <c r="F17" s="344"/>
      <c r="G17" s="357"/>
      <c r="H17" s="357"/>
      <c r="I17" s="357"/>
      <c r="J17" s="239"/>
      <c r="K17" s="741"/>
      <c r="L17" s="737"/>
      <c r="M17" s="151"/>
    </row>
    <row r="18" spans="1:13" s="161" customFormat="1" ht="15.75" customHeight="1">
      <c r="A18" s="736" t="s">
        <v>167</v>
      </c>
      <c r="B18" s="736"/>
      <c r="C18" s="579" t="s">
        <v>47</v>
      </c>
      <c r="D18" s="736" t="s">
        <v>12</v>
      </c>
      <c r="E18" s="737"/>
      <c r="F18" s="737"/>
      <c r="G18" s="579" t="s">
        <v>46</v>
      </c>
      <c r="H18" s="579" t="s">
        <v>507</v>
      </c>
      <c r="I18" s="579" t="s">
        <v>382</v>
      </c>
      <c r="J18" s="221" t="s">
        <v>383</v>
      </c>
      <c r="K18" s="736" t="s">
        <v>51</v>
      </c>
      <c r="L18" s="737"/>
      <c r="M18" s="154"/>
    </row>
    <row r="19" spans="1:13" ht="15.75" customHeight="1">
      <c r="A19" s="721">
        <v>4</v>
      </c>
      <c r="B19" s="722" t="s">
        <v>153</v>
      </c>
      <c r="C19" s="578">
        <v>1</v>
      </c>
      <c r="D19" s="467" t="s">
        <v>694</v>
      </c>
      <c r="E19" s="343"/>
      <c r="F19" s="344"/>
      <c r="G19" s="357">
        <v>13</v>
      </c>
      <c r="H19" s="357">
        <v>1996.7499999999986</v>
      </c>
      <c r="I19" s="357">
        <v>153.59615384615375</v>
      </c>
      <c r="J19" s="240" t="s">
        <v>727</v>
      </c>
      <c r="K19" s="745"/>
      <c r="L19" s="735"/>
      <c r="M19" s="151"/>
    </row>
    <row r="20" spans="1:13" ht="15.75" customHeight="1">
      <c r="A20" s="721"/>
      <c r="B20" s="722"/>
      <c r="C20" s="578">
        <v>2</v>
      </c>
      <c r="D20" s="467" t="s">
        <v>705</v>
      </c>
      <c r="E20" s="343"/>
      <c r="F20" s="344"/>
      <c r="G20" s="357">
        <v>13</v>
      </c>
      <c r="H20" s="357">
        <v>1897.1999999999975</v>
      </c>
      <c r="I20" s="357">
        <v>145.93846153846135</v>
      </c>
      <c r="J20" s="241" t="s">
        <v>728</v>
      </c>
      <c r="K20" s="746" t="s">
        <v>790</v>
      </c>
      <c r="L20" s="723"/>
      <c r="M20" s="151"/>
    </row>
    <row r="21" spans="1:13" ht="15.75" customHeight="1">
      <c r="A21" s="721"/>
      <c r="B21" s="722"/>
      <c r="C21" s="578">
        <v>3</v>
      </c>
      <c r="D21" s="358"/>
      <c r="E21" s="343"/>
      <c r="F21" s="344"/>
      <c r="G21" s="357"/>
      <c r="H21" s="357"/>
      <c r="I21" s="357"/>
      <c r="J21" s="241"/>
      <c r="K21" s="734"/>
      <c r="L21" s="735"/>
      <c r="M21" s="151"/>
    </row>
    <row r="22" spans="1:13" ht="15.75" customHeight="1">
      <c r="A22" s="721"/>
      <c r="B22" s="722"/>
      <c r="C22" s="578">
        <v>4</v>
      </c>
      <c r="D22" s="358"/>
      <c r="E22" s="343"/>
      <c r="F22" s="344"/>
      <c r="G22" s="580"/>
      <c r="H22" s="357"/>
      <c r="I22" s="357"/>
      <c r="J22" s="239"/>
      <c r="K22" s="734"/>
      <c r="L22" s="735"/>
      <c r="M22" s="151"/>
    </row>
    <row r="23" spans="1:13" ht="15.75" customHeight="1">
      <c r="A23" s="721"/>
      <c r="B23" s="722"/>
      <c r="C23" s="578">
        <v>5</v>
      </c>
      <c r="D23" s="342"/>
      <c r="E23" s="343"/>
      <c r="F23" s="344"/>
      <c r="G23" s="580"/>
      <c r="H23" s="580"/>
      <c r="I23" s="580"/>
      <c r="J23" s="580"/>
      <c r="K23" s="734"/>
      <c r="L23" s="735"/>
      <c r="M23" s="151"/>
    </row>
    <row r="24" spans="1:13" ht="15.75" customHeight="1">
      <c r="A24" s="721"/>
      <c r="B24" s="722"/>
      <c r="C24" s="164" t="s">
        <v>721</v>
      </c>
      <c r="D24" s="358"/>
      <c r="E24" s="343"/>
      <c r="F24" s="344"/>
      <c r="G24" s="357"/>
      <c r="H24" s="357"/>
      <c r="I24" s="357"/>
      <c r="J24" s="239"/>
      <c r="K24" s="744"/>
      <c r="L24" s="735"/>
      <c r="M24" s="151"/>
    </row>
    <row r="25" spans="1:13" ht="15.75" customHeight="1">
      <c r="A25" s="721"/>
      <c r="B25" s="722"/>
      <c r="C25" s="164" t="s">
        <v>722</v>
      </c>
      <c r="D25" s="342"/>
      <c r="E25" s="343"/>
      <c r="F25" s="344"/>
      <c r="G25" s="580"/>
      <c r="H25" s="580"/>
      <c r="I25" s="580"/>
      <c r="J25" s="580"/>
      <c r="K25" s="734"/>
      <c r="L25" s="735"/>
      <c r="M25" s="151"/>
    </row>
    <row r="26" spans="1:13" ht="15.75" customHeight="1">
      <c r="A26" s="721"/>
      <c r="B26" s="722"/>
      <c r="C26" s="164" t="s">
        <v>723</v>
      </c>
      <c r="D26" s="342"/>
      <c r="E26" s="343"/>
      <c r="F26" s="344"/>
      <c r="G26" s="580"/>
      <c r="H26" s="580"/>
      <c r="I26" s="580"/>
      <c r="J26" s="580"/>
      <c r="K26" s="734"/>
      <c r="L26" s="735"/>
      <c r="M26" s="151"/>
    </row>
    <row r="27" spans="1:13" ht="15.75" customHeight="1">
      <c r="A27" s="721"/>
      <c r="B27" s="722"/>
      <c r="C27" s="164" t="s">
        <v>724</v>
      </c>
      <c r="D27" s="342"/>
      <c r="E27" s="343"/>
      <c r="F27" s="344"/>
      <c r="G27" s="580"/>
      <c r="H27" s="580"/>
      <c r="I27" s="580"/>
      <c r="J27" s="580"/>
      <c r="K27" s="734"/>
      <c r="L27" s="735"/>
      <c r="M27" s="151"/>
    </row>
    <row r="28" spans="1:13" ht="15.75" customHeight="1">
      <c r="A28" s="721"/>
      <c r="B28" s="722"/>
      <c r="C28" s="164" t="s">
        <v>725</v>
      </c>
      <c r="D28" s="342"/>
      <c r="E28" s="343"/>
      <c r="F28" s="344"/>
      <c r="G28" s="580"/>
      <c r="H28" s="580"/>
      <c r="I28" s="580"/>
      <c r="J28" s="580"/>
      <c r="K28" s="734"/>
      <c r="L28" s="735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3">
    <mergeCell ref="A18:B18"/>
    <mergeCell ref="K17:L17"/>
    <mergeCell ref="D18:F18"/>
    <mergeCell ref="K11:L11"/>
    <mergeCell ref="K12:L12"/>
    <mergeCell ref="K18:L18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6:L16"/>
    <mergeCell ref="K13:L13"/>
    <mergeCell ref="K8:L8"/>
    <mergeCell ref="K9:L9"/>
    <mergeCell ref="K14:L14"/>
    <mergeCell ref="K15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8" ht="15.75" customHeight="1">
      <c r="A1" s="608" t="s">
        <v>185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119"/>
    </row>
    <row r="2" spans="1:18" s="120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</row>
    <row r="3" spans="1:18" ht="15.75" customHeight="1">
      <c r="A3" s="724" t="s">
        <v>186</v>
      </c>
      <c r="B3" s="725"/>
      <c r="C3" s="725"/>
      <c r="D3" s="725"/>
      <c r="E3" s="725"/>
      <c r="F3" s="725"/>
      <c r="G3" s="725"/>
      <c r="H3" s="725"/>
      <c r="I3" s="725"/>
      <c r="J3" s="725"/>
      <c r="K3" s="725"/>
      <c r="L3" s="725"/>
      <c r="M3" s="151"/>
    </row>
    <row r="4" spans="1:18" s="120" customFormat="1" ht="15.75" customHeight="1">
      <c r="A4" s="725"/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130"/>
    </row>
    <row r="5" spans="1:18" s="153" customFormat="1" ht="16.350000000000001" customHeight="1">
      <c r="A5" s="721" t="s">
        <v>154</v>
      </c>
      <c r="B5" s="155">
        <v>1</v>
      </c>
      <c r="C5" s="155">
        <v>2</v>
      </c>
      <c r="D5" s="155">
        <v>3</v>
      </c>
      <c r="E5" s="155">
        <v>4</v>
      </c>
      <c r="F5" s="165">
        <v>5</v>
      </c>
      <c r="G5" s="16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8" ht="16.350000000000001" customHeight="1">
      <c r="A6" s="721"/>
      <c r="B6" s="156" t="s">
        <v>187</v>
      </c>
      <c r="C6" s="156" t="s">
        <v>151</v>
      </c>
      <c r="D6" s="156" t="s">
        <v>188</v>
      </c>
      <c r="E6" s="156" t="s">
        <v>153</v>
      </c>
      <c r="F6" s="167" t="s">
        <v>133</v>
      </c>
      <c r="G6" s="16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8" s="153" customFormat="1" ht="15.75" customHeight="1">
      <c r="A7" s="722" t="s">
        <v>542</v>
      </c>
      <c r="B7" s="722"/>
      <c r="C7" s="346" t="s">
        <v>543</v>
      </c>
      <c r="D7" s="722" t="s">
        <v>12</v>
      </c>
      <c r="E7" s="723"/>
      <c r="F7" s="723"/>
      <c r="G7" s="361" t="s">
        <v>552</v>
      </c>
      <c r="H7" s="361" t="s">
        <v>553</v>
      </c>
      <c r="I7" s="361" t="s">
        <v>554</v>
      </c>
      <c r="J7" s="221" t="s">
        <v>555</v>
      </c>
      <c r="K7" s="722" t="s">
        <v>556</v>
      </c>
      <c r="L7" s="723"/>
      <c r="M7" s="152"/>
    </row>
    <row r="8" spans="1:18" ht="15.75" customHeight="1">
      <c r="A8" s="721">
        <v>5</v>
      </c>
      <c r="B8" s="722" t="s">
        <v>133</v>
      </c>
      <c r="C8" s="578">
        <v>1</v>
      </c>
      <c r="D8" s="371" t="s">
        <v>342</v>
      </c>
      <c r="E8" s="343"/>
      <c r="F8" s="344"/>
      <c r="G8" s="357">
        <v>6</v>
      </c>
      <c r="H8" s="357">
        <v>1460.5291185141384</v>
      </c>
      <c r="I8" s="357">
        <v>243.42151975235643</v>
      </c>
      <c r="J8" s="239" t="s">
        <v>726</v>
      </c>
      <c r="K8" s="750"/>
      <c r="L8" s="723"/>
      <c r="M8" s="130"/>
      <c r="P8" s="250"/>
      <c r="Q8" s="250"/>
      <c r="R8" s="250"/>
    </row>
    <row r="9" spans="1:18" ht="15.75" customHeight="1">
      <c r="A9" s="721"/>
      <c r="B9" s="722"/>
      <c r="C9" s="578">
        <v>2</v>
      </c>
      <c r="D9" s="358" t="s">
        <v>586</v>
      </c>
      <c r="E9" s="343"/>
      <c r="F9" s="344"/>
      <c r="G9" s="357">
        <v>6</v>
      </c>
      <c r="H9" s="357">
        <v>1450.1797843672082</v>
      </c>
      <c r="I9" s="357">
        <v>241.69663072786804</v>
      </c>
      <c r="J9" s="239" t="s">
        <v>726</v>
      </c>
      <c r="K9" s="750"/>
      <c r="L9" s="723"/>
      <c r="M9" s="130"/>
      <c r="P9" s="250"/>
      <c r="Q9" s="250"/>
      <c r="R9" s="250"/>
    </row>
    <row r="10" spans="1:18" ht="15.75" customHeight="1">
      <c r="A10" s="721"/>
      <c r="B10" s="722"/>
      <c r="C10" s="578">
        <v>3</v>
      </c>
      <c r="D10" s="342" t="s">
        <v>345</v>
      </c>
      <c r="E10" s="343"/>
      <c r="F10" s="344"/>
      <c r="G10" s="357">
        <v>14.142857142857142</v>
      </c>
      <c r="H10" s="357">
        <v>1353.3540934068603</v>
      </c>
      <c r="I10" s="357">
        <v>95.738367446737001</v>
      </c>
      <c r="J10" s="240" t="s">
        <v>727</v>
      </c>
      <c r="K10" s="750" t="s">
        <v>791</v>
      </c>
      <c r="L10" s="723"/>
      <c r="M10" s="130"/>
      <c r="P10" s="250"/>
      <c r="Q10" s="250"/>
      <c r="R10" s="250"/>
    </row>
    <row r="11" spans="1:18" ht="15.75" customHeight="1">
      <c r="A11" s="721"/>
      <c r="B11" s="722"/>
      <c r="C11" s="578">
        <v>4</v>
      </c>
      <c r="D11" s="467" t="s">
        <v>603</v>
      </c>
      <c r="E11" s="343"/>
      <c r="F11" s="344"/>
      <c r="G11" s="357">
        <v>16</v>
      </c>
      <c r="H11" s="357">
        <v>1438.5981405523437</v>
      </c>
      <c r="I11" s="357">
        <v>89.912383784521481</v>
      </c>
      <c r="J11" s="239" t="s">
        <v>726</v>
      </c>
      <c r="K11" s="750"/>
      <c r="L11" s="723"/>
      <c r="M11" s="130"/>
      <c r="P11" s="250"/>
      <c r="Q11" s="250"/>
      <c r="R11" s="250"/>
    </row>
    <row r="12" spans="1:18" ht="15.75" customHeight="1">
      <c r="A12" s="721"/>
      <c r="B12" s="722"/>
      <c r="C12" s="578">
        <v>5</v>
      </c>
      <c r="D12" s="467" t="s">
        <v>737</v>
      </c>
      <c r="E12" s="343"/>
      <c r="F12" s="344"/>
      <c r="G12" s="357">
        <v>15</v>
      </c>
      <c r="H12" s="357">
        <v>1343.870647623713</v>
      </c>
      <c r="I12" s="357">
        <v>89.591376508247535</v>
      </c>
      <c r="J12" s="241" t="s">
        <v>728</v>
      </c>
      <c r="K12" s="750" t="s">
        <v>792</v>
      </c>
      <c r="L12" s="723"/>
      <c r="M12" s="130"/>
      <c r="P12" s="250"/>
      <c r="Q12" s="250"/>
      <c r="R12" s="250"/>
    </row>
    <row r="13" spans="1:18" ht="15.75" customHeight="1">
      <c r="A13" s="721"/>
      <c r="B13" s="722"/>
      <c r="C13" s="164" t="s">
        <v>721</v>
      </c>
      <c r="D13" s="467" t="s">
        <v>700</v>
      </c>
      <c r="E13" s="343"/>
      <c r="F13" s="344"/>
      <c r="G13" s="357">
        <v>20.285714285714285</v>
      </c>
      <c r="H13" s="357">
        <v>1091.0020526677567</v>
      </c>
      <c r="I13" s="357">
        <v>53.823322125266223</v>
      </c>
      <c r="J13" s="239" t="s">
        <v>726</v>
      </c>
      <c r="K13" s="750"/>
      <c r="L13" s="723"/>
      <c r="M13" s="130"/>
      <c r="P13" s="250"/>
      <c r="Q13" s="250"/>
      <c r="R13" s="250"/>
    </row>
    <row r="14" spans="1:18" ht="15.75" customHeight="1">
      <c r="A14" s="721"/>
      <c r="B14" s="722"/>
      <c r="C14" s="164" t="s">
        <v>722</v>
      </c>
      <c r="D14" s="467" t="s">
        <v>627</v>
      </c>
      <c r="E14" s="343"/>
      <c r="F14" s="344"/>
      <c r="G14" s="357">
        <v>20</v>
      </c>
      <c r="H14" s="357">
        <v>1182.5759164070034</v>
      </c>
      <c r="I14" s="357">
        <v>59.128795820350163</v>
      </c>
      <c r="J14" s="239" t="s">
        <v>726</v>
      </c>
      <c r="K14" s="750"/>
      <c r="L14" s="723"/>
      <c r="M14" s="130"/>
      <c r="P14" s="250"/>
      <c r="Q14" s="250"/>
      <c r="R14" s="250"/>
    </row>
    <row r="15" spans="1:18" ht="15.75" customHeight="1">
      <c r="A15" s="721"/>
      <c r="B15" s="722"/>
      <c r="C15" s="164" t="s">
        <v>723</v>
      </c>
      <c r="D15" s="342" t="s">
        <v>782</v>
      </c>
      <c r="E15" s="343"/>
      <c r="F15" s="344"/>
      <c r="G15" s="357">
        <v>20.571428571428573</v>
      </c>
      <c r="H15" s="357">
        <v>1229.5494886948547</v>
      </c>
      <c r="I15" s="357">
        <v>59.807317663481186</v>
      </c>
      <c r="J15" s="239" t="s">
        <v>726</v>
      </c>
      <c r="K15" s="750" t="s">
        <v>793</v>
      </c>
      <c r="L15" s="723"/>
      <c r="M15" s="130"/>
      <c r="P15" s="250"/>
      <c r="Q15" s="250"/>
      <c r="R15" s="250"/>
    </row>
    <row r="16" spans="1:18" ht="15.75" customHeight="1">
      <c r="A16" s="721"/>
      <c r="B16" s="722"/>
      <c r="C16" s="164" t="s">
        <v>724</v>
      </c>
      <c r="D16" s="358" t="s">
        <v>549</v>
      </c>
      <c r="E16" s="343"/>
      <c r="F16" s="344"/>
      <c r="G16" s="357">
        <v>18</v>
      </c>
      <c r="H16" s="357">
        <v>1201.1583538888688</v>
      </c>
      <c r="I16" s="357">
        <v>66.73101966049272</v>
      </c>
      <c r="J16" s="241" t="s">
        <v>728</v>
      </c>
      <c r="K16" s="750" t="s">
        <v>794</v>
      </c>
      <c r="L16" s="723"/>
      <c r="M16" s="151"/>
      <c r="P16" s="250"/>
      <c r="Q16" s="250"/>
      <c r="R16" s="250"/>
    </row>
    <row r="17" spans="1:18" ht="15.75" customHeight="1">
      <c r="A17" s="721"/>
      <c r="B17" s="722"/>
      <c r="C17" s="164" t="s">
        <v>725</v>
      </c>
      <c r="D17" s="358" t="s">
        <v>512</v>
      </c>
      <c r="E17" s="343"/>
      <c r="F17" s="344"/>
      <c r="G17" s="357">
        <v>20</v>
      </c>
      <c r="H17" s="357">
        <v>1358.9153817070578</v>
      </c>
      <c r="I17" s="357">
        <v>67.945769085352893</v>
      </c>
      <c r="J17" s="240" t="s">
        <v>727</v>
      </c>
      <c r="K17" s="750" t="s">
        <v>729</v>
      </c>
      <c r="L17" s="723"/>
      <c r="M17" s="151"/>
      <c r="P17" s="250"/>
      <c r="Q17" s="250"/>
      <c r="R17" s="250"/>
    </row>
    <row r="18" spans="1:18" s="161" customFormat="1" ht="15.75" customHeight="1">
      <c r="A18" s="736" t="s">
        <v>167</v>
      </c>
      <c r="B18" s="736"/>
      <c r="C18" s="579" t="s">
        <v>47</v>
      </c>
      <c r="D18" s="736" t="s">
        <v>12</v>
      </c>
      <c r="E18" s="737"/>
      <c r="F18" s="737"/>
      <c r="G18" s="579" t="s">
        <v>46</v>
      </c>
      <c r="H18" s="579" t="s">
        <v>507</v>
      </c>
      <c r="I18" s="579" t="s">
        <v>382</v>
      </c>
      <c r="J18" s="221" t="s">
        <v>383</v>
      </c>
      <c r="K18" s="736" t="s">
        <v>51</v>
      </c>
      <c r="L18" s="737"/>
      <c r="M18" s="154"/>
    </row>
    <row r="19" spans="1:18" ht="15.75" customHeight="1">
      <c r="A19" s="721">
        <v>6</v>
      </c>
      <c r="B19" s="722" t="s">
        <v>131</v>
      </c>
      <c r="C19" s="578">
        <v>1</v>
      </c>
      <c r="D19" s="342" t="s">
        <v>510</v>
      </c>
      <c r="E19" s="343"/>
      <c r="F19" s="344"/>
      <c r="G19" s="357">
        <v>16</v>
      </c>
      <c r="H19" s="357">
        <v>1322.4655758672893</v>
      </c>
      <c r="I19" s="357">
        <v>82.654098491705582</v>
      </c>
      <c r="J19" s="240" t="s">
        <v>727</v>
      </c>
      <c r="K19" s="751" t="s">
        <v>729</v>
      </c>
      <c r="L19" s="752"/>
      <c r="M19" s="151"/>
      <c r="P19" s="250"/>
      <c r="Q19" s="250"/>
      <c r="R19" s="250"/>
    </row>
    <row r="20" spans="1:18" ht="15.75" customHeight="1">
      <c r="A20" s="721"/>
      <c r="B20" s="722"/>
      <c r="C20" s="578">
        <v>2</v>
      </c>
      <c r="D20" s="342" t="s">
        <v>588</v>
      </c>
      <c r="E20" s="343"/>
      <c r="F20" s="344"/>
      <c r="G20" s="357">
        <v>15.571428571428571</v>
      </c>
      <c r="H20" s="357">
        <v>1273.6192701572606</v>
      </c>
      <c r="I20" s="357">
        <v>81.891335546980045</v>
      </c>
      <c r="J20" s="241" t="s">
        <v>728</v>
      </c>
      <c r="K20" s="753"/>
      <c r="L20" s="754"/>
      <c r="M20" s="151"/>
      <c r="P20" s="250"/>
      <c r="Q20" s="250"/>
      <c r="R20" s="250"/>
    </row>
    <row r="21" spans="1:18" ht="15.75" customHeight="1">
      <c r="A21" s="721"/>
      <c r="B21" s="722"/>
      <c r="C21" s="578">
        <v>3</v>
      </c>
      <c r="D21" s="342" t="s">
        <v>347</v>
      </c>
      <c r="E21" s="343"/>
      <c r="F21" s="344"/>
      <c r="G21" s="357">
        <v>17</v>
      </c>
      <c r="H21" s="357">
        <v>1311.350692419825</v>
      </c>
      <c r="I21" s="357">
        <v>77.138276024695571</v>
      </c>
      <c r="J21" s="239" t="s">
        <v>726</v>
      </c>
      <c r="K21" s="755"/>
      <c r="L21" s="723"/>
      <c r="M21" s="151"/>
      <c r="P21" s="250"/>
      <c r="Q21" s="250"/>
      <c r="R21" s="250"/>
    </row>
    <row r="22" spans="1:18" ht="15.75" customHeight="1">
      <c r="A22" s="721"/>
      <c r="B22" s="722"/>
      <c r="C22" s="578">
        <v>4</v>
      </c>
      <c r="D22" s="342" t="s">
        <v>561</v>
      </c>
      <c r="E22" s="343"/>
      <c r="F22" s="344"/>
      <c r="G22" s="357">
        <v>19</v>
      </c>
      <c r="H22" s="357">
        <v>1444.7154698687625</v>
      </c>
      <c r="I22" s="357">
        <v>76.037656308882234</v>
      </c>
      <c r="J22" s="240" t="s">
        <v>727</v>
      </c>
      <c r="K22" s="751" t="s">
        <v>729</v>
      </c>
      <c r="L22" s="752"/>
      <c r="M22" s="151"/>
      <c r="P22" s="250"/>
      <c r="Q22" s="250"/>
      <c r="R22" s="250"/>
    </row>
    <row r="23" spans="1:18" ht="15.75" customHeight="1">
      <c r="A23" s="721"/>
      <c r="B23" s="722"/>
      <c r="C23" s="578">
        <v>5</v>
      </c>
      <c r="D23" s="342" t="s">
        <v>604</v>
      </c>
      <c r="E23" s="343"/>
      <c r="F23" s="344"/>
      <c r="G23" s="357">
        <v>17</v>
      </c>
      <c r="H23" s="357">
        <v>1291.4971728065796</v>
      </c>
      <c r="I23" s="357">
        <v>75.970421929798803</v>
      </c>
      <c r="J23" s="241" t="s">
        <v>728</v>
      </c>
      <c r="K23" s="753"/>
      <c r="L23" s="754"/>
      <c r="M23" s="151"/>
      <c r="P23" s="250"/>
      <c r="Q23" s="250"/>
      <c r="R23" s="250"/>
    </row>
    <row r="24" spans="1:18" ht="15.75" customHeight="1">
      <c r="A24" s="721"/>
      <c r="B24" s="722"/>
      <c r="C24" s="164" t="s">
        <v>721</v>
      </c>
      <c r="D24" s="358" t="s">
        <v>348</v>
      </c>
      <c r="E24" s="343"/>
      <c r="F24" s="344"/>
      <c r="G24" s="357">
        <v>21</v>
      </c>
      <c r="H24" s="357">
        <v>1252.362157619646</v>
      </c>
      <c r="I24" s="357">
        <v>59.636293219983152</v>
      </c>
      <c r="J24" s="239" t="s">
        <v>726</v>
      </c>
      <c r="K24" s="755"/>
      <c r="L24" s="723"/>
      <c r="M24" s="151"/>
      <c r="P24" s="250"/>
      <c r="Q24" s="250"/>
      <c r="R24" s="250"/>
    </row>
    <row r="25" spans="1:18" ht="15.75" customHeight="1">
      <c r="A25" s="721"/>
      <c r="B25" s="722"/>
      <c r="C25" s="164" t="s">
        <v>722</v>
      </c>
      <c r="D25" s="342" t="s">
        <v>777</v>
      </c>
      <c r="E25" s="343"/>
      <c r="F25" s="344"/>
      <c r="G25" s="357">
        <v>20</v>
      </c>
      <c r="H25" s="357">
        <v>1219.4026486874939</v>
      </c>
      <c r="I25" s="357">
        <v>60.970132434374705</v>
      </c>
      <c r="J25" s="239" t="s">
        <v>726</v>
      </c>
      <c r="K25" s="756" t="s">
        <v>795</v>
      </c>
      <c r="L25" s="757"/>
      <c r="M25" s="151"/>
      <c r="P25" s="250"/>
      <c r="Q25" s="250"/>
      <c r="R25" s="250"/>
    </row>
    <row r="26" spans="1:18" ht="15.75" customHeight="1">
      <c r="A26" s="721"/>
      <c r="B26" s="722"/>
      <c r="C26" s="164" t="s">
        <v>723</v>
      </c>
      <c r="D26" s="467" t="s">
        <v>756</v>
      </c>
      <c r="E26" s="343"/>
      <c r="F26" s="344"/>
      <c r="G26" s="357">
        <v>19</v>
      </c>
      <c r="H26" s="357">
        <v>1247.7481190510848</v>
      </c>
      <c r="I26" s="357">
        <v>65.670953634267633</v>
      </c>
      <c r="J26" s="239" t="s">
        <v>726</v>
      </c>
      <c r="K26" s="758"/>
      <c r="L26" s="759"/>
      <c r="M26" s="151"/>
      <c r="P26" s="250"/>
      <c r="Q26" s="250"/>
      <c r="R26" s="250"/>
    </row>
    <row r="27" spans="1:18" ht="15.75" customHeight="1">
      <c r="A27" s="721"/>
      <c r="B27" s="722"/>
      <c r="C27" s="164" t="s">
        <v>724</v>
      </c>
      <c r="D27" s="342" t="s">
        <v>349</v>
      </c>
      <c r="E27" s="343"/>
      <c r="F27" s="344"/>
      <c r="G27" s="357">
        <v>19</v>
      </c>
      <c r="H27" s="357">
        <v>1300.1306105404074</v>
      </c>
      <c r="I27" s="357">
        <v>68.427926870547765</v>
      </c>
      <c r="J27" s="239" t="s">
        <v>726</v>
      </c>
      <c r="K27" s="755"/>
      <c r="L27" s="723"/>
      <c r="M27" s="151"/>
      <c r="P27" s="250"/>
      <c r="Q27" s="250"/>
      <c r="R27" s="250"/>
    </row>
    <row r="28" spans="1:18" ht="15.75" customHeight="1">
      <c r="A28" s="721"/>
      <c r="B28" s="722"/>
      <c r="C28" s="164" t="s">
        <v>725</v>
      </c>
      <c r="D28" s="342" t="s">
        <v>491</v>
      </c>
      <c r="E28" s="343"/>
      <c r="F28" s="344"/>
      <c r="G28" s="357">
        <v>18</v>
      </c>
      <c r="H28" s="357">
        <v>1235.271412941835</v>
      </c>
      <c r="I28" s="357">
        <v>68.626189607879709</v>
      </c>
      <c r="J28" s="239" t="s">
        <v>726</v>
      </c>
      <c r="K28" s="755"/>
      <c r="L28" s="723"/>
      <c r="M28" s="151"/>
      <c r="P28" s="250"/>
      <c r="Q28" s="250"/>
      <c r="R28" s="250"/>
    </row>
    <row r="29" spans="1:18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8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8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8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0">
    <mergeCell ref="K22:L23"/>
    <mergeCell ref="K28:L28"/>
    <mergeCell ref="A19:A28"/>
    <mergeCell ref="K24:L24"/>
    <mergeCell ref="K21:L21"/>
    <mergeCell ref="K27:L27"/>
    <mergeCell ref="K19:L20"/>
    <mergeCell ref="K25:L26"/>
    <mergeCell ref="A8:A17"/>
    <mergeCell ref="B8:B17"/>
    <mergeCell ref="A18:B18"/>
    <mergeCell ref="D18:F18"/>
    <mergeCell ref="B19:B28"/>
    <mergeCell ref="K8:L8"/>
    <mergeCell ref="K9:L9"/>
    <mergeCell ref="K18:L18"/>
    <mergeCell ref="K15:L15"/>
    <mergeCell ref="K12:L12"/>
    <mergeCell ref="K13:L13"/>
    <mergeCell ref="K14:L14"/>
    <mergeCell ref="K10:L10"/>
    <mergeCell ref="K11:L11"/>
    <mergeCell ref="K16:L16"/>
    <mergeCell ref="K17:L17"/>
    <mergeCell ref="A1:L2"/>
    <mergeCell ref="A3:L4"/>
    <mergeCell ref="A5:A6"/>
    <mergeCell ref="A7:B7"/>
    <mergeCell ref="D7:F7"/>
    <mergeCell ref="K7:L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608" t="s">
        <v>185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119"/>
    </row>
    <row r="2" spans="1:13" s="120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</row>
    <row r="3" spans="1:13" ht="15.75" customHeight="1">
      <c r="A3" s="724" t="s">
        <v>186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151"/>
    </row>
    <row r="4" spans="1:13" s="120" customFormat="1" ht="15.75" customHeight="1">
      <c r="A4" s="724"/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130"/>
    </row>
    <row r="5" spans="1:13" s="153" customFormat="1" ht="16.350000000000001" customHeight="1">
      <c r="A5" s="762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65">
        <v>7</v>
      </c>
      <c r="I5" s="165">
        <v>8</v>
      </c>
      <c r="J5" s="155">
        <v>9</v>
      </c>
      <c r="K5" s="152"/>
      <c r="L5" s="152"/>
      <c r="M5" s="152"/>
    </row>
    <row r="6" spans="1:13" ht="16.350000000000001" customHeight="1">
      <c r="A6" s="764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66" t="s">
        <v>189</v>
      </c>
      <c r="I6" s="16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76" t="s">
        <v>542</v>
      </c>
      <c r="B7" s="777"/>
      <c r="C7" s="346" t="s">
        <v>543</v>
      </c>
      <c r="D7" s="776" t="s">
        <v>12</v>
      </c>
      <c r="E7" s="778"/>
      <c r="F7" s="777"/>
      <c r="G7" s="361" t="s">
        <v>46</v>
      </c>
      <c r="H7" s="361" t="s">
        <v>557</v>
      </c>
      <c r="I7" s="361" t="s">
        <v>558</v>
      </c>
      <c r="J7" s="221" t="s">
        <v>559</v>
      </c>
      <c r="K7" s="776" t="s">
        <v>51</v>
      </c>
      <c r="L7" s="777"/>
      <c r="M7" s="152"/>
    </row>
    <row r="8" spans="1:13" ht="15.75" customHeight="1">
      <c r="A8" s="762">
        <v>7</v>
      </c>
      <c r="B8" s="765" t="s">
        <v>135</v>
      </c>
      <c r="C8" s="578">
        <v>1</v>
      </c>
      <c r="D8" s="342" t="s">
        <v>786</v>
      </c>
      <c r="E8" s="343"/>
      <c r="F8" s="344"/>
      <c r="G8" s="357">
        <v>17</v>
      </c>
      <c r="H8" s="357">
        <v>1438.8806527687932</v>
      </c>
      <c r="I8" s="357">
        <v>84.640038398164293</v>
      </c>
      <c r="J8" s="239" t="s">
        <v>726</v>
      </c>
      <c r="K8" s="770" t="s">
        <v>796</v>
      </c>
      <c r="L8" s="771"/>
      <c r="M8" s="130"/>
    </row>
    <row r="9" spans="1:13" ht="15.75" customHeight="1">
      <c r="A9" s="763"/>
      <c r="B9" s="766"/>
      <c r="C9" s="578">
        <v>2</v>
      </c>
      <c r="D9" s="342" t="s">
        <v>624</v>
      </c>
      <c r="E9" s="343"/>
      <c r="F9" s="344"/>
      <c r="G9" s="357">
        <v>17</v>
      </c>
      <c r="H9" s="357">
        <v>1432.0774165685241</v>
      </c>
      <c r="I9" s="357">
        <v>84.239848033442598</v>
      </c>
      <c r="J9" s="239" t="s">
        <v>726</v>
      </c>
      <c r="K9" s="782"/>
      <c r="L9" s="771"/>
      <c r="M9" s="130"/>
    </row>
    <row r="10" spans="1:13" ht="15.75" customHeight="1">
      <c r="A10" s="763"/>
      <c r="B10" s="766"/>
      <c r="C10" s="578">
        <v>3</v>
      </c>
      <c r="D10" s="358" t="s">
        <v>587</v>
      </c>
      <c r="E10" s="343"/>
      <c r="F10" s="344"/>
      <c r="G10" s="357">
        <v>17</v>
      </c>
      <c r="H10" s="357">
        <v>1387.9263570873959</v>
      </c>
      <c r="I10" s="357">
        <v>81.642726887493879</v>
      </c>
      <c r="J10" s="239" t="s">
        <v>726</v>
      </c>
      <c r="K10" s="782"/>
      <c r="L10" s="771"/>
      <c r="M10" s="130"/>
    </row>
    <row r="11" spans="1:13" ht="15.75" customHeight="1">
      <c r="A11" s="763"/>
      <c r="B11" s="766"/>
      <c r="C11" s="578">
        <v>4</v>
      </c>
      <c r="D11" s="342" t="s">
        <v>719</v>
      </c>
      <c r="E11" s="343"/>
      <c r="F11" s="344"/>
      <c r="G11" s="357">
        <v>17</v>
      </c>
      <c r="H11" s="357">
        <v>1315.5045708748719</v>
      </c>
      <c r="I11" s="357">
        <v>77.382621816168921</v>
      </c>
      <c r="J11" s="239" t="s">
        <v>726</v>
      </c>
      <c r="K11" s="782"/>
      <c r="L11" s="771"/>
      <c r="M11" s="130"/>
    </row>
    <row r="12" spans="1:13" ht="15.75" customHeight="1">
      <c r="A12" s="763"/>
      <c r="B12" s="766"/>
      <c r="C12" s="578">
        <v>5</v>
      </c>
      <c r="D12" s="358" t="s">
        <v>616</v>
      </c>
      <c r="E12" s="343"/>
      <c r="F12" s="344"/>
      <c r="G12" s="357">
        <v>18</v>
      </c>
      <c r="H12" s="357">
        <v>1389.1792517797383</v>
      </c>
      <c r="I12" s="357">
        <v>77.176625098874339</v>
      </c>
      <c r="J12" s="239" t="s">
        <v>726</v>
      </c>
      <c r="K12" s="782"/>
      <c r="L12" s="771"/>
      <c r="M12" s="130"/>
    </row>
    <row r="13" spans="1:13" ht="15.75" customHeight="1">
      <c r="A13" s="763"/>
      <c r="B13" s="766"/>
      <c r="C13" s="164" t="s">
        <v>721</v>
      </c>
      <c r="D13" s="358"/>
      <c r="E13" s="343"/>
      <c r="F13" s="344"/>
      <c r="G13" s="357"/>
      <c r="H13" s="357"/>
      <c r="I13" s="357"/>
      <c r="J13" s="239"/>
      <c r="K13" s="783"/>
      <c r="L13" s="769"/>
      <c r="M13" s="130"/>
    </row>
    <row r="14" spans="1:13" ht="15.75" customHeight="1">
      <c r="A14" s="763"/>
      <c r="B14" s="766"/>
      <c r="C14" s="164" t="s">
        <v>722</v>
      </c>
      <c r="D14" s="342"/>
      <c r="E14" s="343"/>
      <c r="F14" s="344"/>
      <c r="G14" s="357"/>
      <c r="H14" s="357"/>
      <c r="I14" s="357"/>
      <c r="J14" s="239"/>
      <c r="K14" s="768"/>
      <c r="L14" s="769"/>
      <c r="M14" s="130"/>
    </row>
    <row r="15" spans="1:13" ht="15.75" customHeight="1">
      <c r="A15" s="763"/>
      <c r="B15" s="766"/>
      <c r="C15" s="164" t="s">
        <v>723</v>
      </c>
      <c r="D15" s="342"/>
      <c r="E15" s="343"/>
      <c r="F15" s="344"/>
      <c r="G15" s="357"/>
      <c r="H15" s="357"/>
      <c r="I15" s="357"/>
      <c r="J15" s="239"/>
      <c r="K15" s="768"/>
      <c r="L15" s="769"/>
      <c r="M15" s="130"/>
    </row>
    <row r="16" spans="1:13" ht="15.75" customHeight="1">
      <c r="A16" s="763"/>
      <c r="B16" s="766"/>
      <c r="C16" s="164" t="s">
        <v>724</v>
      </c>
      <c r="D16" s="342"/>
      <c r="E16" s="343"/>
      <c r="F16" s="344"/>
      <c r="G16" s="357"/>
      <c r="H16" s="357"/>
      <c r="I16" s="357"/>
      <c r="J16" s="239"/>
      <c r="K16" s="768"/>
      <c r="L16" s="769"/>
      <c r="M16" s="151"/>
    </row>
    <row r="17" spans="1:13" ht="15.75" customHeight="1">
      <c r="A17" s="764"/>
      <c r="B17" s="767"/>
      <c r="C17" s="164" t="s">
        <v>725</v>
      </c>
      <c r="D17" s="342"/>
      <c r="E17" s="343"/>
      <c r="F17" s="344"/>
      <c r="G17" s="580"/>
      <c r="H17" s="580"/>
      <c r="I17" s="580"/>
      <c r="J17" s="580"/>
      <c r="K17" s="768"/>
      <c r="L17" s="769"/>
      <c r="M17" s="151"/>
    </row>
    <row r="18" spans="1:13" s="161" customFormat="1" ht="15.75" customHeight="1">
      <c r="A18" s="779" t="s">
        <v>167</v>
      </c>
      <c r="B18" s="780"/>
      <c r="C18" s="579" t="s">
        <v>47</v>
      </c>
      <c r="D18" s="779" t="s">
        <v>12</v>
      </c>
      <c r="E18" s="781"/>
      <c r="F18" s="780"/>
      <c r="G18" s="579" t="s">
        <v>46</v>
      </c>
      <c r="H18" s="579" t="s">
        <v>507</v>
      </c>
      <c r="I18" s="579" t="s">
        <v>382</v>
      </c>
      <c r="J18" s="221" t="s">
        <v>383</v>
      </c>
      <c r="K18" s="779" t="s">
        <v>51</v>
      </c>
      <c r="L18" s="780"/>
      <c r="M18" s="154"/>
    </row>
    <row r="19" spans="1:13" ht="15.75" customHeight="1">
      <c r="A19" s="762">
        <v>8</v>
      </c>
      <c r="B19" s="765" t="s">
        <v>136</v>
      </c>
      <c r="C19" s="578">
        <v>1</v>
      </c>
      <c r="D19" s="467" t="s">
        <v>351</v>
      </c>
      <c r="E19" s="343"/>
      <c r="F19" s="344"/>
      <c r="G19" s="357">
        <v>18.285714285714285</v>
      </c>
      <c r="H19" s="357">
        <v>2517.2615740240221</v>
      </c>
      <c r="I19" s="357">
        <v>137.75754031659895</v>
      </c>
      <c r="J19" s="240" t="s">
        <v>727</v>
      </c>
      <c r="K19" s="772" t="s">
        <v>739</v>
      </c>
      <c r="L19" s="773"/>
      <c r="M19" s="151"/>
    </row>
    <row r="20" spans="1:13" ht="15.75" customHeight="1">
      <c r="A20" s="763"/>
      <c r="B20" s="766"/>
      <c r="C20" s="578">
        <v>2</v>
      </c>
      <c r="D20" s="467" t="s">
        <v>593</v>
      </c>
      <c r="E20" s="343"/>
      <c r="F20" s="344"/>
      <c r="G20" s="357">
        <v>17</v>
      </c>
      <c r="H20" s="357">
        <v>2340.8375333386944</v>
      </c>
      <c r="I20" s="357">
        <v>137.69632549051144</v>
      </c>
      <c r="J20" s="241" t="s">
        <v>728</v>
      </c>
      <c r="K20" s="774"/>
      <c r="L20" s="775"/>
      <c r="M20" s="151"/>
    </row>
    <row r="21" spans="1:13" ht="15.75" customHeight="1">
      <c r="A21" s="763"/>
      <c r="B21" s="766"/>
      <c r="C21" s="578">
        <v>3</v>
      </c>
      <c r="D21" s="342" t="s">
        <v>352</v>
      </c>
      <c r="E21" s="343"/>
      <c r="F21" s="344"/>
      <c r="G21" s="357">
        <v>18.714285714285715</v>
      </c>
      <c r="H21" s="357">
        <v>2526.8256317126211</v>
      </c>
      <c r="I21" s="357">
        <v>135.11813511218719</v>
      </c>
      <c r="J21" s="239" t="s">
        <v>726</v>
      </c>
      <c r="K21" s="760"/>
      <c r="L21" s="761"/>
      <c r="M21" s="151"/>
    </row>
    <row r="22" spans="1:13" ht="15.75" customHeight="1">
      <c r="A22" s="763"/>
      <c r="B22" s="766"/>
      <c r="C22" s="578">
        <v>4</v>
      </c>
      <c r="D22" s="342" t="s">
        <v>617</v>
      </c>
      <c r="E22" s="343"/>
      <c r="F22" s="344"/>
      <c r="G22" s="357">
        <v>17.714285714285715</v>
      </c>
      <c r="H22" s="357">
        <v>2369.9661497922361</v>
      </c>
      <c r="I22" s="357">
        <v>133.87376051058914</v>
      </c>
      <c r="J22" s="239" t="s">
        <v>726</v>
      </c>
      <c r="K22" s="760"/>
      <c r="L22" s="761"/>
      <c r="M22" s="151"/>
    </row>
    <row r="23" spans="1:13" ht="15.75" customHeight="1">
      <c r="A23" s="763"/>
      <c r="B23" s="766"/>
      <c r="C23" s="578">
        <v>5</v>
      </c>
      <c r="D23" s="342" t="s">
        <v>738</v>
      </c>
      <c r="E23" s="343"/>
      <c r="F23" s="344"/>
      <c r="G23" s="357">
        <v>18</v>
      </c>
      <c r="H23" s="357">
        <v>2365.2171956195066</v>
      </c>
      <c r="I23" s="357">
        <v>131.40095531219478</v>
      </c>
      <c r="J23" s="239" t="s">
        <v>726</v>
      </c>
      <c r="K23" s="760"/>
      <c r="L23" s="761"/>
      <c r="M23" s="151"/>
    </row>
    <row r="24" spans="1:13" ht="15.75" customHeight="1">
      <c r="A24" s="763"/>
      <c r="B24" s="766"/>
      <c r="C24" s="164" t="s">
        <v>721</v>
      </c>
      <c r="D24" s="467" t="s">
        <v>797</v>
      </c>
      <c r="E24" s="343"/>
      <c r="F24" s="344"/>
      <c r="G24" s="357">
        <v>18.666666666666668</v>
      </c>
      <c r="H24" s="357">
        <v>1918.5555555555627</v>
      </c>
      <c r="I24" s="357">
        <v>102.9702286018079</v>
      </c>
      <c r="J24" s="241" t="s">
        <v>728</v>
      </c>
      <c r="K24" s="772" t="s">
        <v>798</v>
      </c>
      <c r="L24" s="773"/>
      <c r="M24" s="151"/>
    </row>
    <row r="25" spans="1:13" ht="15.75" customHeight="1">
      <c r="A25" s="763"/>
      <c r="B25" s="766"/>
      <c r="C25" s="164" t="s">
        <v>722</v>
      </c>
      <c r="D25" s="467" t="s">
        <v>620</v>
      </c>
      <c r="E25" s="343"/>
      <c r="F25" s="344"/>
      <c r="G25" s="357">
        <v>19</v>
      </c>
      <c r="H25" s="357">
        <v>2089.4499999999948</v>
      </c>
      <c r="I25" s="357">
        <v>109.97105263157867</v>
      </c>
      <c r="J25" s="240" t="s">
        <v>727</v>
      </c>
      <c r="K25" s="774"/>
      <c r="L25" s="775"/>
      <c r="M25" s="151"/>
    </row>
    <row r="26" spans="1:13" ht="15.75" customHeight="1">
      <c r="A26" s="763"/>
      <c r="B26" s="766"/>
      <c r="C26" s="164" t="s">
        <v>723</v>
      </c>
      <c r="D26" s="467" t="s">
        <v>350</v>
      </c>
      <c r="E26" s="343"/>
      <c r="F26" s="344"/>
      <c r="G26" s="357">
        <v>20</v>
      </c>
      <c r="H26" s="357">
        <v>2258.8460341845757</v>
      </c>
      <c r="I26" s="357">
        <v>112.94230170922879</v>
      </c>
      <c r="J26" s="239" t="s">
        <v>726</v>
      </c>
      <c r="K26" s="760"/>
      <c r="L26" s="761"/>
      <c r="M26" s="151"/>
    </row>
    <row r="27" spans="1:13" ht="15.75" customHeight="1">
      <c r="A27" s="763"/>
      <c r="B27" s="766"/>
      <c r="C27" s="164" t="s">
        <v>724</v>
      </c>
      <c r="D27" s="342" t="s">
        <v>511</v>
      </c>
      <c r="E27" s="343"/>
      <c r="F27" s="344"/>
      <c r="G27" s="357">
        <v>18</v>
      </c>
      <c r="H27" s="357">
        <v>2164.9138369531943</v>
      </c>
      <c r="I27" s="357">
        <v>120.2729909418441</v>
      </c>
      <c r="J27" s="239" t="s">
        <v>726</v>
      </c>
      <c r="K27" s="760"/>
      <c r="L27" s="761"/>
      <c r="M27" s="151"/>
    </row>
    <row r="28" spans="1:13" ht="15.75" customHeight="1">
      <c r="A28" s="764"/>
      <c r="B28" s="767"/>
      <c r="C28" s="164" t="s">
        <v>725</v>
      </c>
      <c r="D28" s="342" t="s">
        <v>353</v>
      </c>
      <c r="E28" s="343"/>
      <c r="F28" s="344"/>
      <c r="G28" s="357">
        <v>19.714285714285715</v>
      </c>
      <c r="H28" s="357">
        <v>2527.9560790588448</v>
      </c>
      <c r="I28" s="357">
        <v>128.31099975059058</v>
      </c>
      <c r="J28" s="239" t="s">
        <v>726</v>
      </c>
      <c r="K28" s="760"/>
      <c r="L28" s="761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1">
    <mergeCell ref="K24:L25"/>
    <mergeCell ref="K12:L12"/>
    <mergeCell ref="K13:L13"/>
    <mergeCell ref="K18:L18"/>
    <mergeCell ref="K22:L22"/>
    <mergeCell ref="K23:L23"/>
    <mergeCell ref="K9:L9"/>
    <mergeCell ref="K10:L10"/>
    <mergeCell ref="K11:L11"/>
    <mergeCell ref="A1:L2"/>
    <mergeCell ref="A3:L4"/>
    <mergeCell ref="A5:A6"/>
    <mergeCell ref="A7:B7"/>
    <mergeCell ref="D7:F7"/>
    <mergeCell ref="K7:L7"/>
    <mergeCell ref="K27:L27"/>
    <mergeCell ref="K28:L28"/>
    <mergeCell ref="A8:A17"/>
    <mergeCell ref="B8:B17"/>
    <mergeCell ref="K17:L17"/>
    <mergeCell ref="K16:L16"/>
    <mergeCell ref="K8:L8"/>
    <mergeCell ref="K19:L20"/>
    <mergeCell ref="K26:L26"/>
    <mergeCell ref="K14:L14"/>
    <mergeCell ref="K15:L15"/>
    <mergeCell ref="A19:A28"/>
    <mergeCell ref="B19:B28"/>
    <mergeCell ref="K21:L21"/>
    <mergeCell ref="A18:B18"/>
    <mergeCell ref="D18:F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O10" sqref="O10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22" ht="15.75" customHeight="1">
      <c r="A1" s="608" t="s">
        <v>185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119"/>
    </row>
    <row r="2" spans="1:22" s="120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</row>
    <row r="3" spans="1:22" ht="15.75" customHeight="1">
      <c r="A3" s="724" t="s">
        <v>186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151"/>
    </row>
    <row r="4" spans="1:22" s="120" customFormat="1" ht="15.75" customHeight="1">
      <c r="A4" s="724"/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130"/>
    </row>
    <row r="5" spans="1:22" s="153" customFormat="1" ht="16.350000000000001" customHeight="1">
      <c r="A5" s="762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65">
        <v>9</v>
      </c>
      <c r="K5" s="152"/>
      <c r="L5" s="152"/>
      <c r="M5" s="152"/>
      <c r="U5" s="462"/>
      <c r="V5" s="463"/>
    </row>
    <row r="6" spans="1:22" ht="16.350000000000001" customHeight="1">
      <c r="A6" s="764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68" t="s">
        <v>137</v>
      </c>
      <c r="K6" s="154"/>
      <c r="L6" s="154"/>
      <c r="M6" s="130"/>
      <c r="U6" s="250"/>
      <c r="V6" s="464"/>
    </row>
    <row r="7" spans="1:22" s="153" customFormat="1" ht="15.75" customHeight="1">
      <c r="A7" s="776" t="s">
        <v>542</v>
      </c>
      <c r="B7" s="777"/>
      <c r="C7" s="346" t="s">
        <v>543</v>
      </c>
      <c r="D7" s="776" t="s">
        <v>12</v>
      </c>
      <c r="E7" s="778"/>
      <c r="F7" s="777"/>
      <c r="G7" s="361" t="s">
        <v>552</v>
      </c>
      <c r="H7" s="361" t="s">
        <v>553</v>
      </c>
      <c r="I7" s="361" t="s">
        <v>554</v>
      </c>
      <c r="J7" s="221" t="s">
        <v>555</v>
      </c>
      <c r="K7" s="776" t="s">
        <v>556</v>
      </c>
      <c r="L7" s="777"/>
      <c r="M7" s="152"/>
      <c r="U7" s="462"/>
      <c r="V7" s="463"/>
    </row>
    <row r="8" spans="1:22" ht="15.75" customHeight="1">
      <c r="A8" s="762">
        <f>J5</f>
        <v>9</v>
      </c>
      <c r="B8" s="765" t="str">
        <f>J6</f>
        <v>微波小吃</v>
      </c>
      <c r="C8" s="578">
        <v>1</v>
      </c>
      <c r="D8" s="342" t="s">
        <v>355</v>
      </c>
      <c r="E8" s="343"/>
      <c r="F8" s="344"/>
      <c r="G8" s="426">
        <v>7</v>
      </c>
      <c r="H8" s="426">
        <v>1479.6045136068747</v>
      </c>
      <c r="I8" s="426">
        <v>211.37207337241065</v>
      </c>
      <c r="J8" s="239" t="s">
        <v>726</v>
      </c>
      <c r="K8" s="784"/>
      <c r="L8" s="785"/>
      <c r="M8" s="130"/>
      <c r="U8" s="250"/>
      <c r="V8" s="464"/>
    </row>
    <row r="9" spans="1:22" ht="15.75" customHeight="1">
      <c r="A9" s="763"/>
      <c r="B9" s="766"/>
      <c r="C9" s="578">
        <v>2</v>
      </c>
      <c r="D9" s="342" t="s">
        <v>388</v>
      </c>
      <c r="E9" s="343"/>
      <c r="F9" s="344"/>
      <c r="G9" s="426">
        <v>7</v>
      </c>
      <c r="H9" s="426">
        <v>1460.4263273609408</v>
      </c>
      <c r="I9" s="426">
        <v>208.63233248013441</v>
      </c>
      <c r="J9" s="240" t="s">
        <v>727</v>
      </c>
      <c r="K9" s="792" t="s">
        <v>799</v>
      </c>
      <c r="L9" s="793"/>
      <c r="M9" s="130"/>
      <c r="U9" s="250"/>
      <c r="V9" s="464"/>
    </row>
    <row r="10" spans="1:22" ht="15.75" customHeight="1">
      <c r="A10" s="763"/>
      <c r="B10" s="766"/>
      <c r="C10" s="578">
        <v>3</v>
      </c>
      <c r="D10" s="342" t="s">
        <v>562</v>
      </c>
      <c r="E10" s="343"/>
      <c r="F10" s="344"/>
      <c r="G10" s="426">
        <v>7</v>
      </c>
      <c r="H10" s="426">
        <v>1451.6333878107057</v>
      </c>
      <c r="I10" s="426">
        <v>207.37619825867225</v>
      </c>
      <c r="J10" s="241" t="s">
        <v>728</v>
      </c>
      <c r="K10" s="794"/>
      <c r="L10" s="795"/>
      <c r="M10" s="130"/>
      <c r="U10" s="250"/>
      <c r="V10" s="464"/>
    </row>
    <row r="11" spans="1:22" ht="15.75" customHeight="1">
      <c r="A11" s="763"/>
      <c r="B11" s="766"/>
      <c r="C11" s="578">
        <v>4</v>
      </c>
      <c r="D11" s="358" t="s">
        <v>354</v>
      </c>
      <c r="E11" s="343"/>
      <c r="F11" s="344"/>
      <c r="G11" s="426">
        <v>7</v>
      </c>
      <c r="H11" s="426">
        <v>1450.9042443512403</v>
      </c>
      <c r="I11" s="426">
        <v>207.27203490732003</v>
      </c>
      <c r="J11" s="239" t="s">
        <v>726</v>
      </c>
      <c r="K11" s="784"/>
      <c r="L11" s="785"/>
      <c r="M11" s="130"/>
      <c r="U11" s="250"/>
      <c r="V11" s="464"/>
    </row>
    <row r="12" spans="1:22" ht="15.75" customHeight="1">
      <c r="A12" s="763"/>
      <c r="B12" s="766"/>
      <c r="C12" s="578">
        <v>5</v>
      </c>
      <c r="D12" s="358" t="s">
        <v>622</v>
      </c>
      <c r="E12" s="343"/>
      <c r="F12" s="344"/>
      <c r="G12" s="426">
        <v>7</v>
      </c>
      <c r="H12" s="426">
        <v>1360.3086870199586</v>
      </c>
      <c r="I12" s="426">
        <v>194.32981243142268</v>
      </c>
      <c r="J12" s="239" t="s">
        <v>726</v>
      </c>
      <c r="K12" s="784"/>
      <c r="L12" s="785"/>
      <c r="M12" s="130"/>
    </row>
    <row r="13" spans="1:22" ht="15.75" customHeight="1">
      <c r="A13" s="763"/>
      <c r="B13" s="766"/>
      <c r="C13" s="164" t="s">
        <v>721</v>
      </c>
      <c r="D13" s="358" t="s">
        <v>356</v>
      </c>
      <c r="E13" s="343"/>
      <c r="F13" s="344"/>
      <c r="G13" s="426">
        <v>16.428571428571427</v>
      </c>
      <c r="H13" s="426">
        <v>1368.7761862103634</v>
      </c>
      <c r="I13" s="426">
        <v>83.391299705202556</v>
      </c>
      <c r="J13" s="239" t="s">
        <v>726</v>
      </c>
      <c r="K13" s="784"/>
      <c r="L13" s="785"/>
      <c r="M13" s="130"/>
    </row>
    <row r="14" spans="1:22" ht="15.75" customHeight="1">
      <c r="A14" s="763"/>
      <c r="B14" s="766"/>
      <c r="C14" s="164" t="s">
        <v>722</v>
      </c>
      <c r="D14" s="342" t="s">
        <v>606</v>
      </c>
      <c r="E14" s="343"/>
      <c r="F14" s="344"/>
      <c r="G14" s="426">
        <v>12</v>
      </c>
      <c r="H14" s="426">
        <v>1284.0253246753248</v>
      </c>
      <c r="I14" s="426">
        <v>107.00211038961039</v>
      </c>
      <c r="J14" s="239" t="s">
        <v>726</v>
      </c>
      <c r="K14" s="784"/>
      <c r="L14" s="785"/>
      <c r="M14" s="130"/>
    </row>
    <row r="15" spans="1:22" ht="15.75" customHeight="1">
      <c r="A15" s="763"/>
      <c r="B15" s="766"/>
      <c r="C15" s="164" t="s">
        <v>723</v>
      </c>
      <c r="D15" s="342" t="s">
        <v>577</v>
      </c>
      <c r="E15" s="343"/>
      <c r="F15" s="344"/>
      <c r="G15" s="357">
        <v>12</v>
      </c>
      <c r="H15" s="357">
        <v>1494.5246056371386</v>
      </c>
      <c r="I15" s="357">
        <v>124.54371713642821</v>
      </c>
      <c r="J15" s="241" t="s">
        <v>728</v>
      </c>
      <c r="K15" s="788" t="s">
        <v>800</v>
      </c>
      <c r="L15" s="789"/>
      <c r="M15" s="130"/>
    </row>
    <row r="16" spans="1:22" ht="15.75" customHeight="1">
      <c r="A16" s="763"/>
      <c r="B16" s="766"/>
      <c r="C16" s="164" t="s">
        <v>724</v>
      </c>
      <c r="D16" s="358" t="s">
        <v>605</v>
      </c>
      <c r="E16" s="343"/>
      <c r="F16" s="344"/>
      <c r="G16" s="357">
        <v>12</v>
      </c>
      <c r="H16" s="357">
        <v>1504.432905580856</v>
      </c>
      <c r="I16" s="357">
        <v>125.36940879840465</v>
      </c>
      <c r="J16" s="240" t="s">
        <v>727</v>
      </c>
      <c r="K16" s="790"/>
      <c r="L16" s="791"/>
      <c r="M16" s="151"/>
    </row>
    <row r="17" spans="1:13" ht="15.75" customHeight="1">
      <c r="A17" s="764"/>
      <c r="B17" s="767"/>
      <c r="C17" s="164" t="s">
        <v>725</v>
      </c>
      <c r="D17" s="358"/>
      <c r="E17" s="343"/>
      <c r="F17" s="344"/>
      <c r="G17" s="357"/>
      <c r="H17" s="357"/>
      <c r="I17" s="357"/>
      <c r="J17" s="240"/>
      <c r="K17" s="784"/>
      <c r="L17" s="785"/>
      <c r="M17" s="151"/>
    </row>
    <row r="18" spans="1:13" s="161" customFormat="1" ht="15.75" customHeight="1">
      <c r="A18" s="779" t="s">
        <v>167</v>
      </c>
      <c r="B18" s="780"/>
      <c r="C18" s="559" t="s">
        <v>47</v>
      </c>
      <c r="D18" s="779" t="s">
        <v>12</v>
      </c>
      <c r="E18" s="781"/>
      <c r="F18" s="780"/>
      <c r="G18" s="559" t="s">
        <v>46</v>
      </c>
      <c r="H18" s="559" t="s">
        <v>507</v>
      </c>
      <c r="I18" s="559" t="s">
        <v>382</v>
      </c>
      <c r="J18" s="221" t="s">
        <v>383</v>
      </c>
      <c r="K18" s="779" t="s">
        <v>51</v>
      </c>
      <c r="L18" s="780"/>
      <c r="M18" s="154"/>
    </row>
    <row r="19" spans="1:13" ht="15.75" customHeight="1">
      <c r="A19" s="762"/>
      <c r="B19" s="765"/>
      <c r="C19" s="558">
        <v>1</v>
      </c>
      <c r="D19" s="342"/>
      <c r="E19" s="343"/>
      <c r="F19" s="344"/>
      <c r="G19" s="560"/>
      <c r="H19" s="560"/>
      <c r="I19" s="560"/>
      <c r="J19" s="560"/>
      <c r="K19" s="784"/>
      <c r="L19" s="785"/>
      <c r="M19" s="151"/>
    </row>
    <row r="20" spans="1:13" ht="15.75" customHeight="1">
      <c r="A20" s="763"/>
      <c r="B20" s="766"/>
      <c r="C20" s="558">
        <v>2</v>
      </c>
      <c r="D20" s="342"/>
      <c r="E20" s="343"/>
      <c r="F20" s="344"/>
      <c r="G20" s="560"/>
      <c r="H20" s="560"/>
      <c r="I20" s="560"/>
      <c r="J20" s="560"/>
      <c r="K20" s="786"/>
      <c r="L20" s="787"/>
      <c r="M20" s="151"/>
    </row>
    <row r="21" spans="1:13" ht="15.75" customHeight="1">
      <c r="A21" s="763"/>
      <c r="B21" s="766"/>
      <c r="C21" s="558">
        <v>3</v>
      </c>
      <c r="D21" s="342"/>
      <c r="E21" s="343"/>
      <c r="F21" s="344"/>
      <c r="G21" s="560"/>
      <c r="H21" s="560"/>
      <c r="I21" s="560"/>
      <c r="J21" s="560"/>
      <c r="K21" s="786"/>
      <c r="L21" s="787"/>
      <c r="M21" s="151"/>
    </row>
    <row r="22" spans="1:13" ht="15.75" customHeight="1">
      <c r="A22" s="763"/>
      <c r="B22" s="766"/>
      <c r="C22" s="558">
        <v>4</v>
      </c>
      <c r="D22" s="342"/>
      <c r="E22" s="343"/>
      <c r="F22" s="344"/>
      <c r="G22" s="560"/>
      <c r="H22" s="560"/>
      <c r="I22" s="560"/>
      <c r="J22" s="560"/>
      <c r="K22" s="786"/>
      <c r="L22" s="787"/>
      <c r="M22" s="151"/>
    </row>
    <row r="23" spans="1:13" ht="15.75" customHeight="1">
      <c r="A23" s="763"/>
      <c r="B23" s="766"/>
      <c r="C23" s="558">
        <v>5</v>
      </c>
      <c r="D23" s="342"/>
      <c r="E23" s="343"/>
      <c r="F23" s="344"/>
      <c r="G23" s="560"/>
      <c r="H23" s="560"/>
      <c r="I23" s="560"/>
      <c r="J23" s="560"/>
      <c r="K23" s="786"/>
      <c r="L23" s="787"/>
      <c r="M23" s="151"/>
    </row>
    <row r="24" spans="1:13" ht="15.75" customHeight="1">
      <c r="A24" s="763"/>
      <c r="B24" s="766"/>
      <c r="C24" s="164" t="s">
        <v>721</v>
      </c>
      <c r="D24" s="342"/>
      <c r="E24" s="343"/>
      <c r="F24" s="344"/>
      <c r="G24" s="560"/>
      <c r="H24" s="560"/>
      <c r="I24" s="560"/>
      <c r="J24" s="560"/>
      <c r="K24" s="784"/>
      <c r="L24" s="785"/>
      <c r="M24" s="151"/>
    </row>
    <row r="25" spans="1:13" ht="15.75" customHeight="1">
      <c r="A25" s="763"/>
      <c r="B25" s="766"/>
      <c r="C25" s="164" t="s">
        <v>722</v>
      </c>
      <c r="D25" s="342"/>
      <c r="E25" s="343"/>
      <c r="F25" s="344"/>
      <c r="G25" s="560"/>
      <c r="H25" s="560"/>
      <c r="I25" s="560"/>
      <c r="J25" s="560"/>
      <c r="K25" s="786"/>
      <c r="L25" s="787"/>
      <c r="M25" s="151"/>
    </row>
    <row r="26" spans="1:13" ht="15.75" customHeight="1">
      <c r="A26" s="763"/>
      <c r="B26" s="766"/>
      <c r="C26" s="164" t="s">
        <v>723</v>
      </c>
      <c r="D26" s="342"/>
      <c r="E26" s="343"/>
      <c r="F26" s="344"/>
      <c r="G26" s="560"/>
      <c r="H26" s="560"/>
      <c r="I26" s="560"/>
      <c r="J26" s="560"/>
      <c r="K26" s="786"/>
      <c r="L26" s="787"/>
      <c r="M26" s="151"/>
    </row>
    <row r="27" spans="1:13" ht="15.75" customHeight="1">
      <c r="A27" s="763"/>
      <c r="B27" s="766"/>
      <c r="C27" s="164" t="s">
        <v>724</v>
      </c>
      <c r="D27" s="342"/>
      <c r="E27" s="343"/>
      <c r="F27" s="344"/>
      <c r="G27" s="560"/>
      <c r="H27" s="560"/>
      <c r="I27" s="560"/>
      <c r="J27" s="560"/>
      <c r="K27" s="786"/>
      <c r="L27" s="787"/>
      <c r="M27" s="151"/>
    </row>
    <row r="28" spans="1:13" ht="15.75" customHeight="1">
      <c r="A28" s="764"/>
      <c r="B28" s="767"/>
      <c r="C28" s="164" t="s">
        <v>725</v>
      </c>
      <c r="D28" s="342"/>
      <c r="E28" s="343"/>
      <c r="F28" s="344"/>
      <c r="G28" s="560"/>
      <c r="H28" s="560"/>
      <c r="I28" s="560"/>
      <c r="J28" s="560"/>
      <c r="K28" s="786"/>
      <c r="L28" s="787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1"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8:L8"/>
    <mergeCell ref="K12:L12"/>
    <mergeCell ref="K9:L10"/>
    <mergeCell ref="K11:L11"/>
    <mergeCell ref="A18:B18"/>
    <mergeCell ref="D18:F18"/>
    <mergeCell ref="K18:L18"/>
    <mergeCell ref="K15:L16"/>
    <mergeCell ref="K17:L17"/>
    <mergeCell ref="A19:A28"/>
    <mergeCell ref="B19:B28"/>
    <mergeCell ref="K19:L19"/>
    <mergeCell ref="K20:L20"/>
    <mergeCell ref="K28:L28"/>
    <mergeCell ref="K26:L26"/>
    <mergeCell ref="K21:L21"/>
    <mergeCell ref="K27:L27"/>
    <mergeCell ref="K25:L25"/>
    <mergeCell ref="K22:L22"/>
    <mergeCell ref="K24:L24"/>
    <mergeCell ref="K23:L23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4" ht="15.75" customHeight="1">
      <c r="A1" s="796" t="s">
        <v>217</v>
      </c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</row>
    <row r="2" spans="1:14" s="183" customFormat="1" ht="15.75" customHeight="1">
      <c r="A2" s="796"/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</row>
    <row r="3" spans="1:14" ht="15.75" customHeight="1">
      <c r="A3" s="797" t="s">
        <v>218</v>
      </c>
      <c r="B3" s="797"/>
      <c r="C3" s="797"/>
      <c r="D3" s="797"/>
      <c r="E3" s="797"/>
      <c r="F3" s="797"/>
      <c r="G3" s="797"/>
      <c r="H3" s="797"/>
      <c r="I3" s="797"/>
      <c r="J3" s="797"/>
      <c r="K3" s="797"/>
      <c r="L3" s="797"/>
      <c r="M3" s="797"/>
      <c r="N3" s="184"/>
    </row>
    <row r="4" spans="1:14" s="183" customFormat="1" ht="15.75" customHeight="1">
      <c r="A4" s="797"/>
      <c r="B4" s="797"/>
      <c r="C4" s="797"/>
      <c r="D4" s="797"/>
      <c r="E4" s="797"/>
      <c r="F4" s="797"/>
      <c r="G4" s="797"/>
      <c r="H4" s="797"/>
      <c r="I4" s="797"/>
      <c r="J4" s="797"/>
      <c r="K4" s="797"/>
      <c r="L4" s="797"/>
      <c r="M4" s="797"/>
      <c r="N4" s="185"/>
    </row>
    <row r="5" spans="1:14" ht="15.75" customHeight="1">
      <c r="A5" s="186" t="s">
        <v>219</v>
      </c>
      <c r="B5" s="187">
        <v>212376150</v>
      </c>
    </row>
    <row r="6" spans="1:14" ht="15.75" customHeight="1">
      <c r="A6" s="798" t="s">
        <v>220</v>
      </c>
      <c r="B6" s="799" t="s">
        <v>10</v>
      </c>
      <c r="C6" s="799"/>
      <c r="D6" s="800"/>
      <c r="E6" s="798" t="s">
        <v>220</v>
      </c>
      <c r="F6" s="802">
        <v>1</v>
      </c>
      <c r="G6" s="802"/>
      <c r="H6" s="802">
        <v>2</v>
      </c>
      <c r="I6" s="802"/>
      <c r="J6" s="802">
        <v>3</v>
      </c>
      <c r="K6" s="802"/>
      <c r="L6" s="802">
        <v>4</v>
      </c>
      <c r="M6" s="802"/>
    </row>
    <row r="7" spans="1:14" ht="31.35" customHeight="1">
      <c r="A7" s="798"/>
      <c r="B7" s="799"/>
      <c r="C7" s="799"/>
      <c r="D7" s="801"/>
      <c r="E7" s="798"/>
      <c r="F7" s="804" t="s">
        <v>231</v>
      </c>
      <c r="G7" s="804"/>
      <c r="H7" s="804" t="s">
        <v>221</v>
      </c>
      <c r="I7" s="804"/>
      <c r="J7" s="804" t="s">
        <v>222</v>
      </c>
      <c r="K7" s="804"/>
      <c r="L7" s="804" t="s">
        <v>223</v>
      </c>
      <c r="M7" s="804"/>
    </row>
    <row r="8" spans="1:14" ht="15.75" customHeight="1">
      <c r="A8" s="798"/>
      <c r="B8" s="215" t="s">
        <v>11</v>
      </c>
      <c r="C8" s="215" t="s">
        <v>224</v>
      </c>
      <c r="D8" s="801"/>
      <c r="E8" s="798"/>
      <c r="F8" s="215" t="s">
        <v>11</v>
      </c>
      <c r="G8" s="215" t="s">
        <v>224</v>
      </c>
      <c r="H8" s="215" t="s">
        <v>11</v>
      </c>
      <c r="I8" s="215" t="s">
        <v>224</v>
      </c>
      <c r="J8" s="215" t="s">
        <v>11</v>
      </c>
      <c r="K8" s="215" t="s">
        <v>224</v>
      </c>
      <c r="L8" s="215" t="s">
        <v>11</v>
      </c>
      <c r="M8" s="215" t="s">
        <v>224</v>
      </c>
    </row>
    <row r="9" spans="1:14" s="193" customFormat="1" ht="19.350000000000001" customHeight="1">
      <c r="A9" s="188" t="s">
        <v>225</v>
      </c>
      <c r="B9" s="189">
        <v>47927.00699999994</v>
      </c>
      <c r="C9" s="190">
        <f>B9/$B$5</f>
        <v>2.256703824793883E-4</v>
      </c>
      <c r="D9" s="801"/>
      <c r="E9" s="188" t="s">
        <v>225</v>
      </c>
      <c r="F9" s="191">
        <v>1423.9050000000002</v>
      </c>
      <c r="G9" s="192">
        <f>IFERROR(F9/$B$9,"")</f>
        <v>2.9709866923256903E-2</v>
      </c>
      <c r="H9" s="191">
        <v>5535.9419999999991</v>
      </c>
      <c r="I9" s="192">
        <f>IFERROR(H9/$B$9,"")</f>
        <v>0.11550777623146812</v>
      </c>
      <c r="J9" s="191">
        <v>6691.5360000000019</v>
      </c>
      <c r="K9" s="192">
        <f>IFERROR(J9/$B$9,"")</f>
        <v>0.13961931735065389</v>
      </c>
      <c r="L9" s="191">
        <v>17258.763000000006</v>
      </c>
      <c r="M9" s="192">
        <f>IFERROR(L9/$B$9,"")</f>
        <v>0.36010516993059943</v>
      </c>
    </row>
    <row r="10" spans="1:14" s="193" customFormat="1" ht="19.350000000000001" customHeight="1">
      <c r="A10" s="194" t="s">
        <v>226</v>
      </c>
      <c r="B10" s="195">
        <v>69974.579191980054</v>
      </c>
      <c r="C10" s="190">
        <f>B10/$B$5</f>
        <v>3.2948416849999424E-4</v>
      </c>
      <c r="D10" s="801"/>
      <c r="E10" s="194" t="s">
        <v>226</v>
      </c>
      <c r="F10" s="191">
        <v>1179.8078200000007</v>
      </c>
      <c r="G10" s="192">
        <f>IFERROR(F10/$B$10,"")</f>
        <v>1.6860520400746062E-2</v>
      </c>
      <c r="H10" s="191">
        <v>3563.9139100000007</v>
      </c>
      <c r="I10" s="192">
        <f>IFERROR(H10/$B$10,"")</f>
        <v>5.0931551874319365E-2</v>
      </c>
      <c r="J10" s="191">
        <v>3130.998689999999</v>
      </c>
      <c r="K10" s="192">
        <f>IFERROR(J10/$B$10,"")</f>
        <v>4.4744801986016804E-2</v>
      </c>
      <c r="L10" s="191">
        <v>14381.948886699534</v>
      </c>
      <c r="M10" s="192">
        <f>IFERROR(L10/$B$10,"")</f>
        <v>0.20553105217312806</v>
      </c>
    </row>
    <row r="11" spans="1:14" ht="15.75" customHeight="1">
      <c r="D11" s="801"/>
      <c r="E11" s="798" t="s">
        <v>220</v>
      </c>
      <c r="F11" s="802">
        <v>5</v>
      </c>
      <c r="G11" s="802"/>
      <c r="H11" s="802">
        <v>6</v>
      </c>
      <c r="I11" s="802"/>
      <c r="J11" s="802">
        <v>7</v>
      </c>
      <c r="K11" s="802"/>
      <c r="L11" s="803">
        <v>8</v>
      </c>
      <c r="M11" s="803"/>
    </row>
    <row r="12" spans="1:14" ht="31.35" customHeight="1">
      <c r="D12" s="801"/>
      <c r="E12" s="798"/>
      <c r="F12" s="804" t="s">
        <v>227</v>
      </c>
      <c r="G12" s="804"/>
      <c r="H12" s="804" t="s">
        <v>228</v>
      </c>
      <c r="I12" s="804"/>
      <c r="J12" s="804" t="s">
        <v>229</v>
      </c>
      <c r="K12" s="804"/>
      <c r="L12" s="805" t="s">
        <v>230</v>
      </c>
      <c r="M12" s="805"/>
    </row>
    <row r="13" spans="1:14" ht="15.75" customHeight="1">
      <c r="D13" s="801"/>
      <c r="E13" s="798"/>
      <c r="F13" s="215" t="s">
        <v>11</v>
      </c>
      <c r="G13" s="215" t="s">
        <v>224</v>
      </c>
      <c r="H13" s="215" t="s">
        <v>11</v>
      </c>
      <c r="I13" s="215" t="s">
        <v>224</v>
      </c>
      <c r="J13" s="215" t="s">
        <v>11</v>
      </c>
      <c r="K13" s="215" t="s">
        <v>224</v>
      </c>
      <c r="L13" s="215" t="s">
        <v>11</v>
      </c>
      <c r="M13" s="215" t="s">
        <v>224</v>
      </c>
    </row>
    <row r="14" spans="1:14" s="193" customFormat="1" ht="19.350000000000001" customHeight="1">
      <c r="D14" s="801"/>
      <c r="E14" s="188" t="s">
        <v>225</v>
      </c>
      <c r="F14" s="191">
        <v>12460.915000000001</v>
      </c>
      <c r="G14" s="192">
        <f>IFERROR(F14/$B$9,"")</f>
        <v>0.25999777119401629</v>
      </c>
      <c r="H14" s="191">
        <v>1494.27</v>
      </c>
      <c r="I14" s="192">
        <f>IFERROR(H14/$B$9,"")</f>
        <v>3.1178037051218365E-2</v>
      </c>
      <c r="J14" s="191">
        <v>3061.675999999999</v>
      </c>
      <c r="K14" s="192">
        <f>IFERROR(J14/$B$9,"")</f>
        <v>6.3882061318788444E-2</v>
      </c>
      <c r="L14" s="191">
        <v>0</v>
      </c>
      <c r="M14" s="192">
        <f>IFERROR(L14/$B$9,"")</f>
        <v>0</v>
      </c>
    </row>
    <row r="15" spans="1:14" s="193" customFormat="1" ht="19.350000000000001" customHeight="1">
      <c r="D15" s="801"/>
      <c r="E15" s="194" t="s">
        <v>226</v>
      </c>
      <c r="F15" s="191">
        <v>30846.731825280494</v>
      </c>
      <c r="G15" s="192">
        <f>IFERROR(F15/$B$10,"")</f>
        <v>0.44082768601795191</v>
      </c>
      <c r="H15" s="191">
        <v>12704.309300000044</v>
      </c>
      <c r="I15" s="192">
        <f>IFERROR(H15/$B$10,"")</f>
        <v>0.18155606574131589</v>
      </c>
      <c r="J15" s="191">
        <v>3994.7131600000112</v>
      </c>
      <c r="K15" s="192">
        <f>IFERROR(J15/$B$10,"")</f>
        <v>5.7088062638293857E-2</v>
      </c>
      <c r="L15" s="191">
        <v>0</v>
      </c>
      <c r="M15" s="192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M20" sqref="M20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9" ht="15.75" customHeight="1">
      <c r="A1" s="796" t="s">
        <v>217</v>
      </c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</row>
    <row r="2" spans="1:19" s="183" customFormat="1" ht="15.75" customHeight="1">
      <c r="A2" s="796"/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</row>
    <row r="3" spans="1:19" ht="15.75" customHeight="1">
      <c r="A3" s="797" t="s">
        <v>595</v>
      </c>
      <c r="B3" s="797"/>
      <c r="C3" s="797"/>
      <c r="D3" s="797"/>
      <c r="E3" s="797"/>
      <c r="F3" s="797"/>
      <c r="G3" s="797"/>
      <c r="H3" s="797"/>
      <c r="I3" s="797"/>
      <c r="J3" s="797"/>
      <c r="K3" s="797"/>
      <c r="L3" s="797"/>
      <c r="M3" s="797"/>
    </row>
    <row r="4" spans="1:19" s="183" customFormat="1" ht="15.75" customHeight="1">
      <c r="A4" s="797"/>
      <c r="B4" s="797"/>
      <c r="C4" s="797"/>
      <c r="D4" s="797"/>
      <c r="E4" s="797"/>
      <c r="F4" s="797"/>
      <c r="G4" s="797"/>
      <c r="H4" s="797"/>
      <c r="I4" s="797"/>
      <c r="J4" s="797"/>
      <c r="K4" s="797"/>
      <c r="L4" s="797"/>
      <c r="M4" s="797"/>
    </row>
    <row r="5" spans="1:19" ht="15.75" customHeight="1" thickBot="1"/>
    <row r="6" spans="1:19" ht="15.75" customHeight="1" thickBot="1">
      <c r="A6" s="390" t="s">
        <v>706</v>
      </c>
      <c r="B6" s="391">
        <v>56328159</v>
      </c>
      <c r="C6" s="392" t="s">
        <v>753</v>
      </c>
      <c r="E6" s="814" t="s">
        <v>696</v>
      </c>
      <c r="F6" s="815"/>
      <c r="G6" s="815"/>
      <c r="H6" s="815"/>
      <c r="I6" s="815"/>
      <c r="J6" s="815"/>
      <c r="K6" s="815"/>
      <c r="L6" s="815"/>
      <c r="M6" s="815"/>
      <c r="N6" s="815"/>
      <c r="O6" s="815"/>
      <c r="P6" s="815"/>
      <c r="Q6" s="815"/>
      <c r="R6" s="815"/>
      <c r="S6" s="816"/>
    </row>
    <row r="7" spans="1:19" ht="15.75" customHeight="1">
      <c r="A7" s="817" t="s">
        <v>697</v>
      </c>
      <c r="B7" s="799" t="s">
        <v>10</v>
      </c>
      <c r="C7" s="818"/>
      <c r="D7" s="801"/>
      <c r="E7" s="819" t="s">
        <v>697</v>
      </c>
      <c r="F7" s="821">
        <v>1</v>
      </c>
      <c r="G7" s="822"/>
      <c r="H7" s="823">
        <v>2</v>
      </c>
      <c r="I7" s="824"/>
      <c r="J7" s="824">
        <v>3</v>
      </c>
      <c r="K7" s="825"/>
      <c r="L7" s="821">
        <v>4</v>
      </c>
      <c r="M7" s="822"/>
      <c r="N7" s="826">
        <v>5</v>
      </c>
      <c r="O7" s="827"/>
      <c r="P7" s="828">
        <v>6</v>
      </c>
      <c r="Q7" s="823"/>
      <c r="R7" s="825">
        <v>7</v>
      </c>
      <c r="S7" s="827"/>
    </row>
    <row r="8" spans="1:19" ht="15.75" customHeight="1">
      <c r="A8" s="817"/>
      <c r="B8" s="799"/>
      <c r="C8" s="818"/>
      <c r="D8" s="801"/>
      <c r="E8" s="820"/>
      <c r="F8" s="808" t="s">
        <v>598</v>
      </c>
      <c r="G8" s="809"/>
      <c r="H8" s="813" t="s">
        <v>646</v>
      </c>
      <c r="I8" s="806"/>
      <c r="J8" s="806" t="s">
        <v>365</v>
      </c>
      <c r="K8" s="807"/>
      <c r="L8" s="808" t="s">
        <v>492</v>
      </c>
      <c r="M8" s="809"/>
      <c r="N8" s="810" t="s">
        <v>193</v>
      </c>
      <c r="O8" s="811"/>
      <c r="P8" s="812" t="s">
        <v>194</v>
      </c>
      <c r="Q8" s="813"/>
      <c r="R8" s="807" t="s">
        <v>506</v>
      </c>
      <c r="S8" s="811"/>
    </row>
    <row r="9" spans="1:19" ht="15.75" customHeight="1">
      <c r="A9" s="817"/>
      <c r="B9" s="568" t="s">
        <v>11</v>
      </c>
      <c r="C9" s="569" t="s">
        <v>695</v>
      </c>
      <c r="D9" s="801"/>
      <c r="E9" s="820"/>
      <c r="F9" s="543" t="s">
        <v>11</v>
      </c>
      <c r="G9" s="544" t="s">
        <v>695</v>
      </c>
      <c r="H9" s="545" t="s">
        <v>11</v>
      </c>
      <c r="I9" s="546" t="s">
        <v>695</v>
      </c>
      <c r="J9" s="546" t="s">
        <v>11</v>
      </c>
      <c r="K9" s="547" t="s">
        <v>695</v>
      </c>
      <c r="L9" s="543" t="s">
        <v>11</v>
      </c>
      <c r="M9" s="544" t="s">
        <v>695</v>
      </c>
      <c r="N9" s="543" t="s">
        <v>11</v>
      </c>
      <c r="O9" s="544" t="s">
        <v>695</v>
      </c>
      <c r="P9" s="545" t="s">
        <v>11</v>
      </c>
      <c r="Q9" s="546" t="s">
        <v>695</v>
      </c>
      <c r="R9" s="546" t="s">
        <v>11</v>
      </c>
      <c r="S9" s="544" t="s">
        <v>695</v>
      </c>
    </row>
    <row r="10" spans="1:19" ht="15.75" customHeight="1">
      <c r="A10" s="261" t="s">
        <v>661</v>
      </c>
      <c r="B10" s="262">
        <v>135924.83199999997</v>
      </c>
      <c r="C10" s="393">
        <v>2.4130884874117753E-3</v>
      </c>
      <c r="D10" s="801"/>
      <c r="E10" s="548" t="s">
        <v>661</v>
      </c>
      <c r="F10" s="394">
        <v>0</v>
      </c>
      <c r="G10" s="549">
        <v>0</v>
      </c>
      <c r="H10" s="394">
        <v>0</v>
      </c>
      <c r="I10" s="550">
        <v>0</v>
      </c>
      <c r="J10" s="394">
        <v>2024.962</v>
      </c>
      <c r="K10" s="551">
        <v>1.489766049517722E-2</v>
      </c>
      <c r="L10" s="394">
        <v>11830.201000000001</v>
      </c>
      <c r="M10" s="549">
        <v>8.7034876747171586E-2</v>
      </c>
      <c r="N10" s="394">
        <v>5355.719000000001</v>
      </c>
      <c r="O10" s="549">
        <v>3.9402064517541593E-2</v>
      </c>
      <c r="P10" s="394">
        <v>975.32</v>
      </c>
      <c r="Q10" s="550">
        <v>7.175436494194087E-3</v>
      </c>
      <c r="R10" s="394">
        <v>1028.72</v>
      </c>
      <c r="S10" s="549">
        <v>7.568300691370362E-3</v>
      </c>
    </row>
    <row r="11" spans="1:19" ht="15.75" customHeight="1" thickBot="1">
      <c r="A11" s="395" t="s">
        <v>698</v>
      </c>
      <c r="B11" s="396">
        <v>225031.45703466871</v>
      </c>
      <c r="C11" s="397">
        <v>3.9950081989128866E-3</v>
      </c>
      <c r="D11" s="801"/>
      <c r="E11" s="552" t="s">
        <v>698</v>
      </c>
      <c r="F11" s="398">
        <v>0</v>
      </c>
      <c r="G11" s="553">
        <v>0</v>
      </c>
      <c r="H11" s="398">
        <v>0</v>
      </c>
      <c r="I11" s="554">
        <v>0</v>
      </c>
      <c r="J11" s="398">
        <v>0</v>
      </c>
      <c r="K11" s="555">
        <v>0</v>
      </c>
      <c r="L11" s="398">
        <v>14028.284370000025</v>
      </c>
      <c r="M11" s="553">
        <v>6.2339214947352027E-2</v>
      </c>
      <c r="N11" s="398">
        <v>9451.5417800000123</v>
      </c>
      <c r="O11" s="553">
        <v>4.2000980238704549E-2</v>
      </c>
      <c r="P11" s="398">
        <v>5143.9347000000053</v>
      </c>
      <c r="Q11" s="554">
        <v>2.2858736141976463E-2</v>
      </c>
      <c r="R11" s="398">
        <v>3592.5008000000012</v>
      </c>
      <c r="S11" s="553">
        <v>1.5964438249388993E-2</v>
      </c>
    </row>
    <row r="12" spans="1:19" ht="15.75" customHeight="1">
      <c r="A12" s="415"/>
      <c r="B12" s="184"/>
      <c r="C12" s="184"/>
      <c r="D12" s="801"/>
    </row>
    <row r="13" spans="1:19" ht="15.75" customHeight="1">
      <c r="A13" s="415"/>
      <c r="B13" s="184"/>
      <c r="C13" s="184"/>
      <c r="D13" s="801"/>
    </row>
    <row r="14" spans="1:19" ht="15.75" customHeight="1">
      <c r="A14" s="415"/>
      <c r="B14" s="184"/>
      <c r="C14" s="184"/>
      <c r="D14" s="801"/>
    </row>
    <row r="15" spans="1:19" ht="15.75" customHeight="1">
      <c r="A15" s="416"/>
      <c r="B15" s="417"/>
      <c r="C15" s="417"/>
      <c r="D15" s="801"/>
    </row>
    <row r="16" spans="1:19" ht="15.75" customHeight="1">
      <c r="A16" s="416"/>
      <c r="B16" s="417"/>
      <c r="C16" s="417"/>
      <c r="D16" s="801"/>
    </row>
  </sheetData>
  <mergeCells count="21"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  <mergeCell ref="J8:K8"/>
    <mergeCell ref="L8:M8"/>
    <mergeCell ref="A1:M2"/>
    <mergeCell ref="N8:O8"/>
    <mergeCell ref="P8:Q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9" customWidth="1"/>
    <col min="2" max="2" width="11.42578125" style="174" customWidth="1"/>
    <col min="3" max="3" width="4" style="160" customWidth="1"/>
    <col min="4" max="17" width="9.5703125" style="119" customWidth="1"/>
    <col min="18" max="16384" width="12.5703125" style="119"/>
  </cols>
  <sheetData>
    <row r="1" spans="1:17" ht="15.75" customHeight="1">
      <c r="A1" s="608" t="s">
        <v>185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</row>
    <row r="2" spans="1:17" s="120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</row>
    <row r="3" spans="1:17" ht="15.75" customHeight="1">
      <c r="A3" s="724" t="s">
        <v>191</v>
      </c>
      <c r="B3" s="725"/>
      <c r="C3" s="725"/>
      <c r="D3" s="725"/>
      <c r="E3" s="725"/>
      <c r="F3" s="725"/>
      <c r="G3" s="725"/>
      <c r="H3" s="725"/>
      <c r="I3" s="725"/>
      <c r="J3" s="725"/>
      <c r="K3" s="725"/>
      <c r="L3" s="725"/>
      <c r="M3" s="725"/>
      <c r="N3" s="151"/>
    </row>
    <row r="4" spans="1:17" s="120" customFormat="1" ht="15.75" customHeight="1">
      <c r="A4" s="725"/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5"/>
      <c r="N4" s="130"/>
    </row>
    <row r="5" spans="1:17" ht="15.75" customHeight="1">
      <c r="A5" s="625" t="s">
        <v>171</v>
      </c>
      <c r="B5" s="837">
        <v>1</v>
      </c>
      <c r="C5" s="837"/>
      <c r="D5" s="837">
        <v>2</v>
      </c>
      <c r="E5" s="837"/>
      <c r="F5" s="837">
        <v>3</v>
      </c>
      <c r="G5" s="837"/>
      <c r="H5" s="835">
        <v>4</v>
      </c>
      <c r="I5" s="835"/>
      <c r="J5" s="835">
        <v>5</v>
      </c>
      <c r="K5" s="835"/>
      <c r="L5" s="835">
        <v>6</v>
      </c>
      <c r="M5" s="835"/>
      <c r="N5" s="835">
        <v>7</v>
      </c>
      <c r="O5" s="835"/>
      <c r="P5" s="835">
        <v>8</v>
      </c>
      <c r="Q5" s="835"/>
    </row>
    <row r="6" spans="1:17" ht="15.75" customHeight="1">
      <c r="A6" s="625"/>
      <c r="B6" s="838" t="s">
        <v>302</v>
      </c>
      <c r="C6" s="838"/>
      <c r="D6" s="838" t="s">
        <v>192</v>
      </c>
      <c r="E6" s="838"/>
      <c r="F6" s="838" t="s">
        <v>163</v>
      </c>
      <c r="G6" s="838"/>
      <c r="H6" s="625" t="s">
        <v>492</v>
      </c>
      <c r="I6" s="625"/>
      <c r="J6" s="625" t="s">
        <v>169</v>
      </c>
      <c r="K6" s="625"/>
      <c r="L6" s="625" t="s">
        <v>164</v>
      </c>
      <c r="M6" s="625"/>
      <c r="N6" s="625" t="s">
        <v>170</v>
      </c>
      <c r="O6" s="625"/>
      <c r="P6" s="836" t="s">
        <v>195</v>
      </c>
      <c r="Q6" s="625"/>
    </row>
    <row r="8" spans="1:17" s="153" customFormat="1" ht="15.75" customHeight="1">
      <c r="A8" s="849" t="s">
        <v>636</v>
      </c>
      <c r="B8" s="850"/>
      <c r="C8" s="572" t="s">
        <v>536</v>
      </c>
      <c r="D8" s="854" t="s">
        <v>12</v>
      </c>
      <c r="E8" s="855"/>
      <c r="F8" s="856"/>
      <c r="G8" s="570" t="s">
        <v>637</v>
      </c>
      <c r="H8" s="571"/>
      <c r="I8" s="572"/>
      <c r="J8" s="169" t="s">
        <v>638</v>
      </c>
      <c r="K8" s="169" t="s">
        <v>639</v>
      </c>
      <c r="L8" s="169" t="s">
        <v>640</v>
      </c>
      <c r="M8" s="169" t="s">
        <v>11</v>
      </c>
      <c r="N8" s="319" t="s">
        <v>13</v>
      </c>
      <c r="O8" s="847" t="s">
        <v>50</v>
      </c>
      <c r="P8" s="848"/>
    </row>
    <row r="9" spans="1:17" ht="15.75" customHeight="1">
      <c r="A9" s="762">
        <v>1</v>
      </c>
      <c r="B9" s="851" t="s">
        <v>598</v>
      </c>
      <c r="C9" s="170">
        <v>1</v>
      </c>
      <c r="D9" s="586">
        <v>0</v>
      </c>
      <c r="E9" s="845"/>
      <c r="F9" s="846"/>
      <c r="G9" s="586">
        <v>0</v>
      </c>
      <c r="H9" s="845"/>
      <c r="I9" s="846"/>
      <c r="J9" s="4">
        <v>0</v>
      </c>
      <c r="K9" s="14">
        <v>0</v>
      </c>
      <c r="L9" s="4">
        <v>0</v>
      </c>
      <c r="M9" s="399">
        <v>0</v>
      </c>
      <c r="N9" s="171"/>
      <c r="O9" s="831"/>
      <c r="P9" s="832"/>
    </row>
    <row r="10" spans="1:17" ht="15.75" customHeight="1">
      <c r="A10" s="763"/>
      <c r="B10" s="852"/>
      <c r="C10" s="170">
        <v>2</v>
      </c>
      <c r="D10" s="586">
        <v>0</v>
      </c>
      <c r="E10" s="845"/>
      <c r="F10" s="846"/>
      <c r="G10" s="586">
        <v>0</v>
      </c>
      <c r="H10" s="845"/>
      <c r="I10" s="846"/>
      <c r="J10" s="4">
        <v>0</v>
      </c>
      <c r="K10" s="14">
        <v>0</v>
      </c>
      <c r="L10" s="4">
        <v>0</v>
      </c>
      <c r="M10" s="399">
        <v>0</v>
      </c>
      <c r="N10" s="171"/>
      <c r="O10" s="831"/>
      <c r="P10" s="832"/>
    </row>
    <row r="11" spans="1:17" ht="15.75" customHeight="1">
      <c r="A11" s="763"/>
      <c r="B11" s="852"/>
      <c r="C11" s="170">
        <v>3</v>
      </c>
      <c r="D11" s="586">
        <v>0</v>
      </c>
      <c r="E11" s="845"/>
      <c r="F11" s="846"/>
      <c r="G11" s="586">
        <v>0</v>
      </c>
      <c r="H11" s="845"/>
      <c r="I11" s="846"/>
      <c r="J11" s="4">
        <v>0</v>
      </c>
      <c r="K11" s="14">
        <v>0</v>
      </c>
      <c r="L11" s="4">
        <v>0</v>
      </c>
      <c r="M11" s="399">
        <v>0</v>
      </c>
      <c r="N11" s="171"/>
      <c r="O11" s="831"/>
      <c r="P11" s="832"/>
    </row>
    <row r="12" spans="1:17" ht="15.75" customHeight="1">
      <c r="A12" s="763"/>
      <c r="B12" s="852"/>
      <c r="C12" s="170">
        <v>4</v>
      </c>
      <c r="D12" s="586">
        <v>0</v>
      </c>
      <c r="E12" s="845"/>
      <c r="F12" s="846"/>
      <c r="G12" s="586">
        <v>0</v>
      </c>
      <c r="H12" s="845"/>
      <c r="I12" s="846"/>
      <c r="J12" s="4">
        <v>0</v>
      </c>
      <c r="K12" s="14">
        <v>0</v>
      </c>
      <c r="L12" s="4">
        <v>0</v>
      </c>
      <c r="M12" s="399">
        <v>0</v>
      </c>
      <c r="N12" s="171"/>
      <c r="O12" s="831"/>
      <c r="P12" s="832"/>
    </row>
    <row r="13" spans="1:17" ht="15.75" customHeight="1" thickBot="1">
      <c r="A13" s="763"/>
      <c r="B13" s="852"/>
      <c r="C13" s="172">
        <v>5</v>
      </c>
      <c r="D13" s="842">
        <v>0</v>
      </c>
      <c r="E13" s="843"/>
      <c r="F13" s="844"/>
      <c r="G13" s="842">
        <v>0</v>
      </c>
      <c r="H13" s="843"/>
      <c r="I13" s="844"/>
      <c r="J13" s="4">
        <v>0</v>
      </c>
      <c r="K13" s="14">
        <v>0</v>
      </c>
      <c r="L13" s="4">
        <v>0</v>
      </c>
      <c r="M13" s="399">
        <v>0</v>
      </c>
      <c r="N13" s="171"/>
      <c r="O13" s="833"/>
      <c r="P13" s="834"/>
    </row>
    <row r="14" spans="1:17" ht="15.75" customHeight="1" thickTop="1" thickBot="1">
      <c r="A14" s="764"/>
      <c r="B14" s="853"/>
      <c r="C14" s="857"/>
      <c r="D14" s="858"/>
      <c r="E14" s="858"/>
      <c r="F14" s="858"/>
      <c r="G14" s="858"/>
      <c r="H14" s="858"/>
      <c r="I14" s="859"/>
      <c r="J14" s="318" t="s">
        <v>642</v>
      </c>
      <c r="K14" s="244">
        <v>0</v>
      </c>
      <c r="L14" s="318" t="s">
        <v>643</v>
      </c>
      <c r="M14" s="400">
        <v>0</v>
      </c>
      <c r="N14" s="839"/>
      <c r="O14" s="840"/>
      <c r="P14" s="841"/>
    </row>
    <row r="15" spans="1:17" ht="15.75" customHeight="1" thickTop="1"/>
    <row r="16" spans="1:17" ht="15.75" customHeight="1">
      <c r="A16" s="849" t="s">
        <v>636</v>
      </c>
      <c r="B16" s="850"/>
      <c r="C16" s="572" t="s">
        <v>536</v>
      </c>
      <c r="D16" s="854" t="s">
        <v>12</v>
      </c>
      <c r="E16" s="855"/>
      <c r="F16" s="856"/>
      <c r="G16" s="570" t="s">
        <v>637</v>
      </c>
      <c r="H16" s="571"/>
      <c r="I16" s="572"/>
      <c r="J16" s="169" t="s">
        <v>638</v>
      </c>
      <c r="K16" s="169" t="s">
        <v>639</v>
      </c>
      <c r="L16" s="169" t="s">
        <v>640</v>
      </c>
      <c r="M16" s="169" t="s">
        <v>11</v>
      </c>
      <c r="N16" s="319" t="s">
        <v>13</v>
      </c>
      <c r="O16" s="847" t="s">
        <v>50</v>
      </c>
      <c r="P16" s="848"/>
    </row>
    <row r="17" spans="1:16" ht="15.75" customHeight="1">
      <c r="A17" s="762">
        <v>2</v>
      </c>
      <c r="B17" s="851" t="s">
        <v>646</v>
      </c>
      <c r="C17" s="170">
        <v>1</v>
      </c>
      <c r="D17" s="586" t="s">
        <v>574</v>
      </c>
      <c r="E17" s="845"/>
      <c r="F17" s="846"/>
      <c r="G17" s="586" t="s">
        <v>754</v>
      </c>
      <c r="H17" s="845"/>
      <c r="I17" s="846"/>
      <c r="J17" s="4">
        <v>116.39</v>
      </c>
      <c r="K17" s="14">
        <v>6.8460051546391745E-2</v>
      </c>
      <c r="L17" s="4">
        <v>1.7</v>
      </c>
      <c r="M17" s="399">
        <v>197.863</v>
      </c>
      <c r="N17" s="171"/>
      <c r="O17" s="829" t="s">
        <v>628</v>
      </c>
      <c r="P17" s="830"/>
    </row>
    <row r="18" spans="1:16" ht="15.75" customHeight="1">
      <c r="A18" s="763"/>
      <c r="B18" s="852"/>
      <c r="C18" s="170">
        <v>2</v>
      </c>
      <c r="D18" s="586" t="s">
        <v>561</v>
      </c>
      <c r="E18" s="845"/>
      <c r="F18" s="846"/>
      <c r="G18" s="586" t="s">
        <v>755</v>
      </c>
      <c r="H18" s="845"/>
      <c r="I18" s="846"/>
      <c r="J18" s="4">
        <v>149.55000000000001</v>
      </c>
      <c r="K18" s="14">
        <v>5.9252506836827708E-2</v>
      </c>
      <c r="L18" s="4">
        <v>1.3</v>
      </c>
      <c r="M18" s="399">
        <v>194.41500000000002</v>
      </c>
      <c r="N18" s="171"/>
      <c r="O18" s="829" t="s">
        <v>628</v>
      </c>
      <c r="P18" s="830"/>
    </row>
    <row r="19" spans="1:16" ht="15.75" customHeight="1">
      <c r="A19" s="763"/>
      <c r="B19" s="852"/>
      <c r="C19" s="170">
        <v>3</v>
      </c>
      <c r="D19" s="586" t="s">
        <v>756</v>
      </c>
      <c r="E19" s="845"/>
      <c r="F19" s="846"/>
      <c r="G19" s="586" t="s">
        <v>757</v>
      </c>
      <c r="H19" s="845"/>
      <c r="I19" s="846"/>
      <c r="J19" s="4">
        <v>117.98</v>
      </c>
      <c r="K19" s="14">
        <v>3.937007874015748E-2</v>
      </c>
      <c r="L19" s="4">
        <v>1.6</v>
      </c>
      <c r="M19" s="399">
        <v>188.76800000000003</v>
      </c>
      <c r="N19" s="171"/>
      <c r="O19" s="829" t="s">
        <v>628</v>
      </c>
      <c r="P19" s="830"/>
    </row>
    <row r="20" spans="1:16" ht="15.75" customHeight="1">
      <c r="A20" s="763"/>
      <c r="B20" s="852"/>
      <c r="C20" s="170">
        <v>4</v>
      </c>
      <c r="D20" s="586" t="s">
        <v>620</v>
      </c>
      <c r="E20" s="845"/>
      <c r="F20" s="846"/>
      <c r="G20" s="586" t="s">
        <v>758</v>
      </c>
      <c r="H20" s="845"/>
      <c r="I20" s="846"/>
      <c r="J20" s="4">
        <v>122.61</v>
      </c>
      <c r="K20" s="14">
        <v>5.6841250507511161E-2</v>
      </c>
      <c r="L20" s="4">
        <v>1.4</v>
      </c>
      <c r="M20" s="399">
        <v>171.654</v>
      </c>
      <c r="N20" s="171"/>
      <c r="O20" s="831" t="s">
        <v>628</v>
      </c>
      <c r="P20" s="832"/>
    </row>
    <row r="21" spans="1:16" ht="15.75" customHeight="1" thickBot="1">
      <c r="A21" s="763"/>
      <c r="B21" s="852"/>
      <c r="C21" s="172">
        <v>5</v>
      </c>
      <c r="D21" s="586">
        <v>0</v>
      </c>
      <c r="E21" s="845"/>
      <c r="F21" s="846"/>
      <c r="G21" s="586">
        <v>0</v>
      </c>
      <c r="H21" s="845"/>
      <c r="I21" s="846"/>
      <c r="J21" s="4">
        <v>0</v>
      </c>
      <c r="K21" s="14">
        <v>0</v>
      </c>
      <c r="L21" s="4">
        <v>0</v>
      </c>
      <c r="M21" s="399">
        <v>0</v>
      </c>
      <c r="N21" s="173"/>
      <c r="O21" s="833"/>
      <c r="P21" s="834"/>
    </row>
    <row r="22" spans="1:16" ht="15.75" customHeight="1" thickTop="1" thickBot="1">
      <c r="A22" s="764"/>
      <c r="B22" s="853"/>
      <c r="C22" s="860"/>
      <c r="D22" s="861"/>
      <c r="E22" s="861"/>
      <c r="F22" s="861"/>
      <c r="G22" s="861"/>
      <c r="H22" s="861"/>
      <c r="I22" s="862"/>
      <c r="J22" s="318" t="s">
        <v>642</v>
      </c>
      <c r="K22" s="244">
        <v>5.5376194984004118E-3</v>
      </c>
      <c r="L22" s="318" t="s">
        <v>643</v>
      </c>
      <c r="M22" s="400">
        <v>752.7</v>
      </c>
      <c r="N22" s="863"/>
      <c r="O22" s="864"/>
      <c r="P22" s="865"/>
    </row>
    <row r="23" spans="1:16" ht="15.75" customHeight="1" thickTop="1"/>
    <row r="24" spans="1:16" ht="15.75" customHeight="1">
      <c r="A24" s="849" t="s">
        <v>636</v>
      </c>
      <c r="B24" s="850"/>
      <c r="C24" s="572" t="s">
        <v>536</v>
      </c>
      <c r="D24" s="854" t="s">
        <v>12</v>
      </c>
      <c r="E24" s="855"/>
      <c r="F24" s="856"/>
      <c r="G24" s="570" t="s">
        <v>637</v>
      </c>
      <c r="H24" s="571"/>
      <c r="I24" s="572"/>
      <c r="J24" s="169" t="s">
        <v>638</v>
      </c>
      <c r="K24" s="169" t="s">
        <v>639</v>
      </c>
      <c r="L24" s="169" t="s">
        <v>640</v>
      </c>
      <c r="M24" s="169" t="s">
        <v>11</v>
      </c>
      <c r="N24" s="319" t="s">
        <v>13</v>
      </c>
      <c r="O24" s="847" t="s">
        <v>50</v>
      </c>
      <c r="P24" s="848"/>
    </row>
    <row r="25" spans="1:16" ht="15.75" customHeight="1">
      <c r="A25" s="762">
        <v>3</v>
      </c>
      <c r="B25" s="851" t="s">
        <v>365</v>
      </c>
      <c r="C25" s="170">
        <v>1</v>
      </c>
      <c r="D25" s="586" t="s">
        <v>345</v>
      </c>
      <c r="E25" s="845"/>
      <c r="F25" s="846"/>
      <c r="G25" s="586" t="s">
        <v>759</v>
      </c>
      <c r="H25" s="845"/>
      <c r="I25" s="846"/>
      <c r="J25" s="4">
        <v>95.43</v>
      </c>
      <c r="K25" s="14">
        <v>3.2414910858995137E-2</v>
      </c>
      <c r="L25" s="4">
        <v>2</v>
      </c>
      <c r="M25" s="399">
        <v>190.86</v>
      </c>
      <c r="N25" s="171"/>
      <c r="O25" s="831" t="s">
        <v>513</v>
      </c>
      <c r="P25" s="832"/>
    </row>
    <row r="26" spans="1:16" ht="15.75" customHeight="1">
      <c r="A26" s="763"/>
      <c r="B26" s="852"/>
      <c r="C26" s="170">
        <v>2</v>
      </c>
      <c r="D26" s="586" t="s">
        <v>587</v>
      </c>
      <c r="E26" s="845"/>
      <c r="F26" s="846"/>
      <c r="G26" s="586" t="s">
        <v>743</v>
      </c>
      <c r="H26" s="845"/>
      <c r="I26" s="846"/>
      <c r="J26" s="4">
        <v>143.99</v>
      </c>
      <c r="K26" s="14">
        <v>2.5098947774881745E-2</v>
      </c>
      <c r="L26" s="4">
        <v>1.3</v>
      </c>
      <c r="M26" s="399">
        <v>187.18700000000001</v>
      </c>
      <c r="N26" s="171"/>
      <c r="O26" s="831" t="s">
        <v>513</v>
      </c>
      <c r="P26" s="832"/>
    </row>
    <row r="27" spans="1:16" ht="15.75" customHeight="1">
      <c r="A27" s="763"/>
      <c r="B27" s="852"/>
      <c r="C27" s="170">
        <v>3</v>
      </c>
      <c r="D27" s="586" t="s">
        <v>572</v>
      </c>
      <c r="E27" s="845"/>
      <c r="F27" s="846"/>
      <c r="G27" s="586" t="s">
        <v>740</v>
      </c>
      <c r="H27" s="845"/>
      <c r="I27" s="846"/>
      <c r="J27" s="4">
        <v>96.32</v>
      </c>
      <c r="K27" s="14">
        <v>3.2688734429839647E-2</v>
      </c>
      <c r="L27" s="4">
        <v>1.9</v>
      </c>
      <c r="M27" s="399">
        <v>183.00799999999998</v>
      </c>
      <c r="N27" s="171"/>
      <c r="O27" s="831" t="s">
        <v>513</v>
      </c>
      <c r="P27" s="832"/>
    </row>
    <row r="28" spans="1:16" ht="15.75" customHeight="1">
      <c r="A28" s="763"/>
      <c r="B28" s="852"/>
      <c r="C28" s="170">
        <v>4</v>
      </c>
      <c r="D28" s="586">
        <v>0</v>
      </c>
      <c r="E28" s="845"/>
      <c r="F28" s="846"/>
      <c r="G28" s="586">
        <v>0</v>
      </c>
      <c r="H28" s="845"/>
      <c r="I28" s="846"/>
      <c r="J28" s="4">
        <v>0</v>
      </c>
      <c r="K28" s="14">
        <v>0</v>
      </c>
      <c r="L28" s="4">
        <v>0</v>
      </c>
      <c r="M28" s="399">
        <v>0</v>
      </c>
      <c r="N28" s="171"/>
      <c r="O28" s="831"/>
      <c r="P28" s="832"/>
    </row>
    <row r="29" spans="1:16" ht="15.75" customHeight="1" thickBot="1">
      <c r="A29" s="763"/>
      <c r="B29" s="852"/>
      <c r="C29" s="172">
        <v>5</v>
      </c>
      <c r="D29" s="586">
        <v>0</v>
      </c>
      <c r="E29" s="845"/>
      <c r="F29" s="846"/>
      <c r="G29" s="586">
        <v>0</v>
      </c>
      <c r="H29" s="845"/>
      <c r="I29" s="846"/>
      <c r="J29" s="4">
        <v>0</v>
      </c>
      <c r="K29" s="14">
        <v>0</v>
      </c>
      <c r="L29" s="4">
        <v>0</v>
      </c>
      <c r="M29" s="399">
        <v>0</v>
      </c>
      <c r="N29" s="173"/>
      <c r="O29" s="833"/>
      <c r="P29" s="834"/>
    </row>
    <row r="30" spans="1:16" ht="15.75" customHeight="1" thickTop="1" thickBot="1">
      <c r="A30" s="764"/>
      <c r="B30" s="853"/>
      <c r="C30" s="857"/>
      <c r="D30" s="858"/>
      <c r="E30" s="858"/>
      <c r="F30" s="858"/>
      <c r="G30" s="858"/>
      <c r="H30" s="858"/>
      <c r="I30" s="859"/>
      <c r="J30" s="318" t="s">
        <v>642</v>
      </c>
      <c r="K30" s="244">
        <v>4.1276858079912892E-3</v>
      </c>
      <c r="L30" s="318" t="s">
        <v>643</v>
      </c>
      <c r="M30" s="400">
        <v>561.05500000000006</v>
      </c>
      <c r="N30" s="866"/>
      <c r="O30" s="864"/>
      <c r="P30" s="865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7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9" customFormat="1" ht="15.75" customHeight="1">
      <c r="A1" s="608" t="s">
        <v>185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</row>
    <row r="2" spans="1:17" s="120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</row>
    <row r="3" spans="1:17" s="119" customFormat="1" ht="15.75" customHeight="1">
      <c r="A3" s="724" t="s">
        <v>191</v>
      </c>
      <c r="B3" s="725"/>
      <c r="C3" s="725"/>
      <c r="D3" s="725"/>
      <c r="E3" s="725"/>
      <c r="F3" s="725"/>
      <c r="G3" s="725"/>
      <c r="H3" s="725"/>
      <c r="I3" s="725"/>
      <c r="J3" s="725"/>
      <c r="K3" s="725"/>
      <c r="L3" s="725"/>
      <c r="M3" s="725"/>
      <c r="N3" s="151"/>
    </row>
    <row r="4" spans="1:17" s="120" customFormat="1" ht="15.75" customHeight="1">
      <c r="A4" s="725"/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5"/>
      <c r="N4" s="130"/>
    </row>
    <row r="5" spans="1:17" s="119" customFormat="1" ht="15.75" customHeight="1">
      <c r="A5" s="625" t="s">
        <v>171</v>
      </c>
      <c r="B5" s="835">
        <v>1</v>
      </c>
      <c r="C5" s="835"/>
      <c r="D5" s="835">
        <v>2</v>
      </c>
      <c r="E5" s="835"/>
      <c r="F5" s="835">
        <v>3</v>
      </c>
      <c r="G5" s="835"/>
      <c r="H5" s="837">
        <v>4</v>
      </c>
      <c r="I5" s="837"/>
      <c r="J5" s="837">
        <v>5</v>
      </c>
      <c r="K5" s="837"/>
      <c r="L5" s="837">
        <v>6</v>
      </c>
      <c r="M5" s="837"/>
      <c r="N5" s="837">
        <v>7</v>
      </c>
      <c r="O5" s="837"/>
      <c r="P5" s="835">
        <v>8</v>
      </c>
      <c r="Q5" s="835"/>
    </row>
    <row r="6" spans="1:17" s="119" customFormat="1" ht="15.75" customHeight="1">
      <c r="A6" s="625"/>
      <c r="B6" s="625" t="s">
        <v>303</v>
      </c>
      <c r="C6" s="625"/>
      <c r="D6" s="625" t="s">
        <v>192</v>
      </c>
      <c r="E6" s="625"/>
      <c r="F6" s="625" t="s">
        <v>163</v>
      </c>
      <c r="G6" s="625"/>
      <c r="H6" s="838" t="s">
        <v>492</v>
      </c>
      <c r="I6" s="838"/>
      <c r="J6" s="838" t="s">
        <v>169</v>
      </c>
      <c r="K6" s="838"/>
      <c r="L6" s="838" t="s">
        <v>164</v>
      </c>
      <c r="M6" s="838"/>
      <c r="N6" s="838" t="s">
        <v>170</v>
      </c>
      <c r="O6" s="838"/>
      <c r="P6" s="836" t="s">
        <v>195</v>
      </c>
      <c r="Q6" s="625"/>
    </row>
    <row r="7" spans="1:17" s="119" customFormat="1" ht="15.75" customHeight="1">
      <c r="B7" s="174"/>
      <c r="C7" s="160"/>
    </row>
    <row r="8" spans="1:17" s="109" customFormat="1" ht="15.75" customHeight="1">
      <c r="A8" s="868" t="s">
        <v>636</v>
      </c>
      <c r="B8" s="869"/>
      <c r="C8" s="116" t="s">
        <v>536</v>
      </c>
      <c r="D8" s="870" t="s">
        <v>12</v>
      </c>
      <c r="E8" s="871"/>
      <c r="F8" s="872"/>
      <c r="G8" s="114" t="s">
        <v>637</v>
      </c>
      <c r="H8" s="115"/>
      <c r="I8" s="116"/>
      <c r="J8" s="113" t="s">
        <v>638</v>
      </c>
      <c r="K8" s="113" t="s">
        <v>639</v>
      </c>
      <c r="L8" s="113" t="s">
        <v>640</v>
      </c>
      <c r="M8" s="117" t="s">
        <v>11</v>
      </c>
      <c r="N8" s="319" t="s">
        <v>13</v>
      </c>
      <c r="O8" s="873" t="s">
        <v>50</v>
      </c>
      <c r="P8" s="874"/>
    </row>
    <row r="9" spans="1:17" ht="15.75" customHeight="1">
      <c r="A9" s="869">
        <v>4</v>
      </c>
      <c r="B9" s="875" t="s">
        <v>492</v>
      </c>
      <c r="C9" s="111">
        <v>1</v>
      </c>
      <c r="D9" s="586" t="s">
        <v>345</v>
      </c>
      <c r="E9" s="845"/>
      <c r="F9" s="846"/>
      <c r="G9" s="586" t="s">
        <v>760</v>
      </c>
      <c r="H9" s="845"/>
      <c r="I9" s="846"/>
      <c r="J9" s="4">
        <v>90.4</v>
      </c>
      <c r="K9" s="14">
        <v>1.4813617754794227E-2</v>
      </c>
      <c r="L9" s="4">
        <v>2.2000000000000002</v>
      </c>
      <c r="M9" s="399">
        <v>198.88000000000002</v>
      </c>
      <c r="N9" s="4"/>
      <c r="O9" s="831" t="s">
        <v>644</v>
      </c>
      <c r="P9" s="867"/>
      <c r="Q9" s="260"/>
    </row>
    <row r="10" spans="1:17" ht="15.75" customHeight="1">
      <c r="A10" s="869"/>
      <c r="B10" s="875"/>
      <c r="C10" s="111">
        <v>2</v>
      </c>
      <c r="D10" s="586" t="s">
        <v>330</v>
      </c>
      <c r="E10" s="845"/>
      <c r="F10" s="846"/>
      <c r="G10" s="586" t="s">
        <v>761</v>
      </c>
      <c r="H10" s="845"/>
      <c r="I10" s="846"/>
      <c r="J10" s="4">
        <v>116.66</v>
      </c>
      <c r="K10" s="14">
        <v>8.6739561914189068E-3</v>
      </c>
      <c r="L10" s="4">
        <v>1.7</v>
      </c>
      <c r="M10" s="399">
        <v>198.322</v>
      </c>
      <c r="N10" s="4"/>
      <c r="O10" s="831" t="s">
        <v>644</v>
      </c>
      <c r="P10" s="867"/>
      <c r="Q10" s="260"/>
    </row>
    <row r="11" spans="1:17" ht="15.75" customHeight="1">
      <c r="A11" s="869"/>
      <c r="B11" s="875"/>
      <c r="C11" s="111">
        <v>3</v>
      </c>
      <c r="D11" s="586" t="s">
        <v>702</v>
      </c>
      <c r="E11" s="845"/>
      <c r="F11" s="846"/>
      <c r="G11" s="586" t="s">
        <v>744</v>
      </c>
      <c r="H11" s="845"/>
      <c r="I11" s="846"/>
      <c r="J11" s="4">
        <v>70.62</v>
      </c>
      <c r="K11" s="14">
        <v>1.1566424322538002E-2</v>
      </c>
      <c r="L11" s="4">
        <v>2.8</v>
      </c>
      <c r="M11" s="399">
        <v>197.73599999999999</v>
      </c>
      <c r="N11" s="4"/>
      <c r="O11" s="831" t="s">
        <v>644</v>
      </c>
      <c r="P11" s="867"/>
      <c r="Q11" s="260"/>
    </row>
    <row r="12" spans="1:17" ht="15.75" customHeight="1">
      <c r="A12" s="869"/>
      <c r="B12" s="875"/>
      <c r="C12" s="111">
        <v>4</v>
      </c>
      <c r="D12" s="586" t="s">
        <v>624</v>
      </c>
      <c r="E12" s="845"/>
      <c r="F12" s="846"/>
      <c r="G12" s="586" t="s">
        <v>762</v>
      </c>
      <c r="H12" s="845"/>
      <c r="I12" s="846"/>
      <c r="J12" s="4">
        <v>103.55</v>
      </c>
      <c r="K12" s="14">
        <v>7.6440296105568066E-3</v>
      </c>
      <c r="L12" s="4">
        <v>1.9</v>
      </c>
      <c r="M12" s="399">
        <v>196.74499999999998</v>
      </c>
      <c r="N12" s="4"/>
      <c r="O12" s="831" t="s">
        <v>644</v>
      </c>
      <c r="P12" s="867"/>
      <c r="Q12" s="260"/>
    </row>
    <row r="13" spans="1:17" ht="15.75" customHeight="1" thickBot="1">
      <c r="A13" s="869"/>
      <c r="B13" s="875"/>
      <c r="C13" s="112">
        <v>5</v>
      </c>
      <c r="D13" s="586" t="s">
        <v>588</v>
      </c>
      <c r="E13" s="845"/>
      <c r="F13" s="846"/>
      <c r="G13" s="586" t="s">
        <v>745</v>
      </c>
      <c r="H13" s="845"/>
      <c r="I13" s="846"/>
      <c r="J13" s="4">
        <v>109.01</v>
      </c>
      <c r="K13" s="14">
        <v>1.8828451882845189E-2</v>
      </c>
      <c r="L13" s="4">
        <v>1.8</v>
      </c>
      <c r="M13" s="399">
        <v>196.21800000000002</v>
      </c>
      <c r="N13" s="27"/>
      <c r="O13" s="831" t="s">
        <v>644</v>
      </c>
      <c r="P13" s="867"/>
      <c r="Q13" s="260"/>
    </row>
    <row r="14" spans="1:17" ht="15.75" customHeight="1" thickTop="1" thickBot="1">
      <c r="A14" s="869"/>
      <c r="B14" s="875"/>
      <c r="C14" s="877"/>
      <c r="D14" s="877"/>
      <c r="E14" s="877"/>
      <c r="F14" s="877"/>
      <c r="G14" s="877"/>
      <c r="H14" s="877"/>
      <c r="I14" s="877"/>
      <c r="J14" s="245" t="s">
        <v>642</v>
      </c>
      <c r="K14" s="244">
        <v>7.26799500476852E-3</v>
      </c>
      <c r="L14" s="245" t="s">
        <v>643</v>
      </c>
      <c r="M14" s="400">
        <v>987.90100000000007</v>
      </c>
      <c r="N14" s="876"/>
      <c r="O14" s="876"/>
      <c r="P14" s="876"/>
      <c r="Q14" s="260"/>
    </row>
    <row r="15" spans="1:17" ht="15.75" customHeight="1" thickTop="1">
      <c r="A15" s="567"/>
      <c r="D15" s="567"/>
      <c r="E15" s="567"/>
      <c r="F15" s="567"/>
      <c r="G15" s="567"/>
      <c r="H15" s="567"/>
      <c r="I15" s="567"/>
      <c r="J15" s="567"/>
      <c r="K15" s="567"/>
      <c r="L15" s="567"/>
      <c r="M15" s="567"/>
      <c r="N15" s="567"/>
      <c r="O15" s="567"/>
      <c r="P15" s="567"/>
      <c r="Q15" s="260"/>
    </row>
    <row r="16" spans="1:17" ht="15.75" customHeight="1">
      <c r="A16" s="868" t="s">
        <v>636</v>
      </c>
      <c r="B16" s="869"/>
      <c r="C16" s="116" t="s">
        <v>536</v>
      </c>
      <c r="D16" s="870" t="s">
        <v>12</v>
      </c>
      <c r="E16" s="871"/>
      <c r="F16" s="872"/>
      <c r="G16" s="114" t="s">
        <v>637</v>
      </c>
      <c r="H16" s="115"/>
      <c r="I16" s="116"/>
      <c r="J16" s="113" t="s">
        <v>638</v>
      </c>
      <c r="K16" s="113" t="s">
        <v>639</v>
      </c>
      <c r="L16" s="113" t="s">
        <v>640</v>
      </c>
      <c r="M16" s="117" t="s">
        <v>11</v>
      </c>
      <c r="N16" s="319" t="s">
        <v>13</v>
      </c>
      <c r="O16" s="873" t="s">
        <v>50</v>
      </c>
      <c r="P16" s="874"/>
      <c r="Q16" s="260"/>
    </row>
    <row r="17" spans="1:17" ht="15.75" customHeight="1">
      <c r="A17" s="869">
        <v>5</v>
      </c>
      <c r="B17" s="878" t="s">
        <v>193</v>
      </c>
      <c r="C17" s="111">
        <v>1</v>
      </c>
      <c r="D17" s="586" t="s">
        <v>509</v>
      </c>
      <c r="E17" s="845"/>
      <c r="F17" s="846"/>
      <c r="G17" s="586" t="s">
        <v>735</v>
      </c>
      <c r="H17" s="845"/>
      <c r="I17" s="846"/>
      <c r="J17" s="4">
        <v>278.12</v>
      </c>
      <c r="K17" s="14">
        <v>2.7777777777777776E-2</v>
      </c>
      <c r="L17" s="4">
        <v>0.7</v>
      </c>
      <c r="M17" s="399">
        <v>194.684</v>
      </c>
      <c r="N17" s="4"/>
      <c r="O17" s="831" t="s">
        <v>505</v>
      </c>
      <c r="P17" s="867"/>
      <c r="Q17" s="260"/>
    </row>
    <row r="18" spans="1:17" ht="15.75" customHeight="1">
      <c r="A18" s="869"/>
      <c r="B18" s="875"/>
      <c r="C18" s="111">
        <v>2</v>
      </c>
      <c r="D18" s="586" t="s">
        <v>330</v>
      </c>
      <c r="E18" s="845"/>
      <c r="F18" s="846"/>
      <c r="G18" s="586" t="s">
        <v>709</v>
      </c>
      <c r="H18" s="845"/>
      <c r="I18" s="846"/>
      <c r="J18" s="4">
        <v>136.88999999999999</v>
      </c>
      <c r="K18" s="14">
        <v>5.3407799064600541E-3</v>
      </c>
      <c r="L18" s="4">
        <v>1.4</v>
      </c>
      <c r="M18" s="399">
        <v>191.64599999999996</v>
      </c>
      <c r="N18" s="4"/>
      <c r="O18" s="831" t="s">
        <v>505</v>
      </c>
      <c r="P18" s="867"/>
      <c r="Q18" s="260"/>
    </row>
    <row r="19" spans="1:17" ht="15.75" customHeight="1">
      <c r="A19" s="869"/>
      <c r="B19" s="875"/>
      <c r="C19" s="111">
        <v>3</v>
      </c>
      <c r="D19" s="586" t="s">
        <v>327</v>
      </c>
      <c r="E19" s="845"/>
      <c r="F19" s="846"/>
      <c r="G19" s="586" t="s">
        <v>710</v>
      </c>
      <c r="H19" s="845"/>
      <c r="I19" s="846"/>
      <c r="J19" s="4">
        <v>272.74</v>
      </c>
      <c r="K19" s="14">
        <v>1.3363879343260785E-2</v>
      </c>
      <c r="L19" s="4">
        <v>0.7</v>
      </c>
      <c r="M19" s="399">
        <v>190.91800000000001</v>
      </c>
      <c r="N19" s="4"/>
      <c r="O19" s="831" t="s">
        <v>505</v>
      </c>
      <c r="P19" s="867"/>
      <c r="Q19" s="260"/>
    </row>
    <row r="20" spans="1:17" ht="15.75" customHeight="1">
      <c r="A20" s="869"/>
      <c r="B20" s="875"/>
      <c r="C20" s="111">
        <v>4</v>
      </c>
      <c r="D20" s="586" t="s">
        <v>587</v>
      </c>
      <c r="E20" s="845"/>
      <c r="F20" s="846"/>
      <c r="G20" s="586" t="s">
        <v>649</v>
      </c>
      <c r="H20" s="845"/>
      <c r="I20" s="846"/>
      <c r="J20" s="4">
        <v>272.57</v>
      </c>
      <c r="K20" s="14">
        <v>1.351481803262863E-2</v>
      </c>
      <c r="L20" s="4">
        <v>0.7</v>
      </c>
      <c r="M20" s="399">
        <v>190.79899999999998</v>
      </c>
      <c r="N20" s="4"/>
      <c r="O20" s="831" t="s">
        <v>505</v>
      </c>
      <c r="P20" s="867"/>
      <c r="Q20" s="260"/>
    </row>
    <row r="21" spans="1:17" ht="15.75" customHeight="1" thickBot="1">
      <c r="A21" s="869"/>
      <c r="B21" s="875"/>
      <c r="C21" s="112">
        <v>5</v>
      </c>
      <c r="D21" s="586" t="s">
        <v>491</v>
      </c>
      <c r="E21" s="845"/>
      <c r="F21" s="846"/>
      <c r="G21" s="586" t="s">
        <v>763</v>
      </c>
      <c r="H21" s="845"/>
      <c r="I21" s="846"/>
      <c r="J21" s="4">
        <v>237.97</v>
      </c>
      <c r="K21" s="14">
        <v>3.0480835174883796E-2</v>
      </c>
      <c r="L21" s="4">
        <v>0.8</v>
      </c>
      <c r="M21" s="399">
        <v>190.376</v>
      </c>
      <c r="N21" s="4"/>
      <c r="O21" s="831" t="s">
        <v>505</v>
      </c>
      <c r="P21" s="867"/>
      <c r="Q21" s="260"/>
    </row>
    <row r="22" spans="1:17" ht="15.75" customHeight="1" thickTop="1" thickBot="1">
      <c r="A22" s="869"/>
      <c r="B22" s="875"/>
      <c r="C22" s="882"/>
      <c r="D22" s="882"/>
      <c r="E22" s="882"/>
      <c r="F22" s="882"/>
      <c r="G22" s="882"/>
      <c r="H22" s="882"/>
      <c r="I22" s="883"/>
      <c r="J22" s="118" t="s">
        <v>642</v>
      </c>
      <c r="K22" s="244">
        <v>7.0511251395182903E-3</v>
      </c>
      <c r="L22" s="118" t="s">
        <v>643</v>
      </c>
      <c r="M22" s="400">
        <v>958.42299999999989</v>
      </c>
      <c r="N22" s="879"/>
      <c r="O22" s="880"/>
      <c r="P22" s="881"/>
      <c r="Q22" s="260"/>
    </row>
    <row r="23" spans="1:17" ht="15.75" customHeight="1" thickTop="1">
      <c r="A23" s="567"/>
      <c r="D23" s="567"/>
      <c r="E23" s="567"/>
      <c r="F23" s="567"/>
      <c r="G23" s="567"/>
      <c r="H23" s="567"/>
      <c r="I23" s="567"/>
      <c r="J23" s="567"/>
      <c r="K23" s="567"/>
      <c r="L23" s="567"/>
      <c r="M23" s="567"/>
      <c r="N23" s="567"/>
      <c r="O23" s="567"/>
      <c r="P23" s="567"/>
      <c r="Q23" s="260"/>
    </row>
    <row r="24" spans="1:17" ht="15.75" customHeight="1">
      <c r="A24" s="868" t="s">
        <v>636</v>
      </c>
      <c r="B24" s="869"/>
      <c r="C24" s="116" t="s">
        <v>536</v>
      </c>
      <c r="D24" s="870" t="s">
        <v>12</v>
      </c>
      <c r="E24" s="871"/>
      <c r="F24" s="872"/>
      <c r="G24" s="114" t="s">
        <v>637</v>
      </c>
      <c r="H24" s="115"/>
      <c r="I24" s="116"/>
      <c r="J24" s="113" t="s">
        <v>638</v>
      </c>
      <c r="K24" s="113" t="s">
        <v>639</v>
      </c>
      <c r="L24" s="113" t="s">
        <v>640</v>
      </c>
      <c r="M24" s="117" t="s">
        <v>11</v>
      </c>
      <c r="N24" s="319" t="s">
        <v>13</v>
      </c>
      <c r="O24" s="873" t="s">
        <v>50</v>
      </c>
      <c r="P24" s="874"/>
      <c r="Q24" s="260"/>
    </row>
    <row r="25" spans="1:17" ht="15.75" customHeight="1">
      <c r="A25" s="869">
        <v>6</v>
      </c>
      <c r="B25" s="878" t="s">
        <v>194</v>
      </c>
      <c r="C25" s="111">
        <v>1</v>
      </c>
      <c r="D25" s="586" t="s">
        <v>627</v>
      </c>
      <c r="E25" s="845"/>
      <c r="F25" s="846"/>
      <c r="G25" s="586" t="s">
        <v>331</v>
      </c>
      <c r="H25" s="845"/>
      <c r="I25" s="846"/>
      <c r="J25" s="4">
        <v>487.66</v>
      </c>
      <c r="K25" s="14">
        <v>9.4007050528789673E-3</v>
      </c>
      <c r="L25" s="4">
        <v>0.4</v>
      </c>
      <c r="M25" s="399">
        <v>195.06400000000002</v>
      </c>
      <c r="N25" s="4"/>
      <c r="O25" s="831" t="s">
        <v>576</v>
      </c>
      <c r="P25" s="867"/>
      <c r="Q25" s="260"/>
    </row>
    <row r="26" spans="1:17" ht="15.75" customHeight="1">
      <c r="A26" s="869"/>
      <c r="B26" s="875"/>
      <c r="C26" s="111">
        <v>2</v>
      </c>
      <c r="D26" s="586">
        <v>0</v>
      </c>
      <c r="E26" s="845"/>
      <c r="F26" s="846"/>
      <c r="G26" s="586">
        <v>0</v>
      </c>
      <c r="H26" s="845"/>
      <c r="I26" s="846"/>
      <c r="J26" s="4">
        <v>0</v>
      </c>
      <c r="K26" s="14">
        <v>0</v>
      </c>
      <c r="L26" s="4">
        <v>0</v>
      </c>
      <c r="M26" s="399">
        <v>0</v>
      </c>
      <c r="N26" s="4"/>
      <c r="O26" s="831"/>
      <c r="P26" s="867"/>
      <c r="Q26" s="260"/>
    </row>
    <row r="27" spans="1:17" ht="15.75" customHeight="1">
      <c r="A27" s="869"/>
      <c r="B27" s="875"/>
      <c r="C27" s="111">
        <v>3</v>
      </c>
      <c r="D27" s="586">
        <v>0</v>
      </c>
      <c r="E27" s="845"/>
      <c r="F27" s="846"/>
      <c r="G27" s="586">
        <v>0</v>
      </c>
      <c r="H27" s="845"/>
      <c r="I27" s="846"/>
      <c r="J27" s="4">
        <v>0</v>
      </c>
      <c r="K27" s="14">
        <v>0</v>
      </c>
      <c r="L27" s="4">
        <v>0</v>
      </c>
      <c r="M27" s="399">
        <v>0</v>
      </c>
      <c r="N27" s="4"/>
      <c r="O27" s="831"/>
      <c r="P27" s="867"/>
      <c r="Q27" s="260"/>
    </row>
    <row r="28" spans="1:17" ht="15.75" customHeight="1">
      <c r="A28" s="869"/>
      <c r="B28" s="875"/>
      <c r="C28" s="111">
        <v>4</v>
      </c>
      <c r="D28" s="586">
        <v>0</v>
      </c>
      <c r="E28" s="845"/>
      <c r="F28" s="846"/>
      <c r="G28" s="586">
        <v>0</v>
      </c>
      <c r="H28" s="845"/>
      <c r="I28" s="846"/>
      <c r="J28" s="4">
        <v>0</v>
      </c>
      <c r="K28" s="14">
        <v>0</v>
      </c>
      <c r="L28" s="4">
        <v>0</v>
      </c>
      <c r="M28" s="399">
        <v>0</v>
      </c>
      <c r="N28" s="4"/>
      <c r="O28" s="831"/>
      <c r="P28" s="867"/>
      <c r="Q28" s="260"/>
    </row>
    <row r="29" spans="1:17" ht="15.75" customHeight="1" thickBot="1">
      <c r="A29" s="869"/>
      <c r="B29" s="875"/>
      <c r="C29" s="112">
        <v>5</v>
      </c>
      <c r="D29" s="586">
        <v>0</v>
      </c>
      <c r="E29" s="845"/>
      <c r="F29" s="846"/>
      <c r="G29" s="586">
        <v>0</v>
      </c>
      <c r="H29" s="845"/>
      <c r="I29" s="846"/>
      <c r="J29" s="4">
        <v>0</v>
      </c>
      <c r="K29" s="14">
        <v>0</v>
      </c>
      <c r="L29" s="4">
        <v>0</v>
      </c>
      <c r="M29" s="399">
        <v>0</v>
      </c>
      <c r="N29" s="4"/>
      <c r="O29" s="831"/>
      <c r="P29" s="867"/>
      <c r="Q29" s="260"/>
    </row>
    <row r="30" spans="1:17" ht="15.75" customHeight="1" thickTop="1" thickBot="1">
      <c r="A30" s="869"/>
      <c r="B30" s="875"/>
      <c r="C30" s="882"/>
      <c r="D30" s="882"/>
      <c r="E30" s="882"/>
      <c r="F30" s="882"/>
      <c r="G30" s="882"/>
      <c r="H30" s="882"/>
      <c r="I30" s="883"/>
      <c r="J30" s="118" t="s">
        <v>642</v>
      </c>
      <c r="K30" s="244">
        <v>1.4350872988388174E-3</v>
      </c>
      <c r="L30" s="118" t="s">
        <v>643</v>
      </c>
      <c r="M30" s="400">
        <v>195.06400000000002</v>
      </c>
      <c r="N30" s="879"/>
      <c r="O30" s="880"/>
      <c r="P30" s="881"/>
      <c r="Q30" s="260"/>
    </row>
    <row r="31" spans="1:17" ht="15.75" customHeight="1" thickTop="1">
      <c r="A31" s="567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67"/>
      <c r="Q31" s="260"/>
    </row>
    <row r="32" spans="1:17" ht="15.75" customHeight="1">
      <c r="A32" s="868" t="s">
        <v>636</v>
      </c>
      <c r="B32" s="869"/>
      <c r="C32" s="116" t="s">
        <v>536</v>
      </c>
      <c r="D32" s="870" t="s">
        <v>12</v>
      </c>
      <c r="E32" s="871"/>
      <c r="F32" s="872"/>
      <c r="G32" s="114" t="s">
        <v>637</v>
      </c>
      <c r="H32" s="115"/>
      <c r="I32" s="116"/>
      <c r="J32" s="113" t="s">
        <v>638</v>
      </c>
      <c r="K32" s="113" t="s">
        <v>639</v>
      </c>
      <c r="L32" s="113" t="s">
        <v>640</v>
      </c>
      <c r="M32" s="117" t="s">
        <v>11</v>
      </c>
      <c r="N32" s="117" t="s">
        <v>13</v>
      </c>
      <c r="O32" s="873" t="s">
        <v>50</v>
      </c>
      <c r="P32" s="874"/>
      <c r="Q32" s="260"/>
    </row>
    <row r="33" spans="1:17" ht="15.75" customHeight="1">
      <c r="A33" s="869">
        <v>7</v>
      </c>
      <c r="B33" s="878" t="s">
        <v>506</v>
      </c>
      <c r="C33" s="111">
        <v>1</v>
      </c>
      <c r="D33" s="586" t="s">
        <v>701</v>
      </c>
      <c r="E33" s="845"/>
      <c r="F33" s="846"/>
      <c r="G33" s="586" t="s">
        <v>764</v>
      </c>
      <c r="H33" s="845"/>
      <c r="I33" s="846"/>
      <c r="J33" s="4">
        <v>547.79999999999995</v>
      </c>
      <c r="K33" s="14">
        <v>0.52015604681404426</v>
      </c>
      <c r="L33" s="4">
        <v>0.4</v>
      </c>
      <c r="M33" s="399">
        <v>219.12</v>
      </c>
      <c r="N33" s="4"/>
      <c r="O33" s="831" t="s">
        <v>589</v>
      </c>
      <c r="P33" s="867"/>
      <c r="Q33" s="260"/>
    </row>
    <row r="34" spans="1:17" ht="15.75" customHeight="1">
      <c r="A34" s="869"/>
      <c r="B34" s="875"/>
      <c r="C34" s="111">
        <v>2</v>
      </c>
      <c r="D34" s="586" t="s">
        <v>702</v>
      </c>
      <c r="E34" s="845"/>
      <c r="F34" s="846"/>
      <c r="G34" s="586" t="s">
        <v>703</v>
      </c>
      <c r="H34" s="845"/>
      <c r="I34" s="846"/>
      <c r="J34" s="4">
        <v>1010.1</v>
      </c>
      <c r="K34" s="14">
        <v>1.6972165648336729E-2</v>
      </c>
      <c r="L34" s="4">
        <v>0.2</v>
      </c>
      <c r="M34" s="399">
        <v>202.02</v>
      </c>
      <c r="N34" s="4"/>
      <c r="O34" s="831" t="s">
        <v>589</v>
      </c>
      <c r="P34" s="832"/>
      <c r="Q34" s="260"/>
    </row>
    <row r="35" spans="1:17" ht="15.75" customHeight="1">
      <c r="A35" s="869"/>
      <c r="B35" s="875"/>
      <c r="C35" s="111">
        <v>3</v>
      </c>
      <c r="D35" s="586" t="s">
        <v>623</v>
      </c>
      <c r="E35" s="845"/>
      <c r="F35" s="846"/>
      <c r="G35" s="586" t="s">
        <v>714</v>
      </c>
      <c r="H35" s="845"/>
      <c r="I35" s="846"/>
      <c r="J35" s="4">
        <v>935.2</v>
      </c>
      <c r="K35" s="14">
        <v>2.1195421788893599E-2</v>
      </c>
      <c r="L35" s="4">
        <v>0.2</v>
      </c>
      <c r="M35" s="399">
        <v>187.04000000000002</v>
      </c>
      <c r="N35" s="4"/>
      <c r="O35" s="831" t="s">
        <v>589</v>
      </c>
      <c r="P35" s="832"/>
      <c r="Q35" s="260"/>
    </row>
    <row r="36" spans="1:17" ht="15.75" customHeight="1">
      <c r="A36" s="869"/>
      <c r="B36" s="875"/>
      <c r="C36" s="111">
        <v>4</v>
      </c>
      <c r="D36" s="586" t="s">
        <v>702</v>
      </c>
      <c r="E36" s="845"/>
      <c r="F36" s="846"/>
      <c r="G36" s="586" t="s">
        <v>711</v>
      </c>
      <c r="H36" s="845"/>
      <c r="I36" s="846"/>
      <c r="J36" s="4">
        <v>622.54999999999995</v>
      </c>
      <c r="K36" s="14">
        <v>0.10273972602739725</v>
      </c>
      <c r="L36" s="4">
        <v>0.3</v>
      </c>
      <c r="M36" s="399">
        <v>186.76499999999999</v>
      </c>
      <c r="N36" s="4"/>
      <c r="O36" s="831" t="s">
        <v>589</v>
      </c>
      <c r="P36" s="867"/>
      <c r="Q36" s="260"/>
    </row>
    <row r="37" spans="1:17" ht="15.75" customHeight="1" thickBot="1">
      <c r="A37" s="869"/>
      <c r="B37" s="875"/>
      <c r="C37" s="112">
        <v>5</v>
      </c>
      <c r="D37" s="586">
        <v>0</v>
      </c>
      <c r="E37" s="845"/>
      <c r="F37" s="846"/>
      <c r="G37" s="586">
        <v>0</v>
      </c>
      <c r="H37" s="845"/>
      <c r="I37" s="846"/>
      <c r="J37" s="4">
        <v>0</v>
      </c>
      <c r="K37" s="14">
        <v>0</v>
      </c>
      <c r="L37" s="4">
        <v>0</v>
      </c>
      <c r="M37" s="399">
        <v>0</v>
      </c>
      <c r="N37" s="4"/>
      <c r="O37" s="831"/>
      <c r="P37" s="832"/>
      <c r="Q37" s="260"/>
    </row>
    <row r="38" spans="1:17" ht="15.75" customHeight="1" thickTop="1" thickBot="1">
      <c r="A38" s="869"/>
      <c r="B38" s="875"/>
      <c r="C38" s="882"/>
      <c r="D38" s="882"/>
      <c r="E38" s="882"/>
      <c r="F38" s="882"/>
      <c r="G38" s="882"/>
      <c r="H38" s="882"/>
      <c r="I38" s="883"/>
      <c r="J38" s="118" t="s">
        <v>642</v>
      </c>
      <c r="K38" s="244">
        <v>5.8484162776084965E-3</v>
      </c>
      <c r="L38" s="118" t="s">
        <v>643</v>
      </c>
      <c r="M38" s="400">
        <v>794.94500000000005</v>
      </c>
      <c r="N38" s="879"/>
      <c r="O38" s="880"/>
      <c r="P38" s="881"/>
      <c r="Q38" s="260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2" customWidth="1"/>
    <col min="2" max="2" width="11.42578125" style="321" customWidth="1"/>
    <col min="3" max="3" width="4" style="322" customWidth="1"/>
    <col min="4" max="17" width="9.5703125" style="182" customWidth="1"/>
    <col min="18" max="16384" width="12.5703125" style="182"/>
  </cols>
  <sheetData>
    <row r="1" spans="1:23" ht="15.75" customHeight="1">
      <c r="A1" s="796" t="s">
        <v>495</v>
      </c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796"/>
      <c r="P1" s="796"/>
      <c r="Q1" s="796"/>
    </row>
    <row r="2" spans="1:23" s="183" customFormat="1" ht="15.75" customHeight="1">
      <c r="A2" s="796"/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182"/>
      <c r="S2" s="182"/>
      <c r="T2" s="182"/>
      <c r="U2" s="182"/>
      <c r="V2" s="182"/>
      <c r="W2" s="182"/>
    </row>
    <row r="3" spans="1:23" ht="15.75" customHeight="1">
      <c r="A3" s="797" t="s">
        <v>496</v>
      </c>
      <c r="B3" s="797"/>
      <c r="C3" s="797"/>
      <c r="D3" s="797"/>
      <c r="E3" s="797"/>
      <c r="F3" s="797"/>
      <c r="G3" s="797"/>
      <c r="H3" s="797"/>
      <c r="I3" s="797"/>
      <c r="J3" s="797"/>
      <c r="K3" s="797"/>
      <c r="L3" s="797"/>
      <c r="M3" s="797"/>
      <c r="N3" s="184"/>
    </row>
    <row r="4" spans="1:23" s="183" customFormat="1" ht="15.75" customHeight="1">
      <c r="A4" s="797"/>
      <c r="B4" s="797"/>
      <c r="C4" s="797"/>
      <c r="D4" s="797"/>
      <c r="E4" s="797"/>
      <c r="F4" s="797"/>
      <c r="G4" s="797"/>
      <c r="H4" s="797"/>
      <c r="I4" s="797"/>
      <c r="J4" s="797"/>
      <c r="K4" s="797"/>
      <c r="L4" s="797"/>
      <c r="M4" s="797"/>
      <c r="N4" s="185"/>
      <c r="R4" s="182"/>
      <c r="S4" s="182"/>
      <c r="T4" s="182"/>
      <c r="U4" s="182"/>
      <c r="V4" s="182"/>
      <c r="W4" s="182"/>
    </row>
    <row r="5" spans="1:23" ht="15.75" customHeight="1">
      <c r="A5" s="799" t="s">
        <v>494</v>
      </c>
      <c r="B5" s="884">
        <v>1</v>
      </c>
      <c r="C5" s="884"/>
      <c r="D5" s="884">
        <v>2</v>
      </c>
      <c r="E5" s="884"/>
      <c r="F5" s="884">
        <v>3</v>
      </c>
      <c r="G5" s="884"/>
      <c r="H5" s="802">
        <v>4</v>
      </c>
      <c r="I5" s="802"/>
      <c r="J5" s="802">
        <v>5</v>
      </c>
      <c r="K5" s="802"/>
      <c r="L5" s="802">
        <v>6</v>
      </c>
      <c r="M5" s="802"/>
      <c r="N5" s="802">
        <v>7</v>
      </c>
      <c r="O5" s="802"/>
      <c r="P5" s="802">
        <v>8</v>
      </c>
      <c r="Q5" s="802"/>
    </row>
    <row r="6" spans="1:23" ht="15.75" customHeight="1">
      <c r="A6" s="799"/>
      <c r="B6" s="885" t="s">
        <v>497</v>
      </c>
      <c r="C6" s="885"/>
      <c r="D6" s="885" t="s">
        <v>498</v>
      </c>
      <c r="E6" s="885"/>
      <c r="F6" s="885" t="s">
        <v>499</v>
      </c>
      <c r="G6" s="885"/>
      <c r="H6" s="886" t="s">
        <v>500</v>
      </c>
      <c r="I6" s="799"/>
      <c r="J6" s="799" t="s">
        <v>501</v>
      </c>
      <c r="K6" s="799"/>
      <c r="L6" s="799" t="s">
        <v>502</v>
      </c>
      <c r="M6" s="799"/>
      <c r="N6" s="799" t="s">
        <v>503</v>
      </c>
      <c r="O6" s="799"/>
      <c r="P6" s="886" t="s">
        <v>504</v>
      </c>
      <c r="Q6" s="799"/>
    </row>
    <row r="8" spans="1:23" s="320" customFormat="1" ht="15.75" customHeight="1">
      <c r="A8" s="849" t="s">
        <v>636</v>
      </c>
      <c r="B8" s="850"/>
      <c r="C8" s="572" t="s">
        <v>536</v>
      </c>
      <c r="D8" s="854" t="s">
        <v>12</v>
      </c>
      <c r="E8" s="855"/>
      <c r="F8" s="856"/>
      <c r="G8" s="570" t="s">
        <v>637</v>
      </c>
      <c r="H8" s="571"/>
      <c r="I8" s="572"/>
      <c r="J8" s="169" t="s">
        <v>638</v>
      </c>
      <c r="K8" s="319" t="s">
        <v>645</v>
      </c>
      <c r="L8" s="169" t="s">
        <v>640</v>
      </c>
      <c r="M8" s="169" t="s">
        <v>11</v>
      </c>
      <c r="N8" s="319" t="s">
        <v>13</v>
      </c>
      <c r="O8" s="847" t="s">
        <v>50</v>
      </c>
      <c r="P8" s="848"/>
      <c r="R8" s="182"/>
      <c r="S8" s="182"/>
      <c r="T8" s="182"/>
      <c r="U8" s="182"/>
      <c r="V8" s="182"/>
      <c r="W8" s="182"/>
    </row>
    <row r="9" spans="1:23" ht="15.75" customHeight="1">
      <c r="A9" s="762">
        <v>1</v>
      </c>
      <c r="B9" s="851" t="s">
        <v>598</v>
      </c>
      <c r="C9" s="170">
        <v>1</v>
      </c>
      <c r="D9" s="586">
        <v>0</v>
      </c>
      <c r="E9" s="845"/>
      <c r="F9" s="846"/>
      <c r="G9" s="586">
        <v>0</v>
      </c>
      <c r="H9" s="845"/>
      <c r="I9" s="846"/>
      <c r="J9" s="4">
        <v>0</v>
      </c>
      <c r="K9" s="14">
        <v>0</v>
      </c>
      <c r="L9" s="4">
        <v>0</v>
      </c>
      <c r="M9" s="399">
        <v>0</v>
      </c>
      <c r="N9" s="171"/>
      <c r="O9" s="831"/>
      <c r="P9" s="832"/>
    </row>
    <row r="10" spans="1:23" ht="15.75" customHeight="1">
      <c r="A10" s="763"/>
      <c r="B10" s="852"/>
      <c r="C10" s="170">
        <v>2</v>
      </c>
      <c r="D10" s="586">
        <v>0</v>
      </c>
      <c r="E10" s="845"/>
      <c r="F10" s="846"/>
      <c r="G10" s="586">
        <v>0</v>
      </c>
      <c r="H10" s="845"/>
      <c r="I10" s="846"/>
      <c r="J10" s="4">
        <v>0</v>
      </c>
      <c r="K10" s="14">
        <v>0</v>
      </c>
      <c r="L10" s="4">
        <v>0</v>
      </c>
      <c r="M10" s="399">
        <v>0</v>
      </c>
      <c r="N10" s="171"/>
      <c r="O10" s="831"/>
      <c r="P10" s="832"/>
    </row>
    <row r="11" spans="1:23" ht="15.75" customHeight="1">
      <c r="A11" s="763"/>
      <c r="B11" s="852"/>
      <c r="C11" s="170">
        <v>3</v>
      </c>
      <c r="D11" s="586">
        <v>0</v>
      </c>
      <c r="E11" s="845"/>
      <c r="F11" s="846"/>
      <c r="G11" s="586">
        <v>0</v>
      </c>
      <c r="H11" s="845"/>
      <c r="I11" s="846"/>
      <c r="J11" s="4">
        <v>0</v>
      </c>
      <c r="K11" s="14">
        <v>0</v>
      </c>
      <c r="L11" s="4">
        <v>0</v>
      </c>
      <c r="M11" s="399">
        <v>0</v>
      </c>
      <c r="N11" s="171"/>
      <c r="O11" s="831"/>
      <c r="P11" s="832"/>
    </row>
    <row r="12" spans="1:23" ht="15.75" customHeight="1">
      <c r="A12" s="763"/>
      <c r="B12" s="852"/>
      <c r="C12" s="170">
        <v>4</v>
      </c>
      <c r="D12" s="586">
        <v>0</v>
      </c>
      <c r="E12" s="845"/>
      <c r="F12" s="846"/>
      <c r="G12" s="586">
        <v>0</v>
      </c>
      <c r="H12" s="845"/>
      <c r="I12" s="846"/>
      <c r="J12" s="4">
        <v>0</v>
      </c>
      <c r="K12" s="14">
        <v>0</v>
      </c>
      <c r="L12" s="4">
        <v>0</v>
      </c>
      <c r="M12" s="399">
        <v>0</v>
      </c>
      <c r="N12" s="171"/>
      <c r="O12" s="831"/>
      <c r="P12" s="832"/>
    </row>
    <row r="13" spans="1:23" ht="15.75" customHeight="1" thickBot="1">
      <c r="A13" s="763"/>
      <c r="B13" s="852"/>
      <c r="C13" s="172">
        <v>5</v>
      </c>
      <c r="D13" s="586">
        <v>0</v>
      </c>
      <c r="E13" s="845"/>
      <c r="F13" s="846"/>
      <c r="G13" s="586">
        <v>0</v>
      </c>
      <c r="H13" s="845"/>
      <c r="I13" s="846"/>
      <c r="J13" s="4">
        <v>0</v>
      </c>
      <c r="K13" s="14">
        <v>0</v>
      </c>
      <c r="L13" s="4">
        <v>0</v>
      </c>
      <c r="M13" s="399">
        <v>0</v>
      </c>
      <c r="N13" s="173"/>
      <c r="O13" s="833"/>
      <c r="P13" s="834"/>
    </row>
    <row r="14" spans="1:23" ht="15.75" customHeight="1" thickTop="1" thickBot="1">
      <c r="A14" s="764"/>
      <c r="B14" s="853"/>
      <c r="C14" s="857"/>
      <c r="D14" s="858"/>
      <c r="E14" s="858"/>
      <c r="F14" s="858"/>
      <c r="G14" s="858"/>
      <c r="H14" s="858"/>
      <c r="I14" s="859"/>
      <c r="J14" s="318" t="s">
        <v>642</v>
      </c>
      <c r="K14" s="244">
        <v>0</v>
      </c>
      <c r="L14" s="318" t="s">
        <v>643</v>
      </c>
      <c r="M14" s="400">
        <v>0</v>
      </c>
      <c r="N14" s="866"/>
      <c r="O14" s="864"/>
      <c r="P14" s="865"/>
    </row>
    <row r="15" spans="1:23" ht="15.75" customHeight="1" thickTop="1">
      <c r="A15" s="119"/>
      <c r="B15" s="174"/>
      <c r="C15" s="16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23" ht="15.75" customHeight="1">
      <c r="A16" s="849" t="s">
        <v>636</v>
      </c>
      <c r="B16" s="850"/>
      <c r="C16" s="572" t="s">
        <v>536</v>
      </c>
      <c r="D16" s="854" t="s">
        <v>12</v>
      </c>
      <c r="E16" s="855"/>
      <c r="F16" s="856"/>
      <c r="G16" s="570" t="s">
        <v>637</v>
      </c>
      <c r="H16" s="571"/>
      <c r="I16" s="572"/>
      <c r="J16" s="169" t="s">
        <v>638</v>
      </c>
      <c r="K16" s="319" t="s">
        <v>645</v>
      </c>
      <c r="L16" s="169" t="s">
        <v>640</v>
      </c>
      <c r="M16" s="169" t="s">
        <v>11</v>
      </c>
      <c r="N16" s="319" t="s">
        <v>13</v>
      </c>
      <c r="O16" s="847" t="s">
        <v>50</v>
      </c>
      <c r="P16" s="848"/>
    </row>
    <row r="17" spans="1:16" ht="15.75" customHeight="1">
      <c r="A17" s="762">
        <v>2</v>
      </c>
      <c r="B17" s="851" t="s">
        <v>646</v>
      </c>
      <c r="C17" s="170">
        <v>1</v>
      </c>
      <c r="D17" s="586">
        <v>0</v>
      </c>
      <c r="E17" s="845"/>
      <c r="F17" s="846"/>
      <c r="G17" s="586">
        <v>0</v>
      </c>
      <c r="H17" s="845"/>
      <c r="I17" s="846"/>
      <c r="J17" s="4">
        <v>0</v>
      </c>
      <c r="K17" s="14">
        <v>0</v>
      </c>
      <c r="L17" s="4">
        <v>0</v>
      </c>
      <c r="M17" s="399">
        <v>0</v>
      </c>
      <c r="N17" s="171"/>
      <c r="O17" s="831"/>
      <c r="P17" s="832"/>
    </row>
    <row r="18" spans="1:16" ht="15.75" customHeight="1">
      <c r="A18" s="763"/>
      <c r="B18" s="852"/>
      <c r="C18" s="170">
        <v>2</v>
      </c>
      <c r="D18" s="586">
        <v>0</v>
      </c>
      <c r="E18" s="845"/>
      <c r="F18" s="846"/>
      <c r="G18" s="586">
        <v>0</v>
      </c>
      <c r="H18" s="845"/>
      <c r="I18" s="846"/>
      <c r="J18" s="4">
        <v>0</v>
      </c>
      <c r="K18" s="14">
        <v>0</v>
      </c>
      <c r="L18" s="4">
        <v>0</v>
      </c>
      <c r="M18" s="399">
        <v>0</v>
      </c>
      <c r="N18" s="171"/>
      <c r="O18" s="831"/>
      <c r="P18" s="832"/>
    </row>
    <row r="19" spans="1:16" ht="15.75" customHeight="1">
      <c r="A19" s="763"/>
      <c r="B19" s="852"/>
      <c r="C19" s="170">
        <v>3</v>
      </c>
      <c r="D19" s="586">
        <v>0</v>
      </c>
      <c r="E19" s="845"/>
      <c r="F19" s="846"/>
      <c r="G19" s="586">
        <v>0</v>
      </c>
      <c r="H19" s="845"/>
      <c r="I19" s="846"/>
      <c r="J19" s="4">
        <v>0</v>
      </c>
      <c r="K19" s="14">
        <v>0</v>
      </c>
      <c r="L19" s="4">
        <v>0</v>
      </c>
      <c r="M19" s="399">
        <v>0</v>
      </c>
      <c r="N19" s="171"/>
      <c r="O19" s="831"/>
      <c r="P19" s="832"/>
    </row>
    <row r="20" spans="1:16" ht="15.75" customHeight="1">
      <c r="A20" s="763"/>
      <c r="B20" s="852"/>
      <c r="C20" s="170">
        <v>4</v>
      </c>
      <c r="D20" s="586">
        <v>0</v>
      </c>
      <c r="E20" s="845"/>
      <c r="F20" s="846"/>
      <c r="G20" s="586">
        <v>0</v>
      </c>
      <c r="H20" s="845"/>
      <c r="I20" s="846"/>
      <c r="J20" s="4">
        <v>0</v>
      </c>
      <c r="K20" s="14">
        <v>0</v>
      </c>
      <c r="L20" s="4">
        <v>0</v>
      </c>
      <c r="M20" s="399">
        <v>0</v>
      </c>
      <c r="N20" s="171"/>
      <c r="O20" s="831"/>
      <c r="P20" s="832"/>
    </row>
    <row r="21" spans="1:16" ht="15.75" customHeight="1" thickBot="1">
      <c r="A21" s="763"/>
      <c r="B21" s="852"/>
      <c r="C21" s="172">
        <v>5</v>
      </c>
      <c r="D21" s="586">
        <v>0</v>
      </c>
      <c r="E21" s="845"/>
      <c r="F21" s="846"/>
      <c r="G21" s="586">
        <v>0</v>
      </c>
      <c r="H21" s="845"/>
      <c r="I21" s="846"/>
      <c r="J21" s="4">
        <v>0</v>
      </c>
      <c r="K21" s="14">
        <v>0</v>
      </c>
      <c r="L21" s="4">
        <v>0</v>
      </c>
      <c r="M21" s="399">
        <v>0</v>
      </c>
      <c r="N21" s="173"/>
      <c r="O21" s="831"/>
      <c r="P21" s="832"/>
    </row>
    <row r="22" spans="1:16" ht="15.75" customHeight="1" thickTop="1" thickBot="1">
      <c r="A22" s="764"/>
      <c r="B22" s="853"/>
      <c r="C22" s="860"/>
      <c r="D22" s="861"/>
      <c r="E22" s="861"/>
      <c r="F22" s="861"/>
      <c r="G22" s="861"/>
      <c r="H22" s="861"/>
      <c r="I22" s="862"/>
      <c r="J22" s="318" t="s">
        <v>642</v>
      </c>
      <c r="K22" s="244">
        <v>0</v>
      </c>
      <c r="L22" s="318" t="s">
        <v>643</v>
      </c>
      <c r="M22" s="400">
        <v>0</v>
      </c>
      <c r="N22" s="866"/>
      <c r="O22" s="864"/>
      <c r="P22" s="865"/>
    </row>
    <row r="23" spans="1:16" ht="15.75" customHeight="1" thickTop="1">
      <c r="A23" s="119"/>
      <c r="B23" s="174"/>
      <c r="C23" s="160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15.75" customHeight="1">
      <c r="A24" s="849" t="s">
        <v>636</v>
      </c>
      <c r="B24" s="850"/>
      <c r="C24" s="572" t="s">
        <v>536</v>
      </c>
      <c r="D24" s="854" t="s">
        <v>12</v>
      </c>
      <c r="E24" s="855"/>
      <c r="F24" s="856"/>
      <c r="G24" s="570" t="s">
        <v>637</v>
      </c>
      <c r="H24" s="571"/>
      <c r="I24" s="572"/>
      <c r="J24" s="169" t="s">
        <v>638</v>
      </c>
      <c r="K24" s="319" t="s">
        <v>645</v>
      </c>
      <c r="L24" s="169" t="s">
        <v>640</v>
      </c>
      <c r="M24" s="169" t="s">
        <v>11</v>
      </c>
      <c r="N24" s="319" t="s">
        <v>13</v>
      </c>
      <c r="O24" s="847" t="s">
        <v>50</v>
      </c>
      <c r="P24" s="848"/>
    </row>
    <row r="25" spans="1:16" ht="15.75" customHeight="1">
      <c r="A25" s="762">
        <v>3</v>
      </c>
      <c r="B25" s="851" t="s">
        <v>365</v>
      </c>
      <c r="C25" s="170">
        <v>1</v>
      </c>
      <c r="D25" s="586" t="s">
        <v>629</v>
      </c>
      <c r="E25" s="845"/>
      <c r="F25" s="846"/>
      <c r="G25" s="586" t="s">
        <v>632</v>
      </c>
      <c r="H25" s="845"/>
      <c r="I25" s="846"/>
      <c r="J25" s="4">
        <v>304.76</v>
      </c>
      <c r="K25" s="14">
        <v>5.23504273504274E-2</v>
      </c>
      <c r="L25" s="4">
        <v>0.98</v>
      </c>
      <c r="M25" s="399">
        <v>298.66480000000001</v>
      </c>
      <c r="N25" s="171"/>
      <c r="O25" s="831" t="s">
        <v>736</v>
      </c>
      <c r="P25" s="832"/>
    </row>
    <row r="26" spans="1:16" ht="15.75" customHeight="1">
      <c r="A26" s="763"/>
      <c r="B26" s="852"/>
      <c r="C26" s="170">
        <v>2</v>
      </c>
      <c r="D26" s="586" t="s">
        <v>629</v>
      </c>
      <c r="E26" s="845"/>
      <c r="F26" s="846"/>
      <c r="G26" s="586" t="s">
        <v>717</v>
      </c>
      <c r="H26" s="845"/>
      <c r="I26" s="846"/>
      <c r="J26" s="4">
        <v>304.58999999999997</v>
      </c>
      <c r="K26" s="14">
        <v>6.1253561253561302E-2</v>
      </c>
      <c r="L26" s="4">
        <v>0.86000000000000099</v>
      </c>
      <c r="M26" s="399">
        <v>261.94740000000002</v>
      </c>
      <c r="N26" s="171"/>
      <c r="O26" s="831" t="s">
        <v>736</v>
      </c>
      <c r="P26" s="832"/>
    </row>
    <row r="27" spans="1:16" ht="15.75" customHeight="1">
      <c r="A27" s="763"/>
      <c r="B27" s="852"/>
      <c r="C27" s="170">
        <v>3</v>
      </c>
      <c r="D27" s="586" t="s">
        <v>350</v>
      </c>
      <c r="E27" s="845"/>
      <c r="F27" s="846"/>
      <c r="G27" s="586" t="s">
        <v>708</v>
      </c>
      <c r="H27" s="845"/>
      <c r="I27" s="846"/>
      <c r="J27" s="4">
        <v>160.9</v>
      </c>
      <c r="K27" s="14">
        <v>3.2378193855384201E-2</v>
      </c>
      <c r="L27" s="4">
        <v>1.5649999999999999</v>
      </c>
      <c r="M27" s="399">
        <v>251.80850000000001</v>
      </c>
      <c r="N27" s="171"/>
      <c r="O27" s="831" t="s">
        <v>513</v>
      </c>
      <c r="P27" s="832"/>
    </row>
    <row r="28" spans="1:16" ht="15.75" customHeight="1">
      <c r="A28" s="763"/>
      <c r="B28" s="852"/>
      <c r="C28" s="170">
        <v>4</v>
      </c>
      <c r="D28" s="586" t="s">
        <v>588</v>
      </c>
      <c r="E28" s="845"/>
      <c r="F28" s="846"/>
      <c r="G28" s="586" t="s">
        <v>741</v>
      </c>
      <c r="H28" s="845"/>
      <c r="I28" s="846"/>
      <c r="J28" s="4">
        <v>135.63</v>
      </c>
      <c r="K28" s="14">
        <v>2.9850746268656799E-2</v>
      </c>
      <c r="L28" s="4">
        <v>1.8</v>
      </c>
      <c r="M28" s="399">
        <v>244.13400000000101</v>
      </c>
      <c r="N28" s="171"/>
      <c r="O28" s="831" t="s">
        <v>513</v>
      </c>
      <c r="P28" s="832"/>
    </row>
    <row r="29" spans="1:16" ht="15.75" customHeight="1" thickBot="1">
      <c r="A29" s="763"/>
      <c r="B29" s="852"/>
      <c r="C29" s="172">
        <v>5</v>
      </c>
      <c r="D29" s="586" t="s">
        <v>587</v>
      </c>
      <c r="E29" s="845"/>
      <c r="F29" s="846"/>
      <c r="G29" s="586" t="s">
        <v>743</v>
      </c>
      <c r="H29" s="845"/>
      <c r="I29" s="846"/>
      <c r="J29" s="4">
        <v>143.99</v>
      </c>
      <c r="K29" s="14">
        <v>3.29492621790985E-2</v>
      </c>
      <c r="L29" s="4">
        <v>1.63</v>
      </c>
      <c r="M29" s="399">
        <v>234.7037</v>
      </c>
      <c r="N29" s="173"/>
      <c r="O29" s="833" t="s">
        <v>513</v>
      </c>
      <c r="P29" s="834"/>
    </row>
    <row r="30" spans="1:16" ht="15.75" customHeight="1" thickTop="1" thickBot="1">
      <c r="A30" s="764"/>
      <c r="B30" s="853"/>
      <c r="C30" s="857"/>
      <c r="D30" s="858"/>
      <c r="E30" s="858"/>
      <c r="F30" s="858"/>
      <c r="G30" s="858"/>
      <c r="H30" s="858"/>
      <c r="I30" s="859"/>
      <c r="J30" s="318" t="s">
        <v>642</v>
      </c>
      <c r="K30" s="244">
        <v>5.7381239806000442E-3</v>
      </c>
      <c r="L30" s="318" t="s">
        <v>643</v>
      </c>
      <c r="M30" s="400">
        <v>1291.2584000000011</v>
      </c>
      <c r="N30" s="866"/>
      <c r="O30" s="864"/>
      <c r="P30" s="865"/>
    </row>
    <row r="31" spans="1:16" ht="15.75" customHeight="1" thickTop="1"/>
  </sheetData>
  <mergeCells count="85"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D29:F29"/>
    <mergeCell ref="G29:I29"/>
    <mergeCell ref="O29:P29"/>
    <mergeCell ref="D28:F28"/>
    <mergeCell ref="G28:I28"/>
    <mergeCell ref="O28:P28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13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24" customWidth="1"/>
    <col min="2" max="2" width="11.42578125" style="325" customWidth="1"/>
    <col min="3" max="3" width="4" style="326" customWidth="1"/>
    <col min="4" max="17" width="9.5703125" style="324" customWidth="1"/>
    <col min="18" max="16384" width="12.5703125" style="324"/>
  </cols>
  <sheetData>
    <row r="1" spans="1:23" s="182" customFormat="1" ht="15.75" customHeight="1">
      <c r="A1" s="796" t="s">
        <v>495</v>
      </c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796"/>
      <c r="P1" s="796"/>
      <c r="Q1" s="796"/>
    </row>
    <row r="2" spans="1:23" s="183" customFormat="1" ht="15.75" customHeight="1">
      <c r="A2" s="796"/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</row>
    <row r="3" spans="1:23" s="182" customFormat="1" ht="15.75" customHeight="1">
      <c r="A3" s="797" t="s">
        <v>496</v>
      </c>
      <c r="B3" s="797"/>
      <c r="C3" s="797"/>
      <c r="D3" s="797"/>
      <c r="E3" s="797"/>
      <c r="F3" s="797"/>
      <c r="G3" s="797"/>
      <c r="H3" s="797"/>
      <c r="I3" s="797"/>
      <c r="J3" s="797"/>
      <c r="K3" s="797"/>
      <c r="L3" s="797"/>
      <c r="M3" s="797"/>
      <c r="N3" s="184"/>
    </row>
    <row r="4" spans="1:23" s="183" customFormat="1" ht="15.75" customHeight="1">
      <c r="A4" s="797"/>
      <c r="B4" s="797"/>
      <c r="C4" s="797"/>
      <c r="D4" s="797"/>
      <c r="E4" s="797"/>
      <c r="F4" s="797"/>
      <c r="G4" s="797"/>
      <c r="H4" s="797"/>
      <c r="I4" s="797"/>
      <c r="J4" s="797"/>
      <c r="K4" s="797"/>
      <c r="L4" s="797"/>
      <c r="M4" s="797"/>
      <c r="N4" s="185"/>
    </row>
    <row r="5" spans="1:23" s="182" customFormat="1" ht="15.75" customHeight="1">
      <c r="A5" s="799" t="s">
        <v>494</v>
      </c>
      <c r="B5" s="802">
        <v>1</v>
      </c>
      <c r="C5" s="802"/>
      <c r="D5" s="802">
        <v>2</v>
      </c>
      <c r="E5" s="802"/>
      <c r="F5" s="802">
        <v>3</v>
      </c>
      <c r="G5" s="802"/>
      <c r="H5" s="884">
        <v>4</v>
      </c>
      <c r="I5" s="884"/>
      <c r="J5" s="884">
        <v>5</v>
      </c>
      <c r="K5" s="884"/>
      <c r="L5" s="884">
        <v>6</v>
      </c>
      <c r="M5" s="884"/>
      <c r="N5" s="884">
        <v>7</v>
      </c>
      <c r="O5" s="884"/>
      <c r="P5" s="802">
        <v>8</v>
      </c>
      <c r="Q5" s="802"/>
    </row>
    <row r="6" spans="1:23" s="182" customFormat="1" ht="15.75" customHeight="1">
      <c r="A6" s="799"/>
      <c r="B6" s="799" t="s">
        <v>497</v>
      </c>
      <c r="C6" s="799"/>
      <c r="D6" s="799" t="s">
        <v>498</v>
      </c>
      <c r="E6" s="799"/>
      <c r="F6" s="799" t="s">
        <v>499</v>
      </c>
      <c r="G6" s="799"/>
      <c r="H6" s="887" t="s">
        <v>500</v>
      </c>
      <c r="I6" s="885"/>
      <c r="J6" s="885" t="s">
        <v>501</v>
      </c>
      <c r="K6" s="885"/>
      <c r="L6" s="885" t="s">
        <v>502</v>
      </c>
      <c r="M6" s="885"/>
      <c r="N6" s="885" t="s">
        <v>503</v>
      </c>
      <c r="O6" s="885"/>
      <c r="P6" s="886" t="s">
        <v>504</v>
      </c>
      <c r="Q6" s="799"/>
    </row>
    <row r="7" spans="1:23" s="182" customFormat="1" ht="15.75" customHeight="1">
      <c r="B7" s="321"/>
      <c r="C7" s="322"/>
    </row>
    <row r="8" spans="1:23" s="323" customFormat="1" ht="15.75" customHeight="1">
      <c r="A8" s="868" t="s">
        <v>636</v>
      </c>
      <c r="B8" s="869"/>
      <c r="C8" s="116" t="s">
        <v>536</v>
      </c>
      <c r="D8" s="870" t="s">
        <v>12</v>
      </c>
      <c r="E8" s="871"/>
      <c r="F8" s="872"/>
      <c r="G8" s="114" t="s">
        <v>637</v>
      </c>
      <c r="H8" s="115"/>
      <c r="I8" s="116"/>
      <c r="J8" s="113" t="s">
        <v>638</v>
      </c>
      <c r="K8" s="113" t="s">
        <v>645</v>
      </c>
      <c r="L8" s="113" t="s">
        <v>640</v>
      </c>
      <c r="M8" s="117" t="s">
        <v>11</v>
      </c>
      <c r="N8" s="319" t="s">
        <v>13</v>
      </c>
      <c r="O8" s="873" t="s">
        <v>50</v>
      </c>
      <c r="P8" s="874"/>
      <c r="R8" s="182"/>
      <c r="S8" s="182"/>
      <c r="T8" s="182"/>
      <c r="U8" s="182"/>
      <c r="V8" s="182"/>
      <c r="W8" s="182"/>
    </row>
    <row r="9" spans="1:23" ht="15.75" customHeight="1">
      <c r="A9" s="869">
        <v>4</v>
      </c>
      <c r="B9" s="875" t="s">
        <v>492</v>
      </c>
      <c r="C9" s="111">
        <v>1</v>
      </c>
      <c r="D9" s="586" t="s">
        <v>608</v>
      </c>
      <c r="E9" s="845"/>
      <c r="F9" s="846"/>
      <c r="G9" s="586" t="s">
        <v>704</v>
      </c>
      <c r="H9" s="845"/>
      <c r="I9" s="846"/>
      <c r="J9" s="4">
        <v>118.03</v>
      </c>
      <c r="K9" s="14">
        <v>7.7444956477213198E-3</v>
      </c>
      <c r="L9" s="4">
        <v>2.41999999999996</v>
      </c>
      <c r="M9" s="399">
        <v>285.63259999999502</v>
      </c>
      <c r="N9" s="4"/>
      <c r="O9" s="831" t="s">
        <v>443</v>
      </c>
      <c r="P9" s="867"/>
      <c r="R9" s="182"/>
      <c r="S9" s="182"/>
      <c r="T9" s="182"/>
      <c r="U9" s="182"/>
      <c r="V9" s="182"/>
      <c r="W9" s="182"/>
    </row>
    <row r="10" spans="1:23" ht="15.75" customHeight="1">
      <c r="A10" s="869"/>
      <c r="B10" s="875"/>
      <c r="C10" s="111">
        <v>2</v>
      </c>
      <c r="D10" s="586" t="s">
        <v>611</v>
      </c>
      <c r="E10" s="845"/>
      <c r="F10" s="846"/>
      <c r="G10" s="586" t="s">
        <v>716</v>
      </c>
      <c r="H10" s="845"/>
      <c r="I10" s="846"/>
      <c r="J10" s="4">
        <v>103.19</v>
      </c>
      <c r="K10" s="14">
        <v>1.0957792207792199E-2</v>
      </c>
      <c r="L10" s="4">
        <v>2.69999999999999</v>
      </c>
      <c r="M10" s="399">
        <v>278.61299999999898</v>
      </c>
      <c r="N10" s="4"/>
      <c r="O10" s="831" t="s">
        <v>443</v>
      </c>
      <c r="P10" s="867"/>
      <c r="R10" s="182"/>
      <c r="S10" s="182"/>
      <c r="T10" s="182"/>
      <c r="U10" s="182"/>
      <c r="V10" s="182"/>
      <c r="W10" s="182"/>
    </row>
    <row r="11" spans="1:23" ht="15.75" customHeight="1">
      <c r="A11" s="869"/>
      <c r="B11" s="875"/>
      <c r="C11" s="111">
        <v>3</v>
      </c>
      <c r="D11" s="586" t="s">
        <v>702</v>
      </c>
      <c r="E11" s="845"/>
      <c r="F11" s="846"/>
      <c r="G11" s="586" t="s">
        <v>744</v>
      </c>
      <c r="H11" s="845"/>
      <c r="I11" s="846"/>
      <c r="J11" s="4">
        <v>70.62</v>
      </c>
      <c r="K11" s="14">
        <v>1.8445839874411299E-2</v>
      </c>
      <c r="L11" s="4">
        <v>3.75999999999999</v>
      </c>
      <c r="M11" s="399">
        <v>265.53119999999899</v>
      </c>
      <c r="N11" s="4"/>
      <c r="O11" s="831" t="s">
        <v>443</v>
      </c>
      <c r="P11" s="867"/>
      <c r="R11" s="182"/>
      <c r="S11" s="182"/>
      <c r="T11" s="182"/>
      <c r="U11" s="182"/>
      <c r="V11" s="182"/>
      <c r="W11" s="182"/>
    </row>
    <row r="12" spans="1:23" ht="15.75" customHeight="1">
      <c r="A12" s="869"/>
      <c r="B12" s="875"/>
      <c r="C12" s="111">
        <v>4</v>
      </c>
      <c r="D12" s="586" t="s">
        <v>330</v>
      </c>
      <c r="E12" s="845"/>
      <c r="F12" s="846"/>
      <c r="G12" s="586" t="s">
        <v>715</v>
      </c>
      <c r="H12" s="845"/>
      <c r="I12" s="846"/>
      <c r="J12" s="4">
        <v>111.17</v>
      </c>
      <c r="K12" s="14">
        <v>5.8393184076028304E-3</v>
      </c>
      <c r="L12" s="4">
        <v>2.35700000000003</v>
      </c>
      <c r="M12" s="399">
        <v>262.02769000000302</v>
      </c>
      <c r="N12" s="4"/>
      <c r="O12" s="831" t="s">
        <v>443</v>
      </c>
      <c r="P12" s="867"/>
      <c r="R12" s="182"/>
      <c r="S12" s="182"/>
      <c r="T12" s="182"/>
      <c r="U12" s="182"/>
      <c r="V12" s="182"/>
      <c r="W12" s="182"/>
    </row>
    <row r="13" spans="1:23" ht="15.75" customHeight="1" thickBot="1">
      <c r="A13" s="869"/>
      <c r="B13" s="875"/>
      <c r="C13" s="112">
        <v>5</v>
      </c>
      <c r="D13" s="586" t="s">
        <v>330</v>
      </c>
      <c r="E13" s="845"/>
      <c r="F13" s="846"/>
      <c r="G13" s="586" t="s">
        <v>610</v>
      </c>
      <c r="H13" s="845"/>
      <c r="I13" s="846"/>
      <c r="J13" s="4">
        <v>361.51</v>
      </c>
      <c r="K13" s="14">
        <v>2.2342375936111401E-2</v>
      </c>
      <c r="L13" s="4">
        <v>0.71900000000000097</v>
      </c>
      <c r="M13" s="399">
        <v>259.92568999999997</v>
      </c>
      <c r="N13" s="4"/>
      <c r="O13" s="831" t="s">
        <v>443</v>
      </c>
      <c r="P13" s="867"/>
      <c r="R13" s="182"/>
      <c r="S13" s="182"/>
      <c r="T13" s="182"/>
      <c r="U13" s="182"/>
      <c r="V13" s="182"/>
      <c r="W13" s="182"/>
    </row>
    <row r="14" spans="1:23" ht="15.75" customHeight="1" thickTop="1" thickBot="1">
      <c r="A14" s="869"/>
      <c r="B14" s="875"/>
      <c r="C14" s="877"/>
      <c r="D14" s="877"/>
      <c r="E14" s="877"/>
      <c r="F14" s="877"/>
      <c r="G14" s="877"/>
      <c r="H14" s="877"/>
      <c r="I14" s="877"/>
      <c r="J14" s="245" t="s">
        <v>642</v>
      </c>
      <c r="K14" s="244">
        <v>6.0068498769562974E-3</v>
      </c>
      <c r="L14" s="245" t="s">
        <v>643</v>
      </c>
      <c r="M14" s="400">
        <v>1351.7301799999962</v>
      </c>
      <c r="N14" s="876"/>
      <c r="O14" s="876"/>
      <c r="P14" s="876"/>
      <c r="R14" s="182"/>
      <c r="S14" s="182"/>
      <c r="T14" s="182"/>
      <c r="U14" s="182"/>
      <c r="V14" s="182"/>
      <c r="W14" s="182"/>
    </row>
    <row r="15" spans="1:23" ht="15.75" customHeight="1" thickTop="1">
      <c r="A15" s="567"/>
      <c r="B15" s="110"/>
      <c r="C15" s="108"/>
      <c r="D15" s="567"/>
      <c r="E15" s="567"/>
      <c r="F15" s="567"/>
      <c r="G15" s="567"/>
      <c r="H15" s="567"/>
      <c r="I15" s="567"/>
      <c r="J15" s="567"/>
      <c r="K15" s="567"/>
      <c r="L15" s="567"/>
      <c r="M15" s="567"/>
      <c r="N15" s="567"/>
      <c r="O15" s="567"/>
      <c r="P15" s="567"/>
      <c r="R15" s="182"/>
      <c r="S15" s="182"/>
      <c r="T15" s="182"/>
      <c r="U15" s="182"/>
      <c r="V15" s="182"/>
      <c r="W15" s="182"/>
    </row>
    <row r="16" spans="1:23" ht="15.75" customHeight="1">
      <c r="A16" s="868" t="s">
        <v>636</v>
      </c>
      <c r="B16" s="869"/>
      <c r="C16" s="116" t="s">
        <v>536</v>
      </c>
      <c r="D16" s="870" t="s">
        <v>12</v>
      </c>
      <c r="E16" s="871"/>
      <c r="F16" s="872"/>
      <c r="G16" s="114" t="s">
        <v>637</v>
      </c>
      <c r="H16" s="115"/>
      <c r="I16" s="116"/>
      <c r="J16" s="113" t="s">
        <v>638</v>
      </c>
      <c r="K16" s="113" t="s">
        <v>645</v>
      </c>
      <c r="L16" s="113" t="s">
        <v>640</v>
      </c>
      <c r="M16" s="117" t="s">
        <v>11</v>
      </c>
      <c r="N16" s="319" t="s">
        <v>13</v>
      </c>
      <c r="O16" s="873" t="s">
        <v>50</v>
      </c>
      <c r="P16" s="874"/>
      <c r="R16" s="182"/>
      <c r="S16" s="182"/>
      <c r="T16" s="182"/>
      <c r="U16" s="182"/>
      <c r="V16" s="182"/>
      <c r="W16" s="182"/>
    </row>
    <row r="17" spans="1:23" ht="15.75" customHeight="1">
      <c r="A17" s="869">
        <v>5</v>
      </c>
      <c r="B17" s="878" t="s">
        <v>193</v>
      </c>
      <c r="C17" s="111">
        <v>1</v>
      </c>
      <c r="D17" s="586" t="s">
        <v>332</v>
      </c>
      <c r="E17" s="845"/>
      <c r="F17" s="846"/>
      <c r="G17" s="586" t="s">
        <v>747</v>
      </c>
      <c r="H17" s="845"/>
      <c r="I17" s="846"/>
      <c r="J17" s="4">
        <v>581.91999999999996</v>
      </c>
      <c r="K17" s="14">
        <v>2.5051712250057499E-2</v>
      </c>
      <c r="L17" s="4">
        <v>0.54500000000000204</v>
      </c>
      <c r="M17" s="399">
        <v>317.14640000000099</v>
      </c>
      <c r="N17" s="4"/>
      <c r="O17" s="831" t="s">
        <v>505</v>
      </c>
      <c r="P17" s="832"/>
      <c r="R17" s="182"/>
      <c r="S17" s="182"/>
      <c r="T17" s="182"/>
      <c r="U17" s="182"/>
      <c r="V17" s="182"/>
      <c r="W17" s="182"/>
    </row>
    <row r="18" spans="1:23" ht="15.75" customHeight="1">
      <c r="A18" s="869"/>
      <c r="B18" s="875"/>
      <c r="C18" s="111">
        <v>2</v>
      </c>
      <c r="D18" s="586" t="s">
        <v>327</v>
      </c>
      <c r="E18" s="845"/>
      <c r="F18" s="846"/>
      <c r="G18" s="586" t="s">
        <v>710</v>
      </c>
      <c r="H18" s="845"/>
      <c r="I18" s="846"/>
      <c r="J18" s="4">
        <v>272.74</v>
      </c>
      <c r="K18" s="14">
        <v>1.85185185185184E-2</v>
      </c>
      <c r="L18" s="4">
        <v>0.95999999999999397</v>
      </c>
      <c r="M18" s="399">
        <v>261.83039999999801</v>
      </c>
      <c r="N18" s="4"/>
      <c r="O18" s="831" t="s">
        <v>505</v>
      </c>
      <c r="P18" s="832"/>
      <c r="R18" s="182"/>
      <c r="S18" s="182"/>
      <c r="T18" s="182"/>
      <c r="U18" s="182"/>
      <c r="V18" s="182"/>
      <c r="W18" s="182"/>
    </row>
    <row r="19" spans="1:23" ht="15.75" customHeight="1">
      <c r="A19" s="869"/>
      <c r="B19" s="875"/>
      <c r="C19" s="111">
        <v>3</v>
      </c>
      <c r="D19" s="586" t="s">
        <v>578</v>
      </c>
      <c r="E19" s="845"/>
      <c r="F19" s="846"/>
      <c r="G19" s="586" t="s">
        <v>579</v>
      </c>
      <c r="H19" s="845"/>
      <c r="I19" s="846"/>
      <c r="J19" s="4">
        <v>447.3</v>
      </c>
      <c r="K19" s="14">
        <v>5.2289938694554498E-3</v>
      </c>
      <c r="L19" s="4">
        <v>0.57999999999999796</v>
      </c>
      <c r="M19" s="399">
        <v>259.433999999999</v>
      </c>
      <c r="N19" s="4"/>
      <c r="O19" s="831" t="s">
        <v>505</v>
      </c>
      <c r="P19" s="832"/>
      <c r="R19" s="182"/>
      <c r="S19" s="182"/>
      <c r="T19" s="182"/>
      <c r="U19" s="182"/>
      <c r="V19" s="182"/>
      <c r="W19" s="182"/>
    </row>
    <row r="20" spans="1:23" ht="15.75" customHeight="1">
      <c r="A20" s="869"/>
      <c r="B20" s="875"/>
      <c r="C20" s="111">
        <v>4</v>
      </c>
      <c r="D20" s="586" t="s">
        <v>587</v>
      </c>
      <c r="E20" s="845"/>
      <c r="F20" s="846"/>
      <c r="G20" s="586" t="s">
        <v>649</v>
      </c>
      <c r="H20" s="845"/>
      <c r="I20" s="846"/>
      <c r="J20" s="4">
        <v>272.57</v>
      </c>
      <c r="K20" s="14">
        <v>1.6949152542372899E-2</v>
      </c>
      <c r="L20" s="4">
        <v>0.93</v>
      </c>
      <c r="M20" s="399">
        <v>253.49010000000001</v>
      </c>
      <c r="N20" s="4"/>
      <c r="O20" s="831" t="s">
        <v>505</v>
      </c>
      <c r="P20" s="832"/>
      <c r="R20" s="182"/>
      <c r="S20" s="182"/>
      <c r="T20" s="182"/>
      <c r="U20" s="182"/>
      <c r="V20" s="182"/>
      <c r="W20" s="182"/>
    </row>
    <row r="21" spans="1:23" ht="15.75" customHeight="1" thickBot="1">
      <c r="A21" s="869"/>
      <c r="B21" s="875"/>
      <c r="C21" s="112">
        <v>5</v>
      </c>
      <c r="D21" s="586" t="s">
        <v>330</v>
      </c>
      <c r="E21" s="845"/>
      <c r="F21" s="846"/>
      <c r="G21" s="586" t="s">
        <v>709</v>
      </c>
      <c r="H21" s="845"/>
      <c r="I21" s="846"/>
      <c r="J21" s="4">
        <v>136.88999999999999</v>
      </c>
      <c r="K21" s="14">
        <v>5.5876089765756797E-3</v>
      </c>
      <c r="L21" s="4">
        <v>1.8419999999999801</v>
      </c>
      <c r="M21" s="399">
        <v>252.151379999998</v>
      </c>
      <c r="N21" s="4"/>
      <c r="O21" s="831" t="s">
        <v>505</v>
      </c>
      <c r="P21" s="832"/>
      <c r="R21" s="182"/>
      <c r="S21" s="182"/>
      <c r="T21" s="182"/>
      <c r="U21" s="182"/>
      <c r="V21" s="182"/>
      <c r="W21" s="182"/>
    </row>
    <row r="22" spans="1:23" ht="15.75" customHeight="1" thickTop="1" thickBot="1">
      <c r="A22" s="869"/>
      <c r="B22" s="875"/>
      <c r="C22" s="882"/>
      <c r="D22" s="882"/>
      <c r="E22" s="882"/>
      <c r="F22" s="882"/>
      <c r="G22" s="882"/>
      <c r="H22" s="882"/>
      <c r="I22" s="883"/>
      <c r="J22" s="118" t="s">
        <v>642</v>
      </c>
      <c r="K22" s="244">
        <v>5.9727306471331655E-3</v>
      </c>
      <c r="L22" s="118" t="s">
        <v>643</v>
      </c>
      <c r="M22" s="400">
        <v>1344.052279999996</v>
      </c>
      <c r="N22" s="879"/>
      <c r="O22" s="880"/>
      <c r="P22" s="881"/>
      <c r="R22" s="182"/>
      <c r="S22" s="182"/>
      <c r="T22" s="182"/>
      <c r="U22" s="182"/>
      <c r="V22" s="182"/>
      <c r="W22" s="182"/>
    </row>
    <row r="23" spans="1:23" ht="15.75" customHeight="1" thickTop="1">
      <c r="A23" s="567"/>
      <c r="B23" s="110"/>
      <c r="C23" s="108"/>
      <c r="D23" s="567"/>
      <c r="E23" s="567"/>
      <c r="F23" s="567"/>
      <c r="G23" s="567"/>
      <c r="H23" s="567"/>
      <c r="I23" s="567"/>
      <c r="J23" s="567"/>
      <c r="K23" s="567"/>
      <c r="L23" s="567"/>
      <c r="M23" s="567"/>
      <c r="N23" s="567"/>
      <c r="O23" s="567"/>
      <c r="P23" s="567"/>
      <c r="R23" s="182"/>
      <c r="S23" s="182"/>
      <c r="T23" s="182"/>
      <c r="U23" s="182"/>
      <c r="V23" s="182"/>
      <c r="W23" s="182"/>
    </row>
    <row r="24" spans="1:23" ht="15.75" customHeight="1">
      <c r="A24" s="868" t="s">
        <v>636</v>
      </c>
      <c r="B24" s="869"/>
      <c r="C24" s="116" t="s">
        <v>536</v>
      </c>
      <c r="D24" s="870" t="s">
        <v>12</v>
      </c>
      <c r="E24" s="871"/>
      <c r="F24" s="872"/>
      <c r="G24" s="114" t="s">
        <v>637</v>
      </c>
      <c r="H24" s="115"/>
      <c r="I24" s="116"/>
      <c r="J24" s="113" t="s">
        <v>638</v>
      </c>
      <c r="K24" s="113" t="s">
        <v>645</v>
      </c>
      <c r="L24" s="113" t="s">
        <v>640</v>
      </c>
      <c r="M24" s="117" t="s">
        <v>11</v>
      </c>
      <c r="N24" s="319" t="s">
        <v>13</v>
      </c>
      <c r="O24" s="873" t="s">
        <v>50</v>
      </c>
      <c r="P24" s="874"/>
      <c r="R24" s="182"/>
      <c r="S24" s="182"/>
      <c r="T24" s="182"/>
      <c r="U24" s="182"/>
      <c r="V24" s="182"/>
      <c r="W24" s="182"/>
    </row>
    <row r="25" spans="1:23" ht="15.75" customHeight="1">
      <c r="A25" s="869">
        <v>6</v>
      </c>
      <c r="B25" s="878" t="s">
        <v>194</v>
      </c>
      <c r="C25" s="111">
        <v>1</v>
      </c>
      <c r="D25" s="586" t="s">
        <v>549</v>
      </c>
      <c r="E25" s="845"/>
      <c r="F25" s="846"/>
      <c r="G25" s="586" t="s">
        <v>746</v>
      </c>
      <c r="H25" s="845"/>
      <c r="I25" s="846"/>
      <c r="J25" s="4">
        <v>444.88</v>
      </c>
      <c r="K25" s="14">
        <v>1.71439996001399E-2</v>
      </c>
      <c r="L25" s="4">
        <v>0.68600000000000005</v>
      </c>
      <c r="M25" s="399">
        <v>305.18768</v>
      </c>
      <c r="N25" s="4"/>
      <c r="O25" s="829" t="s">
        <v>647</v>
      </c>
      <c r="P25" s="867"/>
      <c r="R25" s="182"/>
      <c r="S25" s="182"/>
      <c r="T25" s="182"/>
      <c r="U25" s="182"/>
      <c r="V25" s="182"/>
      <c r="W25" s="182"/>
    </row>
    <row r="26" spans="1:23" ht="15.75" customHeight="1">
      <c r="A26" s="869"/>
      <c r="B26" s="875"/>
      <c r="C26" s="111">
        <v>2</v>
      </c>
      <c r="D26" s="586" t="s">
        <v>627</v>
      </c>
      <c r="E26" s="845"/>
      <c r="F26" s="846"/>
      <c r="G26" s="586" t="s">
        <v>331</v>
      </c>
      <c r="H26" s="845"/>
      <c r="I26" s="846"/>
      <c r="J26" s="4">
        <v>487.66</v>
      </c>
      <c r="K26" s="14">
        <v>1.17810117810118E-2</v>
      </c>
      <c r="L26" s="4">
        <v>0.59499999999999897</v>
      </c>
      <c r="M26" s="399">
        <v>290.15769999999901</v>
      </c>
      <c r="N26" s="4"/>
      <c r="O26" s="831" t="s">
        <v>647</v>
      </c>
      <c r="P26" s="867"/>
      <c r="R26" s="182"/>
      <c r="S26" s="182"/>
      <c r="T26" s="182"/>
      <c r="U26" s="182"/>
      <c r="V26" s="182"/>
      <c r="W26" s="182"/>
    </row>
    <row r="27" spans="1:23" ht="15.75" customHeight="1">
      <c r="A27" s="869"/>
      <c r="B27" s="875"/>
      <c r="C27" s="111">
        <v>3</v>
      </c>
      <c r="D27" s="586" t="s">
        <v>701</v>
      </c>
      <c r="E27" s="845"/>
      <c r="F27" s="846"/>
      <c r="G27" s="586" t="s">
        <v>765</v>
      </c>
      <c r="H27" s="845"/>
      <c r="I27" s="846"/>
      <c r="J27" s="4">
        <v>535.87</v>
      </c>
      <c r="K27" s="14">
        <v>3.4928848641655803E-2</v>
      </c>
      <c r="L27" s="4">
        <v>0.53999999999999904</v>
      </c>
      <c r="M27" s="399">
        <v>289.3698</v>
      </c>
      <c r="N27" s="4"/>
      <c r="O27" s="831" t="s">
        <v>647</v>
      </c>
      <c r="P27" s="867"/>
      <c r="R27" s="182"/>
      <c r="S27" s="182"/>
      <c r="T27" s="182"/>
      <c r="U27" s="182"/>
      <c r="V27" s="182"/>
      <c r="W27" s="182"/>
    </row>
    <row r="28" spans="1:23" ht="15.75" customHeight="1">
      <c r="A28" s="869"/>
      <c r="B28" s="875"/>
      <c r="C28" s="111">
        <v>4</v>
      </c>
      <c r="D28" s="586">
        <v>0</v>
      </c>
      <c r="E28" s="845"/>
      <c r="F28" s="846"/>
      <c r="G28" s="586">
        <v>0</v>
      </c>
      <c r="H28" s="845"/>
      <c r="I28" s="846"/>
      <c r="J28" s="4">
        <v>0</v>
      </c>
      <c r="K28" s="14">
        <v>0</v>
      </c>
      <c r="L28" s="4">
        <v>0</v>
      </c>
      <c r="M28" s="399">
        <v>0</v>
      </c>
      <c r="N28" s="4"/>
      <c r="O28" s="831"/>
      <c r="P28" s="867"/>
      <c r="R28" s="182"/>
      <c r="S28" s="182"/>
      <c r="T28" s="182"/>
      <c r="U28" s="182"/>
      <c r="V28" s="182"/>
      <c r="W28" s="182"/>
    </row>
    <row r="29" spans="1:23" ht="15.75" customHeight="1" thickBot="1">
      <c r="A29" s="869"/>
      <c r="B29" s="875"/>
      <c r="C29" s="112">
        <v>5</v>
      </c>
      <c r="D29" s="586">
        <v>0</v>
      </c>
      <c r="E29" s="845"/>
      <c r="F29" s="846"/>
      <c r="G29" s="586">
        <v>0</v>
      </c>
      <c r="H29" s="845"/>
      <c r="I29" s="846"/>
      <c r="J29" s="4">
        <v>0</v>
      </c>
      <c r="K29" s="14">
        <v>0</v>
      </c>
      <c r="L29" s="4">
        <v>0</v>
      </c>
      <c r="M29" s="399">
        <v>0</v>
      </c>
      <c r="N29" s="4"/>
      <c r="O29" s="831"/>
      <c r="P29" s="867"/>
      <c r="R29" s="182"/>
      <c r="S29" s="182"/>
      <c r="T29" s="182"/>
      <c r="U29" s="182"/>
      <c r="V29" s="182"/>
      <c r="W29" s="182"/>
    </row>
    <row r="30" spans="1:23" ht="15.75" customHeight="1" thickTop="1" thickBot="1">
      <c r="A30" s="869"/>
      <c r="B30" s="875"/>
      <c r="C30" s="882"/>
      <c r="D30" s="882"/>
      <c r="E30" s="882"/>
      <c r="F30" s="882"/>
      <c r="G30" s="882"/>
      <c r="H30" s="882"/>
      <c r="I30" s="883"/>
      <c r="J30" s="118" t="s">
        <v>642</v>
      </c>
      <c r="K30" s="244">
        <v>3.9315178049249278E-3</v>
      </c>
      <c r="L30" s="118" t="s">
        <v>643</v>
      </c>
      <c r="M30" s="400">
        <v>884.71517999999901</v>
      </c>
      <c r="N30" s="879"/>
      <c r="O30" s="880"/>
      <c r="P30" s="881"/>
      <c r="R30" s="182"/>
      <c r="S30" s="182"/>
      <c r="T30" s="182"/>
      <c r="U30" s="182"/>
      <c r="V30" s="182"/>
      <c r="W30" s="182"/>
    </row>
    <row r="31" spans="1:23" ht="15.75" customHeight="1" thickTop="1">
      <c r="A31" s="567"/>
      <c r="B31" s="110"/>
      <c r="C31" s="108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67"/>
      <c r="R31" s="182"/>
      <c r="S31" s="182"/>
      <c r="T31" s="182"/>
      <c r="U31" s="182"/>
      <c r="V31" s="182"/>
      <c r="W31" s="182"/>
    </row>
    <row r="32" spans="1:23" ht="15.75" customHeight="1">
      <c r="A32" s="868" t="s">
        <v>636</v>
      </c>
      <c r="B32" s="869"/>
      <c r="C32" s="116" t="s">
        <v>536</v>
      </c>
      <c r="D32" s="870" t="s">
        <v>12</v>
      </c>
      <c r="E32" s="871"/>
      <c r="F32" s="872"/>
      <c r="G32" s="114" t="s">
        <v>637</v>
      </c>
      <c r="H32" s="115"/>
      <c r="I32" s="116"/>
      <c r="J32" s="113" t="s">
        <v>638</v>
      </c>
      <c r="K32" s="113" t="s">
        <v>645</v>
      </c>
      <c r="L32" s="113" t="s">
        <v>640</v>
      </c>
      <c r="M32" s="117" t="s">
        <v>11</v>
      </c>
      <c r="N32" s="117" t="s">
        <v>13</v>
      </c>
      <c r="O32" s="873" t="s">
        <v>50</v>
      </c>
      <c r="P32" s="874"/>
      <c r="R32" s="182"/>
      <c r="S32" s="182"/>
      <c r="T32" s="182"/>
      <c r="U32" s="182"/>
      <c r="V32" s="182"/>
      <c r="W32" s="182"/>
    </row>
    <row r="33" spans="1:23" ht="15.75" customHeight="1">
      <c r="A33" s="869">
        <v>7</v>
      </c>
      <c r="B33" s="878" t="s">
        <v>506</v>
      </c>
      <c r="C33" s="111">
        <v>1</v>
      </c>
      <c r="D33" s="586" t="s">
        <v>623</v>
      </c>
      <c r="E33" s="845"/>
      <c r="F33" s="846"/>
      <c r="G33" s="586" t="s">
        <v>714</v>
      </c>
      <c r="H33" s="845"/>
      <c r="I33" s="846"/>
      <c r="J33" s="4">
        <v>935.2</v>
      </c>
      <c r="K33" s="14">
        <v>2.52580119500272E-2</v>
      </c>
      <c r="L33" s="4">
        <v>0.372</v>
      </c>
      <c r="M33" s="399">
        <v>347.89440000000002</v>
      </c>
      <c r="N33" s="4"/>
      <c r="O33" s="831" t="s">
        <v>589</v>
      </c>
      <c r="P33" s="867"/>
      <c r="R33" s="182"/>
      <c r="S33" s="182"/>
      <c r="T33" s="182"/>
      <c r="U33" s="182"/>
      <c r="V33" s="182"/>
      <c r="W33" s="182"/>
    </row>
    <row r="34" spans="1:23" ht="15.75" customHeight="1">
      <c r="A34" s="869"/>
      <c r="B34" s="875"/>
      <c r="C34" s="111">
        <v>2</v>
      </c>
      <c r="D34" s="586" t="s">
        <v>702</v>
      </c>
      <c r="E34" s="845"/>
      <c r="F34" s="846"/>
      <c r="G34" s="586" t="s">
        <v>703</v>
      </c>
      <c r="H34" s="845"/>
      <c r="I34" s="846"/>
      <c r="J34" s="4">
        <v>1010.1</v>
      </c>
      <c r="K34" s="14">
        <v>3.0219780219780199E-2</v>
      </c>
      <c r="L34" s="4">
        <v>0.308</v>
      </c>
      <c r="M34" s="399">
        <v>311.11079999999998</v>
      </c>
      <c r="N34" s="4"/>
      <c r="O34" s="831" t="s">
        <v>589</v>
      </c>
      <c r="P34" s="867"/>
      <c r="R34" s="182"/>
      <c r="S34" s="182"/>
      <c r="T34" s="182"/>
      <c r="U34" s="182"/>
      <c r="V34" s="182"/>
      <c r="W34" s="182"/>
    </row>
    <row r="35" spans="1:23" ht="15.75" customHeight="1">
      <c r="A35" s="869"/>
      <c r="B35" s="875"/>
      <c r="C35" s="111">
        <v>3</v>
      </c>
      <c r="D35" s="586" t="s">
        <v>702</v>
      </c>
      <c r="E35" s="845"/>
      <c r="F35" s="846"/>
      <c r="G35" s="586" t="s">
        <v>711</v>
      </c>
      <c r="H35" s="845"/>
      <c r="I35" s="846"/>
      <c r="J35" s="4">
        <v>622.54999999999995</v>
      </c>
      <c r="K35" s="14">
        <v>0.171043293115685</v>
      </c>
      <c r="L35" s="4">
        <v>0.48199999999999998</v>
      </c>
      <c r="M35" s="399">
        <v>300.06909999999999</v>
      </c>
      <c r="N35" s="4"/>
      <c r="O35" s="831" t="s">
        <v>589</v>
      </c>
      <c r="P35" s="867"/>
      <c r="R35" s="182"/>
      <c r="S35" s="182"/>
      <c r="T35" s="182"/>
      <c r="U35" s="182"/>
      <c r="V35" s="182"/>
      <c r="W35" s="182"/>
    </row>
    <row r="36" spans="1:23" ht="15.75" customHeight="1">
      <c r="A36" s="869"/>
      <c r="B36" s="875"/>
      <c r="C36" s="111">
        <v>4</v>
      </c>
      <c r="D36" s="586">
        <v>0</v>
      </c>
      <c r="E36" s="845"/>
      <c r="F36" s="846"/>
      <c r="G36" s="586">
        <v>0</v>
      </c>
      <c r="H36" s="845"/>
      <c r="I36" s="846"/>
      <c r="J36" s="4">
        <v>0</v>
      </c>
      <c r="K36" s="14">
        <v>0</v>
      </c>
      <c r="L36" s="4">
        <v>0</v>
      </c>
      <c r="M36" s="399">
        <v>0</v>
      </c>
      <c r="N36" s="4"/>
      <c r="O36" s="831"/>
      <c r="P36" s="867"/>
      <c r="R36" s="182"/>
      <c r="S36" s="182"/>
      <c r="T36" s="182"/>
      <c r="U36" s="182"/>
      <c r="V36" s="182"/>
      <c r="W36" s="182"/>
    </row>
    <row r="37" spans="1:23" ht="15.75" customHeight="1" thickBot="1">
      <c r="A37" s="869"/>
      <c r="B37" s="875"/>
      <c r="C37" s="112">
        <v>5</v>
      </c>
      <c r="D37" s="586">
        <v>0</v>
      </c>
      <c r="E37" s="845"/>
      <c r="F37" s="846"/>
      <c r="G37" s="586">
        <v>0</v>
      </c>
      <c r="H37" s="845"/>
      <c r="I37" s="846"/>
      <c r="J37" s="4">
        <v>0</v>
      </c>
      <c r="K37" s="14">
        <v>0</v>
      </c>
      <c r="L37" s="4">
        <v>0</v>
      </c>
      <c r="M37" s="399">
        <v>0</v>
      </c>
      <c r="N37" s="4"/>
      <c r="O37" s="831"/>
      <c r="P37" s="867"/>
      <c r="R37" s="182"/>
      <c r="S37" s="182"/>
      <c r="T37" s="182"/>
      <c r="U37" s="182"/>
      <c r="V37" s="182"/>
      <c r="W37" s="182"/>
    </row>
    <row r="38" spans="1:23" ht="15.75" customHeight="1" thickTop="1" thickBot="1">
      <c r="A38" s="869"/>
      <c r="B38" s="875"/>
      <c r="C38" s="882"/>
      <c r="D38" s="882"/>
      <c r="E38" s="882"/>
      <c r="F38" s="882"/>
      <c r="G38" s="882"/>
      <c r="H38" s="882"/>
      <c r="I38" s="883"/>
      <c r="J38" s="118" t="s">
        <v>642</v>
      </c>
      <c r="K38" s="244">
        <v>4.2619565843731947E-3</v>
      </c>
      <c r="L38" s="118" t="s">
        <v>643</v>
      </c>
      <c r="M38" s="400">
        <v>959.07429999999999</v>
      </c>
      <c r="N38" s="879"/>
      <c r="O38" s="880"/>
      <c r="P38" s="881"/>
      <c r="R38" s="182"/>
      <c r="S38" s="182"/>
      <c r="T38" s="182"/>
      <c r="U38" s="182"/>
      <c r="V38" s="182"/>
      <c r="W38" s="182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703125" defaultRowHeight="15.75" customHeight="1"/>
  <cols>
    <col min="1" max="1" width="5.42578125" style="119" customWidth="1"/>
    <col min="2" max="2" width="7.85546875" style="175" customWidth="1"/>
    <col min="3" max="3" width="4" style="160" customWidth="1"/>
    <col min="4" max="17" width="8.5703125" style="119" customWidth="1"/>
    <col min="18" max="16384" width="12.5703125" style="119"/>
  </cols>
  <sheetData>
    <row r="1" spans="1:17" ht="15.75" customHeight="1">
      <c r="A1" s="608" t="s">
        <v>185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</row>
    <row r="2" spans="1:17" s="120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</row>
    <row r="3" spans="1:17" ht="15.75" customHeight="1">
      <c r="A3" s="724" t="s">
        <v>196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4"/>
    </row>
    <row r="4" spans="1:17" s="120" customFormat="1" ht="15.75" customHeight="1">
      <c r="A4" s="889"/>
      <c r="B4" s="889"/>
      <c r="C4" s="889"/>
      <c r="D4" s="889"/>
      <c r="E4" s="889"/>
      <c r="F4" s="889"/>
      <c r="G4" s="889"/>
      <c r="H4" s="889"/>
      <c r="I4" s="889"/>
      <c r="J4" s="889"/>
      <c r="K4" s="889"/>
      <c r="L4" s="889"/>
      <c r="M4" s="889"/>
      <c r="N4" s="889"/>
      <c r="O4" s="889"/>
      <c r="P4" s="889"/>
      <c r="Q4" s="889"/>
    </row>
    <row r="5" spans="1:17" ht="15.75" customHeight="1">
      <c r="A5" s="625" t="s">
        <v>171</v>
      </c>
      <c r="B5" s="835">
        <v>1</v>
      </c>
      <c r="C5" s="835"/>
      <c r="D5" s="835">
        <v>2</v>
      </c>
      <c r="E5" s="835"/>
      <c r="F5" s="835">
        <v>3</v>
      </c>
      <c r="G5" s="835"/>
      <c r="H5" s="835">
        <v>4</v>
      </c>
      <c r="I5" s="835"/>
      <c r="J5" s="835">
        <v>5</v>
      </c>
      <c r="K5" s="835"/>
      <c r="L5" s="835">
        <v>6</v>
      </c>
      <c r="M5" s="835"/>
      <c r="N5" s="835">
        <v>7</v>
      </c>
      <c r="O5" s="835"/>
      <c r="P5" s="837">
        <v>8</v>
      </c>
      <c r="Q5" s="837"/>
    </row>
    <row r="6" spans="1:17" ht="15.75" customHeight="1">
      <c r="A6" s="625"/>
      <c r="B6" s="625" t="s">
        <v>304</v>
      </c>
      <c r="C6" s="625"/>
      <c r="D6" s="625" t="s">
        <v>197</v>
      </c>
      <c r="E6" s="625"/>
      <c r="F6" s="625" t="s">
        <v>163</v>
      </c>
      <c r="G6" s="625"/>
      <c r="H6" s="625" t="s">
        <v>492</v>
      </c>
      <c r="I6" s="625"/>
      <c r="J6" s="625" t="s">
        <v>169</v>
      </c>
      <c r="K6" s="625"/>
      <c r="L6" s="625" t="s">
        <v>164</v>
      </c>
      <c r="M6" s="625"/>
      <c r="N6" s="625" t="s">
        <v>170</v>
      </c>
      <c r="O6" s="625"/>
      <c r="P6" s="838" t="s">
        <v>198</v>
      </c>
      <c r="Q6" s="838"/>
    </row>
    <row r="8" spans="1:17" s="153" customFormat="1" ht="15.75" customHeight="1">
      <c r="A8" s="162" t="s">
        <v>173</v>
      </c>
      <c r="B8" s="179" t="s">
        <v>18</v>
      </c>
      <c r="C8" s="890" t="s">
        <v>12</v>
      </c>
      <c r="D8" s="890"/>
      <c r="E8" s="890"/>
      <c r="F8" s="890" t="s">
        <v>53</v>
      </c>
      <c r="G8" s="890"/>
      <c r="H8" s="890"/>
      <c r="I8" s="179" t="s">
        <v>54</v>
      </c>
      <c r="J8" s="180" t="s">
        <v>19</v>
      </c>
      <c r="K8" s="179" t="s">
        <v>57</v>
      </c>
      <c r="L8" s="179" t="s">
        <v>2</v>
      </c>
      <c r="M8" s="892" t="s">
        <v>50</v>
      </c>
      <c r="N8" s="893"/>
      <c r="O8" s="893"/>
      <c r="P8" s="893"/>
      <c r="Q8" s="893"/>
    </row>
    <row r="9" spans="1:17" ht="15.75" customHeight="1">
      <c r="A9" s="890" t="s">
        <v>172</v>
      </c>
      <c r="B9" s="155">
        <v>1</v>
      </c>
      <c r="C9" s="891"/>
      <c r="D9" s="735"/>
      <c r="E9" s="735"/>
      <c r="F9" s="891"/>
      <c r="G9" s="735"/>
      <c r="H9" s="735"/>
      <c r="I9" s="163"/>
      <c r="J9" s="177"/>
      <c r="K9" s="177"/>
      <c r="L9" s="178">
        <f>K9-J9</f>
        <v>0</v>
      </c>
      <c r="M9" s="891"/>
      <c r="N9" s="891"/>
      <c r="O9" s="891"/>
      <c r="P9" s="891"/>
      <c r="Q9" s="891"/>
    </row>
    <row r="10" spans="1:17" ht="15.75" customHeight="1">
      <c r="A10" s="896"/>
      <c r="B10" s="155">
        <v>2</v>
      </c>
      <c r="C10" s="891"/>
      <c r="D10" s="735"/>
      <c r="E10" s="735"/>
      <c r="F10" s="891"/>
      <c r="G10" s="735"/>
      <c r="H10" s="735"/>
      <c r="I10" s="163"/>
      <c r="J10" s="177"/>
      <c r="K10" s="177"/>
      <c r="L10" s="178">
        <f>K10-J10</f>
        <v>0</v>
      </c>
      <c r="M10" s="891"/>
      <c r="N10" s="891"/>
      <c r="O10" s="891"/>
      <c r="P10" s="891"/>
      <c r="Q10" s="891"/>
    </row>
    <row r="11" spans="1:17" ht="15.75" customHeight="1">
      <c r="A11" s="896"/>
      <c r="B11" s="155">
        <v>3</v>
      </c>
      <c r="C11" s="891"/>
      <c r="D11" s="735"/>
      <c r="E11" s="735"/>
      <c r="F11" s="891"/>
      <c r="G11" s="735"/>
      <c r="H11" s="735"/>
      <c r="I11" s="163"/>
      <c r="J11" s="177"/>
      <c r="K11" s="177"/>
      <c r="L11" s="178">
        <f>K11-J11</f>
        <v>0</v>
      </c>
      <c r="M11" s="891"/>
      <c r="N11" s="891"/>
      <c r="O11" s="891"/>
      <c r="P11" s="891"/>
      <c r="Q11" s="891"/>
    </row>
    <row r="12" spans="1:17" ht="15.75" customHeight="1">
      <c r="A12" s="896"/>
      <c r="B12" s="155">
        <v>4</v>
      </c>
      <c r="C12" s="891"/>
      <c r="D12" s="735"/>
      <c r="E12" s="735"/>
      <c r="F12" s="891"/>
      <c r="G12" s="735"/>
      <c r="H12" s="735"/>
      <c r="I12" s="163"/>
      <c r="J12" s="177"/>
      <c r="K12" s="177"/>
      <c r="L12" s="178">
        <f>K12-J12</f>
        <v>0</v>
      </c>
      <c r="M12" s="891"/>
      <c r="N12" s="891"/>
      <c r="O12" s="891"/>
      <c r="P12" s="891"/>
      <c r="Q12" s="891"/>
    </row>
    <row r="13" spans="1:17" ht="15.75" customHeight="1">
      <c r="A13" s="896"/>
      <c r="B13" s="155">
        <v>5</v>
      </c>
      <c r="C13" s="891"/>
      <c r="D13" s="735"/>
      <c r="E13" s="735"/>
      <c r="F13" s="891"/>
      <c r="G13" s="735"/>
      <c r="H13" s="735"/>
      <c r="I13" s="163"/>
      <c r="J13" s="177"/>
      <c r="K13" s="177"/>
      <c r="L13" s="178">
        <f>K13-J13</f>
        <v>0</v>
      </c>
      <c r="M13" s="891"/>
      <c r="N13" s="891"/>
      <c r="O13" s="891"/>
      <c r="P13" s="891"/>
      <c r="Q13" s="891"/>
    </row>
    <row r="14" spans="1:17" ht="15.75" customHeight="1">
      <c r="A14" s="894"/>
      <c r="B14" s="894"/>
      <c r="C14" s="894"/>
      <c r="D14" s="894"/>
      <c r="E14" s="894"/>
      <c r="F14" s="894"/>
      <c r="G14" s="894"/>
      <c r="H14" s="894"/>
      <c r="I14" s="894"/>
      <c r="J14" s="894"/>
      <c r="K14" s="894"/>
      <c r="L14" s="894"/>
      <c r="M14" s="894"/>
      <c r="N14" s="894"/>
      <c r="O14" s="895"/>
    </row>
    <row r="15" spans="1:17" s="153" customFormat="1" ht="15.75" customHeight="1">
      <c r="A15" s="162" t="s">
        <v>173</v>
      </c>
      <c r="B15" s="162" t="s">
        <v>18</v>
      </c>
      <c r="C15" s="888" t="s">
        <v>12</v>
      </c>
      <c r="D15" s="888"/>
      <c r="E15" s="888"/>
      <c r="F15" s="888" t="s">
        <v>53</v>
      </c>
      <c r="G15" s="888"/>
      <c r="H15" s="888"/>
      <c r="I15" s="162" t="s">
        <v>54</v>
      </c>
      <c r="J15" s="176" t="s">
        <v>19</v>
      </c>
      <c r="K15" s="162" t="s">
        <v>57</v>
      </c>
      <c r="L15" s="162" t="s">
        <v>2</v>
      </c>
      <c r="M15" s="888" t="s">
        <v>50</v>
      </c>
      <c r="N15" s="888"/>
      <c r="O15" s="888"/>
      <c r="P15" s="888"/>
      <c r="Q15" s="888"/>
    </row>
    <row r="16" spans="1:17" ht="15.75" customHeight="1">
      <c r="A16" s="888" t="s">
        <v>174</v>
      </c>
      <c r="B16" s="155">
        <v>1</v>
      </c>
      <c r="C16" s="891"/>
      <c r="D16" s="735"/>
      <c r="E16" s="735"/>
      <c r="F16" s="891"/>
      <c r="G16" s="735"/>
      <c r="H16" s="735"/>
      <c r="I16" s="163"/>
      <c r="J16" s="177"/>
      <c r="K16" s="177"/>
      <c r="L16" s="178">
        <f>K16-J16</f>
        <v>0</v>
      </c>
      <c r="M16" s="891"/>
      <c r="N16" s="891"/>
      <c r="O16" s="891"/>
      <c r="P16" s="891"/>
      <c r="Q16" s="891"/>
    </row>
    <row r="17" spans="1:17" ht="15.75" customHeight="1">
      <c r="A17" s="888"/>
      <c r="B17" s="155">
        <v>2</v>
      </c>
      <c r="C17" s="891"/>
      <c r="D17" s="735"/>
      <c r="E17" s="735"/>
      <c r="F17" s="891"/>
      <c r="G17" s="735"/>
      <c r="H17" s="735"/>
      <c r="I17" s="163"/>
      <c r="J17" s="177"/>
      <c r="K17" s="177"/>
      <c r="L17" s="178">
        <f>K17-J17</f>
        <v>0</v>
      </c>
      <c r="M17" s="891"/>
      <c r="N17" s="891"/>
      <c r="O17" s="891"/>
      <c r="P17" s="891"/>
      <c r="Q17" s="891"/>
    </row>
    <row r="18" spans="1:17" ht="15.75" customHeight="1">
      <c r="A18" s="888"/>
      <c r="B18" s="155">
        <v>3</v>
      </c>
      <c r="C18" s="891"/>
      <c r="D18" s="735"/>
      <c r="E18" s="735"/>
      <c r="F18" s="891"/>
      <c r="G18" s="735"/>
      <c r="H18" s="735"/>
      <c r="I18" s="163"/>
      <c r="J18" s="177"/>
      <c r="K18" s="177"/>
      <c r="L18" s="178">
        <f>K18-J18</f>
        <v>0</v>
      </c>
      <c r="M18" s="891"/>
      <c r="N18" s="891"/>
      <c r="O18" s="891"/>
      <c r="P18" s="891"/>
      <c r="Q18" s="891"/>
    </row>
    <row r="19" spans="1:17" ht="15.75" customHeight="1">
      <c r="A19" s="888"/>
      <c r="B19" s="155">
        <v>4</v>
      </c>
      <c r="C19" s="891"/>
      <c r="D19" s="735"/>
      <c r="E19" s="735"/>
      <c r="F19" s="891"/>
      <c r="G19" s="735"/>
      <c r="H19" s="735"/>
      <c r="I19" s="163"/>
      <c r="J19" s="177"/>
      <c r="K19" s="177"/>
      <c r="L19" s="178">
        <f>K19-J19</f>
        <v>0</v>
      </c>
      <c r="M19" s="891"/>
      <c r="N19" s="891"/>
      <c r="O19" s="891"/>
      <c r="P19" s="891"/>
      <c r="Q19" s="891"/>
    </row>
    <row r="20" spans="1:17" ht="15.75" customHeight="1">
      <c r="A20" s="888"/>
      <c r="B20" s="155">
        <v>5</v>
      </c>
      <c r="C20" s="891"/>
      <c r="D20" s="735"/>
      <c r="E20" s="735"/>
      <c r="F20" s="891"/>
      <c r="G20" s="735"/>
      <c r="H20" s="735"/>
      <c r="I20" s="163"/>
      <c r="J20" s="177"/>
      <c r="K20" s="177"/>
      <c r="L20" s="178">
        <f>K20-J20</f>
        <v>0</v>
      </c>
      <c r="M20" s="891"/>
      <c r="N20" s="891"/>
      <c r="O20" s="891"/>
      <c r="P20" s="891"/>
      <c r="Q20" s="891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Q78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3" sqref="B3:AD24"/>
    </sheetView>
  </sheetViews>
  <sheetFormatPr defaultColWidth="8.85546875" defaultRowHeight="16.5"/>
  <cols>
    <col min="1" max="1" width="8.85546875" style="327"/>
    <col min="2" max="2" width="12.42578125" style="327" customWidth="1"/>
    <col min="3" max="3" width="8.85546875" style="327"/>
    <col min="4" max="4" width="11.5703125" style="327" customWidth="1"/>
    <col min="5" max="5" width="39.28515625" style="327" bestFit="1" customWidth="1"/>
    <col min="6" max="6" width="11.42578125" style="327" bestFit="1" customWidth="1"/>
    <col min="7" max="8" width="17.28515625" style="327" bestFit="1" customWidth="1"/>
    <col min="9" max="9" width="16.85546875" style="327" customWidth="1"/>
    <col min="10" max="10" width="14" style="327" customWidth="1"/>
    <col min="11" max="11" width="16.85546875" style="327" customWidth="1"/>
    <col min="12" max="12" width="14" style="327" customWidth="1"/>
    <col min="13" max="13" width="13.85546875" style="327" bestFit="1" customWidth="1"/>
    <col min="14" max="14" width="10.85546875" style="327" bestFit="1" customWidth="1"/>
    <col min="15" max="15" width="19.140625" style="327" bestFit="1" customWidth="1"/>
    <col min="16" max="16" width="15.28515625" style="327" bestFit="1" customWidth="1"/>
    <col min="17" max="17" width="12.5703125" style="327" bestFit="1" customWidth="1"/>
    <col min="18" max="18" width="12.85546875" style="327" bestFit="1" customWidth="1"/>
    <col min="19" max="19" width="13.42578125" style="327" bestFit="1" customWidth="1"/>
    <col min="20" max="20" width="12.85546875" style="327" bestFit="1" customWidth="1"/>
    <col min="21" max="21" width="10.85546875" style="327" bestFit="1" customWidth="1"/>
    <col min="22" max="22" width="12.5703125" style="327" bestFit="1" customWidth="1"/>
    <col min="23" max="24" width="10.85546875" style="327" customWidth="1"/>
    <col min="25" max="25" width="12.42578125" style="327" bestFit="1" customWidth="1"/>
    <col min="26" max="26" width="25.28515625" style="327" bestFit="1" customWidth="1"/>
    <col min="27" max="27" width="88.28515625" style="327" customWidth="1"/>
    <col min="28" max="28" width="117.7109375" style="327" bestFit="1" customWidth="1"/>
    <col min="29" max="29" width="11.5703125" style="327" bestFit="1" customWidth="1"/>
    <col min="30" max="30" width="69.5703125" style="327" bestFit="1" customWidth="1"/>
    <col min="31" max="31" width="11.42578125" style="327" bestFit="1" customWidth="1"/>
    <col min="32" max="32" width="21.5703125" style="327" customWidth="1"/>
    <col min="33" max="33" width="19.42578125" style="327" bestFit="1" customWidth="1"/>
    <col min="34" max="39" width="14.42578125" style="327" customWidth="1"/>
    <col min="40" max="16384" width="8.85546875" style="327"/>
  </cols>
  <sheetData>
    <row r="1" spans="2:43" ht="21">
      <c r="B1" s="478" t="s">
        <v>673</v>
      </c>
    </row>
    <row r="2" spans="2:43" ht="41.1" customHeight="1">
      <c r="B2" s="899" t="s">
        <v>650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0"/>
      <c r="T2" s="900"/>
      <c r="U2" s="900"/>
      <c r="V2" s="900"/>
      <c r="W2" s="900"/>
      <c r="X2" s="900"/>
      <c r="Y2" s="900"/>
      <c r="Z2" s="900"/>
      <c r="AA2" s="900"/>
      <c r="AB2" s="900"/>
      <c r="AC2" s="900"/>
      <c r="AD2" s="900"/>
      <c r="AF2" s="328"/>
      <c r="AG2" s="328"/>
    </row>
    <row r="3" spans="2:43" ht="17.100000000000001" customHeight="1">
      <c r="B3" s="930" t="s">
        <v>651</v>
      </c>
      <c r="C3" s="931"/>
      <c r="D3" s="898" t="s">
        <v>652</v>
      </c>
      <c r="E3" s="897" t="s">
        <v>653</v>
      </c>
      <c r="F3" s="928" t="s">
        <v>654</v>
      </c>
      <c r="G3" s="906" t="s">
        <v>655</v>
      </c>
      <c r="H3" s="929" t="s">
        <v>656</v>
      </c>
      <c r="I3" s="923" t="s">
        <v>657</v>
      </c>
      <c r="J3" s="924"/>
      <c r="K3" s="923" t="s">
        <v>658</v>
      </c>
      <c r="L3" s="924"/>
      <c r="M3" s="923" t="s">
        <v>659</v>
      </c>
      <c r="N3" s="924"/>
      <c r="O3" s="923" t="s">
        <v>660</v>
      </c>
      <c r="P3" s="924"/>
      <c r="Q3" s="923" t="s">
        <v>661</v>
      </c>
      <c r="R3" s="924"/>
      <c r="S3" s="925" t="s">
        <v>662</v>
      </c>
      <c r="T3" s="926"/>
      <c r="U3" s="927"/>
      <c r="V3" s="901" t="s">
        <v>663</v>
      </c>
      <c r="W3" s="902"/>
      <c r="X3" s="903"/>
      <c r="Y3" s="904" t="s">
        <v>165</v>
      </c>
      <c r="Z3" s="904" t="s">
        <v>664</v>
      </c>
      <c r="AA3" s="904" t="s">
        <v>665</v>
      </c>
      <c r="AB3" s="904" t="s">
        <v>666</v>
      </c>
      <c r="AC3" s="904" t="s">
        <v>667</v>
      </c>
      <c r="AD3" s="906" t="s">
        <v>166</v>
      </c>
      <c r="AF3" s="908" t="s">
        <v>668</v>
      </c>
      <c r="AG3" s="909"/>
      <c r="AH3" s="909"/>
      <c r="AI3" s="909"/>
      <c r="AJ3" s="909"/>
      <c r="AK3" s="909"/>
      <c r="AL3" s="909"/>
      <c r="AM3" s="910"/>
    </row>
    <row r="4" spans="2:43">
      <c r="B4" s="932"/>
      <c r="C4" s="933"/>
      <c r="D4" s="898"/>
      <c r="E4" s="898"/>
      <c r="F4" s="928"/>
      <c r="G4" s="907"/>
      <c r="H4" s="907"/>
      <c r="I4" s="574" t="s">
        <v>669</v>
      </c>
      <c r="J4" s="573" t="s">
        <v>596</v>
      </c>
      <c r="K4" s="574" t="s">
        <v>669</v>
      </c>
      <c r="L4" s="573" t="s">
        <v>596</v>
      </c>
      <c r="M4" s="574" t="s">
        <v>669</v>
      </c>
      <c r="N4" s="573" t="s">
        <v>596</v>
      </c>
      <c r="O4" s="574" t="s">
        <v>669</v>
      </c>
      <c r="P4" s="573" t="s">
        <v>596</v>
      </c>
      <c r="Q4" s="574" t="s">
        <v>669</v>
      </c>
      <c r="R4" s="573" t="s">
        <v>596</v>
      </c>
      <c r="S4" s="574" t="s">
        <v>669</v>
      </c>
      <c r="T4" s="573" t="s">
        <v>596</v>
      </c>
      <c r="U4" s="573" t="s">
        <v>597</v>
      </c>
      <c r="V4" s="574" t="s">
        <v>669</v>
      </c>
      <c r="W4" s="573" t="s">
        <v>596</v>
      </c>
      <c r="X4" s="573" t="s">
        <v>597</v>
      </c>
      <c r="Y4" s="905"/>
      <c r="Z4" s="905"/>
      <c r="AA4" s="905"/>
      <c r="AB4" s="905"/>
      <c r="AC4" s="905"/>
      <c r="AD4" s="907"/>
      <c r="AF4" s="911"/>
      <c r="AG4" s="912"/>
      <c r="AH4" s="912"/>
      <c r="AI4" s="912"/>
      <c r="AJ4" s="912"/>
      <c r="AK4" s="912"/>
      <c r="AL4" s="912"/>
      <c r="AM4" s="913"/>
    </row>
    <row r="5" spans="2:43" s="389" customFormat="1" ht="27" customHeight="1">
      <c r="B5" s="917" t="s">
        <v>753</v>
      </c>
      <c r="C5" s="918"/>
      <c r="D5" s="329">
        <v>1</v>
      </c>
      <c r="E5" s="401" t="s">
        <v>766</v>
      </c>
      <c r="F5" s="402">
        <v>1184.1380000000001</v>
      </c>
      <c r="G5" s="330">
        <v>83.39</v>
      </c>
      <c r="H5" s="403">
        <v>931.05</v>
      </c>
      <c r="I5" s="403">
        <v>934.54748296619266</v>
      </c>
      <c r="J5" s="405">
        <v>1.0037388577062138</v>
      </c>
      <c r="K5" s="404">
        <v>948.8</v>
      </c>
      <c r="L5" s="405">
        <v>1.019064497073197</v>
      </c>
      <c r="M5" s="404">
        <v>0</v>
      </c>
      <c r="N5" s="405">
        <v>0</v>
      </c>
      <c r="O5" s="473">
        <v>948.8</v>
      </c>
      <c r="P5" s="405">
        <v>1.019064497073197</v>
      </c>
      <c r="Q5" s="403">
        <v>14.200000000000001</v>
      </c>
      <c r="R5" s="405">
        <v>1.5251597658557544E-2</v>
      </c>
      <c r="S5" s="473">
        <v>17.75</v>
      </c>
      <c r="T5" s="405">
        <v>1.9064497073196931E-2</v>
      </c>
      <c r="U5" s="413">
        <v>1480.1724999999999</v>
      </c>
      <c r="V5" s="474">
        <v>3.5499999999999989</v>
      </c>
      <c r="W5" s="475">
        <v>3.8128994146393847E-3</v>
      </c>
      <c r="X5" s="476">
        <v>296.03449999999992</v>
      </c>
      <c r="Y5" s="331" t="s">
        <v>325</v>
      </c>
      <c r="Z5" s="331" t="s">
        <v>492</v>
      </c>
      <c r="AA5" s="477" t="s">
        <v>621</v>
      </c>
      <c r="AB5" s="477" t="s">
        <v>515</v>
      </c>
      <c r="AC5" s="331">
        <v>1</v>
      </c>
      <c r="AD5" s="406" t="s">
        <v>356</v>
      </c>
      <c r="AF5" s="914"/>
      <c r="AG5" s="915"/>
      <c r="AH5" s="915"/>
      <c r="AI5" s="915"/>
      <c r="AJ5" s="915"/>
      <c r="AK5" s="915"/>
      <c r="AL5" s="915"/>
      <c r="AM5" s="916"/>
      <c r="AP5" s="407"/>
      <c r="AQ5" s="407"/>
    </row>
    <row r="6" spans="2:43" s="389" customFormat="1" ht="27" customHeight="1">
      <c r="B6" s="919"/>
      <c r="C6" s="920"/>
      <c r="D6" s="329">
        <v>2</v>
      </c>
      <c r="E6" s="401" t="s">
        <v>633</v>
      </c>
      <c r="F6" s="402">
        <v>1163.2529999999999</v>
      </c>
      <c r="G6" s="330">
        <v>298.27</v>
      </c>
      <c r="H6" s="403">
        <v>181.75</v>
      </c>
      <c r="I6" s="403">
        <v>183.05738619051903</v>
      </c>
      <c r="J6" s="405">
        <v>1.0071082402933613</v>
      </c>
      <c r="K6" s="404">
        <v>187.1</v>
      </c>
      <c r="L6" s="405">
        <v>1.029436038514443</v>
      </c>
      <c r="M6" s="404">
        <v>0</v>
      </c>
      <c r="N6" s="405">
        <v>0</v>
      </c>
      <c r="O6" s="473">
        <v>187.1</v>
      </c>
      <c r="P6" s="405">
        <v>1.029436038514443</v>
      </c>
      <c r="Q6" s="403">
        <v>3.9</v>
      </c>
      <c r="R6" s="405">
        <v>2.1458046767537826E-2</v>
      </c>
      <c r="S6" s="473">
        <v>5.3500000000000014</v>
      </c>
      <c r="T6" s="405">
        <v>2.9436038514442923E-2</v>
      </c>
      <c r="U6" s="413">
        <v>1595.7445000000002</v>
      </c>
      <c r="V6" s="474">
        <v>1.4500000000000015</v>
      </c>
      <c r="W6" s="475">
        <v>7.977991746905097E-3</v>
      </c>
      <c r="X6" s="476">
        <v>432.49150000000043</v>
      </c>
      <c r="Y6" s="331" t="s">
        <v>326</v>
      </c>
      <c r="Z6" s="331" t="s">
        <v>193</v>
      </c>
      <c r="AA6" s="477" t="s">
        <v>580</v>
      </c>
      <c r="AB6" s="477" t="s">
        <v>514</v>
      </c>
      <c r="AC6" s="331">
        <v>1</v>
      </c>
      <c r="AD6" s="406" t="s">
        <v>629</v>
      </c>
      <c r="AF6" s="222" t="s">
        <v>671</v>
      </c>
      <c r="AG6" s="222" t="s">
        <v>598</v>
      </c>
      <c r="AH6" s="472" t="s">
        <v>646</v>
      </c>
      <c r="AI6" s="472" t="s">
        <v>365</v>
      </c>
      <c r="AJ6" s="472" t="s">
        <v>492</v>
      </c>
      <c r="AK6" s="472" t="s">
        <v>193</v>
      </c>
      <c r="AL6" s="472" t="s">
        <v>194</v>
      </c>
      <c r="AM6" s="472" t="s">
        <v>506</v>
      </c>
      <c r="AP6" s="409"/>
      <c r="AQ6" s="208"/>
    </row>
    <row r="7" spans="2:43" s="389" customFormat="1" ht="27" customHeight="1">
      <c r="B7" s="919"/>
      <c r="C7" s="920"/>
      <c r="D7" s="329">
        <v>3</v>
      </c>
      <c r="E7" s="401" t="s">
        <v>767</v>
      </c>
      <c r="F7" s="402">
        <v>1158</v>
      </c>
      <c r="G7" s="330">
        <v>154.4</v>
      </c>
      <c r="H7" s="403">
        <v>282.67200000000003</v>
      </c>
      <c r="I7" s="403">
        <v>284.91952322628606</v>
      </c>
      <c r="J7" s="405">
        <v>1.0079516187719466</v>
      </c>
      <c r="K7" s="404">
        <v>292.5</v>
      </c>
      <c r="L7" s="405">
        <v>1.0347682119205297</v>
      </c>
      <c r="M7" s="404">
        <v>0</v>
      </c>
      <c r="N7" s="405">
        <v>0</v>
      </c>
      <c r="O7" s="473">
        <v>292.5</v>
      </c>
      <c r="P7" s="405">
        <v>1.0347682119205297</v>
      </c>
      <c r="Q7" s="403">
        <v>7.5</v>
      </c>
      <c r="R7" s="405">
        <v>2.6532518254372556E-2</v>
      </c>
      <c r="S7" s="473">
        <v>9.8279999999999959</v>
      </c>
      <c r="T7" s="405">
        <v>3.4768211920529785E-2</v>
      </c>
      <c r="U7" s="413">
        <v>1517.4431999999993</v>
      </c>
      <c r="V7" s="474">
        <v>2.3279999999999959</v>
      </c>
      <c r="W7" s="475">
        <v>8.2356936661572271E-3</v>
      </c>
      <c r="X7" s="476">
        <v>359.44319999999936</v>
      </c>
      <c r="Y7" s="331" t="s">
        <v>325</v>
      </c>
      <c r="Z7" s="331" t="s">
        <v>492</v>
      </c>
      <c r="AA7" s="477" t="s">
        <v>583</v>
      </c>
      <c r="AB7" s="477" t="s">
        <v>584</v>
      </c>
      <c r="AC7" s="331">
        <v>1</v>
      </c>
      <c r="AD7" s="406" t="s">
        <v>700</v>
      </c>
      <c r="AF7" s="408">
        <v>20</v>
      </c>
      <c r="AG7" s="332">
        <v>0</v>
      </c>
      <c r="AH7" s="332">
        <v>0</v>
      </c>
      <c r="AI7" s="332">
        <v>3</v>
      </c>
      <c r="AJ7" s="332">
        <v>7</v>
      </c>
      <c r="AK7" s="332">
        <v>7</v>
      </c>
      <c r="AL7" s="332">
        <v>2</v>
      </c>
      <c r="AM7" s="332">
        <v>1</v>
      </c>
      <c r="AP7" s="208"/>
      <c r="AQ7" s="208"/>
    </row>
    <row r="8" spans="2:43" s="389" customFormat="1" ht="27" customHeight="1">
      <c r="B8" s="919"/>
      <c r="C8" s="920"/>
      <c r="D8" s="329">
        <v>4</v>
      </c>
      <c r="E8" s="401" t="s">
        <v>745</v>
      </c>
      <c r="F8" s="402">
        <v>1155.5060000000001</v>
      </c>
      <c r="G8" s="330">
        <v>109.01</v>
      </c>
      <c r="H8" s="403">
        <v>738.7600000000001</v>
      </c>
      <c r="I8" s="403">
        <v>741.84320049042833</v>
      </c>
      <c r="J8" s="405">
        <v>1.0041959185072566</v>
      </c>
      <c r="K8" s="404">
        <v>752.4</v>
      </c>
      <c r="L8" s="405">
        <v>1.0184633710541988</v>
      </c>
      <c r="M8" s="404">
        <v>0</v>
      </c>
      <c r="N8" s="405">
        <v>0</v>
      </c>
      <c r="O8" s="473">
        <v>752.4</v>
      </c>
      <c r="P8" s="405">
        <v>1.0184633710541988</v>
      </c>
      <c r="Q8" s="403">
        <v>10.600000000000001</v>
      </c>
      <c r="R8" s="405">
        <v>1.4348367534788024E-2</v>
      </c>
      <c r="S8" s="473">
        <v>13.64</v>
      </c>
      <c r="T8" s="405">
        <v>1.8463371054198926E-2</v>
      </c>
      <c r="U8" s="413">
        <v>1486.8964000000003</v>
      </c>
      <c r="V8" s="474">
        <v>3.0399999999999991</v>
      </c>
      <c r="W8" s="475">
        <v>4.1150035194109031E-3</v>
      </c>
      <c r="X8" s="476">
        <v>331.39039999999994</v>
      </c>
      <c r="Y8" s="331" t="s">
        <v>325</v>
      </c>
      <c r="Z8" s="331" t="s">
        <v>492</v>
      </c>
      <c r="AA8" s="477" t="s">
        <v>621</v>
      </c>
      <c r="AB8" s="477" t="s">
        <v>515</v>
      </c>
      <c r="AC8" s="331">
        <v>1</v>
      </c>
      <c r="AD8" s="406" t="s">
        <v>588</v>
      </c>
      <c r="AF8" s="410" t="s">
        <v>11</v>
      </c>
      <c r="AG8" s="411">
        <v>0</v>
      </c>
      <c r="AH8" s="411">
        <v>0</v>
      </c>
      <c r="AI8" s="411">
        <v>2551.335</v>
      </c>
      <c r="AJ8" s="411">
        <v>6319.7969999999996</v>
      </c>
      <c r="AK8" s="411">
        <v>6352.2249999999995</v>
      </c>
      <c r="AL8" s="411">
        <v>2051.5880000000002</v>
      </c>
      <c r="AM8" s="411">
        <v>1028.72</v>
      </c>
      <c r="AP8" s="208"/>
      <c r="AQ8" s="208"/>
    </row>
    <row r="9" spans="2:43" s="389" customFormat="1" ht="27" customHeight="1">
      <c r="B9" s="919"/>
      <c r="C9" s="920"/>
      <c r="D9" s="329">
        <v>5</v>
      </c>
      <c r="E9" s="401" t="s">
        <v>761</v>
      </c>
      <c r="F9" s="402">
        <v>1131.6019999999999</v>
      </c>
      <c r="G9" s="330">
        <v>116.66</v>
      </c>
      <c r="H9" s="403">
        <v>1479.778</v>
      </c>
      <c r="I9" s="403">
        <v>1484.2833540772122</v>
      </c>
      <c r="J9" s="405">
        <v>1.0030498069240239</v>
      </c>
      <c r="K9" s="404">
        <v>1493.9</v>
      </c>
      <c r="L9" s="405">
        <v>1.0095433233904005</v>
      </c>
      <c r="M9" s="404">
        <v>0</v>
      </c>
      <c r="N9" s="405">
        <v>0</v>
      </c>
      <c r="O9" s="473">
        <v>1493.9</v>
      </c>
      <c r="P9" s="405">
        <v>1.0095433233904005</v>
      </c>
      <c r="Q9" s="403">
        <v>9.6999999999999993</v>
      </c>
      <c r="R9" s="405">
        <v>6.5550373096505011E-3</v>
      </c>
      <c r="S9" s="473">
        <v>14.121999999999986</v>
      </c>
      <c r="T9" s="405">
        <v>9.5433233904004423E-3</v>
      </c>
      <c r="U9" s="413">
        <v>1647.4725199999982</v>
      </c>
      <c r="V9" s="474">
        <v>4.4219999999999864</v>
      </c>
      <c r="W9" s="475">
        <v>2.9882860807499412E-3</v>
      </c>
      <c r="X9" s="476">
        <v>515.87051999999835</v>
      </c>
      <c r="Y9" s="331" t="s">
        <v>325</v>
      </c>
      <c r="Z9" s="331" t="s">
        <v>492</v>
      </c>
      <c r="AA9" s="477" t="s">
        <v>768</v>
      </c>
      <c r="AB9" s="477" t="s">
        <v>750</v>
      </c>
      <c r="AC9" s="331">
        <v>1</v>
      </c>
      <c r="AD9" s="406" t="s">
        <v>330</v>
      </c>
      <c r="AF9" s="329" t="s">
        <v>599</v>
      </c>
      <c r="AG9" s="412">
        <v>0</v>
      </c>
      <c r="AH9" s="412">
        <v>0</v>
      </c>
      <c r="AI9" s="412">
        <v>0.15</v>
      </c>
      <c r="AJ9" s="412">
        <v>0.35</v>
      </c>
      <c r="AK9" s="412">
        <v>0.35</v>
      </c>
      <c r="AL9" s="412">
        <v>0.1</v>
      </c>
      <c r="AM9" s="412">
        <v>0.05</v>
      </c>
      <c r="AP9" s="208"/>
      <c r="AQ9" s="208"/>
    </row>
    <row r="10" spans="2:43" s="389" customFormat="1" ht="27" customHeight="1">
      <c r="B10" s="919"/>
      <c r="C10" s="920"/>
      <c r="D10" s="329">
        <v>6</v>
      </c>
      <c r="E10" s="401" t="s">
        <v>733</v>
      </c>
      <c r="F10" s="402">
        <v>1100.1950000000002</v>
      </c>
      <c r="G10" s="330">
        <v>297.35000000000002</v>
      </c>
      <c r="H10" s="403">
        <v>303.02999999999997</v>
      </c>
      <c r="I10" s="403">
        <v>304.61781884208818</v>
      </c>
      <c r="J10" s="405">
        <v>1.0052494857481584</v>
      </c>
      <c r="K10" s="404">
        <v>308.3</v>
      </c>
      <c r="L10" s="405">
        <v>1.0173910173910174</v>
      </c>
      <c r="M10" s="404">
        <v>0</v>
      </c>
      <c r="N10" s="405">
        <v>0</v>
      </c>
      <c r="O10" s="473">
        <v>308.3</v>
      </c>
      <c r="P10" s="405">
        <v>1.0173910173910174</v>
      </c>
      <c r="Q10" s="403">
        <v>3.6999999999999997</v>
      </c>
      <c r="R10" s="405">
        <v>1.221001221001221E-2</v>
      </c>
      <c r="S10" s="473">
        <v>5.2700000000000102</v>
      </c>
      <c r="T10" s="405">
        <v>1.7391017391017425E-2</v>
      </c>
      <c r="U10" s="413">
        <v>1567.0345000000034</v>
      </c>
      <c r="V10" s="474">
        <v>1.5700000000000105</v>
      </c>
      <c r="W10" s="475">
        <v>5.1810051810052158E-3</v>
      </c>
      <c r="X10" s="476">
        <v>466.83950000000317</v>
      </c>
      <c r="Y10" s="331" t="s">
        <v>326</v>
      </c>
      <c r="Z10" s="331" t="s">
        <v>193</v>
      </c>
      <c r="AA10" s="477" t="s">
        <v>580</v>
      </c>
      <c r="AB10" s="477" t="s">
        <v>514</v>
      </c>
      <c r="AC10" s="331">
        <v>1</v>
      </c>
      <c r="AD10" s="406" t="s">
        <v>573</v>
      </c>
      <c r="AP10" s="208"/>
      <c r="AQ10" s="208"/>
    </row>
    <row r="11" spans="2:43" s="389" customFormat="1" ht="27" customHeight="1">
      <c r="B11" s="919"/>
      <c r="C11" s="920"/>
      <c r="D11" s="329">
        <v>7</v>
      </c>
      <c r="E11" s="401" t="s">
        <v>769</v>
      </c>
      <c r="F11" s="402">
        <v>1083.5800000000002</v>
      </c>
      <c r="G11" s="330">
        <v>127.48</v>
      </c>
      <c r="H11" s="403">
        <v>992.49900000000002</v>
      </c>
      <c r="I11" s="403">
        <v>995.19941604690098</v>
      </c>
      <c r="J11" s="405">
        <v>1.002691104330226</v>
      </c>
      <c r="K11" s="404">
        <v>1004.2</v>
      </c>
      <c r="L11" s="405">
        <v>1.0117894325334333</v>
      </c>
      <c r="M11" s="404">
        <v>0</v>
      </c>
      <c r="N11" s="405">
        <v>0</v>
      </c>
      <c r="O11" s="473">
        <v>1004.2</v>
      </c>
      <c r="P11" s="405">
        <v>1.0117894325334333</v>
      </c>
      <c r="Q11" s="403">
        <v>8.5</v>
      </c>
      <c r="R11" s="405">
        <v>8.5642403669928136E-3</v>
      </c>
      <c r="S11" s="473">
        <v>11.701000000000008</v>
      </c>
      <c r="T11" s="405">
        <v>1.178943253343329E-2</v>
      </c>
      <c r="U11" s="413">
        <v>1491.6434800000011</v>
      </c>
      <c r="V11" s="474">
        <v>3.2010000000000076</v>
      </c>
      <c r="W11" s="475">
        <v>3.2251921664404777E-3</v>
      </c>
      <c r="X11" s="476">
        <v>408.06348000000099</v>
      </c>
      <c r="Y11" s="331" t="s">
        <v>325</v>
      </c>
      <c r="Z11" s="331" t="s">
        <v>492</v>
      </c>
      <c r="AA11" s="477" t="s">
        <v>731</v>
      </c>
      <c r="AB11" s="477" t="s">
        <v>732</v>
      </c>
      <c r="AC11" s="331">
        <v>1</v>
      </c>
      <c r="AD11" s="406" t="s">
        <v>770</v>
      </c>
      <c r="AP11" s="208"/>
      <c r="AQ11" s="208"/>
    </row>
    <row r="12" spans="2:43" s="389" customFormat="1" ht="27" customHeight="1">
      <c r="B12" s="919"/>
      <c r="C12" s="920"/>
      <c r="D12" s="329">
        <v>8</v>
      </c>
      <c r="E12" s="401" t="s">
        <v>771</v>
      </c>
      <c r="F12" s="402">
        <v>1051.6270000000002</v>
      </c>
      <c r="G12" s="330">
        <v>362.63</v>
      </c>
      <c r="H12" s="403">
        <v>297.40000000000003</v>
      </c>
      <c r="I12" s="403">
        <v>298.88665298501513</v>
      </c>
      <c r="J12" s="405">
        <v>1.0050362136282662</v>
      </c>
      <c r="K12" s="404">
        <v>301.60000000000002</v>
      </c>
      <c r="L12" s="405">
        <v>1.0141223940820443</v>
      </c>
      <c r="M12" s="404">
        <v>0</v>
      </c>
      <c r="N12" s="405">
        <v>0</v>
      </c>
      <c r="O12" s="473">
        <v>301.60000000000002</v>
      </c>
      <c r="P12" s="405">
        <v>1.0141223940820443</v>
      </c>
      <c r="Q12" s="403">
        <v>2.9</v>
      </c>
      <c r="R12" s="405">
        <v>9.751176866173503E-3</v>
      </c>
      <c r="S12" s="473">
        <v>4.2000000000000099</v>
      </c>
      <c r="T12" s="405">
        <v>1.4122394082044416E-2</v>
      </c>
      <c r="U12" s="413">
        <v>1523.0460000000035</v>
      </c>
      <c r="V12" s="474">
        <v>1.30000000000001</v>
      </c>
      <c r="W12" s="475">
        <v>4.3712172158709142E-3</v>
      </c>
      <c r="X12" s="476">
        <v>471.41900000000362</v>
      </c>
      <c r="Y12" s="331" t="s">
        <v>325</v>
      </c>
      <c r="Z12" s="331" t="s">
        <v>492</v>
      </c>
      <c r="AA12" s="477" t="s">
        <v>625</v>
      </c>
      <c r="AB12" s="477" t="s">
        <v>612</v>
      </c>
      <c r="AC12" s="331">
        <v>1</v>
      </c>
      <c r="AD12" s="406" t="s">
        <v>772</v>
      </c>
      <c r="AP12" s="208"/>
      <c r="AQ12" s="208"/>
    </row>
    <row r="13" spans="2:43" s="389" customFormat="1" ht="27" customHeight="1">
      <c r="B13" s="919"/>
      <c r="C13" s="920"/>
      <c r="D13" s="329">
        <v>9</v>
      </c>
      <c r="E13" s="401" t="s">
        <v>759</v>
      </c>
      <c r="F13" s="402">
        <v>1049.73</v>
      </c>
      <c r="G13" s="330">
        <v>95.43</v>
      </c>
      <c r="H13" s="403">
        <v>412.84999999999997</v>
      </c>
      <c r="I13" s="403">
        <v>415.87544503302138</v>
      </c>
      <c r="J13" s="405">
        <v>1.0072590684745117</v>
      </c>
      <c r="K13" s="404">
        <v>427.1</v>
      </c>
      <c r="L13" s="405">
        <v>1.0345161680997943</v>
      </c>
      <c r="M13" s="404">
        <v>0</v>
      </c>
      <c r="N13" s="405">
        <v>0</v>
      </c>
      <c r="O13" s="473">
        <v>427.1</v>
      </c>
      <c r="P13" s="405">
        <v>1.0345161680997943</v>
      </c>
      <c r="Q13" s="403">
        <v>10.999999999999998</v>
      </c>
      <c r="R13" s="405">
        <v>2.6644059585805981E-2</v>
      </c>
      <c r="S13" s="473">
        <v>14.249999999999993</v>
      </c>
      <c r="T13" s="405">
        <v>3.4516168099794096E-2</v>
      </c>
      <c r="U13" s="413">
        <v>1359.8774999999996</v>
      </c>
      <c r="V13" s="474">
        <v>3.2499999999999947</v>
      </c>
      <c r="W13" s="475">
        <v>7.8721085139881186E-3</v>
      </c>
      <c r="X13" s="476">
        <v>310.14749999999952</v>
      </c>
      <c r="Y13" s="331" t="s">
        <v>329</v>
      </c>
      <c r="Z13" s="331" t="s">
        <v>365</v>
      </c>
      <c r="AA13" s="477" t="s">
        <v>583</v>
      </c>
      <c r="AB13" s="477" t="s">
        <v>584</v>
      </c>
      <c r="AC13" s="331">
        <v>1</v>
      </c>
      <c r="AD13" s="406" t="s">
        <v>345</v>
      </c>
    </row>
    <row r="14" spans="2:43" s="389" customFormat="1" ht="27" customHeight="1">
      <c r="B14" s="919"/>
      <c r="C14" s="920"/>
      <c r="D14" s="329">
        <v>10</v>
      </c>
      <c r="E14" s="401" t="s">
        <v>748</v>
      </c>
      <c r="F14" s="402">
        <v>1047.0600000000002</v>
      </c>
      <c r="G14" s="330">
        <v>290.85000000000002</v>
      </c>
      <c r="H14" s="403">
        <v>166.37800000000001</v>
      </c>
      <c r="I14" s="403">
        <v>166.37800000000001</v>
      </c>
      <c r="J14" s="405">
        <v>1</v>
      </c>
      <c r="K14" s="404">
        <v>171.49999999999997</v>
      </c>
      <c r="L14" s="405">
        <v>1.0307853201745421</v>
      </c>
      <c r="M14" s="404">
        <v>0</v>
      </c>
      <c r="N14" s="405">
        <v>0</v>
      </c>
      <c r="O14" s="473">
        <v>171.49999999999997</v>
      </c>
      <c r="P14" s="405">
        <v>1.0307853201745421</v>
      </c>
      <c r="Q14" s="403">
        <v>3.6</v>
      </c>
      <c r="R14" s="405">
        <v>2.1637476108620129E-2</v>
      </c>
      <c r="S14" s="473">
        <v>5.1219999999999892</v>
      </c>
      <c r="T14" s="405">
        <v>3.078532017454224E-2</v>
      </c>
      <c r="U14" s="413">
        <v>1489.733699999997</v>
      </c>
      <c r="V14" s="474">
        <v>1.5219999999999891</v>
      </c>
      <c r="W14" s="475">
        <v>9.147844065922112E-3</v>
      </c>
      <c r="X14" s="476">
        <v>442.67369999999687</v>
      </c>
      <c r="Y14" s="331" t="s">
        <v>326</v>
      </c>
      <c r="Z14" s="331" t="s">
        <v>193</v>
      </c>
      <c r="AA14" s="477" t="s">
        <v>630</v>
      </c>
      <c r="AB14" s="477" t="s">
        <v>514</v>
      </c>
      <c r="AC14" s="331">
        <v>1</v>
      </c>
      <c r="AD14" s="406" t="s">
        <v>340</v>
      </c>
    </row>
    <row r="15" spans="2:43" s="389" customFormat="1" ht="27" customHeight="1">
      <c r="B15" s="919"/>
      <c r="C15" s="920"/>
      <c r="D15" s="329">
        <v>11</v>
      </c>
      <c r="E15" s="401" t="s">
        <v>773</v>
      </c>
      <c r="F15" s="402">
        <v>1047.0600000000002</v>
      </c>
      <c r="G15" s="330">
        <v>290.85000000000002</v>
      </c>
      <c r="H15" s="403">
        <v>465.54100000000005</v>
      </c>
      <c r="I15" s="403">
        <v>465.54100000000005</v>
      </c>
      <c r="J15" s="405">
        <v>1</v>
      </c>
      <c r="K15" s="404">
        <v>470.29999999999995</v>
      </c>
      <c r="L15" s="405">
        <v>1.0102225153101443</v>
      </c>
      <c r="M15" s="404">
        <v>0</v>
      </c>
      <c r="N15" s="405">
        <v>0</v>
      </c>
      <c r="O15" s="473">
        <v>470.29999999999995</v>
      </c>
      <c r="P15" s="405">
        <v>1.0102225153101443</v>
      </c>
      <c r="Q15" s="403">
        <v>3.5999999999999996</v>
      </c>
      <c r="R15" s="405">
        <v>7.7329386670561759E-3</v>
      </c>
      <c r="S15" s="473">
        <v>4.7590000000000074</v>
      </c>
      <c r="T15" s="405">
        <v>1.0222515310144556E-2</v>
      </c>
      <c r="U15" s="413">
        <v>1384.1551500000023</v>
      </c>
      <c r="V15" s="474">
        <v>1.1590000000000078</v>
      </c>
      <c r="W15" s="475">
        <v>2.4895766430883801E-3</v>
      </c>
      <c r="X15" s="476">
        <v>337.09515000000232</v>
      </c>
      <c r="Y15" s="331" t="s">
        <v>326</v>
      </c>
      <c r="Z15" s="331" t="s">
        <v>193</v>
      </c>
      <c r="AA15" s="477" t="s">
        <v>630</v>
      </c>
      <c r="AB15" s="477" t="s">
        <v>514</v>
      </c>
      <c r="AC15" s="331">
        <v>1</v>
      </c>
      <c r="AD15" s="406" t="s">
        <v>774</v>
      </c>
      <c r="AH15" s="333"/>
    </row>
    <row r="16" spans="2:43" s="389" customFormat="1" ht="27" customHeight="1">
      <c r="B16" s="919"/>
      <c r="C16" s="920"/>
      <c r="D16" s="329">
        <v>12</v>
      </c>
      <c r="E16" s="401" t="s">
        <v>760</v>
      </c>
      <c r="F16" s="402">
        <v>1039.6000000000001</v>
      </c>
      <c r="G16" s="330">
        <v>90.4</v>
      </c>
      <c r="H16" s="403">
        <v>1288.0919999999999</v>
      </c>
      <c r="I16" s="403">
        <v>1292.4932114903463</v>
      </c>
      <c r="J16" s="405">
        <v>1.0034512921529744</v>
      </c>
      <c r="K16" s="404">
        <v>1303.8</v>
      </c>
      <c r="L16" s="405">
        <v>1.0121947811181189</v>
      </c>
      <c r="M16" s="404">
        <v>0</v>
      </c>
      <c r="N16" s="405">
        <v>0</v>
      </c>
      <c r="O16" s="473">
        <v>1303.8</v>
      </c>
      <c r="P16" s="405">
        <v>1.0121947811181189</v>
      </c>
      <c r="Q16" s="403">
        <v>11.5</v>
      </c>
      <c r="R16" s="405">
        <v>8.9279337190200717E-3</v>
      </c>
      <c r="S16" s="473">
        <v>15.708000000000084</v>
      </c>
      <c r="T16" s="405">
        <v>1.2194781118118959E-2</v>
      </c>
      <c r="U16" s="413">
        <v>1420.0032000000074</v>
      </c>
      <c r="V16" s="474">
        <v>4.2080000000000837</v>
      </c>
      <c r="W16" s="475">
        <v>3.2668473990988874E-3</v>
      </c>
      <c r="X16" s="476">
        <v>380.40320000000759</v>
      </c>
      <c r="Y16" s="331" t="s">
        <v>325</v>
      </c>
      <c r="Z16" s="331" t="s">
        <v>492</v>
      </c>
      <c r="AA16" s="477" t="s">
        <v>583</v>
      </c>
      <c r="AB16" s="477" t="s">
        <v>584</v>
      </c>
      <c r="AC16" s="331">
        <v>1</v>
      </c>
      <c r="AD16" s="406" t="s">
        <v>345</v>
      </c>
    </row>
    <row r="17" spans="2:30" s="389" customFormat="1" ht="27" customHeight="1">
      <c r="B17" s="919"/>
      <c r="C17" s="920"/>
      <c r="D17" s="329">
        <v>13</v>
      </c>
      <c r="E17" s="401" t="s">
        <v>775</v>
      </c>
      <c r="F17" s="402">
        <v>1029.838</v>
      </c>
      <c r="G17" s="330">
        <v>125.59</v>
      </c>
      <c r="H17" s="403">
        <v>694.61599999999999</v>
      </c>
      <c r="I17" s="403">
        <v>697.99098445865502</v>
      </c>
      <c r="J17" s="405">
        <v>1.0049929974090701</v>
      </c>
      <c r="K17" s="404">
        <v>705.30000000000007</v>
      </c>
      <c r="L17" s="405">
        <v>1.0153811602381748</v>
      </c>
      <c r="M17" s="404">
        <v>1</v>
      </c>
      <c r="N17" s="405">
        <v>1.4396443502597118E-3</v>
      </c>
      <c r="O17" s="473">
        <v>706.30000000000007</v>
      </c>
      <c r="P17" s="405">
        <v>1.0168208045884346</v>
      </c>
      <c r="Q17" s="403">
        <v>8.1999999999999993</v>
      </c>
      <c r="R17" s="405">
        <v>1.1805083672129636E-2</v>
      </c>
      <c r="S17" s="473">
        <v>11.683999999999997</v>
      </c>
      <c r="T17" s="405">
        <v>1.682080458843447E-2</v>
      </c>
      <c r="U17" s="413">
        <v>1467.3935599999998</v>
      </c>
      <c r="V17" s="474">
        <v>3.4839999999999982</v>
      </c>
      <c r="W17" s="475">
        <v>5.0157209163048336E-3</v>
      </c>
      <c r="X17" s="476">
        <v>437.55555999999979</v>
      </c>
      <c r="Y17" s="331" t="s">
        <v>325</v>
      </c>
      <c r="Z17" s="331" t="s">
        <v>492</v>
      </c>
      <c r="AA17" s="477" t="s">
        <v>583</v>
      </c>
      <c r="AB17" s="477" t="s">
        <v>584</v>
      </c>
      <c r="AC17" s="331">
        <v>1</v>
      </c>
      <c r="AD17" s="406" t="s">
        <v>616</v>
      </c>
    </row>
    <row r="18" spans="2:30" s="389" customFormat="1" ht="27" customHeight="1">
      <c r="B18" s="919"/>
      <c r="C18" s="920"/>
      <c r="D18" s="329">
        <v>14</v>
      </c>
      <c r="E18" s="401" t="s">
        <v>714</v>
      </c>
      <c r="F18" s="402">
        <v>1028.72</v>
      </c>
      <c r="G18" s="330">
        <v>935.2</v>
      </c>
      <c r="H18" s="403">
        <v>102.804</v>
      </c>
      <c r="I18" s="403">
        <v>103.88932675756881</v>
      </c>
      <c r="J18" s="405">
        <v>1.0106720013968744</v>
      </c>
      <c r="K18" s="404">
        <v>104.69999999999999</v>
      </c>
      <c r="L18" s="405">
        <v>1.0184428621454418</v>
      </c>
      <c r="M18" s="404">
        <v>0.2</v>
      </c>
      <c r="N18" s="405">
        <v>1.945449593401035E-3</v>
      </c>
      <c r="O18" s="473">
        <v>104.89999999999999</v>
      </c>
      <c r="P18" s="405">
        <v>1.0203883117388428</v>
      </c>
      <c r="Q18" s="403">
        <v>1.0999999999999999</v>
      </c>
      <c r="R18" s="405">
        <v>1.0699972763705691E-2</v>
      </c>
      <c r="S18" s="473">
        <v>2.0960000000000036</v>
      </c>
      <c r="T18" s="405">
        <v>2.0388311738842882E-2</v>
      </c>
      <c r="U18" s="413">
        <v>1960.1792000000034</v>
      </c>
      <c r="V18" s="474">
        <v>0.99600000000000377</v>
      </c>
      <c r="W18" s="475">
        <v>9.6883389751371909E-3</v>
      </c>
      <c r="X18" s="476">
        <v>931.45920000000353</v>
      </c>
      <c r="Y18" s="331" t="s">
        <v>326</v>
      </c>
      <c r="Z18" s="331" t="s">
        <v>506</v>
      </c>
      <c r="AA18" s="477" t="s">
        <v>589</v>
      </c>
      <c r="AB18" s="477" t="s">
        <v>648</v>
      </c>
      <c r="AC18" s="331">
        <v>1</v>
      </c>
      <c r="AD18" s="406" t="s">
        <v>623</v>
      </c>
    </row>
    <row r="19" spans="2:30" s="389" customFormat="1" ht="27" customHeight="1">
      <c r="B19" s="919"/>
      <c r="C19" s="920"/>
      <c r="D19" s="329">
        <v>15</v>
      </c>
      <c r="E19" s="401" t="s">
        <v>741</v>
      </c>
      <c r="F19" s="402">
        <v>1003.6619999999998</v>
      </c>
      <c r="G19" s="330">
        <v>135.63</v>
      </c>
      <c r="H19" s="403">
        <v>554.07000000000005</v>
      </c>
      <c r="I19" s="403">
        <v>556.65879894726311</v>
      </c>
      <c r="J19" s="405">
        <v>1.0047990361524708</v>
      </c>
      <c r="K19" s="404">
        <v>563.30000000000007</v>
      </c>
      <c r="L19" s="405">
        <v>1.0166585449491943</v>
      </c>
      <c r="M19" s="404">
        <v>0.9</v>
      </c>
      <c r="N19" s="405">
        <v>1.6243434945043044E-3</v>
      </c>
      <c r="O19" s="473">
        <v>564.20000000000005</v>
      </c>
      <c r="P19" s="405">
        <v>1.0182828884436985</v>
      </c>
      <c r="Q19" s="403">
        <v>7.4</v>
      </c>
      <c r="R19" s="405">
        <v>1.3355713177035392E-2</v>
      </c>
      <c r="S19" s="473">
        <v>10.129999999999988</v>
      </c>
      <c r="T19" s="405">
        <v>1.8282888443698426E-2</v>
      </c>
      <c r="U19" s="413">
        <v>1373.9318999999982</v>
      </c>
      <c r="V19" s="474">
        <v>2.729999999999988</v>
      </c>
      <c r="W19" s="475">
        <v>4.9271752666630352E-3</v>
      </c>
      <c r="X19" s="476">
        <v>370.26989999999836</v>
      </c>
      <c r="Y19" s="331" t="s">
        <v>325</v>
      </c>
      <c r="Z19" s="331" t="s">
        <v>492</v>
      </c>
      <c r="AA19" s="477" t="s">
        <v>749</v>
      </c>
      <c r="AB19" s="477" t="s">
        <v>750</v>
      </c>
      <c r="AC19" s="331">
        <v>1</v>
      </c>
      <c r="AD19" s="406" t="s">
        <v>588</v>
      </c>
    </row>
    <row r="20" spans="2:30" s="389" customFormat="1" ht="27" customHeight="1">
      <c r="B20" s="919"/>
      <c r="C20" s="920"/>
      <c r="D20" s="329">
        <v>16</v>
      </c>
      <c r="E20" s="401" t="s">
        <v>734</v>
      </c>
      <c r="F20" s="402">
        <v>1000.8</v>
      </c>
      <c r="G20" s="330">
        <v>83.4</v>
      </c>
      <c r="H20" s="403">
        <v>882.69999999999993</v>
      </c>
      <c r="I20" s="403">
        <v>886.27204548799671</v>
      </c>
      <c r="J20" s="405">
        <v>1.0040126223264463</v>
      </c>
      <c r="K20" s="404">
        <v>898.3</v>
      </c>
      <c r="L20" s="405">
        <v>1.0176730486008836</v>
      </c>
      <c r="M20" s="404">
        <v>0</v>
      </c>
      <c r="N20" s="405">
        <v>0</v>
      </c>
      <c r="O20" s="473">
        <v>898.3</v>
      </c>
      <c r="P20" s="405">
        <v>1.0176730486008836</v>
      </c>
      <c r="Q20" s="403">
        <v>12</v>
      </c>
      <c r="R20" s="405">
        <v>1.3594652769910502E-2</v>
      </c>
      <c r="S20" s="473">
        <v>15.600000000000023</v>
      </c>
      <c r="T20" s="405">
        <v>1.767304860088368E-2</v>
      </c>
      <c r="U20" s="413">
        <v>1301.0400000000018</v>
      </c>
      <c r="V20" s="474">
        <v>3.6000000000000227</v>
      </c>
      <c r="W20" s="475">
        <v>4.0783958309731768E-3</v>
      </c>
      <c r="X20" s="476">
        <v>300.24000000000194</v>
      </c>
      <c r="Y20" s="331" t="s">
        <v>325</v>
      </c>
      <c r="Z20" s="331" t="s">
        <v>492</v>
      </c>
      <c r="AA20" s="477" t="s">
        <v>621</v>
      </c>
      <c r="AB20" s="477" t="s">
        <v>515</v>
      </c>
      <c r="AC20" s="331">
        <v>1</v>
      </c>
      <c r="AD20" s="406" t="s">
        <v>587</v>
      </c>
    </row>
    <row r="21" spans="2:30" s="389" customFormat="1" ht="27" customHeight="1">
      <c r="B21" s="919"/>
      <c r="C21" s="920"/>
      <c r="D21" s="329">
        <v>17</v>
      </c>
      <c r="E21" s="401" t="s">
        <v>776</v>
      </c>
      <c r="F21" s="402">
        <v>998.15100000000018</v>
      </c>
      <c r="G21" s="330">
        <v>344.19</v>
      </c>
      <c r="H21" s="403">
        <v>848.64</v>
      </c>
      <c r="I21" s="403">
        <v>988.11523860154193</v>
      </c>
      <c r="J21" s="405">
        <v>1.1421684443690912</v>
      </c>
      <c r="K21" s="404">
        <v>853.3</v>
      </c>
      <c r="L21" s="405">
        <v>1.0054911387631975</v>
      </c>
      <c r="M21" s="404">
        <v>0</v>
      </c>
      <c r="N21" s="405">
        <v>0</v>
      </c>
      <c r="O21" s="473">
        <v>853.3</v>
      </c>
      <c r="P21" s="405">
        <v>1.0054911387631975</v>
      </c>
      <c r="Q21" s="403">
        <v>2.9</v>
      </c>
      <c r="R21" s="405">
        <v>3.4172322775263952E-3</v>
      </c>
      <c r="S21" s="473">
        <v>4.6599999999999824</v>
      </c>
      <c r="T21" s="405">
        <v>5.4911387631975664E-3</v>
      </c>
      <c r="U21" s="413">
        <v>1603.9253999999939</v>
      </c>
      <c r="V21" s="474">
        <v>1.7599999999999825</v>
      </c>
      <c r="W21" s="475">
        <v>2.0739064856711707E-3</v>
      </c>
      <c r="X21" s="476">
        <v>605.77439999999399</v>
      </c>
      <c r="Y21" s="331" t="s">
        <v>326</v>
      </c>
      <c r="Z21" s="331" t="s">
        <v>193</v>
      </c>
      <c r="AA21" s="477" t="s">
        <v>630</v>
      </c>
      <c r="AB21" s="477" t="s">
        <v>514</v>
      </c>
      <c r="AC21" s="331">
        <v>1</v>
      </c>
      <c r="AD21" s="406" t="s">
        <v>777</v>
      </c>
    </row>
    <row r="22" spans="2:30" s="389" customFormat="1" ht="27" customHeight="1">
      <c r="B22" s="919"/>
      <c r="C22" s="920"/>
      <c r="D22" s="329">
        <v>18</v>
      </c>
      <c r="E22" s="401" t="s">
        <v>778</v>
      </c>
      <c r="F22" s="402">
        <v>991.84799999999996</v>
      </c>
      <c r="G22" s="330">
        <v>75.14</v>
      </c>
      <c r="H22" s="403">
        <v>769.70999999999992</v>
      </c>
      <c r="I22" s="403">
        <v>773.74003717829612</v>
      </c>
      <c r="J22" s="405">
        <v>1.005306259850681</v>
      </c>
      <c r="K22" s="404">
        <v>787</v>
      </c>
      <c r="L22" s="405">
        <v>1.0224630055475439</v>
      </c>
      <c r="M22" s="404">
        <v>0</v>
      </c>
      <c r="N22" s="405">
        <v>0</v>
      </c>
      <c r="O22" s="473">
        <v>787</v>
      </c>
      <c r="P22" s="405">
        <v>1.0224630055475439</v>
      </c>
      <c r="Q22" s="403">
        <v>13.2</v>
      </c>
      <c r="R22" s="405">
        <v>1.7149315976146863E-2</v>
      </c>
      <c r="S22" s="473">
        <v>17.289999999999992</v>
      </c>
      <c r="T22" s="405">
        <v>2.2463005547543873E-2</v>
      </c>
      <c r="U22" s="413">
        <v>1299.1705999999995</v>
      </c>
      <c r="V22" s="474">
        <v>4.0899999999999928</v>
      </c>
      <c r="W22" s="475">
        <v>5.3136895713970103E-3</v>
      </c>
      <c r="X22" s="476">
        <v>307.32259999999945</v>
      </c>
      <c r="Y22" s="331" t="s">
        <v>325</v>
      </c>
      <c r="Z22" s="331" t="s">
        <v>492</v>
      </c>
      <c r="AA22" s="477" t="s">
        <v>583</v>
      </c>
      <c r="AB22" s="477" t="s">
        <v>584</v>
      </c>
      <c r="AC22" s="331">
        <v>1</v>
      </c>
      <c r="AD22" s="406" t="s">
        <v>330</v>
      </c>
    </row>
    <row r="23" spans="2:30" s="389" customFormat="1" ht="27" customHeight="1">
      <c r="B23" s="919"/>
      <c r="C23" s="920"/>
      <c r="D23" s="329">
        <v>19</v>
      </c>
      <c r="E23" s="401" t="s">
        <v>331</v>
      </c>
      <c r="F23" s="402">
        <v>975.32</v>
      </c>
      <c r="G23" s="330">
        <v>487.66</v>
      </c>
      <c r="H23" s="403">
        <v>314.315</v>
      </c>
      <c r="I23" s="403">
        <v>315.85387105081702</v>
      </c>
      <c r="J23" s="405">
        <v>1.0047555953903746</v>
      </c>
      <c r="K23" s="404">
        <v>318</v>
      </c>
      <c r="L23" s="405">
        <v>1.0117239075449789</v>
      </c>
      <c r="M23" s="404">
        <v>0</v>
      </c>
      <c r="N23" s="405">
        <v>0</v>
      </c>
      <c r="O23" s="473">
        <v>318</v>
      </c>
      <c r="P23" s="405">
        <v>1.0117239075449789</v>
      </c>
      <c r="Q23" s="403">
        <v>2</v>
      </c>
      <c r="R23" s="405">
        <v>6.3630434436791122E-3</v>
      </c>
      <c r="S23" s="473">
        <v>3.6850000000000094</v>
      </c>
      <c r="T23" s="405">
        <v>1.1723907544978793E-2</v>
      </c>
      <c r="U23" s="413">
        <v>1797.0271000000046</v>
      </c>
      <c r="V23" s="474">
        <v>1.6850000000000094</v>
      </c>
      <c r="W23" s="475">
        <v>5.3608641012996812E-3</v>
      </c>
      <c r="X23" s="476">
        <v>821.70710000000463</v>
      </c>
      <c r="Y23" s="331" t="s">
        <v>326</v>
      </c>
      <c r="Z23" s="331" t="s">
        <v>194</v>
      </c>
      <c r="AA23" s="477" t="s">
        <v>580</v>
      </c>
      <c r="AB23" s="477" t="s">
        <v>514</v>
      </c>
      <c r="AC23" s="331">
        <v>1</v>
      </c>
      <c r="AD23" s="406" t="s">
        <v>627</v>
      </c>
    </row>
    <row r="24" spans="2:30" s="389" customFormat="1" ht="27" customHeight="1">
      <c r="B24" s="921"/>
      <c r="C24" s="922"/>
      <c r="D24" s="329">
        <v>20</v>
      </c>
      <c r="E24" s="401" t="s">
        <v>632</v>
      </c>
      <c r="F24" s="402">
        <v>975.23199999999997</v>
      </c>
      <c r="G24" s="330">
        <v>304.76</v>
      </c>
      <c r="H24" s="403">
        <v>116.32</v>
      </c>
      <c r="I24" s="403">
        <v>117.49105264198883</v>
      </c>
      <c r="J24" s="405">
        <v>1.0100968145857032</v>
      </c>
      <c r="K24" s="404">
        <v>120.80000000000001</v>
      </c>
      <c r="L24" s="405">
        <v>1.0385144429160937</v>
      </c>
      <c r="M24" s="404">
        <v>0</v>
      </c>
      <c r="N24" s="405">
        <v>0</v>
      </c>
      <c r="O24" s="473">
        <v>120.80000000000001</v>
      </c>
      <c r="P24" s="405">
        <v>1.0385144429160937</v>
      </c>
      <c r="Q24" s="403">
        <v>3.2</v>
      </c>
      <c r="R24" s="405">
        <v>2.7510316368638241E-2</v>
      </c>
      <c r="S24" s="473">
        <v>4.4800000000000004</v>
      </c>
      <c r="T24" s="405">
        <v>3.8514442916093544E-2</v>
      </c>
      <c r="U24" s="413">
        <v>1365.3248000000001</v>
      </c>
      <c r="V24" s="474">
        <v>1.2800000000000002</v>
      </c>
      <c r="W24" s="475">
        <v>1.1004126547455299E-2</v>
      </c>
      <c r="X24" s="476">
        <v>390.09280000000007</v>
      </c>
      <c r="Y24" s="331" t="s">
        <v>329</v>
      </c>
      <c r="Z24" s="331" t="s">
        <v>365</v>
      </c>
      <c r="AA24" s="477" t="s">
        <v>779</v>
      </c>
      <c r="AB24" s="477" t="s">
        <v>780</v>
      </c>
      <c r="AC24" s="331">
        <v>1</v>
      </c>
      <c r="AD24" s="406" t="s">
        <v>629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  <mergeCell ref="E3:E4"/>
    <mergeCell ref="B2:AD2"/>
    <mergeCell ref="V3:X3"/>
    <mergeCell ref="AB3:AB4"/>
    <mergeCell ref="AC3:AC4"/>
    <mergeCell ref="AD3:AD4"/>
  </mergeCells>
  <phoneticPr fontId="13" type="noConversion"/>
  <dataValidations disablePrompts="1" count="3">
    <dataValidation type="list" allowBlank="1" showInputMessage="1" showErrorMessage="1" sqref="Y5:Y24">
      <formula1>$AQ$6:$AQ$12</formula1>
    </dataValidation>
    <dataValidation type="list" allowBlank="1" showInputMessage="1" showErrorMessage="1" sqref="Z5:Z24">
      <formula1>$AP$6:$AP$12</formula1>
    </dataValidation>
    <dataValidation type="list" allowBlank="1" showInputMessage="1" showErrorMessage="1" sqref="Y1:Z3 Y25:Z1048576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4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O24" sqref="O24"/>
    </sheetView>
  </sheetViews>
  <sheetFormatPr defaultColWidth="8.85546875" defaultRowHeight="16.5"/>
  <cols>
    <col min="1" max="1" width="8.85546875" style="327"/>
    <col min="2" max="2" width="12.42578125" style="327" customWidth="1"/>
    <col min="3" max="3" width="8.85546875" style="327"/>
    <col min="4" max="4" width="11.5703125" style="327" customWidth="1"/>
    <col min="5" max="5" width="39.28515625" style="327" bestFit="1" customWidth="1"/>
    <col min="6" max="6" width="11.42578125" style="327" bestFit="1" customWidth="1"/>
    <col min="7" max="8" width="15.85546875" style="327" bestFit="1" customWidth="1"/>
    <col min="9" max="9" width="16.85546875" style="327" customWidth="1"/>
    <col min="10" max="10" width="14" style="327" customWidth="1"/>
    <col min="11" max="11" width="15.42578125" style="327" bestFit="1" customWidth="1"/>
    <col min="12" max="12" width="12.28515625" style="327" bestFit="1" customWidth="1"/>
    <col min="13" max="13" width="19.140625" style="327" bestFit="1" customWidth="1"/>
    <col min="14" max="14" width="15.28515625" style="327" bestFit="1" customWidth="1"/>
    <col min="15" max="15" width="19.140625" style="327" bestFit="1" customWidth="1"/>
    <col min="16" max="16" width="12.5703125" style="327" bestFit="1" customWidth="1"/>
    <col min="17" max="17" width="9.140625" style="327" bestFit="1" customWidth="1"/>
    <col min="18" max="18" width="12.28515625" style="327" bestFit="1" customWidth="1"/>
    <col min="19" max="19" width="12.5703125" style="327" bestFit="1" customWidth="1"/>
    <col min="20" max="20" width="12.42578125" style="327" bestFit="1" customWidth="1"/>
    <col min="21" max="21" width="11.42578125" style="327" bestFit="1" customWidth="1"/>
    <col min="22" max="24" width="11.42578125" style="327" customWidth="1"/>
    <col min="25" max="25" width="12.42578125" style="327" bestFit="1" customWidth="1"/>
    <col min="26" max="26" width="15.28515625" style="327" bestFit="1" customWidth="1"/>
    <col min="27" max="27" width="66.85546875" style="327" bestFit="1" customWidth="1"/>
    <col min="28" max="28" width="113.42578125" style="327" bestFit="1" customWidth="1"/>
    <col min="29" max="29" width="11.42578125" style="327" bestFit="1" customWidth="1"/>
    <col min="30" max="30" width="37.7109375" style="327" bestFit="1" customWidth="1"/>
    <col min="31" max="31" width="19.42578125" style="327" bestFit="1" customWidth="1"/>
    <col min="32" max="32" width="21.5703125" style="327" customWidth="1"/>
    <col min="33" max="33" width="19.42578125" style="327" bestFit="1" customWidth="1"/>
    <col min="34" max="39" width="14.42578125" style="327" customWidth="1"/>
    <col min="40" max="16384" width="8.85546875" style="327"/>
  </cols>
  <sheetData>
    <row r="1" spans="2:42" ht="21">
      <c r="B1" s="478" t="s">
        <v>676</v>
      </c>
    </row>
    <row r="2" spans="2:42" ht="41.1" customHeight="1">
      <c r="B2" s="899" t="s">
        <v>674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0"/>
      <c r="T2" s="900"/>
      <c r="U2" s="900"/>
      <c r="V2" s="900"/>
      <c r="W2" s="900"/>
      <c r="X2" s="900"/>
      <c r="Y2" s="900"/>
      <c r="Z2" s="900"/>
      <c r="AA2" s="900"/>
      <c r="AB2" s="900"/>
      <c r="AD2" s="328"/>
      <c r="AE2" s="328"/>
      <c r="AF2" s="328"/>
      <c r="AG2" s="328"/>
    </row>
    <row r="3" spans="2:42" ht="17.100000000000001" customHeight="1">
      <c r="B3" s="930" t="s">
        <v>651</v>
      </c>
      <c r="C3" s="931"/>
      <c r="D3" s="898" t="s">
        <v>652</v>
      </c>
      <c r="E3" s="897" t="s">
        <v>653</v>
      </c>
      <c r="F3" s="935" t="s">
        <v>675</v>
      </c>
      <c r="G3" s="906" t="s">
        <v>655</v>
      </c>
      <c r="H3" s="929" t="s">
        <v>656</v>
      </c>
      <c r="I3" s="923" t="s">
        <v>657</v>
      </c>
      <c r="J3" s="924"/>
      <c r="K3" s="923" t="s">
        <v>658</v>
      </c>
      <c r="L3" s="924"/>
      <c r="M3" s="923" t="s">
        <v>659</v>
      </c>
      <c r="N3" s="924"/>
      <c r="O3" s="923" t="s">
        <v>660</v>
      </c>
      <c r="P3" s="924"/>
      <c r="Q3" s="923" t="s">
        <v>661</v>
      </c>
      <c r="R3" s="936"/>
      <c r="S3" s="924"/>
      <c r="T3" s="925" t="s">
        <v>662</v>
      </c>
      <c r="U3" s="926"/>
      <c r="V3" s="901" t="s">
        <v>663</v>
      </c>
      <c r="W3" s="902"/>
      <c r="X3" s="903"/>
      <c r="Y3" s="904" t="s">
        <v>165</v>
      </c>
      <c r="Z3" s="904" t="s">
        <v>664</v>
      </c>
      <c r="AA3" s="904" t="s">
        <v>665</v>
      </c>
      <c r="AB3" s="904" t="s">
        <v>666</v>
      </c>
      <c r="AC3" s="904" t="s">
        <v>667</v>
      </c>
      <c r="AD3" s="906" t="s">
        <v>166</v>
      </c>
      <c r="AF3" s="908" t="s">
        <v>668</v>
      </c>
      <c r="AG3" s="909"/>
      <c r="AH3" s="909"/>
      <c r="AI3" s="909"/>
      <c r="AJ3" s="909"/>
      <c r="AK3" s="909"/>
      <c r="AL3" s="909"/>
      <c r="AM3" s="910"/>
    </row>
    <row r="4" spans="2:42" ht="16.5" customHeight="1">
      <c r="B4" s="932"/>
      <c r="C4" s="933"/>
      <c r="D4" s="898"/>
      <c r="E4" s="898"/>
      <c r="F4" s="928"/>
      <c r="G4" s="907"/>
      <c r="H4" s="907"/>
      <c r="I4" s="574" t="s">
        <v>669</v>
      </c>
      <c r="J4" s="573" t="s">
        <v>596</v>
      </c>
      <c r="K4" s="574" t="s">
        <v>669</v>
      </c>
      <c r="L4" s="573" t="s">
        <v>596</v>
      </c>
      <c r="M4" s="574" t="s">
        <v>669</v>
      </c>
      <c r="N4" s="573" t="s">
        <v>596</v>
      </c>
      <c r="O4" s="574" t="s">
        <v>669</v>
      </c>
      <c r="P4" s="573" t="s">
        <v>596</v>
      </c>
      <c r="Q4" s="574" t="s">
        <v>669</v>
      </c>
      <c r="R4" s="573" t="s">
        <v>596</v>
      </c>
      <c r="S4" s="573" t="s">
        <v>597</v>
      </c>
      <c r="T4" s="574" t="s">
        <v>669</v>
      </c>
      <c r="U4" s="573" t="s">
        <v>596</v>
      </c>
      <c r="V4" s="574" t="s">
        <v>669</v>
      </c>
      <c r="W4" s="573" t="s">
        <v>596</v>
      </c>
      <c r="X4" s="573" t="s">
        <v>597</v>
      </c>
      <c r="Y4" s="905"/>
      <c r="Z4" s="905"/>
      <c r="AA4" s="905"/>
      <c r="AB4" s="905"/>
      <c r="AC4" s="905"/>
      <c r="AD4" s="907"/>
      <c r="AF4" s="911"/>
      <c r="AG4" s="912"/>
      <c r="AH4" s="912"/>
      <c r="AI4" s="912"/>
      <c r="AJ4" s="912"/>
      <c r="AK4" s="912"/>
      <c r="AL4" s="912"/>
      <c r="AM4" s="913"/>
    </row>
    <row r="5" spans="2:42" s="389" customFormat="1" ht="27" customHeight="1">
      <c r="B5" s="934" t="s">
        <v>753</v>
      </c>
      <c r="C5" s="918"/>
      <c r="D5" s="329">
        <v>1</v>
      </c>
      <c r="E5" s="401" t="s">
        <v>714</v>
      </c>
      <c r="F5" s="413">
        <v>1960.1792000000034</v>
      </c>
      <c r="G5" s="330">
        <v>935.2</v>
      </c>
      <c r="H5" s="403">
        <v>102.804</v>
      </c>
      <c r="I5" s="403">
        <v>103.88932675756881</v>
      </c>
      <c r="J5" s="405">
        <v>1.0106720013968744</v>
      </c>
      <c r="K5" s="404">
        <v>104.69999999999999</v>
      </c>
      <c r="L5" s="405">
        <v>1.0184428621454418</v>
      </c>
      <c r="M5" s="404">
        <v>0.2</v>
      </c>
      <c r="N5" s="405">
        <v>1.945449593401035E-3</v>
      </c>
      <c r="O5" s="473">
        <v>104.89999999999999</v>
      </c>
      <c r="P5" s="405">
        <v>1.0203883117388428</v>
      </c>
      <c r="Q5" s="403">
        <v>1.0999999999999999</v>
      </c>
      <c r="R5" s="405">
        <v>1.0699972763705691E-2</v>
      </c>
      <c r="S5" s="414">
        <v>1028.72</v>
      </c>
      <c r="T5" s="473">
        <v>2.0960000000000036</v>
      </c>
      <c r="U5" s="405">
        <v>2.017531603502571E-2</v>
      </c>
      <c r="V5" s="474">
        <v>0.99600000000000377</v>
      </c>
      <c r="W5" s="475">
        <v>9.6883389751371909E-3</v>
      </c>
      <c r="X5" s="476">
        <v>931.45920000000353</v>
      </c>
      <c r="Y5" s="427" t="s">
        <v>326</v>
      </c>
      <c r="Z5" s="427" t="s">
        <v>506</v>
      </c>
      <c r="AA5" s="331" t="s">
        <v>589</v>
      </c>
      <c r="AB5" s="331" t="s">
        <v>648</v>
      </c>
      <c r="AC5" s="331">
        <v>1</v>
      </c>
      <c r="AD5" s="406" t="s">
        <v>623</v>
      </c>
      <c r="AF5" s="914"/>
      <c r="AG5" s="915"/>
      <c r="AH5" s="915"/>
      <c r="AI5" s="915"/>
      <c r="AJ5" s="915"/>
      <c r="AK5" s="915"/>
      <c r="AL5" s="915"/>
      <c r="AM5" s="916"/>
      <c r="AO5" s="407" t="s">
        <v>670</v>
      </c>
      <c r="AP5" s="407" t="s">
        <v>165</v>
      </c>
    </row>
    <row r="6" spans="2:42" s="389" customFormat="1" ht="27" customHeight="1">
      <c r="B6" s="919"/>
      <c r="C6" s="920"/>
      <c r="D6" s="329">
        <v>2</v>
      </c>
      <c r="E6" s="401" t="s">
        <v>331</v>
      </c>
      <c r="F6" s="413">
        <v>1797.0271000000046</v>
      </c>
      <c r="G6" s="330">
        <v>487.66</v>
      </c>
      <c r="H6" s="403">
        <v>314.315</v>
      </c>
      <c r="I6" s="403">
        <v>315.85387105081702</v>
      </c>
      <c r="J6" s="405">
        <v>1.0047555953903746</v>
      </c>
      <c r="K6" s="404">
        <v>318</v>
      </c>
      <c r="L6" s="405">
        <v>1.0117239075449789</v>
      </c>
      <c r="M6" s="404">
        <v>0</v>
      </c>
      <c r="N6" s="405">
        <v>0</v>
      </c>
      <c r="O6" s="473">
        <v>318</v>
      </c>
      <c r="P6" s="405">
        <v>1.0117239075449789</v>
      </c>
      <c r="Q6" s="403">
        <v>2</v>
      </c>
      <c r="R6" s="405">
        <v>6.3630434436791122E-3</v>
      </c>
      <c r="S6" s="414">
        <v>975.32</v>
      </c>
      <c r="T6" s="473">
        <v>3.6850000000000094</v>
      </c>
      <c r="U6" s="405">
        <v>1.1666787517089312E-2</v>
      </c>
      <c r="V6" s="474">
        <v>1.6850000000000094</v>
      </c>
      <c r="W6" s="475">
        <v>5.3608641012996812E-3</v>
      </c>
      <c r="X6" s="476">
        <v>821.70710000000463</v>
      </c>
      <c r="Y6" s="427" t="s">
        <v>326</v>
      </c>
      <c r="Z6" s="427" t="s">
        <v>194</v>
      </c>
      <c r="AA6" s="331" t="s">
        <v>580</v>
      </c>
      <c r="AB6" s="331" t="s">
        <v>514</v>
      </c>
      <c r="AC6" s="331">
        <v>1</v>
      </c>
      <c r="AD6" s="406" t="s">
        <v>627</v>
      </c>
      <c r="AF6" s="222" t="s">
        <v>671</v>
      </c>
      <c r="AG6" s="222" t="s">
        <v>598</v>
      </c>
      <c r="AH6" s="472" t="s">
        <v>646</v>
      </c>
      <c r="AI6" s="472" t="s">
        <v>365</v>
      </c>
      <c r="AJ6" s="472" t="s">
        <v>492</v>
      </c>
      <c r="AK6" s="472" t="s">
        <v>193</v>
      </c>
      <c r="AL6" s="472" t="s">
        <v>194</v>
      </c>
      <c r="AM6" s="472" t="s">
        <v>506</v>
      </c>
      <c r="AO6" s="409" t="s">
        <v>598</v>
      </c>
      <c r="AP6" s="208" t="s">
        <v>672</v>
      </c>
    </row>
    <row r="7" spans="2:42" s="389" customFormat="1" ht="27" customHeight="1">
      <c r="B7" s="919"/>
      <c r="C7" s="920"/>
      <c r="D7" s="329">
        <v>3</v>
      </c>
      <c r="E7" s="401" t="s">
        <v>781</v>
      </c>
      <c r="F7" s="413">
        <v>1787.0149999999976</v>
      </c>
      <c r="G7" s="330">
        <v>370.75</v>
      </c>
      <c r="H7" s="403">
        <v>339.68</v>
      </c>
      <c r="I7" s="403">
        <v>394.14808361995244</v>
      </c>
      <c r="J7" s="405">
        <v>1.1447253840176619</v>
      </c>
      <c r="K7" s="404">
        <v>343.90000000000003</v>
      </c>
      <c r="L7" s="405">
        <v>1.012423457371644</v>
      </c>
      <c r="M7" s="404">
        <v>0.6</v>
      </c>
      <c r="N7" s="405">
        <v>1.7663683466792274E-3</v>
      </c>
      <c r="O7" s="473">
        <v>344.50000000000006</v>
      </c>
      <c r="P7" s="405">
        <v>1.0141898257183233</v>
      </c>
      <c r="Q7" s="403">
        <v>2.6</v>
      </c>
      <c r="R7" s="405">
        <v>7.6542628356099859E-3</v>
      </c>
      <c r="S7" s="414">
        <v>963.94999999999993</v>
      </c>
      <c r="T7" s="473">
        <v>4.8199999999999932</v>
      </c>
      <c r="U7" s="405">
        <v>1.2228906343351803E-2</v>
      </c>
      <c r="V7" s="474">
        <v>2.2199999999999931</v>
      </c>
      <c r="W7" s="475">
        <v>6.5355628827131213E-3</v>
      </c>
      <c r="X7" s="476">
        <v>823.06499999999744</v>
      </c>
      <c r="Y7" s="427" t="s">
        <v>326</v>
      </c>
      <c r="Z7" s="427" t="s">
        <v>194</v>
      </c>
      <c r="AA7" s="331" t="s">
        <v>580</v>
      </c>
      <c r="AB7" s="331" t="s">
        <v>514</v>
      </c>
      <c r="AC7" s="331">
        <v>1</v>
      </c>
      <c r="AD7" s="406" t="s">
        <v>782</v>
      </c>
      <c r="AF7" s="408">
        <v>20</v>
      </c>
      <c r="AG7" s="332">
        <v>0</v>
      </c>
      <c r="AH7" s="332">
        <v>0</v>
      </c>
      <c r="AI7" s="332">
        <v>1</v>
      </c>
      <c r="AJ7" s="332">
        <v>10</v>
      </c>
      <c r="AK7" s="332">
        <v>6</v>
      </c>
      <c r="AL7" s="332">
        <v>2</v>
      </c>
      <c r="AM7" s="332">
        <v>1</v>
      </c>
      <c r="AO7" s="208" t="s">
        <v>646</v>
      </c>
      <c r="AP7" s="208" t="s">
        <v>329</v>
      </c>
    </row>
    <row r="8" spans="2:42" s="389" customFormat="1" ht="27" customHeight="1">
      <c r="B8" s="919"/>
      <c r="C8" s="920"/>
      <c r="D8" s="329">
        <v>4</v>
      </c>
      <c r="E8" s="401" t="s">
        <v>715</v>
      </c>
      <c r="F8" s="413">
        <v>1703.9025900000377</v>
      </c>
      <c r="G8" s="330">
        <v>111.17</v>
      </c>
      <c r="H8" s="403">
        <v>3628.0730000000003</v>
      </c>
      <c r="I8" s="403">
        <v>3634.4113012360849</v>
      </c>
      <c r="J8" s="405">
        <v>1.0017033352341234</v>
      </c>
      <c r="K8" s="404">
        <v>3643.4000000000005</v>
      </c>
      <c r="L8" s="405">
        <v>1.0042245566723713</v>
      </c>
      <c r="M8" s="404">
        <v>0</v>
      </c>
      <c r="N8" s="405">
        <v>0</v>
      </c>
      <c r="O8" s="473">
        <v>3643.4000000000005</v>
      </c>
      <c r="P8" s="405">
        <v>1.0042245566723713</v>
      </c>
      <c r="Q8" s="403">
        <v>8.4</v>
      </c>
      <c r="R8" s="405">
        <v>2.3152786617027825E-3</v>
      </c>
      <c r="S8" s="414">
        <v>933.82799999999997</v>
      </c>
      <c r="T8" s="473">
        <v>15.327000000000339</v>
      </c>
      <c r="U8" s="405">
        <v>4.2171891758061436E-3</v>
      </c>
      <c r="V8" s="474">
        <v>6.9270000000003389</v>
      </c>
      <c r="W8" s="475">
        <v>1.9092780106685667E-3</v>
      </c>
      <c r="X8" s="476">
        <v>770.07459000003769</v>
      </c>
      <c r="Y8" s="427" t="s">
        <v>325</v>
      </c>
      <c r="Z8" s="427" t="s">
        <v>492</v>
      </c>
      <c r="AA8" s="331" t="s">
        <v>621</v>
      </c>
      <c r="AB8" s="331" t="s">
        <v>515</v>
      </c>
      <c r="AC8" s="331">
        <v>1</v>
      </c>
      <c r="AD8" s="406" t="s">
        <v>330</v>
      </c>
      <c r="AF8" s="410"/>
      <c r="AG8" s="411">
        <v>0</v>
      </c>
      <c r="AH8" s="411">
        <v>0</v>
      </c>
      <c r="AI8" s="411">
        <v>1342.1630400000001</v>
      </c>
      <c r="AJ8" s="411">
        <v>14000.804869999998</v>
      </c>
      <c r="AK8" s="411">
        <v>9300.5849499999968</v>
      </c>
      <c r="AL8" s="411">
        <v>3721.092560000006</v>
      </c>
      <c r="AM8" s="411">
        <v>1862.9183999999943</v>
      </c>
      <c r="AO8" s="208" t="s">
        <v>365</v>
      </c>
      <c r="AP8" s="208" t="s">
        <v>329</v>
      </c>
    </row>
    <row r="9" spans="2:42" s="389" customFormat="1" ht="27" customHeight="1">
      <c r="B9" s="919"/>
      <c r="C9" s="920"/>
      <c r="D9" s="329">
        <v>5</v>
      </c>
      <c r="E9" s="401" t="s">
        <v>761</v>
      </c>
      <c r="F9" s="413">
        <v>1647.4725199999982</v>
      </c>
      <c r="G9" s="330">
        <v>116.66</v>
      </c>
      <c r="H9" s="403">
        <v>1479.778</v>
      </c>
      <c r="I9" s="403">
        <v>1484.2833540772122</v>
      </c>
      <c r="J9" s="405">
        <v>1.0030498069240239</v>
      </c>
      <c r="K9" s="404">
        <v>1493.9</v>
      </c>
      <c r="L9" s="405">
        <v>1.0095433233904005</v>
      </c>
      <c r="M9" s="404">
        <v>0</v>
      </c>
      <c r="N9" s="405">
        <v>0</v>
      </c>
      <c r="O9" s="473">
        <v>1493.9</v>
      </c>
      <c r="P9" s="405">
        <v>1.0095433233904005</v>
      </c>
      <c r="Q9" s="403">
        <v>9.6999999999999993</v>
      </c>
      <c r="R9" s="405">
        <v>6.5550373096505011E-3</v>
      </c>
      <c r="S9" s="414">
        <v>1131.6019999999999</v>
      </c>
      <c r="T9" s="473">
        <v>14.121999999999986</v>
      </c>
      <c r="U9" s="405">
        <v>9.5143558412940071E-3</v>
      </c>
      <c r="V9" s="474">
        <v>4.4219999999999864</v>
      </c>
      <c r="W9" s="475">
        <v>2.9882860807499412E-3</v>
      </c>
      <c r="X9" s="476">
        <v>515.87051999999835</v>
      </c>
      <c r="Y9" s="427" t="s">
        <v>325</v>
      </c>
      <c r="Z9" s="427" t="s">
        <v>492</v>
      </c>
      <c r="AA9" s="331" t="s">
        <v>768</v>
      </c>
      <c r="AB9" s="331" t="s">
        <v>750</v>
      </c>
      <c r="AC9" s="331">
        <v>1</v>
      </c>
      <c r="AD9" s="406" t="s">
        <v>330</v>
      </c>
      <c r="AF9" s="329"/>
      <c r="AG9" s="479">
        <v>0</v>
      </c>
      <c r="AH9" s="479">
        <v>0</v>
      </c>
      <c r="AI9" s="479">
        <v>0.05</v>
      </c>
      <c r="AJ9" s="479">
        <v>0.5</v>
      </c>
      <c r="AK9" s="479">
        <v>0.3</v>
      </c>
      <c r="AL9" s="479">
        <v>0.1</v>
      </c>
      <c r="AM9" s="479">
        <v>0.05</v>
      </c>
      <c r="AO9" s="208" t="s">
        <v>492</v>
      </c>
      <c r="AP9" s="208" t="s">
        <v>325</v>
      </c>
    </row>
    <row r="10" spans="2:42" s="389" customFormat="1" ht="27" customHeight="1">
      <c r="B10" s="919"/>
      <c r="C10" s="920"/>
      <c r="D10" s="329">
        <v>6</v>
      </c>
      <c r="E10" s="401" t="s">
        <v>703</v>
      </c>
      <c r="F10" s="413">
        <v>1632.3215999999977</v>
      </c>
      <c r="G10" s="330">
        <v>1010.1</v>
      </c>
      <c r="H10" s="403">
        <v>77.983999999999995</v>
      </c>
      <c r="I10" s="403">
        <v>79.1817715607351</v>
      </c>
      <c r="J10" s="405">
        <v>1.0158636451757683</v>
      </c>
      <c r="K10" s="404">
        <v>79.099999999999994</v>
      </c>
      <c r="L10" s="405">
        <v>1.0143106278210916</v>
      </c>
      <c r="M10" s="404">
        <v>0.5</v>
      </c>
      <c r="N10" s="405">
        <v>6.4115716044316788E-3</v>
      </c>
      <c r="O10" s="473">
        <v>79.599999999999994</v>
      </c>
      <c r="P10" s="405">
        <v>1.0207221994255231</v>
      </c>
      <c r="Q10" s="403">
        <v>0.6</v>
      </c>
      <c r="R10" s="405">
        <v>7.6938859253180142E-3</v>
      </c>
      <c r="S10" s="414">
        <v>606.06000000000006</v>
      </c>
      <c r="T10" s="473">
        <v>1.6159999999999979</v>
      </c>
      <c r="U10" s="405">
        <v>2.0408737619118197E-2</v>
      </c>
      <c r="V10" s="474">
        <v>1.0159999999999978</v>
      </c>
      <c r="W10" s="475">
        <v>1.3028313500205143E-2</v>
      </c>
      <c r="X10" s="476">
        <v>1026.2615999999978</v>
      </c>
      <c r="Y10" s="427" t="s">
        <v>326</v>
      </c>
      <c r="Z10" s="427" t="s">
        <v>506</v>
      </c>
      <c r="AA10" s="331" t="s">
        <v>589</v>
      </c>
      <c r="AB10" s="331" t="s">
        <v>648</v>
      </c>
      <c r="AC10" s="331">
        <v>1</v>
      </c>
      <c r="AD10" s="406" t="s">
        <v>702</v>
      </c>
      <c r="AO10" s="208" t="s">
        <v>193</v>
      </c>
      <c r="AP10" s="208" t="s">
        <v>326</v>
      </c>
    </row>
    <row r="11" spans="2:42" s="389" customFormat="1" ht="27" customHeight="1">
      <c r="B11" s="919"/>
      <c r="C11" s="920"/>
      <c r="D11" s="329">
        <v>7</v>
      </c>
      <c r="E11" s="401" t="s">
        <v>579</v>
      </c>
      <c r="F11" s="413">
        <v>1619.2260000000019</v>
      </c>
      <c r="G11" s="330">
        <v>447.3</v>
      </c>
      <c r="H11" s="403">
        <v>709.68</v>
      </c>
      <c r="I11" s="403">
        <v>711.25436174475249</v>
      </c>
      <c r="J11" s="405">
        <v>1.0022152039709926</v>
      </c>
      <c r="K11" s="404">
        <v>710</v>
      </c>
      <c r="L11" s="405">
        <v>1.0004509074512458</v>
      </c>
      <c r="M11" s="404">
        <v>3.3</v>
      </c>
      <c r="N11" s="405">
        <v>4.6499830909705782E-3</v>
      </c>
      <c r="O11" s="473">
        <v>713.3</v>
      </c>
      <c r="P11" s="405">
        <v>1.0051008905422163</v>
      </c>
      <c r="Q11" s="403">
        <v>1.0999999999999999</v>
      </c>
      <c r="R11" s="405">
        <v>1.5499943636568593E-3</v>
      </c>
      <c r="S11" s="414">
        <v>492.03000000000009</v>
      </c>
      <c r="T11" s="473">
        <v>3.6200000000000045</v>
      </c>
      <c r="U11" s="405">
        <v>5.0895997194588902E-3</v>
      </c>
      <c r="V11" s="474">
        <v>2.5200000000000049</v>
      </c>
      <c r="W11" s="475">
        <v>3.5508961785593578E-3</v>
      </c>
      <c r="X11" s="476">
        <v>1127.1960000000022</v>
      </c>
      <c r="Y11" s="427" t="s">
        <v>326</v>
      </c>
      <c r="Z11" s="427" t="s">
        <v>193</v>
      </c>
      <c r="AA11" s="331" t="s">
        <v>580</v>
      </c>
      <c r="AB11" s="331" t="s">
        <v>514</v>
      </c>
      <c r="AC11" s="331">
        <v>1</v>
      </c>
      <c r="AD11" s="406" t="s">
        <v>578</v>
      </c>
      <c r="AO11" s="208" t="s">
        <v>194</v>
      </c>
      <c r="AP11" s="208" t="s">
        <v>326</v>
      </c>
    </row>
    <row r="12" spans="2:42" s="389" customFormat="1" ht="27" customHeight="1">
      <c r="B12" s="919"/>
      <c r="C12" s="920"/>
      <c r="D12" s="329">
        <v>8</v>
      </c>
      <c r="E12" s="401" t="s">
        <v>613</v>
      </c>
      <c r="F12" s="413">
        <v>1609.2196799999888</v>
      </c>
      <c r="G12" s="330">
        <v>371.13</v>
      </c>
      <c r="H12" s="403">
        <v>950.96400000000006</v>
      </c>
      <c r="I12" s="403">
        <v>953.53093960019407</v>
      </c>
      <c r="J12" s="405">
        <v>1.0027145457127606</v>
      </c>
      <c r="K12" s="404">
        <v>953.80000000000007</v>
      </c>
      <c r="L12" s="405">
        <v>1.0029822369721673</v>
      </c>
      <c r="M12" s="404">
        <v>1.5</v>
      </c>
      <c r="N12" s="405">
        <v>1.5773467765341275E-3</v>
      </c>
      <c r="O12" s="473">
        <v>955.30000000000007</v>
      </c>
      <c r="P12" s="405">
        <v>1.0045595837487014</v>
      </c>
      <c r="Q12" s="403">
        <v>2</v>
      </c>
      <c r="R12" s="405">
        <v>2.1031290353788366E-3</v>
      </c>
      <c r="S12" s="414">
        <v>742.26</v>
      </c>
      <c r="T12" s="473">
        <v>4.3359999999999701</v>
      </c>
      <c r="U12" s="405">
        <v>4.5473091851828233E-3</v>
      </c>
      <c r="V12" s="474">
        <v>2.3359999999999701</v>
      </c>
      <c r="W12" s="475">
        <v>2.4564547133224496E-3</v>
      </c>
      <c r="X12" s="476">
        <v>866.95967999998891</v>
      </c>
      <c r="Y12" s="427" t="s">
        <v>325</v>
      </c>
      <c r="Z12" s="427" t="s">
        <v>492</v>
      </c>
      <c r="AA12" s="331" t="s">
        <v>625</v>
      </c>
      <c r="AB12" s="331" t="s">
        <v>612</v>
      </c>
      <c r="AC12" s="331">
        <v>1</v>
      </c>
      <c r="AD12" s="406" t="s">
        <v>350</v>
      </c>
      <c r="AO12" s="208" t="s">
        <v>506</v>
      </c>
      <c r="AP12" s="208" t="s">
        <v>326</v>
      </c>
    </row>
    <row r="13" spans="2:42" s="389" customFormat="1" ht="27" customHeight="1">
      <c r="B13" s="919"/>
      <c r="C13" s="920"/>
      <c r="D13" s="329">
        <v>9</v>
      </c>
      <c r="E13" s="401" t="s">
        <v>776</v>
      </c>
      <c r="F13" s="413">
        <v>1603.9253999999939</v>
      </c>
      <c r="G13" s="330">
        <v>344.19</v>
      </c>
      <c r="H13" s="403">
        <v>848.64</v>
      </c>
      <c r="I13" s="403">
        <v>988.11523860154193</v>
      </c>
      <c r="J13" s="405">
        <v>1.1421684443690912</v>
      </c>
      <c r="K13" s="404">
        <v>853.3</v>
      </c>
      <c r="L13" s="405">
        <v>1.0054911387631975</v>
      </c>
      <c r="M13" s="404">
        <v>0</v>
      </c>
      <c r="N13" s="405">
        <v>0</v>
      </c>
      <c r="O13" s="473">
        <v>853.3</v>
      </c>
      <c r="P13" s="405">
        <v>1.0054911387631975</v>
      </c>
      <c r="Q13" s="403">
        <v>2.9</v>
      </c>
      <c r="R13" s="405">
        <v>3.4172322775263952E-3</v>
      </c>
      <c r="S13" s="414">
        <v>998.15100000000018</v>
      </c>
      <c r="T13" s="473">
        <v>4.6599999999999824</v>
      </c>
      <c r="U13" s="405">
        <v>4.7160491185169653E-3</v>
      </c>
      <c r="V13" s="474">
        <v>1.7599999999999825</v>
      </c>
      <c r="W13" s="475">
        <v>2.0739064856711707E-3</v>
      </c>
      <c r="X13" s="476">
        <v>605.77439999999399</v>
      </c>
      <c r="Y13" s="427" t="s">
        <v>326</v>
      </c>
      <c r="Z13" s="427" t="s">
        <v>193</v>
      </c>
      <c r="AA13" s="331" t="s">
        <v>630</v>
      </c>
      <c r="AB13" s="331" t="s">
        <v>514</v>
      </c>
      <c r="AC13" s="331">
        <v>1</v>
      </c>
      <c r="AD13" s="406" t="s">
        <v>777</v>
      </c>
    </row>
    <row r="14" spans="2:42" s="389" customFormat="1" ht="27" customHeight="1">
      <c r="B14" s="919"/>
      <c r="C14" s="920"/>
      <c r="D14" s="329">
        <v>10</v>
      </c>
      <c r="E14" s="401" t="s">
        <v>633</v>
      </c>
      <c r="F14" s="413">
        <v>1595.7445000000002</v>
      </c>
      <c r="G14" s="330">
        <v>298.27</v>
      </c>
      <c r="H14" s="403">
        <v>181.75</v>
      </c>
      <c r="I14" s="403">
        <v>183.05738619051903</v>
      </c>
      <c r="J14" s="405">
        <v>1.0071082402933613</v>
      </c>
      <c r="K14" s="404">
        <v>187.1</v>
      </c>
      <c r="L14" s="405">
        <v>1.029436038514443</v>
      </c>
      <c r="M14" s="404">
        <v>0</v>
      </c>
      <c r="N14" s="405">
        <v>0</v>
      </c>
      <c r="O14" s="473">
        <v>187.1</v>
      </c>
      <c r="P14" s="405">
        <v>1.029436038514443</v>
      </c>
      <c r="Q14" s="403">
        <v>3.9</v>
      </c>
      <c r="R14" s="405">
        <v>2.1458046767537826E-2</v>
      </c>
      <c r="S14" s="414">
        <v>1163.2529999999999</v>
      </c>
      <c r="T14" s="473">
        <v>5.3500000000000014</v>
      </c>
      <c r="U14" s="405">
        <v>2.9225807880988365E-2</v>
      </c>
      <c r="V14" s="474">
        <v>1.4500000000000015</v>
      </c>
      <c r="W14" s="475">
        <v>7.977991746905097E-3</v>
      </c>
      <c r="X14" s="476">
        <v>432.49150000000043</v>
      </c>
      <c r="Y14" s="427" t="s">
        <v>326</v>
      </c>
      <c r="Z14" s="427" t="s">
        <v>193</v>
      </c>
      <c r="AA14" s="331" t="s">
        <v>630</v>
      </c>
      <c r="AB14" s="331" t="s">
        <v>514</v>
      </c>
      <c r="AC14" s="331">
        <v>1</v>
      </c>
      <c r="AD14" s="406" t="s">
        <v>629</v>
      </c>
    </row>
    <row r="15" spans="2:42" s="389" customFormat="1" ht="27" customHeight="1">
      <c r="B15" s="919"/>
      <c r="C15" s="920"/>
      <c r="D15" s="329">
        <v>11</v>
      </c>
      <c r="E15" s="401" t="s">
        <v>709</v>
      </c>
      <c r="F15" s="413">
        <v>1575.8776800000157</v>
      </c>
      <c r="G15" s="330">
        <v>136.88999999999999</v>
      </c>
      <c r="H15" s="403">
        <v>2776.4879999999998</v>
      </c>
      <c r="I15" s="403">
        <v>2782.0441870632139</v>
      </c>
      <c r="J15" s="405">
        <v>1.001964907123764</v>
      </c>
      <c r="K15" s="404">
        <v>2788</v>
      </c>
      <c r="L15" s="405">
        <v>1.0041462451845642</v>
      </c>
      <c r="M15" s="404">
        <v>0</v>
      </c>
      <c r="N15" s="405">
        <v>0</v>
      </c>
      <c r="O15" s="473">
        <v>2788</v>
      </c>
      <c r="P15" s="405">
        <v>1.0041462451845642</v>
      </c>
      <c r="Q15" s="403">
        <v>6.5</v>
      </c>
      <c r="R15" s="405">
        <v>2.3410870135221187E-3</v>
      </c>
      <c r="S15" s="414">
        <v>889.78499999999997</v>
      </c>
      <c r="T15" s="473">
        <v>11.512000000000114</v>
      </c>
      <c r="U15" s="405">
        <v>4.1379644699865211E-3</v>
      </c>
      <c r="V15" s="474">
        <v>5.0120000000001141</v>
      </c>
      <c r="W15" s="475">
        <v>1.8051581710420194E-3</v>
      </c>
      <c r="X15" s="476">
        <v>686.09268000001555</v>
      </c>
      <c r="Y15" s="427" t="s">
        <v>326</v>
      </c>
      <c r="Z15" s="427" t="s">
        <v>193</v>
      </c>
      <c r="AA15" s="331" t="s">
        <v>630</v>
      </c>
      <c r="AB15" s="331" t="s">
        <v>514</v>
      </c>
      <c r="AC15" s="331">
        <v>1</v>
      </c>
      <c r="AD15" s="406" t="s">
        <v>330</v>
      </c>
      <c r="AH15" s="333"/>
    </row>
    <row r="16" spans="2:42" s="389" customFormat="1" ht="27" customHeight="1">
      <c r="B16" s="919"/>
      <c r="C16" s="920"/>
      <c r="D16" s="329">
        <v>12</v>
      </c>
      <c r="E16" s="401" t="s">
        <v>716</v>
      </c>
      <c r="F16" s="413">
        <v>1568.4879999999957</v>
      </c>
      <c r="G16" s="330">
        <v>103.19</v>
      </c>
      <c r="H16" s="403">
        <v>1643.2</v>
      </c>
      <c r="I16" s="403">
        <v>1650.6223470505427</v>
      </c>
      <c r="J16" s="405">
        <v>1.0045290931704161</v>
      </c>
      <c r="K16" s="404">
        <v>1658.4</v>
      </c>
      <c r="L16" s="405">
        <v>1.0092502434274586</v>
      </c>
      <c r="M16" s="404">
        <v>0</v>
      </c>
      <c r="N16" s="405">
        <v>0</v>
      </c>
      <c r="O16" s="473">
        <v>1658.4</v>
      </c>
      <c r="P16" s="405">
        <v>1.0092502434274586</v>
      </c>
      <c r="Q16" s="403">
        <v>9.2000000000000011</v>
      </c>
      <c r="R16" s="405">
        <v>5.598831548198637E-3</v>
      </c>
      <c r="S16" s="414">
        <v>949.34799999999996</v>
      </c>
      <c r="T16" s="473">
        <v>15.19999999999996</v>
      </c>
      <c r="U16" s="405">
        <v>9.20864789402644E-3</v>
      </c>
      <c r="V16" s="474">
        <v>5.9999999999999591</v>
      </c>
      <c r="W16" s="475">
        <v>3.6514118792599554E-3</v>
      </c>
      <c r="X16" s="476">
        <v>619.13999999999578</v>
      </c>
      <c r="Y16" s="427" t="s">
        <v>325</v>
      </c>
      <c r="Z16" s="427" t="s">
        <v>492</v>
      </c>
      <c r="AA16" s="331" t="s">
        <v>583</v>
      </c>
      <c r="AB16" s="331" t="s">
        <v>584</v>
      </c>
      <c r="AC16" s="331">
        <v>1</v>
      </c>
      <c r="AD16" s="406" t="s">
        <v>611</v>
      </c>
    </row>
    <row r="17" spans="2:30" s="389" customFormat="1" ht="27" customHeight="1">
      <c r="B17" s="919"/>
      <c r="C17" s="920"/>
      <c r="D17" s="329">
        <v>13</v>
      </c>
      <c r="E17" s="401" t="s">
        <v>733</v>
      </c>
      <c r="F17" s="413">
        <v>1567.0345000000034</v>
      </c>
      <c r="G17" s="330">
        <v>297.35000000000002</v>
      </c>
      <c r="H17" s="403">
        <v>303.02999999999997</v>
      </c>
      <c r="I17" s="403">
        <v>304.61781884208818</v>
      </c>
      <c r="J17" s="405">
        <v>1.0052494857481584</v>
      </c>
      <c r="K17" s="404">
        <v>308.3</v>
      </c>
      <c r="L17" s="405">
        <v>1.0173910173910174</v>
      </c>
      <c r="M17" s="404">
        <v>0</v>
      </c>
      <c r="N17" s="405">
        <v>0</v>
      </c>
      <c r="O17" s="473">
        <v>308.3</v>
      </c>
      <c r="P17" s="405">
        <v>1.0173910173910174</v>
      </c>
      <c r="Q17" s="403">
        <v>3.6999999999999997</v>
      </c>
      <c r="R17" s="405">
        <v>1.221001221001221E-2</v>
      </c>
      <c r="S17" s="414">
        <v>1100.1950000000002</v>
      </c>
      <c r="T17" s="473">
        <v>5.2700000000000102</v>
      </c>
      <c r="U17" s="405">
        <v>1.7300366800708865E-2</v>
      </c>
      <c r="V17" s="474">
        <v>1.5700000000000105</v>
      </c>
      <c r="W17" s="475">
        <v>5.1810051810052158E-3</v>
      </c>
      <c r="X17" s="476">
        <v>466.83950000000317</v>
      </c>
      <c r="Y17" s="427" t="s">
        <v>326</v>
      </c>
      <c r="Z17" s="427" t="s">
        <v>193</v>
      </c>
      <c r="AA17" s="331" t="s">
        <v>630</v>
      </c>
      <c r="AB17" s="331" t="s">
        <v>514</v>
      </c>
      <c r="AC17" s="331">
        <v>1</v>
      </c>
      <c r="AD17" s="406" t="s">
        <v>573</v>
      </c>
    </row>
    <row r="18" spans="2:30" s="389" customFormat="1" ht="27" customHeight="1">
      <c r="B18" s="919"/>
      <c r="C18" s="920"/>
      <c r="D18" s="329">
        <v>14</v>
      </c>
      <c r="E18" s="401" t="s">
        <v>783</v>
      </c>
      <c r="F18" s="413">
        <v>1559.8926000000033</v>
      </c>
      <c r="G18" s="330">
        <v>412.67</v>
      </c>
      <c r="H18" s="403">
        <v>355.12</v>
      </c>
      <c r="I18" s="403">
        <v>411.68599970939869</v>
      </c>
      <c r="J18" s="405">
        <v>1.1433565457810317</v>
      </c>
      <c r="K18" s="404">
        <v>358.1</v>
      </c>
      <c r="L18" s="405">
        <v>1.0083915296237891</v>
      </c>
      <c r="M18" s="404">
        <v>0.8</v>
      </c>
      <c r="N18" s="405">
        <v>2.2527596305474207E-3</v>
      </c>
      <c r="O18" s="473">
        <v>358.90000000000003</v>
      </c>
      <c r="P18" s="405">
        <v>1.0106442892543366</v>
      </c>
      <c r="Q18" s="403">
        <v>1.9</v>
      </c>
      <c r="R18" s="405">
        <v>5.3503041225501239E-3</v>
      </c>
      <c r="S18" s="414">
        <v>784.07299999999998</v>
      </c>
      <c r="T18" s="473">
        <v>3.7800000000000082</v>
      </c>
      <c r="U18" s="405">
        <v>9.1817550333706723E-3</v>
      </c>
      <c r="V18" s="474">
        <v>1.8800000000000083</v>
      </c>
      <c r="W18" s="475">
        <v>5.2939851317864621E-3</v>
      </c>
      <c r="X18" s="476">
        <v>775.81960000000345</v>
      </c>
      <c r="Y18" s="427" t="s">
        <v>326</v>
      </c>
      <c r="Z18" s="427" t="s">
        <v>194</v>
      </c>
      <c r="AA18" s="331" t="s">
        <v>580</v>
      </c>
      <c r="AB18" s="331" t="s">
        <v>514</v>
      </c>
      <c r="AC18" s="331">
        <v>1</v>
      </c>
      <c r="AD18" s="406" t="s">
        <v>782</v>
      </c>
    </row>
    <row r="19" spans="2:30" s="389" customFormat="1" ht="27" customHeight="1">
      <c r="B19" s="919"/>
      <c r="C19" s="920"/>
      <c r="D19" s="329">
        <v>15</v>
      </c>
      <c r="E19" s="401" t="s">
        <v>771</v>
      </c>
      <c r="F19" s="413">
        <v>1523.0460000000035</v>
      </c>
      <c r="G19" s="330">
        <v>362.63</v>
      </c>
      <c r="H19" s="403">
        <v>297.40000000000003</v>
      </c>
      <c r="I19" s="403">
        <v>298.88665298501513</v>
      </c>
      <c r="J19" s="405">
        <v>1.0050362136282662</v>
      </c>
      <c r="K19" s="404">
        <v>301.60000000000002</v>
      </c>
      <c r="L19" s="405">
        <v>1.0141223940820443</v>
      </c>
      <c r="M19" s="404">
        <v>0</v>
      </c>
      <c r="N19" s="405">
        <v>0</v>
      </c>
      <c r="O19" s="473">
        <v>301.60000000000002</v>
      </c>
      <c r="P19" s="405">
        <v>1.0141223940820443</v>
      </c>
      <c r="Q19" s="403">
        <v>2.9</v>
      </c>
      <c r="R19" s="405">
        <v>9.751176866173503E-3</v>
      </c>
      <c r="S19" s="414">
        <v>1051.6270000000002</v>
      </c>
      <c r="T19" s="473">
        <v>4.2000000000000099</v>
      </c>
      <c r="U19" s="405">
        <v>1.4052149729852874E-2</v>
      </c>
      <c r="V19" s="474">
        <v>1.30000000000001</v>
      </c>
      <c r="W19" s="475">
        <v>4.3712172158709142E-3</v>
      </c>
      <c r="X19" s="476">
        <v>471.41900000000362</v>
      </c>
      <c r="Y19" s="427" t="s">
        <v>325</v>
      </c>
      <c r="Z19" s="427" t="s">
        <v>492</v>
      </c>
      <c r="AA19" s="331" t="s">
        <v>625</v>
      </c>
      <c r="AB19" s="331" t="s">
        <v>612</v>
      </c>
      <c r="AC19" s="331">
        <v>1</v>
      </c>
      <c r="AD19" s="406" t="s">
        <v>772</v>
      </c>
    </row>
    <row r="20" spans="2:30" s="389" customFormat="1" ht="27" customHeight="1">
      <c r="B20" s="919"/>
      <c r="C20" s="920"/>
      <c r="D20" s="329">
        <v>16</v>
      </c>
      <c r="E20" s="401" t="s">
        <v>767</v>
      </c>
      <c r="F20" s="413">
        <v>1517.4431999999993</v>
      </c>
      <c r="G20" s="330">
        <v>154.4</v>
      </c>
      <c r="H20" s="403">
        <v>282.67200000000003</v>
      </c>
      <c r="I20" s="403">
        <v>284.91952322628606</v>
      </c>
      <c r="J20" s="405">
        <v>1.0079516187719466</v>
      </c>
      <c r="K20" s="404">
        <v>292.5</v>
      </c>
      <c r="L20" s="405">
        <v>1.0347682119205297</v>
      </c>
      <c r="M20" s="404">
        <v>0</v>
      </c>
      <c r="N20" s="405">
        <v>0</v>
      </c>
      <c r="O20" s="473">
        <v>292.5</v>
      </c>
      <c r="P20" s="405">
        <v>1.0347682119205297</v>
      </c>
      <c r="Q20" s="403">
        <v>7.5</v>
      </c>
      <c r="R20" s="405">
        <v>2.6532518254372556E-2</v>
      </c>
      <c r="S20" s="414">
        <v>1158</v>
      </c>
      <c r="T20" s="473">
        <v>9.8279999999999959</v>
      </c>
      <c r="U20" s="405">
        <v>3.4493950743398151E-2</v>
      </c>
      <c r="V20" s="474">
        <v>2.3279999999999959</v>
      </c>
      <c r="W20" s="475">
        <v>8.2356936661572271E-3</v>
      </c>
      <c r="X20" s="476">
        <v>359.44319999999936</v>
      </c>
      <c r="Y20" s="427" t="s">
        <v>325</v>
      </c>
      <c r="Z20" s="331" t="s">
        <v>492</v>
      </c>
      <c r="AA20" s="331" t="s">
        <v>583</v>
      </c>
      <c r="AB20" s="331" t="s">
        <v>584</v>
      </c>
      <c r="AC20" s="331">
        <v>1</v>
      </c>
      <c r="AD20" s="406" t="s">
        <v>700</v>
      </c>
    </row>
    <row r="21" spans="2:30" s="389" customFormat="1" ht="27" customHeight="1">
      <c r="B21" s="919"/>
      <c r="C21" s="920"/>
      <c r="D21" s="329">
        <v>17</v>
      </c>
      <c r="E21" s="401" t="s">
        <v>769</v>
      </c>
      <c r="F21" s="413">
        <v>1491.6434800000011</v>
      </c>
      <c r="G21" s="330">
        <v>127.48</v>
      </c>
      <c r="H21" s="403">
        <v>992.49900000000002</v>
      </c>
      <c r="I21" s="403">
        <v>995.19941604690098</v>
      </c>
      <c r="J21" s="405">
        <v>1.002691104330226</v>
      </c>
      <c r="K21" s="404">
        <v>1004.2</v>
      </c>
      <c r="L21" s="405">
        <v>1.0117894325334333</v>
      </c>
      <c r="M21" s="404">
        <v>0</v>
      </c>
      <c r="N21" s="405">
        <v>0</v>
      </c>
      <c r="O21" s="473">
        <v>1004.2</v>
      </c>
      <c r="P21" s="405">
        <v>1.0117894325334333</v>
      </c>
      <c r="Q21" s="403">
        <v>8.5</v>
      </c>
      <c r="R21" s="405">
        <v>8.5642403669928136E-3</v>
      </c>
      <c r="S21" s="414">
        <v>1083.5800000000002</v>
      </c>
      <c r="T21" s="473">
        <v>11.701000000000008</v>
      </c>
      <c r="U21" s="405">
        <v>1.1757442590228141E-2</v>
      </c>
      <c r="V21" s="474">
        <v>3.2010000000000076</v>
      </c>
      <c r="W21" s="475">
        <v>3.2251921664404777E-3</v>
      </c>
      <c r="X21" s="476">
        <v>408.06348000000099</v>
      </c>
      <c r="Y21" s="427" t="s">
        <v>325</v>
      </c>
      <c r="Z21" s="331" t="s">
        <v>492</v>
      </c>
      <c r="AA21" s="331" t="s">
        <v>731</v>
      </c>
      <c r="AB21" s="331" t="s">
        <v>732</v>
      </c>
      <c r="AC21" s="331">
        <v>1</v>
      </c>
      <c r="AD21" s="406" t="s">
        <v>770</v>
      </c>
    </row>
    <row r="22" spans="2:30" s="389" customFormat="1" ht="27" customHeight="1">
      <c r="B22" s="919"/>
      <c r="C22" s="920"/>
      <c r="D22" s="329">
        <v>18</v>
      </c>
      <c r="E22" s="401" t="s">
        <v>748</v>
      </c>
      <c r="F22" s="413">
        <v>1489.733699999997</v>
      </c>
      <c r="G22" s="330">
        <v>290.85000000000002</v>
      </c>
      <c r="H22" s="403">
        <v>166.37800000000001</v>
      </c>
      <c r="I22" s="403">
        <v>166.37800000000001</v>
      </c>
      <c r="J22" s="405">
        <v>1</v>
      </c>
      <c r="K22" s="404">
        <v>171.49999999999997</v>
      </c>
      <c r="L22" s="405">
        <v>1.0307853201745421</v>
      </c>
      <c r="M22" s="404">
        <v>0</v>
      </c>
      <c r="N22" s="405">
        <v>0</v>
      </c>
      <c r="O22" s="473">
        <v>171.49999999999997</v>
      </c>
      <c r="P22" s="405">
        <v>1.0307853201745421</v>
      </c>
      <c r="Q22" s="403">
        <v>3.6</v>
      </c>
      <c r="R22" s="405">
        <v>2.1637476108620129E-2</v>
      </c>
      <c r="S22" s="414">
        <v>1047.0600000000002</v>
      </c>
      <c r="T22" s="473">
        <v>5.1219999999999892</v>
      </c>
      <c r="U22" s="405">
        <v>3.078532017454224E-2</v>
      </c>
      <c r="V22" s="474">
        <v>1.5219999999999891</v>
      </c>
      <c r="W22" s="475">
        <v>9.147844065922112E-3</v>
      </c>
      <c r="X22" s="476">
        <v>442.67369999999687</v>
      </c>
      <c r="Y22" s="427" t="s">
        <v>326</v>
      </c>
      <c r="Z22" s="427" t="s">
        <v>193</v>
      </c>
      <c r="AA22" s="331" t="s">
        <v>630</v>
      </c>
      <c r="AB22" s="331" t="s">
        <v>514</v>
      </c>
      <c r="AC22" s="331">
        <v>1</v>
      </c>
      <c r="AD22" s="406" t="s">
        <v>340</v>
      </c>
    </row>
    <row r="23" spans="2:30" s="389" customFormat="1" ht="27" customHeight="1">
      <c r="B23" s="919"/>
      <c r="C23" s="920"/>
      <c r="D23" s="329">
        <v>19</v>
      </c>
      <c r="E23" s="401" t="s">
        <v>745</v>
      </c>
      <c r="F23" s="413">
        <v>1486.8964000000003</v>
      </c>
      <c r="G23" s="330">
        <v>109.01</v>
      </c>
      <c r="H23" s="403">
        <v>738.7600000000001</v>
      </c>
      <c r="I23" s="403">
        <v>741.84320049042833</v>
      </c>
      <c r="J23" s="405">
        <v>1.0041959185072566</v>
      </c>
      <c r="K23" s="404">
        <v>752.4</v>
      </c>
      <c r="L23" s="405">
        <v>1.0184633710541988</v>
      </c>
      <c r="M23" s="404">
        <v>0</v>
      </c>
      <c r="N23" s="405">
        <v>0</v>
      </c>
      <c r="O23" s="473">
        <v>752.4</v>
      </c>
      <c r="P23" s="405">
        <v>1.0184633710541988</v>
      </c>
      <c r="Q23" s="403">
        <v>10.600000000000001</v>
      </c>
      <c r="R23" s="405">
        <v>1.4348367534788024E-2</v>
      </c>
      <c r="S23" s="414">
        <v>1155.5060000000001</v>
      </c>
      <c r="T23" s="473">
        <v>13.64</v>
      </c>
      <c r="U23" s="405">
        <v>1.8386634791533674E-2</v>
      </c>
      <c r="V23" s="474">
        <v>3.0399999999999991</v>
      </c>
      <c r="W23" s="475">
        <v>4.1150035194109031E-3</v>
      </c>
      <c r="X23" s="476">
        <v>331.39039999999994</v>
      </c>
      <c r="Y23" s="427" t="s">
        <v>325</v>
      </c>
      <c r="Z23" s="427" t="s">
        <v>492</v>
      </c>
      <c r="AA23" s="331" t="s">
        <v>621</v>
      </c>
      <c r="AB23" s="331" t="s">
        <v>515</v>
      </c>
      <c r="AC23" s="331">
        <v>1</v>
      </c>
      <c r="AD23" s="406" t="s">
        <v>588</v>
      </c>
    </row>
    <row r="24" spans="2:30" s="389" customFormat="1" ht="27" customHeight="1">
      <c r="B24" s="921"/>
      <c r="C24" s="922"/>
      <c r="D24" s="329">
        <v>20</v>
      </c>
      <c r="E24" s="401" t="s">
        <v>766</v>
      </c>
      <c r="F24" s="413">
        <v>1480.1724999999999</v>
      </c>
      <c r="G24" s="330">
        <v>83.39</v>
      </c>
      <c r="H24" s="403">
        <v>931.05</v>
      </c>
      <c r="I24" s="403">
        <v>934.54748296619266</v>
      </c>
      <c r="J24" s="405">
        <v>1.0037388577062138</v>
      </c>
      <c r="K24" s="404">
        <v>948.8</v>
      </c>
      <c r="L24" s="405">
        <v>1.019064497073197</v>
      </c>
      <c r="M24" s="404">
        <v>0</v>
      </c>
      <c r="N24" s="405">
        <v>0</v>
      </c>
      <c r="O24" s="473">
        <v>948.8</v>
      </c>
      <c r="P24" s="405">
        <v>1.019064497073197</v>
      </c>
      <c r="Q24" s="403">
        <v>14.200000000000001</v>
      </c>
      <c r="R24" s="405">
        <v>1.5251597658557544E-2</v>
      </c>
      <c r="S24" s="414">
        <v>1184.1380000000001</v>
      </c>
      <c r="T24" s="473">
        <v>17.75</v>
      </c>
      <c r="U24" s="405">
        <v>1.8993149437054456E-2</v>
      </c>
      <c r="V24" s="474">
        <v>3.5499999999999989</v>
      </c>
      <c r="W24" s="475">
        <v>3.8128994146393847E-3</v>
      </c>
      <c r="X24" s="476">
        <v>296.03449999999992</v>
      </c>
      <c r="Y24" s="427" t="s">
        <v>325</v>
      </c>
      <c r="Z24" s="427" t="s">
        <v>492</v>
      </c>
      <c r="AA24" s="331" t="s">
        <v>731</v>
      </c>
      <c r="AB24" s="331" t="s">
        <v>732</v>
      </c>
      <c r="AC24" s="331">
        <v>1</v>
      </c>
      <c r="AD24" s="406" t="s">
        <v>356</v>
      </c>
    </row>
  </sheetData>
  <mergeCells count="22"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  <mergeCell ref="AF3:AM5"/>
    <mergeCell ref="B5:C24"/>
    <mergeCell ref="B3:C4"/>
    <mergeCell ref="D3:D4"/>
    <mergeCell ref="E3:E4"/>
    <mergeCell ref="F3:F4"/>
  </mergeCells>
  <phoneticPr fontId="81" type="noConversion"/>
  <dataValidations count="3">
    <dataValidation type="list" allowBlank="1" showInputMessage="1" showErrorMessage="1" sqref="Y5:Y24">
      <formula1>$AP$6:$AP$12</formula1>
    </dataValidation>
    <dataValidation type="list" allowBlank="1" showInputMessage="1" showErrorMessage="1" sqref="Z5:Z24">
      <formula1>$AO$6:$AO$12</formula1>
    </dataValidation>
    <dataValidation type="list" allowBlank="1" showInputMessage="1" showErrorMessage="1" sqref="T1:X2 T25:X1048576 Y3:Z3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G49"/>
  <sheetViews>
    <sheetView zoomScale="70" zoomScaleNormal="70" workbookViewId="0">
      <selection activeCell="B9" sqref="B9"/>
    </sheetView>
  </sheetViews>
  <sheetFormatPr defaultColWidth="10.140625" defaultRowHeight="15.75"/>
  <cols>
    <col min="1" max="4" width="25.7109375" style="481" customWidth="1"/>
    <col min="5" max="5" width="33.7109375" style="481" customWidth="1"/>
    <col min="6" max="6" width="25.7109375" style="481" customWidth="1"/>
    <col min="7" max="7" width="33.7109375" style="481" customWidth="1"/>
    <col min="8" max="11" width="25.7109375" style="481" customWidth="1"/>
    <col min="12" max="12" width="26.42578125" style="481" bestFit="1" customWidth="1"/>
    <col min="13" max="14" width="26.42578125" style="481" customWidth="1"/>
    <col min="15" max="15" width="26.140625" style="481" bestFit="1" customWidth="1"/>
    <col min="16" max="16" width="10.140625" style="481"/>
    <col min="17" max="18" width="13.7109375" style="481" bestFit="1" customWidth="1"/>
    <col min="19" max="20" width="10.140625" style="481"/>
    <col min="21" max="21" width="15.140625" style="481" bestFit="1" customWidth="1"/>
    <col min="22" max="23" width="10.140625" style="481"/>
    <col min="24" max="24" width="13.7109375" style="481" bestFit="1" customWidth="1"/>
    <col min="25" max="26" width="10.140625" style="481"/>
    <col min="27" max="27" width="15.140625" style="481" bestFit="1" customWidth="1"/>
    <col min="28" max="29" width="10.140625" style="481"/>
    <col min="30" max="30" width="13.7109375" style="481" bestFit="1" customWidth="1"/>
    <col min="31" max="32" width="10.140625" style="481"/>
    <col min="33" max="33" width="15.140625" style="481" bestFit="1" customWidth="1"/>
    <col min="34" max="16384" width="10.140625" style="481"/>
  </cols>
  <sheetData>
    <row r="1" spans="1:33" ht="27">
      <c r="A1" s="939" t="s">
        <v>600</v>
      </c>
      <c r="B1" s="939"/>
      <c r="C1" s="939"/>
      <c r="D1" s="939"/>
      <c r="E1" s="939"/>
      <c r="F1" s="939"/>
      <c r="G1" s="939"/>
      <c r="H1" s="939"/>
      <c r="I1" s="939"/>
      <c r="J1" s="939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</row>
    <row r="2" spans="1:33" ht="48">
      <c r="A2" s="940" t="s">
        <v>677</v>
      </c>
      <c r="B2" s="942">
        <v>145112.05000000002</v>
      </c>
      <c r="C2" s="940" t="s">
        <v>678</v>
      </c>
      <c r="D2" s="944">
        <v>2.400875527091945E-3</v>
      </c>
      <c r="E2" s="482" t="s">
        <v>679</v>
      </c>
      <c r="F2" s="483" t="s">
        <v>680</v>
      </c>
      <c r="G2" s="484" t="s">
        <v>681</v>
      </c>
      <c r="H2" s="485" t="s">
        <v>682</v>
      </c>
      <c r="I2" s="946" t="s">
        <v>683</v>
      </c>
      <c r="J2" s="946" t="s">
        <v>684</v>
      </c>
      <c r="K2" s="480"/>
      <c r="L2" s="486"/>
      <c r="M2" s="480"/>
      <c r="N2" s="480"/>
      <c r="O2" s="480"/>
      <c r="P2" s="480"/>
      <c r="Q2" s="480"/>
      <c r="R2" s="480"/>
      <c r="S2" s="480"/>
      <c r="T2" s="480"/>
      <c r="U2" s="480"/>
      <c r="V2" s="480"/>
    </row>
    <row r="3" spans="1:33" ht="24">
      <c r="A3" s="941"/>
      <c r="B3" s="943"/>
      <c r="C3" s="941"/>
      <c r="D3" s="945"/>
      <c r="E3" s="487">
        <v>242534.62661448139</v>
      </c>
      <c r="F3" s="488">
        <v>4.0127298147265584E-3</v>
      </c>
      <c r="G3" s="489">
        <v>97422.576614481382</v>
      </c>
      <c r="H3" s="490">
        <v>1.6118542876346132E-3</v>
      </c>
      <c r="I3" s="947"/>
      <c r="J3" s="947"/>
      <c r="K3" s="491"/>
      <c r="L3" s="492"/>
      <c r="M3" s="480"/>
      <c r="N3" s="480"/>
      <c r="O3" s="480"/>
      <c r="P3" s="480"/>
      <c r="Q3" s="480"/>
      <c r="R3" s="480"/>
      <c r="S3" s="480"/>
      <c r="T3" s="480"/>
      <c r="U3" s="480"/>
      <c r="V3" s="480"/>
    </row>
    <row r="4" spans="1:33" ht="40.5">
      <c r="A4" s="493" t="s">
        <v>685</v>
      </c>
      <c r="B4" s="493" t="s">
        <v>334</v>
      </c>
      <c r="C4" s="493" t="s">
        <v>686</v>
      </c>
      <c r="D4" s="493" t="s">
        <v>687</v>
      </c>
      <c r="E4" s="493" t="s">
        <v>688</v>
      </c>
      <c r="F4" s="493" t="s">
        <v>689</v>
      </c>
      <c r="G4" s="494" t="s">
        <v>690</v>
      </c>
      <c r="H4" s="494" t="s">
        <v>691</v>
      </c>
      <c r="I4" s="948"/>
      <c r="J4" s="948"/>
      <c r="K4" s="480"/>
      <c r="L4" s="486"/>
      <c r="M4" s="495"/>
      <c r="N4" s="486"/>
      <c r="O4" s="496"/>
      <c r="P4" s="486"/>
      <c r="Q4" s="495"/>
      <c r="R4" s="497"/>
      <c r="S4" s="480"/>
      <c r="T4" s="480"/>
      <c r="U4" s="497"/>
      <c r="V4" s="480"/>
      <c r="X4" s="498"/>
      <c r="AA4" s="498"/>
      <c r="AD4" s="498"/>
      <c r="AG4" s="498"/>
    </row>
    <row r="5" spans="1:33" ht="18.75">
      <c r="A5" s="499">
        <v>46231</v>
      </c>
      <c r="B5" s="500">
        <v>9354163</v>
      </c>
      <c r="C5" s="501">
        <v>21345.173000000003</v>
      </c>
      <c r="D5" s="502">
        <v>2.2818902129458298E-3</v>
      </c>
      <c r="E5" s="501">
        <v>36734.074955441465</v>
      </c>
      <c r="F5" s="503">
        <v>3.9270295969229384E-3</v>
      </c>
      <c r="G5" s="504">
        <v>15388.901955441463</v>
      </c>
      <c r="H5" s="505">
        <v>1.6451393839771087E-3</v>
      </c>
      <c r="I5" s="937">
        <v>145112.05000000002</v>
      </c>
      <c r="J5" s="937">
        <v>242534.62661448139</v>
      </c>
      <c r="K5" s="480"/>
      <c r="L5" s="480"/>
      <c r="M5" s="480"/>
      <c r="N5" s="480"/>
      <c r="O5" s="480"/>
      <c r="P5" s="480"/>
      <c r="Q5" s="480"/>
      <c r="R5" s="480"/>
      <c r="S5" s="480"/>
      <c r="T5" s="480"/>
      <c r="U5" s="480"/>
      <c r="V5" s="480"/>
    </row>
    <row r="6" spans="1:33" ht="18.75">
      <c r="A6" s="499">
        <v>46232</v>
      </c>
      <c r="B6" s="500">
        <v>8773103</v>
      </c>
      <c r="C6" s="501">
        <v>21345.173000000003</v>
      </c>
      <c r="D6" s="502">
        <v>2.4330243244607983E-3</v>
      </c>
      <c r="E6" s="501">
        <v>36734.074955441465</v>
      </c>
      <c r="F6" s="503">
        <v>4.1871245505086929E-3</v>
      </c>
      <c r="G6" s="504">
        <v>15388.901955441463</v>
      </c>
      <c r="H6" s="505">
        <v>1.7541002260478946E-3</v>
      </c>
      <c r="I6" s="937"/>
      <c r="J6" s="937"/>
      <c r="K6" s="480"/>
      <c r="L6" s="480"/>
      <c r="M6" s="480"/>
      <c r="N6" s="480"/>
      <c r="O6" s="480"/>
      <c r="P6" s="480"/>
      <c r="Q6" s="480"/>
      <c r="R6" s="480"/>
      <c r="S6" s="480"/>
      <c r="T6" s="480"/>
      <c r="U6" s="480"/>
      <c r="V6" s="480"/>
    </row>
    <row r="7" spans="1:33" ht="18.75">
      <c r="A7" s="499">
        <v>46233</v>
      </c>
      <c r="B7" s="500">
        <v>8177093</v>
      </c>
      <c r="C7" s="501">
        <v>19644.059000000001</v>
      </c>
      <c r="D7" s="502">
        <v>2.4023279422161399E-3</v>
      </c>
      <c r="E7" s="501">
        <v>31953.240728001674</v>
      </c>
      <c r="F7" s="503">
        <v>3.9076528453328924E-3</v>
      </c>
      <c r="G7" s="504">
        <v>12309.181728001673</v>
      </c>
      <c r="H7" s="505">
        <v>1.5053249031167523E-3</v>
      </c>
      <c r="I7" s="937"/>
      <c r="J7" s="937"/>
      <c r="K7" s="480"/>
      <c r="L7" s="480"/>
      <c r="M7" s="480"/>
      <c r="N7" s="480"/>
      <c r="O7" s="480"/>
      <c r="P7" s="480"/>
      <c r="Q7" s="480"/>
      <c r="R7" s="480"/>
      <c r="S7" s="480"/>
      <c r="T7" s="480"/>
      <c r="U7" s="480"/>
      <c r="V7" s="480"/>
    </row>
    <row r="8" spans="1:33" ht="18.75">
      <c r="A8" s="499">
        <v>46234</v>
      </c>
      <c r="B8" s="500">
        <v>7340175</v>
      </c>
      <c r="C8" s="501">
        <v>17779.859000000011</v>
      </c>
      <c r="D8" s="502">
        <v>2.4222663628591977E-3</v>
      </c>
      <c r="E8" s="501">
        <v>30262.577285357078</v>
      </c>
      <c r="F8" s="503">
        <v>4.1228686353332279E-3</v>
      </c>
      <c r="G8" s="504">
        <v>12482.718285357067</v>
      </c>
      <c r="H8" s="505">
        <v>1.7006022724740304E-3</v>
      </c>
      <c r="I8" s="937"/>
      <c r="J8" s="937"/>
      <c r="K8" s="480"/>
      <c r="L8" s="480"/>
      <c r="M8" s="480"/>
      <c r="N8" s="480"/>
      <c r="O8" s="480"/>
      <c r="P8" s="480"/>
      <c r="Q8" s="480"/>
      <c r="R8" s="480"/>
      <c r="S8" s="480"/>
      <c r="T8" s="480"/>
      <c r="U8" s="480"/>
      <c r="V8" s="480"/>
    </row>
    <row r="9" spans="1:33" ht="18.75">
      <c r="A9" s="499">
        <v>46235</v>
      </c>
      <c r="B9" s="500">
        <v>8235605</v>
      </c>
      <c r="C9" s="501">
        <v>20006.722999999998</v>
      </c>
      <c r="D9" s="502">
        <v>2.4292960869298609E-3</v>
      </c>
      <c r="E9" s="501">
        <v>32949.152905466486</v>
      </c>
      <c r="F9" s="503">
        <v>4.0008175362303659E-3</v>
      </c>
      <c r="G9" s="504">
        <v>12942.429905466488</v>
      </c>
      <c r="H9" s="505">
        <v>1.5715214493005052E-3</v>
      </c>
      <c r="I9" s="937"/>
      <c r="J9" s="937"/>
      <c r="K9" s="480"/>
      <c r="L9" s="480"/>
      <c r="M9" s="480"/>
      <c r="N9" s="480"/>
      <c r="O9" s="480"/>
      <c r="P9" s="480"/>
      <c r="Q9" s="480"/>
      <c r="R9" s="480"/>
      <c r="S9" s="480"/>
      <c r="T9" s="480"/>
      <c r="U9" s="480"/>
      <c r="V9" s="480"/>
    </row>
    <row r="10" spans="1:33" ht="18.75">
      <c r="A10" s="499">
        <v>46236</v>
      </c>
      <c r="B10" s="500">
        <v>9197911</v>
      </c>
      <c r="C10" s="501">
        <v>22227.285999999996</v>
      </c>
      <c r="D10" s="502">
        <v>2.4165580641082522E-3</v>
      </c>
      <c r="E10" s="501">
        <v>37866.802366513148</v>
      </c>
      <c r="F10" s="503">
        <v>4.1168915818508298E-3</v>
      </c>
      <c r="G10" s="504">
        <v>15639.516366513151</v>
      </c>
      <c r="H10" s="505">
        <v>1.7003335177425778E-3</v>
      </c>
      <c r="I10" s="937"/>
      <c r="J10" s="937"/>
      <c r="K10" s="480"/>
      <c r="L10" s="480"/>
      <c r="M10" s="480"/>
      <c r="N10" s="480"/>
      <c r="O10" s="480"/>
      <c r="P10" s="480"/>
      <c r="Q10" s="480"/>
      <c r="R10" s="480"/>
      <c r="S10" s="480"/>
      <c r="T10" s="480"/>
      <c r="U10" s="480"/>
      <c r="V10" s="480"/>
    </row>
    <row r="11" spans="1:33" ht="18.75">
      <c r="A11" s="499">
        <v>46237</v>
      </c>
      <c r="B11" s="500">
        <v>9363255</v>
      </c>
      <c r="C11" s="501">
        <v>22763.776999999998</v>
      </c>
      <c r="D11" s="502">
        <v>2.4311819981406037E-3</v>
      </c>
      <c r="E11" s="501">
        <v>36034.703418260069</v>
      </c>
      <c r="F11" s="503">
        <v>3.848523127722151E-3</v>
      </c>
      <c r="G11" s="504">
        <v>13270.926418260071</v>
      </c>
      <c r="H11" s="505">
        <v>1.4173411295815472E-3</v>
      </c>
      <c r="I11" s="937"/>
      <c r="J11" s="937"/>
      <c r="K11" s="480"/>
      <c r="L11" s="480"/>
      <c r="M11" s="480"/>
      <c r="N11" s="480"/>
      <c r="O11" s="480"/>
      <c r="P11" s="480"/>
      <c r="Q11" s="480"/>
      <c r="R11" s="480"/>
      <c r="S11" s="480"/>
      <c r="T11" s="480"/>
      <c r="U11" s="480"/>
      <c r="V11" s="480"/>
    </row>
    <row r="12" spans="1:33" ht="18.75">
      <c r="A12" s="506">
        <v>46238</v>
      </c>
      <c r="B12" s="500">
        <v>8602665</v>
      </c>
      <c r="C12" s="501">
        <v>20919.18199999999</v>
      </c>
      <c r="D12" s="502">
        <v>2.4040165804658808E-3</v>
      </c>
      <c r="E12" s="501">
        <v>33659.596926766419</v>
      </c>
      <c r="F12" s="503">
        <v>3.9126941391727354E-3</v>
      </c>
      <c r="G12" s="504">
        <v>12740.414926766429</v>
      </c>
      <c r="H12" s="505">
        <v>1.4809846630975899E-3</v>
      </c>
      <c r="I12" s="938">
        <v>135310.44099999999</v>
      </c>
      <c r="J12" s="938">
        <v>223790.14419914404</v>
      </c>
      <c r="K12" s="480"/>
      <c r="L12" s="480"/>
      <c r="M12" s="480"/>
      <c r="N12" s="480"/>
      <c r="O12" s="480"/>
      <c r="P12" s="480"/>
      <c r="Q12" s="480"/>
      <c r="R12" s="480"/>
      <c r="S12" s="480"/>
      <c r="T12" s="480"/>
      <c r="U12" s="480"/>
      <c r="V12" s="480"/>
    </row>
    <row r="13" spans="1:33" ht="18.75">
      <c r="A13" s="506">
        <v>46239</v>
      </c>
      <c r="B13" s="500">
        <v>8256703</v>
      </c>
      <c r="C13" s="501">
        <v>20086.246999999996</v>
      </c>
      <c r="D13" s="502">
        <v>2.4062558297899181E-3</v>
      </c>
      <c r="E13" s="501">
        <v>33275.559431765774</v>
      </c>
      <c r="F13" s="503">
        <v>3.7563089982108801E-3</v>
      </c>
      <c r="G13" s="504">
        <v>13189.312431765778</v>
      </c>
      <c r="H13" s="505">
        <v>1.5974066684687313E-3</v>
      </c>
      <c r="I13" s="938"/>
      <c r="J13" s="938"/>
      <c r="K13" s="480"/>
      <c r="L13" s="480"/>
      <c r="M13" s="480"/>
      <c r="N13" s="480"/>
      <c r="O13" s="480"/>
      <c r="P13" s="480"/>
      <c r="Q13" s="480"/>
      <c r="R13" s="480"/>
      <c r="S13" s="480"/>
      <c r="T13" s="480"/>
      <c r="U13" s="480"/>
      <c r="V13" s="480"/>
    </row>
    <row r="14" spans="1:33" ht="18.75">
      <c r="A14" s="506">
        <v>46240</v>
      </c>
      <c r="B14" s="500">
        <v>7670457</v>
      </c>
      <c r="C14" s="501">
        <v>18464.782000000003</v>
      </c>
      <c r="D14" s="502">
        <v>2.4082651185941303E-3</v>
      </c>
      <c r="E14" s="501">
        <v>30759.830056862073</v>
      </c>
      <c r="F14" s="503">
        <v>3.8738159695569496E-3</v>
      </c>
      <c r="G14" s="504">
        <v>12295.04805686207</v>
      </c>
      <c r="H14" s="505">
        <v>1.6029094559635846E-3</v>
      </c>
      <c r="I14" s="938"/>
      <c r="J14" s="938"/>
      <c r="K14" s="480"/>
      <c r="L14" s="480"/>
      <c r="M14" s="480"/>
      <c r="N14" s="480"/>
      <c r="O14" s="480"/>
      <c r="P14" s="480"/>
      <c r="Q14" s="480"/>
      <c r="R14" s="480"/>
      <c r="S14" s="480"/>
      <c r="T14" s="480"/>
      <c r="U14" s="480"/>
      <c r="V14" s="480"/>
    </row>
    <row r="15" spans="1:33" ht="18.75">
      <c r="A15" s="506">
        <v>46241</v>
      </c>
      <c r="B15" s="500">
        <v>6794244</v>
      </c>
      <c r="C15" s="501">
        <v>16422.061999999991</v>
      </c>
      <c r="D15" s="502">
        <v>2.4428604558859169E-3</v>
      </c>
      <c r="E15" s="501">
        <v>27772.946933388146</v>
      </c>
      <c r="F15" s="503">
        <v>4.0445004623045613E-3</v>
      </c>
      <c r="G15" s="504">
        <v>11350.884933388155</v>
      </c>
      <c r="H15" s="505">
        <v>1.6706619505257915E-3</v>
      </c>
      <c r="I15" s="938"/>
      <c r="J15" s="938"/>
      <c r="K15" s="480"/>
      <c r="L15" s="480"/>
      <c r="M15" s="480"/>
      <c r="N15" s="480"/>
      <c r="O15" s="480"/>
      <c r="P15" s="480"/>
      <c r="Q15" s="480"/>
      <c r="R15" s="480"/>
      <c r="S15" s="480"/>
      <c r="T15" s="480"/>
      <c r="U15" s="480"/>
      <c r="V15" s="480"/>
    </row>
    <row r="16" spans="1:33" ht="18.75">
      <c r="A16" s="506">
        <v>46242</v>
      </c>
      <c r="B16" s="500">
        <v>7244290</v>
      </c>
      <c r="C16" s="501">
        <v>17535.380999999979</v>
      </c>
      <c r="D16" s="502">
        <v>2.4336636816533553E-3</v>
      </c>
      <c r="E16" s="501">
        <v>29644.647044702873</v>
      </c>
      <c r="F16" s="503">
        <v>4.0593259337160714E-3</v>
      </c>
      <c r="G16" s="504">
        <v>12109.266044702894</v>
      </c>
      <c r="H16" s="505">
        <v>1.6715600900437302E-3</v>
      </c>
      <c r="I16" s="938"/>
      <c r="J16" s="938"/>
      <c r="K16" s="480"/>
      <c r="L16" s="480"/>
      <c r="M16" s="480"/>
      <c r="N16" s="480"/>
      <c r="O16" s="480"/>
      <c r="P16" s="480"/>
      <c r="Q16" s="480"/>
      <c r="R16" s="480"/>
      <c r="S16" s="480"/>
      <c r="T16" s="480"/>
      <c r="U16" s="480"/>
      <c r="V16" s="480"/>
    </row>
    <row r="17" spans="1:22" ht="18.75">
      <c r="A17" s="506">
        <v>46243</v>
      </c>
      <c r="B17" s="500">
        <v>8720178</v>
      </c>
      <c r="C17" s="501">
        <v>21124.945000000018</v>
      </c>
      <c r="D17" s="502">
        <v>2.4191679142235947E-3</v>
      </c>
      <c r="E17" s="501">
        <v>34271.041097536552</v>
      </c>
      <c r="F17" s="503">
        <v>3.8031416505624033E-3</v>
      </c>
      <c r="G17" s="504">
        <v>13146.096097536534</v>
      </c>
      <c r="H17" s="505">
        <v>1.50754905433542E-3</v>
      </c>
      <c r="I17" s="938"/>
      <c r="J17" s="938"/>
      <c r="K17" s="480"/>
      <c r="L17" s="480"/>
      <c r="M17" s="480"/>
      <c r="N17" s="480"/>
      <c r="O17" s="480"/>
      <c r="P17" s="480"/>
      <c r="Q17" s="480"/>
      <c r="R17" s="480"/>
      <c r="S17" s="480"/>
      <c r="T17" s="480"/>
      <c r="U17" s="480"/>
      <c r="V17" s="480"/>
    </row>
    <row r="18" spans="1:22" ht="18.75">
      <c r="A18" s="506">
        <v>46244</v>
      </c>
      <c r="B18" s="500">
        <v>8645276</v>
      </c>
      <c r="C18" s="501">
        <v>20757.842000000001</v>
      </c>
      <c r="D18" s="502">
        <v>2.4299256698365047E-3</v>
      </c>
      <c r="E18" s="501">
        <v>34406.522708122218</v>
      </c>
      <c r="F18" s="503">
        <v>3.8911986915429902E-3</v>
      </c>
      <c r="G18" s="504">
        <v>13648.680708122218</v>
      </c>
      <c r="H18" s="505">
        <v>1.5787443579733276E-3</v>
      </c>
      <c r="I18" s="938"/>
      <c r="J18" s="938"/>
      <c r="K18" s="480"/>
      <c r="L18" s="480"/>
      <c r="M18" s="480"/>
      <c r="N18" s="480"/>
      <c r="O18" s="480"/>
      <c r="P18" s="480"/>
      <c r="Q18" s="480"/>
      <c r="R18" s="480"/>
      <c r="S18" s="480"/>
      <c r="T18" s="480"/>
      <c r="U18" s="480"/>
      <c r="V18" s="480"/>
    </row>
    <row r="19" spans="1:22" ht="18.75">
      <c r="A19" s="499">
        <v>46245</v>
      </c>
      <c r="B19" s="500">
        <v>8196585</v>
      </c>
      <c r="C19" s="501">
        <v>19685.665000000001</v>
      </c>
      <c r="D19" s="502">
        <v>2.4016910701224999E-3</v>
      </c>
      <c r="E19" s="501">
        <v>33860.144488828897</v>
      </c>
      <c r="F19" s="503">
        <v>4.1310063262723299E-3</v>
      </c>
      <c r="G19" s="504">
        <v>14174.4794888289</v>
      </c>
      <c r="H19" s="505">
        <v>1.72931525614984E-3</v>
      </c>
      <c r="I19" s="937">
        <v>130425.52</v>
      </c>
      <c r="J19" s="937">
        <v>219455.30448427799</v>
      </c>
      <c r="K19" s="480"/>
      <c r="L19" s="480"/>
      <c r="M19" s="480"/>
      <c r="N19" s="480"/>
      <c r="O19" s="480"/>
      <c r="P19" s="480"/>
      <c r="Q19" s="480"/>
      <c r="R19" s="480"/>
      <c r="S19" s="480"/>
      <c r="T19" s="480"/>
      <c r="U19" s="480"/>
      <c r="V19" s="480"/>
    </row>
    <row r="20" spans="1:22" ht="18.75">
      <c r="A20" s="499">
        <v>46246</v>
      </c>
      <c r="B20" s="500">
        <v>7757225</v>
      </c>
      <c r="C20" s="501">
        <v>18773.796999999999</v>
      </c>
      <c r="D20" s="502">
        <v>2.4201691971033499E-3</v>
      </c>
      <c r="E20" s="501">
        <v>32220.202454154802</v>
      </c>
      <c r="F20" s="503">
        <v>4.15357327577256E-3</v>
      </c>
      <c r="G20" s="504">
        <v>13446.405454154799</v>
      </c>
      <c r="H20" s="505">
        <v>1.73340407866922E-3</v>
      </c>
      <c r="I20" s="937"/>
      <c r="J20" s="937"/>
      <c r="K20" s="480"/>
      <c r="L20" s="480"/>
      <c r="M20" s="480"/>
      <c r="N20" s="480"/>
      <c r="O20" s="480"/>
      <c r="P20" s="480"/>
      <c r="Q20" s="480"/>
      <c r="R20" s="480"/>
      <c r="S20" s="480"/>
      <c r="T20" s="480"/>
      <c r="U20" s="480"/>
      <c r="V20" s="480"/>
    </row>
    <row r="21" spans="1:22" ht="18.75">
      <c r="A21" s="499">
        <v>46247</v>
      </c>
      <c r="B21" s="500">
        <v>7394587</v>
      </c>
      <c r="C21" s="501">
        <v>17980</v>
      </c>
      <c r="D21" s="502">
        <v>2.4315083452260398E-3</v>
      </c>
      <c r="E21" s="501">
        <v>30722.582147138499</v>
      </c>
      <c r="F21" s="503">
        <v>4.1547394258987704E-3</v>
      </c>
      <c r="G21" s="504">
        <v>12742.582147138501</v>
      </c>
      <c r="H21" s="505">
        <v>1.72323108067273E-3</v>
      </c>
      <c r="I21" s="937"/>
      <c r="J21" s="937"/>
      <c r="K21" s="480"/>
      <c r="L21" s="480"/>
      <c r="M21" s="480"/>
      <c r="N21" s="480"/>
      <c r="O21" s="480"/>
      <c r="P21" s="480"/>
      <c r="Q21" s="480"/>
      <c r="R21" s="480"/>
      <c r="S21" s="480"/>
      <c r="T21" s="480"/>
      <c r="U21" s="480"/>
      <c r="V21" s="480"/>
    </row>
    <row r="22" spans="1:22" ht="18.75">
      <c r="A22" s="499">
        <v>46248</v>
      </c>
      <c r="B22" s="500">
        <v>6557542</v>
      </c>
      <c r="C22" s="501">
        <v>15993.163</v>
      </c>
      <c r="D22" s="502">
        <v>2.43889600707094E-3</v>
      </c>
      <c r="E22" s="501">
        <v>26841.440516818398</v>
      </c>
      <c r="F22" s="503">
        <v>4.0932167139483703E-3</v>
      </c>
      <c r="G22" s="504">
        <v>10848.2775168184</v>
      </c>
      <c r="H22" s="505">
        <v>1.65432070687742E-3</v>
      </c>
      <c r="I22" s="937"/>
      <c r="J22" s="937"/>
      <c r="K22" s="480"/>
      <c r="L22" s="480"/>
      <c r="M22" s="480"/>
      <c r="N22" s="480"/>
      <c r="O22" s="480"/>
      <c r="P22" s="480"/>
      <c r="Q22" s="480"/>
      <c r="R22" s="480"/>
      <c r="S22" s="480"/>
      <c r="T22" s="480"/>
      <c r="U22" s="480"/>
      <c r="V22" s="480"/>
    </row>
    <row r="23" spans="1:22" ht="18.75">
      <c r="A23" s="499">
        <v>46249</v>
      </c>
      <c r="B23" s="500">
        <v>7004503</v>
      </c>
      <c r="C23" s="501">
        <v>16869</v>
      </c>
      <c r="D23" s="502">
        <v>2.40830791278125E-3</v>
      </c>
      <c r="E23" s="501">
        <v>27887</v>
      </c>
      <c r="F23" s="503">
        <v>3.9812960319954198E-3</v>
      </c>
      <c r="G23" s="504">
        <v>11018</v>
      </c>
      <c r="H23" s="505">
        <v>1.57298811921417E-3</v>
      </c>
      <c r="I23" s="937"/>
      <c r="J23" s="937"/>
      <c r="K23" s="480"/>
      <c r="L23" s="480"/>
      <c r="M23" s="480"/>
      <c r="N23" s="480"/>
      <c r="O23" s="480"/>
      <c r="P23" s="480"/>
      <c r="Q23" s="480"/>
      <c r="R23" s="480"/>
      <c r="S23" s="480"/>
      <c r="T23" s="480"/>
      <c r="U23" s="480"/>
      <c r="V23" s="480"/>
    </row>
    <row r="24" spans="1:22" ht="18.75">
      <c r="A24" s="499">
        <v>46250</v>
      </c>
      <c r="B24" s="500">
        <v>8582365</v>
      </c>
      <c r="C24" s="501">
        <v>20589.814999999999</v>
      </c>
      <c r="D24" s="502">
        <v>2.39908405200664E-3</v>
      </c>
      <c r="E24" s="501">
        <v>33705.809645585003</v>
      </c>
      <c r="F24" s="503">
        <v>3.9273335083726902E-3</v>
      </c>
      <c r="G24" s="504">
        <v>13115.994645585</v>
      </c>
      <c r="H24" s="505">
        <v>1.52824945636605E-3</v>
      </c>
      <c r="I24" s="937"/>
      <c r="J24" s="937"/>
      <c r="K24" s="480"/>
      <c r="L24" s="480"/>
      <c r="M24" s="480"/>
      <c r="N24" s="480"/>
      <c r="O24" s="480"/>
      <c r="P24" s="480"/>
      <c r="Q24" s="480"/>
      <c r="R24" s="480"/>
      <c r="S24" s="480"/>
      <c r="T24" s="480"/>
      <c r="U24" s="480"/>
      <c r="V24" s="480"/>
    </row>
    <row r="25" spans="1:22" ht="18.75">
      <c r="A25" s="499">
        <v>46251</v>
      </c>
      <c r="B25" s="500">
        <v>8557390</v>
      </c>
      <c r="C25" s="501">
        <v>20534.080000000002</v>
      </c>
      <c r="D25" s="502">
        <v>2.3995727669301001E-3</v>
      </c>
      <c r="E25" s="501">
        <v>34218.125231751997</v>
      </c>
      <c r="F25" s="503">
        <v>3.9986637551580502E-3</v>
      </c>
      <c r="G25" s="504">
        <v>13684.045231751999</v>
      </c>
      <c r="H25" s="505">
        <v>1.5990909882279501E-3</v>
      </c>
      <c r="I25" s="937"/>
      <c r="J25" s="937"/>
      <c r="K25" s="480"/>
      <c r="L25" s="480"/>
      <c r="M25" s="480"/>
      <c r="N25" s="480"/>
      <c r="O25" s="480"/>
      <c r="P25" s="480"/>
      <c r="Q25" s="480"/>
      <c r="R25" s="480"/>
      <c r="S25" s="480"/>
      <c r="T25" s="480"/>
      <c r="U25" s="480"/>
      <c r="V25" s="480"/>
    </row>
    <row r="26" spans="1:22" ht="18.75">
      <c r="A26" s="506">
        <v>46252</v>
      </c>
      <c r="B26" s="500">
        <v>9261715</v>
      </c>
      <c r="C26" s="501">
        <v>22420</v>
      </c>
      <c r="D26" s="502">
        <v>2.420717977178093E-3</v>
      </c>
      <c r="E26" s="501">
        <v>36481</v>
      </c>
      <c r="F26" s="503">
        <v>3.9389033240603928E-3</v>
      </c>
      <c r="G26" s="504">
        <v>14061</v>
      </c>
      <c r="H26" s="505">
        <v>1.5181853468822998E-3</v>
      </c>
      <c r="I26" s="938">
        <v>135924.83199999997</v>
      </c>
      <c r="J26" s="938">
        <v>225031.45703466871</v>
      </c>
      <c r="K26" s="480"/>
      <c r="L26" s="480"/>
      <c r="M26" s="480"/>
      <c r="N26" s="480"/>
      <c r="O26" s="480"/>
      <c r="P26" s="480"/>
      <c r="Q26" s="480"/>
      <c r="R26" s="480"/>
      <c r="S26" s="480"/>
      <c r="T26" s="480"/>
      <c r="U26" s="480"/>
      <c r="V26" s="480"/>
    </row>
    <row r="27" spans="1:22" ht="18.75">
      <c r="A27" s="506">
        <v>46253</v>
      </c>
      <c r="B27" s="500">
        <v>8223442</v>
      </c>
      <c r="C27" s="501">
        <v>19722.105999999989</v>
      </c>
      <c r="D27" s="502">
        <v>2.3982787256236486E-3</v>
      </c>
      <c r="E27" s="501">
        <v>32476.935947484941</v>
      </c>
      <c r="F27" s="503">
        <v>3.9493117295026758E-3</v>
      </c>
      <c r="G27" s="504">
        <v>12754.829947484952</v>
      </c>
      <c r="H27" s="505">
        <v>1.5510330038790267E-3</v>
      </c>
      <c r="I27" s="938"/>
      <c r="J27" s="938"/>
      <c r="K27" s="480"/>
      <c r="L27" s="480"/>
      <c r="M27" s="480"/>
      <c r="N27" s="480"/>
      <c r="O27" s="480"/>
      <c r="P27" s="480"/>
      <c r="Q27" s="480"/>
      <c r="R27" s="480"/>
      <c r="S27" s="480"/>
      <c r="T27" s="480"/>
      <c r="U27" s="480"/>
      <c r="V27" s="480"/>
    </row>
    <row r="28" spans="1:22" ht="18.75">
      <c r="A28" s="506">
        <v>46254</v>
      </c>
      <c r="B28" s="500">
        <v>7777327</v>
      </c>
      <c r="C28" s="501">
        <v>18815.270000000004</v>
      </c>
      <c r="D28" s="502">
        <v>2.4192463554637738E-3</v>
      </c>
      <c r="E28" s="501">
        <v>31115.982112489968</v>
      </c>
      <c r="F28" s="503">
        <v>4.0008581499131985E-3</v>
      </c>
      <c r="G28" s="504">
        <v>12300.712112489964</v>
      </c>
      <c r="H28" s="505">
        <v>1.5816117944494252E-3</v>
      </c>
      <c r="I28" s="938"/>
      <c r="J28" s="938"/>
      <c r="K28" s="480"/>
      <c r="L28" s="480"/>
      <c r="M28" s="480"/>
      <c r="N28" s="480"/>
      <c r="O28" s="480"/>
      <c r="P28" s="480"/>
      <c r="Q28" s="480"/>
      <c r="R28" s="480"/>
      <c r="S28" s="480"/>
      <c r="T28" s="480"/>
      <c r="U28" s="480"/>
      <c r="V28" s="480"/>
    </row>
    <row r="29" spans="1:22" ht="18.75">
      <c r="A29" s="506">
        <v>46255</v>
      </c>
      <c r="B29" s="500">
        <v>6482925</v>
      </c>
      <c r="C29" s="501">
        <v>15488.338999999996</v>
      </c>
      <c r="D29" s="502">
        <v>2.3890973596023394E-3</v>
      </c>
      <c r="E29" s="501">
        <v>27121.440620452813</v>
      </c>
      <c r="F29" s="503">
        <v>4.1835191091139897E-3</v>
      </c>
      <c r="G29" s="504">
        <v>11633.101620452817</v>
      </c>
      <c r="H29" s="505">
        <v>1.7944217495116505E-3</v>
      </c>
      <c r="I29" s="938"/>
      <c r="J29" s="938"/>
      <c r="K29" s="480"/>
      <c r="L29" s="480"/>
      <c r="M29" s="480"/>
      <c r="N29" s="480"/>
      <c r="O29" s="480"/>
      <c r="P29" s="480"/>
      <c r="Q29" s="480"/>
      <c r="R29" s="480"/>
      <c r="S29" s="480"/>
      <c r="T29" s="480"/>
      <c r="U29" s="480"/>
      <c r="V29" s="480"/>
    </row>
    <row r="30" spans="1:22" ht="18.75">
      <c r="A30" s="506">
        <v>46256</v>
      </c>
      <c r="B30" s="500">
        <v>7062658</v>
      </c>
      <c r="C30" s="501">
        <v>17158.116999999987</v>
      </c>
      <c r="D30" s="502">
        <v>2.4294135437394797E-3</v>
      </c>
      <c r="E30" s="501">
        <v>28544.108880181033</v>
      </c>
      <c r="F30" s="503">
        <v>4.0415533189035961E-3</v>
      </c>
      <c r="G30" s="504">
        <v>11385.991880181045</v>
      </c>
      <c r="H30" s="505">
        <v>1.6121397751641161E-3</v>
      </c>
      <c r="I30" s="938"/>
      <c r="J30" s="938"/>
      <c r="K30" s="480"/>
      <c r="L30" s="480"/>
      <c r="M30" s="480"/>
      <c r="N30" s="480"/>
      <c r="O30" s="480"/>
      <c r="P30" s="480"/>
      <c r="Q30" s="480"/>
      <c r="R30" s="480"/>
      <c r="S30" s="480"/>
      <c r="T30" s="480"/>
      <c r="U30" s="480"/>
      <c r="V30" s="480"/>
    </row>
    <row r="31" spans="1:22" ht="18.75">
      <c r="A31" s="506">
        <v>46257</v>
      </c>
      <c r="B31" s="500">
        <v>8897810</v>
      </c>
      <c r="C31" s="501">
        <v>21531</v>
      </c>
      <c r="D31" s="502">
        <v>2.4198089192733942E-3</v>
      </c>
      <c r="E31" s="501">
        <v>35136.732714571139</v>
      </c>
      <c r="F31" s="503">
        <v>3.9489191963608056E-3</v>
      </c>
      <c r="G31" s="504">
        <v>13605.732714571139</v>
      </c>
      <c r="H31" s="505">
        <v>1.5291102770874114E-3</v>
      </c>
      <c r="I31" s="938"/>
      <c r="J31" s="938"/>
      <c r="K31" s="480"/>
      <c r="L31" s="480"/>
      <c r="M31" s="480"/>
      <c r="N31" s="480"/>
      <c r="O31" s="480"/>
      <c r="P31" s="480"/>
      <c r="Q31" s="480"/>
      <c r="R31" s="480"/>
      <c r="S31" s="480"/>
      <c r="T31" s="480"/>
      <c r="U31" s="480"/>
      <c r="V31" s="480"/>
    </row>
    <row r="32" spans="1:22" ht="18.75">
      <c r="A32" s="506">
        <v>46258</v>
      </c>
      <c r="B32" s="500">
        <v>8622282</v>
      </c>
      <c r="C32" s="501">
        <v>20790</v>
      </c>
      <c r="D32" s="502">
        <v>2.4111946234187192E-3</v>
      </c>
      <c r="E32" s="501">
        <v>34155.256759488824</v>
      </c>
      <c r="F32" s="503">
        <v>3.9612780885024202E-3</v>
      </c>
      <c r="G32" s="504">
        <v>13365.256759488824</v>
      </c>
      <c r="H32" s="505">
        <v>1.550083465083701E-3</v>
      </c>
      <c r="I32" s="938"/>
      <c r="J32" s="938"/>
      <c r="K32" s="480"/>
      <c r="L32" s="480"/>
      <c r="M32" s="480"/>
      <c r="N32" s="480"/>
      <c r="O32" s="480"/>
      <c r="P32" s="480"/>
      <c r="Q32" s="480"/>
      <c r="R32" s="480"/>
      <c r="S32" s="480"/>
      <c r="T32" s="480"/>
      <c r="U32" s="480"/>
      <c r="V32" s="480"/>
    </row>
    <row r="33" spans="1:22" ht="18.75">
      <c r="A33" s="499">
        <v>46259</v>
      </c>
      <c r="B33" s="500"/>
      <c r="C33" s="501"/>
      <c r="D33" s="502" t="e">
        <v>#DIV/0!</v>
      </c>
      <c r="E33" s="501"/>
      <c r="F33" s="503" t="e">
        <v>#DIV/0!</v>
      </c>
      <c r="G33" s="504">
        <v>0</v>
      </c>
      <c r="H33" s="505" t="e">
        <v>#DIV/0!</v>
      </c>
      <c r="I33" s="937">
        <v>0</v>
      </c>
      <c r="J33" s="937">
        <v>0</v>
      </c>
      <c r="K33" s="480"/>
      <c r="L33" s="480"/>
      <c r="M33" s="480"/>
      <c r="N33" s="480"/>
      <c r="O33" s="480"/>
      <c r="P33" s="480"/>
      <c r="Q33" s="480"/>
      <c r="R33" s="480"/>
      <c r="S33" s="480"/>
      <c r="T33" s="480"/>
      <c r="U33" s="480"/>
      <c r="V33" s="480"/>
    </row>
    <row r="34" spans="1:22" ht="18.75">
      <c r="A34" s="499">
        <v>46260</v>
      </c>
      <c r="B34" s="500"/>
      <c r="C34" s="501"/>
      <c r="D34" s="502" t="e">
        <v>#DIV/0!</v>
      </c>
      <c r="E34" s="501"/>
      <c r="F34" s="503" t="e">
        <v>#DIV/0!</v>
      </c>
      <c r="G34" s="504">
        <v>0</v>
      </c>
      <c r="H34" s="505" t="e">
        <v>#DIV/0!</v>
      </c>
      <c r="I34" s="937"/>
      <c r="J34" s="937"/>
      <c r="K34" s="480"/>
      <c r="L34" s="480"/>
      <c r="M34" s="480"/>
      <c r="N34" s="480"/>
      <c r="O34" s="480"/>
      <c r="P34" s="480"/>
      <c r="Q34" s="480"/>
      <c r="R34" s="480"/>
      <c r="S34" s="480"/>
      <c r="T34" s="480"/>
      <c r="U34" s="480"/>
      <c r="V34" s="480"/>
    </row>
    <row r="35" spans="1:22" ht="18.75">
      <c r="A35" s="499">
        <v>46261</v>
      </c>
      <c r="B35" s="500"/>
      <c r="C35" s="501"/>
      <c r="D35" s="502" t="e">
        <v>#DIV/0!</v>
      </c>
      <c r="E35" s="501"/>
      <c r="F35" s="503" t="e">
        <v>#DIV/0!</v>
      </c>
      <c r="G35" s="504">
        <v>0</v>
      </c>
      <c r="H35" s="505" t="e">
        <v>#DIV/0!</v>
      </c>
      <c r="I35" s="937"/>
      <c r="J35" s="937"/>
      <c r="K35" s="480"/>
      <c r="L35" s="480"/>
      <c r="M35" s="480"/>
      <c r="N35" s="480"/>
      <c r="O35" s="480"/>
      <c r="P35" s="480"/>
      <c r="Q35" s="480"/>
      <c r="R35" s="480"/>
      <c r="S35" s="480"/>
      <c r="T35" s="480"/>
      <c r="U35" s="480"/>
      <c r="V35" s="480"/>
    </row>
    <row r="36" spans="1:22" ht="18.75">
      <c r="A36" s="499">
        <v>46262</v>
      </c>
      <c r="B36" s="500"/>
      <c r="C36" s="501"/>
      <c r="D36" s="502" t="e">
        <v>#DIV/0!</v>
      </c>
      <c r="E36" s="501"/>
      <c r="F36" s="503" t="e">
        <v>#DIV/0!</v>
      </c>
      <c r="G36" s="504">
        <v>0</v>
      </c>
      <c r="H36" s="505" t="e">
        <v>#DIV/0!</v>
      </c>
      <c r="I36" s="937"/>
      <c r="J36" s="937"/>
      <c r="K36" s="480"/>
      <c r="L36" s="480"/>
      <c r="M36" s="480"/>
      <c r="N36" s="480"/>
      <c r="O36" s="480"/>
      <c r="P36" s="480"/>
      <c r="Q36" s="480"/>
      <c r="R36" s="480"/>
      <c r="S36" s="480"/>
      <c r="T36" s="480"/>
      <c r="U36" s="480"/>
      <c r="V36" s="480"/>
    </row>
    <row r="37" spans="1:22" ht="18.75">
      <c r="A37" s="499">
        <v>46263</v>
      </c>
      <c r="B37" s="500"/>
      <c r="C37" s="501"/>
      <c r="D37" s="502" t="e">
        <v>#DIV/0!</v>
      </c>
      <c r="E37" s="501"/>
      <c r="F37" s="503" t="e">
        <v>#DIV/0!</v>
      </c>
      <c r="G37" s="504">
        <v>0</v>
      </c>
      <c r="H37" s="505" t="e">
        <v>#DIV/0!</v>
      </c>
      <c r="I37" s="937"/>
      <c r="J37" s="937"/>
      <c r="K37" s="480"/>
      <c r="L37" s="480"/>
      <c r="M37" s="480"/>
      <c r="N37" s="480"/>
      <c r="O37" s="480"/>
      <c r="P37" s="480"/>
      <c r="Q37" s="480"/>
      <c r="R37" s="480"/>
      <c r="S37" s="480"/>
      <c r="T37" s="480"/>
      <c r="U37" s="480"/>
      <c r="V37" s="480"/>
    </row>
    <row r="38" spans="1:22" ht="18.75">
      <c r="A38" s="499">
        <v>46264</v>
      </c>
      <c r="B38" s="500"/>
      <c r="C38" s="501"/>
      <c r="D38" s="502" t="e">
        <v>#DIV/0!</v>
      </c>
      <c r="E38" s="501"/>
      <c r="F38" s="503" t="e">
        <v>#DIV/0!</v>
      </c>
      <c r="G38" s="504">
        <v>0</v>
      </c>
      <c r="H38" s="505" t="e">
        <v>#DIV/0!</v>
      </c>
      <c r="I38" s="937"/>
      <c r="J38" s="937"/>
      <c r="K38" s="480"/>
      <c r="L38" s="480"/>
      <c r="M38" s="480"/>
      <c r="N38" s="480"/>
      <c r="O38" s="480"/>
      <c r="P38" s="480"/>
      <c r="Q38" s="480"/>
      <c r="R38" s="480"/>
      <c r="S38" s="480"/>
      <c r="T38" s="480"/>
      <c r="U38" s="480"/>
      <c r="V38" s="480"/>
    </row>
    <row r="39" spans="1:22" ht="18.75">
      <c r="A39" s="499">
        <v>46265</v>
      </c>
      <c r="B39" s="500"/>
      <c r="C39" s="501"/>
      <c r="D39" s="502" t="e">
        <v>#DIV/0!</v>
      </c>
      <c r="E39" s="501"/>
      <c r="F39" s="503" t="e">
        <v>#DIV/0!</v>
      </c>
      <c r="G39" s="504">
        <v>0</v>
      </c>
      <c r="H39" s="505" t="e">
        <v>#DIV/0!</v>
      </c>
      <c r="I39" s="937"/>
      <c r="J39" s="937"/>
      <c r="K39" s="480"/>
      <c r="L39" s="480"/>
      <c r="M39" s="480"/>
      <c r="N39" s="480"/>
      <c r="O39" s="480"/>
      <c r="P39" s="480"/>
      <c r="Q39" s="480"/>
      <c r="R39" s="480"/>
      <c r="S39" s="480"/>
      <c r="T39" s="480"/>
      <c r="U39" s="480"/>
      <c r="V39" s="480"/>
    </row>
    <row r="40" spans="1:22" ht="18.75">
      <c r="A40" s="506">
        <v>46266</v>
      </c>
      <c r="B40" s="500"/>
      <c r="C40" s="501"/>
      <c r="D40" s="502" t="e">
        <v>#DIV/0!</v>
      </c>
      <c r="E40" s="501"/>
      <c r="F40" s="503" t="e">
        <v>#DIV/0!</v>
      </c>
      <c r="G40" s="504">
        <v>0</v>
      </c>
      <c r="H40" s="505" t="e">
        <v>#DIV/0!</v>
      </c>
      <c r="I40" s="938">
        <v>0</v>
      </c>
      <c r="J40" s="938">
        <v>0</v>
      </c>
      <c r="K40" s="480"/>
      <c r="L40" s="480"/>
      <c r="M40" s="480"/>
      <c r="N40" s="480"/>
      <c r="O40" s="480"/>
      <c r="P40" s="480"/>
      <c r="Q40" s="480"/>
      <c r="R40" s="480"/>
      <c r="S40" s="480"/>
      <c r="T40" s="480"/>
      <c r="U40" s="480"/>
      <c r="V40" s="480"/>
    </row>
    <row r="41" spans="1:22" ht="18.75">
      <c r="A41" s="506">
        <v>46267</v>
      </c>
      <c r="B41" s="500"/>
      <c r="C41" s="501"/>
      <c r="D41" s="502" t="e">
        <v>#DIV/0!</v>
      </c>
      <c r="E41" s="501"/>
      <c r="F41" s="503" t="e">
        <v>#DIV/0!</v>
      </c>
      <c r="G41" s="504">
        <v>0</v>
      </c>
      <c r="H41" s="505" t="e">
        <v>#DIV/0!</v>
      </c>
      <c r="I41" s="938"/>
      <c r="J41" s="938"/>
      <c r="K41" s="480"/>
      <c r="L41" s="480"/>
      <c r="M41" s="480"/>
      <c r="N41" s="480"/>
      <c r="O41" s="480"/>
      <c r="P41" s="480"/>
      <c r="Q41" s="480"/>
      <c r="R41" s="480"/>
      <c r="S41" s="480"/>
      <c r="T41" s="480"/>
      <c r="U41" s="480"/>
      <c r="V41" s="480"/>
    </row>
    <row r="42" spans="1:22" ht="18.75">
      <c r="A42" s="506">
        <v>46268</v>
      </c>
      <c r="B42" s="500"/>
      <c r="C42" s="501"/>
      <c r="D42" s="502" t="e">
        <v>#DIV/0!</v>
      </c>
      <c r="E42" s="501"/>
      <c r="F42" s="503" t="e">
        <v>#DIV/0!</v>
      </c>
      <c r="G42" s="504">
        <v>0</v>
      </c>
      <c r="H42" s="505" t="e">
        <v>#DIV/0!</v>
      </c>
      <c r="I42" s="938"/>
      <c r="J42" s="938"/>
      <c r="K42" s="480"/>
      <c r="L42" s="480"/>
      <c r="M42" s="480"/>
      <c r="N42" s="480"/>
      <c r="O42" s="480"/>
      <c r="P42" s="480"/>
      <c r="Q42" s="480"/>
      <c r="R42" s="480"/>
      <c r="S42" s="480"/>
      <c r="T42" s="480"/>
      <c r="U42" s="480"/>
      <c r="V42" s="480"/>
    </row>
    <row r="43" spans="1:22" ht="18.75">
      <c r="A43" s="506">
        <v>46269</v>
      </c>
      <c r="B43" s="500"/>
      <c r="C43" s="501"/>
      <c r="D43" s="502" t="e">
        <v>#DIV/0!</v>
      </c>
      <c r="E43" s="501"/>
      <c r="F43" s="503" t="e">
        <v>#DIV/0!</v>
      </c>
      <c r="G43" s="504">
        <v>0</v>
      </c>
      <c r="H43" s="505" t="e">
        <v>#DIV/0!</v>
      </c>
      <c r="I43" s="938"/>
      <c r="J43" s="938"/>
      <c r="K43" s="480"/>
      <c r="L43" s="480"/>
      <c r="M43" s="480"/>
      <c r="N43" s="480"/>
      <c r="O43" s="480"/>
      <c r="P43" s="480"/>
      <c r="Q43" s="480"/>
      <c r="R43" s="480"/>
      <c r="S43" s="480"/>
      <c r="T43" s="480"/>
      <c r="U43" s="480"/>
      <c r="V43" s="480"/>
    </row>
    <row r="44" spans="1:22" ht="18.75">
      <c r="A44" s="506">
        <v>46270</v>
      </c>
      <c r="B44" s="500"/>
      <c r="C44" s="501"/>
      <c r="D44" s="502" t="e">
        <v>#DIV/0!</v>
      </c>
      <c r="E44" s="501"/>
      <c r="F44" s="503" t="e">
        <v>#DIV/0!</v>
      </c>
      <c r="G44" s="504">
        <v>0</v>
      </c>
      <c r="H44" s="505" t="e">
        <v>#DIV/0!</v>
      </c>
      <c r="I44" s="938"/>
      <c r="J44" s="938"/>
      <c r="K44" s="480"/>
      <c r="L44" s="480"/>
      <c r="M44" s="480"/>
      <c r="N44" s="480"/>
      <c r="O44" s="480"/>
      <c r="P44" s="480"/>
      <c r="Q44" s="480"/>
      <c r="R44" s="480"/>
      <c r="S44" s="480"/>
      <c r="T44" s="480"/>
      <c r="U44" s="480"/>
      <c r="V44" s="480"/>
    </row>
    <row r="45" spans="1:22" ht="18.75">
      <c r="A45" s="506">
        <v>46271</v>
      </c>
      <c r="B45" s="500"/>
      <c r="C45" s="501"/>
      <c r="D45" s="502" t="e">
        <v>#DIV/0!</v>
      </c>
      <c r="E45" s="501"/>
      <c r="F45" s="503" t="e">
        <v>#DIV/0!</v>
      </c>
      <c r="G45" s="504">
        <v>0</v>
      </c>
      <c r="H45" s="505" t="e">
        <v>#DIV/0!</v>
      </c>
      <c r="I45" s="938"/>
      <c r="J45" s="938"/>
      <c r="K45" s="480"/>
      <c r="L45" s="480"/>
      <c r="M45" s="480"/>
      <c r="N45" s="480"/>
      <c r="O45" s="480"/>
      <c r="P45" s="480"/>
      <c r="Q45" s="480"/>
      <c r="R45" s="480"/>
      <c r="S45" s="480"/>
      <c r="T45" s="480"/>
      <c r="U45" s="480"/>
      <c r="V45" s="480"/>
    </row>
    <row r="46" spans="1:22" ht="18.75">
      <c r="A46" s="506">
        <v>46272</v>
      </c>
      <c r="B46" s="500"/>
      <c r="C46" s="501"/>
      <c r="D46" s="502" t="e">
        <v>#DIV/0!</v>
      </c>
      <c r="E46" s="501"/>
      <c r="F46" s="503" t="e">
        <v>#DIV/0!</v>
      </c>
      <c r="G46" s="504">
        <v>0</v>
      </c>
      <c r="H46" s="505" t="e">
        <v>#DIV/0!</v>
      </c>
      <c r="I46" s="938"/>
      <c r="J46" s="938"/>
      <c r="K46" s="480"/>
      <c r="L46" s="480"/>
      <c r="M46" s="480"/>
      <c r="N46" s="480"/>
      <c r="O46" s="480"/>
      <c r="P46" s="480"/>
      <c r="Q46" s="480"/>
      <c r="R46" s="480"/>
      <c r="S46" s="480"/>
      <c r="T46" s="480"/>
      <c r="U46" s="480"/>
      <c r="V46" s="480"/>
    </row>
    <row r="47" spans="1:22" ht="18.75">
      <c r="A47" s="480"/>
      <c r="B47" s="480"/>
      <c r="C47" s="480"/>
      <c r="D47" s="480"/>
      <c r="E47" s="480"/>
      <c r="F47" s="480"/>
      <c r="G47" s="480"/>
      <c r="H47" s="480"/>
      <c r="I47" s="480"/>
      <c r="J47" s="480"/>
      <c r="K47" s="480"/>
      <c r="L47" s="480"/>
      <c r="M47" s="480"/>
      <c r="N47" s="480"/>
      <c r="O47" s="480"/>
      <c r="P47" s="480"/>
      <c r="Q47" s="480"/>
      <c r="R47" s="480"/>
      <c r="S47" s="480"/>
      <c r="T47" s="480"/>
      <c r="U47" s="480"/>
      <c r="V47" s="480"/>
    </row>
    <row r="48" spans="1:22" ht="18.75">
      <c r="A48" s="507" t="s">
        <v>692</v>
      </c>
      <c r="B48" s="508">
        <v>60441305</v>
      </c>
      <c r="C48" s="480"/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  <c r="P48" s="480"/>
      <c r="Q48" s="480"/>
      <c r="R48" s="480"/>
      <c r="S48" s="480"/>
      <c r="T48" s="480"/>
      <c r="U48" s="480"/>
      <c r="V48" s="480"/>
    </row>
    <row r="49" spans="1:22" ht="18.75">
      <c r="A49" s="480"/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0"/>
      <c r="R49" s="480"/>
      <c r="S49" s="480"/>
      <c r="T49" s="480"/>
      <c r="U49" s="480"/>
      <c r="V49" s="480"/>
    </row>
  </sheetData>
  <mergeCells count="19"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8"/>
    <col min="3" max="3" width="14" style="208" bestFit="1" customWidth="1"/>
    <col min="4" max="4" width="0.28515625" style="208" customWidth="1"/>
    <col min="5" max="5" width="8.7109375" style="208"/>
    <col min="6" max="6" width="16.28515625" style="208" bestFit="1" customWidth="1"/>
    <col min="7" max="16384" width="8.7109375" style="208"/>
  </cols>
  <sheetData>
    <row r="2" spans="2:7" ht="15.75">
      <c r="B2" s="949" t="s">
        <v>233</v>
      </c>
      <c r="C2" s="949"/>
      <c r="D2" s="949"/>
      <c r="E2" s="949"/>
      <c r="F2" s="949"/>
    </row>
    <row r="3" spans="2:7" ht="15">
      <c r="B3" s="209" t="s">
        <v>234</v>
      </c>
      <c r="C3" s="209" t="s">
        <v>235</v>
      </c>
      <c r="D3" s="210"/>
      <c r="E3" s="209" t="s">
        <v>236</v>
      </c>
      <c r="F3" s="209" t="s">
        <v>237</v>
      </c>
      <c r="G3" s="210"/>
    </row>
    <row r="4" spans="2:7" ht="15">
      <c r="B4" s="211" t="s">
        <v>238</v>
      </c>
      <c r="C4" s="211" t="s">
        <v>239</v>
      </c>
      <c r="D4" s="210"/>
      <c r="E4" s="211" t="s">
        <v>240</v>
      </c>
      <c r="F4" s="211" t="s">
        <v>241</v>
      </c>
      <c r="G4" s="210"/>
    </row>
    <row r="5" spans="2:7" ht="15">
      <c r="B5" s="211" t="s">
        <v>242</v>
      </c>
      <c r="C5" s="211" t="s">
        <v>243</v>
      </c>
      <c r="D5" s="210"/>
      <c r="E5" s="211" t="s">
        <v>244</v>
      </c>
      <c r="F5" s="211" t="s">
        <v>245</v>
      </c>
      <c r="G5" s="210"/>
    </row>
    <row r="6" spans="2:7" ht="15">
      <c r="B6" s="211" t="s">
        <v>246</v>
      </c>
      <c r="C6" s="211" t="s">
        <v>247</v>
      </c>
      <c r="D6" s="210"/>
      <c r="E6" s="212" t="s">
        <v>248</v>
      </c>
      <c r="F6" s="212" t="s">
        <v>136</v>
      </c>
      <c r="G6" s="210"/>
    </row>
    <row r="7" spans="2:7" ht="15">
      <c r="B7" s="212" t="s">
        <v>249</v>
      </c>
      <c r="C7" s="212" t="s">
        <v>250</v>
      </c>
      <c r="D7" s="210"/>
      <c r="E7" s="211" t="s">
        <v>251</v>
      </c>
      <c r="F7" s="211" t="s">
        <v>252</v>
      </c>
      <c r="G7" s="210"/>
    </row>
    <row r="8" spans="2:7" ht="15">
      <c r="B8" s="211" t="s">
        <v>253</v>
      </c>
      <c r="C8" s="211" t="s">
        <v>254</v>
      </c>
      <c r="D8" s="210"/>
      <c r="E8" s="211" t="s">
        <v>255</v>
      </c>
      <c r="F8" s="211" t="s">
        <v>256</v>
      </c>
      <c r="G8" s="210"/>
    </row>
    <row r="9" spans="2:7" ht="15">
      <c r="B9" s="211" t="s">
        <v>257</v>
      </c>
      <c r="C9" s="211" t="s">
        <v>258</v>
      </c>
      <c r="D9" s="210"/>
      <c r="E9" s="212" t="s">
        <v>259</v>
      </c>
      <c r="F9" s="212" t="s">
        <v>135</v>
      </c>
      <c r="G9" s="210"/>
    </row>
    <row r="10" spans="2:7" ht="15">
      <c r="B10" s="211" t="s">
        <v>260</v>
      </c>
      <c r="C10" s="211" t="s">
        <v>261</v>
      </c>
      <c r="D10" s="210"/>
      <c r="E10" s="211" t="s">
        <v>262</v>
      </c>
      <c r="F10" s="211" t="s">
        <v>263</v>
      </c>
      <c r="G10" s="210"/>
    </row>
    <row r="11" spans="2:7" ht="15">
      <c r="B11" s="211" t="s">
        <v>264</v>
      </c>
      <c r="C11" s="211" t="s">
        <v>265</v>
      </c>
      <c r="D11" s="210"/>
      <c r="E11" s="211" t="s">
        <v>266</v>
      </c>
      <c r="F11" s="211" t="s">
        <v>256</v>
      </c>
      <c r="G11" s="210"/>
    </row>
    <row r="12" spans="2:7" ht="15">
      <c r="B12" s="211" t="s">
        <v>267</v>
      </c>
      <c r="C12" s="211" t="s">
        <v>268</v>
      </c>
      <c r="D12" s="210"/>
      <c r="E12" s="211" t="s">
        <v>269</v>
      </c>
      <c r="F12" s="211" t="s">
        <v>270</v>
      </c>
      <c r="G12" s="210"/>
    </row>
    <row r="13" spans="2:7" ht="15">
      <c r="B13" s="212" t="s">
        <v>271</v>
      </c>
      <c r="C13" s="212" t="s">
        <v>131</v>
      </c>
      <c r="D13" s="210"/>
      <c r="E13" s="211" t="s">
        <v>272</v>
      </c>
      <c r="F13" s="211" t="s">
        <v>273</v>
      </c>
      <c r="G13" s="210"/>
    </row>
    <row r="14" spans="2:7" ht="15">
      <c r="B14" s="211" t="s">
        <v>274</v>
      </c>
      <c r="C14" s="211" t="s">
        <v>275</v>
      </c>
      <c r="D14" s="210"/>
      <c r="E14" s="212" t="s">
        <v>276</v>
      </c>
      <c r="F14" s="212" t="s">
        <v>277</v>
      </c>
      <c r="G14" s="210"/>
    </row>
    <row r="15" spans="2:7" ht="15">
      <c r="B15" s="212" t="s">
        <v>278</v>
      </c>
      <c r="C15" s="212" t="s">
        <v>279</v>
      </c>
      <c r="D15" s="210"/>
      <c r="E15" s="211" t="s">
        <v>280</v>
      </c>
      <c r="F15" s="211" t="s">
        <v>277</v>
      </c>
      <c r="G15" s="210"/>
    </row>
    <row r="16" spans="2:7" ht="15">
      <c r="B16" s="211" t="s">
        <v>281</v>
      </c>
      <c r="C16" s="211" t="s">
        <v>282</v>
      </c>
      <c r="D16" s="210"/>
      <c r="E16" s="212" t="s">
        <v>283</v>
      </c>
      <c r="F16" s="212" t="s">
        <v>284</v>
      </c>
      <c r="G16" s="210"/>
    </row>
    <row r="17" spans="2:7" ht="15">
      <c r="B17" s="211" t="s">
        <v>285</v>
      </c>
      <c r="C17" s="211" t="s">
        <v>286</v>
      </c>
      <c r="D17" s="210"/>
      <c r="E17" s="211" t="s">
        <v>287</v>
      </c>
      <c r="F17" s="211" t="s">
        <v>288</v>
      </c>
      <c r="G17" s="210"/>
    </row>
    <row r="18" spans="2:7" ht="15">
      <c r="B18" s="211" t="s">
        <v>289</v>
      </c>
      <c r="C18" s="211" t="s">
        <v>290</v>
      </c>
      <c r="D18" s="210"/>
      <c r="E18" s="211" t="s">
        <v>291</v>
      </c>
      <c r="F18" s="211" t="s">
        <v>292</v>
      </c>
      <c r="G18" s="210"/>
    </row>
    <row r="19" spans="2:7" ht="15">
      <c r="B19" s="211" t="s">
        <v>293</v>
      </c>
      <c r="C19" s="211" t="s">
        <v>294</v>
      </c>
      <c r="D19" s="210"/>
      <c r="E19" s="211" t="s">
        <v>295</v>
      </c>
      <c r="F19" s="211" t="s">
        <v>296</v>
      </c>
      <c r="G19" s="210"/>
    </row>
    <row r="20" spans="2:7" ht="15">
      <c r="B20" s="211" t="s">
        <v>297</v>
      </c>
      <c r="C20" s="211" t="s">
        <v>298</v>
      </c>
      <c r="D20" s="210"/>
      <c r="G20" s="210"/>
    </row>
    <row r="21" spans="2:7" ht="15">
      <c r="D21" s="210"/>
      <c r="G21" s="210"/>
    </row>
    <row r="22" spans="2:7" ht="15">
      <c r="D22" s="210"/>
      <c r="G22" s="210"/>
    </row>
    <row r="23" spans="2:7" ht="15">
      <c r="D23" s="210"/>
      <c r="G23" s="21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9F8705-F491-4F53-953A-4B127B916A38}"/>
</file>

<file path=customXml/itemProps2.xml><?xml version="1.0" encoding="utf-8"?>
<ds:datastoreItem xmlns:ds="http://schemas.openxmlformats.org/officeDocument/2006/customXml" ds:itemID="{9DD443FA-96DC-4018-9705-C5F194B24D63}"/>
</file>

<file path=customXml/itemProps3.xml><?xml version="1.0" encoding="utf-8"?>
<ds:datastoreItem xmlns:ds="http://schemas.openxmlformats.org/officeDocument/2006/customXml" ds:itemID="{32A41F89-2D9F-41D8-83C7-C1319CC033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2026-08-26T11:12:46Z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